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F30350F-C579-4F69-BB94-8D0357D4DF23}" xr6:coauthVersionLast="45" xr6:coauthVersionMax="45" xr10:uidLastSave="{00000000-0000-0000-0000-000000000000}"/>
  <bookViews>
    <workbookView xWindow="-120" yWindow="-120" windowWidth="29040" windowHeight="15840" activeTab="1" xr2:uid="{6798A834-5563-4DDE-A130-9E97ACB19E2A}"/>
  </bookViews>
  <sheets>
    <sheet name="21" sheetId="4" r:id="rId1"/>
    <sheet name="IE R1 01-21-2026" sheetId="1" r:id="rId2"/>
    <sheet name="IE R2 01-21-2026" sheetId="2" r:id="rId3"/>
    <sheet name="IE R3 01-21-2026" sheetId="3" r:id="rId4"/>
    <sheet name="22" sheetId="5" r:id="rId5"/>
    <sheet name="IE R1 01-22-2026" sheetId="6" r:id="rId6"/>
    <sheet name="IE R2 01-22-2026" sheetId="7" r:id="rId7"/>
    <sheet name="IE R3 01-22-2026" sheetId="8" r:id="rId8"/>
    <sheet name="23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69" i="8" l="1"/>
  <c r="F169" i="8"/>
  <c r="R168" i="8"/>
  <c r="F168" i="8"/>
  <c r="X167" i="8"/>
  <c r="R167" i="8"/>
  <c r="L167" i="8"/>
  <c r="F167" i="8"/>
  <c r="X166" i="8"/>
  <c r="R166" i="8"/>
  <c r="L166" i="8"/>
  <c r="F166" i="8"/>
  <c r="X165" i="8"/>
  <c r="R165" i="8"/>
  <c r="L165" i="8"/>
  <c r="F165" i="8"/>
  <c r="X164" i="8"/>
  <c r="R164" i="8"/>
  <c r="L164" i="8"/>
  <c r="F164" i="8"/>
  <c r="X163" i="8"/>
  <c r="R163" i="8"/>
  <c r="L163" i="8"/>
  <c r="F163" i="8"/>
  <c r="X162" i="8"/>
  <c r="R162" i="8"/>
  <c r="L162" i="8"/>
  <c r="F162" i="8"/>
  <c r="X161" i="8"/>
  <c r="R161" i="8"/>
  <c r="L161" i="8"/>
  <c r="F161" i="8"/>
  <c r="X160" i="8"/>
  <c r="R160" i="8"/>
  <c r="L160" i="8"/>
  <c r="F160" i="8"/>
  <c r="X159" i="8"/>
  <c r="R159" i="8"/>
  <c r="L159" i="8"/>
  <c r="F159" i="8"/>
  <c r="X158" i="8"/>
  <c r="R158" i="8"/>
  <c r="L158" i="8"/>
  <c r="F158" i="8"/>
  <c r="X157" i="8"/>
  <c r="R157" i="8"/>
  <c r="L157" i="8"/>
  <c r="F157" i="8"/>
  <c r="X156" i="8"/>
  <c r="R156" i="8"/>
  <c r="L156" i="8"/>
  <c r="F156" i="8"/>
  <c r="X155" i="8"/>
  <c r="R155" i="8"/>
  <c r="L155" i="8"/>
  <c r="F155" i="8"/>
  <c r="X154" i="8"/>
  <c r="R154" i="8"/>
  <c r="L154" i="8"/>
  <c r="F154" i="8"/>
  <c r="X153" i="8"/>
  <c r="R153" i="8"/>
  <c r="L153" i="8"/>
  <c r="F153" i="8"/>
  <c r="X152" i="8"/>
  <c r="R152" i="8"/>
  <c r="L152" i="8"/>
  <c r="F152" i="8"/>
  <c r="X151" i="8"/>
  <c r="R151" i="8"/>
  <c r="L151" i="8"/>
  <c r="F151" i="8"/>
  <c r="X150" i="8"/>
  <c r="R150" i="8"/>
  <c r="L150" i="8"/>
  <c r="F150" i="8"/>
  <c r="X149" i="8"/>
  <c r="R149" i="8"/>
  <c r="L149" i="8"/>
  <c r="F149" i="8"/>
  <c r="X148" i="8"/>
  <c r="R148" i="8"/>
  <c r="L148" i="8"/>
  <c r="F148" i="8"/>
  <c r="X147" i="8"/>
  <c r="R147" i="8"/>
  <c r="L147" i="8"/>
  <c r="F147" i="8"/>
  <c r="X146" i="8"/>
  <c r="X168" i="8" s="1"/>
  <c r="R146" i="8"/>
  <c r="L146" i="8"/>
  <c r="L168" i="8" s="1"/>
  <c r="F146" i="8"/>
  <c r="R135" i="8"/>
  <c r="F135" i="8"/>
  <c r="R134" i="8"/>
  <c r="F134" i="8"/>
  <c r="X133" i="8"/>
  <c r="R133" i="8"/>
  <c r="L133" i="8"/>
  <c r="F133" i="8"/>
  <c r="X132" i="8"/>
  <c r="R132" i="8"/>
  <c r="L132" i="8"/>
  <c r="F132" i="8"/>
  <c r="X131" i="8"/>
  <c r="R131" i="8"/>
  <c r="L131" i="8"/>
  <c r="F131" i="8"/>
  <c r="X130" i="8"/>
  <c r="R130" i="8"/>
  <c r="L130" i="8"/>
  <c r="F130" i="8"/>
  <c r="X129" i="8"/>
  <c r="R129" i="8"/>
  <c r="L129" i="8"/>
  <c r="F129" i="8"/>
  <c r="X128" i="8"/>
  <c r="R128" i="8"/>
  <c r="L128" i="8"/>
  <c r="F128" i="8"/>
  <c r="X127" i="8"/>
  <c r="R127" i="8"/>
  <c r="L127" i="8"/>
  <c r="F127" i="8"/>
  <c r="X126" i="8"/>
  <c r="R126" i="8"/>
  <c r="L126" i="8"/>
  <c r="F126" i="8"/>
  <c r="X125" i="8"/>
  <c r="R125" i="8"/>
  <c r="L125" i="8"/>
  <c r="F125" i="8"/>
  <c r="X124" i="8"/>
  <c r="R124" i="8"/>
  <c r="L124" i="8"/>
  <c r="F124" i="8"/>
  <c r="X123" i="8"/>
  <c r="R123" i="8"/>
  <c r="L123" i="8"/>
  <c r="F123" i="8"/>
  <c r="X122" i="8"/>
  <c r="R122" i="8"/>
  <c r="L122" i="8"/>
  <c r="F122" i="8"/>
  <c r="X121" i="8"/>
  <c r="R121" i="8"/>
  <c r="L121" i="8"/>
  <c r="F121" i="8"/>
  <c r="X120" i="8"/>
  <c r="R120" i="8"/>
  <c r="L120" i="8"/>
  <c r="F120" i="8"/>
  <c r="X119" i="8"/>
  <c r="R119" i="8"/>
  <c r="L119" i="8"/>
  <c r="F119" i="8"/>
  <c r="X118" i="8"/>
  <c r="R118" i="8"/>
  <c r="L118" i="8"/>
  <c r="F118" i="8"/>
  <c r="X117" i="8"/>
  <c r="R117" i="8"/>
  <c r="L117" i="8"/>
  <c r="F117" i="8"/>
  <c r="X116" i="8"/>
  <c r="R116" i="8"/>
  <c r="L116" i="8"/>
  <c r="F116" i="8"/>
  <c r="X115" i="8"/>
  <c r="R115" i="8"/>
  <c r="L115" i="8"/>
  <c r="F115" i="8"/>
  <c r="X114" i="8"/>
  <c r="R114" i="8"/>
  <c r="L114" i="8"/>
  <c r="F114" i="8"/>
  <c r="X113" i="8"/>
  <c r="R113" i="8"/>
  <c r="L113" i="8"/>
  <c r="F113" i="8"/>
  <c r="X112" i="8"/>
  <c r="X134" i="8" s="1"/>
  <c r="R112" i="8"/>
  <c r="L112" i="8"/>
  <c r="L134" i="8" s="1"/>
  <c r="F112" i="8"/>
  <c r="F136" i="8" s="1"/>
  <c r="L135" i="8" s="1"/>
  <c r="R101" i="8"/>
  <c r="F101" i="8"/>
  <c r="R100" i="8"/>
  <c r="F100" i="8"/>
  <c r="X99" i="8"/>
  <c r="R99" i="8"/>
  <c r="L99" i="8"/>
  <c r="F99" i="8"/>
  <c r="X98" i="8"/>
  <c r="R98" i="8"/>
  <c r="L98" i="8"/>
  <c r="F98" i="8"/>
  <c r="X97" i="8"/>
  <c r="R97" i="8"/>
  <c r="L97" i="8"/>
  <c r="F97" i="8"/>
  <c r="X96" i="8"/>
  <c r="R96" i="8"/>
  <c r="L96" i="8"/>
  <c r="F96" i="8"/>
  <c r="X95" i="8"/>
  <c r="R95" i="8"/>
  <c r="L95" i="8"/>
  <c r="F95" i="8"/>
  <c r="X94" i="8"/>
  <c r="R94" i="8"/>
  <c r="L94" i="8"/>
  <c r="F94" i="8"/>
  <c r="X93" i="8"/>
  <c r="R93" i="8"/>
  <c r="L93" i="8"/>
  <c r="F93" i="8"/>
  <c r="X92" i="8"/>
  <c r="R92" i="8"/>
  <c r="L92" i="8"/>
  <c r="F92" i="8"/>
  <c r="X91" i="8"/>
  <c r="R91" i="8"/>
  <c r="L91" i="8"/>
  <c r="F91" i="8"/>
  <c r="X90" i="8"/>
  <c r="R90" i="8"/>
  <c r="L90" i="8"/>
  <c r="F90" i="8"/>
  <c r="X89" i="8"/>
  <c r="R89" i="8"/>
  <c r="L89" i="8"/>
  <c r="F89" i="8"/>
  <c r="X88" i="8"/>
  <c r="R88" i="8"/>
  <c r="L88" i="8"/>
  <c r="F88" i="8"/>
  <c r="X87" i="8"/>
  <c r="R87" i="8"/>
  <c r="L87" i="8"/>
  <c r="F87" i="8"/>
  <c r="X86" i="8"/>
  <c r="R86" i="8"/>
  <c r="L86" i="8"/>
  <c r="F86" i="8"/>
  <c r="X85" i="8"/>
  <c r="R85" i="8"/>
  <c r="L85" i="8"/>
  <c r="F85" i="8"/>
  <c r="X84" i="8"/>
  <c r="R84" i="8"/>
  <c r="L84" i="8"/>
  <c r="F84" i="8"/>
  <c r="X83" i="8"/>
  <c r="R83" i="8"/>
  <c r="L83" i="8"/>
  <c r="F83" i="8"/>
  <c r="X82" i="8"/>
  <c r="R82" i="8"/>
  <c r="L82" i="8"/>
  <c r="F82" i="8"/>
  <c r="X81" i="8"/>
  <c r="R81" i="8"/>
  <c r="L81" i="8"/>
  <c r="F81" i="8"/>
  <c r="X80" i="8"/>
  <c r="R80" i="8"/>
  <c r="L80" i="8"/>
  <c r="F80" i="8"/>
  <c r="X79" i="8"/>
  <c r="R79" i="8"/>
  <c r="L79" i="8"/>
  <c r="F79" i="8"/>
  <c r="X78" i="8"/>
  <c r="X100" i="8" s="1"/>
  <c r="R78" i="8"/>
  <c r="L78" i="8"/>
  <c r="L100" i="8" s="1"/>
  <c r="F78" i="8"/>
  <c r="R67" i="8"/>
  <c r="F67" i="8"/>
  <c r="R66" i="8"/>
  <c r="F66" i="8"/>
  <c r="X65" i="8"/>
  <c r="R65" i="8"/>
  <c r="L65" i="8"/>
  <c r="F65" i="8"/>
  <c r="X64" i="8"/>
  <c r="R64" i="8"/>
  <c r="L64" i="8"/>
  <c r="F64" i="8"/>
  <c r="X63" i="8"/>
  <c r="R63" i="8"/>
  <c r="L63" i="8"/>
  <c r="F63" i="8"/>
  <c r="X62" i="8"/>
  <c r="R62" i="8"/>
  <c r="L62" i="8"/>
  <c r="F62" i="8"/>
  <c r="X61" i="8"/>
  <c r="R61" i="8"/>
  <c r="L61" i="8"/>
  <c r="F61" i="8"/>
  <c r="X60" i="8"/>
  <c r="R60" i="8"/>
  <c r="L60" i="8"/>
  <c r="F60" i="8"/>
  <c r="X59" i="8"/>
  <c r="R59" i="8"/>
  <c r="L59" i="8"/>
  <c r="F59" i="8"/>
  <c r="X58" i="8"/>
  <c r="R58" i="8"/>
  <c r="L58" i="8"/>
  <c r="F58" i="8"/>
  <c r="X57" i="8"/>
  <c r="R57" i="8"/>
  <c r="L57" i="8"/>
  <c r="F57" i="8"/>
  <c r="X56" i="8"/>
  <c r="R56" i="8"/>
  <c r="L56" i="8"/>
  <c r="F56" i="8"/>
  <c r="X55" i="8"/>
  <c r="R55" i="8"/>
  <c r="L55" i="8"/>
  <c r="F55" i="8"/>
  <c r="X54" i="8"/>
  <c r="R54" i="8"/>
  <c r="L54" i="8"/>
  <c r="F54" i="8"/>
  <c r="X53" i="8"/>
  <c r="R53" i="8"/>
  <c r="L53" i="8"/>
  <c r="F53" i="8"/>
  <c r="X52" i="8"/>
  <c r="R52" i="8"/>
  <c r="L52" i="8"/>
  <c r="F52" i="8"/>
  <c r="X51" i="8"/>
  <c r="R51" i="8"/>
  <c r="L51" i="8"/>
  <c r="F51" i="8"/>
  <c r="X50" i="8"/>
  <c r="R50" i="8"/>
  <c r="L50" i="8"/>
  <c r="F50" i="8"/>
  <c r="X49" i="8"/>
  <c r="R49" i="8"/>
  <c r="L49" i="8"/>
  <c r="F49" i="8"/>
  <c r="X48" i="8"/>
  <c r="R48" i="8"/>
  <c r="L48" i="8"/>
  <c r="F48" i="8"/>
  <c r="X47" i="8"/>
  <c r="R47" i="8"/>
  <c r="L47" i="8"/>
  <c r="F47" i="8"/>
  <c r="X46" i="8"/>
  <c r="R46" i="8"/>
  <c r="L46" i="8"/>
  <c r="F46" i="8"/>
  <c r="X45" i="8"/>
  <c r="X66" i="8" s="1"/>
  <c r="R45" i="8"/>
  <c r="L45" i="8"/>
  <c r="L66" i="8" s="1"/>
  <c r="F45" i="8"/>
  <c r="X44" i="8"/>
  <c r="R44" i="8"/>
  <c r="L44" i="8"/>
  <c r="F44" i="8"/>
  <c r="R33" i="8"/>
  <c r="F33" i="8"/>
  <c r="R32" i="8"/>
  <c r="L32" i="8"/>
  <c r="F32" i="8"/>
  <c r="X31" i="8"/>
  <c r="R31" i="8"/>
  <c r="L31" i="8"/>
  <c r="F31" i="8"/>
  <c r="X30" i="8"/>
  <c r="R30" i="8"/>
  <c r="L30" i="8"/>
  <c r="F30" i="8"/>
  <c r="X29" i="8"/>
  <c r="R29" i="8"/>
  <c r="L29" i="8"/>
  <c r="F29" i="8"/>
  <c r="X28" i="8"/>
  <c r="R28" i="8"/>
  <c r="L28" i="8"/>
  <c r="F28" i="8"/>
  <c r="X27" i="8"/>
  <c r="R27" i="8"/>
  <c r="L27" i="8"/>
  <c r="F27" i="8"/>
  <c r="X26" i="8"/>
  <c r="R26" i="8"/>
  <c r="L26" i="8"/>
  <c r="F26" i="8"/>
  <c r="X25" i="8"/>
  <c r="R25" i="8"/>
  <c r="L25" i="8"/>
  <c r="F25" i="8"/>
  <c r="X24" i="8"/>
  <c r="R24" i="8"/>
  <c r="L24" i="8"/>
  <c r="F24" i="8"/>
  <c r="X23" i="8"/>
  <c r="R23" i="8"/>
  <c r="L23" i="8"/>
  <c r="F23" i="8"/>
  <c r="X22" i="8"/>
  <c r="R22" i="8"/>
  <c r="L22" i="8"/>
  <c r="F22" i="8"/>
  <c r="X21" i="8"/>
  <c r="R21" i="8"/>
  <c r="L21" i="8"/>
  <c r="F21" i="8"/>
  <c r="X20" i="8"/>
  <c r="R20" i="8"/>
  <c r="L20" i="8"/>
  <c r="F20" i="8"/>
  <c r="X19" i="8"/>
  <c r="R19" i="8"/>
  <c r="L19" i="8"/>
  <c r="F19" i="8"/>
  <c r="X18" i="8"/>
  <c r="R18" i="8"/>
  <c r="L18" i="8"/>
  <c r="F18" i="8"/>
  <c r="X17" i="8"/>
  <c r="R17" i="8"/>
  <c r="L17" i="8"/>
  <c r="F17" i="8"/>
  <c r="X16" i="8"/>
  <c r="R16" i="8"/>
  <c r="L16" i="8"/>
  <c r="F16" i="8"/>
  <c r="X15" i="8"/>
  <c r="R15" i="8"/>
  <c r="L15" i="8"/>
  <c r="F15" i="8"/>
  <c r="X14" i="8"/>
  <c r="R14" i="8"/>
  <c r="L14" i="8"/>
  <c r="F14" i="8"/>
  <c r="X13" i="8"/>
  <c r="R13" i="8"/>
  <c r="L13" i="8"/>
  <c r="F13" i="8"/>
  <c r="X12" i="8"/>
  <c r="R12" i="8"/>
  <c r="L12" i="8"/>
  <c r="F12" i="8"/>
  <c r="X11" i="8"/>
  <c r="R11" i="8"/>
  <c r="L11" i="8"/>
  <c r="F11" i="8"/>
  <c r="X10" i="8"/>
  <c r="R10" i="8"/>
  <c r="L10" i="8"/>
  <c r="F10" i="8"/>
  <c r="F169" i="7"/>
  <c r="F168" i="7"/>
  <c r="L167" i="7"/>
  <c r="F167" i="7"/>
  <c r="L166" i="7"/>
  <c r="F166" i="7"/>
  <c r="L165" i="7"/>
  <c r="F165" i="7"/>
  <c r="L164" i="7"/>
  <c r="F164" i="7"/>
  <c r="L163" i="7"/>
  <c r="F163" i="7"/>
  <c r="L162" i="7"/>
  <c r="F162" i="7"/>
  <c r="L161" i="7"/>
  <c r="F161" i="7"/>
  <c r="L160" i="7"/>
  <c r="F160" i="7"/>
  <c r="L159" i="7"/>
  <c r="F159" i="7"/>
  <c r="L158" i="7"/>
  <c r="F158" i="7"/>
  <c r="L157" i="7"/>
  <c r="F157" i="7"/>
  <c r="L156" i="7"/>
  <c r="F156" i="7"/>
  <c r="L155" i="7"/>
  <c r="F155" i="7"/>
  <c r="L154" i="7"/>
  <c r="F154" i="7"/>
  <c r="L153" i="7"/>
  <c r="F153" i="7"/>
  <c r="L152" i="7"/>
  <c r="F152" i="7"/>
  <c r="L151" i="7"/>
  <c r="F151" i="7"/>
  <c r="L150" i="7"/>
  <c r="F150" i="7"/>
  <c r="L149" i="7"/>
  <c r="F149" i="7"/>
  <c r="L148" i="7"/>
  <c r="F148" i="7"/>
  <c r="L147" i="7"/>
  <c r="F147" i="7"/>
  <c r="L146" i="7"/>
  <c r="F146" i="7"/>
  <c r="F170" i="7" s="1"/>
  <c r="L169" i="7" s="1"/>
  <c r="R135" i="7"/>
  <c r="F135" i="7"/>
  <c r="R134" i="7"/>
  <c r="F134" i="7"/>
  <c r="X133" i="7"/>
  <c r="R133" i="7"/>
  <c r="L133" i="7"/>
  <c r="F133" i="7"/>
  <c r="X132" i="7"/>
  <c r="R132" i="7"/>
  <c r="L132" i="7"/>
  <c r="F132" i="7"/>
  <c r="X131" i="7"/>
  <c r="R131" i="7"/>
  <c r="L131" i="7"/>
  <c r="F131" i="7"/>
  <c r="X130" i="7"/>
  <c r="R130" i="7"/>
  <c r="L130" i="7"/>
  <c r="F130" i="7"/>
  <c r="X129" i="7"/>
  <c r="R129" i="7"/>
  <c r="L129" i="7"/>
  <c r="F129" i="7"/>
  <c r="X128" i="7"/>
  <c r="R128" i="7"/>
  <c r="L128" i="7"/>
  <c r="F128" i="7"/>
  <c r="X127" i="7"/>
  <c r="R127" i="7"/>
  <c r="L127" i="7"/>
  <c r="F127" i="7"/>
  <c r="X126" i="7"/>
  <c r="R126" i="7"/>
  <c r="L126" i="7"/>
  <c r="F126" i="7"/>
  <c r="X125" i="7"/>
  <c r="R125" i="7"/>
  <c r="L125" i="7"/>
  <c r="F125" i="7"/>
  <c r="X124" i="7"/>
  <c r="R124" i="7"/>
  <c r="L124" i="7"/>
  <c r="F124" i="7"/>
  <c r="X123" i="7"/>
  <c r="R123" i="7"/>
  <c r="L123" i="7"/>
  <c r="F123" i="7"/>
  <c r="X122" i="7"/>
  <c r="R122" i="7"/>
  <c r="L122" i="7"/>
  <c r="F122" i="7"/>
  <c r="X121" i="7"/>
  <c r="R121" i="7"/>
  <c r="L121" i="7"/>
  <c r="F121" i="7"/>
  <c r="X120" i="7"/>
  <c r="R120" i="7"/>
  <c r="L120" i="7"/>
  <c r="F120" i="7"/>
  <c r="X119" i="7"/>
  <c r="R119" i="7"/>
  <c r="L119" i="7"/>
  <c r="F119" i="7"/>
  <c r="X118" i="7"/>
  <c r="R118" i="7"/>
  <c r="L118" i="7"/>
  <c r="F118" i="7"/>
  <c r="X117" i="7"/>
  <c r="R117" i="7"/>
  <c r="L117" i="7"/>
  <c r="F117" i="7"/>
  <c r="X116" i="7"/>
  <c r="R116" i="7"/>
  <c r="L116" i="7"/>
  <c r="F116" i="7"/>
  <c r="X115" i="7"/>
  <c r="R115" i="7"/>
  <c r="L115" i="7"/>
  <c r="F115" i="7"/>
  <c r="X114" i="7"/>
  <c r="R114" i="7"/>
  <c r="L114" i="7"/>
  <c r="F114" i="7"/>
  <c r="X113" i="7"/>
  <c r="R113" i="7"/>
  <c r="L113" i="7"/>
  <c r="F113" i="7"/>
  <c r="X112" i="7"/>
  <c r="X134" i="7" s="1"/>
  <c r="R112" i="7"/>
  <c r="R136" i="7" s="1"/>
  <c r="X135" i="7" s="1"/>
  <c r="L112" i="7"/>
  <c r="F112" i="7"/>
  <c r="R101" i="7"/>
  <c r="F101" i="7"/>
  <c r="AB3" i="7" s="1"/>
  <c r="R100" i="7"/>
  <c r="F100" i="7"/>
  <c r="X99" i="7"/>
  <c r="R99" i="7"/>
  <c r="L99" i="7"/>
  <c r="F99" i="7"/>
  <c r="X98" i="7"/>
  <c r="R98" i="7"/>
  <c r="L98" i="7"/>
  <c r="F98" i="7"/>
  <c r="X97" i="7"/>
  <c r="R97" i="7"/>
  <c r="L97" i="7"/>
  <c r="F97" i="7"/>
  <c r="X96" i="7"/>
  <c r="R96" i="7"/>
  <c r="L96" i="7"/>
  <c r="F96" i="7"/>
  <c r="X95" i="7"/>
  <c r="R95" i="7"/>
  <c r="L95" i="7"/>
  <c r="F95" i="7"/>
  <c r="X94" i="7"/>
  <c r="R94" i="7"/>
  <c r="L94" i="7"/>
  <c r="F94" i="7"/>
  <c r="X93" i="7"/>
  <c r="R93" i="7"/>
  <c r="L93" i="7"/>
  <c r="F93" i="7"/>
  <c r="X92" i="7"/>
  <c r="R92" i="7"/>
  <c r="L92" i="7"/>
  <c r="F92" i="7"/>
  <c r="X91" i="7"/>
  <c r="R91" i="7"/>
  <c r="L91" i="7"/>
  <c r="F91" i="7"/>
  <c r="X90" i="7"/>
  <c r="R90" i="7"/>
  <c r="L90" i="7"/>
  <c r="F90" i="7"/>
  <c r="X89" i="7"/>
  <c r="R89" i="7"/>
  <c r="L89" i="7"/>
  <c r="F89" i="7"/>
  <c r="X88" i="7"/>
  <c r="R88" i="7"/>
  <c r="L88" i="7"/>
  <c r="F88" i="7"/>
  <c r="X87" i="7"/>
  <c r="R87" i="7"/>
  <c r="L87" i="7"/>
  <c r="F87" i="7"/>
  <c r="X86" i="7"/>
  <c r="R86" i="7"/>
  <c r="L86" i="7"/>
  <c r="F86" i="7"/>
  <c r="X85" i="7"/>
  <c r="R85" i="7"/>
  <c r="L85" i="7"/>
  <c r="F85" i="7"/>
  <c r="X84" i="7"/>
  <c r="R84" i="7"/>
  <c r="L84" i="7"/>
  <c r="F84" i="7"/>
  <c r="X83" i="7"/>
  <c r="R83" i="7"/>
  <c r="L83" i="7"/>
  <c r="F83" i="7"/>
  <c r="X82" i="7"/>
  <c r="R82" i="7"/>
  <c r="L82" i="7"/>
  <c r="F82" i="7"/>
  <c r="X81" i="7"/>
  <c r="R81" i="7"/>
  <c r="L81" i="7"/>
  <c r="F81" i="7"/>
  <c r="X80" i="7"/>
  <c r="R80" i="7"/>
  <c r="L80" i="7"/>
  <c r="F80" i="7"/>
  <c r="X79" i="7"/>
  <c r="R79" i="7"/>
  <c r="L79" i="7"/>
  <c r="F79" i="7"/>
  <c r="X78" i="7"/>
  <c r="X100" i="7" s="1"/>
  <c r="R78" i="7"/>
  <c r="L78" i="7"/>
  <c r="F78" i="7"/>
  <c r="R67" i="7"/>
  <c r="F67" i="7"/>
  <c r="R66" i="7"/>
  <c r="F66" i="7"/>
  <c r="X65" i="7"/>
  <c r="R65" i="7"/>
  <c r="L65" i="7"/>
  <c r="F65" i="7"/>
  <c r="X64" i="7"/>
  <c r="R64" i="7"/>
  <c r="L64" i="7"/>
  <c r="F64" i="7"/>
  <c r="X63" i="7"/>
  <c r="R63" i="7"/>
  <c r="L63" i="7"/>
  <c r="F63" i="7"/>
  <c r="X62" i="7"/>
  <c r="R62" i="7"/>
  <c r="L62" i="7"/>
  <c r="F62" i="7"/>
  <c r="X61" i="7"/>
  <c r="R61" i="7"/>
  <c r="L61" i="7"/>
  <c r="F61" i="7"/>
  <c r="X60" i="7"/>
  <c r="R60" i="7"/>
  <c r="L60" i="7"/>
  <c r="F60" i="7"/>
  <c r="X59" i="7"/>
  <c r="R59" i="7"/>
  <c r="L59" i="7"/>
  <c r="F59" i="7"/>
  <c r="X58" i="7"/>
  <c r="R58" i="7"/>
  <c r="L58" i="7"/>
  <c r="F58" i="7"/>
  <c r="X57" i="7"/>
  <c r="R57" i="7"/>
  <c r="L57" i="7"/>
  <c r="F57" i="7"/>
  <c r="X56" i="7"/>
  <c r="R56" i="7"/>
  <c r="L56" i="7"/>
  <c r="F56" i="7"/>
  <c r="X55" i="7"/>
  <c r="R55" i="7"/>
  <c r="L55" i="7"/>
  <c r="F55" i="7"/>
  <c r="X54" i="7"/>
  <c r="R54" i="7"/>
  <c r="L54" i="7"/>
  <c r="F54" i="7"/>
  <c r="X53" i="7"/>
  <c r="R53" i="7"/>
  <c r="L53" i="7"/>
  <c r="F53" i="7"/>
  <c r="X52" i="7"/>
  <c r="R52" i="7"/>
  <c r="L52" i="7"/>
  <c r="F52" i="7"/>
  <c r="X51" i="7"/>
  <c r="R51" i="7"/>
  <c r="L51" i="7"/>
  <c r="F51" i="7"/>
  <c r="X50" i="7"/>
  <c r="R50" i="7"/>
  <c r="L50" i="7"/>
  <c r="F50" i="7"/>
  <c r="X49" i="7"/>
  <c r="R49" i="7"/>
  <c r="L49" i="7"/>
  <c r="F49" i="7"/>
  <c r="X48" i="7"/>
  <c r="R48" i="7"/>
  <c r="L48" i="7"/>
  <c r="F48" i="7"/>
  <c r="X47" i="7"/>
  <c r="R47" i="7"/>
  <c r="L47" i="7"/>
  <c r="F47" i="7"/>
  <c r="X46" i="7"/>
  <c r="X66" i="7" s="1"/>
  <c r="R46" i="7"/>
  <c r="L46" i="7"/>
  <c r="F46" i="7"/>
  <c r="X45" i="7"/>
  <c r="R45" i="7"/>
  <c r="L45" i="7"/>
  <c r="F45" i="7"/>
  <c r="X44" i="7"/>
  <c r="R44" i="7"/>
  <c r="L44" i="7"/>
  <c r="F44" i="7"/>
  <c r="F68" i="7" s="1"/>
  <c r="L67" i="7" s="1"/>
  <c r="R33" i="7"/>
  <c r="F33" i="7"/>
  <c r="R32" i="7"/>
  <c r="L32" i="7"/>
  <c r="F32" i="7"/>
  <c r="X31" i="7"/>
  <c r="R31" i="7"/>
  <c r="L31" i="7"/>
  <c r="F31" i="7"/>
  <c r="X30" i="7"/>
  <c r="R30" i="7"/>
  <c r="L30" i="7"/>
  <c r="F30" i="7"/>
  <c r="X29" i="7"/>
  <c r="R29" i="7"/>
  <c r="L29" i="7"/>
  <c r="F29" i="7"/>
  <c r="X28" i="7"/>
  <c r="R28" i="7"/>
  <c r="L28" i="7"/>
  <c r="F28" i="7"/>
  <c r="X27" i="7"/>
  <c r="R27" i="7"/>
  <c r="L27" i="7"/>
  <c r="F27" i="7"/>
  <c r="X26" i="7"/>
  <c r="R26" i="7"/>
  <c r="L26" i="7"/>
  <c r="F26" i="7"/>
  <c r="X25" i="7"/>
  <c r="R25" i="7"/>
  <c r="L25" i="7"/>
  <c r="F25" i="7"/>
  <c r="X24" i="7"/>
  <c r="R24" i="7"/>
  <c r="L24" i="7"/>
  <c r="F24" i="7"/>
  <c r="X23" i="7"/>
  <c r="R23" i="7"/>
  <c r="L23" i="7"/>
  <c r="F23" i="7"/>
  <c r="X22" i="7"/>
  <c r="R22" i="7"/>
  <c r="L22" i="7"/>
  <c r="F22" i="7"/>
  <c r="X21" i="7"/>
  <c r="R21" i="7"/>
  <c r="L21" i="7"/>
  <c r="F21" i="7"/>
  <c r="X20" i="7"/>
  <c r="R20" i="7"/>
  <c r="L20" i="7"/>
  <c r="F20" i="7"/>
  <c r="X19" i="7"/>
  <c r="R19" i="7"/>
  <c r="L19" i="7"/>
  <c r="F19" i="7"/>
  <c r="X18" i="7"/>
  <c r="R18" i="7"/>
  <c r="L18" i="7"/>
  <c r="F18" i="7"/>
  <c r="X17" i="7"/>
  <c r="R17" i="7"/>
  <c r="L17" i="7"/>
  <c r="F17" i="7"/>
  <c r="X16" i="7"/>
  <c r="R16" i="7"/>
  <c r="L16" i="7"/>
  <c r="F16" i="7"/>
  <c r="X15" i="7"/>
  <c r="R15" i="7"/>
  <c r="L15" i="7"/>
  <c r="F15" i="7"/>
  <c r="X14" i="7"/>
  <c r="R14" i="7"/>
  <c r="L14" i="7"/>
  <c r="F14" i="7"/>
  <c r="X13" i="7"/>
  <c r="R13" i="7"/>
  <c r="L13" i="7"/>
  <c r="F13" i="7"/>
  <c r="X12" i="7"/>
  <c r="R12" i="7"/>
  <c r="L12" i="7"/>
  <c r="F12" i="7"/>
  <c r="X11" i="7"/>
  <c r="R11" i="7"/>
  <c r="L11" i="7"/>
  <c r="F11" i="7"/>
  <c r="X10" i="7"/>
  <c r="X32" i="7" s="1"/>
  <c r="R10" i="7"/>
  <c r="L10" i="7"/>
  <c r="F10" i="7"/>
  <c r="R67" i="6"/>
  <c r="F67" i="6"/>
  <c r="R66" i="6"/>
  <c r="F66" i="6"/>
  <c r="X65" i="6"/>
  <c r="R65" i="6"/>
  <c r="L65" i="6"/>
  <c r="F65" i="6"/>
  <c r="X64" i="6"/>
  <c r="R64" i="6"/>
  <c r="L64" i="6"/>
  <c r="F64" i="6"/>
  <c r="X63" i="6"/>
  <c r="R63" i="6"/>
  <c r="L63" i="6"/>
  <c r="F63" i="6"/>
  <c r="X62" i="6"/>
  <c r="R62" i="6"/>
  <c r="L62" i="6"/>
  <c r="F62" i="6"/>
  <c r="X61" i="6"/>
  <c r="R61" i="6"/>
  <c r="L61" i="6"/>
  <c r="F61" i="6"/>
  <c r="X60" i="6"/>
  <c r="R60" i="6"/>
  <c r="L60" i="6"/>
  <c r="F60" i="6"/>
  <c r="X59" i="6"/>
  <c r="R59" i="6"/>
  <c r="L59" i="6"/>
  <c r="F59" i="6"/>
  <c r="X58" i="6"/>
  <c r="R58" i="6"/>
  <c r="L58" i="6"/>
  <c r="F58" i="6"/>
  <c r="X57" i="6"/>
  <c r="R57" i="6"/>
  <c r="L57" i="6"/>
  <c r="F57" i="6"/>
  <c r="X56" i="6"/>
  <c r="R56" i="6"/>
  <c r="L56" i="6"/>
  <c r="F56" i="6"/>
  <c r="X55" i="6"/>
  <c r="R55" i="6"/>
  <c r="L55" i="6"/>
  <c r="F55" i="6"/>
  <c r="X54" i="6"/>
  <c r="R54" i="6"/>
  <c r="L54" i="6"/>
  <c r="F54" i="6"/>
  <c r="X53" i="6"/>
  <c r="R53" i="6"/>
  <c r="L53" i="6"/>
  <c r="F53" i="6"/>
  <c r="X52" i="6"/>
  <c r="R52" i="6"/>
  <c r="L52" i="6"/>
  <c r="F52" i="6"/>
  <c r="X51" i="6"/>
  <c r="R51" i="6"/>
  <c r="L51" i="6"/>
  <c r="F51" i="6"/>
  <c r="X50" i="6"/>
  <c r="R50" i="6"/>
  <c r="L50" i="6"/>
  <c r="F50" i="6"/>
  <c r="X49" i="6"/>
  <c r="R49" i="6"/>
  <c r="L49" i="6"/>
  <c r="F49" i="6"/>
  <c r="X48" i="6"/>
  <c r="R48" i="6"/>
  <c r="L48" i="6"/>
  <c r="F48" i="6"/>
  <c r="X47" i="6"/>
  <c r="R47" i="6"/>
  <c r="L47" i="6"/>
  <c r="F47" i="6"/>
  <c r="X46" i="6"/>
  <c r="R46" i="6"/>
  <c r="L46" i="6"/>
  <c r="F46" i="6"/>
  <c r="X45" i="6"/>
  <c r="R45" i="6"/>
  <c r="L45" i="6"/>
  <c r="F45" i="6"/>
  <c r="X44" i="6"/>
  <c r="X66" i="6" s="1"/>
  <c r="R44" i="6"/>
  <c r="R68" i="6" s="1"/>
  <c r="X67" i="6" s="1"/>
  <c r="X68" i="6" s="1"/>
  <c r="L44" i="6"/>
  <c r="F44" i="6"/>
  <c r="R33" i="6"/>
  <c r="AB3" i="6" s="1"/>
  <c r="F33" i="6"/>
  <c r="R32" i="6"/>
  <c r="L32" i="6"/>
  <c r="F32" i="6"/>
  <c r="X31" i="6"/>
  <c r="R31" i="6"/>
  <c r="L31" i="6"/>
  <c r="F31" i="6"/>
  <c r="X30" i="6"/>
  <c r="R30" i="6"/>
  <c r="L30" i="6"/>
  <c r="F30" i="6"/>
  <c r="X29" i="6"/>
  <c r="R29" i="6"/>
  <c r="L29" i="6"/>
  <c r="F29" i="6"/>
  <c r="X28" i="6"/>
  <c r="R28" i="6"/>
  <c r="L28" i="6"/>
  <c r="F28" i="6"/>
  <c r="X27" i="6"/>
  <c r="R27" i="6"/>
  <c r="L27" i="6"/>
  <c r="F27" i="6"/>
  <c r="X26" i="6"/>
  <c r="R26" i="6"/>
  <c r="L26" i="6"/>
  <c r="F26" i="6"/>
  <c r="X25" i="6"/>
  <c r="R25" i="6"/>
  <c r="L25" i="6"/>
  <c r="F25" i="6"/>
  <c r="X24" i="6"/>
  <c r="R24" i="6"/>
  <c r="L24" i="6"/>
  <c r="F24" i="6"/>
  <c r="X23" i="6"/>
  <c r="R23" i="6"/>
  <c r="L23" i="6"/>
  <c r="F23" i="6"/>
  <c r="X22" i="6"/>
  <c r="R22" i="6"/>
  <c r="L22" i="6"/>
  <c r="F22" i="6"/>
  <c r="X21" i="6"/>
  <c r="R21" i="6"/>
  <c r="L21" i="6"/>
  <c r="F21" i="6"/>
  <c r="X20" i="6"/>
  <c r="R20" i="6"/>
  <c r="L20" i="6"/>
  <c r="F20" i="6"/>
  <c r="X19" i="6"/>
  <c r="R19" i="6"/>
  <c r="L19" i="6"/>
  <c r="F19" i="6"/>
  <c r="X18" i="6"/>
  <c r="R18" i="6"/>
  <c r="L18" i="6"/>
  <c r="F18" i="6"/>
  <c r="X17" i="6"/>
  <c r="R17" i="6"/>
  <c r="L17" i="6"/>
  <c r="F17" i="6"/>
  <c r="X16" i="6"/>
  <c r="X32" i="6" s="1"/>
  <c r="R16" i="6"/>
  <c r="L16" i="6"/>
  <c r="F16" i="6"/>
  <c r="X15" i="6"/>
  <c r="R15" i="6"/>
  <c r="L15" i="6"/>
  <c r="F15" i="6"/>
  <c r="X14" i="6"/>
  <c r="R14" i="6"/>
  <c r="L14" i="6"/>
  <c r="F14" i="6"/>
  <c r="X13" i="6"/>
  <c r="R13" i="6"/>
  <c r="L13" i="6"/>
  <c r="F13" i="6"/>
  <c r="X12" i="6"/>
  <c r="R12" i="6"/>
  <c r="L12" i="6"/>
  <c r="F12" i="6"/>
  <c r="X11" i="6"/>
  <c r="R11" i="6"/>
  <c r="L11" i="6"/>
  <c r="F11" i="6"/>
  <c r="X10" i="6"/>
  <c r="R10" i="6"/>
  <c r="R34" i="6" s="1"/>
  <c r="X33" i="6" s="1"/>
  <c r="L10" i="6"/>
  <c r="F10" i="6"/>
  <c r="AF3" i="3"/>
  <c r="AB3" i="3"/>
  <c r="Z3" i="3"/>
  <c r="R169" i="3"/>
  <c r="R168" i="3"/>
  <c r="X167" i="3"/>
  <c r="R167" i="3"/>
  <c r="X166" i="3"/>
  <c r="R166" i="3"/>
  <c r="X165" i="3"/>
  <c r="R165" i="3"/>
  <c r="X164" i="3"/>
  <c r="R164" i="3"/>
  <c r="X163" i="3"/>
  <c r="R163" i="3"/>
  <c r="X162" i="3"/>
  <c r="R162" i="3"/>
  <c r="X161" i="3"/>
  <c r="R161" i="3"/>
  <c r="X160" i="3"/>
  <c r="R160" i="3"/>
  <c r="X159" i="3"/>
  <c r="R159" i="3"/>
  <c r="X158" i="3"/>
  <c r="R158" i="3"/>
  <c r="X157" i="3"/>
  <c r="R157" i="3"/>
  <c r="X156" i="3"/>
  <c r="R156" i="3"/>
  <c r="X155" i="3"/>
  <c r="R155" i="3"/>
  <c r="X154" i="3"/>
  <c r="R154" i="3"/>
  <c r="X153" i="3"/>
  <c r="R153" i="3"/>
  <c r="X152" i="3"/>
  <c r="R152" i="3"/>
  <c r="X151" i="3"/>
  <c r="R151" i="3"/>
  <c r="X150" i="3"/>
  <c r="R150" i="3"/>
  <c r="X149" i="3"/>
  <c r="R149" i="3"/>
  <c r="X148" i="3"/>
  <c r="R148" i="3"/>
  <c r="X147" i="3"/>
  <c r="R147" i="3"/>
  <c r="X146" i="3"/>
  <c r="X168" i="3" s="1"/>
  <c r="R146" i="3"/>
  <c r="F169" i="3"/>
  <c r="F168" i="3"/>
  <c r="L167" i="3"/>
  <c r="F167" i="3"/>
  <c r="L166" i="3"/>
  <c r="F166" i="3"/>
  <c r="L165" i="3"/>
  <c r="F165" i="3"/>
  <c r="L164" i="3"/>
  <c r="F164" i="3"/>
  <c r="L163" i="3"/>
  <c r="F163" i="3"/>
  <c r="L162" i="3"/>
  <c r="F162" i="3"/>
  <c r="L161" i="3"/>
  <c r="F161" i="3"/>
  <c r="L160" i="3"/>
  <c r="F160" i="3"/>
  <c r="L159" i="3"/>
  <c r="F159" i="3"/>
  <c r="L158" i="3"/>
  <c r="F158" i="3"/>
  <c r="L157" i="3"/>
  <c r="F157" i="3"/>
  <c r="L156" i="3"/>
  <c r="F156" i="3"/>
  <c r="L155" i="3"/>
  <c r="F155" i="3"/>
  <c r="L154" i="3"/>
  <c r="F154" i="3"/>
  <c r="L153" i="3"/>
  <c r="F153" i="3"/>
  <c r="L152" i="3"/>
  <c r="F152" i="3"/>
  <c r="L151" i="3"/>
  <c r="F151" i="3"/>
  <c r="L150" i="3"/>
  <c r="F150" i="3"/>
  <c r="L149" i="3"/>
  <c r="F149" i="3"/>
  <c r="L148" i="3"/>
  <c r="F148" i="3"/>
  <c r="L147" i="3"/>
  <c r="F147" i="3"/>
  <c r="L146" i="3"/>
  <c r="F146" i="3"/>
  <c r="R135" i="3"/>
  <c r="F135" i="3"/>
  <c r="R134" i="3"/>
  <c r="F134" i="3"/>
  <c r="X133" i="3"/>
  <c r="R133" i="3"/>
  <c r="L133" i="3"/>
  <c r="F133" i="3"/>
  <c r="X132" i="3"/>
  <c r="R132" i="3"/>
  <c r="L132" i="3"/>
  <c r="F132" i="3"/>
  <c r="X131" i="3"/>
  <c r="R131" i="3"/>
  <c r="L131" i="3"/>
  <c r="F131" i="3"/>
  <c r="X130" i="3"/>
  <c r="R130" i="3"/>
  <c r="L130" i="3"/>
  <c r="F130" i="3"/>
  <c r="X129" i="3"/>
  <c r="R129" i="3"/>
  <c r="L129" i="3"/>
  <c r="F129" i="3"/>
  <c r="X128" i="3"/>
  <c r="R128" i="3"/>
  <c r="L128" i="3"/>
  <c r="F128" i="3"/>
  <c r="X127" i="3"/>
  <c r="R127" i="3"/>
  <c r="L127" i="3"/>
  <c r="F127" i="3"/>
  <c r="X126" i="3"/>
  <c r="R126" i="3"/>
  <c r="L126" i="3"/>
  <c r="F126" i="3"/>
  <c r="X125" i="3"/>
  <c r="R125" i="3"/>
  <c r="L125" i="3"/>
  <c r="F125" i="3"/>
  <c r="X124" i="3"/>
  <c r="R124" i="3"/>
  <c r="L124" i="3"/>
  <c r="F124" i="3"/>
  <c r="X123" i="3"/>
  <c r="R123" i="3"/>
  <c r="L123" i="3"/>
  <c r="F123" i="3"/>
  <c r="X122" i="3"/>
  <c r="R122" i="3"/>
  <c r="L122" i="3"/>
  <c r="F122" i="3"/>
  <c r="X121" i="3"/>
  <c r="R121" i="3"/>
  <c r="L121" i="3"/>
  <c r="F121" i="3"/>
  <c r="X120" i="3"/>
  <c r="R120" i="3"/>
  <c r="L120" i="3"/>
  <c r="F120" i="3"/>
  <c r="X119" i="3"/>
  <c r="R119" i="3"/>
  <c r="L119" i="3"/>
  <c r="F119" i="3"/>
  <c r="X118" i="3"/>
  <c r="R118" i="3"/>
  <c r="L118" i="3"/>
  <c r="F118" i="3"/>
  <c r="X117" i="3"/>
  <c r="R117" i="3"/>
  <c r="L117" i="3"/>
  <c r="F117" i="3"/>
  <c r="X116" i="3"/>
  <c r="R116" i="3"/>
  <c r="L116" i="3"/>
  <c r="F116" i="3"/>
  <c r="X115" i="3"/>
  <c r="R115" i="3"/>
  <c r="L115" i="3"/>
  <c r="F115" i="3"/>
  <c r="X114" i="3"/>
  <c r="R114" i="3"/>
  <c r="L114" i="3"/>
  <c r="F114" i="3"/>
  <c r="X113" i="3"/>
  <c r="R113" i="3"/>
  <c r="L113" i="3"/>
  <c r="F113" i="3"/>
  <c r="X112" i="3"/>
  <c r="X134" i="3" s="1"/>
  <c r="R112" i="3"/>
  <c r="L112" i="3"/>
  <c r="F112" i="3"/>
  <c r="R101" i="3"/>
  <c r="F101" i="3"/>
  <c r="R100" i="3"/>
  <c r="F100" i="3"/>
  <c r="X99" i="3"/>
  <c r="R99" i="3"/>
  <c r="L99" i="3"/>
  <c r="F99" i="3"/>
  <c r="X98" i="3"/>
  <c r="R98" i="3"/>
  <c r="L98" i="3"/>
  <c r="F98" i="3"/>
  <c r="X97" i="3"/>
  <c r="R97" i="3"/>
  <c r="L97" i="3"/>
  <c r="F97" i="3"/>
  <c r="X96" i="3"/>
  <c r="R96" i="3"/>
  <c r="L96" i="3"/>
  <c r="F96" i="3"/>
  <c r="X95" i="3"/>
  <c r="R95" i="3"/>
  <c r="L95" i="3"/>
  <c r="F95" i="3"/>
  <c r="X94" i="3"/>
  <c r="R94" i="3"/>
  <c r="L94" i="3"/>
  <c r="F94" i="3"/>
  <c r="X93" i="3"/>
  <c r="R93" i="3"/>
  <c r="L93" i="3"/>
  <c r="F93" i="3"/>
  <c r="X92" i="3"/>
  <c r="R92" i="3"/>
  <c r="L92" i="3"/>
  <c r="F92" i="3"/>
  <c r="X91" i="3"/>
  <c r="R91" i="3"/>
  <c r="L91" i="3"/>
  <c r="F91" i="3"/>
  <c r="X90" i="3"/>
  <c r="R90" i="3"/>
  <c r="L90" i="3"/>
  <c r="F90" i="3"/>
  <c r="X89" i="3"/>
  <c r="R89" i="3"/>
  <c r="L89" i="3"/>
  <c r="F89" i="3"/>
  <c r="X88" i="3"/>
  <c r="R88" i="3"/>
  <c r="L88" i="3"/>
  <c r="F88" i="3"/>
  <c r="X87" i="3"/>
  <c r="R87" i="3"/>
  <c r="L87" i="3"/>
  <c r="F87" i="3"/>
  <c r="X86" i="3"/>
  <c r="R86" i="3"/>
  <c r="L86" i="3"/>
  <c r="F86" i="3"/>
  <c r="X85" i="3"/>
  <c r="R85" i="3"/>
  <c r="L85" i="3"/>
  <c r="F85" i="3"/>
  <c r="X84" i="3"/>
  <c r="R84" i="3"/>
  <c r="L84" i="3"/>
  <c r="F84" i="3"/>
  <c r="X83" i="3"/>
  <c r="R83" i="3"/>
  <c r="L83" i="3"/>
  <c r="F83" i="3"/>
  <c r="X82" i="3"/>
  <c r="R82" i="3"/>
  <c r="L82" i="3"/>
  <c r="F82" i="3"/>
  <c r="X81" i="3"/>
  <c r="R81" i="3"/>
  <c r="L81" i="3"/>
  <c r="F81" i="3"/>
  <c r="X80" i="3"/>
  <c r="R80" i="3"/>
  <c r="L80" i="3"/>
  <c r="F80" i="3"/>
  <c r="X79" i="3"/>
  <c r="R79" i="3"/>
  <c r="L79" i="3"/>
  <c r="F79" i="3"/>
  <c r="X78" i="3"/>
  <c r="R78" i="3"/>
  <c r="L78" i="3"/>
  <c r="F78" i="3"/>
  <c r="R67" i="3"/>
  <c r="F67" i="3"/>
  <c r="R66" i="3"/>
  <c r="F66" i="3"/>
  <c r="X65" i="3"/>
  <c r="R65" i="3"/>
  <c r="L65" i="3"/>
  <c r="F65" i="3"/>
  <c r="X64" i="3"/>
  <c r="R64" i="3"/>
  <c r="L64" i="3"/>
  <c r="F64" i="3"/>
  <c r="X63" i="3"/>
  <c r="R63" i="3"/>
  <c r="L63" i="3"/>
  <c r="F63" i="3"/>
  <c r="X62" i="3"/>
  <c r="R62" i="3"/>
  <c r="L62" i="3"/>
  <c r="F62" i="3"/>
  <c r="X61" i="3"/>
  <c r="R61" i="3"/>
  <c r="L61" i="3"/>
  <c r="F61" i="3"/>
  <c r="X60" i="3"/>
  <c r="R60" i="3"/>
  <c r="L60" i="3"/>
  <c r="F60" i="3"/>
  <c r="X59" i="3"/>
  <c r="R59" i="3"/>
  <c r="L59" i="3"/>
  <c r="F59" i="3"/>
  <c r="X58" i="3"/>
  <c r="R58" i="3"/>
  <c r="L58" i="3"/>
  <c r="F58" i="3"/>
  <c r="X57" i="3"/>
  <c r="R57" i="3"/>
  <c r="L57" i="3"/>
  <c r="F57" i="3"/>
  <c r="X56" i="3"/>
  <c r="R56" i="3"/>
  <c r="L56" i="3"/>
  <c r="F56" i="3"/>
  <c r="X55" i="3"/>
  <c r="R55" i="3"/>
  <c r="L55" i="3"/>
  <c r="F55" i="3"/>
  <c r="X54" i="3"/>
  <c r="R54" i="3"/>
  <c r="L54" i="3"/>
  <c r="F54" i="3"/>
  <c r="X53" i="3"/>
  <c r="R53" i="3"/>
  <c r="L53" i="3"/>
  <c r="F53" i="3"/>
  <c r="X52" i="3"/>
  <c r="R52" i="3"/>
  <c r="L52" i="3"/>
  <c r="F52" i="3"/>
  <c r="X51" i="3"/>
  <c r="R51" i="3"/>
  <c r="L51" i="3"/>
  <c r="F51" i="3"/>
  <c r="X50" i="3"/>
  <c r="R50" i="3"/>
  <c r="L50" i="3"/>
  <c r="F50" i="3"/>
  <c r="X49" i="3"/>
  <c r="R49" i="3"/>
  <c r="L49" i="3"/>
  <c r="F49" i="3"/>
  <c r="X48" i="3"/>
  <c r="R48" i="3"/>
  <c r="L48" i="3"/>
  <c r="F48" i="3"/>
  <c r="X47" i="3"/>
  <c r="R47" i="3"/>
  <c r="L47" i="3"/>
  <c r="F47" i="3"/>
  <c r="X46" i="3"/>
  <c r="R46" i="3"/>
  <c r="L46" i="3"/>
  <c r="F46" i="3"/>
  <c r="X45" i="3"/>
  <c r="R45" i="3"/>
  <c r="L45" i="3"/>
  <c r="F45" i="3"/>
  <c r="X44" i="3"/>
  <c r="X66" i="3" s="1"/>
  <c r="R44" i="3"/>
  <c r="R68" i="3" s="1"/>
  <c r="X67" i="3" s="1"/>
  <c r="X68" i="3" s="1"/>
  <c r="L44" i="3"/>
  <c r="F44" i="3"/>
  <c r="R33" i="3"/>
  <c r="F33" i="3"/>
  <c r="R32" i="3"/>
  <c r="L32" i="3"/>
  <c r="F32" i="3"/>
  <c r="X31" i="3"/>
  <c r="R31" i="3"/>
  <c r="L31" i="3"/>
  <c r="F31" i="3"/>
  <c r="X30" i="3"/>
  <c r="R30" i="3"/>
  <c r="L30" i="3"/>
  <c r="F30" i="3"/>
  <c r="X29" i="3"/>
  <c r="R29" i="3"/>
  <c r="L29" i="3"/>
  <c r="F29" i="3"/>
  <c r="X28" i="3"/>
  <c r="R28" i="3"/>
  <c r="L28" i="3"/>
  <c r="F28" i="3"/>
  <c r="X27" i="3"/>
  <c r="R27" i="3"/>
  <c r="L27" i="3"/>
  <c r="F27" i="3"/>
  <c r="X26" i="3"/>
  <c r="R26" i="3"/>
  <c r="L26" i="3"/>
  <c r="F26" i="3"/>
  <c r="X25" i="3"/>
  <c r="R25" i="3"/>
  <c r="L25" i="3"/>
  <c r="F25" i="3"/>
  <c r="X24" i="3"/>
  <c r="R24" i="3"/>
  <c r="L24" i="3"/>
  <c r="F24" i="3"/>
  <c r="X23" i="3"/>
  <c r="R23" i="3"/>
  <c r="L23" i="3"/>
  <c r="F23" i="3"/>
  <c r="X22" i="3"/>
  <c r="R22" i="3"/>
  <c r="L22" i="3"/>
  <c r="F22" i="3"/>
  <c r="X21" i="3"/>
  <c r="R21" i="3"/>
  <c r="L21" i="3"/>
  <c r="F21" i="3"/>
  <c r="X20" i="3"/>
  <c r="R20" i="3"/>
  <c r="L20" i="3"/>
  <c r="F20" i="3"/>
  <c r="X19" i="3"/>
  <c r="R19" i="3"/>
  <c r="L19" i="3"/>
  <c r="F19" i="3"/>
  <c r="X18" i="3"/>
  <c r="R18" i="3"/>
  <c r="L18" i="3"/>
  <c r="F18" i="3"/>
  <c r="X17" i="3"/>
  <c r="R17" i="3"/>
  <c r="L17" i="3"/>
  <c r="F17" i="3"/>
  <c r="X16" i="3"/>
  <c r="R16" i="3"/>
  <c r="L16" i="3"/>
  <c r="F16" i="3"/>
  <c r="X15" i="3"/>
  <c r="R15" i="3"/>
  <c r="L15" i="3"/>
  <c r="F15" i="3"/>
  <c r="X14" i="3"/>
  <c r="R14" i="3"/>
  <c r="L14" i="3"/>
  <c r="F14" i="3"/>
  <c r="X13" i="3"/>
  <c r="R13" i="3"/>
  <c r="L13" i="3"/>
  <c r="F13" i="3"/>
  <c r="X12" i="3"/>
  <c r="X32" i="3" s="1"/>
  <c r="R12" i="3"/>
  <c r="L12" i="3"/>
  <c r="F12" i="3"/>
  <c r="X11" i="3"/>
  <c r="R11" i="3"/>
  <c r="L11" i="3"/>
  <c r="F11" i="3"/>
  <c r="X10" i="3"/>
  <c r="R10" i="3"/>
  <c r="L10" i="3"/>
  <c r="F10" i="3"/>
  <c r="AF3" i="1"/>
  <c r="AB3" i="1"/>
  <c r="Z3" i="1"/>
  <c r="R170" i="8" l="1"/>
  <c r="X169" i="8" s="1"/>
  <c r="X170" i="8" s="1"/>
  <c r="F170" i="8"/>
  <c r="L169" i="8" s="1"/>
  <c r="R136" i="8"/>
  <c r="X135" i="8" s="1"/>
  <c r="X136" i="8" s="1"/>
  <c r="R102" i="8"/>
  <c r="X101" i="8" s="1"/>
  <c r="X102" i="8" s="1"/>
  <c r="F102" i="8"/>
  <c r="L101" i="8" s="1"/>
  <c r="L102" i="8" s="1"/>
  <c r="AB3" i="8"/>
  <c r="R68" i="8"/>
  <c r="X67" i="8" s="1"/>
  <c r="X68" i="8" s="1"/>
  <c r="F68" i="8"/>
  <c r="L67" i="8" s="1"/>
  <c r="X32" i="8"/>
  <c r="R34" i="8"/>
  <c r="X33" i="8" s="1"/>
  <c r="F34" i="8"/>
  <c r="L168" i="7"/>
  <c r="L170" i="7" s="1"/>
  <c r="L134" i="7"/>
  <c r="F136" i="7"/>
  <c r="L135" i="7" s="1"/>
  <c r="R102" i="7"/>
  <c r="X101" i="7" s="1"/>
  <c r="X102" i="7" s="1"/>
  <c r="F102" i="7"/>
  <c r="L101" i="7" s="1"/>
  <c r="L102" i="7" s="1"/>
  <c r="L100" i="7"/>
  <c r="R68" i="7"/>
  <c r="X67" i="7" s="1"/>
  <c r="X68" i="7" s="1"/>
  <c r="L66" i="7"/>
  <c r="L68" i="7" s="1"/>
  <c r="R34" i="7"/>
  <c r="X33" i="7" s="1"/>
  <c r="X34" i="7" s="1"/>
  <c r="F34" i="7"/>
  <c r="L33" i="7" s="1"/>
  <c r="L34" i="7" s="1"/>
  <c r="L66" i="6"/>
  <c r="F68" i="6"/>
  <c r="L67" i="6" s="1"/>
  <c r="L68" i="6" s="1"/>
  <c r="F34" i="6"/>
  <c r="L68" i="8"/>
  <c r="L170" i="8"/>
  <c r="L136" i="8"/>
  <c r="X136" i="7"/>
  <c r="L33" i="6"/>
  <c r="L34" i="6" s="1"/>
  <c r="X34" i="6"/>
  <c r="R170" i="3"/>
  <c r="X169" i="3" s="1"/>
  <c r="X170" i="3" s="1"/>
  <c r="X100" i="3"/>
  <c r="R102" i="3"/>
  <c r="X101" i="3" s="1"/>
  <c r="X102" i="3" s="1"/>
  <c r="L66" i="3"/>
  <c r="F68" i="3"/>
  <c r="L67" i="3" s="1"/>
  <c r="R34" i="3"/>
  <c r="X33" i="3" s="1"/>
  <c r="X34" i="3" s="1"/>
  <c r="L168" i="3"/>
  <c r="F170" i="3"/>
  <c r="L169" i="3" s="1"/>
  <c r="R136" i="3"/>
  <c r="X135" i="3" s="1"/>
  <c r="X136" i="3" s="1"/>
  <c r="L134" i="3"/>
  <c r="F136" i="3"/>
  <c r="L135" i="3" s="1"/>
  <c r="F102" i="3"/>
  <c r="L101" i="3" s="1"/>
  <c r="L100" i="3"/>
  <c r="F34" i="3"/>
  <c r="L33" i="3" s="1"/>
  <c r="L34" i="3" s="1"/>
  <c r="X34" i="8" l="1"/>
  <c r="AF3" i="8" s="1"/>
  <c r="Z3" i="8"/>
  <c r="L33" i="8"/>
  <c r="L34" i="8" s="1"/>
  <c r="L136" i="7"/>
  <c r="AF3" i="7" s="1"/>
  <c r="Z3" i="7"/>
  <c r="Z3" i="6"/>
  <c r="AF3" i="6"/>
  <c r="L68" i="3"/>
  <c r="L170" i="3"/>
  <c r="L136" i="3"/>
  <c r="L102" i="3"/>
  <c r="AF3" i="2" l="1"/>
  <c r="AB3" i="2"/>
  <c r="Z3" i="2"/>
  <c r="F169" i="2"/>
  <c r="F168" i="2"/>
  <c r="L167" i="2"/>
  <c r="F167" i="2"/>
  <c r="L166" i="2"/>
  <c r="F166" i="2"/>
  <c r="L165" i="2"/>
  <c r="F165" i="2"/>
  <c r="L164" i="2"/>
  <c r="F164" i="2"/>
  <c r="L163" i="2"/>
  <c r="F163" i="2"/>
  <c r="L162" i="2"/>
  <c r="F162" i="2"/>
  <c r="L161" i="2"/>
  <c r="F161" i="2"/>
  <c r="L160" i="2"/>
  <c r="F160" i="2"/>
  <c r="L159" i="2"/>
  <c r="F159" i="2"/>
  <c r="L158" i="2"/>
  <c r="F158" i="2"/>
  <c r="L157" i="2"/>
  <c r="F157" i="2"/>
  <c r="L156" i="2"/>
  <c r="F156" i="2"/>
  <c r="L155" i="2"/>
  <c r="F155" i="2"/>
  <c r="L154" i="2"/>
  <c r="F154" i="2"/>
  <c r="L153" i="2"/>
  <c r="F153" i="2"/>
  <c r="L152" i="2"/>
  <c r="F152" i="2"/>
  <c r="L151" i="2"/>
  <c r="F151" i="2"/>
  <c r="L150" i="2"/>
  <c r="F150" i="2"/>
  <c r="L149" i="2"/>
  <c r="F149" i="2"/>
  <c r="L148" i="2"/>
  <c r="F148" i="2"/>
  <c r="L147" i="2"/>
  <c r="F147" i="2"/>
  <c r="L146" i="2"/>
  <c r="F146" i="2"/>
  <c r="R135" i="2"/>
  <c r="F135" i="2"/>
  <c r="R134" i="2"/>
  <c r="F134" i="2"/>
  <c r="X133" i="2"/>
  <c r="R133" i="2"/>
  <c r="L133" i="2"/>
  <c r="F133" i="2"/>
  <c r="X132" i="2"/>
  <c r="R132" i="2"/>
  <c r="L132" i="2"/>
  <c r="F132" i="2"/>
  <c r="X131" i="2"/>
  <c r="R131" i="2"/>
  <c r="L131" i="2"/>
  <c r="F131" i="2"/>
  <c r="X130" i="2"/>
  <c r="R130" i="2"/>
  <c r="L130" i="2"/>
  <c r="F130" i="2"/>
  <c r="X129" i="2"/>
  <c r="R129" i="2"/>
  <c r="L129" i="2"/>
  <c r="F129" i="2"/>
  <c r="X128" i="2"/>
  <c r="R128" i="2"/>
  <c r="L128" i="2"/>
  <c r="F128" i="2"/>
  <c r="X127" i="2"/>
  <c r="R127" i="2"/>
  <c r="L127" i="2"/>
  <c r="F127" i="2"/>
  <c r="X126" i="2"/>
  <c r="R126" i="2"/>
  <c r="L126" i="2"/>
  <c r="F126" i="2"/>
  <c r="X125" i="2"/>
  <c r="R125" i="2"/>
  <c r="L125" i="2"/>
  <c r="F125" i="2"/>
  <c r="X124" i="2"/>
  <c r="R124" i="2"/>
  <c r="L124" i="2"/>
  <c r="F124" i="2"/>
  <c r="X123" i="2"/>
  <c r="R123" i="2"/>
  <c r="L123" i="2"/>
  <c r="F123" i="2"/>
  <c r="X122" i="2"/>
  <c r="R122" i="2"/>
  <c r="L122" i="2"/>
  <c r="F122" i="2"/>
  <c r="X121" i="2"/>
  <c r="R121" i="2"/>
  <c r="L121" i="2"/>
  <c r="F121" i="2"/>
  <c r="X120" i="2"/>
  <c r="R120" i="2"/>
  <c r="L120" i="2"/>
  <c r="F120" i="2"/>
  <c r="X119" i="2"/>
  <c r="R119" i="2"/>
  <c r="L119" i="2"/>
  <c r="F119" i="2"/>
  <c r="X118" i="2"/>
  <c r="R118" i="2"/>
  <c r="L118" i="2"/>
  <c r="F118" i="2"/>
  <c r="X117" i="2"/>
  <c r="R117" i="2"/>
  <c r="L117" i="2"/>
  <c r="F117" i="2"/>
  <c r="X116" i="2"/>
  <c r="R116" i="2"/>
  <c r="L116" i="2"/>
  <c r="F116" i="2"/>
  <c r="X115" i="2"/>
  <c r="R115" i="2"/>
  <c r="L115" i="2"/>
  <c r="F115" i="2"/>
  <c r="X114" i="2"/>
  <c r="R114" i="2"/>
  <c r="L114" i="2"/>
  <c r="F114" i="2"/>
  <c r="X113" i="2"/>
  <c r="R113" i="2"/>
  <c r="L113" i="2"/>
  <c r="F113" i="2"/>
  <c r="X112" i="2"/>
  <c r="X134" i="2" s="1"/>
  <c r="R112" i="2"/>
  <c r="L112" i="2"/>
  <c r="F112" i="2"/>
  <c r="R101" i="2"/>
  <c r="F101" i="2"/>
  <c r="R100" i="2"/>
  <c r="F100" i="2"/>
  <c r="X99" i="2"/>
  <c r="R99" i="2"/>
  <c r="L99" i="2"/>
  <c r="F99" i="2"/>
  <c r="X98" i="2"/>
  <c r="R98" i="2"/>
  <c r="L98" i="2"/>
  <c r="F98" i="2"/>
  <c r="X97" i="2"/>
  <c r="R97" i="2"/>
  <c r="L97" i="2"/>
  <c r="F97" i="2"/>
  <c r="X96" i="2"/>
  <c r="R96" i="2"/>
  <c r="L96" i="2"/>
  <c r="F96" i="2"/>
  <c r="X95" i="2"/>
  <c r="R95" i="2"/>
  <c r="L95" i="2"/>
  <c r="F95" i="2"/>
  <c r="X94" i="2"/>
  <c r="R94" i="2"/>
  <c r="L94" i="2"/>
  <c r="F94" i="2"/>
  <c r="X93" i="2"/>
  <c r="R93" i="2"/>
  <c r="L93" i="2"/>
  <c r="F93" i="2"/>
  <c r="X92" i="2"/>
  <c r="R92" i="2"/>
  <c r="L92" i="2"/>
  <c r="F92" i="2"/>
  <c r="X91" i="2"/>
  <c r="R91" i="2"/>
  <c r="L91" i="2"/>
  <c r="F91" i="2"/>
  <c r="X90" i="2"/>
  <c r="R90" i="2"/>
  <c r="L90" i="2"/>
  <c r="F90" i="2"/>
  <c r="X89" i="2"/>
  <c r="R89" i="2"/>
  <c r="L89" i="2"/>
  <c r="F89" i="2"/>
  <c r="X88" i="2"/>
  <c r="R88" i="2"/>
  <c r="L88" i="2"/>
  <c r="F88" i="2"/>
  <c r="X87" i="2"/>
  <c r="R87" i="2"/>
  <c r="L87" i="2"/>
  <c r="F87" i="2"/>
  <c r="X86" i="2"/>
  <c r="R86" i="2"/>
  <c r="L86" i="2"/>
  <c r="F86" i="2"/>
  <c r="X85" i="2"/>
  <c r="R85" i="2"/>
  <c r="L85" i="2"/>
  <c r="F85" i="2"/>
  <c r="X84" i="2"/>
  <c r="R84" i="2"/>
  <c r="L84" i="2"/>
  <c r="F84" i="2"/>
  <c r="X83" i="2"/>
  <c r="R83" i="2"/>
  <c r="L83" i="2"/>
  <c r="F83" i="2"/>
  <c r="X82" i="2"/>
  <c r="R82" i="2"/>
  <c r="L82" i="2"/>
  <c r="F82" i="2"/>
  <c r="X81" i="2"/>
  <c r="R81" i="2"/>
  <c r="L81" i="2"/>
  <c r="F81" i="2"/>
  <c r="X80" i="2"/>
  <c r="R80" i="2"/>
  <c r="L80" i="2"/>
  <c r="F80" i="2"/>
  <c r="X79" i="2"/>
  <c r="R79" i="2"/>
  <c r="L79" i="2"/>
  <c r="F79" i="2"/>
  <c r="X78" i="2"/>
  <c r="R78" i="2"/>
  <c r="R102" i="2" s="1"/>
  <c r="X101" i="2" s="1"/>
  <c r="L78" i="2"/>
  <c r="F78" i="2"/>
  <c r="R67" i="2"/>
  <c r="F67" i="2"/>
  <c r="R66" i="2"/>
  <c r="F66" i="2"/>
  <c r="X65" i="2"/>
  <c r="R65" i="2"/>
  <c r="L65" i="2"/>
  <c r="F65" i="2"/>
  <c r="X64" i="2"/>
  <c r="R64" i="2"/>
  <c r="L64" i="2"/>
  <c r="F64" i="2"/>
  <c r="X63" i="2"/>
  <c r="R63" i="2"/>
  <c r="L63" i="2"/>
  <c r="F63" i="2"/>
  <c r="X62" i="2"/>
  <c r="R62" i="2"/>
  <c r="L62" i="2"/>
  <c r="F62" i="2"/>
  <c r="X61" i="2"/>
  <c r="R61" i="2"/>
  <c r="L61" i="2"/>
  <c r="F61" i="2"/>
  <c r="X60" i="2"/>
  <c r="R60" i="2"/>
  <c r="L60" i="2"/>
  <c r="F60" i="2"/>
  <c r="X59" i="2"/>
  <c r="R59" i="2"/>
  <c r="L59" i="2"/>
  <c r="F59" i="2"/>
  <c r="X58" i="2"/>
  <c r="R58" i="2"/>
  <c r="L58" i="2"/>
  <c r="F58" i="2"/>
  <c r="X57" i="2"/>
  <c r="R57" i="2"/>
  <c r="L57" i="2"/>
  <c r="F57" i="2"/>
  <c r="X56" i="2"/>
  <c r="R56" i="2"/>
  <c r="L56" i="2"/>
  <c r="F56" i="2"/>
  <c r="X55" i="2"/>
  <c r="R55" i="2"/>
  <c r="L55" i="2"/>
  <c r="F55" i="2"/>
  <c r="X54" i="2"/>
  <c r="R54" i="2"/>
  <c r="L54" i="2"/>
  <c r="F54" i="2"/>
  <c r="X53" i="2"/>
  <c r="R53" i="2"/>
  <c r="L53" i="2"/>
  <c r="F53" i="2"/>
  <c r="X52" i="2"/>
  <c r="R52" i="2"/>
  <c r="L52" i="2"/>
  <c r="F52" i="2"/>
  <c r="X51" i="2"/>
  <c r="R51" i="2"/>
  <c r="L51" i="2"/>
  <c r="F51" i="2"/>
  <c r="X50" i="2"/>
  <c r="R50" i="2"/>
  <c r="L50" i="2"/>
  <c r="F50" i="2"/>
  <c r="X49" i="2"/>
  <c r="R49" i="2"/>
  <c r="L49" i="2"/>
  <c r="F49" i="2"/>
  <c r="X48" i="2"/>
  <c r="R48" i="2"/>
  <c r="L48" i="2"/>
  <c r="F48" i="2"/>
  <c r="X47" i="2"/>
  <c r="R47" i="2"/>
  <c r="L47" i="2"/>
  <c r="F47" i="2"/>
  <c r="X46" i="2"/>
  <c r="R46" i="2"/>
  <c r="L46" i="2"/>
  <c r="F46" i="2"/>
  <c r="X45" i="2"/>
  <c r="R45" i="2"/>
  <c r="L45" i="2"/>
  <c r="F45" i="2"/>
  <c r="X44" i="2"/>
  <c r="X66" i="2" s="1"/>
  <c r="R44" i="2"/>
  <c r="L44" i="2"/>
  <c r="F44" i="2"/>
  <c r="R33" i="2"/>
  <c r="F33" i="2"/>
  <c r="R32" i="2"/>
  <c r="L32" i="2"/>
  <c r="F32" i="2"/>
  <c r="X31" i="2"/>
  <c r="R31" i="2"/>
  <c r="L31" i="2"/>
  <c r="F31" i="2"/>
  <c r="X30" i="2"/>
  <c r="R30" i="2"/>
  <c r="L30" i="2"/>
  <c r="F30" i="2"/>
  <c r="X29" i="2"/>
  <c r="R29" i="2"/>
  <c r="L29" i="2"/>
  <c r="F29" i="2"/>
  <c r="X28" i="2"/>
  <c r="R28" i="2"/>
  <c r="L28" i="2"/>
  <c r="F28" i="2"/>
  <c r="X27" i="2"/>
  <c r="R27" i="2"/>
  <c r="L27" i="2"/>
  <c r="F27" i="2"/>
  <c r="X26" i="2"/>
  <c r="R26" i="2"/>
  <c r="L26" i="2"/>
  <c r="F26" i="2"/>
  <c r="X25" i="2"/>
  <c r="R25" i="2"/>
  <c r="L25" i="2"/>
  <c r="F25" i="2"/>
  <c r="X24" i="2"/>
  <c r="R24" i="2"/>
  <c r="L24" i="2"/>
  <c r="F24" i="2"/>
  <c r="X23" i="2"/>
  <c r="R23" i="2"/>
  <c r="L23" i="2"/>
  <c r="F23" i="2"/>
  <c r="X22" i="2"/>
  <c r="R22" i="2"/>
  <c r="L22" i="2"/>
  <c r="F22" i="2"/>
  <c r="X21" i="2"/>
  <c r="R21" i="2"/>
  <c r="L21" i="2"/>
  <c r="F21" i="2"/>
  <c r="X20" i="2"/>
  <c r="R20" i="2"/>
  <c r="L20" i="2"/>
  <c r="F20" i="2"/>
  <c r="X19" i="2"/>
  <c r="R19" i="2"/>
  <c r="L19" i="2"/>
  <c r="F19" i="2"/>
  <c r="X18" i="2"/>
  <c r="R18" i="2"/>
  <c r="L18" i="2"/>
  <c r="F18" i="2"/>
  <c r="X17" i="2"/>
  <c r="R17" i="2"/>
  <c r="L17" i="2"/>
  <c r="F17" i="2"/>
  <c r="X16" i="2"/>
  <c r="R16" i="2"/>
  <c r="L16" i="2"/>
  <c r="F16" i="2"/>
  <c r="X15" i="2"/>
  <c r="R15" i="2"/>
  <c r="L15" i="2"/>
  <c r="F15" i="2"/>
  <c r="X14" i="2"/>
  <c r="R14" i="2"/>
  <c r="L14" i="2"/>
  <c r="F14" i="2"/>
  <c r="X13" i="2"/>
  <c r="R13" i="2"/>
  <c r="L13" i="2"/>
  <c r="F13" i="2"/>
  <c r="X12" i="2"/>
  <c r="R12" i="2"/>
  <c r="L12" i="2"/>
  <c r="F12" i="2"/>
  <c r="X11" i="2"/>
  <c r="R11" i="2"/>
  <c r="L11" i="2"/>
  <c r="F11" i="2"/>
  <c r="X10" i="2"/>
  <c r="R10" i="2"/>
  <c r="L10" i="2"/>
  <c r="F10" i="2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44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10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44" i="1"/>
  <c r="L45" i="1"/>
  <c r="L46" i="1"/>
  <c r="L47" i="1"/>
  <c r="C54" i="1"/>
  <c r="F54" i="1" s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34" i="1" s="1"/>
  <c r="X33" i="1" s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170" i="2" l="1"/>
  <c r="L169" i="2" s="1"/>
  <c r="L168" i="2"/>
  <c r="L134" i="2"/>
  <c r="R136" i="2"/>
  <c r="X135" i="2" s="1"/>
  <c r="X136" i="2" s="1"/>
  <c r="F136" i="2"/>
  <c r="L135" i="2" s="1"/>
  <c r="X100" i="2"/>
  <c r="X102" i="2" s="1"/>
  <c r="L100" i="2"/>
  <c r="F102" i="2"/>
  <c r="L101" i="2" s="1"/>
  <c r="L102" i="2" s="1"/>
  <c r="R68" i="2"/>
  <c r="X67" i="2" s="1"/>
  <c r="X68" i="2" s="1"/>
  <c r="L66" i="2"/>
  <c r="F68" i="2"/>
  <c r="L67" i="2" s="1"/>
  <c r="L68" i="2" s="1"/>
  <c r="X32" i="2"/>
  <c r="R34" i="2"/>
  <c r="X33" i="2" s="1"/>
  <c r="F34" i="2"/>
  <c r="L33" i="2" s="1"/>
  <c r="L34" i="2" s="1"/>
  <c r="X32" i="1"/>
  <c r="X34" i="1" s="1"/>
  <c r="X66" i="1"/>
  <c r="R68" i="1"/>
  <c r="X67" i="1" s="1"/>
  <c r="L66" i="1"/>
  <c r="F68" i="1"/>
  <c r="L67" i="1" s="1"/>
  <c r="L170" i="2" l="1"/>
  <c r="L136" i="2"/>
  <c r="X34" i="2"/>
  <c r="X68" i="1"/>
  <c r="L68" i="1"/>
  <c r="F33" i="1" l="1"/>
  <c r="F19" i="1"/>
  <c r="F11" i="1"/>
  <c r="F12" i="1"/>
  <c r="F13" i="1"/>
  <c r="F14" i="1"/>
  <c r="F15" i="1"/>
  <c r="F16" i="1"/>
  <c r="F17" i="1"/>
  <c r="F18" i="1"/>
  <c r="F10" i="1"/>
  <c r="F34" i="1" l="1"/>
  <c r="L33" i="1" s="1"/>
  <c r="L34" i="1" s="1"/>
</calcChain>
</file>

<file path=xl/sharedStrings.xml><?xml version="1.0" encoding="utf-8"?>
<sst xmlns="http://schemas.openxmlformats.org/spreadsheetml/2006/main" count="2053" uniqueCount="105">
  <si>
    <t xml:space="preserve">SALES INVOICE: </t>
  </si>
  <si>
    <t>CUSTOMER'S NAME:</t>
  </si>
  <si>
    <t>ADDRESS:</t>
  </si>
  <si>
    <t>DATE:</t>
  </si>
  <si>
    <t>CONTENTS DELIVERED</t>
  </si>
  <si>
    <t>SKU</t>
  </si>
  <si>
    <t>QTY.</t>
  </si>
  <si>
    <t>UNIT</t>
  </si>
  <si>
    <t>UNIT PRICE</t>
  </si>
  <si>
    <t>AMOUNT</t>
  </si>
  <si>
    <t>RH1000</t>
  </si>
  <si>
    <t>RH500</t>
  </si>
  <si>
    <t>RH330</t>
  </si>
  <si>
    <t>PP1000</t>
  </si>
  <si>
    <t>PP320</t>
  </si>
  <si>
    <t>SML330</t>
  </si>
  <si>
    <t>FB330</t>
  </si>
  <si>
    <t>MHT</t>
  </si>
  <si>
    <t>CALI</t>
  </si>
  <si>
    <t>TOTAL AMOUNT DUE:</t>
  </si>
  <si>
    <t>EXTRA CONTAINERS</t>
  </si>
  <si>
    <t>RETURNED</t>
  </si>
  <si>
    <t>DELIVERED</t>
  </si>
  <si>
    <t>AMOUNT OF EXTRA CONTAINERS</t>
  </si>
  <si>
    <t>AMOUNT OF CONTENTS DELIVERED</t>
  </si>
  <si>
    <t>TOTAL INVOICE AMOUNT</t>
  </si>
  <si>
    <t>CALI CAN</t>
  </si>
  <si>
    <t>DISCOUNT</t>
  </si>
  <si>
    <t>LESS DISCOUNT</t>
  </si>
  <si>
    <t>GUILLERMO BEVERAGE DISTRIBUTION SERVICES</t>
  </si>
  <si>
    <t>0008637</t>
  </si>
  <si>
    <t>JEZELLE STORE</t>
  </si>
  <si>
    <t>01-21-2026</t>
  </si>
  <si>
    <t>POB, SIAYAN</t>
  </si>
  <si>
    <t>0008638</t>
  </si>
  <si>
    <t>BALAMBAN STORE</t>
  </si>
  <si>
    <t>GUNYAN, SIAYAN</t>
  </si>
  <si>
    <t>0008639</t>
  </si>
  <si>
    <t>BALWARTE</t>
  </si>
  <si>
    <t>DISUD, SINDANGAN</t>
  </si>
  <si>
    <t>RHSL1000</t>
  </si>
  <si>
    <t>SMLC/PPC/</t>
  </si>
  <si>
    <t>RHL/PL</t>
  </si>
  <si>
    <t>ROUTE #</t>
  </si>
  <si>
    <t>DSP</t>
  </si>
  <si>
    <t>DRIVER</t>
  </si>
  <si>
    <t>TRUCKMAN</t>
  </si>
  <si>
    <t>PORMENTO, ESTEMARK</t>
  </si>
  <si>
    <t>SALIG, JULIVEN</t>
  </si>
  <si>
    <t>BAOC, PRECILLANO</t>
  </si>
  <si>
    <t>LOPEZ, GINA GRACE</t>
  </si>
  <si>
    <t>ENCLONAR, JEROME</t>
  </si>
  <si>
    <t>SALIG, JOVANI</t>
  </si>
  <si>
    <t>0008581</t>
  </si>
  <si>
    <t>CRYSTAL STORE</t>
  </si>
  <si>
    <t>MARAS, SINDANGAN</t>
  </si>
  <si>
    <t>0008582</t>
  </si>
  <si>
    <t>MITCHEL STORE</t>
  </si>
  <si>
    <t>01-21-206</t>
  </si>
  <si>
    <t>0008583</t>
  </si>
  <si>
    <t>DON STORE</t>
  </si>
  <si>
    <t>LEIZEL</t>
  </si>
  <si>
    <t>0008584</t>
  </si>
  <si>
    <t>0008585</t>
  </si>
  <si>
    <t>BBS</t>
  </si>
  <si>
    <t>POB, BACUNGAN</t>
  </si>
  <si>
    <t>MHT BOTT</t>
  </si>
  <si>
    <t>0008586</t>
  </si>
  <si>
    <t>AGAN STORE</t>
  </si>
  <si>
    <t>PP BOTT.</t>
  </si>
  <si>
    <t>0008587</t>
  </si>
  <si>
    <t>MAMAC STORE</t>
  </si>
  <si>
    <t>TALINGA, SINDANGAN</t>
  </si>
  <si>
    <t>0008589</t>
  </si>
  <si>
    <t>BAYBAYAN STORE</t>
  </si>
  <si>
    <t>DATU TANGKILAN, SINDANGAN</t>
  </si>
  <si>
    <t>PROMO</t>
  </si>
  <si>
    <t>AMOUNT DUE</t>
  </si>
  <si>
    <t>DANDAYO, RONNEL</t>
  </si>
  <si>
    <t>ARANCES, MARIO</t>
  </si>
  <si>
    <t>GOMORA, JURLAN</t>
  </si>
  <si>
    <t>0008517</t>
  </si>
  <si>
    <t>PABUAYA, VIRGINIA</t>
  </si>
  <si>
    <t>POB, SALUG</t>
  </si>
  <si>
    <t>0008518</t>
  </si>
  <si>
    <t>0008519</t>
  </si>
  <si>
    <t>DOD'S MIRACLE</t>
  </si>
  <si>
    <t>PL</t>
  </si>
  <si>
    <t>HT</t>
  </si>
  <si>
    <t>0008520</t>
  </si>
  <si>
    <t>RAYMOND ABRIOL</t>
  </si>
  <si>
    <t>0008521</t>
  </si>
  <si>
    <t>MIRACLE BEB'S</t>
  </si>
  <si>
    <t>0008522</t>
  </si>
  <si>
    <t>VILMA TAGULOB</t>
  </si>
  <si>
    <t>0008523</t>
  </si>
  <si>
    <t>ELMY COMENDADOR</t>
  </si>
  <si>
    <t>0008524</t>
  </si>
  <si>
    <t>INDAY STORE</t>
  </si>
  <si>
    <t>CANAWAN, SALUG</t>
  </si>
  <si>
    <t>0008525</t>
  </si>
  <si>
    <t>JERIEL LAGARE</t>
  </si>
  <si>
    <t>0008526</t>
  </si>
  <si>
    <t>ROEL DIVINO</t>
  </si>
  <si>
    <t>LIPAKAN, SALUG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</si>
</sst>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43" fontId="0" fillId="0" borderId="0" xfId="1" applyFont="1"/>
    <xf numFmtId="43" fontId="0" fillId="0" borderId="0" xfId="0" applyNumberForma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43" fontId="2" fillId="0" borderId="0" xfId="1" applyFont="1"/>
    <xf numFmtId="0" fontId="0" fillId="3" borderId="0" xfId="0" applyFill="1"/>
    <xf numFmtId="0" fontId="5" fillId="3" borderId="0" xfId="0" applyFont="1" applyFill="1"/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6" fillId="0" borderId="0" xfId="0" applyFont="1"/>
    <xf numFmtId="43" fontId="2" fillId="4" borderId="0" xfId="0" applyNumberFormat="1" applyFont="1" applyFill="1"/>
    <xf numFmtId="43" fontId="2" fillId="5" borderId="0" xfId="0" applyNumberFormat="1" applyFont="1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0" borderId="0" xfId="0" applyFill="1"/>
    <xf numFmtId="43" fontId="0" fillId="0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5B81-D0B9-4EC8-B8BF-DE1FD3C0ED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5EA2-9CD3-4CDD-A9ED-11B501E5E2B1}">
  <dimension ref="B1:AF68"/>
  <sheetViews>
    <sheetView tabSelected="1" workbookViewId="0">
      <selection activeCell="AF4" sqref="AF4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</cols>
  <sheetData>
    <row r="1" spans="2:32" ht="18.75" x14ac:dyDescent="0.3">
      <c r="B1" s="17" t="s">
        <v>29</v>
      </c>
      <c r="C1" s="16"/>
      <c r="D1" s="16"/>
      <c r="E1" s="16"/>
      <c r="F1" s="16"/>
      <c r="G1" s="16"/>
      <c r="H1" s="16"/>
      <c r="I1" s="16"/>
      <c r="J1" s="16"/>
      <c r="K1" s="16"/>
      <c r="L1" s="16"/>
      <c r="N1" s="17" t="s">
        <v>29</v>
      </c>
      <c r="O1" s="16"/>
      <c r="P1" s="16"/>
      <c r="Q1" s="16"/>
      <c r="R1" s="16"/>
      <c r="S1" s="16"/>
      <c r="T1" s="16"/>
      <c r="U1" s="16"/>
      <c r="V1" s="16"/>
      <c r="W1" s="16"/>
      <c r="X1" s="16"/>
      <c r="Z1" s="23" t="s">
        <v>9</v>
      </c>
      <c r="AB1" s="24" t="s">
        <v>27</v>
      </c>
      <c r="AD1" s="25" t="s">
        <v>76</v>
      </c>
      <c r="AF1" s="26" t="s">
        <v>77</v>
      </c>
    </row>
    <row r="3" spans="2:32" x14ac:dyDescent="0.25">
      <c r="B3" s="3" t="s">
        <v>0</v>
      </c>
      <c r="C3" s="3"/>
      <c r="D3" s="18" t="s">
        <v>30</v>
      </c>
      <c r="E3" s="18"/>
      <c r="F3" s="18"/>
      <c r="H3" s="3" t="s">
        <v>43</v>
      </c>
      <c r="I3" s="3"/>
      <c r="J3">
        <v>1</v>
      </c>
      <c r="N3" s="3" t="s">
        <v>0</v>
      </c>
      <c r="O3" s="3"/>
      <c r="P3" s="18" t="s">
        <v>34</v>
      </c>
      <c r="Q3" s="18"/>
      <c r="R3" s="18"/>
      <c r="T3" s="3" t="s">
        <v>43</v>
      </c>
      <c r="U3" s="3"/>
      <c r="V3">
        <v>1</v>
      </c>
      <c r="Z3" s="5">
        <f>F34+R34+F68</f>
        <v>422426</v>
      </c>
      <c r="AB3">
        <f>R33</f>
        <v>-2802</v>
      </c>
      <c r="AF3" s="5">
        <f>L34+X34+L68</f>
        <v>377849</v>
      </c>
    </row>
    <row r="4" spans="2:32" x14ac:dyDescent="0.25">
      <c r="B4" s="3" t="s">
        <v>1</v>
      </c>
      <c r="C4" s="3"/>
      <c r="D4" s="2" t="s">
        <v>31</v>
      </c>
      <c r="E4" s="2"/>
      <c r="F4" s="2"/>
      <c r="H4" s="3" t="s">
        <v>44</v>
      </c>
      <c r="I4" s="3"/>
      <c r="J4" t="s">
        <v>47</v>
      </c>
      <c r="N4" s="3" t="s">
        <v>1</v>
      </c>
      <c r="O4" s="3"/>
      <c r="P4" s="2" t="s">
        <v>35</v>
      </c>
      <c r="Q4" s="2"/>
      <c r="R4" s="2"/>
      <c r="T4" s="3" t="s">
        <v>44</v>
      </c>
      <c r="U4" s="3"/>
      <c r="V4" t="s">
        <v>47</v>
      </c>
    </row>
    <row r="5" spans="2:32" x14ac:dyDescent="0.25">
      <c r="B5" s="3" t="s">
        <v>3</v>
      </c>
      <c r="C5" s="3"/>
      <c r="D5" s="19" t="s">
        <v>32</v>
      </c>
      <c r="E5" s="19"/>
      <c r="F5" s="19"/>
      <c r="H5" s="3" t="s">
        <v>45</v>
      </c>
      <c r="I5" s="3"/>
      <c r="J5" t="s">
        <v>48</v>
      </c>
      <c r="N5" s="3" t="s">
        <v>3</v>
      </c>
      <c r="O5" s="3"/>
      <c r="P5" s="2" t="s">
        <v>32</v>
      </c>
      <c r="Q5" s="2"/>
      <c r="R5" s="2"/>
      <c r="T5" s="3" t="s">
        <v>45</v>
      </c>
      <c r="U5" s="3"/>
      <c r="V5" t="s">
        <v>48</v>
      </c>
    </row>
    <row r="6" spans="2:32" x14ac:dyDescent="0.25">
      <c r="B6" s="3" t="s">
        <v>2</v>
      </c>
      <c r="C6" s="3"/>
      <c r="D6" s="2" t="s">
        <v>33</v>
      </c>
      <c r="E6" s="2"/>
      <c r="F6" s="2"/>
      <c r="H6" s="3" t="s">
        <v>46</v>
      </c>
      <c r="I6" s="3"/>
      <c r="J6" t="s">
        <v>49</v>
      </c>
      <c r="N6" s="3" t="s">
        <v>2</v>
      </c>
      <c r="O6" s="3"/>
      <c r="P6" s="2" t="s">
        <v>36</v>
      </c>
      <c r="Q6" s="2"/>
      <c r="R6" s="2"/>
      <c r="T6" s="3" t="s">
        <v>46</v>
      </c>
      <c r="U6" s="3"/>
      <c r="V6" t="s">
        <v>49</v>
      </c>
    </row>
    <row r="8" spans="2:32" x14ac:dyDescent="0.25">
      <c r="B8" s="1"/>
      <c r="C8" s="1" t="s">
        <v>4</v>
      </c>
      <c r="D8" s="1"/>
      <c r="E8" s="1"/>
      <c r="F8" s="1"/>
      <c r="H8" s="6" t="s">
        <v>20</v>
      </c>
      <c r="I8" s="6"/>
      <c r="J8" s="6"/>
      <c r="K8" s="6"/>
      <c r="L8" s="6"/>
      <c r="N8" s="1"/>
      <c r="O8" s="1" t="s">
        <v>4</v>
      </c>
      <c r="P8" s="1"/>
      <c r="Q8" s="1"/>
      <c r="R8" s="1"/>
      <c r="T8" s="6" t="s">
        <v>20</v>
      </c>
      <c r="U8" s="6"/>
      <c r="V8" s="6"/>
      <c r="W8" s="6"/>
      <c r="X8" s="6"/>
    </row>
    <row r="9" spans="2:32" x14ac:dyDescent="0.25">
      <c r="B9" s="11" t="s">
        <v>5</v>
      </c>
      <c r="C9" s="11" t="s">
        <v>6</v>
      </c>
      <c r="D9" s="11" t="s">
        <v>7</v>
      </c>
      <c r="E9" s="12" t="s">
        <v>8</v>
      </c>
      <c r="F9" s="11" t="s">
        <v>9</v>
      </c>
      <c r="H9" s="11" t="s">
        <v>5</v>
      </c>
      <c r="I9" s="12" t="s">
        <v>21</v>
      </c>
      <c r="J9" s="12" t="s">
        <v>22</v>
      </c>
      <c r="K9" s="12" t="s">
        <v>8</v>
      </c>
      <c r="L9" s="12" t="s">
        <v>9</v>
      </c>
      <c r="N9" s="11" t="s">
        <v>5</v>
      </c>
      <c r="O9" s="11" t="s">
        <v>6</v>
      </c>
      <c r="P9" s="11" t="s">
        <v>7</v>
      </c>
      <c r="Q9" s="12" t="s">
        <v>8</v>
      </c>
      <c r="R9" s="11" t="s">
        <v>9</v>
      </c>
      <c r="T9" s="11" t="s">
        <v>5</v>
      </c>
      <c r="U9" s="12" t="s">
        <v>21</v>
      </c>
      <c r="V9" s="12" t="s">
        <v>22</v>
      </c>
      <c r="W9" s="12" t="s">
        <v>8</v>
      </c>
      <c r="X9" s="12" t="s">
        <v>9</v>
      </c>
    </row>
    <row r="10" spans="2:32" x14ac:dyDescent="0.25">
      <c r="B10" t="s">
        <v>10</v>
      </c>
      <c r="C10">
        <v>45</v>
      </c>
      <c r="E10">
        <v>650</v>
      </c>
      <c r="F10" s="4">
        <f>C10*E10</f>
        <v>29250</v>
      </c>
      <c r="K10">
        <v>111</v>
      </c>
      <c r="L10" s="4">
        <f t="shared" ref="L10:L32" si="0">-I10*K10+J10*K10</f>
        <v>0</v>
      </c>
      <c r="N10" t="s">
        <v>10</v>
      </c>
      <c r="O10">
        <v>431</v>
      </c>
      <c r="Q10">
        <v>650</v>
      </c>
      <c r="R10" s="4">
        <f>O10*Q10</f>
        <v>280150</v>
      </c>
      <c r="T10" t="s">
        <v>42</v>
      </c>
      <c r="U10">
        <v>397</v>
      </c>
      <c r="W10">
        <v>111</v>
      </c>
      <c r="X10" s="4">
        <f t="shared" ref="X10:X31" si="1">-U10*W10+V10*W10</f>
        <v>-44067</v>
      </c>
    </row>
    <row r="11" spans="2:32" x14ac:dyDescent="0.25">
      <c r="B11" t="s">
        <v>11</v>
      </c>
      <c r="F11" s="4">
        <f t="shared" ref="F11:F32" si="2">C11*E11</f>
        <v>0</v>
      </c>
      <c r="L11" s="4">
        <f t="shared" si="0"/>
        <v>0</v>
      </c>
      <c r="N11" t="s">
        <v>11</v>
      </c>
      <c r="R11" s="4">
        <f t="shared" ref="R11:R32" si="3">O11*Q11</f>
        <v>0</v>
      </c>
      <c r="X11" s="4">
        <f t="shared" si="1"/>
        <v>0</v>
      </c>
    </row>
    <row r="12" spans="2:32" x14ac:dyDescent="0.25">
      <c r="B12" t="s">
        <v>12</v>
      </c>
      <c r="F12" s="4">
        <f t="shared" si="2"/>
        <v>0</v>
      </c>
      <c r="L12" s="4">
        <f t="shared" si="0"/>
        <v>0</v>
      </c>
      <c r="N12" t="s">
        <v>12</v>
      </c>
      <c r="R12" s="4">
        <f t="shared" si="3"/>
        <v>0</v>
      </c>
      <c r="X12" s="4">
        <f t="shared" si="1"/>
        <v>0</v>
      </c>
    </row>
    <row r="13" spans="2:32" x14ac:dyDescent="0.25">
      <c r="B13" t="s">
        <v>13</v>
      </c>
      <c r="C13">
        <v>5</v>
      </c>
      <c r="E13">
        <v>622</v>
      </c>
      <c r="F13" s="4">
        <f t="shared" si="2"/>
        <v>3110</v>
      </c>
      <c r="L13" s="4">
        <f t="shared" si="0"/>
        <v>0</v>
      </c>
      <c r="N13" t="s">
        <v>13</v>
      </c>
      <c r="O13">
        <v>36</v>
      </c>
      <c r="Q13">
        <v>622</v>
      </c>
      <c r="R13" s="4">
        <f t="shared" si="3"/>
        <v>22392</v>
      </c>
      <c r="X13" s="4">
        <f t="shared" si="1"/>
        <v>0</v>
      </c>
    </row>
    <row r="14" spans="2:32" x14ac:dyDescent="0.25">
      <c r="B14" t="s">
        <v>14</v>
      </c>
      <c r="F14" s="4">
        <f t="shared" si="2"/>
        <v>0</v>
      </c>
      <c r="L14" s="4">
        <f t="shared" si="0"/>
        <v>0</v>
      </c>
      <c r="N14" t="s">
        <v>14</v>
      </c>
      <c r="R14" s="4">
        <f t="shared" si="3"/>
        <v>0</v>
      </c>
      <c r="X14" s="4">
        <f t="shared" si="1"/>
        <v>0</v>
      </c>
    </row>
    <row r="15" spans="2:32" x14ac:dyDescent="0.25">
      <c r="B15" t="s">
        <v>15</v>
      </c>
      <c r="F15" s="4">
        <f t="shared" si="2"/>
        <v>0</v>
      </c>
      <c r="L15" s="4">
        <f t="shared" si="0"/>
        <v>0</v>
      </c>
      <c r="N15" t="s">
        <v>15</v>
      </c>
      <c r="R15" s="4">
        <f t="shared" si="3"/>
        <v>0</v>
      </c>
      <c r="X15" s="4">
        <f t="shared" si="1"/>
        <v>0</v>
      </c>
    </row>
    <row r="16" spans="2:32" x14ac:dyDescent="0.25">
      <c r="B16" t="s">
        <v>16</v>
      </c>
      <c r="F16" s="4">
        <f t="shared" si="2"/>
        <v>0</v>
      </c>
      <c r="L16" s="4">
        <f t="shared" si="0"/>
        <v>0</v>
      </c>
      <c r="N16" t="s">
        <v>16</v>
      </c>
      <c r="R16" s="4">
        <f t="shared" si="3"/>
        <v>0</v>
      </c>
      <c r="X16" s="4">
        <f t="shared" si="1"/>
        <v>0</v>
      </c>
    </row>
    <row r="17" spans="2:24" x14ac:dyDescent="0.25">
      <c r="B17" t="s">
        <v>17</v>
      </c>
      <c r="E17">
        <v>229</v>
      </c>
      <c r="F17" s="4">
        <f t="shared" si="2"/>
        <v>0</v>
      </c>
      <c r="K17">
        <v>42</v>
      </c>
      <c r="L17" s="4">
        <f t="shared" si="0"/>
        <v>0</v>
      </c>
      <c r="N17" t="s">
        <v>17</v>
      </c>
      <c r="O17">
        <v>16</v>
      </c>
      <c r="Q17">
        <v>229</v>
      </c>
      <c r="R17" s="4">
        <f t="shared" si="3"/>
        <v>3664</v>
      </c>
      <c r="T17" t="s">
        <v>17</v>
      </c>
      <c r="U17">
        <v>16</v>
      </c>
      <c r="W17">
        <v>42</v>
      </c>
      <c r="X17" s="4">
        <f t="shared" si="1"/>
        <v>-672</v>
      </c>
    </row>
    <row r="18" spans="2:24" x14ac:dyDescent="0.25">
      <c r="B18" t="s">
        <v>18</v>
      </c>
      <c r="C18">
        <v>1</v>
      </c>
      <c r="E18">
        <v>500</v>
      </c>
      <c r="F18" s="4">
        <f t="shared" si="2"/>
        <v>500</v>
      </c>
      <c r="L18" s="4">
        <f t="shared" si="0"/>
        <v>0</v>
      </c>
      <c r="N18" t="s">
        <v>18</v>
      </c>
      <c r="Q18">
        <v>500</v>
      </c>
      <c r="R18" s="4">
        <f t="shared" si="3"/>
        <v>0</v>
      </c>
      <c r="X18" s="4">
        <f t="shared" si="1"/>
        <v>0</v>
      </c>
    </row>
    <row r="19" spans="2:24" x14ac:dyDescent="0.25">
      <c r="B19" t="s">
        <v>26</v>
      </c>
      <c r="E19">
        <v>650</v>
      </c>
      <c r="F19" s="4">
        <f t="shared" si="2"/>
        <v>0</v>
      </c>
      <c r="L19" s="4">
        <f t="shared" si="0"/>
        <v>0</v>
      </c>
      <c r="N19" t="s">
        <v>26</v>
      </c>
      <c r="Q19">
        <v>650</v>
      </c>
      <c r="R19" s="4">
        <f t="shared" si="3"/>
        <v>0</v>
      </c>
      <c r="X19" s="4">
        <f t="shared" si="1"/>
        <v>0</v>
      </c>
    </row>
    <row r="20" spans="2:24" x14ac:dyDescent="0.25">
      <c r="F20" s="4">
        <f t="shared" si="2"/>
        <v>0</v>
      </c>
      <c r="L20" s="4">
        <f t="shared" si="0"/>
        <v>0</v>
      </c>
      <c r="R20" s="4">
        <f t="shared" si="3"/>
        <v>0</v>
      </c>
      <c r="X20" s="4">
        <f t="shared" si="1"/>
        <v>0</v>
      </c>
    </row>
    <row r="21" spans="2:24" x14ac:dyDescent="0.25">
      <c r="F21" s="4">
        <f t="shared" si="2"/>
        <v>0</v>
      </c>
      <c r="L21" s="4">
        <f t="shared" si="0"/>
        <v>0</v>
      </c>
      <c r="R21" s="4">
        <f t="shared" si="3"/>
        <v>0</v>
      </c>
      <c r="X21" s="4">
        <f t="shared" si="1"/>
        <v>0</v>
      </c>
    </row>
    <row r="22" spans="2:24" x14ac:dyDescent="0.25">
      <c r="F22" s="4">
        <f t="shared" si="2"/>
        <v>0</v>
      </c>
      <c r="L22" s="4">
        <f t="shared" si="0"/>
        <v>0</v>
      </c>
      <c r="R22" s="4">
        <f t="shared" si="3"/>
        <v>0</v>
      </c>
      <c r="X22" s="4">
        <f t="shared" si="1"/>
        <v>0</v>
      </c>
    </row>
    <row r="23" spans="2:24" x14ac:dyDescent="0.25">
      <c r="F23" s="4">
        <f t="shared" si="2"/>
        <v>0</v>
      </c>
      <c r="L23" s="4">
        <f t="shared" si="0"/>
        <v>0</v>
      </c>
      <c r="R23" s="4">
        <f t="shared" si="3"/>
        <v>0</v>
      </c>
      <c r="X23" s="4">
        <f t="shared" si="1"/>
        <v>0</v>
      </c>
    </row>
    <row r="24" spans="2:24" x14ac:dyDescent="0.25">
      <c r="F24" s="4">
        <f t="shared" si="2"/>
        <v>0</v>
      </c>
      <c r="L24" s="4">
        <f t="shared" si="0"/>
        <v>0</v>
      </c>
      <c r="R24" s="4">
        <f t="shared" si="3"/>
        <v>0</v>
      </c>
      <c r="X24" s="4">
        <f t="shared" si="1"/>
        <v>0</v>
      </c>
    </row>
    <row r="25" spans="2:24" x14ac:dyDescent="0.25">
      <c r="F25" s="4">
        <f t="shared" si="2"/>
        <v>0</v>
      </c>
      <c r="L25" s="4">
        <f t="shared" si="0"/>
        <v>0</v>
      </c>
      <c r="R25" s="4">
        <f t="shared" si="3"/>
        <v>0</v>
      </c>
      <c r="X25" s="4">
        <f t="shared" si="1"/>
        <v>0</v>
      </c>
    </row>
    <row r="26" spans="2:24" x14ac:dyDescent="0.25">
      <c r="F26" s="4">
        <f t="shared" si="2"/>
        <v>0</v>
      </c>
      <c r="L26" s="4">
        <f t="shared" si="0"/>
        <v>0</v>
      </c>
      <c r="R26" s="4">
        <f t="shared" si="3"/>
        <v>0</v>
      </c>
      <c r="X26" s="4">
        <f t="shared" si="1"/>
        <v>0</v>
      </c>
    </row>
    <row r="27" spans="2:24" x14ac:dyDescent="0.25">
      <c r="F27" s="4">
        <f t="shared" si="2"/>
        <v>0</v>
      </c>
      <c r="L27" s="4">
        <f t="shared" si="0"/>
        <v>0</v>
      </c>
      <c r="R27" s="4">
        <f t="shared" si="3"/>
        <v>0</v>
      </c>
      <c r="X27" s="4">
        <f t="shared" si="1"/>
        <v>0</v>
      </c>
    </row>
    <row r="28" spans="2:24" x14ac:dyDescent="0.25">
      <c r="F28" s="4">
        <f t="shared" si="2"/>
        <v>0</v>
      </c>
      <c r="L28" s="4">
        <f t="shared" si="0"/>
        <v>0</v>
      </c>
      <c r="R28" s="4">
        <f t="shared" si="3"/>
        <v>0</v>
      </c>
      <c r="X28" s="4">
        <f t="shared" si="1"/>
        <v>0</v>
      </c>
    </row>
    <row r="29" spans="2:24" x14ac:dyDescent="0.25">
      <c r="F29" s="4">
        <f t="shared" si="2"/>
        <v>0</v>
      </c>
      <c r="L29" s="4">
        <f t="shared" si="0"/>
        <v>0</v>
      </c>
      <c r="R29" s="4">
        <f t="shared" si="3"/>
        <v>0</v>
      </c>
      <c r="X29" s="4">
        <f t="shared" si="1"/>
        <v>0</v>
      </c>
    </row>
    <row r="30" spans="2:24" x14ac:dyDescent="0.25">
      <c r="F30" s="4">
        <f t="shared" si="2"/>
        <v>0</v>
      </c>
      <c r="L30" s="4">
        <f t="shared" si="0"/>
        <v>0</v>
      </c>
      <c r="R30" s="4">
        <f t="shared" si="3"/>
        <v>0</v>
      </c>
      <c r="X30" s="4">
        <f t="shared" si="1"/>
        <v>0</v>
      </c>
    </row>
    <row r="31" spans="2:24" x14ac:dyDescent="0.25">
      <c r="F31" s="4">
        <f t="shared" si="2"/>
        <v>0</v>
      </c>
      <c r="L31" s="4">
        <f t="shared" si="0"/>
        <v>0</v>
      </c>
      <c r="R31" s="4">
        <f t="shared" si="3"/>
        <v>0</v>
      </c>
      <c r="X31" s="4">
        <f t="shared" si="1"/>
        <v>0</v>
      </c>
    </row>
    <row r="32" spans="2:24" x14ac:dyDescent="0.25">
      <c r="F32" s="4">
        <f t="shared" si="2"/>
        <v>0</v>
      </c>
      <c r="H32" s="9" t="s">
        <v>23</v>
      </c>
      <c r="I32" s="9"/>
      <c r="J32" s="9"/>
      <c r="K32" s="9"/>
      <c r="L32" s="4">
        <f t="shared" si="0"/>
        <v>0</v>
      </c>
      <c r="R32" s="4">
        <f t="shared" si="3"/>
        <v>0</v>
      </c>
      <c r="T32" s="9" t="s">
        <v>23</v>
      </c>
      <c r="U32" s="9"/>
      <c r="V32" s="9"/>
      <c r="W32" s="9"/>
      <c r="X32" s="15">
        <f>SUM(X10:X31)</f>
        <v>-44739</v>
      </c>
    </row>
    <row r="33" spans="2:24" x14ac:dyDescent="0.25">
      <c r="B33" s="13" t="s">
        <v>28</v>
      </c>
      <c r="C33" s="13"/>
      <c r="D33" s="14"/>
      <c r="E33" s="14"/>
      <c r="F33" s="10">
        <f>-D33*E33</f>
        <v>0</v>
      </c>
      <c r="H33" s="9" t="s">
        <v>24</v>
      </c>
      <c r="I33" s="9"/>
      <c r="J33" s="9"/>
      <c r="K33" s="9"/>
      <c r="L33" s="8">
        <f>SUM(F34)</f>
        <v>32860</v>
      </c>
      <c r="N33" s="13" t="s">
        <v>28</v>
      </c>
      <c r="O33" s="13"/>
      <c r="P33" s="14">
        <v>467</v>
      </c>
      <c r="Q33" s="14">
        <v>6</v>
      </c>
      <c r="R33" s="10">
        <f>-P33*Q33</f>
        <v>-2802</v>
      </c>
      <c r="T33" s="9" t="s">
        <v>24</v>
      </c>
      <c r="U33" s="9"/>
      <c r="V33" s="9"/>
      <c r="W33" s="9"/>
      <c r="X33" s="8">
        <f>SUM(R34)</f>
        <v>303404</v>
      </c>
    </row>
    <row r="34" spans="2:24" x14ac:dyDescent="0.25">
      <c r="B34" s="7" t="s">
        <v>19</v>
      </c>
      <c r="C34" s="7"/>
      <c r="D34" s="7"/>
      <c r="E34" s="7"/>
      <c r="F34" s="21">
        <f>SUM(F10:F33)</f>
        <v>32860</v>
      </c>
      <c r="H34" s="9" t="s">
        <v>25</v>
      </c>
      <c r="I34" s="9"/>
      <c r="J34" s="9"/>
      <c r="K34" s="9"/>
      <c r="L34" s="22">
        <f>SUM(L33+L32)</f>
        <v>32860</v>
      </c>
      <c r="N34" s="7" t="s">
        <v>19</v>
      </c>
      <c r="O34" s="7"/>
      <c r="P34" s="7"/>
      <c r="Q34" s="7"/>
      <c r="R34" s="21">
        <f>SUM(R10:R33)</f>
        <v>303404</v>
      </c>
      <c r="T34" s="9" t="s">
        <v>25</v>
      </c>
      <c r="U34" s="9"/>
      <c r="V34" s="9"/>
      <c r="W34" s="9"/>
      <c r="X34" s="22">
        <f>SUM(X33+X32)</f>
        <v>258665</v>
      </c>
    </row>
    <row r="35" spans="2:24" ht="18.75" x14ac:dyDescent="0.3">
      <c r="B35" s="17" t="s">
        <v>29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N35" s="17" t="s">
        <v>29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7" spans="2:24" x14ac:dyDescent="0.25">
      <c r="B37" s="3" t="s">
        <v>0</v>
      </c>
      <c r="C37" s="3"/>
      <c r="D37" s="18" t="s">
        <v>37</v>
      </c>
      <c r="E37" s="18"/>
      <c r="F37" s="18"/>
      <c r="H37" s="3" t="s">
        <v>43</v>
      </c>
      <c r="I37" s="3"/>
      <c r="J37">
        <v>1</v>
      </c>
      <c r="N37" s="3" t="s">
        <v>0</v>
      </c>
      <c r="O37" s="3"/>
      <c r="P37" s="18"/>
      <c r="Q37" s="18"/>
      <c r="R37" s="18"/>
      <c r="T37" s="3" t="s">
        <v>43</v>
      </c>
      <c r="U37" s="3"/>
      <c r="V37">
        <v>1</v>
      </c>
    </row>
    <row r="38" spans="2:24" x14ac:dyDescent="0.25">
      <c r="B38" s="3" t="s">
        <v>1</v>
      </c>
      <c r="C38" s="3"/>
      <c r="D38" s="2" t="s">
        <v>38</v>
      </c>
      <c r="E38" s="2"/>
      <c r="F38" s="2"/>
      <c r="H38" s="3" t="s">
        <v>44</v>
      </c>
      <c r="I38" s="3"/>
      <c r="J38" t="s">
        <v>47</v>
      </c>
      <c r="N38" s="3" t="s">
        <v>1</v>
      </c>
      <c r="O38" s="3"/>
      <c r="P38" s="2"/>
      <c r="Q38" s="2"/>
      <c r="R38" s="2"/>
      <c r="T38" s="3" t="s">
        <v>44</v>
      </c>
      <c r="U38" s="3"/>
      <c r="V38" t="s">
        <v>47</v>
      </c>
    </row>
    <row r="39" spans="2:24" x14ac:dyDescent="0.25">
      <c r="B39" s="3" t="s">
        <v>3</v>
      </c>
      <c r="C39" s="3"/>
      <c r="D39" s="2" t="s">
        <v>32</v>
      </c>
      <c r="E39" s="2"/>
      <c r="F39" s="2"/>
      <c r="H39" s="3" t="s">
        <v>45</v>
      </c>
      <c r="I39" s="3"/>
      <c r="J39" t="s">
        <v>48</v>
      </c>
      <c r="N39" s="3" t="s">
        <v>3</v>
      </c>
      <c r="O39" s="3"/>
      <c r="P39" s="2"/>
      <c r="Q39" s="2"/>
      <c r="R39" s="2"/>
      <c r="T39" s="3" t="s">
        <v>45</v>
      </c>
      <c r="U39" s="3"/>
      <c r="V39" t="s">
        <v>48</v>
      </c>
    </row>
    <row r="40" spans="2:24" x14ac:dyDescent="0.25">
      <c r="B40" s="3" t="s">
        <v>2</v>
      </c>
      <c r="C40" s="3"/>
      <c r="D40" s="2" t="s">
        <v>39</v>
      </c>
      <c r="E40" s="2"/>
      <c r="F40" s="2"/>
      <c r="H40" s="3" t="s">
        <v>46</v>
      </c>
      <c r="I40" s="3"/>
      <c r="J40" t="s">
        <v>49</v>
      </c>
      <c r="N40" s="3" t="s">
        <v>2</v>
      </c>
      <c r="O40" s="3"/>
      <c r="P40" s="2"/>
      <c r="Q40" s="2"/>
      <c r="R40" s="2"/>
      <c r="T40" s="3" t="s">
        <v>46</v>
      </c>
      <c r="U40" s="3"/>
      <c r="V40" t="s">
        <v>49</v>
      </c>
    </row>
    <row r="42" spans="2:24" x14ac:dyDescent="0.25">
      <c r="B42" s="1"/>
      <c r="C42" s="1" t="s">
        <v>4</v>
      </c>
      <c r="D42" s="1"/>
      <c r="E42" s="1"/>
      <c r="F42" s="1"/>
      <c r="H42" s="6" t="s">
        <v>20</v>
      </c>
      <c r="I42" s="6"/>
      <c r="J42" s="6"/>
      <c r="K42" s="6"/>
      <c r="L42" s="6"/>
      <c r="N42" s="1"/>
      <c r="O42" s="1" t="s">
        <v>4</v>
      </c>
      <c r="P42" s="1"/>
      <c r="Q42" s="1"/>
      <c r="R42" s="1"/>
      <c r="T42" s="6" t="s">
        <v>20</v>
      </c>
      <c r="U42" s="6"/>
      <c r="V42" s="6"/>
      <c r="W42" s="6"/>
      <c r="X42" s="6"/>
    </row>
    <row r="43" spans="2:24" x14ac:dyDescent="0.25">
      <c r="B43" s="11" t="s">
        <v>5</v>
      </c>
      <c r="C43" s="11" t="s">
        <v>6</v>
      </c>
      <c r="D43" s="11" t="s">
        <v>7</v>
      </c>
      <c r="E43" s="12" t="s">
        <v>8</v>
      </c>
      <c r="F43" s="11" t="s">
        <v>9</v>
      </c>
      <c r="H43" s="11" t="s">
        <v>5</v>
      </c>
      <c r="I43" s="12" t="s">
        <v>21</v>
      </c>
      <c r="J43" s="12" t="s">
        <v>22</v>
      </c>
      <c r="K43" s="12" t="s">
        <v>8</v>
      </c>
      <c r="L43" s="12" t="s">
        <v>9</v>
      </c>
      <c r="N43" s="11" t="s">
        <v>5</v>
      </c>
      <c r="O43" s="11" t="s">
        <v>6</v>
      </c>
      <c r="P43" s="11" t="s">
        <v>7</v>
      </c>
      <c r="Q43" s="12" t="s">
        <v>8</v>
      </c>
      <c r="R43" s="11" t="s">
        <v>9</v>
      </c>
      <c r="T43" s="11" t="s">
        <v>5</v>
      </c>
      <c r="U43" s="12" t="s">
        <v>21</v>
      </c>
      <c r="V43" s="12" t="s">
        <v>22</v>
      </c>
      <c r="W43" s="12" t="s">
        <v>8</v>
      </c>
      <c r="X43" s="12" t="s">
        <v>9</v>
      </c>
    </row>
    <row r="44" spans="2:24" x14ac:dyDescent="0.25">
      <c r="B44" t="s">
        <v>10</v>
      </c>
      <c r="C44">
        <v>108</v>
      </c>
      <c r="E44">
        <v>650</v>
      </c>
      <c r="F44" s="4">
        <f>C44*E44</f>
        <v>70200</v>
      </c>
      <c r="K44">
        <v>111</v>
      </c>
      <c r="L44" s="4">
        <f t="shared" ref="L44:L46" si="4">-I44*K44+J44*K44</f>
        <v>0</v>
      </c>
      <c r="N44" t="s">
        <v>10</v>
      </c>
      <c r="R44" s="4">
        <f>O44*Q44</f>
        <v>0</v>
      </c>
      <c r="X44" s="4">
        <f t="shared" ref="X44:X65" si="5">-U44*W44+V44*W44</f>
        <v>0</v>
      </c>
    </row>
    <row r="45" spans="2:24" x14ac:dyDescent="0.25">
      <c r="B45" t="s">
        <v>11</v>
      </c>
      <c r="C45">
        <v>5</v>
      </c>
      <c r="E45">
        <v>670</v>
      </c>
      <c r="F45" s="4">
        <f t="shared" ref="F45:F66" si="6">C45*E45</f>
        <v>3350</v>
      </c>
      <c r="L45" s="4">
        <f t="shared" si="4"/>
        <v>0</v>
      </c>
      <c r="N45" t="s">
        <v>11</v>
      </c>
      <c r="R45" s="4">
        <f t="shared" ref="R45:R66" si="7">O45*Q45</f>
        <v>0</v>
      </c>
      <c r="X45" s="4">
        <f t="shared" si="5"/>
        <v>0</v>
      </c>
    </row>
    <row r="46" spans="2:24" x14ac:dyDescent="0.25">
      <c r="B46" t="s">
        <v>12</v>
      </c>
      <c r="C46">
        <v>1</v>
      </c>
      <c r="E46">
        <v>973</v>
      </c>
      <c r="F46" s="4">
        <f t="shared" si="6"/>
        <v>973</v>
      </c>
      <c r="L46" s="4">
        <f t="shared" si="4"/>
        <v>0</v>
      </c>
      <c r="N46" t="s">
        <v>12</v>
      </c>
      <c r="R46" s="4">
        <f t="shared" si="7"/>
        <v>0</v>
      </c>
      <c r="X46" s="4">
        <f t="shared" si="5"/>
        <v>0</v>
      </c>
    </row>
    <row r="47" spans="2:24" x14ac:dyDescent="0.25">
      <c r="B47" t="s">
        <v>13</v>
      </c>
      <c r="C47">
        <v>5</v>
      </c>
      <c r="E47">
        <v>622</v>
      </c>
      <c r="F47" s="4">
        <f t="shared" si="6"/>
        <v>3110</v>
      </c>
      <c r="J47">
        <v>36</v>
      </c>
      <c r="K47">
        <v>4.5</v>
      </c>
      <c r="L47" s="4">
        <f>-I47*K47+J47*K47</f>
        <v>162</v>
      </c>
      <c r="N47" t="s">
        <v>13</v>
      </c>
      <c r="R47" s="4">
        <f t="shared" si="7"/>
        <v>0</v>
      </c>
      <c r="X47" s="4">
        <f t="shared" si="5"/>
        <v>0</v>
      </c>
    </row>
    <row r="48" spans="2:24" x14ac:dyDescent="0.25">
      <c r="B48" t="s">
        <v>14</v>
      </c>
      <c r="C48">
        <v>1</v>
      </c>
      <c r="E48">
        <v>912</v>
      </c>
      <c r="F48" s="4">
        <f t="shared" si="6"/>
        <v>912</v>
      </c>
      <c r="L48" s="4">
        <f t="shared" ref="L48:L65" si="8">-I48*K48+J48*K48</f>
        <v>0</v>
      </c>
      <c r="N48" t="s">
        <v>14</v>
      </c>
      <c r="R48" s="4">
        <f t="shared" si="7"/>
        <v>0</v>
      </c>
      <c r="X48" s="4">
        <f t="shared" si="5"/>
        <v>0</v>
      </c>
    </row>
    <row r="49" spans="2:24" x14ac:dyDescent="0.25">
      <c r="B49" t="s">
        <v>15</v>
      </c>
      <c r="F49" s="4">
        <f t="shared" si="6"/>
        <v>0</v>
      </c>
      <c r="L49" s="4">
        <f t="shared" si="8"/>
        <v>0</v>
      </c>
      <c r="N49" t="s">
        <v>15</v>
      </c>
      <c r="R49" s="4">
        <f t="shared" si="7"/>
        <v>0</v>
      </c>
      <c r="X49" s="4">
        <f t="shared" si="5"/>
        <v>0</v>
      </c>
    </row>
    <row r="50" spans="2:24" x14ac:dyDescent="0.25">
      <c r="B50" t="s">
        <v>16</v>
      </c>
      <c r="C50">
        <v>1</v>
      </c>
      <c r="E50">
        <v>872</v>
      </c>
      <c r="F50" s="4">
        <f t="shared" si="6"/>
        <v>872</v>
      </c>
      <c r="L50" s="4">
        <f t="shared" si="8"/>
        <v>0</v>
      </c>
      <c r="N50" t="s">
        <v>16</v>
      </c>
      <c r="R50" s="4">
        <f t="shared" si="7"/>
        <v>0</v>
      </c>
      <c r="X50" s="4">
        <f t="shared" si="5"/>
        <v>0</v>
      </c>
    </row>
    <row r="51" spans="2:24" x14ac:dyDescent="0.25">
      <c r="B51" t="s">
        <v>17</v>
      </c>
      <c r="C51">
        <v>5</v>
      </c>
      <c r="E51">
        <v>229</v>
      </c>
      <c r="F51" s="4">
        <f t="shared" si="6"/>
        <v>1145</v>
      </c>
      <c r="K51">
        <v>42</v>
      </c>
      <c r="L51" s="4">
        <f t="shared" si="8"/>
        <v>0</v>
      </c>
      <c r="N51" t="s">
        <v>17</v>
      </c>
      <c r="R51" s="4">
        <f t="shared" si="7"/>
        <v>0</v>
      </c>
      <c r="X51" s="4">
        <f t="shared" si="5"/>
        <v>0</v>
      </c>
    </row>
    <row r="52" spans="2:24" x14ac:dyDescent="0.25">
      <c r="B52" t="s">
        <v>18</v>
      </c>
      <c r="C52">
        <v>1</v>
      </c>
      <c r="E52">
        <v>500</v>
      </c>
      <c r="F52" s="4">
        <f t="shared" si="6"/>
        <v>500</v>
      </c>
      <c r="L52" s="4">
        <f t="shared" si="8"/>
        <v>0</v>
      </c>
      <c r="N52" t="s">
        <v>18</v>
      </c>
      <c r="R52" s="4">
        <f t="shared" si="7"/>
        <v>0</v>
      </c>
      <c r="X52" s="4">
        <f t="shared" si="5"/>
        <v>0</v>
      </c>
    </row>
    <row r="53" spans="2:24" x14ac:dyDescent="0.25">
      <c r="B53" t="s">
        <v>26</v>
      </c>
      <c r="C53">
        <v>1</v>
      </c>
      <c r="E53">
        <v>650</v>
      </c>
      <c r="F53" s="4">
        <f t="shared" si="6"/>
        <v>650</v>
      </c>
      <c r="L53" s="4">
        <f t="shared" si="8"/>
        <v>0</v>
      </c>
      <c r="N53" t="s">
        <v>26</v>
      </c>
      <c r="R53" s="4">
        <f t="shared" si="7"/>
        <v>0</v>
      </c>
      <c r="X53" s="4">
        <f t="shared" si="5"/>
        <v>0</v>
      </c>
    </row>
    <row r="54" spans="2:24" x14ac:dyDescent="0.25">
      <c r="B54" s="20" t="s">
        <v>41</v>
      </c>
      <c r="C54">
        <f>1+1</f>
        <v>2</v>
      </c>
      <c r="E54">
        <v>1175</v>
      </c>
      <c r="F54" s="4">
        <f t="shared" si="6"/>
        <v>2350</v>
      </c>
      <c r="L54" s="4">
        <f t="shared" si="8"/>
        <v>0</v>
      </c>
      <c r="R54" s="4">
        <f t="shared" si="7"/>
        <v>0</v>
      </c>
      <c r="X54" s="4">
        <f t="shared" si="5"/>
        <v>0</v>
      </c>
    </row>
    <row r="55" spans="2:24" x14ac:dyDescent="0.25">
      <c r="B55" t="s">
        <v>40</v>
      </c>
      <c r="C55">
        <v>3</v>
      </c>
      <c r="E55">
        <v>700</v>
      </c>
      <c r="F55" s="4">
        <f t="shared" si="6"/>
        <v>2100</v>
      </c>
      <c r="L55" s="4">
        <f t="shared" si="8"/>
        <v>0</v>
      </c>
      <c r="R55" s="4">
        <f t="shared" si="7"/>
        <v>0</v>
      </c>
      <c r="X55" s="4">
        <f t="shared" si="5"/>
        <v>0</v>
      </c>
    </row>
    <row r="56" spans="2:24" x14ac:dyDescent="0.25">
      <c r="F56" s="4">
        <f t="shared" si="6"/>
        <v>0</v>
      </c>
      <c r="L56" s="4">
        <f t="shared" si="8"/>
        <v>0</v>
      </c>
      <c r="R56" s="4">
        <f t="shared" si="7"/>
        <v>0</v>
      </c>
      <c r="X56" s="4">
        <f t="shared" si="5"/>
        <v>0</v>
      </c>
    </row>
    <row r="57" spans="2:24" x14ac:dyDescent="0.25">
      <c r="F57" s="4">
        <f t="shared" si="6"/>
        <v>0</v>
      </c>
      <c r="L57" s="4">
        <f t="shared" si="8"/>
        <v>0</v>
      </c>
      <c r="R57" s="4">
        <f t="shared" si="7"/>
        <v>0</v>
      </c>
      <c r="X57" s="4">
        <f t="shared" si="5"/>
        <v>0</v>
      </c>
    </row>
    <row r="58" spans="2:24" x14ac:dyDescent="0.25">
      <c r="F58" s="4">
        <f t="shared" si="6"/>
        <v>0</v>
      </c>
      <c r="L58" s="4">
        <f t="shared" si="8"/>
        <v>0</v>
      </c>
      <c r="R58" s="4">
        <f t="shared" si="7"/>
        <v>0</v>
      </c>
      <c r="X58" s="4">
        <f t="shared" si="5"/>
        <v>0</v>
      </c>
    </row>
    <row r="59" spans="2:24" x14ac:dyDescent="0.25">
      <c r="F59" s="4">
        <f t="shared" si="6"/>
        <v>0</v>
      </c>
      <c r="L59" s="4">
        <f t="shared" si="8"/>
        <v>0</v>
      </c>
      <c r="R59" s="4">
        <f t="shared" si="7"/>
        <v>0</v>
      </c>
      <c r="X59" s="4">
        <f t="shared" si="5"/>
        <v>0</v>
      </c>
    </row>
    <row r="60" spans="2:24" x14ac:dyDescent="0.25">
      <c r="F60" s="4">
        <f t="shared" si="6"/>
        <v>0</v>
      </c>
      <c r="L60" s="4">
        <f t="shared" si="8"/>
        <v>0</v>
      </c>
      <c r="R60" s="4">
        <f t="shared" si="7"/>
        <v>0</v>
      </c>
      <c r="X60" s="4">
        <f t="shared" si="5"/>
        <v>0</v>
      </c>
    </row>
    <row r="61" spans="2:24" x14ac:dyDescent="0.25">
      <c r="F61" s="4">
        <f t="shared" si="6"/>
        <v>0</v>
      </c>
      <c r="L61" s="4">
        <f t="shared" si="8"/>
        <v>0</v>
      </c>
      <c r="R61" s="4">
        <f t="shared" si="7"/>
        <v>0</v>
      </c>
      <c r="X61" s="4">
        <f t="shared" si="5"/>
        <v>0</v>
      </c>
    </row>
    <row r="62" spans="2:24" x14ac:dyDescent="0.25">
      <c r="F62" s="4">
        <f t="shared" si="6"/>
        <v>0</v>
      </c>
      <c r="L62" s="4">
        <f t="shared" si="8"/>
        <v>0</v>
      </c>
      <c r="R62" s="4">
        <f t="shared" si="7"/>
        <v>0</v>
      </c>
      <c r="X62" s="4">
        <f t="shared" si="5"/>
        <v>0</v>
      </c>
    </row>
    <row r="63" spans="2:24" x14ac:dyDescent="0.25">
      <c r="F63" s="4">
        <f t="shared" si="6"/>
        <v>0</v>
      </c>
      <c r="L63" s="4">
        <f t="shared" si="8"/>
        <v>0</v>
      </c>
      <c r="R63" s="4">
        <f t="shared" si="7"/>
        <v>0</v>
      </c>
      <c r="X63" s="4">
        <f t="shared" si="5"/>
        <v>0</v>
      </c>
    </row>
    <row r="64" spans="2:24" x14ac:dyDescent="0.25">
      <c r="F64" s="4">
        <f t="shared" si="6"/>
        <v>0</v>
      </c>
      <c r="L64" s="4">
        <f t="shared" si="8"/>
        <v>0</v>
      </c>
      <c r="R64" s="4">
        <f t="shared" si="7"/>
        <v>0</v>
      </c>
      <c r="X64" s="4">
        <f t="shared" si="5"/>
        <v>0</v>
      </c>
    </row>
    <row r="65" spans="2:24" x14ac:dyDescent="0.25">
      <c r="F65" s="4">
        <f t="shared" si="6"/>
        <v>0</v>
      </c>
      <c r="L65" s="4">
        <f t="shared" si="8"/>
        <v>0</v>
      </c>
      <c r="R65" s="4">
        <f t="shared" si="7"/>
        <v>0</v>
      </c>
      <c r="X65" s="4">
        <f t="shared" si="5"/>
        <v>0</v>
      </c>
    </row>
    <row r="66" spans="2:24" x14ac:dyDescent="0.25">
      <c r="F66" s="4">
        <f t="shared" si="6"/>
        <v>0</v>
      </c>
      <c r="H66" s="9" t="s">
        <v>23</v>
      </c>
      <c r="I66" s="9"/>
      <c r="J66" s="9"/>
      <c r="K66" s="9"/>
      <c r="L66" s="15">
        <f>SUM(L44:L65)</f>
        <v>162</v>
      </c>
      <c r="R66" s="4">
        <f t="shared" si="7"/>
        <v>0</v>
      </c>
      <c r="T66" s="9" t="s">
        <v>23</v>
      </c>
      <c r="U66" s="9"/>
      <c r="V66" s="9"/>
      <c r="W66" s="9"/>
      <c r="X66" s="15">
        <f>SUM(X44:X65)</f>
        <v>0</v>
      </c>
    </row>
    <row r="67" spans="2:24" x14ac:dyDescent="0.25">
      <c r="B67" s="13" t="s">
        <v>28</v>
      </c>
      <c r="C67" s="13"/>
      <c r="D67" s="14"/>
      <c r="E67" s="14"/>
      <c r="F67" s="10">
        <f>-D67*E67</f>
        <v>0</v>
      </c>
      <c r="H67" s="9" t="s">
        <v>24</v>
      </c>
      <c r="I67" s="9"/>
      <c r="J67" s="9"/>
      <c r="K67" s="9"/>
      <c r="L67" s="8">
        <f>SUM(F68)</f>
        <v>86162</v>
      </c>
      <c r="N67" s="13" t="s">
        <v>28</v>
      </c>
      <c r="O67" s="13"/>
      <c r="P67" s="14"/>
      <c r="Q67" s="14"/>
      <c r="R67" s="10">
        <f>-P67*Q67</f>
        <v>0</v>
      </c>
      <c r="T67" s="9" t="s">
        <v>24</v>
      </c>
      <c r="U67" s="9"/>
      <c r="V67" s="9"/>
      <c r="W67" s="9"/>
      <c r="X67" s="8">
        <f>SUM(R68)</f>
        <v>0</v>
      </c>
    </row>
    <row r="68" spans="2:24" x14ac:dyDescent="0.25">
      <c r="B68" s="7" t="s">
        <v>19</v>
      </c>
      <c r="C68" s="7"/>
      <c r="D68" s="7"/>
      <c r="E68" s="7"/>
      <c r="F68" s="21">
        <f>SUM(F44:F67)</f>
        <v>86162</v>
      </c>
      <c r="H68" s="9" t="s">
        <v>25</v>
      </c>
      <c r="I68" s="9"/>
      <c r="J68" s="9"/>
      <c r="K68" s="9"/>
      <c r="L68" s="22">
        <f>SUM(L67+L66)</f>
        <v>86324</v>
      </c>
      <c r="N68" s="7" t="s">
        <v>19</v>
      </c>
      <c r="O68" s="7"/>
      <c r="P68" s="7"/>
      <c r="Q68" s="7"/>
      <c r="R68" s="21">
        <f>SUM(R44:R67)</f>
        <v>0</v>
      </c>
      <c r="T68" s="9" t="s">
        <v>25</v>
      </c>
      <c r="U68" s="9"/>
      <c r="V68" s="9"/>
      <c r="W68" s="9"/>
      <c r="X68" s="22">
        <f>SUM(X67+X66)</f>
        <v>0</v>
      </c>
    </row>
  </sheetData>
  <mergeCells count="72">
    <mergeCell ref="T39:U39"/>
    <mergeCell ref="T40:U40"/>
    <mergeCell ref="T3:U3"/>
    <mergeCell ref="T4:U4"/>
    <mergeCell ref="T5:U5"/>
    <mergeCell ref="T6:U6"/>
    <mergeCell ref="H37:I37"/>
    <mergeCell ref="H38:I38"/>
    <mergeCell ref="T37:U37"/>
    <mergeCell ref="T38:U38"/>
    <mergeCell ref="P37:R37"/>
    <mergeCell ref="P38:R38"/>
    <mergeCell ref="P39:R39"/>
    <mergeCell ref="P40:R40"/>
    <mergeCell ref="H3:I3"/>
    <mergeCell ref="H4:I4"/>
    <mergeCell ref="H5:I5"/>
    <mergeCell ref="H6:I6"/>
    <mergeCell ref="H39:I39"/>
    <mergeCell ref="H40:I40"/>
    <mergeCell ref="D3:F3"/>
    <mergeCell ref="D5:F5"/>
    <mergeCell ref="D6:F6"/>
    <mergeCell ref="P3:R3"/>
    <mergeCell ref="P4:R4"/>
    <mergeCell ref="P5:R5"/>
    <mergeCell ref="P6:R6"/>
    <mergeCell ref="T42:X42"/>
    <mergeCell ref="T66:W66"/>
    <mergeCell ref="N67:O67"/>
    <mergeCell ref="T67:W67"/>
    <mergeCell ref="N68:Q68"/>
    <mergeCell ref="T68:W68"/>
    <mergeCell ref="B38:C38"/>
    <mergeCell ref="B37:C37"/>
    <mergeCell ref="N37:O37"/>
    <mergeCell ref="N38:O38"/>
    <mergeCell ref="N39:O39"/>
    <mergeCell ref="N40:O40"/>
    <mergeCell ref="D37:F37"/>
    <mergeCell ref="D38:F38"/>
    <mergeCell ref="D39:F39"/>
    <mergeCell ref="D40:F40"/>
    <mergeCell ref="N34:Q34"/>
    <mergeCell ref="T34:W34"/>
    <mergeCell ref="H68:K68"/>
    <mergeCell ref="B68:E68"/>
    <mergeCell ref="H67:K67"/>
    <mergeCell ref="B67:C67"/>
    <mergeCell ref="H66:K66"/>
    <mergeCell ref="H42:L42"/>
    <mergeCell ref="B40:C40"/>
    <mergeCell ref="B39:C39"/>
    <mergeCell ref="B33:C33"/>
    <mergeCell ref="N3:O3"/>
    <mergeCell ref="N4:O4"/>
    <mergeCell ref="N5:O5"/>
    <mergeCell ref="N6:O6"/>
    <mergeCell ref="T8:X8"/>
    <mergeCell ref="T32:W32"/>
    <mergeCell ref="N33:O33"/>
    <mergeCell ref="T33:W33"/>
    <mergeCell ref="D4:F4"/>
    <mergeCell ref="B3:C3"/>
    <mergeCell ref="B4:C4"/>
    <mergeCell ref="B5:C5"/>
    <mergeCell ref="B6:C6"/>
    <mergeCell ref="B34:E34"/>
    <mergeCell ref="H8:L8"/>
    <mergeCell ref="H34:K34"/>
    <mergeCell ref="H33:K33"/>
    <mergeCell ref="H32:K3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70A4-641B-4DA7-BCAC-505175305434}">
  <dimension ref="B1:AF170"/>
  <sheetViews>
    <sheetView zoomScaleNormal="100" workbookViewId="0">
      <selection activeCell="AF4" sqref="AF4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  <col min="33" max="33" width="2.28515625" customWidth="1"/>
    <col min="35" max="35" width="2.28515625" customWidth="1"/>
  </cols>
  <sheetData>
    <row r="1" spans="2:32" ht="18.75" x14ac:dyDescent="0.3">
      <c r="B1" s="17" t="s">
        <v>29</v>
      </c>
      <c r="C1" s="16"/>
      <c r="D1" s="16"/>
      <c r="E1" s="16"/>
      <c r="F1" s="16"/>
      <c r="G1" s="16"/>
      <c r="H1" s="16"/>
      <c r="I1" s="16"/>
      <c r="J1" s="16"/>
      <c r="K1" s="16"/>
      <c r="L1" s="16"/>
      <c r="N1" s="17" t="s">
        <v>29</v>
      </c>
      <c r="O1" s="16"/>
      <c r="P1" s="16"/>
      <c r="Q1" s="16"/>
      <c r="R1" s="16"/>
      <c r="S1" s="16"/>
      <c r="T1" s="16"/>
      <c r="U1" s="16"/>
      <c r="V1" s="16"/>
      <c r="W1" s="16"/>
      <c r="X1" s="16"/>
      <c r="Z1" s="23" t="s">
        <v>9</v>
      </c>
      <c r="AB1" s="24" t="s">
        <v>27</v>
      </c>
      <c r="AD1" s="25" t="s">
        <v>76</v>
      </c>
      <c r="AF1" s="26" t="s">
        <v>77</v>
      </c>
    </row>
    <row r="3" spans="2:32" x14ac:dyDescent="0.25">
      <c r="B3" s="3" t="s">
        <v>0</v>
      </c>
      <c r="C3" s="3"/>
      <c r="D3" s="18" t="s">
        <v>53</v>
      </c>
      <c r="E3" s="18"/>
      <c r="F3" s="18"/>
      <c r="H3" s="3" t="s">
        <v>43</v>
      </c>
      <c r="I3" s="3"/>
      <c r="J3">
        <v>2</v>
      </c>
      <c r="N3" s="3" t="s">
        <v>0</v>
      </c>
      <c r="O3" s="3"/>
      <c r="P3" s="18" t="s">
        <v>56</v>
      </c>
      <c r="Q3" s="18"/>
      <c r="R3" s="18"/>
      <c r="T3" s="3" t="s">
        <v>43</v>
      </c>
      <c r="U3" s="3"/>
      <c r="V3">
        <v>2</v>
      </c>
      <c r="Z3" s="28">
        <f>F34+R34+F68+R68+F102+R102+F136+R136+F170</f>
        <v>239421.5</v>
      </c>
      <c r="AA3" s="27"/>
      <c r="AB3" s="27">
        <f>F101</f>
        <v>-1248</v>
      </c>
      <c r="AC3" s="27"/>
      <c r="AD3" s="27"/>
      <c r="AF3" s="5">
        <f>L34+X34+L68+X68+L102+X102+L136+X136+L170</f>
        <v>244140.5</v>
      </c>
    </row>
    <row r="4" spans="2:32" x14ac:dyDescent="0.25">
      <c r="B4" s="3" t="s">
        <v>1</v>
      </c>
      <c r="C4" s="3"/>
      <c r="D4" s="2" t="s">
        <v>54</v>
      </c>
      <c r="E4" s="2"/>
      <c r="F4" s="2"/>
      <c r="H4" s="3" t="s">
        <v>44</v>
      </c>
      <c r="I4" s="3"/>
      <c r="J4" t="s">
        <v>50</v>
      </c>
      <c r="N4" s="3" t="s">
        <v>1</v>
      </c>
      <c r="O4" s="3"/>
      <c r="P4" s="2" t="s">
        <v>57</v>
      </c>
      <c r="Q4" s="2"/>
      <c r="R4" s="2"/>
      <c r="T4" s="3" t="s">
        <v>44</v>
      </c>
      <c r="U4" s="3"/>
      <c r="V4" t="s">
        <v>50</v>
      </c>
      <c r="Z4" s="27"/>
      <c r="AA4" s="27"/>
      <c r="AB4" s="27"/>
      <c r="AC4" s="27"/>
      <c r="AD4" s="27"/>
    </row>
    <row r="5" spans="2:32" x14ac:dyDescent="0.25">
      <c r="B5" s="3" t="s">
        <v>3</v>
      </c>
      <c r="C5" s="3"/>
      <c r="D5" s="19" t="s">
        <v>32</v>
      </c>
      <c r="E5" s="19"/>
      <c r="F5" s="19"/>
      <c r="H5" s="3" t="s">
        <v>45</v>
      </c>
      <c r="I5" s="3"/>
      <c r="J5" t="s">
        <v>51</v>
      </c>
      <c r="N5" s="3" t="s">
        <v>3</v>
      </c>
      <c r="O5" s="3"/>
      <c r="P5" s="2" t="s">
        <v>58</v>
      </c>
      <c r="Q5" s="2"/>
      <c r="R5" s="2"/>
      <c r="T5" s="3" t="s">
        <v>45</v>
      </c>
      <c r="U5" s="3"/>
      <c r="V5" t="s">
        <v>51</v>
      </c>
      <c r="Z5" s="27"/>
      <c r="AA5" s="27"/>
      <c r="AB5" s="27"/>
      <c r="AC5" s="27"/>
      <c r="AD5" s="27"/>
    </row>
    <row r="6" spans="2:32" x14ac:dyDescent="0.25">
      <c r="B6" s="3" t="s">
        <v>2</v>
      </c>
      <c r="C6" s="3"/>
      <c r="D6" s="2" t="s">
        <v>55</v>
      </c>
      <c r="E6" s="2"/>
      <c r="F6" s="2"/>
      <c r="H6" s="3" t="s">
        <v>46</v>
      </c>
      <c r="I6" s="3"/>
      <c r="J6" t="s">
        <v>52</v>
      </c>
      <c r="N6" s="3" t="s">
        <v>2</v>
      </c>
      <c r="O6" s="3"/>
      <c r="P6" s="2" t="s">
        <v>55</v>
      </c>
      <c r="Q6" s="2"/>
      <c r="R6" s="2"/>
      <c r="T6" s="3" t="s">
        <v>46</v>
      </c>
      <c r="U6" s="3"/>
      <c r="V6" t="s">
        <v>52</v>
      </c>
      <c r="Z6" s="27"/>
      <c r="AA6" s="27"/>
      <c r="AB6" s="27"/>
      <c r="AC6" s="27"/>
      <c r="AD6" s="27"/>
    </row>
    <row r="8" spans="2:32" x14ac:dyDescent="0.25">
      <c r="B8" s="1"/>
      <c r="C8" s="1" t="s">
        <v>4</v>
      </c>
      <c r="D8" s="1"/>
      <c r="E8" s="1"/>
      <c r="F8" s="1"/>
      <c r="H8" s="6" t="s">
        <v>20</v>
      </c>
      <c r="I8" s="6"/>
      <c r="J8" s="6"/>
      <c r="K8" s="6"/>
      <c r="L8" s="6"/>
      <c r="N8" s="1"/>
      <c r="O8" s="1" t="s">
        <v>4</v>
      </c>
      <c r="P8" s="1"/>
      <c r="Q8" s="1"/>
      <c r="R8" s="1"/>
      <c r="T8" s="6" t="s">
        <v>20</v>
      </c>
      <c r="U8" s="6"/>
      <c r="V8" s="6"/>
      <c r="W8" s="6"/>
      <c r="X8" s="6"/>
    </row>
    <row r="9" spans="2:32" x14ac:dyDescent="0.25">
      <c r="B9" s="11" t="s">
        <v>5</v>
      </c>
      <c r="C9" s="11" t="s">
        <v>6</v>
      </c>
      <c r="D9" s="11" t="s">
        <v>7</v>
      </c>
      <c r="E9" s="12" t="s">
        <v>8</v>
      </c>
      <c r="F9" s="11" t="s">
        <v>9</v>
      </c>
      <c r="H9" s="11" t="s">
        <v>5</v>
      </c>
      <c r="I9" s="12" t="s">
        <v>21</v>
      </c>
      <c r="J9" s="12" t="s">
        <v>22</v>
      </c>
      <c r="K9" s="12" t="s">
        <v>8</v>
      </c>
      <c r="L9" s="12" t="s">
        <v>9</v>
      </c>
      <c r="N9" s="11" t="s">
        <v>5</v>
      </c>
      <c r="O9" s="11" t="s">
        <v>6</v>
      </c>
      <c r="P9" s="11" t="s">
        <v>7</v>
      </c>
      <c r="Q9" s="12" t="s">
        <v>8</v>
      </c>
      <c r="R9" s="11" t="s">
        <v>9</v>
      </c>
      <c r="T9" s="11" t="s">
        <v>5</v>
      </c>
      <c r="U9" s="12" t="s">
        <v>21</v>
      </c>
      <c r="V9" s="12" t="s">
        <v>22</v>
      </c>
      <c r="W9" s="12" t="s">
        <v>8</v>
      </c>
      <c r="X9" s="12" t="s">
        <v>9</v>
      </c>
    </row>
    <row r="10" spans="2:32" x14ac:dyDescent="0.25">
      <c r="B10" t="s">
        <v>10</v>
      </c>
      <c r="C10">
        <v>6</v>
      </c>
      <c r="E10">
        <v>650</v>
      </c>
      <c r="F10" s="4">
        <f>C10*E10</f>
        <v>3900</v>
      </c>
      <c r="K10">
        <v>111</v>
      </c>
      <c r="L10" s="4">
        <f t="shared" ref="L10:L32" si="0">-I10*K10+J10*K10</f>
        <v>0</v>
      </c>
      <c r="N10" t="s">
        <v>10</v>
      </c>
      <c r="O10">
        <v>1</v>
      </c>
      <c r="Q10">
        <v>650</v>
      </c>
      <c r="R10" s="4">
        <f>O10*Q10</f>
        <v>650</v>
      </c>
      <c r="T10" t="s">
        <v>42</v>
      </c>
      <c r="W10">
        <v>111</v>
      </c>
      <c r="X10" s="4">
        <f t="shared" ref="X10:X31" si="1">-U10*W10+V10*W10</f>
        <v>0</v>
      </c>
    </row>
    <row r="11" spans="2:32" x14ac:dyDescent="0.25">
      <c r="B11" t="s">
        <v>11</v>
      </c>
      <c r="C11">
        <v>1</v>
      </c>
      <c r="E11">
        <v>670</v>
      </c>
      <c r="F11" s="4">
        <f t="shared" ref="F11:F32" si="2">C11*E11</f>
        <v>670</v>
      </c>
      <c r="L11" s="4">
        <f t="shared" si="0"/>
        <v>0</v>
      </c>
      <c r="N11" t="s">
        <v>11</v>
      </c>
      <c r="R11" s="4">
        <f t="shared" ref="R11:R32" si="3">O11*Q11</f>
        <v>0</v>
      </c>
      <c r="X11" s="4">
        <f t="shared" si="1"/>
        <v>0</v>
      </c>
    </row>
    <row r="12" spans="2:32" x14ac:dyDescent="0.25">
      <c r="B12" t="s">
        <v>12</v>
      </c>
      <c r="F12" s="4">
        <f t="shared" si="2"/>
        <v>0</v>
      </c>
      <c r="L12" s="4">
        <f t="shared" si="0"/>
        <v>0</v>
      </c>
      <c r="N12" t="s">
        <v>12</v>
      </c>
      <c r="R12" s="4">
        <f t="shared" si="3"/>
        <v>0</v>
      </c>
      <c r="X12" s="4">
        <f t="shared" si="1"/>
        <v>0</v>
      </c>
    </row>
    <row r="13" spans="2:32" x14ac:dyDescent="0.25">
      <c r="B13" t="s">
        <v>13</v>
      </c>
      <c r="E13">
        <v>622</v>
      </c>
      <c r="F13" s="4">
        <f t="shared" si="2"/>
        <v>0</v>
      </c>
      <c r="L13" s="4">
        <f t="shared" si="0"/>
        <v>0</v>
      </c>
      <c r="N13" t="s">
        <v>13</v>
      </c>
      <c r="Q13">
        <v>622</v>
      </c>
      <c r="R13" s="4">
        <f t="shared" si="3"/>
        <v>0</v>
      </c>
      <c r="X13" s="4">
        <f t="shared" si="1"/>
        <v>0</v>
      </c>
    </row>
    <row r="14" spans="2:32" x14ac:dyDescent="0.25">
      <c r="B14" t="s">
        <v>14</v>
      </c>
      <c r="F14" s="4">
        <f t="shared" si="2"/>
        <v>0</v>
      </c>
      <c r="L14" s="4">
        <f t="shared" si="0"/>
        <v>0</v>
      </c>
      <c r="N14" t="s">
        <v>14</v>
      </c>
      <c r="R14" s="4">
        <f t="shared" si="3"/>
        <v>0</v>
      </c>
      <c r="X14" s="4">
        <f t="shared" si="1"/>
        <v>0</v>
      </c>
    </row>
    <row r="15" spans="2:32" x14ac:dyDescent="0.25">
      <c r="B15" t="s">
        <v>15</v>
      </c>
      <c r="F15" s="4">
        <f t="shared" si="2"/>
        <v>0</v>
      </c>
      <c r="L15" s="4">
        <f t="shared" si="0"/>
        <v>0</v>
      </c>
      <c r="N15" t="s">
        <v>15</v>
      </c>
      <c r="R15" s="4">
        <f t="shared" si="3"/>
        <v>0</v>
      </c>
      <c r="X15" s="4">
        <f t="shared" si="1"/>
        <v>0</v>
      </c>
    </row>
    <row r="16" spans="2:32" x14ac:dyDescent="0.25">
      <c r="B16" t="s">
        <v>16</v>
      </c>
      <c r="F16" s="4">
        <f t="shared" si="2"/>
        <v>0</v>
      </c>
      <c r="L16" s="4">
        <f t="shared" si="0"/>
        <v>0</v>
      </c>
      <c r="N16" t="s">
        <v>16</v>
      </c>
      <c r="R16" s="4">
        <f t="shared" si="3"/>
        <v>0</v>
      </c>
      <c r="X16" s="4">
        <f t="shared" si="1"/>
        <v>0</v>
      </c>
    </row>
    <row r="17" spans="2:24" x14ac:dyDescent="0.25">
      <c r="B17" t="s">
        <v>17</v>
      </c>
      <c r="C17">
        <v>7</v>
      </c>
      <c r="E17">
        <v>9.5</v>
      </c>
      <c r="F17" s="4">
        <f t="shared" si="2"/>
        <v>66.5</v>
      </c>
      <c r="K17">
        <v>42</v>
      </c>
      <c r="L17" s="4">
        <f t="shared" si="0"/>
        <v>0</v>
      </c>
      <c r="N17" t="s">
        <v>17</v>
      </c>
      <c r="O17">
        <v>1</v>
      </c>
      <c r="Q17">
        <v>9.5</v>
      </c>
      <c r="R17" s="4">
        <f t="shared" si="3"/>
        <v>9.5</v>
      </c>
      <c r="T17" t="s">
        <v>17</v>
      </c>
      <c r="W17">
        <v>42</v>
      </c>
      <c r="X17" s="4">
        <f t="shared" si="1"/>
        <v>0</v>
      </c>
    </row>
    <row r="18" spans="2:24" x14ac:dyDescent="0.25">
      <c r="B18" t="s">
        <v>18</v>
      </c>
      <c r="E18">
        <v>500</v>
      </c>
      <c r="F18" s="4">
        <f t="shared" si="2"/>
        <v>0</v>
      </c>
      <c r="L18" s="4">
        <f t="shared" si="0"/>
        <v>0</v>
      </c>
      <c r="N18" t="s">
        <v>18</v>
      </c>
      <c r="Q18">
        <v>500</v>
      </c>
      <c r="R18" s="4">
        <f t="shared" si="3"/>
        <v>0</v>
      </c>
      <c r="X18" s="4">
        <f t="shared" si="1"/>
        <v>0</v>
      </c>
    </row>
    <row r="19" spans="2:24" x14ac:dyDescent="0.25">
      <c r="B19" t="s">
        <v>26</v>
      </c>
      <c r="E19">
        <v>650</v>
      </c>
      <c r="F19" s="4">
        <f t="shared" si="2"/>
        <v>0</v>
      </c>
      <c r="L19" s="4">
        <f t="shared" si="0"/>
        <v>0</v>
      </c>
      <c r="N19" t="s">
        <v>26</v>
      </c>
      <c r="Q19">
        <v>650</v>
      </c>
      <c r="R19" s="4">
        <f t="shared" si="3"/>
        <v>0</v>
      </c>
      <c r="X19" s="4">
        <f t="shared" si="1"/>
        <v>0</v>
      </c>
    </row>
    <row r="20" spans="2:24" x14ac:dyDescent="0.25">
      <c r="F20" s="4">
        <f t="shared" si="2"/>
        <v>0</v>
      </c>
      <c r="L20" s="4">
        <f t="shared" si="0"/>
        <v>0</v>
      </c>
      <c r="R20" s="4">
        <f t="shared" si="3"/>
        <v>0</v>
      </c>
      <c r="X20" s="4">
        <f t="shared" si="1"/>
        <v>0</v>
      </c>
    </row>
    <row r="21" spans="2:24" x14ac:dyDescent="0.25">
      <c r="F21" s="4">
        <f t="shared" si="2"/>
        <v>0</v>
      </c>
      <c r="L21" s="4">
        <f t="shared" si="0"/>
        <v>0</v>
      </c>
      <c r="R21" s="4">
        <f t="shared" si="3"/>
        <v>0</v>
      </c>
      <c r="X21" s="4">
        <f t="shared" si="1"/>
        <v>0</v>
      </c>
    </row>
    <row r="22" spans="2:24" x14ac:dyDescent="0.25">
      <c r="F22" s="4">
        <f t="shared" si="2"/>
        <v>0</v>
      </c>
      <c r="L22" s="4">
        <f t="shared" si="0"/>
        <v>0</v>
      </c>
      <c r="R22" s="4">
        <f t="shared" si="3"/>
        <v>0</v>
      </c>
      <c r="X22" s="4">
        <f t="shared" si="1"/>
        <v>0</v>
      </c>
    </row>
    <row r="23" spans="2:24" x14ac:dyDescent="0.25">
      <c r="F23" s="4">
        <f t="shared" si="2"/>
        <v>0</v>
      </c>
      <c r="L23" s="4">
        <f t="shared" si="0"/>
        <v>0</v>
      </c>
      <c r="R23" s="4">
        <f t="shared" si="3"/>
        <v>0</v>
      </c>
      <c r="X23" s="4">
        <f t="shared" si="1"/>
        <v>0</v>
      </c>
    </row>
    <row r="24" spans="2:24" x14ac:dyDescent="0.25">
      <c r="F24" s="4">
        <f t="shared" si="2"/>
        <v>0</v>
      </c>
      <c r="L24" s="4">
        <f t="shared" si="0"/>
        <v>0</v>
      </c>
      <c r="R24" s="4">
        <f t="shared" si="3"/>
        <v>0</v>
      </c>
      <c r="X24" s="4">
        <f t="shared" si="1"/>
        <v>0</v>
      </c>
    </row>
    <row r="25" spans="2:24" x14ac:dyDescent="0.25">
      <c r="F25" s="4">
        <f t="shared" si="2"/>
        <v>0</v>
      </c>
      <c r="L25" s="4">
        <f t="shared" si="0"/>
        <v>0</v>
      </c>
      <c r="R25" s="4">
        <f t="shared" si="3"/>
        <v>0</v>
      </c>
      <c r="X25" s="4">
        <f t="shared" si="1"/>
        <v>0</v>
      </c>
    </row>
    <row r="26" spans="2:24" x14ac:dyDescent="0.25">
      <c r="F26" s="4">
        <f t="shared" si="2"/>
        <v>0</v>
      </c>
      <c r="L26" s="4">
        <f t="shared" si="0"/>
        <v>0</v>
      </c>
      <c r="R26" s="4">
        <f t="shared" si="3"/>
        <v>0</v>
      </c>
      <c r="X26" s="4">
        <f t="shared" si="1"/>
        <v>0</v>
      </c>
    </row>
    <row r="27" spans="2:24" x14ac:dyDescent="0.25">
      <c r="F27" s="4">
        <f t="shared" si="2"/>
        <v>0</v>
      </c>
      <c r="L27" s="4">
        <f t="shared" si="0"/>
        <v>0</v>
      </c>
      <c r="R27" s="4">
        <f t="shared" si="3"/>
        <v>0</v>
      </c>
      <c r="X27" s="4">
        <f t="shared" si="1"/>
        <v>0</v>
      </c>
    </row>
    <row r="28" spans="2:24" x14ac:dyDescent="0.25">
      <c r="F28" s="4">
        <f t="shared" si="2"/>
        <v>0</v>
      </c>
      <c r="L28" s="4">
        <f t="shared" si="0"/>
        <v>0</v>
      </c>
      <c r="R28" s="4">
        <f t="shared" si="3"/>
        <v>0</v>
      </c>
      <c r="X28" s="4">
        <f t="shared" si="1"/>
        <v>0</v>
      </c>
    </row>
    <row r="29" spans="2:24" x14ac:dyDescent="0.25">
      <c r="F29" s="4">
        <f t="shared" si="2"/>
        <v>0</v>
      </c>
      <c r="L29" s="4">
        <f t="shared" si="0"/>
        <v>0</v>
      </c>
      <c r="R29" s="4">
        <f t="shared" si="3"/>
        <v>0</v>
      </c>
      <c r="X29" s="4">
        <f t="shared" si="1"/>
        <v>0</v>
      </c>
    </row>
    <row r="30" spans="2:24" x14ac:dyDescent="0.25">
      <c r="F30" s="4">
        <f t="shared" si="2"/>
        <v>0</v>
      </c>
      <c r="L30" s="4">
        <f t="shared" si="0"/>
        <v>0</v>
      </c>
      <c r="R30" s="4">
        <f t="shared" si="3"/>
        <v>0</v>
      </c>
      <c r="X30" s="4">
        <f t="shared" si="1"/>
        <v>0</v>
      </c>
    </row>
    <row r="31" spans="2:24" x14ac:dyDescent="0.25">
      <c r="F31" s="4">
        <f t="shared" si="2"/>
        <v>0</v>
      </c>
      <c r="L31" s="4">
        <f t="shared" si="0"/>
        <v>0</v>
      </c>
      <c r="R31" s="4">
        <f t="shared" si="3"/>
        <v>0</v>
      </c>
      <c r="X31" s="4">
        <f t="shared" si="1"/>
        <v>0</v>
      </c>
    </row>
    <row r="32" spans="2:24" x14ac:dyDescent="0.25">
      <c r="F32" s="4">
        <f t="shared" si="2"/>
        <v>0</v>
      </c>
      <c r="H32" s="9" t="s">
        <v>23</v>
      </c>
      <c r="I32" s="9"/>
      <c r="J32" s="9"/>
      <c r="K32" s="9"/>
      <c r="L32" s="4">
        <f t="shared" si="0"/>
        <v>0</v>
      </c>
      <c r="R32" s="4">
        <f t="shared" si="3"/>
        <v>0</v>
      </c>
      <c r="T32" s="9" t="s">
        <v>23</v>
      </c>
      <c r="U32" s="9"/>
      <c r="V32" s="9"/>
      <c r="W32" s="9"/>
      <c r="X32" s="15">
        <f>SUM(X10:X31)</f>
        <v>0</v>
      </c>
    </row>
    <row r="33" spans="2:24" x14ac:dyDescent="0.25">
      <c r="B33" s="13" t="s">
        <v>28</v>
      </c>
      <c r="C33" s="13"/>
      <c r="D33" s="14"/>
      <c r="E33" s="14"/>
      <c r="F33" s="10">
        <f>-D33*E33</f>
        <v>0</v>
      </c>
      <c r="H33" s="9" t="s">
        <v>24</v>
      </c>
      <c r="I33" s="9"/>
      <c r="J33" s="9"/>
      <c r="K33" s="9"/>
      <c r="L33" s="8">
        <f>SUM(F34)</f>
        <v>4636.5</v>
      </c>
      <c r="N33" s="13" t="s">
        <v>28</v>
      </c>
      <c r="O33" s="13"/>
      <c r="P33" s="14"/>
      <c r="Q33" s="14"/>
      <c r="R33" s="10">
        <f>-P33*Q33</f>
        <v>0</v>
      </c>
      <c r="T33" s="9" t="s">
        <v>24</v>
      </c>
      <c r="U33" s="9"/>
      <c r="V33" s="9"/>
      <c r="W33" s="9"/>
      <c r="X33" s="8">
        <f>SUM(R34)</f>
        <v>659.5</v>
      </c>
    </row>
    <row r="34" spans="2:24" x14ac:dyDescent="0.25">
      <c r="B34" s="7" t="s">
        <v>19</v>
      </c>
      <c r="C34" s="7"/>
      <c r="D34" s="7"/>
      <c r="E34" s="7"/>
      <c r="F34" s="21">
        <f>SUM(F10:F33)</f>
        <v>4636.5</v>
      </c>
      <c r="H34" s="9" t="s">
        <v>25</v>
      </c>
      <c r="I34" s="9"/>
      <c r="J34" s="9"/>
      <c r="K34" s="9"/>
      <c r="L34" s="22">
        <f>SUM(L33+L32)</f>
        <v>4636.5</v>
      </c>
      <c r="N34" s="7" t="s">
        <v>19</v>
      </c>
      <c r="O34" s="7"/>
      <c r="P34" s="7"/>
      <c r="Q34" s="7"/>
      <c r="R34" s="21">
        <f>SUM(R10:R33)</f>
        <v>659.5</v>
      </c>
      <c r="T34" s="9" t="s">
        <v>25</v>
      </c>
      <c r="U34" s="9"/>
      <c r="V34" s="9"/>
      <c r="W34" s="9"/>
      <c r="X34" s="22">
        <f>SUM(X33+X32)</f>
        <v>659.5</v>
      </c>
    </row>
    <row r="35" spans="2:24" ht="18.75" x14ac:dyDescent="0.3">
      <c r="B35" s="17" t="s">
        <v>29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N35" s="17" t="s">
        <v>29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7" spans="2:24" x14ac:dyDescent="0.25">
      <c r="B37" s="3" t="s">
        <v>0</v>
      </c>
      <c r="C37" s="3"/>
      <c r="D37" s="18" t="s">
        <v>59</v>
      </c>
      <c r="E37" s="18"/>
      <c r="F37" s="18"/>
      <c r="H37" s="3" t="s">
        <v>43</v>
      </c>
      <c r="I37" s="3"/>
      <c r="J37">
        <v>2</v>
      </c>
      <c r="N37" s="3" t="s">
        <v>0</v>
      </c>
      <c r="O37" s="3"/>
      <c r="P37" s="18" t="s">
        <v>62</v>
      </c>
      <c r="Q37" s="18"/>
      <c r="R37" s="18"/>
      <c r="T37" s="3" t="s">
        <v>43</v>
      </c>
      <c r="U37" s="3"/>
      <c r="V37">
        <v>2</v>
      </c>
    </row>
    <row r="38" spans="2:24" x14ac:dyDescent="0.25">
      <c r="B38" s="3" t="s">
        <v>1</v>
      </c>
      <c r="C38" s="3"/>
      <c r="D38" s="2" t="s">
        <v>60</v>
      </c>
      <c r="E38" s="2"/>
      <c r="F38" s="2"/>
      <c r="H38" s="3" t="s">
        <v>44</v>
      </c>
      <c r="I38" s="3"/>
      <c r="J38" t="s">
        <v>50</v>
      </c>
      <c r="N38" s="3" t="s">
        <v>1</v>
      </c>
      <c r="O38" s="3"/>
      <c r="P38" s="2" t="s">
        <v>61</v>
      </c>
      <c r="Q38" s="2"/>
      <c r="R38" s="2"/>
      <c r="T38" s="3" t="s">
        <v>44</v>
      </c>
      <c r="U38" s="3"/>
      <c r="V38" t="s">
        <v>50</v>
      </c>
    </row>
    <row r="39" spans="2:24" x14ac:dyDescent="0.25">
      <c r="B39" s="3" t="s">
        <v>3</v>
      </c>
      <c r="C39" s="3"/>
      <c r="D39" s="2" t="s">
        <v>32</v>
      </c>
      <c r="E39" s="2"/>
      <c r="F39" s="2"/>
      <c r="H39" s="3" t="s">
        <v>45</v>
      </c>
      <c r="I39" s="3"/>
      <c r="J39" t="s">
        <v>51</v>
      </c>
      <c r="N39" s="3" t="s">
        <v>3</v>
      </c>
      <c r="O39" s="3"/>
      <c r="P39" s="2" t="s">
        <v>32</v>
      </c>
      <c r="Q39" s="2"/>
      <c r="R39" s="2"/>
      <c r="T39" s="3" t="s">
        <v>45</v>
      </c>
      <c r="U39" s="3"/>
      <c r="V39" t="s">
        <v>51</v>
      </c>
    </row>
    <row r="40" spans="2:24" x14ac:dyDescent="0.25">
      <c r="B40" s="3" t="s">
        <v>2</v>
      </c>
      <c r="C40" s="3"/>
      <c r="D40" s="2" t="s">
        <v>55</v>
      </c>
      <c r="E40" s="2"/>
      <c r="F40" s="2"/>
      <c r="H40" s="3" t="s">
        <v>46</v>
      </c>
      <c r="I40" s="3"/>
      <c r="J40" t="s">
        <v>52</v>
      </c>
      <c r="N40" s="3" t="s">
        <v>2</v>
      </c>
      <c r="O40" s="3"/>
      <c r="P40" s="2" t="s">
        <v>55</v>
      </c>
      <c r="Q40" s="2"/>
      <c r="R40" s="2"/>
      <c r="T40" s="3" t="s">
        <v>46</v>
      </c>
      <c r="U40" s="3"/>
      <c r="V40" t="s">
        <v>52</v>
      </c>
    </row>
    <row r="42" spans="2:24" x14ac:dyDescent="0.25">
      <c r="B42" s="1"/>
      <c r="C42" s="1" t="s">
        <v>4</v>
      </c>
      <c r="D42" s="1"/>
      <c r="E42" s="1"/>
      <c r="F42" s="1"/>
      <c r="H42" s="6" t="s">
        <v>20</v>
      </c>
      <c r="I42" s="6"/>
      <c r="J42" s="6"/>
      <c r="K42" s="6"/>
      <c r="L42" s="6"/>
      <c r="N42" s="1"/>
      <c r="O42" s="1" t="s">
        <v>4</v>
      </c>
      <c r="P42" s="1"/>
      <c r="Q42" s="1"/>
      <c r="R42" s="1"/>
      <c r="T42" s="6" t="s">
        <v>20</v>
      </c>
      <c r="U42" s="6"/>
      <c r="V42" s="6"/>
      <c r="W42" s="6"/>
      <c r="X42" s="6"/>
    </row>
    <row r="43" spans="2:24" x14ac:dyDescent="0.25">
      <c r="B43" s="11" t="s">
        <v>5</v>
      </c>
      <c r="C43" s="11" t="s">
        <v>6</v>
      </c>
      <c r="D43" s="11" t="s">
        <v>7</v>
      </c>
      <c r="E43" s="12" t="s">
        <v>8</v>
      </c>
      <c r="F43" s="11" t="s">
        <v>9</v>
      </c>
      <c r="H43" s="11" t="s">
        <v>5</v>
      </c>
      <c r="I43" s="12" t="s">
        <v>21</v>
      </c>
      <c r="J43" s="12" t="s">
        <v>22</v>
      </c>
      <c r="K43" s="12" t="s">
        <v>8</v>
      </c>
      <c r="L43" s="12" t="s">
        <v>9</v>
      </c>
      <c r="N43" s="11" t="s">
        <v>5</v>
      </c>
      <c r="O43" s="11" t="s">
        <v>6</v>
      </c>
      <c r="P43" s="11" t="s">
        <v>7</v>
      </c>
      <c r="Q43" s="12" t="s">
        <v>8</v>
      </c>
      <c r="R43" s="11" t="s">
        <v>9</v>
      </c>
      <c r="T43" s="11" t="s">
        <v>5</v>
      </c>
      <c r="U43" s="12" t="s">
        <v>21</v>
      </c>
      <c r="V43" s="12" t="s">
        <v>22</v>
      </c>
      <c r="W43" s="12" t="s">
        <v>8</v>
      </c>
      <c r="X43" s="12" t="s">
        <v>9</v>
      </c>
    </row>
    <row r="44" spans="2:24" x14ac:dyDescent="0.25">
      <c r="B44" t="s">
        <v>10</v>
      </c>
      <c r="C44">
        <v>1</v>
      </c>
      <c r="E44">
        <v>650</v>
      </c>
      <c r="F44" s="4">
        <f>C44*E44</f>
        <v>650</v>
      </c>
      <c r="K44">
        <v>111</v>
      </c>
      <c r="L44" s="4">
        <f t="shared" ref="L44:L46" si="4">-I44*K44+J44*K44</f>
        <v>0</v>
      </c>
      <c r="N44" t="s">
        <v>10</v>
      </c>
      <c r="O44">
        <v>1</v>
      </c>
      <c r="Q44">
        <v>650</v>
      </c>
      <c r="R44" s="4">
        <f>O44*Q44</f>
        <v>650</v>
      </c>
      <c r="X44" s="4">
        <f t="shared" ref="X44:X65" si="5">-U44*W44+V44*W44</f>
        <v>0</v>
      </c>
    </row>
    <row r="45" spans="2:24" x14ac:dyDescent="0.25">
      <c r="B45" t="s">
        <v>11</v>
      </c>
      <c r="E45">
        <v>670</v>
      </c>
      <c r="F45" s="4">
        <f t="shared" ref="F45:F66" si="6">C45*E45</f>
        <v>0</v>
      </c>
      <c r="L45" s="4">
        <f t="shared" si="4"/>
        <v>0</v>
      </c>
      <c r="N45" t="s">
        <v>11</v>
      </c>
      <c r="R45" s="4">
        <f t="shared" ref="R45:R66" si="7">O45*Q45</f>
        <v>0</v>
      </c>
      <c r="X45" s="4">
        <f t="shared" si="5"/>
        <v>0</v>
      </c>
    </row>
    <row r="46" spans="2:24" x14ac:dyDescent="0.25">
      <c r="B46" t="s">
        <v>12</v>
      </c>
      <c r="E46">
        <v>973</v>
      </c>
      <c r="F46" s="4">
        <f t="shared" si="6"/>
        <v>0</v>
      </c>
      <c r="L46" s="4">
        <f t="shared" si="4"/>
        <v>0</v>
      </c>
      <c r="N46" t="s">
        <v>12</v>
      </c>
      <c r="R46" s="4">
        <f t="shared" si="7"/>
        <v>0</v>
      </c>
      <c r="X46" s="4">
        <f t="shared" si="5"/>
        <v>0</v>
      </c>
    </row>
    <row r="47" spans="2:24" x14ac:dyDescent="0.25">
      <c r="B47" t="s">
        <v>13</v>
      </c>
      <c r="E47">
        <v>622</v>
      </c>
      <c r="F47" s="4">
        <f t="shared" si="6"/>
        <v>0</v>
      </c>
      <c r="K47">
        <v>4.5</v>
      </c>
      <c r="L47" s="4">
        <f>-I47*K47+J47*K47</f>
        <v>0</v>
      </c>
      <c r="N47" t="s">
        <v>13</v>
      </c>
      <c r="R47" s="4">
        <f t="shared" si="7"/>
        <v>0</v>
      </c>
      <c r="X47" s="4">
        <f t="shared" si="5"/>
        <v>0</v>
      </c>
    </row>
    <row r="48" spans="2:24" x14ac:dyDescent="0.25">
      <c r="B48" t="s">
        <v>14</v>
      </c>
      <c r="E48">
        <v>912</v>
      </c>
      <c r="F48" s="4">
        <f t="shared" si="6"/>
        <v>0</v>
      </c>
      <c r="L48" s="4">
        <f t="shared" ref="L48:L65" si="8">-I48*K48+J48*K48</f>
        <v>0</v>
      </c>
      <c r="N48" t="s">
        <v>14</v>
      </c>
      <c r="R48" s="4">
        <f t="shared" si="7"/>
        <v>0</v>
      </c>
      <c r="X48" s="4">
        <f t="shared" si="5"/>
        <v>0</v>
      </c>
    </row>
    <row r="49" spans="2:24" x14ac:dyDescent="0.25">
      <c r="B49" t="s">
        <v>15</v>
      </c>
      <c r="F49" s="4">
        <f t="shared" si="6"/>
        <v>0</v>
      </c>
      <c r="L49" s="4">
        <f t="shared" si="8"/>
        <v>0</v>
      </c>
      <c r="N49" t="s">
        <v>15</v>
      </c>
      <c r="R49" s="4">
        <f t="shared" si="7"/>
        <v>0</v>
      </c>
      <c r="X49" s="4">
        <f t="shared" si="5"/>
        <v>0</v>
      </c>
    </row>
    <row r="50" spans="2:24" x14ac:dyDescent="0.25">
      <c r="B50" t="s">
        <v>16</v>
      </c>
      <c r="E50">
        <v>872</v>
      </c>
      <c r="F50" s="4">
        <f t="shared" si="6"/>
        <v>0</v>
      </c>
      <c r="L50" s="4">
        <f t="shared" si="8"/>
        <v>0</v>
      </c>
      <c r="N50" t="s">
        <v>16</v>
      </c>
      <c r="R50" s="4">
        <f t="shared" si="7"/>
        <v>0</v>
      </c>
      <c r="X50" s="4">
        <f t="shared" si="5"/>
        <v>0</v>
      </c>
    </row>
    <row r="51" spans="2:24" x14ac:dyDescent="0.25">
      <c r="B51" t="s">
        <v>17</v>
      </c>
      <c r="C51">
        <v>1</v>
      </c>
      <c r="E51">
        <v>9.5</v>
      </c>
      <c r="F51" s="4">
        <f t="shared" si="6"/>
        <v>9.5</v>
      </c>
      <c r="K51">
        <v>42</v>
      </c>
      <c r="L51" s="4">
        <f t="shared" si="8"/>
        <v>0</v>
      </c>
      <c r="N51" t="s">
        <v>17</v>
      </c>
      <c r="O51">
        <v>1</v>
      </c>
      <c r="Q51">
        <v>9.5</v>
      </c>
      <c r="R51" s="4">
        <f t="shared" si="7"/>
        <v>9.5</v>
      </c>
      <c r="X51" s="4">
        <f t="shared" si="5"/>
        <v>0</v>
      </c>
    </row>
    <row r="52" spans="2:24" x14ac:dyDescent="0.25">
      <c r="B52" t="s">
        <v>18</v>
      </c>
      <c r="E52">
        <v>500</v>
      </c>
      <c r="F52" s="4">
        <f t="shared" si="6"/>
        <v>0</v>
      </c>
      <c r="L52" s="4">
        <f t="shared" si="8"/>
        <v>0</v>
      </c>
      <c r="N52" t="s">
        <v>18</v>
      </c>
      <c r="R52" s="4">
        <f t="shared" si="7"/>
        <v>0</v>
      </c>
      <c r="X52" s="4">
        <f t="shared" si="5"/>
        <v>0</v>
      </c>
    </row>
    <row r="53" spans="2:24" x14ac:dyDescent="0.25">
      <c r="B53" t="s">
        <v>26</v>
      </c>
      <c r="E53">
        <v>650</v>
      </c>
      <c r="F53" s="4">
        <f t="shared" si="6"/>
        <v>0</v>
      </c>
      <c r="L53" s="4">
        <f t="shared" si="8"/>
        <v>0</v>
      </c>
      <c r="N53" t="s">
        <v>26</v>
      </c>
      <c r="R53" s="4">
        <f t="shared" si="7"/>
        <v>0</v>
      </c>
      <c r="X53" s="4">
        <f t="shared" si="5"/>
        <v>0</v>
      </c>
    </row>
    <row r="54" spans="2:24" x14ac:dyDescent="0.25">
      <c r="B54" s="20" t="s">
        <v>41</v>
      </c>
      <c r="E54">
        <v>1175</v>
      </c>
      <c r="F54" s="4">
        <f t="shared" si="6"/>
        <v>0</v>
      </c>
      <c r="L54" s="4">
        <f t="shared" si="8"/>
        <v>0</v>
      </c>
      <c r="R54" s="4">
        <f t="shared" si="7"/>
        <v>0</v>
      </c>
      <c r="X54" s="4">
        <f t="shared" si="5"/>
        <v>0</v>
      </c>
    </row>
    <row r="55" spans="2:24" x14ac:dyDescent="0.25">
      <c r="B55" t="s">
        <v>40</v>
      </c>
      <c r="E55">
        <v>700</v>
      </c>
      <c r="F55" s="4">
        <f t="shared" si="6"/>
        <v>0</v>
      </c>
      <c r="L55" s="4">
        <f t="shared" si="8"/>
        <v>0</v>
      </c>
      <c r="R55" s="4">
        <f t="shared" si="7"/>
        <v>0</v>
      </c>
      <c r="X55" s="4">
        <f t="shared" si="5"/>
        <v>0</v>
      </c>
    </row>
    <row r="56" spans="2:24" x14ac:dyDescent="0.25">
      <c r="F56" s="4">
        <f t="shared" si="6"/>
        <v>0</v>
      </c>
      <c r="L56" s="4">
        <f t="shared" si="8"/>
        <v>0</v>
      </c>
      <c r="R56" s="4">
        <f t="shared" si="7"/>
        <v>0</v>
      </c>
      <c r="X56" s="4">
        <f t="shared" si="5"/>
        <v>0</v>
      </c>
    </row>
    <row r="57" spans="2:24" x14ac:dyDescent="0.25">
      <c r="F57" s="4">
        <f t="shared" si="6"/>
        <v>0</v>
      </c>
      <c r="L57" s="4">
        <f t="shared" si="8"/>
        <v>0</v>
      </c>
      <c r="R57" s="4">
        <f t="shared" si="7"/>
        <v>0</v>
      </c>
      <c r="X57" s="4">
        <f t="shared" si="5"/>
        <v>0</v>
      </c>
    </row>
    <row r="58" spans="2:24" x14ac:dyDescent="0.25">
      <c r="F58" s="4">
        <f t="shared" si="6"/>
        <v>0</v>
      </c>
      <c r="L58" s="4">
        <f t="shared" si="8"/>
        <v>0</v>
      </c>
      <c r="R58" s="4">
        <f t="shared" si="7"/>
        <v>0</v>
      </c>
      <c r="X58" s="4">
        <f t="shared" si="5"/>
        <v>0</v>
      </c>
    </row>
    <row r="59" spans="2:24" x14ac:dyDescent="0.25">
      <c r="F59" s="4">
        <f t="shared" si="6"/>
        <v>0</v>
      </c>
      <c r="L59" s="4">
        <f t="shared" si="8"/>
        <v>0</v>
      </c>
      <c r="R59" s="4">
        <f t="shared" si="7"/>
        <v>0</v>
      </c>
      <c r="X59" s="4">
        <f t="shared" si="5"/>
        <v>0</v>
      </c>
    </row>
    <row r="60" spans="2:24" x14ac:dyDescent="0.25">
      <c r="F60" s="4">
        <f t="shared" si="6"/>
        <v>0</v>
      </c>
      <c r="L60" s="4">
        <f t="shared" si="8"/>
        <v>0</v>
      </c>
      <c r="R60" s="4">
        <f t="shared" si="7"/>
        <v>0</v>
      </c>
      <c r="X60" s="4">
        <f t="shared" si="5"/>
        <v>0</v>
      </c>
    </row>
    <row r="61" spans="2:24" x14ac:dyDescent="0.25">
      <c r="F61" s="4">
        <f t="shared" si="6"/>
        <v>0</v>
      </c>
      <c r="L61" s="4">
        <f t="shared" si="8"/>
        <v>0</v>
      </c>
      <c r="R61" s="4">
        <f t="shared" si="7"/>
        <v>0</v>
      </c>
      <c r="X61" s="4">
        <f t="shared" si="5"/>
        <v>0</v>
      </c>
    </row>
    <row r="62" spans="2:24" x14ac:dyDescent="0.25">
      <c r="F62" s="4">
        <f t="shared" si="6"/>
        <v>0</v>
      </c>
      <c r="L62" s="4">
        <f t="shared" si="8"/>
        <v>0</v>
      </c>
      <c r="R62" s="4">
        <f t="shared" si="7"/>
        <v>0</v>
      </c>
      <c r="X62" s="4">
        <f t="shared" si="5"/>
        <v>0</v>
      </c>
    </row>
    <row r="63" spans="2:24" x14ac:dyDescent="0.25">
      <c r="F63" s="4">
        <f t="shared" si="6"/>
        <v>0</v>
      </c>
      <c r="L63" s="4">
        <f t="shared" si="8"/>
        <v>0</v>
      </c>
      <c r="R63" s="4">
        <f t="shared" si="7"/>
        <v>0</v>
      </c>
      <c r="X63" s="4">
        <f t="shared" si="5"/>
        <v>0</v>
      </c>
    </row>
    <row r="64" spans="2:24" x14ac:dyDescent="0.25">
      <c r="F64" s="4">
        <f t="shared" si="6"/>
        <v>0</v>
      </c>
      <c r="L64" s="4">
        <f t="shared" si="8"/>
        <v>0</v>
      </c>
      <c r="R64" s="4">
        <f t="shared" si="7"/>
        <v>0</v>
      </c>
      <c r="X64" s="4">
        <f t="shared" si="5"/>
        <v>0</v>
      </c>
    </row>
    <row r="65" spans="2:24" x14ac:dyDescent="0.25">
      <c r="F65" s="4">
        <f t="shared" si="6"/>
        <v>0</v>
      </c>
      <c r="L65" s="4">
        <f t="shared" si="8"/>
        <v>0</v>
      </c>
      <c r="R65" s="4">
        <f t="shared" si="7"/>
        <v>0</v>
      </c>
      <c r="X65" s="4">
        <f t="shared" si="5"/>
        <v>0</v>
      </c>
    </row>
    <row r="66" spans="2:24" x14ac:dyDescent="0.25">
      <c r="F66" s="4">
        <f t="shared" si="6"/>
        <v>0</v>
      </c>
      <c r="H66" s="9" t="s">
        <v>23</v>
      </c>
      <c r="I66" s="9"/>
      <c r="J66" s="9"/>
      <c r="K66" s="9"/>
      <c r="L66" s="15">
        <f>SUM(L44:L65)</f>
        <v>0</v>
      </c>
      <c r="R66" s="4">
        <f t="shared" si="7"/>
        <v>0</v>
      </c>
      <c r="T66" s="9" t="s">
        <v>23</v>
      </c>
      <c r="U66" s="9"/>
      <c r="V66" s="9"/>
      <c r="W66" s="9"/>
      <c r="X66" s="15">
        <f>SUM(X44:X65)</f>
        <v>0</v>
      </c>
    </row>
    <row r="67" spans="2:24" x14ac:dyDescent="0.25">
      <c r="B67" s="13" t="s">
        <v>28</v>
      </c>
      <c r="C67" s="13"/>
      <c r="D67" s="14"/>
      <c r="E67" s="14"/>
      <c r="F67" s="10">
        <f>-D67*E67</f>
        <v>0</v>
      </c>
      <c r="H67" s="9" t="s">
        <v>24</v>
      </c>
      <c r="I67" s="9"/>
      <c r="J67" s="9"/>
      <c r="K67" s="9"/>
      <c r="L67" s="8">
        <f>SUM(F68)</f>
        <v>659.5</v>
      </c>
      <c r="N67" s="13" t="s">
        <v>28</v>
      </c>
      <c r="O67" s="13"/>
      <c r="P67" s="14"/>
      <c r="Q67" s="14"/>
      <c r="R67" s="10">
        <f>-P67*Q67</f>
        <v>0</v>
      </c>
      <c r="T67" s="9" t="s">
        <v>24</v>
      </c>
      <c r="U67" s="9"/>
      <c r="V67" s="9"/>
      <c r="W67" s="9"/>
      <c r="X67" s="8">
        <f>SUM(R68)</f>
        <v>659.5</v>
      </c>
    </row>
    <row r="68" spans="2:24" x14ac:dyDescent="0.25">
      <c r="B68" s="7" t="s">
        <v>19</v>
      </c>
      <c r="C68" s="7"/>
      <c r="D68" s="7"/>
      <c r="E68" s="7"/>
      <c r="F68" s="21">
        <f>SUM(F44:F67)</f>
        <v>659.5</v>
      </c>
      <c r="H68" s="9" t="s">
        <v>25</v>
      </c>
      <c r="I68" s="9"/>
      <c r="J68" s="9"/>
      <c r="K68" s="9"/>
      <c r="L68" s="22">
        <f>SUM(L67+L66)</f>
        <v>659.5</v>
      </c>
      <c r="N68" s="7" t="s">
        <v>19</v>
      </c>
      <c r="O68" s="7"/>
      <c r="P68" s="7"/>
      <c r="Q68" s="7"/>
      <c r="R68" s="21">
        <f>SUM(R44:R67)</f>
        <v>659.5</v>
      </c>
      <c r="T68" s="9" t="s">
        <v>25</v>
      </c>
      <c r="U68" s="9"/>
      <c r="V68" s="9"/>
      <c r="W68" s="9"/>
      <c r="X68" s="22">
        <f>SUM(X67+X66)</f>
        <v>659.5</v>
      </c>
    </row>
    <row r="69" spans="2:24" ht="18.75" x14ac:dyDescent="0.3">
      <c r="B69" s="17" t="s">
        <v>29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N69" s="17" t="s">
        <v>29</v>
      </c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1" spans="2:24" x14ac:dyDescent="0.25">
      <c r="B71" s="3" t="s">
        <v>0</v>
      </c>
      <c r="C71" s="3"/>
      <c r="D71" s="18" t="s">
        <v>63</v>
      </c>
      <c r="E71" s="18"/>
      <c r="F71" s="18"/>
      <c r="H71" s="3" t="s">
        <v>43</v>
      </c>
      <c r="I71" s="3"/>
      <c r="J71">
        <v>2</v>
      </c>
      <c r="N71" s="3" t="s">
        <v>0</v>
      </c>
      <c r="O71" s="3"/>
      <c r="P71" s="18" t="s">
        <v>67</v>
      </c>
      <c r="Q71" s="18"/>
      <c r="R71" s="18"/>
      <c r="T71" s="3" t="s">
        <v>43</v>
      </c>
      <c r="U71" s="3"/>
      <c r="V71">
        <v>2</v>
      </c>
    </row>
    <row r="72" spans="2:24" x14ac:dyDescent="0.25">
      <c r="B72" s="3" t="s">
        <v>1</v>
      </c>
      <c r="C72" s="3"/>
      <c r="D72" s="2" t="s">
        <v>64</v>
      </c>
      <c r="E72" s="2"/>
      <c r="F72" s="2"/>
      <c r="H72" s="3" t="s">
        <v>44</v>
      </c>
      <c r="I72" s="3"/>
      <c r="J72" t="s">
        <v>50</v>
      </c>
      <c r="N72" s="3" t="s">
        <v>1</v>
      </c>
      <c r="O72" s="3"/>
      <c r="P72" s="2" t="s">
        <v>68</v>
      </c>
      <c r="Q72" s="2"/>
      <c r="R72" s="2"/>
      <c r="T72" s="3" t="s">
        <v>44</v>
      </c>
      <c r="U72" s="3"/>
      <c r="V72" t="s">
        <v>50</v>
      </c>
    </row>
    <row r="73" spans="2:24" x14ac:dyDescent="0.25">
      <c r="B73" s="3" t="s">
        <v>3</v>
      </c>
      <c r="C73" s="3"/>
      <c r="D73" s="2" t="s">
        <v>32</v>
      </c>
      <c r="E73" s="2"/>
      <c r="F73" s="2"/>
      <c r="H73" s="3" t="s">
        <v>45</v>
      </c>
      <c r="I73" s="3"/>
      <c r="J73" t="s">
        <v>51</v>
      </c>
      <c r="N73" s="3" t="s">
        <v>3</v>
      </c>
      <c r="O73" s="3"/>
      <c r="P73" s="2" t="s">
        <v>32</v>
      </c>
      <c r="Q73" s="2"/>
      <c r="R73" s="2"/>
      <c r="T73" s="3" t="s">
        <v>45</v>
      </c>
      <c r="U73" s="3"/>
      <c r="V73" t="s">
        <v>51</v>
      </c>
    </row>
    <row r="74" spans="2:24" x14ac:dyDescent="0.25">
      <c r="B74" s="3" t="s">
        <v>2</v>
      </c>
      <c r="C74" s="3"/>
      <c r="D74" s="2" t="s">
        <v>65</v>
      </c>
      <c r="E74" s="2"/>
      <c r="F74" s="2"/>
      <c r="H74" s="3" t="s">
        <v>46</v>
      </c>
      <c r="I74" s="3"/>
      <c r="J74" t="s">
        <v>52</v>
      </c>
      <c r="N74" s="3" t="s">
        <v>2</v>
      </c>
      <c r="O74" s="3"/>
      <c r="P74" s="2" t="s">
        <v>65</v>
      </c>
      <c r="Q74" s="2"/>
      <c r="R74" s="2"/>
      <c r="T74" s="3" t="s">
        <v>46</v>
      </c>
      <c r="U74" s="3"/>
      <c r="V74" t="s">
        <v>52</v>
      </c>
    </row>
    <row r="76" spans="2:24" x14ac:dyDescent="0.25">
      <c r="B76" s="1"/>
      <c r="C76" s="1" t="s">
        <v>4</v>
      </c>
      <c r="D76" s="1"/>
      <c r="E76" s="1"/>
      <c r="F76" s="1"/>
      <c r="H76" s="6" t="s">
        <v>20</v>
      </c>
      <c r="I76" s="6"/>
      <c r="J76" s="6"/>
      <c r="K76" s="6"/>
      <c r="L76" s="6"/>
      <c r="N76" s="1"/>
      <c r="O76" s="1" t="s">
        <v>4</v>
      </c>
      <c r="P76" s="1"/>
      <c r="Q76" s="1"/>
      <c r="R76" s="1"/>
      <c r="T76" s="6" t="s">
        <v>20</v>
      </c>
      <c r="U76" s="6"/>
      <c r="V76" s="6"/>
      <c r="W76" s="6"/>
      <c r="X76" s="6"/>
    </row>
    <row r="77" spans="2:24" x14ac:dyDescent="0.25">
      <c r="B77" s="11" t="s">
        <v>5</v>
      </c>
      <c r="C77" s="11" t="s">
        <v>6</v>
      </c>
      <c r="D77" s="11" t="s">
        <v>7</v>
      </c>
      <c r="E77" s="12" t="s">
        <v>8</v>
      </c>
      <c r="F77" s="11" t="s">
        <v>9</v>
      </c>
      <c r="H77" s="11" t="s">
        <v>5</v>
      </c>
      <c r="I77" s="12" t="s">
        <v>21</v>
      </c>
      <c r="J77" s="12" t="s">
        <v>22</v>
      </c>
      <c r="K77" s="12" t="s">
        <v>8</v>
      </c>
      <c r="L77" s="12" t="s">
        <v>9</v>
      </c>
      <c r="N77" s="11" t="s">
        <v>5</v>
      </c>
      <c r="O77" s="11" t="s">
        <v>6</v>
      </c>
      <c r="P77" s="11" t="s">
        <v>7</v>
      </c>
      <c r="Q77" s="12" t="s">
        <v>8</v>
      </c>
      <c r="R77" s="11" t="s">
        <v>9</v>
      </c>
      <c r="T77" s="11" t="s">
        <v>5</v>
      </c>
      <c r="U77" s="12" t="s">
        <v>21</v>
      </c>
      <c r="V77" s="12" t="s">
        <v>22</v>
      </c>
      <c r="W77" s="12" t="s">
        <v>8</v>
      </c>
      <c r="X77" s="12" t="s">
        <v>9</v>
      </c>
    </row>
    <row r="78" spans="2:24" x14ac:dyDescent="0.25">
      <c r="B78" t="s">
        <v>10</v>
      </c>
      <c r="C78">
        <v>181</v>
      </c>
      <c r="E78">
        <v>650</v>
      </c>
      <c r="F78" s="4">
        <f>C78*E78</f>
        <v>117650</v>
      </c>
      <c r="K78">
        <v>111</v>
      </c>
      <c r="L78" s="4">
        <f t="shared" ref="L78:L80" si="9">-I78*K78+J78*K78</f>
        <v>0</v>
      </c>
      <c r="N78" t="s">
        <v>10</v>
      </c>
      <c r="O78">
        <v>68</v>
      </c>
      <c r="Q78">
        <v>650</v>
      </c>
      <c r="R78" s="4">
        <f>O78*Q78</f>
        <v>44200</v>
      </c>
      <c r="T78" t="s">
        <v>69</v>
      </c>
      <c r="V78">
        <v>1</v>
      </c>
      <c r="W78">
        <v>4.5</v>
      </c>
      <c r="X78" s="4">
        <f t="shared" ref="X78:X99" si="10">-U78*W78+V78*W78</f>
        <v>4.5</v>
      </c>
    </row>
    <row r="79" spans="2:24" x14ac:dyDescent="0.25">
      <c r="B79" t="s">
        <v>11</v>
      </c>
      <c r="E79">
        <v>670</v>
      </c>
      <c r="F79" s="4">
        <f t="shared" ref="F79:F100" si="11">C79*E79</f>
        <v>0</v>
      </c>
      <c r="L79" s="4">
        <f t="shared" si="9"/>
        <v>0</v>
      </c>
      <c r="N79" t="s">
        <v>11</v>
      </c>
      <c r="R79" s="4">
        <f t="shared" ref="R79:R100" si="12">O79*Q79</f>
        <v>0</v>
      </c>
      <c r="T79" t="s">
        <v>17</v>
      </c>
      <c r="V79">
        <v>2</v>
      </c>
      <c r="W79">
        <v>111</v>
      </c>
      <c r="X79" s="4">
        <f t="shared" si="10"/>
        <v>222</v>
      </c>
    </row>
    <row r="80" spans="2:24" x14ac:dyDescent="0.25">
      <c r="B80" t="s">
        <v>12</v>
      </c>
      <c r="E80">
        <v>973</v>
      </c>
      <c r="F80" s="4">
        <f t="shared" si="11"/>
        <v>0</v>
      </c>
      <c r="L80" s="4">
        <f t="shared" si="9"/>
        <v>0</v>
      </c>
      <c r="N80" t="s">
        <v>12</v>
      </c>
      <c r="R80" s="4">
        <f t="shared" si="12"/>
        <v>0</v>
      </c>
      <c r="X80" s="4">
        <f t="shared" si="10"/>
        <v>0</v>
      </c>
    </row>
    <row r="81" spans="2:24" x14ac:dyDescent="0.25">
      <c r="B81" t="s">
        <v>13</v>
      </c>
      <c r="C81">
        <v>27</v>
      </c>
      <c r="E81">
        <v>622</v>
      </c>
      <c r="F81" s="4">
        <f t="shared" si="11"/>
        <v>16794</v>
      </c>
      <c r="K81">
        <v>4.5</v>
      </c>
      <c r="L81" s="4">
        <f>-I81*K81+J81*K81</f>
        <v>0</v>
      </c>
      <c r="N81" t="s">
        <v>13</v>
      </c>
      <c r="R81" s="4">
        <f t="shared" si="12"/>
        <v>0</v>
      </c>
      <c r="X81" s="4">
        <f t="shared" si="10"/>
        <v>0</v>
      </c>
    </row>
    <row r="82" spans="2:24" x14ac:dyDescent="0.25">
      <c r="B82" t="s">
        <v>14</v>
      </c>
      <c r="E82">
        <v>912</v>
      </c>
      <c r="F82" s="4">
        <f t="shared" si="11"/>
        <v>0</v>
      </c>
      <c r="L82" s="4">
        <f t="shared" ref="L82:L99" si="13">-I82*K82+J82*K82</f>
        <v>0</v>
      </c>
      <c r="N82" t="s">
        <v>14</v>
      </c>
      <c r="R82" s="4">
        <f t="shared" si="12"/>
        <v>0</v>
      </c>
      <c r="X82" s="4">
        <f t="shared" si="10"/>
        <v>0</v>
      </c>
    </row>
    <row r="83" spans="2:24" x14ac:dyDescent="0.25">
      <c r="B83" t="s">
        <v>15</v>
      </c>
      <c r="F83" s="4">
        <f t="shared" si="11"/>
        <v>0</v>
      </c>
      <c r="L83" s="4">
        <f t="shared" si="13"/>
        <v>0</v>
      </c>
      <c r="N83" t="s">
        <v>15</v>
      </c>
      <c r="R83" s="4">
        <f t="shared" si="12"/>
        <v>0</v>
      </c>
      <c r="X83" s="4">
        <f t="shared" si="10"/>
        <v>0</v>
      </c>
    </row>
    <row r="84" spans="2:24" x14ac:dyDescent="0.25">
      <c r="B84" t="s">
        <v>16</v>
      </c>
      <c r="E84">
        <v>872</v>
      </c>
      <c r="F84" s="4">
        <f t="shared" si="11"/>
        <v>0</v>
      </c>
      <c r="L84" s="4">
        <f t="shared" si="13"/>
        <v>0</v>
      </c>
      <c r="N84" t="s">
        <v>16</v>
      </c>
      <c r="R84" s="4">
        <f t="shared" si="12"/>
        <v>0</v>
      </c>
      <c r="X84" s="4">
        <f t="shared" si="10"/>
        <v>0</v>
      </c>
    </row>
    <row r="85" spans="2:24" x14ac:dyDescent="0.25">
      <c r="B85" t="s">
        <v>17</v>
      </c>
      <c r="C85">
        <v>8</v>
      </c>
      <c r="E85">
        <v>229</v>
      </c>
      <c r="F85" s="4">
        <f t="shared" si="11"/>
        <v>1832</v>
      </c>
      <c r="H85" t="s">
        <v>66</v>
      </c>
      <c r="J85">
        <v>168</v>
      </c>
      <c r="K85">
        <v>1.5</v>
      </c>
      <c r="L85" s="4">
        <f t="shared" si="13"/>
        <v>252</v>
      </c>
      <c r="N85" t="s">
        <v>17</v>
      </c>
      <c r="Q85">
        <v>9.5</v>
      </c>
      <c r="R85" s="4">
        <f t="shared" si="12"/>
        <v>0</v>
      </c>
      <c r="X85" s="4">
        <f t="shared" si="10"/>
        <v>0</v>
      </c>
    </row>
    <row r="86" spans="2:24" x14ac:dyDescent="0.25">
      <c r="B86" t="s">
        <v>18</v>
      </c>
      <c r="E86">
        <v>500</v>
      </c>
      <c r="F86" s="4">
        <f t="shared" si="11"/>
        <v>0</v>
      </c>
      <c r="L86" s="4">
        <f t="shared" si="13"/>
        <v>0</v>
      </c>
      <c r="N86" t="s">
        <v>18</v>
      </c>
      <c r="R86" s="4">
        <f t="shared" si="12"/>
        <v>0</v>
      </c>
      <c r="X86" s="4">
        <f t="shared" si="10"/>
        <v>0</v>
      </c>
    </row>
    <row r="87" spans="2:24" x14ac:dyDescent="0.25">
      <c r="B87" t="s">
        <v>26</v>
      </c>
      <c r="E87">
        <v>650</v>
      </c>
      <c r="F87" s="4">
        <f t="shared" si="11"/>
        <v>0</v>
      </c>
      <c r="L87" s="4">
        <f t="shared" si="13"/>
        <v>0</v>
      </c>
      <c r="N87" t="s">
        <v>26</v>
      </c>
      <c r="R87" s="4">
        <f t="shared" si="12"/>
        <v>0</v>
      </c>
      <c r="X87" s="4">
        <f t="shared" si="10"/>
        <v>0</v>
      </c>
    </row>
    <row r="88" spans="2:24" x14ac:dyDescent="0.25">
      <c r="B88" s="20" t="s">
        <v>41</v>
      </c>
      <c r="E88">
        <v>1175</v>
      </c>
      <c r="F88" s="4">
        <f t="shared" si="11"/>
        <v>0</v>
      </c>
      <c r="L88" s="4">
        <f t="shared" si="13"/>
        <v>0</v>
      </c>
      <c r="N88" t="s">
        <v>40</v>
      </c>
      <c r="O88">
        <v>2</v>
      </c>
      <c r="Q88">
        <v>700</v>
      </c>
      <c r="R88" s="4">
        <f t="shared" si="12"/>
        <v>1400</v>
      </c>
      <c r="X88" s="4">
        <f t="shared" si="10"/>
        <v>0</v>
      </c>
    </row>
    <row r="89" spans="2:24" x14ac:dyDescent="0.25">
      <c r="B89" t="s">
        <v>40</v>
      </c>
      <c r="E89">
        <v>700</v>
      </c>
      <c r="F89" s="4">
        <f t="shared" si="11"/>
        <v>0</v>
      </c>
      <c r="L89" s="4">
        <f t="shared" si="13"/>
        <v>0</v>
      </c>
      <c r="R89" s="4">
        <f t="shared" si="12"/>
        <v>0</v>
      </c>
      <c r="X89" s="4">
        <f t="shared" si="10"/>
        <v>0</v>
      </c>
    </row>
    <row r="90" spans="2:24" x14ac:dyDescent="0.25">
      <c r="F90" s="4">
        <f t="shared" si="11"/>
        <v>0</v>
      </c>
      <c r="L90" s="4">
        <f t="shared" si="13"/>
        <v>0</v>
      </c>
      <c r="R90" s="4">
        <f t="shared" si="12"/>
        <v>0</v>
      </c>
      <c r="X90" s="4">
        <f t="shared" si="10"/>
        <v>0</v>
      </c>
    </row>
    <row r="91" spans="2:24" x14ac:dyDescent="0.25">
      <c r="F91" s="4">
        <f t="shared" si="11"/>
        <v>0</v>
      </c>
      <c r="L91" s="4">
        <f t="shared" si="13"/>
        <v>0</v>
      </c>
      <c r="R91" s="4">
        <f t="shared" si="12"/>
        <v>0</v>
      </c>
      <c r="X91" s="4">
        <f t="shared" si="10"/>
        <v>0</v>
      </c>
    </row>
    <row r="92" spans="2:24" x14ac:dyDescent="0.25">
      <c r="F92" s="4">
        <f t="shared" si="11"/>
        <v>0</v>
      </c>
      <c r="L92" s="4">
        <f t="shared" si="13"/>
        <v>0</v>
      </c>
      <c r="R92" s="4">
        <f t="shared" si="12"/>
        <v>0</v>
      </c>
      <c r="X92" s="4">
        <f t="shared" si="10"/>
        <v>0</v>
      </c>
    </row>
    <row r="93" spans="2:24" x14ac:dyDescent="0.25">
      <c r="F93" s="4">
        <f t="shared" si="11"/>
        <v>0</v>
      </c>
      <c r="L93" s="4">
        <f t="shared" si="13"/>
        <v>0</v>
      </c>
      <c r="R93" s="4">
        <f t="shared" si="12"/>
        <v>0</v>
      </c>
      <c r="X93" s="4">
        <f t="shared" si="10"/>
        <v>0</v>
      </c>
    </row>
    <row r="94" spans="2:24" x14ac:dyDescent="0.25">
      <c r="F94" s="4">
        <f t="shared" si="11"/>
        <v>0</v>
      </c>
      <c r="L94" s="4">
        <f t="shared" si="13"/>
        <v>0</v>
      </c>
      <c r="R94" s="4">
        <f t="shared" si="12"/>
        <v>0</v>
      </c>
      <c r="X94" s="4">
        <f t="shared" si="10"/>
        <v>0</v>
      </c>
    </row>
    <row r="95" spans="2:24" x14ac:dyDescent="0.25">
      <c r="F95" s="4">
        <f t="shared" si="11"/>
        <v>0</v>
      </c>
      <c r="L95" s="4">
        <f t="shared" si="13"/>
        <v>0</v>
      </c>
      <c r="R95" s="4">
        <f t="shared" si="12"/>
        <v>0</v>
      </c>
      <c r="X95" s="4">
        <f t="shared" si="10"/>
        <v>0</v>
      </c>
    </row>
    <row r="96" spans="2:24" x14ac:dyDescent="0.25">
      <c r="F96" s="4">
        <f t="shared" si="11"/>
        <v>0</v>
      </c>
      <c r="L96" s="4">
        <f t="shared" si="13"/>
        <v>0</v>
      </c>
      <c r="R96" s="4">
        <f t="shared" si="12"/>
        <v>0</v>
      </c>
      <c r="X96" s="4">
        <f t="shared" si="10"/>
        <v>0</v>
      </c>
    </row>
    <row r="97" spans="2:24" x14ac:dyDescent="0.25">
      <c r="F97" s="4">
        <f t="shared" si="11"/>
        <v>0</v>
      </c>
      <c r="L97" s="4">
        <f t="shared" si="13"/>
        <v>0</v>
      </c>
      <c r="R97" s="4">
        <f t="shared" si="12"/>
        <v>0</v>
      </c>
      <c r="X97" s="4">
        <f t="shared" si="10"/>
        <v>0</v>
      </c>
    </row>
    <row r="98" spans="2:24" x14ac:dyDescent="0.25">
      <c r="F98" s="4">
        <f t="shared" si="11"/>
        <v>0</v>
      </c>
      <c r="L98" s="4">
        <f t="shared" si="13"/>
        <v>0</v>
      </c>
      <c r="R98" s="4">
        <f t="shared" si="12"/>
        <v>0</v>
      </c>
      <c r="X98" s="4">
        <f t="shared" si="10"/>
        <v>0</v>
      </c>
    </row>
    <row r="99" spans="2:24" x14ac:dyDescent="0.25">
      <c r="F99" s="4">
        <f t="shared" si="11"/>
        <v>0</v>
      </c>
      <c r="L99" s="4">
        <f t="shared" si="13"/>
        <v>0</v>
      </c>
      <c r="R99" s="4">
        <f t="shared" si="12"/>
        <v>0</v>
      </c>
      <c r="X99" s="4">
        <f t="shared" si="10"/>
        <v>0</v>
      </c>
    </row>
    <row r="100" spans="2:24" x14ac:dyDescent="0.25">
      <c r="F100" s="4">
        <f t="shared" si="11"/>
        <v>0</v>
      </c>
      <c r="H100" s="9" t="s">
        <v>23</v>
      </c>
      <c r="I100" s="9"/>
      <c r="J100" s="9"/>
      <c r="K100" s="9"/>
      <c r="L100" s="15">
        <f>SUM(L78:L99)</f>
        <v>252</v>
      </c>
      <c r="R100" s="4">
        <f t="shared" si="12"/>
        <v>0</v>
      </c>
      <c r="T100" s="9" t="s">
        <v>23</v>
      </c>
      <c r="U100" s="9"/>
      <c r="V100" s="9"/>
      <c r="W100" s="9"/>
      <c r="X100" s="15">
        <f>SUM(X78:X99)</f>
        <v>226.5</v>
      </c>
    </row>
    <row r="101" spans="2:24" x14ac:dyDescent="0.25">
      <c r="B101" s="13" t="s">
        <v>28</v>
      </c>
      <c r="C101" s="13"/>
      <c r="D101" s="14">
        <v>208</v>
      </c>
      <c r="E101" s="14">
        <v>6</v>
      </c>
      <c r="F101" s="10">
        <f>-D101*E101</f>
        <v>-1248</v>
      </c>
      <c r="H101" s="9" t="s">
        <v>24</v>
      </c>
      <c r="I101" s="9"/>
      <c r="J101" s="9"/>
      <c r="K101" s="9"/>
      <c r="L101" s="8">
        <f>SUM(F102)</f>
        <v>135028</v>
      </c>
      <c r="N101" s="13" t="s">
        <v>28</v>
      </c>
      <c r="O101" s="13"/>
      <c r="P101" s="14"/>
      <c r="Q101" s="14"/>
      <c r="R101" s="10">
        <f>-P101*Q101</f>
        <v>0</v>
      </c>
      <c r="T101" s="9" t="s">
        <v>24</v>
      </c>
      <c r="U101" s="9"/>
      <c r="V101" s="9"/>
      <c r="W101" s="9"/>
      <c r="X101" s="8">
        <f>SUM(R102)</f>
        <v>45600</v>
      </c>
    </row>
    <row r="102" spans="2:24" x14ac:dyDescent="0.25">
      <c r="B102" s="7" t="s">
        <v>19</v>
      </c>
      <c r="C102" s="7"/>
      <c r="D102" s="7"/>
      <c r="E102" s="7"/>
      <c r="F102" s="21">
        <f>SUM(F78:F101)</f>
        <v>135028</v>
      </c>
      <c r="H102" s="9" t="s">
        <v>25</v>
      </c>
      <c r="I102" s="9"/>
      <c r="J102" s="9"/>
      <c r="K102" s="9"/>
      <c r="L102" s="22">
        <f>SUM(L101+L100)</f>
        <v>135280</v>
      </c>
      <c r="N102" s="7" t="s">
        <v>19</v>
      </c>
      <c r="O102" s="7"/>
      <c r="P102" s="7"/>
      <c r="Q102" s="7"/>
      <c r="R102" s="21">
        <f>SUM(R78:R101)</f>
        <v>45600</v>
      </c>
      <c r="T102" s="9" t="s">
        <v>25</v>
      </c>
      <c r="U102" s="9"/>
      <c r="V102" s="9"/>
      <c r="W102" s="9"/>
      <c r="X102" s="22">
        <f>SUM(X101+X100)</f>
        <v>45826.5</v>
      </c>
    </row>
    <row r="103" spans="2:24" ht="18.75" x14ac:dyDescent="0.3">
      <c r="B103" s="17" t="s">
        <v>29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N103" s="17" t="s">
        <v>29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5" spans="2:24" x14ac:dyDescent="0.25">
      <c r="B105" s="3" t="s">
        <v>0</v>
      </c>
      <c r="C105" s="3"/>
      <c r="D105" s="18" t="s">
        <v>70</v>
      </c>
      <c r="E105" s="18"/>
      <c r="F105" s="18"/>
      <c r="H105" s="3" t="s">
        <v>43</v>
      </c>
      <c r="I105" s="3"/>
      <c r="J105">
        <v>2</v>
      </c>
      <c r="N105" s="3" t="s">
        <v>0</v>
      </c>
      <c r="O105" s="3"/>
      <c r="P105" s="18" t="s">
        <v>62</v>
      </c>
      <c r="Q105" s="18"/>
      <c r="R105" s="18"/>
      <c r="T105" s="3" t="s">
        <v>43</v>
      </c>
      <c r="U105" s="3"/>
      <c r="V105">
        <v>2</v>
      </c>
    </row>
    <row r="106" spans="2:24" x14ac:dyDescent="0.25">
      <c r="B106" s="3" t="s">
        <v>1</v>
      </c>
      <c r="C106" s="3"/>
      <c r="D106" s="2" t="s">
        <v>71</v>
      </c>
      <c r="E106" s="2"/>
      <c r="F106" s="2"/>
      <c r="H106" s="3" t="s">
        <v>44</v>
      </c>
      <c r="I106" s="3"/>
      <c r="J106" t="s">
        <v>50</v>
      </c>
      <c r="N106" s="3" t="s">
        <v>1</v>
      </c>
      <c r="O106" s="3"/>
      <c r="P106" s="2" t="s">
        <v>61</v>
      </c>
      <c r="Q106" s="2"/>
      <c r="R106" s="2"/>
      <c r="T106" s="3" t="s">
        <v>44</v>
      </c>
      <c r="U106" s="3"/>
      <c r="V106" t="s">
        <v>50</v>
      </c>
    </row>
    <row r="107" spans="2:24" x14ac:dyDescent="0.25">
      <c r="B107" s="3" t="s">
        <v>3</v>
      </c>
      <c r="C107" s="3"/>
      <c r="D107" s="2" t="s">
        <v>32</v>
      </c>
      <c r="E107" s="2"/>
      <c r="F107" s="2"/>
      <c r="H107" s="3" t="s">
        <v>45</v>
      </c>
      <c r="I107" s="3"/>
      <c r="J107" t="s">
        <v>51</v>
      </c>
      <c r="N107" s="3" t="s">
        <v>3</v>
      </c>
      <c r="O107" s="3"/>
      <c r="P107" s="2" t="s">
        <v>32</v>
      </c>
      <c r="Q107" s="2"/>
      <c r="R107" s="2"/>
      <c r="T107" s="3" t="s">
        <v>45</v>
      </c>
      <c r="U107" s="3"/>
      <c r="V107" t="s">
        <v>51</v>
      </c>
    </row>
    <row r="108" spans="2:24" x14ac:dyDescent="0.25">
      <c r="B108" s="3" t="s">
        <v>2</v>
      </c>
      <c r="C108" s="3"/>
      <c r="D108" s="2" t="s">
        <v>72</v>
      </c>
      <c r="E108" s="2"/>
      <c r="F108" s="2"/>
      <c r="H108" s="3" t="s">
        <v>46</v>
      </c>
      <c r="I108" s="3"/>
      <c r="J108" t="s">
        <v>52</v>
      </c>
      <c r="N108" s="3" t="s">
        <v>2</v>
      </c>
      <c r="O108" s="3"/>
      <c r="P108" s="2" t="s">
        <v>55</v>
      </c>
      <c r="Q108" s="2"/>
      <c r="R108" s="2"/>
      <c r="T108" s="3" t="s">
        <v>46</v>
      </c>
      <c r="U108" s="3"/>
      <c r="V108" t="s">
        <v>52</v>
      </c>
    </row>
    <row r="110" spans="2:24" x14ac:dyDescent="0.25">
      <c r="B110" s="1"/>
      <c r="C110" s="1" t="s">
        <v>4</v>
      </c>
      <c r="D110" s="1"/>
      <c r="E110" s="1"/>
      <c r="F110" s="1"/>
      <c r="H110" s="6" t="s">
        <v>20</v>
      </c>
      <c r="I110" s="6"/>
      <c r="J110" s="6"/>
      <c r="K110" s="6"/>
      <c r="L110" s="6"/>
      <c r="N110" s="1"/>
      <c r="O110" s="1" t="s">
        <v>4</v>
      </c>
      <c r="P110" s="1"/>
      <c r="Q110" s="1"/>
      <c r="R110" s="1"/>
      <c r="T110" s="6" t="s">
        <v>20</v>
      </c>
      <c r="U110" s="6"/>
      <c r="V110" s="6"/>
      <c r="W110" s="6"/>
      <c r="X110" s="6"/>
    </row>
    <row r="111" spans="2:24" x14ac:dyDescent="0.25">
      <c r="B111" s="11" t="s">
        <v>5</v>
      </c>
      <c r="C111" s="11" t="s">
        <v>6</v>
      </c>
      <c r="D111" s="11" t="s">
        <v>7</v>
      </c>
      <c r="E111" s="12" t="s">
        <v>8</v>
      </c>
      <c r="F111" s="11" t="s">
        <v>9</v>
      </c>
      <c r="H111" s="11" t="s">
        <v>5</v>
      </c>
      <c r="I111" s="12" t="s">
        <v>21</v>
      </c>
      <c r="J111" s="12" t="s">
        <v>22</v>
      </c>
      <c r="K111" s="12" t="s">
        <v>8</v>
      </c>
      <c r="L111" s="12" t="s">
        <v>9</v>
      </c>
      <c r="N111" s="11" t="s">
        <v>5</v>
      </c>
      <c r="O111" s="11" t="s">
        <v>6</v>
      </c>
      <c r="P111" s="11" t="s">
        <v>7</v>
      </c>
      <c r="Q111" s="12" t="s">
        <v>8</v>
      </c>
      <c r="R111" s="11" t="s">
        <v>9</v>
      </c>
      <c r="T111" s="11" t="s">
        <v>5</v>
      </c>
      <c r="U111" s="12" t="s">
        <v>21</v>
      </c>
      <c r="V111" s="12" t="s">
        <v>22</v>
      </c>
      <c r="W111" s="12" t="s">
        <v>8</v>
      </c>
      <c r="X111" s="12" t="s">
        <v>9</v>
      </c>
    </row>
    <row r="112" spans="2:24" x14ac:dyDescent="0.25">
      <c r="B112" t="s">
        <v>10</v>
      </c>
      <c r="C112">
        <v>50</v>
      </c>
      <c r="E112">
        <v>650</v>
      </c>
      <c r="F112" s="4">
        <f>C112*E112</f>
        <v>32500</v>
      </c>
      <c r="J112">
        <v>50</v>
      </c>
      <c r="K112">
        <v>111</v>
      </c>
      <c r="L112" s="4">
        <f t="shared" ref="L112:L114" si="14">-I112*K112+J112*K112</f>
        <v>5550</v>
      </c>
      <c r="N112" t="s">
        <v>10</v>
      </c>
      <c r="O112">
        <v>5</v>
      </c>
      <c r="Q112">
        <v>650</v>
      </c>
      <c r="R112" s="4">
        <f>O112*Q112</f>
        <v>3250</v>
      </c>
      <c r="X112" s="4">
        <f t="shared" ref="X112:X133" si="15">-U112*W112+V112*W112</f>
        <v>0</v>
      </c>
    </row>
    <row r="113" spans="2:24" x14ac:dyDescent="0.25">
      <c r="B113" t="s">
        <v>11</v>
      </c>
      <c r="E113">
        <v>670</v>
      </c>
      <c r="F113" s="4">
        <f t="shared" ref="F113:F134" si="16">C113*E113</f>
        <v>0</v>
      </c>
      <c r="I113">
        <v>13</v>
      </c>
      <c r="K113">
        <v>111</v>
      </c>
      <c r="L113" s="4">
        <f t="shared" si="14"/>
        <v>-1443</v>
      </c>
      <c r="N113" t="s">
        <v>11</v>
      </c>
      <c r="R113" s="4">
        <f t="shared" ref="R113:R134" si="17">O113*Q113</f>
        <v>0</v>
      </c>
      <c r="X113" s="4">
        <f t="shared" si="15"/>
        <v>0</v>
      </c>
    </row>
    <row r="114" spans="2:24" x14ac:dyDescent="0.25">
      <c r="B114" t="s">
        <v>12</v>
      </c>
      <c r="C114">
        <v>1</v>
      </c>
      <c r="E114">
        <v>973</v>
      </c>
      <c r="F114" s="4">
        <f t="shared" si="16"/>
        <v>973</v>
      </c>
      <c r="L114" s="4">
        <f t="shared" si="14"/>
        <v>0</v>
      </c>
      <c r="N114" t="s">
        <v>12</v>
      </c>
      <c r="R114" s="4">
        <f t="shared" si="17"/>
        <v>0</v>
      </c>
      <c r="X114" s="4">
        <f t="shared" si="15"/>
        <v>0</v>
      </c>
    </row>
    <row r="115" spans="2:24" x14ac:dyDescent="0.25">
      <c r="B115" t="s">
        <v>13</v>
      </c>
      <c r="E115">
        <v>622</v>
      </c>
      <c r="F115" s="4">
        <f t="shared" si="16"/>
        <v>0</v>
      </c>
      <c r="J115">
        <v>9</v>
      </c>
      <c r="K115">
        <v>4.5</v>
      </c>
      <c r="L115" s="4">
        <f>-I115*K115+J115*K115</f>
        <v>40.5</v>
      </c>
      <c r="N115" t="s">
        <v>13</v>
      </c>
      <c r="R115" s="4">
        <f t="shared" si="17"/>
        <v>0</v>
      </c>
      <c r="X115" s="4">
        <f t="shared" si="15"/>
        <v>0</v>
      </c>
    </row>
    <row r="116" spans="2:24" x14ac:dyDescent="0.25">
      <c r="B116" t="s">
        <v>14</v>
      </c>
      <c r="E116">
        <v>912</v>
      </c>
      <c r="F116" s="4">
        <f t="shared" si="16"/>
        <v>0</v>
      </c>
      <c r="J116">
        <v>10</v>
      </c>
      <c r="K116">
        <v>1.5</v>
      </c>
      <c r="L116" s="4">
        <f t="shared" ref="L116:L133" si="18">-I116*K116+J116*K116</f>
        <v>15</v>
      </c>
      <c r="N116" t="s">
        <v>14</v>
      </c>
      <c r="R116" s="4">
        <f t="shared" si="17"/>
        <v>0</v>
      </c>
      <c r="X116" s="4">
        <f t="shared" si="15"/>
        <v>0</v>
      </c>
    </row>
    <row r="117" spans="2:24" x14ac:dyDescent="0.25">
      <c r="B117" t="s">
        <v>15</v>
      </c>
      <c r="F117" s="4">
        <f t="shared" si="16"/>
        <v>0</v>
      </c>
      <c r="L117" s="4">
        <f t="shared" si="18"/>
        <v>0</v>
      </c>
      <c r="N117" t="s">
        <v>15</v>
      </c>
      <c r="R117" s="4">
        <f t="shared" si="17"/>
        <v>0</v>
      </c>
      <c r="X117" s="4">
        <f t="shared" si="15"/>
        <v>0</v>
      </c>
    </row>
    <row r="118" spans="2:24" x14ac:dyDescent="0.25">
      <c r="B118" t="s">
        <v>16</v>
      </c>
      <c r="E118">
        <v>872</v>
      </c>
      <c r="F118" s="4">
        <f t="shared" si="16"/>
        <v>0</v>
      </c>
      <c r="L118" s="4">
        <f t="shared" si="18"/>
        <v>0</v>
      </c>
      <c r="N118" t="s">
        <v>16</v>
      </c>
      <c r="R118" s="4">
        <f t="shared" si="17"/>
        <v>0</v>
      </c>
      <c r="X118" s="4">
        <f t="shared" si="15"/>
        <v>0</v>
      </c>
    </row>
    <row r="119" spans="2:24" x14ac:dyDescent="0.25">
      <c r="B119" t="s">
        <v>17</v>
      </c>
      <c r="C119">
        <v>1</v>
      </c>
      <c r="E119">
        <v>229</v>
      </c>
      <c r="F119" s="4">
        <f t="shared" si="16"/>
        <v>229</v>
      </c>
      <c r="K119">
        <v>42</v>
      </c>
      <c r="L119" s="4">
        <f t="shared" si="18"/>
        <v>0</v>
      </c>
      <c r="N119" t="s">
        <v>17</v>
      </c>
      <c r="O119">
        <v>5</v>
      </c>
      <c r="Q119">
        <v>9.5</v>
      </c>
      <c r="R119" s="4">
        <f t="shared" si="17"/>
        <v>47.5</v>
      </c>
      <c r="X119" s="4">
        <f t="shared" si="15"/>
        <v>0</v>
      </c>
    </row>
    <row r="120" spans="2:24" x14ac:dyDescent="0.25">
      <c r="B120" t="s">
        <v>18</v>
      </c>
      <c r="E120">
        <v>500</v>
      </c>
      <c r="F120" s="4">
        <f t="shared" si="16"/>
        <v>0</v>
      </c>
      <c r="L120" s="4">
        <f t="shared" si="18"/>
        <v>0</v>
      </c>
      <c r="N120" t="s">
        <v>18</v>
      </c>
      <c r="R120" s="4">
        <f t="shared" si="17"/>
        <v>0</v>
      </c>
      <c r="X120" s="4">
        <f t="shared" si="15"/>
        <v>0</v>
      </c>
    </row>
    <row r="121" spans="2:24" x14ac:dyDescent="0.25">
      <c r="B121" t="s">
        <v>26</v>
      </c>
      <c r="E121">
        <v>650</v>
      </c>
      <c r="F121" s="4">
        <f t="shared" si="16"/>
        <v>0</v>
      </c>
      <c r="L121" s="4">
        <f t="shared" si="18"/>
        <v>0</v>
      </c>
      <c r="N121" t="s">
        <v>26</v>
      </c>
      <c r="R121" s="4">
        <f t="shared" si="17"/>
        <v>0</v>
      </c>
      <c r="X121" s="4">
        <f t="shared" si="15"/>
        <v>0</v>
      </c>
    </row>
    <row r="122" spans="2:24" x14ac:dyDescent="0.25">
      <c r="B122" s="20" t="s">
        <v>41</v>
      </c>
      <c r="E122">
        <v>1175</v>
      </c>
      <c r="F122" s="4">
        <f t="shared" si="16"/>
        <v>0</v>
      </c>
      <c r="L122" s="4">
        <f t="shared" si="18"/>
        <v>0</v>
      </c>
      <c r="R122" s="4">
        <f t="shared" si="17"/>
        <v>0</v>
      </c>
      <c r="X122" s="4">
        <f t="shared" si="15"/>
        <v>0</v>
      </c>
    </row>
    <row r="123" spans="2:24" x14ac:dyDescent="0.25">
      <c r="B123" t="s">
        <v>40</v>
      </c>
      <c r="E123">
        <v>700</v>
      </c>
      <c r="F123" s="4">
        <f t="shared" si="16"/>
        <v>0</v>
      </c>
      <c r="L123" s="4">
        <f t="shared" si="18"/>
        <v>0</v>
      </c>
      <c r="R123" s="4">
        <f t="shared" si="17"/>
        <v>0</v>
      </c>
      <c r="X123" s="4">
        <f t="shared" si="15"/>
        <v>0</v>
      </c>
    </row>
    <row r="124" spans="2:24" x14ac:dyDescent="0.25">
      <c r="F124" s="4">
        <f t="shared" si="16"/>
        <v>0</v>
      </c>
      <c r="L124" s="4">
        <f t="shared" si="18"/>
        <v>0</v>
      </c>
      <c r="R124" s="4">
        <f t="shared" si="17"/>
        <v>0</v>
      </c>
      <c r="X124" s="4">
        <f t="shared" si="15"/>
        <v>0</v>
      </c>
    </row>
    <row r="125" spans="2:24" x14ac:dyDescent="0.25">
      <c r="F125" s="4">
        <f t="shared" si="16"/>
        <v>0</v>
      </c>
      <c r="L125" s="4">
        <f t="shared" si="18"/>
        <v>0</v>
      </c>
      <c r="R125" s="4">
        <f t="shared" si="17"/>
        <v>0</v>
      </c>
      <c r="X125" s="4">
        <f t="shared" si="15"/>
        <v>0</v>
      </c>
    </row>
    <row r="126" spans="2:24" x14ac:dyDescent="0.25">
      <c r="F126" s="4">
        <f t="shared" si="16"/>
        <v>0</v>
      </c>
      <c r="L126" s="4">
        <f t="shared" si="18"/>
        <v>0</v>
      </c>
      <c r="R126" s="4">
        <f t="shared" si="17"/>
        <v>0</v>
      </c>
      <c r="X126" s="4">
        <f t="shared" si="15"/>
        <v>0</v>
      </c>
    </row>
    <row r="127" spans="2:24" x14ac:dyDescent="0.25">
      <c r="F127" s="4">
        <f t="shared" si="16"/>
        <v>0</v>
      </c>
      <c r="L127" s="4">
        <f t="shared" si="18"/>
        <v>0</v>
      </c>
      <c r="R127" s="4">
        <f t="shared" si="17"/>
        <v>0</v>
      </c>
      <c r="X127" s="4">
        <f t="shared" si="15"/>
        <v>0</v>
      </c>
    </row>
    <row r="128" spans="2:24" x14ac:dyDescent="0.25">
      <c r="F128" s="4">
        <f t="shared" si="16"/>
        <v>0</v>
      </c>
      <c r="L128" s="4">
        <f t="shared" si="18"/>
        <v>0</v>
      </c>
      <c r="R128" s="4">
        <f t="shared" si="17"/>
        <v>0</v>
      </c>
      <c r="X128" s="4">
        <f t="shared" si="15"/>
        <v>0</v>
      </c>
    </row>
    <row r="129" spans="2:24" x14ac:dyDescent="0.25">
      <c r="F129" s="4">
        <f t="shared" si="16"/>
        <v>0</v>
      </c>
      <c r="L129" s="4">
        <f t="shared" si="18"/>
        <v>0</v>
      </c>
      <c r="R129" s="4">
        <f t="shared" si="17"/>
        <v>0</v>
      </c>
      <c r="X129" s="4">
        <f t="shared" si="15"/>
        <v>0</v>
      </c>
    </row>
    <row r="130" spans="2:24" x14ac:dyDescent="0.25">
      <c r="F130" s="4">
        <f t="shared" si="16"/>
        <v>0</v>
      </c>
      <c r="L130" s="4">
        <f t="shared" si="18"/>
        <v>0</v>
      </c>
      <c r="R130" s="4">
        <f t="shared" si="17"/>
        <v>0</v>
      </c>
      <c r="X130" s="4">
        <f t="shared" si="15"/>
        <v>0</v>
      </c>
    </row>
    <row r="131" spans="2:24" x14ac:dyDescent="0.25">
      <c r="F131" s="4">
        <f t="shared" si="16"/>
        <v>0</v>
      </c>
      <c r="L131" s="4">
        <f t="shared" si="18"/>
        <v>0</v>
      </c>
      <c r="R131" s="4">
        <f t="shared" si="17"/>
        <v>0</v>
      </c>
      <c r="X131" s="4">
        <f t="shared" si="15"/>
        <v>0</v>
      </c>
    </row>
    <row r="132" spans="2:24" x14ac:dyDescent="0.25">
      <c r="F132" s="4">
        <f t="shared" si="16"/>
        <v>0</v>
      </c>
      <c r="L132" s="4">
        <f t="shared" si="18"/>
        <v>0</v>
      </c>
      <c r="R132" s="4">
        <f t="shared" si="17"/>
        <v>0</v>
      </c>
      <c r="X132" s="4">
        <f t="shared" si="15"/>
        <v>0</v>
      </c>
    </row>
    <row r="133" spans="2:24" x14ac:dyDescent="0.25">
      <c r="F133" s="4">
        <f t="shared" si="16"/>
        <v>0</v>
      </c>
      <c r="L133" s="4">
        <f t="shared" si="18"/>
        <v>0</v>
      </c>
      <c r="R133" s="4">
        <f t="shared" si="17"/>
        <v>0</v>
      </c>
      <c r="X133" s="4">
        <f t="shared" si="15"/>
        <v>0</v>
      </c>
    </row>
    <row r="134" spans="2:24" x14ac:dyDescent="0.25">
      <c r="F134" s="4">
        <f t="shared" si="16"/>
        <v>0</v>
      </c>
      <c r="H134" s="9" t="s">
        <v>23</v>
      </c>
      <c r="I134" s="9"/>
      <c r="J134" s="9"/>
      <c r="K134" s="9"/>
      <c r="L134" s="15">
        <f>SUM(L112:L133)</f>
        <v>4162.5</v>
      </c>
      <c r="R134" s="4">
        <f t="shared" si="17"/>
        <v>0</v>
      </c>
      <c r="T134" s="9" t="s">
        <v>23</v>
      </c>
      <c r="U134" s="9"/>
      <c r="V134" s="9"/>
      <c r="W134" s="9"/>
      <c r="X134" s="15">
        <f>SUM(X112:X133)</f>
        <v>0</v>
      </c>
    </row>
    <row r="135" spans="2:24" x14ac:dyDescent="0.25">
      <c r="B135" s="13" t="s">
        <v>28</v>
      </c>
      <c r="C135" s="13"/>
      <c r="D135" s="14"/>
      <c r="E135" s="14"/>
      <c r="F135" s="10">
        <f>-D135*E135</f>
        <v>0</v>
      </c>
      <c r="H135" s="9" t="s">
        <v>24</v>
      </c>
      <c r="I135" s="9"/>
      <c r="J135" s="9"/>
      <c r="K135" s="9"/>
      <c r="L135" s="8">
        <f>SUM(F136)</f>
        <v>33702</v>
      </c>
      <c r="N135" s="13" t="s">
        <v>28</v>
      </c>
      <c r="O135" s="13"/>
      <c r="P135" s="14"/>
      <c r="Q135" s="14"/>
      <c r="R135" s="10">
        <f>-P135*Q135</f>
        <v>0</v>
      </c>
      <c r="T135" s="9" t="s">
        <v>24</v>
      </c>
      <c r="U135" s="9"/>
      <c r="V135" s="9"/>
      <c r="W135" s="9"/>
      <c r="X135" s="8">
        <f>SUM(R136)</f>
        <v>3297.5</v>
      </c>
    </row>
    <row r="136" spans="2:24" x14ac:dyDescent="0.25">
      <c r="B136" s="7" t="s">
        <v>19</v>
      </c>
      <c r="C136" s="7"/>
      <c r="D136" s="7"/>
      <c r="E136" s="7"/>
      <c r="F136" s="21">
        <f>SUM(F112:F135)</f>
        <v>33702</v>
      </c>
      <c r="H136" s="9" t="s">
        <v>25</v>
      </c>
      <c r="I136" s="9"/>
      <c r="J136" s="9"/>
      <c r="K136" s="9"/>
      <c r="L136" s="22">
        <f>SUM(L135+L134)</f>
        <v>37864.5</v>
      </c>
      <c r="N136" s="7" t="s">
        <v>19</v>
      </c>
      <c r="O136" s="7"/>
      <c r="P136" s="7"/>
      <c r="Q136" s="7"/>
      <c r="R136" s="21">
        <f>SUM(R112:R135)</f>
        <v>3297.5</v>
      </c>
      <c r="T136" s="9" t="s">
        <v>25</v>
      </c>
      <c r="U136" s="9"/>
      <c r="V136" s="9"/>
      <c r="W136" s="9"/>
      <c r="X136" s="22">
        <f>SUM(X135+X134)</f>
        <v>3297.5</v>
      </c>
    </row>
    <row r="137" spans="2:24" ht="18.75" x14ac:dyDescent="0.3">
      <c r="B137" s="17" t="s">
        <v>29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</row>
    <row r="139" spans="2:24" x14ac:dyDescent="0.25">
      <c r="B139" s="3" t="s">
        <v>0</v>
      </c>
      <c r="C139" s="3"/>
      <c r="D139" s="18" t="s">
        <v>73</v>
      </c>
      <c r="E139" s="18"/>
      <c r="F139" s="18"/>
      <c r="H139" s="3" t="s">
        <v>43</v>
      </c>
      <c r="I139" s="3"/>
      <c r="J139">
        <v>2</v>
      </c>
    </row>
    <row r="140" spans="2:24" x14ac:dyDescent="0.25">
      <c r="B140" s="3" t="s">
        <v>1</v>
      </c>
      <c r="C140" s="3"/>
      <c r="D140" s="2" t="s">
        <v>74</v>
      </c>
      <c r="E140" s="2"/>
      <c r="F140" s="2"/>
      <c r="H140" s="3" t="s">
        <v>44</v>
      </c>
      <c r="I140" s="3"/>
      <c r="J140" t="s">
        <v>50</v>
      </c>
    </row>
    <row r="141" spans="2:24" x14ac:dyDescent="0.25">
      <c r="B141" s="3" t="s">
        <v>3</v>
      </c>
      <c r="C141" s="3"/>
      <c r="D141" s="2" t="s">
        <v>32</v>
      </c>
      <c r="E141" s="2"/>
      <c r="F141" s="2"/>
      <c r="H141" s="3" t="s">
        <v>45</v>
      </c>
      <c r="I141" s="3"/>
      <c r="J141" t="s">
        <v>51</v>
      </c>
    </row>
    <row r="142" spans="2:24" x14ac:dyDescent="0.25">
      <c r="B142" s="3" t="s">
        <v>2</v>
      </c>
      <c r="C142" s="3"/>
      <c r="D142" s="2" t="s">
        <v>75</v>
      </c>
      <c r="E142" s="2"/>
      <c r="F142" s="2"/>
      <c r="H142" s="3" t="s">
        <v>46</v>
      </c>
      <c r="I142" s="3"/>
      <c r="J142" t="s">
        <v>52</v>
      </c>
    </row>
    <row r="144" spans="2:24" x14ac:dyDescent="0.25">
      <c r="B144" s="1"/>
      <c r="C144" s="1" t="s">
        <v>4</v>
      </c>
      <c r="D144" s="1"/>
      <c r="E144" s="1"/>
      <c r="F144" s="1"/>
      <c r="H144" s="6" t="s">
        <v>20</v>
      </c>
      <c r="I144" s="6"/>
      <c r="J144" s="6"/>
      <c r="K144" s="6"/>
      <c r="L144" s="6"/>
    </row>
    <row r="145" spans="2:12" x14ac:dyDescent="0.25">
      <c r="B145" s="11" t="s">
        <v>5</v>
      </c>
      <c r="C145" s="11" t="s">
        <v>6</v>
      </c>
      <c r="D145" s="11" t="s">
        <v>7</v>
      </c>
      <c r="E145" s="12" t="s">
        <v>8</v>
      </c>
      <c r="F145" s="11" t="s">
        <v>9</v>
      </c>
      <c r="H145" s="11" t="s">
        <v>5</v>
      </c>
      <c r="I145" s="12" t="s">
        <v>21</v>
      </c>
      <c r="J145" s="12" t="s">
        <v>22</v>
      </c>
      <c r="K145" s="12" t="s">
        <v>8</v>
      </c>
      <c r="L145" s="12" t="s">
        <v>9</v>
      </c>
    </row>
    <row r="146" spans="2:12" x14ac:dyDescent="0.25">
      <c r="B146" t="s">
        <v>10</v>
      </c>
      <c r="C146">
        <v>23</v>
      </c>
      <c r="E146">
        <v>650</v>
      </c>
      <c r="F146" s="4">
        <f>C146*E146</f>
        <v>14950</v>
      </c>
      <c r="K146">
        <v>111</v>
      </c>
      <c r="L146" s="4">
        <f t="shared" ref="L146:L148" si="19">-I146*K146+J146*K146</f>
        <v>0</v>
      </c>
    </row>
    <row r="147" spans="2:12" x14ac:dyDescent="0.25">
      <c r="B147" t="s">
        <v>11</v>
      </c>
      <c r="E147">
        <v>670</v>
      </c>
      <c r="F147" s="4">
        <f t="shared" ref="F147:F168" si="20">C147*E147</f>
        <v>0</v>
      </c>
      <c r="K147">
        <v>111</v>
      </c>
      <c r="L147" s="4">
        <f t="shared" si="19"/>
        <v>0</v>
      </c>
    </row>
    <row r="148" spans="2:12" x14ac:dyDescent="0.25">
      <c r="B148" t="s">
        <v>12</v>
      </c>
      <c r="E148">
        <v>973</v>
      </c>
      <c r="F148" s="4">
        <f t="shared" si="20"/>
        <v>0</v>
      </c>
      <c r="L148" s="4">
        <f t="shared" si="19"/>
        <v>0</v>
      </c>
    </row>
    <row r="149" spans="2:12" x14ac:dyDescent="0.25">
      <c r="B149" t="s">
        <v>13</v>
      </c>
      <c r="E149">
        <v>622</v>
      </c>
      <c r="F149" s="4">
        <f t="shared" si="20"/>
        <v>0</v>
      </c>
      <c r="K149">
        <v>4.5</v>
      </c>
      <c r="L149" s="4">
        <f>-I149*K149+J149*K149</f>
        <v>0</v>
      </c>
    </row>
    <row r="150" spans="2:12" x14ac:dyDescent="0.25">
      <c r="B150" t="s">
        <v>14</v>
      </c>
      <c r="E150">
        <v>912</v>
      </c>
      <c r="F150" s="4">
        <f t="shared" si="20"/>
        <v>0</v>
      </c>
      <c r="J150">
        <v>52</v>
      </c>
      <c r="K150">
        <v>1.5</v>
      </c>
      <c r="L150" s="4">
        <f t="shared" ref="L150:L167" si="21">-I150*K150+J150*K150</f>
        <v>78</v>
      </c>
    </row>
    <row r="151" spans="2:12" x14ac:dyDescent="0.25">
      <c r="B151" t="s">
        <v>15</v>
      </c>
      <c r="F151" s="4">
        <f t="shared" si="20"/>
        <v>0</v>
      </c>
      <c r="L151" s="4">
        <f t="shared" si="21"/>
        <v>0</v>
      </c>
    </row>
    <row r="152" spans="2:12" x14ac:dyDescent="0.25">
      <c r="B152" t="s">
        <v>16</v>
      </c>
      <c r="E152">
        <v>872</v>
      </c>
      <c r="F152" s="4">
        <f t="shared" si="20"/>
        <v>0</v>
      </c>
      <c r="L152" s="4">
        <f t="shared" si="21"/>
        <v>0</v>
      </c>
    </row>
    <row r="153" spans="2:12" x14ac:dyDescent="0.25">
      <c r="B153" t="s">
        <v>17</v>
      </c>
      <c r="C153">
        <v>1</v>
      </c>
      <c r="E153">
        <v>229</v>
      </c>
      <c r="F153" s="4">
        <f t="shared" si="20"/>
        <v>229</v>
      </c>
      <c r="K153">
        <v>42</v>
      </c>
      <c r="L153" s="4">
        <f t="shared" si="21"/>
        <v>0</v>
      </c>
    </row>
    <row r="154" spans="2:12" x14ac:dyDescent="0.25">
      <c r="B154" t="s">
        <v>18</v>
      </c>
      <c r="E154">
        <v>500</v>
      </c>
      <c r="F154" s="4">
        <f t="shared" si="20"/>
        <v>0</v>
      </c>
      <c r="L154" s="4">
        <f t="shared" si="21"/>
        <v>0</v>
      </c>
    </row>
    <row r="155" spans="2:12" x14ac:dyDescent="0.25">
      <c r="B155" t="s">
        <v>26</v>
      </c>
      <c r="E155">
        <v>650</v>
      </c>
      <c r="F155" s="4">
        <f t="shared" si="20"/>
        <v>0</v>
      </c>
      <c r="L155" s="4">
        <f t="shared" si="21"/>
        <v>0</v>
      </c>
    </row>
    <row r="156" spans="2:12" x14ac:dyDescent="0.25">
      <c r="B156" s="20" t="s">
        <v>41</v>
      </c>
      <c r="E156">
        <v>1175</v>
      </c>
      <c r="F156" s="4">
        <f t="shared" si="20"/>
        <v>0</v>
      </c>
      <c r="L156" s="4">
        <f t="shared" si="21"/>
        <v>0</v>
      </c>
    </row>
    <row r="157" spans="2:12" x14ac:dyDescent="0.25">
      <c r="B157" t="s">
        <v>40</v>
      </c>
      <c r="E157">
        <v>700</v>
      </c>
      <c r="F157" s="4">
        <f t="shared" si="20"/>
        <v>0</v>
      </c>
      <c r="L157" s="4">
        <f t="shared" si="21"/>
        <v>0</v>
      </c>
    </row>
    <row r="158" spans="2:12" x14ac:dyDescent="0.25">
      <c r="F158" s="4">
        <f t="shared" si="20"/>
        <v>0</v>
      </c>
      <c r="L158" s="4">
        <f t="shared" si="21"/>
        <v>0</v>
      </c>
    </row>
    <row r="159" spans="2:12" x14ac:dyDescent="0.25">
      <c r="F159" s="4">
        <f t="shared" si="20"/>
        <v>0</v>
      </c>
      <c r="L159" s="4">
        <f t="shared" si="21"/>
        <v>0</v>
      </c>
    </row>
    <row r="160" spans="2:12" x14ac:dyDescent="0.25">
      <c r="F160" s="4">
        <f t="shared" si="20"/>
        <v>0</v>
      </c>
      <c r="L160" s="4">
        <f t="shared" si="21"/>
        <v>0</v>
      </c>
    </row>
    <row r="161" spans="2:12" x14ac:dyDescent="0.25">
      <c r="F161" s="4">
        <f t="shared" si="20"/>
        <v>0</v>
      </c>
      <c r="L161" s="4">
        <f t="shared" si="21"/>
        <v>0</v>
      </c>
    </row>
    <row r="162" spans="2:12" x14ac:dyDescent="0.25">
      <c r="F162" s="4">
        <f t="shared" si="20"/>
        <v>0</v>
      </c>
      <c r="L162" s="4">
        <f t="shared" si="21"/>
        <v>0</v>
      </c>
    </row>
    <row r="163" spans="2:12" x14ac:dyDescent="0.25">
      <c r="F163" s="4">
        <f t="shared" si="20"/>
        <v>0</v>
      </c>
      <c r="L163" s="4">
        <f t="shared" si="21"/>
        <v>0</v>
      </c>
    </row>
    <row r="164" spans="2:12" x14ac:dyDescent="0.25">
      <c r="F164" s="4">
        <f t="shared" si="20"/>
        <v>0</v>
      </c>
      <c r="L164" s="4">
        <f t="shared" si="21"/>
        <v>0</v>
      </c>
    </row>
    <row r="165" spans="2:12" x14ac:dyDescent="0.25">
      <c r="F165" s="4">
        <f t="shared" si="20"/>
        <v>0</v>
      </c>
      <c r="L165" s="4">
        <f t="shared" si="21"/>
        <v>0</v>
      </c>
    </row>
    <row r="166" spans="2:12" x14ac:dyDescent="0.25">
      <c r="F166" s="4">
        <f t="shared" si="20"/>
        <v>0</v>
      </c>
      <c r="L166" s="4">
        <f t="shared" si="21"/>
        <v>0</v>
      </c>
    </row>
    <row r="167" spans="2:12" x14ac:dyDescent="0.25">
      <c r="F167" s="4">
        <f t="shared" si="20"/>
        <v>0</v>
      </c>
      <c r="L167" s="4">
        <f t="shared" si="21"/>
        <v>0</v>
      </c>
    </row>
    <row r="168" spans="2:12" x14ac:dyDescent="0.25">
      <c r="F168" s="4">
        <f t="shared" si="20"/>
        <v>0</v>
      </c>
      <c r="H168" s="9" t="s">
        <v>23</v>
      </c>
      <c r="I168" s="9"/>
      <c r="J168" s="9"/>
      <c r="K168" s="9"/>
      <c r="L168" s="15">
        <f>SUM(L146:L167)</f>
        <v>78</v>
      </c>
    </row>
    <row r="169" spans="2:12" x14ac:dyDescent="0.25">
      <c r="B169" s="13" t="s">
        <v>28</v>
      </c>
      <c r="C169" s="13"/>
      <c r="D169" s="14"/>
      <c r="E169" s="14"/>
      <c r="F169" s="10">
        <f>-D169*E169</f>
        <v>0</v>
      </c>
      <c r="H169" s="9" t="s">
        <v>24</v>
      </c>
      <c r="I169" s="9"/>
      <c r="J169" s="9"/>
      <c r="K169" s="9"/>
      <c r="L169" s="8">
        <f>SUM(F170)</f>
        <v>15179</v>
      </c>
    </row>
    <row r="170" spans="2:12" x14ac:dyDescent="0.25">
      <c r="B170" s="7" t="s">
        <v>19</v>
      </c>
      <c r="C170" s="7"/>
      <c r="D170" s="7"/>
      <c r="E170" s="7"/>
      <c r="F170" s="21">
        <f>SUM(F146:F169)</f>
        <v>15179</v>
      </c>
      <c r="H170" s="9" t="s">
        <v>25</v>
      </c>
      <c r="I170" s="9"/>
      <c r="J170" s="9"/>
      <c r="K170" s="9"/>
      <c r="L170" s="22">
        <f>SUM(L169+L168)</f>
        <v>15257</v>
      </c>
    </row>
  </sheetData>
  <mergeCells count="162">
    <mergeCell ref="B170:E170"/>
    <mergeCell ref="H170:K170"/>
    <mergeCell ref="B142:C142"/>
    <mergeCell ref="D142:F142"/>
    <mergeCell ref="H142:I142"/>
    <mergeCell ref="H144:L144"/>
    <mergeCell ref="H168:K168"/>
    <mergeCell ref="B169:C169"/>
    <mergeCell ref="H169:K169"/>
    <mergeCell ref="B140:C140"/>
    <mergeCell ref="D140:F140"/>
    <mergeCell ref="H140:I140"/>
    <mergeCell ref="B141:C141"/>
    <mergeCell ref="D141:F141"/>
    <mergeCell ref="H141:I141"/>
    <mergeCell ref="B136:E136"/>
    <mergeCell ref="H136:K136"/>
    <mergeCell ref="N136:Q136"/>
    <mergeCell ref="T136:W136"/>
    <mergeCell ref="B139:C139"/>
    <mergeCell ref="D139:F139"/>
    <mergeCell ref="H139:I139"/>
    <mergeCell ref="H110:L110"/>
    <mergeCell ref="T110:X110"/>
    <mergeCell ref="H134:K134"/>
    <mergeCell ref="T134:W134"/>
    <mergeCell ref="B135:C135"/>
    <mergeCell ref="H135:K135"/>
    <mergeCell ref="N135:O135"/>
    <mergeCell ref="T135:W135"/>
    <mergeCell ref="B108:C108"/>
    <mergeCell ref="D108:F108"/>
    <mergeCell ref="H108:I108"/>
    <mergeCell ref="N108:O108"/>
    <mergeCell ref="P108:R108"/>
    <mergeCell ref="T108:U108"/>
    <mergeCell ref="B107:C107"/>
    <mergeCell ref="D107:F107"/>
    <mergeCell ref="H107:I107"/>
    <mergeCell ref="N107:O107"/>
    <mergeCell ref="P107:R107"/>
    <mergeCell ref="T107:U107"/>
    <mergeCell ref="B106:C106"/>
    <mergeCell ref="D106:F106"/>
    <mergeCell ref="H106:I106"/>
    <mergeCell ref="N106:O106"/>
    <mergeCell ref="P106:R106"/>
    <mergeCell ref="T106:U106"/>
    <mergeCell ref="B102:E102"/>
    <mergeCell ref="H102:K102"/>
    <mergeCell ref="N102:Q102"/>
    <mergeCell ref="T102:W102"/>
    <mergeCell ref="B105:C105"/>
    <mergeCell ref="D105:F105"/>
    <mergeCell ref="H105:I105"/>
    <mergeCell ref="N105:O105"/>
    <mergeCell ref="P105:R105"/>
    <mergeCell ref="T105:U105"/>
    <mergeCell ref="H76:L76"/>
    <mergeCell ref="T76:X76"/>
    <mergeCell ref="H100:K100"/>
    <mergeCell ref="T100:W100"/>
    <mergeCell ref="B101:C101"/>
    <mergeCell ref="H101:K101"/>
    <mergeCell ref="N101:O101"/>
    <mergeCell ref="T101:W101"/>
    <mergeCell ref="B74:C74"/>
    <mergeCell ref="D74:F74"/>
    <mergeCell ref="H74:I74"/>
    <mergeCell ref="N74:O74"/>
    <mergeCell ref="P74:R74"/>
    <mergeCell ref="T74:U74"/>
    <mergeCell ref="B73:C73"/>
    <mergeCell ref="D73:F73"/>
    <mergeCell ref="H73:I73"/>
    <mergeCell ref="N73:O73"/>
    <mergeCell ref="P73:R73"/>
    <mergeCell ref="T73:U73"/>
    <mergeCell ref="B72:C72"/>
    <mergeCell ref="D72:F72"/>
    <mergeCell ref="H72:I72"/>
    <mergeCell ref="N72:O72"/>
    <mergeCell ref="P72:R72"/>
    <mergeCell ref="T72:U72"/>
    <mergeCell ref="B71:C71"/>
    <mergeCell ref="D71:F71"/>
    <mergeCell ref="H71:I71"/>
    <mergeCell ref="N71:O71"/>
    <mergeCell ref="P71:R71"/>
    <mergeCell ref="T71:U71"/>
    <mergeCell ref="T5:U5"/>
    <mergeCell ref="T6:U6"/>
    <mergeCell ref="H37:I37"/>
    <mergeCell ref="H38:I38"/>
    <mergeCell ref="H39:I39"/>
    <mergeCell ref="H40:I40"/>
    <mergeCell ref="T37:U37"/>
    <mergeCell ref="T38:U38"/>
    <mergeCell ref="T39:U39"/>
    <mergeCell ref="T40:U40"/>
    <mergeCell ref="B68:E68"/>
    <mergeCell ref="H68:K68"/>
    <mergeCell ref="N68:Q68"/>
    <mergeCell ref="T68:W68"/>
    <mergeCell ref="H3:I3"/>
    <mergeCell ref="H4:I4"/>
    <mergeCell ref="H5:I5"/>
    <mergeCell ref="H6:I6"/>
    <mergeCell ref="T3:U3"/>
    <mergeCell ref="T4:U4"/>
    <mergeCell ref="H66:K66"/>
    <mergeCell ref="T66:W66"/>
    <mergeCell ref="B67:C67"/>
    <mergeCell ref="H67:K67"/>
    <mergeCell ref="N67:O67"/>
    <mergeCell ref="T67:W67"/>
    <mergeCell ref="B40:C40"/>
    <mergeCell ref="D40:F40"/>
    <mergeCell ref="N40:O40"/>
    <mergeCell ref="P40:R40"/>
    <mergeCell ref="H42:L42"/>
    <mergeCell ref="T42:X42"/>
    <mergeCell ref="B38:C38"/>
    <mergeCell ref="D38:F38"/>
    <mergeCell ref="N38:O38"/>
    <mergeCell ref="P38:R38"/>
    <mergeCell ref="B39:C39"/>
    <mergeCell ref="D39:F39"/>
    <mergeCell ref="N39:O39"/>
    <mergeCell ref="P39:R39"/>
    <mergeCell ref="B34:E34"/>
    <mergeCell ref="H34:K34"/>
    <mergeCell ref="N34:Q34"/>
    <mergeCell ref="T34:W34"/>
    <mergeCell ref="B37:C37"/>
    <mergeCell ref="D37:F37"/>
    <mergeCell ref="N37:O37"/>
    <mergeCell ref="P37:R37"/>
    <mergeCell ref="H8:L8"/>
    <mergeCell ref="T8:X8"/>
    <mergeCell ref="H32:K32"/>
    <mergeCell ref="T32:W32"/>
    <mergeCell ref="B33:C33"/>
    <mergeCell ref="H33:K33"/>
    <mergeCell ref="N33:O33"/>
    <mergeCell ref="T33:W33"/>
    <mergeCell ref="B5:C5"/>
    <mergeCell ref="D5:F5"/>
    <mergeCell ref="N5:O5"/>
    <mergeCell ref="P5:R5"/>
    <mergeCell ref="B6:C6"/>
    <mergeCell ref="D6:F6"/>
    <mergeCell ref="N6:O6"/>
    <mergeCell ref="P6:R6"/>
    <mergeCell ref="B3:C3"/>
    <mergeCell ref="D3:F3"/>
    <mergeCell ref="N3:O3"/>
    <mergeCell ref="P3:R3"/>
    <mergeCell ref="B4:C4"/>
    <mergeCell ref="D4:F4"/>
    <mergeCell ref="N4:O4"/>
    <mergeCell ref="P4:R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1659-3A96-48D9-9A13-BEBB2BC345CF}">
  <dimension ref="B1:AF170"/>
  <sheetViews>
    <sheetView zoomScaleNormal="100" workbookViewId="0">
      <selection activeCell="AF4" sqref="AF4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  <col min="33" max="33" width="2.28515625" customWidth="1"/>
    <col min="35" max="35" width="2.28515625" customWidth="1"/>
  </cols>
  <sheetData>
    <row r="1" spans="2:32" ht="18.75" x14ac:dyDescent="0.3">
      <c r="B1" s="17" t="s">
        <v>29</v>
      </c>
      <c r="C1" s="16"/>
      <c r="D1" s="16"/>
      <c r="E1" s="16"/>
      <c r="F1" s="16"/>
      <c r="G1" s="16"/>
      <c r="H1" s="16"/>
      <c r="I1" s="16"/>
      <c r="J1" s="16"/>
      <c r="K1" s="16"/>
      <c r="L1" s="16"/>
      <c r="N1" s="17" t="s">
        <v>29</v>
      </c>
      <c r="O1" s="16"/>
      <c r="P1" s="16"/>
      <c r="Q1" s="16"/>
      <c r="R1" s="16"/>
      <c r="S1" s="16"/>
      <c r="T1" s="16"/>
      <c r="U1" s="16"/>
      <c r="V1" s="16"/>
      <c r="W1" s="16"/>
      <c r="X1" s="16"/>
      <c r="Z1" s="23" t="s">
        <v>9</v>
      </c>
      <c r="AB1" s="24" t="s">
        <v>27</v>
      </c>
      <c r="AD1" s="25" t="s">
        <v>76</v>
      </c>
      <c r="AF1" s="26" t="s">
        <v>77</v>
      </c>
    </row>
    <row r="3" spans="2:32" x14ac:dyDescent="0.25">
      <c r="B3" s="3" t="s">
        <v>0</v>
      </c>
      <c r="C3" s="3"/>
      <c r="D3" s="18" t="s">
        <v>81</v>
      </c>
      <c r="E3" s="18"/>
      <c r="F3" s="18"/>
      <c r="H3" s="3" t="s">
        <v>43</v>
      </c>
      <c r="I3" s="3"/>
      <c r="J3">
        <v>3</v>
      </c>
      <c r="N3" s="3" t="s">
        <v>0</v>
      </c>
      <c r="O3" s="3"/>
      <c r="P3" s="18" t="s">
        <v>84</v>
      </c>
      <c r="Q3" s="18"/>
      <c r="R3" s="18"/>
      <c r="T3" s="3" t="s">
        <v>43</v>
      </c>
      <c r="U3" s="3"/>
      <c r="V3">
        <v>3</v>
      </c>
      <c r="Z3" s="28">
        <f>F34+R34+F68+R68+F102+R102+F136+R136+F170+R170</f>
        <v>351164</v>
      </c>
      <c r="AA3" s="27"/>
      <c r="AB3" s="27">
        <f>F67+F101+R101</f>
        <v>-2478</v>
      </c>
      <c r="AC3" s="27"/>
      <c r="AD3" s="27"/>
      <c r="AF3" s="5">
        <f>L34+X34+L68+X68+L102+X102+L136+X136+L170+X170</f>
        <v>345203</v>
      </c>
    </row>
    <row r="4" spans="2:32" x14ac:dyDescent="0.25">
      <c r="B4" s="3" t="s">
        <v>1</v>
      </c>
      <c r="C4" s="3"/>
      <c r="D4" s="2" t="s">
        <v>82</v>
      </c>
      <c r="E4" s="2"/>
      <c r="F4" s="2"/>
      <c r="H4" s="3" t="s">
        <v>44</v>
      </c>
      <c r="I4" s="3"/>
      <c r="J4" t="s">
        <v>78</v>
      </c>
      <c r="N4" s="3" t="s">
        <v>1</v>
      </c>
      <c r="O4" s="3"/>
      <c r="P4" s="2" t="s">
        <v>57</v>
      </c>
      <c r="Q4" s="2"/>
      <c r="R4" s="2"/>
      <c r="T4" s="3" t="s">
        <v>44</v>
      </c>
      <c r="U4" s="3"/>
      <c r="V4" t="s">
        <v>78</v>
      </c>
      <c r="AA4" s="27"/>
      <c r="AB4" s="27"/>
      <c r="AC4" s="27"/>
      <c r="AD4" s="27"/>
    </row>
    <row r="5" spans="2:32" x14ac:dyDescent="0.25">
      <c r="B5" s="3" t="s">
        <v>3</v>
      </c>
      <c r="C5" s="3"/>
      <c r="D5" s="19" t="s">
        <v>32</v>
      </c>
      <c r="E5" s="19"/>
      <c r="F5" s="19"/>
      <c r="H5" s="3" t="s">
        <v>45</v>
      </c>
      <c r="I5" s="3"/>
      <c r="J5" t="s">
        <v>79</v>
      </c>
      <c r="N5" s="3" t="s">
        <v>3</v>
      </c>
      <c r="O5" s="3"/>
      <c r="P5" s="2" t="s">
        <v>58</v>
      </c>
      <c r="Q5" s="2"/>
      <c r="R5" s="2"/>
      <c r="T5" s="3" t="s">
        <v>45</v>
      </c>
      <c r="U5" s="3"/>
      <c r="V5" t="s">
        <v>79</v>
      </c>
      <c r="Z5" s="27"/>
      <c r="AA5" s="27"/>
      <c r="AB5" s="27"/>
      <c r="AC5" s="27"/>
      <c r="AD5" s="27"/>
    </row>
    <row r="6" spans="2:32" x14ac:dyDescent="0.25">
      <c r="B6" s="3" t="s">
        <v>2</v>
      </c>
      <c r="C6" s="3"/>
      <c r="D6" s="2" t="s">
        <v>83</v>
      </c>
      <c r="E6" s="2"/>
      <c r="F6" s="2"/>
      <c r="H6" s="3" t="s">
        <v>46</v>
      </c>
      <c r="I6" s="3"/>
      <c r="J6" t="s">
        <v>80</v>
      </c>
      <c r="N6" s="3" t="s">
        <v>2</v>
      </c>
      <c r="O6" s="3"/>
      <c r="P6" s="2" t="s">
        <v>55</v>
      </c>
      <c r="Q6" s="2"/>
      <c r="R6" s="2"/>
      <c r="T6" s="3" t="s">
        <v>46</v>
      </c>
      <c r="U6" s="3"/>
      <c r="V6" t="s">
        <v>80</v>
      </c>
      <c r="Z6" s="27"/>
      <c r="AA6" s="27"/>
      <c r="AB6" s="27"/>
      <c r="AC6" s="27"/>
      <c r="AD6" s="27"/>
    </row>
    <row r="8" spans="2:32" x14ac:dyDescent="0.25">
      <c r="B8" s="1"/>
      <c r="C8" s="1" t="s">
        <v>4</v>
      </c>
      <c r="D8" s="1"/>
      <c r="E8" s="1"/>
      <c r="F8" s="1"/>
      <c r="H8" s="6" t="s">
        <v>20</v>
      </c>
      <c r="I8" s="6"/>
      <c r="J8" s="6"/>
      <c r="K8" s="6"/>
      <c r="L8" s="6"/>
      <c r="N8" s="1"/>
      <c r="O8" s="1" t="s">
        <v>4</v>
      </c>
      <c r="P8" s="1"/>
      <c r="Q8" s="1"/>
      <c r="R8" s="1"/>
      <c r="T8" s="6" t="s">
        <v>20</v>
      </c>
      <c r="U8" s="6"/>
      <c r="V8" s="6"/>
      <c r="W8" s="6"/>
      <c r="X8" s="6"/>
    </row>
    <row r="9" spans="2:32" x14ac:dyDescent="0.25">
      <c r="B9" s="11" t="s">
        <v>5</v>
      </c>
      <c r="C9" s="11" t="s">
        <v>6</v>
      </c>
      <c r="D9" s="11" t="s">
        <v>7</v>
      </c>
      <c r="E9" s="12" t="s">
        <v>8</v>
      </c>
      <c r="F9" s="11" t="s">
        <v>9</v>
      </c>
      <c r="H9" s="11" t="s">
        <v>5</v>
      </c>
      <c r="I9" s="12" t="s">
        <v>21</v>
      </c>
      <c r="J9" s="12" t="s">
        <v>22</v>
      </c>
      <c r="K9" s="12" t="s">
        <v>8</v>
      </c>
      <c r="L9" s="12" t="s">
        <v>9</v>
      </c>
      <c r="N9" s="11" t="s">
        <v>5</v>
      </c>
      <c r="O9" s="11" t="s">
        <v>6</v>
      </c>
      <c r="P9" s="11" t="s">
        <v>7</v>
      </c>
      <c r="Q9" s="12" t="s">
        <v>8</v>
      </c>
      <c r="R9" s="11" t="s">
        <v>9</v>
      </c>
      <c r="T9" s="11" t="s">
        <v>5</v>
      </c>
      <c r="U9" s="12" t="s">
        <v>21</v>
      </c>
      <c r="V9" s="12" t="s">
        <v>22</v>
      </c>
      <c r="W9" s="12" t="s">
        <v>8</v>
      </c>
      <c r="X9" s="12" t="s">
        <v>9</v>
      </c>
    </row>
    <row r="10" spans="2:32" x14ac:dyDescent="0.25">
      <c r="B10" t="s">
        <v>10</v>
      </c>
      <c r="C10">
        <v>19</v>
      </c>
      <c r="E10">
        <v>650</v>
      </c>
      <c r="F10" s="4">
        <f>C10*E10</f>
        <v>12350</v>
      </c>
      <c r="K10">
        <v>111</v>
      </c>
      <c r="L10" s="4">
        <f t="shared" ref="L10:L32" si="0">-I10*K10+J10*K10</f>
        <v>0</v>
      </c>
      <c r="N10" t="s">
        <v>10</v>
      </c>
      <c r="O10">
        <v>10</v>
      </c>
      <c r="Q10">
        <v>650</v>
      </c>
      <c r="R10" s="4">
        <f>O10*Q10</f>
        <v>6500</v>
      </c>
      <c r="T10" t="s">
        <v>42</v>
      </c>
      <c r="W10">
        <v>111</v>
      </c>
      <c r="X10" s="4">
        <f t="shared" ref="X10:X31" si="1">-U10*W10+V10*W10</f>
        <v>0</v>
      </c>
    </row>
    <row r="11" spans="2:32" x14ac:dyDescent="0.25">
      <c r="B11" t="s">
        <v>11</v>
      </c>
      <c r="E11">
        <v>670</v>
      </c>
      <c r="F11" s="4">
        <f t="shared" ref="F11:F32" si="2">C11*E11</f>
        <v>0</v>
      </c>
      <c r="L11" s="4">
        <f t="shared" si="0"/>
        <v>0</v>
      </c>
      <c r="N11" t="s">
        <v>11</v>
      </c>
      <c r="O11">
        <v>5</v>
      </c>
      <c r="Q11">
        <v>670</v>
      </c>
      <c r="R11" s="4">
        <f t="shared" ref="R11:R32" si="3">O11*Q11</f>
        <v>3350</v>
      </c>
      <c r="X11" s="4">
        <f t="shared" si="1"/>
        <v>0</v>
      </c>
    </row>
    <row r="12" spans="2:32" x14ac:dyDescent="0.25">
      <c r="B12" t="s">
        <v>12</v>
      </c>
      <c r="F12" s="4">
        <f t="shared" si="2"/>
        <v>0</v>
      </c>
      <c r="L12" s="4">
        <f t="shared" si="0"/>
        <v>0</v>
      </c>
      <c r="N12" t="s">
        <v>12</v>
      </c>
      <c r="R12" s="4">
        <f t="shared" si="3"/>
        <v>0</v>
      </c>
      <c r="X12" s="4">
        <f t="shared" si="1"/>
        <v>0</v>
      </c>
    </row>
    <row r="13" spans="2:32" x14ac:dyDescent="0.25">
      <c r="B13" t="s">
        <v>13</v>
      </c>
      <c r="E13">
        <v>622</v>
      </c>
      <c r="F13" s="4">
        <f t="shared" si="2"/>
        <v>0</v>
      </c>
      <c r="L13" s="4">
        <f t="shared" si="0"/>
        <v>0</v>
      </c>
      <c r="N13" t="s">
        <v>13</v>
      </c>
      <c r="O13">
        <v>5</v>
      </c>
      <c r="Q13">
        <v>622</v>
      </c>
      <c r="R13" s="4">
        <f t="shared" si="3"/>
        <v>3110</v>
      </c>
      <c r="X13" s="4">
        <f t="shared" si="1"/>
        <v>0</v>
      </c>
    </row>
    <row r="14" spans="2:32" x14ac:dyDescent="0.25">
      <c r="B14" t="s">
        <v>14</v>
      </c>
      <c r="F14" s="4">
        <f t="shared" si="2"/>
        <v>0</v>
      </c>
      <c r="L14" s="4">
        <f t="shared" si="0"/>
        <v>0</v>
      </c>
      <c r="N14" t="s">
        <v>14</v>
      </c>
      <c r="R14" s="4">
        <f t="shared" si="3"/>
        <v>0</v>
      </c>
      <c r="X14" s="4">
        <f t="shared" si="1"/>
        <v>0</v>
      </c>
    </row>
    <row r="15" spans="2:32" x14ac:dyDescent="0.25">
      <c r="B15" t="s">
        <v>15</v>
      </c>
      <c r="F15" s="4">
        <f t="shared" si="2"/>
        <v>0</v>
      </c>
      <c r="L15" s="4">
        <f t="shared" si="0"/>
        <v>0</v>
      </c>
      <c r="N15" t="s">
        <v>15</v>
      </c>
      <c r="R15" s="4">
        <f t="shared" si="3"/>
        <v>0</v>
      </c>
      <c r="X15" s="4">
        <f t="shared" si="1"/>
        <v>0</v>
      </c>
    </row>
    <row r="16" spans="2:32" x14ac:dyDescent="0.25">
      <c r="B16" t="s">
        <v>16</v>
      </c>
      <c r="F16" s="4">
        <f t="shared" si="2"/>
        <v>0</v>
      </c>
      <c r="L16" s="4">
        <f t="shared" si="0"/>
        <v>0</v>
      </c>
      <c r="N16" t="s">
        <v>16</v>
      </c>
      <c r="R16" s="4">
        <f t="shared" si="3"/>
        <v>0</v>
      </c>
      <c r="X16" s="4">
        <f t="shared" si="1"/>
        <v>0</v>
      </c>
    </row>
    <row r="17" spans="2:24" x14ac:dyDescent="0.25">
      <c r="B17" t="s">
        <v>17</v>
      </c>
      <c r="E17">
        <v>9.5</v>
      </c>
      <c r="F17" s="4">
        <f t="shared" si="2"/>
        <v>0</v>
      </c>
      <c r="K17">
        <v>42</v>
      </c>
      <c r="L17" s="4">
        <f t="shared" si="0"/>
        <v>0</v>
      </c>
      <c r="N17" t="s">
        <v>17</v>
      </c>
      <c r="O17">
        <v>15</v>
      </c>
      <c r="Q17">
        <v>9.5</v>
      </c>
      <c r="R17" s="4">
        <f t="shared" si="3"/>
        <v>142.5</v>
      </c>
      <c r="T17" t="s">
        <v>17</v>
      </c>
      <c r="W17">
        <v>42</v>
      </c>
      <c r="X17" s="4">
        <f t="shared" si="1"/>
        <v>0</v>
      </c>
    </row>
    <row r="18" spans="2:24" x14ac:dyDescent="0.25">
      <c r="B18" t="s">
        <v>18</v>
      </c>
      <c r="E18">
        <v>500</v>
      </c>
      <c r="F18" s="4">
        <f t="shared" si="2"/>
        <v>0</v>
      </c>
      <c r="L18" s="4">
        <f t="shared" si="0"/>
        <v>0</v>
      </c>
      <c r="N18" t="s">
        <v>18</v>
      </c>
      <c r="Q18">
        <v>500</v>
      </c>
      <c r="R18" s="4">
        <f t="shared" si="3"/>
        <v>0</v>
      </c>
      <c r="X18" s="4">
        <f t="shared" si="1"/>
        <v>0</v>
      </c>
    </row>
    <row r="19" spans="2:24" x14ac:dyDescent="0.25">
      <c r="B19" t="s">
        <v>26</v>
      </c>
      <c r="E19">
        <v>650</v>
      </c>
      <c r="F19" s="4">
        <f t="shared" si="2"/>
        <v>0</v>
      </c>
      <c r="L19" s="4">
        <f t="shared" si="0"/>
        <v>0</v>
      </c>
      <c r="N19" t="s">
        <v>26</v>
      </c>
      <c r="Q19">
        <v>650</v>
      </c>
      <c r="R19" s="4">
        <f t="shared" si="3"/>
        <v>0</v>
      </c>
      <c r="X19" s="4">
        <f t="shared" si="1"/>
        <v>0</v>
      </c>
    </row>
    <row r="20" spans="2:24" x14ac:dyDescent="0.25">
      <c r="B20" t="s">
        <v>40</v>
      </c>
      <c r="C20">
        <v>1</v>
      </c>
      <c r="E20">
        <v>700</v>
      </c>
      <c r="F20" s="4">
        <f t="shared" si="2"/>
        <v>700</v>
      </c>
      <c r="L20" s="4">
        <f t="shared" si="0"/>
        <v>0</v>
      </c>
      <c r="N20" t="s">
        <v>40</v>
      </c>
      <c r="O20">
        <v>2</v>
      </c>
      <c r="Q20">
        <v>700</v>
      </c>
      <c r="R20" s="4">
        <f t="shared" si="3"/>
        <v>1400</v>
      </c>
      <c r="X20" s="4">
        <f t="shared" si="1"/>
        <v>0</v>
      </c>
    </row>
    <row r="21" spans="2:24" x14ac:dyDescent="0.25">
      <c r="F21" s="4">
        <f t="shared" si="2"/>
        <v>0</v>
      </c>
      <c r="L21" s="4">
        <f t="shared" si="0"/>
        <v>0</v>
      </c>
      <c r="R21" s="4">
        <f t="shared" si="3"/>
        <v>0</v>
      </c>
      <c r="X21" s="4">
        <f t="shared" si="1"/>
        <v>0</v>
      </c>
    </row>
    <row r="22" spans="2:24" x14ac:dyDescent="0.25">
      <c r="F22" s="4">
        <f t="shared" si="2"/>
        <v>0</v>
      </c>
      <c r="L22" s="4">
        <f t="shared" si="0"/>
        <v>0</v>
      </c>
      <c r="R22" s="4">
        <f t="shared" si="3"/>
        <v>0</v>
      </c>
      <c r="X22" s="4">
        <f t="shared" si="1"/>
        <v>0</v>
      </c>
    </row>
    <row r="23" spans="2:24" x14ac:dyDescent="0.25">
      <c r="F23" s="4">
        <f t="shared" si="2"/>
        <v>0</v>
      </c>
      <c r="L23" s="4">
        <f t="shared" si="0"/>
        <v>0</v>
      </c>
      <c r="R23" s="4">
        <f t="shared" si="3"/>
        <v>0</v>
      </c>
      <c r="X23" s="4">
        <f t="shared" si="1"/>
        <v>0</v>
      </c>
    </row>
    <row r="24" spans="2:24" x14ac:dyDescent="0.25">
      <c r="F24" s="4">
        <f t="shared" si="2"/>
        <v>0</v>
      </c>
      <c r="L24" s="4">
        <f t="shared" si="0"/>
        <v>0</v>
      </c>
      <c r="R24" s="4">
        <f t="shared" si="3"/>
        <v>0</v>
      </c>
      <c r="X24" s="4">
        <f t="shared" si="1"/>
        <v>0</v>
      </c>
    </row>
    <row r="25" spans="2:24" x14ac:dyDescent="0.25">
      <c r="F25" s="4">
        <f t="shared" si="2"/>
        <v>0</v>
      </c>
      <c r="L25" s="4">
        <f t="shared" si="0"/>
        <v>0</v>
      </c>
      <c r="R25" s="4">
        <f t="shared" si="3"/>
        <v>0</v>
      </c>
      <c r="X25" s="4">
        <f t="shared" si="1"/>
        <v>0</v>
      </c>
    </row>
    <row r="26" spans="2:24" x14ac:dyDescent="0.25">
      <c r="F26" s="4">
        <f t="shared" si="2"/>
        <v>0</v>
      </c>
      <c r="L26" s="4">
        <f t="shared" si="0"/>
        <v>0</v>
      </c>
      <c r="R26" s="4">
        <f t="shared" si="3"/>
        <v>0</v>
      </c>
      <c r="X26" s="4">
        <f t="shared" si="1"/>
        <v>0</v>
      </c>
    </row>
    <row r="27" spans="2:24" x14ac:dyDescent="0.25">
      <c r="F27" s="4">
        <f t="shared" si="2"/>
        <v>0</v>
      </c>
      <c r="L27" s="4">
        <f t="shared" si="0"/>
        <v>0</v>
      </c>
      <c r="R27" s="4">
        <f t="shared" si="3"/>
        <v>0</v>
      </c>
      <c r="X27" s="4">
        <f t="shared" si="1"/>
        <v>0</v>
      </c>
    </row>
    <row r="28" spans="2:24" x14ac:dyDescent="0.25">
      <c r="F28" s="4">
        <f t="shared" si="2"/>
        <v>0</v>
      </c>
      <c r="L28" s="4">
        <f t="shared" si="0"/>
        <v>0</v>
      </c>
      <c r="R28" s="4">
        <f t="shared" si="3"/>
        <v>0</v>
      </c>
      <c r="X28" s="4">
        <f t="shared" si="1"/>
        <v>0</v>
      </c>
    </row>
    <row r="29" spans="2:24" x14ac:dyDescent="0.25">
      <c r="F29" s="4">
        <f t="shared" si="2"/>
        <v>0</v>
      </c>
      <c r="L29" s="4">
        <f t="shared" si="0"/>
        <v>0</v>
      </c>
      <c r="R29" s="4">
        <f t="shared" si="3"/>
        <v>0</v>
      </c>
      <c r="X29" s="4">
        <f t="shared" si="1"/>
        <v>0</v>
      </c>
    </row>
    <row r="30" spans="2:24" x14ac:dyDescent="0.25">
      <c r="F30" s="4">
        <f t="shared" si="2"/>
        <v>0</v>
      </c>
      <c r="L30" s="4">
        <f t="shared" si="0"/>
        <v>0</v>
      </c>
      <c r="R30" s="4">
        <f t="shared" si="3"/>
        <v>0</v>
      </c>
      <c r="X30" s="4">
        <f t="shared" si="1"/>
        <v>0</v>
      </c>
    </row>
    <row r="31" spans="2:24" x14ac:dyDescent="0.25">
      <c r="F31" s="4">
        <f t="shared" si="2"/>
        <v>0</v>
      </c>
      <c r="L31" s="4">
        <f t="shared" si="0"/>
        <v>0</v>
      </c>
      <c r="R31" s="4">
        <f t="shared" si="3"/>
        <v>0</v>
      </c>
      <c r="X31" s="4">
        <f t="shared" si="1"/>
        <v>0</v>
      </c>
    </row>
    <row r="32" spans="2:24" x14ac:dyDescent="0.25">
      <c r="F32" s="4">
        <f t="shared" si="2"/>
        <v>0</v>
      </c>
      <c r="H32" s="9" t="s">
        <v>23</v>
      </c>
      <c r="I32" s="9"/>
      <c r="J32" s="9"/>
      <c r="K32" s="9"/>
      <c r="L32" s="4">
        <f t="shared" si="0"/>
        <v>0</v>
      </c>
      <c r="R32" s="4">
        <f t="shared" si="3"/>
        <v>0</v>
      </c>
      <c r="T32" s="9" t="s">
        <v>23</v>
      </c>
      <c r="U32" s="9"/>
      <c r="V32" s="9"/>
      <c r="W32" s="9"/>
      <c r="X32" s="15">
        <f>SUM(X10:X31)</f>
        <v>0</v>
      </c>
    </row>
    <row r="33" spans="2:24" x14ac:dyDescent="0.25">
      <c r="B33" s="13" t="s">
        <v>28</v>
      </c>
      <c r="C33" s="13"/>
      <c r="D33" s="14"/>
      <c r="E33" s="14"/>
      <c r="F33" s="10">
        <f>-D33*E33</f>
        <v>0</v>
      </c>
      <c r="H33" s="9" t="s">
        <v>24</v>
      </c>
      <c r="I33" s="9"/>
      <c r="J33" s="9"/>
      <c r="K33" s="9"/>
      <c r="L33" s="8">
        <f>SUM(F34)</f>
        <v>13050</v>
      </c>
      <c r="N33" s="13" t="s">
        <v>28</v>
      </c>
      <c r="O33" s="13"/>
      <c r="P33" s="14"/>
      <c r="Q33" s="14"/>
      <c r="R33" s="10">
        <f>-P33*Q33</f>
        <v>0</v>
      </c>
      <c r="T33" s="9" t="s">
        <v>24</v>
      </c>
      <c r="U33" s="9"/>
      <c r="V33" s="9"/>
      <c r="W33" s="9"/>
      <c r="X33" s="8">
        <f>SUM(R34)</f>
        <v>14502.5</v>
      </c>
    </row>
    <row r="34" spans="2:24" x14ac:dyDescent="0.25">
      <c r="B34" s="7" t="s">
        <v>19</v>
      </c>
      <c r="C34" s="7"/>
      <c r="D34" s="7"/>
      <c r="E34" s="7"/>
      <c r="F34" s="21">
        <f>SUM(F10:F33)</f>
        <v>13050</v>
      </c>
      <c r="H34" s="9" t="s">
        <v>25</v>
      </c>
      <c r="I34" s="9"/>
      <c r="J34" s="9"/>
      <c r="K34" s="9"/>
      <c r="L34" s="22">
        <f>SUM(L33+L32)</f>
        <v>13050</v>
      </c>
      <c r="N34" s="7" t="s">
        <v>19</v>
      </c>
      <c r="O34" s="7"/>
      <c r="P34" s="7"/>
      <c r="Q34" s="7"/>
      <c r="R34" s="21">
        <f>SUM(R10:R33)</f>
        <v>14502.5</v>
      </c>
      <c r="T34" s="9" t="s">
        <v>25</v>
      </c>
      <c r="U34" s="9"/>
      <c r="V34" s="9"/>
      <c r="W34" s="9"/>
      <c r="X34" s="22">
        <f>SUM(X33+X32)</f>
        <v>14502.5</v>
      </c>
    </row>
    <row r="35" spans="2:24" ht="18.75" x14ac:dyDescent="0.3">
      <c r="B35" s="17" t="s">
        <v>29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N35" s="17" t="s">
        <v>29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7" spans="2:24" x14ac:dyDescent="0.25">
      <c r="B37" s="3" t="s">
        <v>0</v>
      </c>
      <c r="C37" s="3"/>
      <c r="D37" s="18" t="s">
        <v>85</v>
      </c>
      <c r="E37" s="18"/>
      <c r="F37" s="18"/>
      <c r="H37" s="3" t="s">
        <v>43</v>
      </c>
      <c r="I37" s="3"/>
      <c r="J37">
        <v>3</v>
      </c>
      <c r="N37" s="3" t="s">
        <v>0</v>
      </c>
      <c r="O37" s="3"/>
      <c r="P37" s="18" t="s">
        <v>89</v>
      </c>
      <c r="Q37" s="18"/>
      <c r="R37" s="18"/>
      <c r="T37" s="3" t="s">
        <v>43</v>
      </c>
      <c r="U37" s="3"/>
      <c r="V37">
        <v>3</v>
      </c>
    </row>
    <row r="38" spans="2:24" x14ac:dyDescent="0.25">
      <c r="B38" s="3" t="s">
        <v>1</v>
      </c>
      <c r="C38" s="3"/>
      <c r="D38" s="2" t="s">
        <v>86</v>
      </c>
      <c r="E38" s="2"/>
      <c r="F38" s="2"/>
      <c r="H38" s="3" t="s">
        <v>44</v>
      </c>
      <c r="I38" s="3"/>
      <c r="J38" t="s">
        <v>78</v>
      </c>
      <c r="N38" s="3" t="s">
        <v>1</v>
      </c>
      <c r="O38" s="3"/>
      <c r="P38" s="2" t="s">
        <v>90</v>
      </c>
      <c r="Q38" s="2"/>
      <c r="R38" s="2"/>
      <c r="T38" s="3" t="s">
        <v>44</v>
      </c>
      <c r="U38" s="3"/>
      <c r="V38" t="s">
        <v>78</v>
      </c>
    </row>
    <row r="39" spans="2:24" x14ac:dyDescent="0.25">
      <c r="B39" s="3" t="s">
        <v>3</v>
      </c>
      <c r="C39" s="3"/>
      <c r="D39" s="2" t="s">
        <v>32</v>
      </c>
      <c r="E39" s="2"/>
      <c r="F39" s="2"/>
      <c r="H39" s="3" t="s">
        <v>45</v>
      </c>
      <c r="I39" s="3"/>
      <c r="J39" t="s">
        <v>79</v>
      </c>
      <c r="N39" s="3" t="s">
        <v>3</v>
      </c>
      <c r="O39" s="3"/>
      <c r="P39" s="2" t="s">
        <v>32</v>
      </c>
      <c r="Q39" s="2"/>
      <c r="R39" s="2"/>
      <c r="T39" s="3" t="s">
        <v>45</v>
      </c>
      <c r="U39" s="3"/>
      <c r="V39" t="s">
        <v>79</v>
      </c>
    </row>
    <row r="40" spans="2:24" x14ac:dyDescent="0.25">
      <c r="B40" s="3" t="s">
        <v>2</v>
      </c>
      <c r="C40" s="3"/>
      <c r="D40" s="2" t="s">
        <v>83</v>
      </c>
      <c r="E40" s="2"/>
      <c r="F40" s="2"/>
      <c r="H40" s="3" t="s">
        <v>46</v>
      </c>
      <c r="I40" s="3"/>
      <c r="J40" t="s">
        <v>80</v>
      </c>
      <c r="N40" s="3" t="s">
        <v>2</v>
      </c>
      <c r="O40" s="3"/>
      <c r="P40" s="2" t="s">
        <v>83</v>
      </c>
      <c r="Q40" s="2"/>
      <c r="R40" s="2"/>
      <c r="T40" s="3" t="s">
        <v>46</v>
      </c>
      <c r="U40" s="3"/>
      <c r="V40" t="s">
        <v>80</v>
      </c>
    </row>
    <row r="42" spans="2:24" x14ac:dyDescent="0.25">
      <c r="B42" s="1"/>
      <c r="C42" s="1" t="s">
        <v>4</v>
      </c>
      <c r="D42" s="1"/>
      <c r="E42" s="1"/>
      <c r="F42" s="1"/>
      <c r="H42" s="6" t="s">
        <v>20</v>
      </c>
      <c r="I42" s="6"/>
      <c r="J42" s="6"/>
      <c r="K42" s="6"/>
      <c r="L42" s="6"/>
      <c r="N42" s="1"/>
      <c r="O42" s="1" t="s">
        <v>4</v>
      </c>
      <c r="P42" s="1"/>
      <c r="Q42" s="1"/>
      <c r="R42" s="1"/>
      <c r="T42" s="6" t="s">
        <v>20</v>
      </c>
      <c r="U42" s="6"/>
      <c r="V42" s="6"/>
      <c r="W42" s="6"/>
      <c r="X42" s="6"/>
    </row>
    <row r="43" spans="2:24" x14ac:dyDescent="0.25">
      <c r="B43" s="11" t="s">
        <v>5</v>
      </c>
      <c r="C43" s="11" t="s">
        <v>6</v>
      </c>
      <c r="D43" s="11" t="s">
        <v>7</v>
      </c>
      <c r="E43" s="12" t="s">
        <v>8</v>
      </c>
      <c r="F43" s="11" t="s">
        <v>9</v>
      </c>
      <c r="H43" s="11" t="s">
        <v>5</v>
      </c>
      <c r="I43" s="12" t="s">
        <v>21</v>
      </c>
      <c r="J43" s="12" t="s">
        <v>22</v>
      </c>
      <c r="K43" s="12" t="s">
        <v>8</v>
      </c>
      <c r="L43" s="12" t="s">
        <v>9</v>
      </c>
      <c r="N43" s="11" t="s">
        <v>5</v>
      </c>
      <c r="O43" s="11" t="s">
        <v>6</v>
      </c>
      <c r="P43" s="11" t="s">
        <v>7</v>
      </c>
      <c r="Q43" s="12" t="s">
        <v>8</v>
      </c>
      <c r="R43" s="11" t="s">
        <v>9</v>
      </c>
      <c r="T43" s="11" t="s">
        <v>5</v>
      </c>
      <c r="U43" s="12" t="s">
        <v>21</v>
      </c>
      <c r="V43" s="12" t="s">
        <v>22</v>
      </c>
      <c r="W43" s="12" t="s">
        <v>8</v>
      </c>
      <c r="X43" s="12" t="s">
        <v>9</v>
      </c>
    </row>
    <row r="44" spans="2:24" x14ac:dyDescent="0.25">
      <c r="B44" t="s">
        <v>10</v>
      </c>
      <c r="C44">
        <v>70</v>
      </c>
      <c r="E44">
        <v>650</v>
      </c>
      <c r="F44" s="4">
        <f>C44*E44</f>
        <v>45500</v>
      </c>
      <c r="H44" t="s">
        <v>87</v>
      </c>
      <c r="J44">
        <v>17</v>
      </c>
      <c r="K44">
        <v>111</v>
      </c>
      <c r="L44" s="4">
        <f t="shared" ref="L44:L46" si="4">-I44*K44+J44*K44</f>
        <v>1887</v>
      </c>
      <c r="N44" t="s">
        <v>10</v>
      </c>
      <c r="O44">
        <v>5</v>
      </c>
      <c r="Q44">
        <v>650</v>
      </c>
      <c r="R44" s="4">
        <f>O44*Q44</f>
        <v>3250</v>
      </c>
      <c r="X44" s="4">
        <f t="shared" ref="X44:X65" si="5">-U44*W44+V44*W44</f>
        <v>0</v>
      </c>
    </row>
    <row r="45" spans="2:24" x14ac:dyDescent="0.25">
      <c r="B45" t="s">
        <v>11</v>
      </c>
      <c r="C45">
        <v>10</v>
      </c>
      <c r="E45">
        <v>670</v>
      </c>
      <c r="F45" s="4">
        <f t="shared" ref="F45:F66" si="6">C45*E45</f>
        <v>6700</v>
      </c>
      <c r="L45" s="4">
        <f t="shared" si="4"/>
        <v>0</v>
      </c>
      <c r="N45" t="s">
        <v>11</v>
      </c>
      <c r="R45" s="4">
        <f t="shared" ref="R45:R66" si="7">O45*Q45</f>
        <v>0</v>
      </c>
      <c r="X45" s="4">
        <f t="shared" si="5"/>
        <v>0</v>
      </c>
    </row>
    <row r="46" spans="2:24" x14ac:dyDescent="0.25">
      <c r="B46" t="s">
        <v>12</v>
      </c>
      <c r="E46">
        <v>973</v>
      </c>
      <c r="F46" s="4">
        <f t="shared" si="6"/>
        <v>0</v>
      </c>
      <c r="L46" s="4">
        <f t="shared" si="4"/>
        <v>0</v>
      </c>
      <c r="N46" t="s">
        <v>12</v>
      </c>
      <c r="R46" s="4">
        <f t="shared" si="7"/>
        <v>0</v>
      </c>
      <c r="X46" s="4">
        <f t="shared" si="5"/>
        <v>0</v>
      </c>
    </row>
    <row r="47" spans="2:24" x14ac:dyDescent="0.25">
      <c r="B47" t="s">
        <v>13</v>
      </c>
      <c r="C47">
        <v>20</v>
      </c>
      <c r="E47">
        <v>622</v>
      </c>
      <c r="F47" s="4">
        <f t="shared" si="6"/>
        <v>12440</v>
      </c>
      <c r="H47" t="s">
        <v>88</v>
      </c>
      <c r="J47">
        <v>96</v>
      </c>
      <c r="K47">
        <v>1.5</v>
      </c>
      <c r="L47" s="4">
        <f>-I47*K47+J47*K47</f>
        <v>144</v>
      </c>
      <c r="N47" t="s">
        <v>13</v>
      </c>
      <c r="R47" s="4">
        <f t="shared" si="7"/>
        <v>0</v>
      </c>
      <c r="X47" s="4">
        <f t="shared" si="5"/>
        <v>0</v>
      </c>
    </row>
    <row r="48" spans="2:24" x14ac:dyDescent="0.25">
      <c r="B48" t="s">
        <v>14</v>
      </c>
      <c r="E48">
        <v>912</v>
      </c>
      <c r="F48" s="4">
        <f t="shared" si="6"/>
        <v>0</v>
      </c>
      <c r="L48" s="4">
        <f t="shared" ref="L48:L65" si="8">-I48*K48+J48*K48</f>
        <v>0</v>
      </c>
      <c r="N48" t="s">
        <v>14</v>
      </c>
      <c r="R48" s="4">
        <f t="shared" si="7"/>
        <v>0</v>
      </c>
      <c r="X48" s="4">
        <f t="shared" si="5"/>
        <v>0</v>
      </c>
    </row>
    <row r="49" spans="2:24" x14ac:dyDescent="0.25">
      <c r="B49" t="s">
        <v>15</v>
      </c>
      <c r="F49" s="4">
        <f t="shared" si="6"/>
        <v>0</v>
      </c>
      <c r="L49" s="4">
        <f t="shared" si="8"/>
        <v>0</v>
      </c>
      <c r="N49" t="s">
        <v>15</v>
      </c>
      <c r="R49" s="4">
        <f t="shared" si="7"/>
        <v>0</v>
      </c>
      <c r="X49" s="4">
        <f t="shared" si="5"/>
        <v>0</v>
      </c>
    </row>
    <row r="50" spans="2:24" x14ac:dyDescent="0.25">
      <c r="B50" t="s">
        <v>16</v>
      </c>
      <c r="E50">
        <v>872</v>
      </c>
      <c r="F50" s="4">
        <f t="shared" si="6"/>
        <v>0</v>
      </c>
      <c r="L50" s="4">
        <f t="shared" si="8"/>
        <v>0</v>
      </c>
      <c r="N50" t="s">
        <v>16</v>
      </c>
      <c r="R50" s="4">
        <f t="shared" si="7"/>
        <v>0</v>
      </c>
      <c r="X50" s="4">
        <f t="shared" si="5"/>
        <v>0</v>
      </c>
    </row>
    <row r="51" spans="2:24" x14ac:dyDescent="0.25">
      <c r="B51" t="s">
        <v>17</v>
      </c>
      <c r="C51">
        <v>4</v>
      </c>
      <c r="E51">
        <v>229</v>
      </c>
      <c r="F51" s="4">
        <f t="shared" si="6"/>
        <v>916</v>
      </c>
      <c r="L51" s="4">
        <f t="shared" si="8"/>
        <v>0</v>
      </c>
      <c r="N51" t="s">
        <v>17</v>
      </c>
      <c r="O51">
        <v>5</v>
      </c>
      <c r="Q51">
        <v>9.5</v>
      </c>
      <c r="R51" s="4">
        <f t="shared" si="7"/>
        <v>47.5</v>
      </c>
      <c r="X51" s="4">
        <f t="shared" si="5"/>
        <v>0</v>
      </c>
    </row>
    <row r="52" spans="2:24" x14ac:dyDescent="0.25">
      <c r="B52" t="s">
        <v>18</v>
      </c>
      <c r="E52">
        <v>500</v>
      </c>
      <c r="F52" s="4">
        <f t="shared" si="6"/>
        <v>0</v>
      </c>
      <c r="L52" s="4">
        <f t="shared" si="8"/>
        <v>0</v>
      </c>
      <c r="N52" t="s">
        <v>18</v>
      </c>
      <c r="R52" s="4">
        <f t="shared" si="7"/>
        <v>0</v>
      </c>
      <c r="X52" s="4">
        <f t="shared" si="5"/>
        <v>0</v>
      </c>
    </row>
    <row r="53" spans="2:24" x14ac:dyDescent="0.25">
      <c r="B53" t="s">
        <v>26</v>
      </c>
      <c r="E53">
        <v>650</v>
      </c>
      <c r="F53" s="4">
        <f t="shared" si="6"/>
        <v>0</v>
      </c>
      <c r="L53" s="4">
        <f t="shared" si="8"/>
        <v>0</v>
      </c>
      <c r="N53" t="s">
        <v>26</v>
      </c>
      <c r="R53" s="4">
        <f t="shared" si="7"/>
        <v>0</v>
      </c>
      <c r="X53" s="4">
        <f t="shared" si="5"/>
        <v>0</v>
      </c>
    </row>
    <row r="54" spans="2:24" x14ac:dyDescent="0.25">
      <c r="B54" s="20" t="s">
        <v>41</v>
      </c>
      <c r="E54">
        <v>1175</v>
      </c>
      <c r="F54" s="4">
        <f t="shared" si="6"/>
        <v>0</v>
      </c>
      <c r="L54" s="4">
        <f t="shared" si="8"/>
        <v>0</v>
      </c>
      <c r="R54" s="4">
        <f t="shared" si="7"/>
        <v>0</v>
      </c>
      <c r="X54" s="4">
        <f t="shared" si="5"/>
        <v>0</v>
      </c>
    </row>
    <row r="55" spans="2:24" x14ac:dyDescent="0.25">
      <c r="B55" t="s">
        <v>40</v>
      </c>
      <c r="E55">
        <v>700</v>
      </c>
      <c r="F55" s="4">
        <f t="shared" si="6"/>
        <v>0</v>
      </c>
      <c r="L55" s="4">
        <f t="shared" si="8"/>
        <v>0</v>
      </c>
      <c r="R55" s="4">
        <f t="shared" si="7"/>
        <v>0</v>
      </c>
      <c r="X55" s="4">
        <f t="shared" si="5"/>
        <v>0</v>
      </c>
    </row>
    <row r="56" spans="2:24" x14ac:dyDescent="0.25">
      <c r="F56" s="4">
        <f t="shared" si="6"/>
        <v>0</v>
      </c>
      <c r="L56" s="4">
        <f t="shared" si="8"/>
        <v>0</v>
      </c>
      <c r="R56" s="4">
        <f t="shared" si="7"/>
        <v>0</v>
      </c>
      <c r="X56" s="4">
        <f t="shared" si="5"/>
        <v>0</v>
      </c>
    </row>
    <row r="57" spans="2:24" x14ac:dyDescent="0.25">
      <c r="F57" s="4">
        <f t="shared" si="6"/>
        <v>0</v>
      </c>
      <c r="L57" s="4">
        <f t="shared" si="8"/>
        <v>0</v>
      </c>
      <c r="R57" s="4">
        <f t="shared" si="7"/>
        <v>0</v>
      </c>
      <c r="X57" s="4">
        <f t="shared" si="5"/>
        <v>0</v>
      </c>
    </row>
    <row r="58" spans="2:24" x14ac:dyDescent="0.25">
      <c r="F58" s="4">
        <f t="shared" si="6"/>
        <v>0</v>
      </c>
      <c r="L58" s="4">
        <f t="shared" si="8"/>
        <v>0</v>
      </c>
      <c r="R58" s="4">
        <f t="shared" si="7"/>
        <v>0</v>
      </c>
      <c r="X58" s="4">
        <f t="shared" si="5"/>
        <v>0</v>
      </c>
    </row>
    <row r="59" spans="2:24" x14ac:dyDescent="0.25">
      <c r="F59" s="4">
        <f t="shared" si="6"/>
        <v>0</v>
      </c>
      <c r="L59" s="4">
        <f t="shared" si="8"/>
        <v>0</v>
      </c>
      <c r="R59" s="4">
        <f t="shared" si="7"/>
        <v>0</v>
      </c>
      <c r="X59" s="4">
        <f t="shared" si="5"/>
        <v>0</v>
      </c>
    </row>
    <row r="60" spans="2:24" x14ac:dyDescent="0.25">
      <c r="F60" s="4">
        <f t="shared" si="6"/>
        <v>0</v>
      </c>
      <c r="L60" s="4">
        <f t="shared" si="8"/>
        <v>0</v>
      </c>
      <c r="R60" s="4">
        <f t="shared" si="7"/>
        <v>0</v>
      </c>
      <c r="X60" s="4">
        <f t="shared" si="5"/>
        <v>0</v>
      </c>
    </row>
    <row r="61" spans="2:24" x14ac:dyDescent="0.25">
      <c r="F61" s="4">
        <f t="shared" si="6"/>
        <v>0</v>
      </c>
      <c r="L61" s="4">
        <f t="shared" si="8"/>
        <v>0</v>
      </c>
      <c r="R61" s="4">
        <f t="shared" si="7"/>
        <v>0</v>
      </c>
      <c r="X61" s="4">
        <f t="shared" si="5"/>
        <v>0</v>
      </c>
    </row>
    <row r="62" spans="2:24" x14ac:dyDescent="0.25">
      <c r="F62" s="4">
        <f t="shared" si="6"/>
        <v>0</v>
      </c>
      <c r="L62" s="4">
        <f t="shared" si="8"/>
        <v>0</v>
      </c>
      <c r="R62" s="4">
        <f t="shared" si="7"/>
        <v>0</v>
      </c>
      <c r="X62" s="4">
        <f t="shared" si="5"/>
        <v>0</v>
      </c>
    </row>
    <row r="63" spans="2:24" x14ac:dyDescent="0.25">
      <c r="F63" s="4">
        <f t="shared" si="6"/>
        <v>0</v>
      </c>
      <c r="L63" s="4">
        <f t="shared" si="8"/>
        <v>0</v>
      </c>
      <c r="R63" s="4">
        <f t="shared" si="7"/>
        <v>0</v>
      </c>
      <c r="X63" s="4">
        <f t="shared" si="5"/>
        <v>0</v>
      </c>
    </row>
    <row r="64" spans="2:24" x14ac:dyDescent="0.25">
      <c r="F64" s="4">
        <f t="shared" si="6"/>
        <v>0</v>
      </c>
      <c r="L64" s="4">
        <f t="shared" si="8"/>
        <v>0</v>
      </c>
      <c r="R64" s="4">
        <f t="shared" si="7"/>
        <v>0</v>
      </c>
      <c r="X64" s="4">
        <f t="shared" si="5"/>
        <v>0</v>
      </c>
    </row>
    <row r="65" spans="2:24" x14ac:dyDescent="0.25">
      <c r="F65" s="4">
        <f t="shared" si="6"/>
        <v>0</v>
      </c>
      <c r="L65" s="4">
        <f t="shared" si="8"/>
        <v>0</v>
      </c>
      <c r="R65" s="4">
        <f t="shared" si="7"/>
        <v>0</v>
      </c>
      <c r="X65" s="4">
        <f t="shared" si="5"/>
        <v>0</v>
      </c>
    </row>
    <row r="66" spans="2:24" x14ac:dyDescent="0.25">
      <c r="F66" s="4">
        <f t="shared" si="6"/>
        <v>0</v>
      </c>
      <c r="H66" s="9" t="s">
        <v>23</v>
      </c>
      <c r="I66" s="9"/>
      <c r="J66" s="9"/>
      <c r="K66" s="9"/>
      <c r="L66" s="15">
        <f>SUM(L44:L65)</f>
        <v>2031</v>
      </c>
      <c r="R66" s="4">
        <f t="shared" si="7"/>
        <v>0</v>
      </c>
      <c r="T66" s="9" t="s">
        <v>23</v>
      </c>
      <c r="U66" s="9"/>
      <c r="V66" s="9"/>
      <c r="W66" s="9"/>
      <c r="X66" s="15">
        <f>SUM(X44:X65)</f>
        <v>0</v>
      </c>
    </row>
    <row r="67" spans="2:24" x14ac:dyDescent="0.25">
      <c r="B67" s="13" t="s">
        <v>28</v>
      </c>
      <c r="C67" s="13"/>
      <c r="D67" s="14">
        <v>100</v>
      </c>
      <c r="E67" s="14">
        <v>6</v>
      </c>
      <c r="F67" s="10">
        <f>-D67*E67</f>
        <v>-600</v>
      </c>
      <c r="H67" s="9" t="s">
        <v>24</v>
      </c>
      <c r="I67" s="9"/>
      <c r="J67" s="9"/>
      <c r="K67" s="9"/>
      <c r="L67" s="8">
        <f>SUM(F68)</f>
        <v>64956</v>
      </c>
      <c r="N67" s="13" t="s">
        <v>28</v>
      </c>
      <c r="O67" s="13"/>
      <c r="P67" s="14"/>
      <c r="Q67" s="14"/>
      <c r="R67" s="10">
        <f>-P67*Q67</f>
        <v>0</v>
      </c>
      <c r="T67" s="9" t="s">
        <v>24</v>
      </c>
      <c r="U67" s="9"/>
      <c r="V67" s="9"/>
      <c r="W67" s="9"/>
      <c r="X67" s="8">
        <f>SUM(R68)</f>
        <v>3297.5</v>
      </c>
    </row>
    <row r="68" spans="2:24" x14ac:dyDescent="0.25">
      <c r="B68" s="7" t="s">
        <v>19</v>
      </c>
      <c r="C68" s="7"/>
      <c r="D68" s="7"/>
      <c r="E68" s="7"/>
      <c r="F68" s="21">
        <f>SUM(F44:F67)</f>
        <v>64956</v>
      </c>
      <c r="H68" s="9" t="s">
        <v>25</v>
      </c>
      <c r="I68" s="9"/>
      <c r="J68" s="9"/>
      <c r="K68" s="9"/>
      <c r="L68" s="22">
        <f>SUM(L67+L66)</f>
        <v>66987</v>
      </c>
      <c r="N68" s="7" t="s">
        <v>19</v>
      </c>
      <c r="O68" s="7"/>
      <c r="P68" s="7"/>
      <c r="Q68" s="7"/>
      <c r="R68" s="21">
        <f>SUM(R44:R67)</f>
        <v>3297.5</v>
      </c>
      <c r="T68" s="9" t="s">
        <v>25</v>
      </c>
      <c r="U68" s="9"/>
      <c r="V68" s="9"/>
      <c r="W68" s="9"/>
      <c r="X68" s="22">
        <f>SUM(X67+X66)</f>
        <v>3297.5</v>
      </c>
    </row>
    <row r="69" spans="2:24" ht="18.75" x14ac:dyDescent="0.3">
      <c r="B69" s="17" t="s">
        <v>29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N69" s="17" t="s">
        <v>29</v>
      </c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1" spans="2:24" x14ac:dyDescent="0.25">
      <c r="B71" s="3" t="s">
        <v>0</v>
      </c>
      <c r="C71" s="3"/>
      <c r="D71" s="18" t="s">
        <v>91</v>
      </c>
      <c r="E71" s="18"/>
      <c r="F71" s="18"/>
      <c r="H71" s="3" t="s">
        <v>43</v>
      </c>
      <c r="I71" s="3"/>
      <c r="J71">
        <v>3</v>
      </c>
      <c r="N71" s="3" t="s">
        <v>0</v>
      </c>
      <c r="O71" s="3"/>
      <c r="P71" s="18" t="s">
        <v>93</v>
      </c>
      <c r="Q71" s="18"/>
      <c r="R71" s="18"/>
      <c r="T71" s="3" t="s">
        <v>43</v>
      </c>
      <c r="U71" s="3"/>
      <c r="V71">
        <v>3</v>
      </c>
    </row>
    <row r="72" spans="2:24" x14ac:dyDescent="0.25">
      <c r="B72" s="3" t="s">
        <v>1</v>
      </c>
      <c r="C72" s="3"/>
      <c r="D72" s="2" t="s">
        <v>92</v>
      </c>
      <c r="E72" s="2"/>
      <c r="F72" s="2"/>
      <c r="H72" s="3" t="s">
        <v>44</v>
      </c>
      <c r="I72" s="3"/>
      <c r="J72" t="s">
        <v>78</v>
      </c>
      <c r="N72" s="3" t="s">
        <v>1</v>
      </c>
      <c r="O72" s="3"/>
      <c r="P72" s="2" t="s">
        <v>94</v>
      </c>
      <c r="Q72" s="2"/>
      <c r="R72" s="2"/>
      <c r="T72" s="3" t="s">
        <v>44</v>
      </c>
      <c r="U72" s="3"/>
      <c r="V72" t="s">
        <v>78</v>
      </c>
    </row>
    <row r="73" spans="2:24" x14ac:dyDescent="0.25">
      <c r="B73" s="3" t="s">
        <v>3</v>
      </c>
      <c r="C73" s="3"/>
      <c r="D73" s="2" t="s">
        <v>32</v>
      </c>
      <c r="E73" s="2"/>
      <c r="F73" s="2"/>
      <c r="H73" s="3" t="s">
        <v>45</v>
      </c>
      <c r="I73" s="3"/>
      <c r="J73" t="s">
        <v>79</v>
      </c>
      <c r="N73" s="3" t="s">
        <v>3</v>
      </c>
      <c r="O73" s="3"/>
      <c r="P73" s="2" t="s">
        <v>32</v>
      </c>
      <c r="Q73" s="2"/>
      <c r="R73" s="2"/>
      <c r="T73" s="3" t="s">
        <v>45</v>
      </c>
      <c r="U73" s="3"/>
      <c r="V73" t="s">
        <v>79</v>
      </c>
    </row>
    <row r="74" spans="2:24" x14ac:dyDescent="0.25">
      <c r="B74" s="3" t="s">
        <v>2</v>
      </c>
      <c r="C74" s="3"/>
      <c r="D74" s="2" t="s">
        <v>83</v>
      </c>
      <c r="E74" s="2"/>
      <c r="F74" s="2"/>
      <c r="H74" s="3" t="s">
        <v>46</v>
      </c>
      <c r="I74" s="3"/>
      <c r="J74" t="s">
        <v>80</v>
      </c>
      <c r="N74" s="3" t="s">
        <v>2</v>
      </c>
      <c r="O74" s="3"/>
      <c r="P74" s="2" t="s">
        <v>83</v>
      </c>
      <c r="Q74" s="2"/>
      <c r="R74" s="2"/>
      <c r="T74" s="3" t="s">
        <v>46</v>
      </c>
      <c r="U74" s="3"/>
      <c r="V74" t="s">
        <v>80</v>
      </c>
    </row>
    <row r="76" spans="2:24" x14ac:dyDescent="0.25">
      <c r="B76" s="1"/>
      <c r="C76" s="1" t="s">
        <v>4</v>
      </c>
      <c r="D76" s="1"/>
      <c r="E76" s="1"/>
      <c r="F76" s="1"/>
      <c r="H76" s="6" t="s">
        <v>20</v>
      </c>
      <c r="I76" s="6"/>
      <c r="J76" s="6"/>
      <c r="K76" s="6"/>
      <c r="L76" s="6"/>
      <c r="N76" s="1"/>
      <c r="O76" s="1" t="s">
        <v>4</v>
      </c>
      <c r="P76" s="1"/>
      <c r="Q76" s="1"/>
      <c r="R76" s="1"/>
      <c r="T76" s="6" t="s">
        <v>20</v>
      </c>
      <c r="U76" s="6"/>
      <c r="V76" s="6"/>
      <c r="W76" s="6"/>
      <c r="X76" s="6"/>
    </row>
    <row r="77" spans="2:24" x14ac:dyDescent="0.25">
      <c r="B77" s="11" t="s">
        <v>5</v>
      </c>
      <c r="C77" s="11" t="s">
        <v>6</v>
      </c>
      <c r="D77" s="11" t="s">
        <v>7</v>
      </c>
      <c r="E77" s="12" t="s">
        <v>8</v>
      </c>
      <c r="F77" s="11" t="s">
        <v>9</v>
      </c>
      <c r="H77" s="11" t="s">
        <v>5</v>
      </c>
      <c r="I77" s="12" t="s">
        <v>21</v>
      </c>
      <c r="J77" s="12" t="s">
        <v>22</v>
      </c>
      <c r="K77" s="12" t="s">
        <v>8</v>
      </c>
      <c r="L77" s="12" t="s">
        <v>9</v>
      </c>
      <c r="N77" s="11" t="s">
        <v>5</v>
      </c>
      <c r="O77" s="11" t="s">
        <v>6</v>
      </c>
      <c r="P77" s="11" t="s">
        <v>7</v>
      </c>
      <c r="Q77" s="12" t="s">
        <v>8</v>
      </c>
      <c r="R77" s="11" t="s">
        <v>9</v>
      </c>
      <c r="T77" s="11" t="s">
        <v>5</v>
      </c>
      <c r="U77" s="12" t="s">
        <v>21</v>
      </c>
      <c r="V77" s="12" t="s">
        <v>22</v>
      </c>
      <c r="W77" s="12" t="s">
        <v>8</v>
      </c>
      <c r="X77" s="12" t="s">
        <v>9</v>
      </c>
    </row>
    <row r="78" spans="2:24" x14ac:dyDescent="0.25">
      <c r="B78" t="s">
        <v>10</v>
      </c>
      <c r="C78">
        <v>100</v>
      </c>
      <c r="E78">
        <v>650</v>
      </c>
      <c r="F78" s="4">
        <f>C78*E78</f>
        <v>65000</v>
      </c>
      <c r="L78" s="4">
        <f t="shared" ref="L78:L80" si="9">-I78*K78+J78*K78</f>
        <v>0</v>
      </c>
      <c r="N78" t="s">
        <v>10</v>
      </c>
      <c r="O78">
        <v>158</v>
      </c>
      <c r="Q78">
        <v>650</v>
      </c>
      <c r="R78" s="4">
        <f>O78*Q78</f>
        <v>102700</v>
      </c>
      <c r="X78" s="4">
        <f t="shared" ref="X78:X99" si="10">-U78*W78+V78*W78</f>
        <v>0</v>
      </c>
    </row>
    <row r="79" spans="2:24" x14ac:dyDescent="0.25">
      <c r="B79" t="s">
        <v>11</v>
      </c>
      <c r="C79">
        <v>5</v>
      </c>
      <c r="E79">
        <v>670</v>
      </c>
      <c r="F79" s="4">
        <f t="shared" ref="F79:F100" si="11">C79*E79</f>
        <v>3350</v>
      </c>
      <c r="L79" s="4">
        <f t="shared" si="9"/>
        <v>0</v>
      </c>
      <c r="N79" t="s">
        <v>11</v>
      </c>
      <c r="R79" s="4">
        <f t="shared" ref="R79:R100" si="12">O79*Q79</f>
        <v>0</v>
      </c>
      <c r="X79" s="4">
        <f t="shared" si="10"/>
        <v>0</v>
      </c>
    </row>
    <row r="80" spans="2:24" x14ac:dyDescent="0.25">
      <c r="B80" t="s">
        <v>12</v>
      </c>
      <c r="E80">
        <v>973</v>
      </c>
      <c r="F80" s="4">
        <f t="shared" si="11"/>
        <v>0</v>
      </c>
      <c r="L80" s="4">
        <f t="shared" si="9"/>
        <v>0</v>
      </c>
      <c r="N80" t="s">
        <v>12</v>
      </c>
      <c r="R80" s="4">
        <f t="shared" si="12"/>
        <v>0</v>
      </c>
      <c r="X80" s="4">
        <f t="shared" si="10"/>
        <v>0</v>
      </c>
    </row>
    <row r="81" spans="2:24" x14ac:dyDescent="0.25">
      <c r="B81" t="s">
        <v>13</v>
      </c>
      <c r="E81">
        <v>622</v>
      </c>
      <c r="F81" s="4">
        <f t="shared" si="11"/>
        <v>0</v>
      </c>
      <c r="L81" s="4">
        <f>-I81*K81+J81*K81</f>
        <v>0</v>
      </c>
      <c r="N81" t="s">
        <v>13</v>
      </c>
      <c r="O81">
        <v>50</v>
      </c>
      <c r="Q81">
        <v>622</v>
      </c>
      <c r="R81" s="4">
        <f t="shared" si="12"/>
        <v>31100</v>
      </c>
      <c r="X81" s="4">
        <f t="shared" si="10"/>
        <v>0</v>
      </c>
    </row>
    <row r="82" spans="2:24" x14ac:dyDescent="0.25">
      <c r="B82" t="s">
        <v>14</v>
      </c>
      <c r="E82">
        <v>912</v>
      </c>
      <c r="F82" s="4">
        <f t="shared" si="11"/>
        <v>0</v>
      </c>
      <c r="L82" s="4">
        <f t="shared" ref="L82:L99" si="13">-I82*K82+J82*K82</f>
        <v>0</v>
      </c>
      <c r="N82" t="s">
        <v>14</v>
      </c>
      <c r="R82" s="4">
        <f t="shared" si="12"/>
        <v>0</v>
      </c>
      <c r="X82" s="4">
        <f t="shared" si="10"/>
        <v>0</v>
      </c>
    </row>
    <row r="83" spans="2:24" x14ac:dyDescent="0.25">
      <c r="B83" t="s">
        <v>15</v>
      </c>
      <c r="F83" s="4">
        <f t="shared" si="11"/>
        <v>0</v>
      </c>
      <c r="L83" s="4">
        <f t="shared" si="13"/>
        <v>0</v>
      </c>
      <c r="N83" t="s">
        <v>15</v>
      </c>
      <c r="R83" s="4">
        <f t="shared" si="12"/>
        <v>0</v>
      </c>
      <c r="X83" s="4">
        <f t="shared" si="10"/>
        <v>0</v>
      </c>
    </row>
    <row r="84" spans="2:24" x14ac:dyDescent="0.25">
      <c r="B84" t="s">
        <v>16</v>
      </c>
      <c r="E84">
        <v>872</v>
      </c>
      <c r="F84" s="4">
        <f t="shared" si="11"/>
        <v>0</v>
      </c>
      <c r="L84" s="4">
        <f t="shared" si="13"/>
        <v>0</v>
      </c>
      <c r="N84" t="s">
        <v>16</v>
      </c>
      <c r="R84" s="4">
        <f t="shared" si="12"/>
        <v>0</v>
      </c>
      <c r="X84" s="4">
        <f t="shared" si="10"/>
        <v>0</v>
      </c>
    </row>
    <row r="85" spans="2:24" x14ac:dyDescent="0.25">
      <c r="B85" t="s">
        <v>17</v>
      </c>
      <c r="C85">
        <v>4</v>
      </c>
      <c r="E85">
        <v>229</v>
      </c>
      <c r="F85" s="4">
        <f t="shared" si="11"/>
        <v>916</v>
      </c>
      <c r="L85" s="4">
        <f t="shared" si="13"/>
        <v>0</v>
      </c>
      <c r="N85" t="s">
        <v>17</v>
      </c>
      <c r="Q85">
        <v>9.5</v>
      </c>
      <c r="R85" s="4">
        <f t="shared" si="12"/>
        <v>0</v>
      </c>
      <c r="X85" s="4">
        <f t="shared" si="10"/>
        <v>0</v>
      </c>
    </row>
    <row r="86" spans="2:24" x14ac:dyDescent="0.25">
      <c r="B86" t="s">
        <v>18</v>
      </c>
      <c r="E86">
        <v>500</v>
      </c>
      <c r="F86" s="4">
        <f t="shared" si="11"/>
        <v>0</v>
      </c>
      <c r="L86" s="4">
        <f t="shared" si="13"/>
        <v>0</v>
      </c>
      <c r="N86" t="s">
        <v>18</v>
      </c>
      <c r="R86" s="4">
        <f t="shared" si="12"/>
        <v>0</v>
      </c>
      <c r="X86" s="4">
        <f t="shared" si="10"/>
        <v>0</v>
      </c>
    </row>
    <row r="87" spans="2:24" x14ac:dyDescent="0.25">
      <c r="B87" t="s">
        <v>26</v>
      </c>
      <c r="E87">
        <v>650</v>
      </c>
      <c r="F87" s="4">
        <f t="shared" si="11"/>
        <v>0</v>
      </c>
      <c r="L87" s="4">
        <f t="shared" si="13"/>
        <v>0</v>
      </c>
      <c r="N87" t="s">
        <v>26</v>
      </c>
      <c r="R87" s="4">
        <f t="shared" si="12"/>
        <v>0</v>
      </c>
      <c r="X87" s="4">
        <f t="shared" si="10"/>
        <v>0</v>
      </c>
    </row>
    <row r="88" spans="2:24" x14ac:dyDescent="0.25">
      <c r="B88" s="20" t="s">
        <v>41</v>
      </c>
      <c r="E88">
        <v>1175</v>
      </c>
      <c r="F88" s="4">
        <f t="shared" si="11"/>
        <v>0</v>
      </c>
      <c r="L88" s="4">
        <f t="shared" si="13"/>
        <v>0</v>
      </c>
      <c r="N88" t="s">
        <v>40</v>
      </c>
      <c r="Q88">
        <v>700</v>
      </c>
      <c r="R88" s="4">
        <f t="shared" si="12"/>
        <v>0</v>
      </c>
      <c r="X88" s="4">
        <f t="shared" si="10"/>
        <v>0</v>
      </c>
    </row>
    <row r="89" spans="2:24" x14ac:dyDescent="0.25">
      <c r="B89" t="s">
        <v>40</v>
      </c>
      <c r="E89">
        <v>700</v>
      </c>
      <c r="F89" s="4">
        <f t="shared" si="11"/>
        <v>0</v>
      </c>
      <c r="L89" s="4">
        <f t="shared" si="13"/>
        <v>0</v>
      </c>
      <c r="R89" s="4">
        <f t="shared" si="12"/>
        <v>0</v>
      </c>
      <c r="X89" s="4">
        <f t="shared" si="10"/>
        <v>0</v>
      </c>
    </row>
    <row r="90" spans="2:24" x14ac:dyDescent="0.25">
      <c r="F90" s="4">
        <f t="shared" si="11"/>
        <v>0</v>
      </c>
      <c r="L90" s="4">
        <f t="shared" si="13"/>
        <v>0</v>
      </c>
      <c r="R90" s="4">
        <f t="shared" si="12"/>
        <v>0</v>
      </c>
      <c r="X90" s="4">
        <f t="shared" si="10"/>
        <v>0</v>
      </c>
    </row>
    <row r="91" spans="2:24" x14ac:dyDescent="0.25">
      <c r="F91" s="4">
        <f t="shared" si="11"/>
        <v>0</v>
      </c>
      <c r="L91" s="4">
        <f t="shared" si="13"/>
        <v>0</v>
      </c>
      <c r="R91" s="4">
        <f t="shared" si="12"/>
        <v>0</v>
      </c>
      <c r="X91" s="4">
        <f t="shared" si="10"/>
        <v>0</v>
      </c>
    </row>
    <row r="92" spans="2:24" x14ac:dyDescent="0.25">
      <c r="F92" s="4">
        <f t="shared" si="11"/>
        <v>0</v>
      </c>
      <c r="L92" s="4">
        <f t="shared" si="13"/>
        <v>0</v>
      </c>
      <c r="R92" s="4">
        <f t="shared" si="12"/>
        <v>0</v>
      </c>
      <c r="X92" s="4">
        <f t="shared" si="10"/>
        <v>0</v>
      </c>
    </row>
    <row r="93" spans="2:24" x14ac:dyDescent="0.25">
      <c r="F93" s="4">
        <f t="shared" si="11"/>
        <v>0</v>
      </c>
      <c r="L93" s="4">
        <f t="shared" si="13"/>
        <v>0</v>
      </c>
      <c r="R93" s="4">
        <f t="shared" si="12"/>
        <v>0</v>
      </c>
      <c r="X93" s="4">
        <f t="shared" si="10"/>
        <v>0</v>
      </c>
    </row>
    <row r="94" spans="2:24" x14ac:dyDescent="0.25">
      <c r="F94" s="4">
        <f t="shared" si="11"/>
        <v>0</v>
      </c>
      <c r="L94" s="4">
        <f t="shared" si="13"/>
        <v>0</v>
      </c>
      <c r="R94" s="4">
        <f t="shared" si="12"/>
        <v>0</v>
      </c>
      <c r="X94" s="4">
        <f t="shared" si="10"/>
        <v>0</v>
      </c>
    </row>
    <row r="95" spans="2:24" x14ac:dyDescent="0.25">
      <c r="F95" s="4">
        <f t="shared" si="11"/>
        <v>0</v>
      </c>
      <c r="L95" s="4">
        <f t="shared" si="13"/>
        <v>0</v>
      </c>
      <c r="R95" s="4">
        <f t="shared" si="12"/>
        <v>0</v>
      </c>
      <c r="X95" s="4">
        <f t="shared" si="10"/>
        <v>0</v>
      </c>
    </row>
    <row r="96" spans="2:24" x14ac:dyDescent="0.25">
      <c r="F96" s="4">
        <f t="shared" si="11"/>
        <v>0</v>
      </c>
      <c r="L96" s="4">
        <f t="shared" si="13"/>
        <v>0</v>
      </c>
      <c r="R96" s="4">
        <f t="shared" si="12"/>
        <v>0</v>
      </c>
      <c r="X96" s="4">
        <f t="shared" si="10"/>
        <v>0</v>
      </c>
    </row>
    <row r="97" spans="2:24" x14ac:dyDescent="0.25">
      <c r="F97" s="4">
        <f t="shared" si="11"/>
        <v>0</v>
      </c>
      <c r="L97" s="4">
        <f t="shared" si="13"/>
        <v>0</v>
      </c>
      <c r="R97" s="4">
        <f t="shared" si="12"/>
        <v>0</v>
      </c>
      <c r="X97" s="4">
        <f t="shared" si="10"/>
        <v>0</v>
      </c>
    </row>
    <row r="98" spans="2:24" x14ac:dyDescent="0.25">
      <c r="F98" s="4">
        <f t="shared" si="11"/>
        <v>0</v>
      </c>
      <c r="L98" s="4">
        <f t="shared" si="13"/>
        <v>0</v>
      </c>
      <c r="R98" s="4">
        <f t="shared" si="12"/>
        <v>0</v>
      </c>
      <c r="X98" s="4">
        <f t="shared" si="10"/>
        <v>0</v>
      </c>
    </row>
    <row r="99" spans="2:24" x14ac:dyDescent="0.25">
      <c r="F99" s="4">
        <f t="shared" si="11"/>
        <v>0</v>
      </c>
      <c r="L99" s="4">
        <f t="shared" si="13"/>
        <v>0</v>
      </c>
      <c r="R99" s="4">
        <f t="shared" si="12"/>
        <v>0</v>
      </c>
      <c r="X99" s="4">
        <f t="shared" si="10"/>
        <v>0</v>
      </c>
    </row>
    <row r="100" spans="2:24" x14ac:dyDescent="0.25">
      <c r="F100" s="4">
        <f t="shared" si="11"/>
        <v>0</v>
      </c>
      <c r="H100" s="9" t="s">
        <v>23</v>
      </c>
      <c r="I100" s="9"/>
      <c r="J100" s="9"/>
      <c r="K100" s="9"/>
      <c r="L100" s="15">
        <f>SUM(L78:L99)</f>
        <v>0</v>
      </c>
      <c r="R100" s="4">
        <f t="shared" si="12"/>
        <v>0</v>
      </c>
      <c r="T100" s="9" t="s">
        <v>23</v>
      </c>
      <c r="U100" s="9"/>
      <c r="V100" s="9"/>
      <c r="W100" s="9"/>
      <c r="X100" s="15">
        <f>SUM(X78:X99)</f>
        <v>0</v>
      </c>
    </row>
    <row r="101" spans="2:24" x14ac:dyDescent="0.25">
      <c r="B101" s="13" t="s">
        <v>28</v>
      </c>
      <c r="C101" s="13"/>
      <c r="D101" s="14">
        <v>105</v>
      </c>
      <c r="E101" s="14">
        <v>6</v>
      </c>
      <c r="F101" s="10">
        <f>-D101*E101</f>
        <v>-630</v>
      </c>
      <c r="H101" s="9" t="s">
        <v>24</v>
      </c>
      <c r="I101" s="9"/>
      <c r="J101" s="9"/>
      <c r="K101" s="9"/>
      <c r="L101" s="8">
        <f>SUM(F102)</f>
        <v>68636</v>
      </c>
      <c r="N101" s="13" t="s">
        <v>28</v>
      </c>
      <c r="O101" s="13"/>
      <c r="P101" s="14">
        <v>208</v>
      </c>
      <c r="Q101" s="14">
        <v>6</v>
      </c>
      <c r="R101" s="10">
        <f>-P101*Q101</f>
        <v>-1248</v>
      </c>
      <c r="T101" s="9" t="s">
        <v>24</v>
      </c>
      <c r="U101" s="9"/>
      <c r="V101" s="9"/>
      <c r="W101" s="9"/>
      <c r="X101" s="8">
        <f>SUM(R102)</f>
        <v>132552</v>
      </c>
    </row>
    <row r="102" spans="2:24" x14ac:dyDescent="0.25">
      <c r="B102" s="7" t="s">
        <v>19</v>
      </c>
      <c r="C102" s="7"/>
      <c r="D102" s="7"/>
      <c r="E102" s="7"/>
      <c r="F102" s="21">
        <f>SUM(F78:F101)</f>
        <v>68636</v>
      </c>
      <c r="H102" s="9" t="s">
        <v>25</v>
      </c>
      <c r="I102" s="9"/>
      <c r="J102" s="9"/>
      <c r="K102" s="9"/>
      <c r="L102" s="22">
        <f>SUM(L101+L100)</f>
        <v>68636</v>
      </c>
      <c r="N102" s="7" t="s">
        <v>19</v>
      </c>
      <c r="O102" s="7"/>
      <c r="P102" s="7"/>
      <c r="Q102" s="7"/>
      <c r="R102" s="21">
        <f>SUM(R78:R101)</f>
        <v>132552</v>
      </c>
      <c r="T102" s="9" t="s">
        <v>25</v>
      </c>
      <c r="U102" s="9"/>
      <c r="V102" s="9"/>
      <c r="W102" s="9"/>
      <c r="X102" s="22">
        <f>SUM(X101+X100)</f>
        <v>132552</v>
      </c>
    </row>
    <row r="103" spans="2:24" ht="18.75" x14ac:dyDescent="0.3">
      <c r="B103" s="17" t="s">
        <v>29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N103" s="17" t="s">
        <v>29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5" spans="2:24" x14ac:dyDescent="0.25">
      <c r="B105" s="3" t="s">
        <v>0</v>
      </c>
      <c r="C105" s="3"/>
      <c r="D105" s="18" t="s">
        <v>95</v>
      </c>
      <c r="E105" s="18"/>
      <c r="F105" s="18"/>
      <c r="H105" s="3" t="s">
        <v>43</v>
      </c>
      <c r="I105" s="3"/>
      <c r="J105">
        <v>3</v>
      </c>
      <c r="N105" s="3" t="s">
        <v>0</v>
      </c>
      <c r="O105" s="3"/>
      <c r="P105" s="18" t="s">
        <v>97</v>
      </c>
      <c r="Q105" s="18"/>
      <c r="R105" s="18"/>
      <c r="T105" s="3" t="s">
        <v>43</v>
      </c>
      <c r="U105" s="3"/>
      <c r="V105">
        <v>3</v>
      </c>
    </row>
    <row r="106" spans="2:24" x14ac:dyDescent="0.25">
      <c r="B106" s="3" t="s">
        <v>1</v>
      </c>
      <c r="C106" s="3"/>
      <c r="D106" s="2" t="s">
        <v>96</v>
      </c>
      <c r="E106" s="2"/>
      <c r="F106" s="2"/>
      <c r="H106" s="3" t="s">
        <v>44</v>
      </c>
      <c r="I106" s="3"/>
      <c r="J106" t="s">
        <v>78</v>
      </c>
      <c r="N106" s="3" t="s">
        <v>1</v>
      </c>
      <c r="O106" s="3"/>
      <c r="P106" s="2" t="s">
        <v>98</v>
      </c>
      <c r="Q106" s="2"/>
      <c r="R106" s="2"/>
      <c r="T106" s="3" t="s">
        <v>44</v>
      </c>
      <c r="U106" s="3"/>
      <c r="V106" t="s">
        <v>78</v>
      </c>
    </row>
    <row r="107" spans="2:24" x14ac:dyDescent="0.25">
      <c r="B107" s="3" t="s">
        <v>3</v>
      </c>
      <c r="C107" s="3"/>
      <c r="D107" s="2" t="s">
        <v>32</v>
      </c>
      <c r="E107" s="2"/>
      <c r="F107" s="2"/>
      <c r="H107" s="3" t="s">
        <v>45</v>
      </c>
      <c r="I107" s="3"/>
      <c r="J107" t="s">
        <v>79</v>
      </c>
      <c r="N107" s="3" t="s">
        <v>3</v>
      </c>
      <c r="O107" s="3"/>
      <c r="P107" s="2" t="s">
        <v>32</v>
      </c>
      <c r="Q107" s="2"/>
      <c r="R107" s="2"/>
      <c r="T107" s="3" t="s">
        <v>45</v>
      </c>
      <c r="U107" s="3"/>
      <c r="V107" t="s">
        <v>79</v>
      </c>
    </row>
    <row r="108" spans="2:24" x14ac:dyDescent="0.25">
      <c r="B108" s="3" t="s">
        <v>2</v>
      </c>
      <c r="C108" s="3"/>
      <c r="D108" s="2" t="s">
        <v>83</v>
      </c>
      <c r="E108" s="2"/>
      <c r="F108" s="2"/>
      <c r="H108" s="3" t="s">
        <v>46</v>
      </c>
      <c r="I108" s="3"/>
      <c r="J108" t="s">
        <v>80</v>
      </c>
      <c r="N108" s="3" t="s">
        <v>2</v>
      </c>
      <c r="O108" s="3"/>
      <c r="P108" s="2" t="s">
        <v>99</v>
      </c>
      <c r="Q108" s="2"/>
      <c r="R108" s="2"/>
      <c r="T108" s="3" t="s">
        <v>46</v>
      </c>
      <c r="U108" s="3"/>
      <c r="V108" t="s">
        <v>80</v>
      </c>
    </row>
    <row r="110" spans="2:24" x14ac:dyDescent="0.25">
      <c r="B110" s="1"/>
      <c r="C110" s="1" t="s">
        <v>4</v>
      </c>
      <c r="D110" s="1"/>
      <c r="E110" s="1"/>
      <c r="F110" s="1"/>
      <c r="H110" s="6" t="s">
        <v>20</v>
      </c>
      <c r="I110" s="6"/>
      <c r="J110" s="6"/>
      <c r="K110" s="6"/>
      <c r="L110" s="6"/>
      <c r="N110" s="1"/>
      <c r="O110" s="1" t="s">
        <v>4</v>
      </c>
      <c r="P110" s="1"/>
      <c r="Q110" s="1"/>
      <c r="R110" s="1"/>
      <c r="T110" s="6" t="s">
        <v>20</v>
      </c>
      <c r="U110" s="6"/>
      <c r="V110" s="6"/>
      <c r="W110" s="6"/>
      <c r="X110" s="6"/>
    </row>
    <row r="111" spans="2:24" x14ac:dyDescent="0.25">
      <c r="B111" s="11" t="s">
        <v>5</v>
      </c>
      <c r="C111" s="11" t="s">
        <v>6</v>
      </c>
      <c r="D111" s="11" t="s">
        <v>7</v>
      </c>
      <c r="E111" s="12" t="s">
        <v>8</v>
      </c>
      <c r="F111" s="11" t="s">
        <v>9</v>
      </c>
      <c r="H111" s="11" t="s">
        <v>5</v>
      </c>
      <c r="I111" s="12" t="s">
        <v>21</v>
      </c>
      <c r="J111" s="12" t="s">
        <v>22</v>
      </c>
      <c r="K111" s="12" t="s">
        <v>8</v>
      </c>
      <c r="L111" s="12" t="s">
        <v>9</v>
      </c>
      <c r="N111" s="11" t="s">
        <v>5</v>
      </c>
      <c r="O111" s="11" t="s">
        <v>6</v>
      </c>
      <c r="P111" s="11" t="s">
        <v>7</v>
      </c>
      <c r="Q111" s="12" t="s">
        <v>8</v>
      </c>
      <c r="R111" s="11" t="s">
        <v>9</v>
      </c>
      <c r="T111" s="11" t="s">
        <v>5</v>
      </c>
      <c r="U111" s="12" t="s">
        <v>21</v>
      </c>
      <c r="V111" s="12" t="s">
        <v>22</v>
      </c>
      <c r="W111" s="12" t="s">
        <v>8</v>
      </c>
      <c r="X111" s="12" t="s">
        <v>9</v>
      </c>
    </row>
    <row r="112" spans="2:24" x14ac:dyDescent="0.25">
      <c r="B112" t="s">
        <v>10</v>
      </c>
      <c r="C112">
        <v>50</v>
      </c>
      <c r="E112">
        <v>650</v>
      </c>
      <c r="F112" s="4">
        <f>C112*E112</f>
        <v>32500</v>
      </c>
      <c r="I112">
        <v>72</v>
      </c>
      <c r="K112">
        <v>111</v>
      </c>
      <c r="L112" s="4">
        <f t="shared" ref="L112:L114" si="14">-I112*K112+J112*K112</f>
        <v>-7992</v>
      </c>
      <c r="N112" t="s">
        <v>10</v>
      </c>
      <c r="O112">
        <v>20</v>
      </c>
      <c r="Q112">
        <v>650</v>
      </c>
      <c r="R112" s="4">
        <f>O112*Q112</f>
        <v>13000</v>
      </c>
      <c r="X112" s="4">
        <f t="shared" ref="X112:X133" si="15">-U112*W112+V112*W112</f>
        <v>0</v>
      </c>
    </row>
    <row r="113" spans="2:24" x14ac:dyDescent="0.25">
      <c r="B113" t="s">
        <v>11</v>
      </c>
      <c r="E113">
        <v>670</v>
      </c>
      <c r="F113" s="4">
        <f t="shared" ref="F113:F134" si="16">C113*E113</f>
        <v>0</v>
      </c>
      <c r="L113" s="4">
        <f t="shared" si="14"/>
        <v>0</v>
      </c>
      <c r="N113" t="s">
        <v>11</v>
      </c>
      <c r="R113" s="4">
        <f t="shared" ref="R113:R134" si="17">O113*Q113</f>
        <v>0</v>
      </c>
      <c r="X113" s="4">
        <f t="shared" si="15"/>
        <v>0</v>
      </c>
    </row>
    <row r="114" spans="2:24" x14ac:dyDescent="0.25">
      <c r="B114" t="s">
        <v>12</v>
      </c>
      <c r="E114">
        <v>973</v>
      </c>
      <c r="F114" s="4">
        <f t="shared" si="16"/>
        <v>0</v>
      </c>
      <c r="L114" s="4">
        <f t="shared" si="14"/>
        <v>0</v>
      </c>
      <c r="N114" t="s">
        <v>12</v>
      </c>
      <c r="R114" s="4">
        <f t="shared" si="17"/>
        <v>0</v>
      </c>
      <c r="X114" s="4">
        <f t="shared" si="15"/>
        <v>0</v>
      </c>
    </row>
    <row r="115" spans="2:24" x14ac:dyDescent="0.25">
      <c r="B115" t="s">
        <v>13</v>
      </c>
      <c r="E115">
        <v>622</v>
      </c>
      <c r="F115" s="4">
        <f t="shared" si="16"/>
        <v>0</v>
      </c>
      <c r="L115" s="4">
        <f>-I115*K115+J115*K115</f>
        <v>0</v>
      </c>
      <c r="N115" t="s">
        <v>13</v>
      </c>
      <c r="O115">
        <v>5</v>
      </c>
      <c r="Q115">
        <v>622</v>
      </c>
      <c r="R115" s="4">
        <f t="shared" si="17"/>
        <v>3110</v>
      </c>
      <c r="X115" s="4">
        <f t="shared" si="15"/>
        <v>0</v>
      </c>
    </row>
    <row r="116" spans="2:24" x14ac:dyDescent="0.25">
      <c r="B116" t="s">
        <v>14</v>
      </c>
      <c r="E116">
        <v>912</v>
      </c>
      <c r="F116" s="4">
        <f t="shared" si="16"/>
        <v>0</v>
      </c>
      <c r="L116" s="4">
        <f t="shared" ref="L116:L133" si="18">-I116*K116+J116*K116</f>
        <v>0</v>
      </c>
      <c r="N116" t="s">
        <v>14</v>
      </c>
      <c r="R116" s="4">
        <f t="shared" si="17"/>
        <v>0</v>
      </c>
      <c r="X116" s="4">
        <f t="shared" si="15"/>
        <v>0</v>
      </c>
    </row>
    <row r="117" spans="2:24" x14ac:dyDescent="0.25">
      <c r="B117" t="s">
        <v>15</v>
      </c>
      <c r="F117" s="4">
        <f t="shared" si="16"/>
        <v>0</v>
      </c>
      <c r="L117" s="4">
        <f t="shared" si="18"/>
        <v>0</v>
      </c>
      <c r="N117" t="s">
        <v>15</v>
      </c>
      <c r="R117" s="4">
        <f t="shared" si="17"/>
        <v>0</v>
      </c>
      <c r="X117" s="4">
        <f t="shared" si="15"/>
        <v>0</v>
      </c>
    </row>
    <row r="118" spans="2:24" x14ac:dyDescent="0.25">
      <c r="B118" t="s">
        <v>16</v>
      </c>
      <c r="E118">
        <v>872</v>
      </c>
      <c r="F118" s="4">
        <f t="shared" si="16"/>
        <v>0</v>
      </c>
      <c r="L118" s="4">
        <f t="shared" si="18"/>
        <v>0</v>
      </c>
      <c r="N118" t="s">
        <v>16</v>
      </c>
      <c r="R118" s="4">
        <f t="shared" si="17"/>
        <v>0</v>
      </c>
      <c r="X118" s="4">
        <f t="shared" si="15"/>
        <v>0</v>
      </c>
    </row>
    <row r="119" spans="2:24" x14ac:dyDescent="0.25">
      <c r="B119" t="s">
        <v>17</v>
      </c>
      <c r="E119">
        <v>229</v>
      </c>
      <c r="F119" s="4">
        <f t="shared" si="16"/>
        <v>0</v>
      </c>
      <c r="L119" s="4">
        <f t="shared" si="18"/>
        <v>0</v>
      </c>
      <c r="N119" t="s">
        <v>17</v>
      </c>
      <c r="Q119">
        <v>9.5</v>
      </c>
      <c r="R119" s="4">
        <f t="shared" si="17"/>
        <v>0</v>
      </c>
      <c r="X119" s="4">
        <f t="shared" si="15"/>
        <v>0</v>
      </c>
    </row>
    <row r="120" spans="2:24" x14ac:dyDescent="0.25">
      <c r="B120" t="s">
        <v>18</v>
      </c>
      <c r="E120">
        <v>500</v>
      </c>
      <c r="F120" s="4">
        <f t="shared" si="16"/>
        <v>0</v>
      </c>
      <c r="L120" s="4">
        <f t="shared" si="18"/>
        <v>0</v>
      </c>
      <c r="N120" t="s">
        <v>18</v>
      </c>
      <c r="R120" s="4">
        <f t="shared" si="17"/>
        <v>0</v>
      </c>
      <c r="X120" s="4">
        <f t="shared" si="15"/>
        <v>0</v>
      </c>
    </row>
    <row r="121" spans="2:24" x14ac:dyDescent="0.25">
      <c r="B121" t="s">
        <v>26</v>
      </c>
      <c r="E121">
        <v>650</v>
      </c>
      <c r="F121" s="4">
        <f t="shared" si="16"/>
        <v>0</v>
      </c>
      <c r="L121" s="4">
        <f t="shared" si="18"/>
        <v>0</v>
      </c>
      <c r="N121" t="s">
        <v>26</v>
      </c>
      <c r="R121" s="4">
        <f t="shared" si="17"/>
        <v>0</v>
      </c>
      <c r="X121" s="4">
        <f t="shared" si="15"/>
        <v>0</v>
      </c>
    </row>
    <row r="122" spans="2:24" x14ac:dyDescent="0.25">
      <c r="B122" s="20" t="s">
        <v>41</v>
      </c>
      <c r="E122">
        <v>1175</v>
      </c>
      <c r="F122" s="4">
        <f t="shared" si="16"/>
        <v>0</v>
      </c>
      <c r="L122" s="4">
        <f t="shared" si="18"/>
        <v>0</v>
      </c>
      <c r="R122" s="4">
        <f t="shared" si="17"/>
        <v>0</v>
      </c>
      <c r="X122" s="4">
        <f t="shared" si="15"/>
        <v>0</v>
      </c>
    </row>
    <row r="123" spans="2:24" x14ac:dyDescent="0.25">
      <c r="B123" t="s">
        <v>40</v>
      </c>
      <c r="E123">
        <v>700</v>
      </c>
      <c r="F123" s="4">
        <f t="shared" si="16"/>
        <v>0</v>
      </c>
      <c r="L123" s="4">
        <f t="shared" si="18"/>
        <v>0</v>
      </c>
      <c r="R123" s="4">
        <f t="shared" si="17"/>
        <v>0</v>
      </c>
      <c r="X123" s="4">
        <f t="shared" si="15"/>
        <v>0</v>
      </c>
    </row>
    <row r="124" spans="2:24" x14ac:dyDescent="0.25">
      <c r="F124" s="4">
        <f t="shared" si="16"/>
        <v>0</v>
      </c>
      <c r="L124" s="4">
        <f t="shared" si="18"/>
        <v>0</v>
      </c>
      <c r="R124" s="4">
        <f t="shared" si="17"/>
        <v>0</v>
      </c>
      <c r="X124" s="4">
        <f t="shared" si="15"/>
        <v>0</v>
      </c>
    </row>
    <row r="125" spans="2:24" x14ac:dyDescent="0.25">
      <c r="F125" s="4">
        <f t="shared" si="16"/>
        <v>0</v>
      </c>
      <c r="L125" s="4">
        <f t="shared" si="18"/>
        <v>0</v>
      </c>
      <c r="R125" s="4">
        <f t="shared" si="17"/>
        <v>0</v>
      </c>
      <c r="X125" s="4">
        <f t="shared" si="15"/>
        <v>0</v>
      </c>
    </row>
    <row r="126" spans="2:24" x14ac:dyDescent="0.25">
      <c r="F126" s="4">
        <f t="shared" si="16"/>
        <v>0</v>
      </c>
      <c r="L126" s="4">
        <f t="shared" si="18"/>
        <v>0</v>
      </c>
      <c r="R126" s="4">
        <f t="shared" si="17"/>
        <v>0</v>
      </c>
      <c r="X126" s="4">
        <f t="shared" si="15"/>
        <v>0</v>
      </c>
    </row>
    <row r="127" spans="2:24" x14ac:dyDescent="0.25">
      <c r="F127" s="4">
        <f t="shared" si="16"/>
        <v>0</v>
      </c>
      <c r="L127" s="4">
        <f t="shared" si="18"/>
        <v>0</v>
      </c>
      <c r="R127" s="4">
        <f t="shared" si="17"/>
        <v>0</v>
      </c>
      <c r="X127" s="4">
        <f t="shared" si="15"/>
        <v>0</v>
      </c>
    </row>
    <row r="128" spans="2:24" x14ac:dyDescent="0.25">
      <c r="F128" s="4">
        <f t="shared" si="16"/>
        <v>0</v>
      </c>
      <c r="L128" s="4">
        <f t="shared" si="18"/>
        <v>0</v>
      </c>
      <c r="R128" s="4">
        <f t="shared" si="17"/>
        <v>0</v>
      </c>
      <c r="X128" s="4">
        <f t="shared" si="15"/>
        <v>0</v>
      </c>
    </row>
    <row r="129" spans="2:24" x14ac:dyDescent="0.25">
      <c r="F129" s="4">
        <f t="shared" si="16"/>
        <v>0</v>
      </c>
      <c r="L129" s="4">
        <f t="shared" si="18"/>
        <v>0</v>
      </c>
      <c r="R129" s="4">
        <f t="shared" si="17"/>
        <v>0</v>
      </c>
      <c r="X129" s="4">
        <f t="shared" si="15"/>
        <v>0</v>
      </c>
    </row>
    <row r="130" spans="2:24" x14ac:dyDescent="0.25">
      <c r="F130" s="4">
        <f t="shared" si="16"/>
        <v>0</v>
      </c>
      <c r="L130" s="4">
        <f t="shared" si="18"/>
        <v>0</v>
      </c>
      <c r="R130" s="4">
        <f t="shared" si="17"/>
        <v>0</v>
      </c>
      <c r="X130" s="4">
        <f t="shared" si="15"/>
        <v>0</v>
      </c>
    </row>
    <row r="131" spans="2:24" x14ac:dyDescent="0.25">
      <c r="F131" s="4">
        <f t="shared" si="16"/>
        <v>0</v>
      </c>
      <c r="L131" s="4">
        <f t="shared" si="18"/>
        <v>0</v>
      </c>
      <c r="R131" s="4">
        <f t="shared" si="17"/>
        <v>0</v>
      </c>
      <c r="X131" s="4">
        <f t="shared" si="15"/>
        <v>0</v>
      </c>
    </row>
    <row r="132" spans="2:24" x14ac:dyDescent="0.25">
      <c r="F132" s="4">
        <f t="shared" si="16"/>
        <v>0</v>
      </c>
      <c r="L132" s="4">
        <f t="shared" si="18"/>
        <v>0</v>
      </c>
      <c r="R132" s="4">
        <f t="shared" si="17"/>
        <v>0</v>
      </c>
      <c r="X132" s="4">
        <f t="shared" si="15"/>
        <v>0</v>
      </c>
    </row>
    <row r="133" spans="2:24" x14ac:dyDescent="0.25">
      <c r="F133" s="4">
        <f t="shared" si="16"/>
        <v>0</v>
      </c>
      <c r="L133" s="4">
        <f t="shared" si="18"/>
        <v>0</v>
      </c>
      <c r="R133" s="4">
        <f t="shared" si="17"/>
        <v>0</v>
      </c>
      <c r="X133" s="4">
        <f t="shared" si="15"/>
        <v>0</v>
      </c>
    </row>
    <row r="134" spans="2:24" x14ac:dyDescent="0.25">
      <c r="F134" s="4">
        <f t="shared" si="16"/>
        <v>0</v>
      </c>
      <c r="H134" s="9" t="s">
        <v>23</v>
      </c>
      <c r="I134" s="9"/>
      <c r="J134" s="9"/>
      <c r="K134" s="9"/>
      <c r="L134" s="15">
        <f>SUM(L112:L133)</f>
        <v>-7992</v>
      </c>
      <c r="R134" s="4">
        <f t="shared" si="17"/>
        <v>0</v>
      </c>
      <c r="T134" s="9" t="s">
        <v>23</v>
      </c>
      <c r="U134" s="9"/>
      <c r="V134" s="9"/>
      <c r="W134" s="9"/>
      <c r="X134" s="15">
        <f>SUM(X112:X133)</f>
        <v>0</v>
      </c>
    </row>
    <row r="135" spans="2:24" x14ac:dyDescent="0.25">
      <c r="B135" s="13" t="s">
        <v>28</v>
      </c>
      <c r="C135" s="13"/>
      <c r="D135" s="14"/>
      <c r="E135" s="14"/>
      <c r="F135" s="10">
        <f>-D135*E135</f>
        <v>0</v>
      </c>
      <c r="H135" s="9" t="s">
        <v>24</v>
      </c>
      <c r="I135" s="9"/>
      <c r="J135" s="9"/>
      <c r="K135" s="9"/>
      <c r="L135" s="8">
        <f>SUM(F136)</f>
        <v>32500</v>
      </c>
      <c r="N135" s="13" t="s">
        <v>28</v>
      </c>
      <c r="O135" s="13"/>
      <c r="P135" s="14"/>
      <c r="Q135" s="14"/>
      <c r="R135" s="10">
        <f>-P135*Q135</f>
        <v>0</v>
      </c>
      <c r="T135" s="9" t="s">
        <v>24</v>
      </c>
      <c r="U135" s="9"/>
      <c r="V135" s="9"/>
      <c r="W135" s="9"/>
      <c r="X135" s="8">
        <f>SUM(R136)</f>
        <v>16110</v>
      </c>
    </row>
    <row r="136" spans="2:24" x14ac:dyDescent="0.25">
      <c r="B136" s="7" t="s">
        <v>19</v>
      </c>
      <c r="C136" s="7"/>
      <c r="D136" s="7"/>
      <c r="E136" s="7"/>
      <c r="F136" s="21">
        <f>SUM(F112:F135)</f>
        <v>32500</v>
      </c>
      <c r="H136" s="9" t="s">
        <v>25</v>
      </c>
      <c r="I136" s="9"/>
      <c r="J136" s="9"/>
      <c r="K136" s="9"/>
      <c r="L136" s="22">
        <f>SUM(L135+L134)</f>
        <v>24508</v>
      </c>
      <c r="N136" s="7" t="s">
        <v>19</v>
      </c>
      <c r="O136" s="7"/>
      <c r="P136" s="7"/>
      <c r="Q136" s="7"/>
      <c r="R136" s="21">
        <f>SUM(R112:R135)</f>
        <v>16110</v>
      </c>
      <c r="T136" s="9" t="s">
        <v>25</v>
      </c>
      <c r="U136" s="9"/>
      <c r="V136" s="9"/>
      <c r="W136" s="9"/>
      <c r="X136" s="22">
        <f>SUM(X135+X134)</f>
        <v>16110</v>
      </c>
    </row>
    <row r="137" spans="2:24" ht="18.75" x14ac:dyDescent="0.3">
      <c r="B137" s="17" t="s">
        <v>29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N137" s="17" t="s">
        <v>29</v>
      </c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9" spans="2:24" x14ac:dyDescent="0.25">
      <c r="B139" s="3" t="s">
        <v>0</v>
      </c>
      <c r="C139" s="3"/>
      <c r="D139" s="18" t="s">
        <v>100</v>
      </c>
      <c r="E139" s="18"/>
      <c r="F139" s="18"/>
      <c r="H139" s="3" t="s">
        <v>43</v>
      </c>
      <c r="I139" s="3"/>
      <c r="J139">
        <v>3</v>
      </c>
      <c r="N139" s="3" t="s">
        <v>0</v>
      </c>
      <c r="O139" s="3"/>
      <c r="P139" s="18" t="s">
        <v>102</v>
      </c>
      <c r="Q139" s="18"/>
      <c r="R139" s="18"/>
      <c r="T139" s="3" t="s">
        <v>43</v>
      </c>
      <c r="U139" s="3"/>
      <c r="V139">
        <v>3</v>
      </c>
    </row>
    <row r="140" spans="2:24" x14ac:dyDescent="0.25">
      <c r="B140" s="3" t="s">
        <v>1</v>
      </c>
      <c r="C140" s="3"/>
      <c r="D140" s="2" t="s">
        <v>101</v>
      </c>
      <c r="E140" s="2"/>
      <c r="F140" s="2"/>
      <c r="H140" s="3" t="s">
        <v>44</v>
      </c>
      <c r="I140" s="3"/>
      <c r="J140" t="s">
        <v>78</v>
      </c>
      <c r="N140" s="3" t="s">
        <v>1</v>
      </c>
      <c r="O140" s="3"/>
      <c r="P140" s="2" t="s">
        <v>103</v>
      </c>
      <c r="Q140" s="2"/>
      <c r="R140" s="2"/>
      <c r="T140" s="3" t="s">
        <v>44</v>
      </c>
      <c r="U140" s="3"/>
      <c r="V140" t="s">
        <v>78</v>
      </c>
    </row>
    <row r="141" spans="2:24" x14ac:dyDescent="0.25">
      <c r="B141" s="3" t="s">
        <v>3</v>
      </c>
      <c r="C141" s="3"/>
      <c r="D141" s="2" t="s">
        <v>32</v>
      </c>
      <c r="E141" s="2"/>
      <c r="F141" s="2"/>
      <c r="H141" s="3" t="s">
        <v>45</v>
      </c>
      <c r="I141" s="3"/>
      <c r="J141" t="s">
        <v>79</v>
      </c>
      <c r="N141" s="3" t="s">
        <v>3</v>
      </c>
      <c r="O141" s="3"/>
      <c r="P141" s="2" t="s">
        <v>32</v>
      </c>
      <c r="Q141" s="2"/>
      <c r="R141" s="2"/>
      <c r="T141" s="3" t="s">
        <v>45</v>
      </c>
      <c r="U141" s="3"/>
      <c r="V141" t="s">
        <v>79</v>
      </c>
    </row>
    <row r="142" spans="2:24" x14ac:dyDescent="0.25">
      <c r="B142" s="3" t="s">
        <v>2</v>
      </c>
      <c r="C142" s="3"/>
      <c r="D142" s="2" t="s">
        <v>83</v>
      </c>
      <c r="E142" s="2"/>
      <c r="F142" s="2"/>
      <c r="H142" s="3" t="s">
        <v>46</v>
      </c>
      <c r="I142" s="3"/>
      <c r="J142" t="s">
        <v>80</v>
      </c>
      <c r="N142" s="3" t="s">
        <v>2</v>
      </c>
      <c r="O142" s="3"/>
      <c r="P142" s="2" t="s">
        <v>104</v>
      </c>
      <c r="Q142" s="2"/>
      <c r="R142" s="2"/>
      <c r="T142" s="3" t="s">
        <v>46</v>
      </c>
      <c r="U142" s="3"/>
      <c r="V142" t="s">
        <v>80</v>
      </c>
    </row>
    <row r="144" spans="2:24" x14ac:dyDescent="0.25">
      <c r="B144" s="1"/>
      <c r="C144" s="1" t="s">
        <v>4</v>
      </c>
      <c r="D144" s="1"/>
      <c r="E144" s="1"/>
      <c r="F144" s="1"/>
      <c r="H144" s="6" t="s">
        <v>20</v>
      </c>
      <c r="I144" s="6"/>
      <c r="J144" s="6"/>
      <c r="K144" s="6"/>
      <c r="L144" s="6"/>
      <c r="N144" s="1"/>
      <c r="O144" s="1" t="s">
        <v>4</v>
      </c>
      <c r="P144" s="1"/>
      <c r="Q144" s="1"/>
      <c r="R144" s="1"/>
      <c r="T144" s="6" t="s">
        <v>20</v>
      </c>
      <c r="U144" s="6"/>
      <c r="V144" s="6"/>
      <c r="W144" s="6"/>
      <c r="X144" s="6"/>
    </row>
    <row r="145" spans="2:24" x14ac:dyDescent="0.25">
      <c r="B145" s="11" t="s">
        <v>5</v>
      </c>
      <c r="C145" s="11" t="s">
        <v>6</v>
      </c>
      <c r="D145" s="11" t="s">
        <v>7</v>
      </c>
      <c r="E145" s="12" t="s">
        <v>8</v>
      </c>
      <c r="F145" s="11" t="s">
        <v>9</v>
      </c>
      <c r="H145" s="11" t="s">
        <v>5</v>
      </c>
      <c r="I145" s="12" t="s">
        <v>21</v>
      </c>
      <c r="J145" s="12" t="s">
        <v>22</v>
      </c>
      <c r="K145" s="12" t="s">
        <v>8</v>
      </c>
      <c r="L145" s="12" t="s">
        <v>9</v>
      </c>
      <c r="N145" s="11" t="s">
        <v>5</v>
      </c>
      <c r="O145" s="11" t="s">
        <v>6</v>
      </c>
      <c r="P145" s="11" t="s">
        <v>7</v>
      </c>
      <c r="Q145" s="12" t="s">
        <v>8</v>
      </c>
      <c r="R145" s="11" t="s">
        <v>9</v>
      </c>
      <c r="T145" s="11" t="s">
        <v>5</v>
      </c>
      <c r="U145" s="12" t="s">
        <v>21</v>
      </c>
      <c r="V145" s="12" t="s">
        <v>22</v>
      </c>
      <c r="W145" s="12" t="s">
        <v>8</v>
      </c>
      <c r="X145" s="12" t="s">
        <v>9</v>
      </c>
    </row>
    <row r="146" spans="2:24" x14ac:dyDescent="0.25">
      <c r="B146" t="s">
        <v>10</v>
      </c>
      <c r="C146">
        <v>3</v>
      </c>
      <c r="E146">
        <v>650</v>
      </c>
      <c r="F146" s="4">
        <f>C146*E146</f>
        <v>1950</v>
      </c>
      <c r="L146" s="4">
        <f t="shared" ref="L146:L148" si="19">-I146*K146+J146*K146</f>
        <v>0</v>
      </c>
      <c r="N146" t="s">
        <v>10</v>
      </c>
      <c r="Q146">
        <v>650</v>
      </c>
      <c r="R146" s="4">
        <f>O146*Q146</f>
        <v>0</v>
      </c>
      <c r="X146" s="4">
        <f t="shared" ref="X146:X148" si="20">-U146*W146+V146*W146</f>
        <v>0</v>
      </c>
    </row>
    <row r="147" spans="2:24" x14ac:dyDescent="0.25">
      <c r="B147" t="s">
        <v>11</v>
      </c>
      <c r="E147">
        <v>670</v>
      </c>
      <c r="F147" s="4">
        <f t="shared" ref="F147:F168" si="21">C147*E147</f>
        <v>0</v>
      </c>
      <c r="L147" s="4">
        <f t="shared" si="19"/>
        <v>0</v>
      </c>
      <c r="N147" t="s">
        <v>11</v>
      </c>
      <c r="Q147">
        <v>670</v>
      </c>
      <c r="R147" s="4">
        <f t="shared" ref="R147:R168" si="22">O147*Q147</f>
        <v>0</v>
      </c>
      <c r="X147" s="4">
        <f t="shared" si="20"/>
        <v>0</v>
      </c>
    </row>
    <row r="148" spans="2:24" x14ac:dyDescent="0.25">
      <c r="B148" t="s">
        <v>12</v>
      </c>
      <c r="E148">
        <v>973</v>
      </c>
      <c r="F148" s="4">
        <f t="shared" si="21"/>
        <v>0</v>
      </c>
      <c r="L148" s="4">
        <f t="shared" si="19"/>
        <v>0</v>
      </c>
      <c r="N148" t="s">
        <v>12</v>
      </c>
      <c r="Q148">
        <v>973</v>
      </c>
      <c r="R148" s="4">
        <f t="shared" si="22"/>
        <v>0</v>
      </c>
      <c r="X148" s="4">
        <f t="shared" si="20"/>
        <v>0</v>
      </c>
    </row>
    <row r="149" spans="2:24" x14ac:dyDescent="0.25">
      <c r="B149" t="s">
        <v>13</v>
      </c>
      <c r="E149">
        <v>622</v>
      </c>
      <c r="F149" s="4">
        <f t="shared" si="21"/>
        <v>0</v>
      </c>
      <c r="L149" s="4">
        <f>-I149*K149+J149*K149</f>
        <v>0</v>
      </c>
      <c r="N149" t="s">
        <v>13</v>
      </c>
      <c r="O149">
        <v>5</v>
      </c>
      <c r="Q149">
        <v>622</v>
      </c>
      <c r="R149" s="4">
        <f t="shared" si="22"/>
        <v>3110</v>
      </c>
      <c r="X149" s="4">
        <f>-U149*W149+V149*W149</f>
        <v>0</v>
      </c>
    </row>
    <row r="150" spans="2:24" x14ac:dyDescent="0.25">
      <c r="B150" t="s">
        <v>14</v>
      </c>
      <c r="E150">
        <v>912</v>
      </c>
      <c r="F150" s="4">
        <f t="shared" si="21"/>
        <v>0</v>
      </c>
      <c r="L150" s="4">
        <f t="shared" ref="L150:L167" si="23">-I150*K150+J150*K150</f>
        <v>0</v>
      </c>
      <c r="N150" t="s">
        <v>14</v>
      </c>
      <c r="Q150">
        <v>912</v>
      </c>
      <c r="R150" s="4">
        <f t="shared" si="22"/>
        <v>0</v>
      </c>
      <c r="X150" s="4">
        <f t="shared" ref="X150:X167" si="24">-U150*W150+V150*W150</f>
        <v>0</v>
      </c>
    </row>
    <row r="151" spans="2:24" x14ac:dyDescent="0.25">
      <c r="B151" t="s">
        <v>15</v>
      </c>
      <c r="F151" s="4">
        <f t="shared" si="21"/>
        <v>0</v>
      </c>
      <c r="L151" s="4">
        <f t="shared" si="23"/>
        <v>0</v>
      </c>
      <c r="N151" t="s">
        <v>15</v>
      </c>
      <c r="R151" s="4">
        <f t="shared" si="22"/>
        <v>0</v>
      </c>
      <c r="X151" s="4">
        <f t="shared" si="24"/>
        <v>0</v>
      </c>
    </row>
    <row r="152" spans="2:24" x14ac:dyDescent="0.25">
      <c r="B152" t="s">
        <v>16</v>
      </c>
      <c r="E152">
        <v>872</v>
      </c>
      <c r="F152" s="4">
        <f t="shared" si="21"/>
        <v>0</v>
      </c>
      <c r="L152" s="4">
        <f t="shared" si="23"/>
        <v>0</v>
      </c>
      <c r="N152" t="s">
        <v>16</v>
      </c>
      <c r="Q152">
        <v>872</v>
      </c>
      <c r="R152" s="4">
        <f t="shared" si="22"/>
        <v>0</v>
      </c>
      <c r="X152" s="4">
        <f t="shared" si="24"/>
        <v>0</v>
      </c>
    </row>
    <row r="153" spans="2:24" x14ac:dyDescent="0.25">
      <c r="B153" t="s">
        <v>17</v>
      </c>
      <c r="E153">
        <v>229</v>
      </c>
      <c r="F153" s="4">
        <f t="shared" si="21"/>
        <v>0</v>
      </c>
      <c r="L153" s="4">
        <f t="shared" si="23"/>
        <v>0</v>
      </c>
      <c r="N153" t="s">
        <v>17</v>
      </c>
      <c r="Q153">
        <v>229</v>
      </c>
      <c r="R153" s="4">
        <f t="shared" si="22"/>
        <v>0</v>
      </c>
      <c r="X153" s="4">
        <f t="shared" si="24"/>
        <v>0</v>
      </c>
    </row>
    <row r="154" spans="2:24" x14ac:dyDescent="0.25">
      <c r="B154" t="s">
        <v>18</v>
      </c>
      <c r="C154">
        <v>1</v>
      </c>
      <c r="E154">
        <v>500</v>
      </c>
      <c r="F154" s="4">
        <f t="shared" si="21"/>
        <v>500</v>
      </c>
      <c r="L154" s="4">
        <f t="shared" si="23"/>
        <v>0</v>
      </c>
      <c r="N154" t="s">
        <v>18</v>
      </c>
      <c r="Q154">
        <v>500</v>
      </c>
      <c r="R154" s="4">
        <f t="shared" si="22"/>
        <v>0</v>
      </c>
      <c r="X154" s="4">
        <f t="shared" si="24"/>
        <v>0</v>
      </c>
    </row>
    <row r="155" spans="2:24" x14ac:dyDescent="0.25">
      <c r="B155" t="s">
        <v>26</v>
      </c>
      <c r="E155">
        <v>650</v>
      </c>
      <c r="F155" s="4">
        <f t="shared" si="21"/>
        <v>0</v>
      </c>
      <c r="L155" s="4">
        <f t="shared" si="23"/>
        <v>0</v>
      </c>
      <c r="N155" t="s">
        <v>26</v>
      </c>
      <c r="Q155">
        <v>650</v>
      </c>
      <c r="R155" s="4">
        <f t="shared" si="22"/>
        <v>0</v>
      </c>
      <c r="X155" s="4">
        <f t="shared" si="24"/>
        <v>0</v>
      </c>
    </row>
    <row r="156" spans="2:24" x14ac:dyDescent="0.25">
      <c r="B156" s="20" t="s">
        <v>41</v>
      </c>
      <c r="E156">
        <v>1175</v>
      </c>
      <c r="F156" s="4">
        <f t="shared" si="21"/>
        <v>0</v>
      </c>
      <c r="L156" s="4">
        <f t="shared" si="23"/>
        <v>0</v>
      </c>
      <c r="N156" s="20" t="s">
        <v>41</v>
      </c>
      <c r="Q156">
        <v>1175</v>
      </c>
      <c r="R156" s="4">
        <f t="shared" si="22"/>
        <v>0</v>
      </c>
      <c r="X156" s="4">
        <f t="shared" si="24"/>
        <v>0</v>
      </c>
    </row>
    <row r="157" spans="2:24" x14ac:dyDescent="0.25">
      <c r="B157" t="s">
        <v>40</v>
      </c>
      <c r="E157">
        <v>700</v>
      </c>
      <c r="F157" s="4">
        <f t="shared" si="21"/>
        <v>0</v>
      </c>
      <c r="L157" s="4">
        <f t="shared" si="23"/>
        <v>0</v>
      </c>
      <c r="N157" t="s">
        <v>40</v>
      </c>
      <c r="Q157">
        <v>700</v>
      </c>
      <c r="R157" s="4">
        <f t="shared" si="22"/>
        <v>0</v>
      </c>
      <c r="X157" s="4">
        <f t="shared" si="24"/>
        <v>0</v>
      </c>
    </row>
    <row r="158" spans="2:24" x14ac:dyDescent="0.25">
      <c r="F158" s="4">
        <f t="shared" si="21"/>
        <v>0</v>
      </c>
      <c r="L158" s="4">
        <f t="shared" si="23"/>
        <v>0</v>
      </c>
      <c r="R158" s="4">
        <f t="shared" si="22"/>
        <v>0</v>
      </c>
      <c r="X158" s="4">
        <f t="shared" si="24"/>
        <v>0</v>
      </c>
    </row>
    <row r="159" spans="2:24" x14ac:dyDescent="0.25">
      <c r="F159" s="4">
        <f t="shared" si="21"/>
        <v>0</v>
      </c>
      <c r="L159" s="4">
        <f t="shared" si="23"/>
        <v>0</v>
      </c>
      <c r="R159" s="4">
        <f t="shared" si="22"/>
        <v>0</v>
      </c>
      <c r="X159" s="4">
        <f t="shared" si="24"/>
        <v>0</v>
      </c>
    </row>
    <row r="160" spans="2:24" x14ac:dyDescent="0.25">
      <c r="F160" s="4">
        <f t="shared" si="21"/>
        <v>0</v>
      </c>
      <c r="L160" s="4">
        <f t="shared" si="23"/>
        <v>0</v>
      </c>
      <c r="R160" s="4">
        <f t="shared" si="22"/>
        <v>0</v>
      </c>
      <c r="X160" s="4">
        <f t="shared" si="24"/>
        <v>0</v>
      </c>
    </row>
    <row r="161" spans="2:24" x14ac:dyDescent="0.25">
      <c r="F161" s="4">
        <f t="shared" si="21"/>
        <v>0</v>
      </c>
      <c r="L161" s="4">
        <f t="shared" si="23"/>
        <v>0</v>
      </c>
      <c r="R161" s="4">
        <f t="shared" si="22"/>
        <v>0</v>
      </c>
      <c r="X161" s="4">
        <f t="shared" si="24"/>
        <v>0</v>
      </c>
    </row>
    <row r="162" spans="2:24" x14ac:dyDescent="0.25">
      <c r="F162" s="4">
        <f t="shared" si="21"/>
        <v>0</v>
      </c>
      <c r="L162" s="4">
        <f t="shared" si="23"/>
        <v>0</v>
      </c>
      <c r="R162" s="4">
        <f t="shared" si="22"/>
        <v>0</v>
      </c>
      <c r="X162" s="4">
        <f t="shared" si="24"/>
        <v>0</v>
      </c>
    </row>
    <row r="163" spans="2:24" x14ac:dyDescent="0.25">
      <c r="F163" s="4">
        <f t="shared" si="21"/>
        <v>0</v>
      </c>
      <c r="L163" s="4">
        <f t="shared" si="23"/>
        <v>0</v>
      </c>
      <c r="R163" s="4">
        <f t="shared" si="22"/>
        <v>0</v>
      </c>
      <c r="X163" s="4">
        <f t="shared" si="24"/>
        <v>0</v>
      </c>
    </row>
    <row r="164" spans="2:24" x14ac:dyDescent="0.25">
      <c r="F164" s="4">
        <f t="shared" si="21"/>
        <v>0</v>
      </c>
      <c r="L164" s="4">
        <f t="shared" si="23"/>
        <v>0</v>
      </c>
      <c r="R164" s="4">
        <f t="shared" si="22"/>
        <v>0</v>
      </c>
      <c r="X164" s="4">
        <f t="shared" si="24"/>
        <v>0</v>
      </c>
    </row>
    <row r="165" spans="2:24" x14ac:dyDescent="0.25">
      <c r="F165" s="4">
        <f t="shared" si="21"/>
        <v>0</v>
      </c>
      <c r="L165" s="4">
        <f t="shared" si="23"/>
        <v>0</v>
      </c>
      <c r="R165" s="4">
        <f t="shared" si="22"/>
        <v>0</v>
      </c>
      <c r="X165" s="4">
        <f t="shared" si="24"/>
        <v>0</v>
      </c>
    </row>
    <row r="166" spans="2:24" x14ac:dyDescent="0.25">
      <c r="F166" s="4">
        <f t="shared" si="21"/>
        <v>0</v>
      </c>
      <c r="L166" s="4">
        <f t="shared" si="23"/>
        <v>0</v>
      </c>
      <c r="R166" s="4">
        <f t="shared" si="22"/>
        <v>0</v>
      </c>
      <c r="X166" s="4">
        <f t="shared" si="24"/>
        <v>0</v>
      </c>
    </row>
    <row r="167" spans="2:24" x14ac:dyDescent="0.25">
      <c r="F167" s="4">
        <f t="shared" si="21"/>
        <v>0</v>
      </c>
      <c r="L167" s="4">
        <f t="shared" si="23"/>
        <v>0</v>
      </c>
      <c r="R167" s="4">
        <f t="shared" si="22"/>
        <v>0</v>
      </c>
      <c r="X167" s="4">
        <f t="shared" si="24"/>
        <v>0</v>
      </c>
    </row>
    <row r="168" spans="2:24" x14ac:dyDescent="0.25">
      <c r="F168" s="4">
        <f t="shared" si="21"/>
        <v>0</v>
      </c>
      <c r="H168" s="9" t="s">
        <v>23</v>
      </c>
      <c r="I168" s="9"/>
      <c r="J168" s="9"/>
      <c r="K168" s="9"/>
      <c r="L168" s="15">
        <f>SUM(L146:L167)</f>
        <v>0</v>
      </c>
      <c r="R168" s="4">
        <f t="shared" si="22"/>
        <v>0</v>
      </c>
      <c r="T168" s="9" t="s">
        <v>23</v>
      </c>
      <c r="U168" s="9"/>
      <c r="V168" s="9"/>
      <c r="W168" s="9"/>
      <c r="X168" s="15">
        <f>SUM(X146:X167)</f>
        <v>0</v>
      </c>
    </row>
    <row r="169" spans="2:24" x14ac:dyDescent="0.25">
      <c r="B169" s="13" t="s">
        <v>28</v>
      </c>
      <c r="C169" s="13"/>
      <c r="D169" s="14"/>
      <c r="E169" s="14"/>
      <c r="F169" s="10">
        <f>-D169*E169</f>
        <v>0</v>
      </c>
      <c r="H169" s="9" t="s">
        <v>24</v>
      </c>
      <c r="I169" s="9"/>
      <c r="J169" s="9"/>
      <c r="K169" s="9"/>
      <c r="L169" s="8">
        <f>SUM(F170)</f>
        <v>2450</v>
      </c>
      <c r="N169" s="13" t="s">
        <v>28</v>
      </c>
      <c r="O169" s="13"/>
      <c r="P169" s="14"/>
      <c r="Q169" s="14"/>
      <c r="R169" s="10">
        <f>-P169*Q169</f>
        <v>0</v>
      </c>
      <c r="T169" s="9" t="s">
        <v>24</v>
      </c>
      <c r="U169" s="9"/>
      <c r="V169" s="9"/>
      <c r="W169" s="9"/>
      <c r="X169" s="8">
        <f>SUM(R170)</f>
        <v>3110</v>
      </c>
    </row>
    <row r="170" spans="2:24" x14ac:dyDescent="0.25">
      <c r="B170" s="7" t="s">
        <v>19</v>
      </c>
      <c r="C170" s="7"/>
      <c r="D170" s="7"/>
      <c r="E170" s="7"/>
      <c r="F170" s="21">
        <f>SUM(F146:F169)</f>
        <v>2450</v>
      </c>
      <c r="H170" s="9" t="s">
        <v>25</v>
      </c>
      <c r="I170" s="9"/>
      <c r="J170" s="9"/>
      <c r="K170" s="9"/>
      <c r="L170" s="22">
        <f>SUM(L169+L168)</f>
        <v>2450</v>
      </c>
      <c r="N170" s="7" t="s">
        <v>19</v>
      </c>
      <c r="O170" s="7"/>
      <c r="P170" s="7"/>
      <c r="Q170" s="7"/>
      <c r="R170" s="21">
        <f>SUM(R146:R169)</f>
        <v>3110</v>
      </c>
      <c r="T170" s="9" t="s">
        <v>25</v>
      </c>
      <c r="U170" s="9"/>
      <c r="V170" s="9"/>
      <c r="W170" s="9"/>
      <c r="X170" s="22">
        <f>SUM(X169+X168)</f>
        <v>3110</v>
      </c>
    </row>
  </sheetData>
  <mergeCells count="180">
    <mergeCell ref="N169:O169"/>
    <mergeCell ref="T169:W169"/>
    <mergeCell ref="N170:Q170"/>
    <mergeCell ref="T170:W170"/>
    <mergeCell ref="T141:U141"/>
    <mergeCell ref="N142:O142"/>
    <mergeCell ref="P142:R142"/>
    <mergeCell ref="T142:U142"/>
    <mergeCell ref="T144:X144"/>
    <mergeCell ref="T168:W168"/>
    <mergeCell ref="B170:E170"/>
    <mergeCell ref="H170:K170"/>
    <mergeCell ref="N139:O139"/>
    <mergeCell ref="P139:R139"/>
    <mergeCell ref="T139:U139"/>
    <mergeCell ref="N140:O140"/>
    <mergeCell ref="P140:R140"/>
    <mergeCell ref="T140:U140"/>
    <mergeCell ref="N141:O141"/>
    <mergeCell ref="P141:R141"/>
    <mergeCell ref="B142:C142"/>
    <mergeCell ref="D142:F142"/>
    <mergeCell ref="H142:I142"/>
    <mergeCell ref="H144:L144"/>
    <mergeCell ref="H168:K168"/>
    <mergeCell ref="B169:C169"/>
    <mergeCell ref="H169:K169"/>
    <mergeCell ref="B140:C140"/>
    <mergeCell ref="D140:F140"/>
    <mergeCell ref="H140:I140"/>
    <mergeCell ref="B141:C141"/>
    <mergeCell ref="D141:F141"/>
    <mergeCell ref="H141:I141"/>
    <mergeCell ref="B136:E136"/>
    <mergeCell ref="H136:K136"/>
    <mergeCell ref="N136:Q136"/>
    <mergeCell ref="T136:W136"/>
    <mergeCell ref="B139:C139"/>
    <mergeCell ref="D139:F139"/>
    <mergeCell ref="H139:I139"/>
    <mergeCell ref="H110:L110"/>
    <mergeCell ref="T110:X110"/>
    <mergeCell ref="H134:K134"/>
    <mergeCell ref="T134:W134"/>
    <mergeCell ref="B135:C135"/>
    <mergeCell ref="H135:K135"/>
    <mergeCell ref="N135:O135"/>
    <mergeCell ref="T135:W135"/>
    <mergeCell ref="B108:C108"/>
    <mergeCell ref="D108:F108"/>
    <mergeCell ref="H108:I108"/>
    <mergeCell ref="N108:O108"/>
    <mergeCell ref="P108:R108"/>
    <mergeCell ref="T108:U108"/>
    <mergeCell ref="B107:C107"/>
    <mergeCell ref="D107:F107"/>
    <mergeCell ref="H107:I107"/>
    <mergeCell ref="N107:O107"/>
    <mergeCell ref="P107:R107"/>
    <mergeCell ref="T107:U107"/>
    <mergeCell ref="B106:C106"/>
    <mergeCell ref="D106:F106"/>
    <mergeCell ref="H106:I106"/>
    <mergeCell ref="N106:O106"/>
    <mergeCell ref="P106:R106"/>
    <mergeCell ref="T106:U106"/>
    <mergeCell ref="B102:E102"/>
    <mergeCell ref="H102:K102"/>
    <mergeCell ref="N102:Q102"/>
    <mergeCell ref="T102:W102"/>
    <mergeCell ref="B105:C105"/>
    <mergeCell ref="D105:F105"/>
    <mergeCell ref="H105:I105"/>
    <mergeCell ref="N105:O105"/>
    <mergeCell ref="P105:R105"/>
    <mergeCell ref="T105:U105"/>
    <mergeCell ref="H76:L76"/>
    <mergeCell ref="T76:X76"/>
    <mergeCell ref="H100:K100"/>
    <mergeCell ref="T100:W100"/>
    <mergeCell ref="B101:C101"/>
    <mergeCell ref="H101:K101"/>
    <mergeCell ref="N101:O101"/>
    <mergeCell ref="T101:W101"/>
    <mergeCell ref="B74:C74"/>
    <mergeCell ref="D74:F74"/>
    <mergeCell ref="H74:I74"/>
    <mergeCell ref="N74:O74"/>
    <mergeCell ref="P74:R74"/>
    <mergeCell ref="T74:U74"/>
    <mergeCell ref="B73:C73"/>
    <mergeCell ref="D73:F73"/>
    <mergeCell ref="H73:I73"/>
    <mergeCell ref="N73:O73"/>
    <mergeCell ref="P73:R73"/>
    <mergeCell ref="T73:U73"/>
    <mergeCell ref="B72:C72"/>
    <mergeCell ref="D72:F72"/>
    <mergeCell ref="H72:I72"/>
    <mergeCell ref="N72:O72"/>
    <mergeCell ref="P72:R72"/>
    <mergeCell ref="T72:U72"/>
    <mergeCell ref="B68:E68"/>
    <mergeCell ref="H68:K68"/>
    <mergeCell ref="N68:Q68"/>
    <mergeCell ref="T68:W68"/>
    <mergeCell ref="B71:C71"/>
    <mergeCell ref="D71:F71"/>
    <mergeCell ref="H71:I71"/>
    <mergeCell ref="N71:O71"/>
    <mergeCell ref="P71:R71"/>
    <mergeCell ref="T71:U71"/>
    <mergeCell ref="H42:L42"/>
    <mergeCell ref="T42:X42"/>
    <mergeCell ref="H66:K66"/>
    <mergeCell ref="T66:W66"/>
    <mergeCell ref="B67:C67"/>
    <mergeCell ref="H67:K67"/>
    <mergeCell ref="N67:O67"/>
    <mergeCell ref="T67:W67"/>
    <mergeCell ref="B40:C40"/>
    <mergeCell ref="D40:F40"/>
    <mergeCell ref="H40:I40"/>
    <mergeCell ref="N40:O40"/>
    <mergeCell ref="P40:R40"/>
    <mergeCell ref="T40:U40"/>
    <mergeCell ref="B39:C39"/>
    <mergeCell ref="D39:F39"/>
    <mergeCell ref="H39:I39"/>
    <mergeCell ref="N39:O39"/>
    <mergeCell ref="P39:R39"/>
    <mergeCell ref="T39:U39"/>
    <mergeCell ref="B38:C38"/>
    <mergeCell ref="D38:F38"/>
    <mergeCell ref="H38:I38"/>
    <mergeCell ref="N38:O38"/>
    <mergeCell ref="P38:R38"/>
    <mergeCell ref="T38:U38"/>
    <mergeCell ref="B34:E34"/>
    <mergeCell ref="H34:K34"/>
    <mergeCell ref="N34:Q34"/>
    <mergeCell ref="T34:W34"/>
    <mergeCell ref="B37:C37"/>
    <mergeCell ref="D37:F37"/>
    <mergeCell ref="H37:I37"/>
    <mergeCell ref="N37:O37"/>
    <mergeCell ref="P37:R37"/>
    <mergeCell ref="T37:U37"/>
    <mergeCell ref="H8:L8"/>
    <mergeCell ref="T8:X8"/>
    <mergeCell ref="H32:K32"/>
    <mergeCell ref="T32:W32"/>
    <mergeCell ref="B33:C33"/>
    <mergeCell ref="H33:K33"/>
    <mergeCell ref="N33:O33"/>
    <mergeCell ref="T33:W33"/>
    <mergeCell ref="B6:C6"/>
    <mergeCell ref="D6:F6"/>
    <mergeCell ref="H6:I6"/>
    <mergeCell ref="N6:O6"/>
    <mergeCell ref="P6:R6"/>
    <mergeCell ref="T6:U6"/>
    <mergeCell ref="B5:C5"/>
    <mergeCell ref="D5:F5"/>
    <mergeCell ref="H5:I5"/>
    <mergeCell ref="N5:O5"/>
    <mergeCell ref="P5:R5"/>
    <mergeCell ref="T5:U5"/>
    <mergeCell ref="B4:C4"/>
    <mergeCell ref="D4:F4"/>
    <mergeCell ref="H4:I4"/>
    <mergeCell ref="N4:O4"/>
    <mergeCell ref="P4:R4"/>
    <mergeCell ref="T4:U4"/>
    <mergeCell ref="B3:C3"/>
    <mergeCell ref="D3:F3"/>
    <mergeCell ref="H3:I3"/>
    <mergeCell ref="N3:O3"/>
    <mergeCell ref="P3:R3"/>
    <mergeCell ref="T3:U3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6A65-76A9-4390-97BD-3423E4F6DA2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2867-F6B0-4E7F-84DF-892B7BE1EEA7}">
  <dimension ref="B1:AF68"/>
  <sheetViews>
    <sheetView workbookViewId="0">
      <selection activeCell="J44" sqref="J44:J53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</cols>
  <sheetData>
    <row r="1" spans="2:32" ht="18.75" x14ac:dyDescent="0.3">
      <c r="B1" s="17" t="s">
        <v>29</v>
      </c>
      <c r="C1" s="16"/>
      <c r="D1" s="16"/>
      <c r="E1" s="16"/>
      <c r="F1" s="16"/>
      <c r="G1" s="16"/>
      <c r="H1" s="16"/>
      <c r="I1" s="16"/>
      <c r="J1" s="16"/>
      <c r="K1" s="16"/>
      <c r="L1" s="16"/>
      <c r="N1" s="17" t="s">
        <v>29</v>
      </c>
      <c r="O1" s="16"/>
      <c r="P1" s="16"/>
      <c r="Q1" s="16"/>
      <c r="R1" s="16"/>
      <c r="S1" s="16"/>
      <c r="T1" s="16"/>
      <c r="U1" s="16"/>
      <c r="V1" s="16"/>
      <c r="W1" s="16"/>
      <c r="X1" s="16"/>
      <c r="Z1" s="23" t="s">
        <v>9</v>
      </c>
      <c r="AB1" s="24" t="s">
        <v>27</v>
      </c>
      <c r="AD1" s="25" t="s">
        <v>76</v>
      </c>
      <c r="AF1" s="26" t="s">
        <v>77</v>
      </c>
    </row>
    <row r="3" spans="2:32" x14ac:dyDescent="0.25">
      <c r="B3" s="3" t="s">
        <v>0</v>
      </c>
      <c r="C3" s="3"/>
      <c r="D3" s="18" t="s">
        <v>30</v>
      </c>
      <c r="E3" s="18"/>
      <c r="F3" s="18"/>
      <c r="H3" s="3" t="s">
        <v>43</v>
      </c>
      <c r="I3" s="3"/>
      <c r="J3">
        <v>1</v>
      </c>
      <c r="N3" s="3" t="s">
        <v>0</v>
      </c>
      <c r="O3" s="3"/>
      <c r="P3" s="18" t="s">
        <v>34</v>
      </c>
      <c r="Q3" s="18"/>
      <c r="R3" s="18"/>
      <c r="T3" s="3" t="s">
        <v>43</v>
      </c>
      <c r="U3" s="3"/>
      <c r="V3">
        <v>1</v>
      </c>
      <c r="Z3" s="5">
        <f>F34+R34+F68</f>
        <v>0</v>
      </c>
      <c r="AB3">
        <f>R33</f>
        <v>0</v>
      </c>
      <c r="AF3" s="5">
        <f>L34+X34+L68</f>
        <v>0</v>
      </c>
    </row>
    <row r="4" spans="2:32" x14ac:dyDescent="0.25">
      <c r="B4" s="3" t="s">
        <v>1</v>
      </c>
      <c r="C4" s="3"/>
      <c r="D4" s="2" t="s">
        <v>31</v>
      </c>
      <c r="E4" s="2"/>
      <c r="F4" s="2"/>
      <c r="H4" s="3" t="s">
        <v>44</v>
      </c>
      <c r="I4" s="3"/>
      <c r="J4" t="s">
        <v>47</v>
      </c>
      <c r="N4" s="3" t="s">
        <v>1</v>
      </c>
      <c r="O4" s="3"/>
      <c r="P4" s="2" t="s">
        <v>35</v>
      </c>
      <c r="Q4" s="2"/>
      <c r="R4" s="2"/>
      <c r="T4" s="3" t="s">
        <v>44</v>
      </c>
      <c r="U4" s="3"/>
      <c r="V4" t="s">
        <v>47</v>
      </c>
    </row>
    <row r="5" spans="2:32" x14ac:dyDescent="0.25">
      <c r="B5" s="3" t="s">
        <v>3</v>
      </c>
      <c r="C5" s="3"/>
      <c r="D5" s="19" t="s">
        <v>32</v>
      </c>
      <c r="E5" s="19"/>
      <c r="F5" s="19"/>
      <c r="H5" s="3" t="s">
        <v>45</v>
      </c>
      <c r="I5" s="3"/>
      <c r="J5" t="s">
        <v>48</v>
      </c>
      <c r="N5" s="3" t="s">
        <v>3</v>
      </c>
      <c r="O5" s="3"/>
      <c r="P5" s="2" t="s">
        <v>32</v>
      </c>
      <c r="Q5" s="2"/>
      <c r="R5" s="2"/>
      <c r="T5" s="3" t="s">
        <v>45</v>
      </c>
      <c r="U5" s="3"/>
      <c r="V5" t="s">
        <v>48</v>
      </c>
    </row>
    <row r="6" spans="2:32" x14ac:dyDescent="0.25">
      <c r="B6" s="3" t="s">
        <v>2</v>
      </c>
      <c r="C6" s="3"/>
      <c r="D6" s="2" t="s">
        <v>33</v>
      </c>
      <c r="E6" s="2"/>
      <c r="F6" s="2"/>
      <c r="H6" s="3" t="s">
        <v>46</v>
      </c>
      <c r="I6" s="3"/>
      <c r="J6" t="s">
        <v>49</v>
      </c>
      <c r="N6" s="3" t="s">
        <v>2</v>
      </c>
      <c r="O6" s="3"/>
      <c r="P6" s="2" t="s">
        <v>36</v>
      </c>
      <c r="Q6" s="2"/>
      <c r="R6" s="2"/>
      <c r="T6" s="3" t="s">
        <v>46</v>
      </c>
      <c r="U6" s="3"/>
      <c r="V6" t="s">
        <v>49</v>
      </c>
    </row>
    <row r="8" spans="2:32" x14ac:dyDescent="0.25">
      <c r="B8" s="1"/>
      <c r="C8" s="1" t="s">
        <v>4</v>
      </c>
      <c r="D8" s="1"/>
      <c r="E8" s="1"/>
      <c r="F8" s="1"/>
      <c r="H8" s="6" t="s">
        <v>20</v>
      </c>
      <c r="I8" s="6"/>
      <c r="J8" s="6"/>
      <c r="K8" s="6"/>
      <c r="L8" s="6"/>
      <c r="N8" s="1"/>
      <c r="O8" s="1" t="s">
        <v>4</v>
      </c>
      <c r="P8" s="1"/>
      <c r="Q8" s="1"/>
      <c r="R8" s="1"/>
      <c r="T8" s="6" t="s">
        <v>20</v>
      </c>
      <c r="U8" s="6"/>
      <c r="V8" s="6"/>
      <c r="W8" s="6"/>
      <c r="X8" s="6"/>
    </row>
    <row r="9" spans="2:32" x14ac:dyDescent="0.25">
      <c r="B9" s="11" t="s">
        <v>5</v>
      </c>
      <c r="C9" s="11" t="s">
        <v>6</v>
      </c>
      <c r="D9" s="11" t="s">
        <v>7</v>
      </c>
      <c r="E9" s="12" t="s">
        <v>8</v>
      </c>
      <c r="F9" s="11" t="s">
        <v>9</v>
      </c>
      <c r="H9" s="11" t="s">
        <v>5</v>
      </c>
      <c r="I9" s="12" t="s">
        <v>21</v>
      </c>
      <c r="J9" s="12" t="s">
        <v>22</v>
      </c>
      <c r="K9" s="12" t="s">
        <v>8</v>
      </c>
      <c r="L9" s="12" t="s">
        <v>9</v>
      </c>
      <c r="N9" s="11" t="s">
        <v>5</v>
      </c>
      <c r="O9" s="11" t="s">
        <v>6</v>
      </c>
      <c r="P9" s="11" t="s">
        <v>7</v>
      </c>
      <c r="Q9" s="12" t="s">
        <v>8</v>
      </c>
      <c r="R9" s="11" t="s">
        <v>9</v>
      </c>
      <c r="T9" s="11" t="s">
        <v>5</v>
      </c>
      <c r="U9" s="12" t="s">
        <v>21</v>
      </c>
      <c r="V9" s="12" t="s">
        <v>22</v>
      </c>
      <c r="W9" s="12" t="s">
        <v>8</v>
      </c>
      <c r="X9" s="12" t="s">
        <v>9</v>
      </c>
    </row>
    <row r="10" spans="2:32" x14ac:dyDescent="0.25">
      <c r="B10" t="s">
        <v>10</v>
      </c>
      <c r="E10">
        <v>650</v>
      </c>
      <c r="F10" s="4">
        <f>C10*E10</f>
        <v>0</v>
      </c>
      <c r="L10" s="4">
        <f t="shared" ref="L10:L32" si="0">-I10*K10+J10*K10</f>
        <v>0</v>
      </c>
      <c r="N10" t="s">
        <v>10</v>
      </c>
      <c r="Q10">
        <v>650</v>
      </c>
      <c r="R10" s="4">
        <f>O10*Q10</f>
        <v>0</v>
      </c>
      <c r="X10" s="4">
        <f t="shared" ref="X10:X31" si="1">-U10*W10+V10*W10</f>
        <v>0</v>
      </c>
    </row>
    <row r="11" spans="2:32" x14ac:dyDescent="0.25">
      <c r="B11" t="s">
        <v>11</v>
      </c>
      <c r="F11" s="4">
        <f t="shared" ref="F11:F32" si="2">C11*E11</f>
        <v>0</v>
      </c>
      <c r="L11" s="4">
        <f t="shared" si="0"/>
        <v>0</v>
      </c>
      <c r="N11" t="s">
        <v>11</v>
      </c>
      <c r="R11" s="4">
        <f t="shared" ref="R11:R32" si="3">O11*Q11</f>
        <v>0</v>
      </c>
      <c r="X11" s="4">
        <f t="shared" si="1"/>
        <v>0</v>
      </c>
    </row>
    <row r="12" spans="2:32" x14ac:dyDescent="0.25">
      <c r="B12" t="s">
        <v>12</v>
      </c>
      <c r="F12" s="4">
        <f t="shared" si="2"/>
        <v>0</v>
      </c>
      <c r="L12" s="4">
        <f t="shared" si="0"/>
        <v>0</v>
      </c>
      <c r="N12" t="s">
        <v>12</v>
      </c>
      <c r="R12" s="4">
        <f t="shared" si="3"/>
        <v>0</v>
      </c>
      <c r="X12" s="4">
        <f t="shared" si="1"/>
        <v>0</v>
      </c>
    </row>
    <row r="13" spans="2:32" x14ac:dyDescent="0.25">
      <c r="B13" t="s">
        <v>13</v>
      </c>
      <c r="E13">
        <v>622</v>
      </c>
      <c r="F13" s="4">
        <f t="shared" si="2"/>
        <v>0</v>
      </c>
      <c r="L13" s="4">
        <f t="shared" si="0"/>
        <v>0</v>
      </c>
      <c r="N13" t="s">
        <v>13</v>
      </c>
      <c r="Q13">
        <v>622</v>
      </c>
      <c r="R13" s="4">
        <f t="shared" si="3"/>
        <v>0</v>
      </c>
      <c r="X13" s="4">
        <f t="shared" si="1"/>
        <v>0</v>
      </c>
    </row>
    <row r="14" spans="2:32" x14ac:dyDescent="0.25">
      <c r="B14" t="s">
        <v>14</v>
      </c>
      <c r="F14" s="4">
        <f t="shared" si="2"/>
        <v>0</v>
      </c>
      <c r="L14" s="4">
        <f t="shared" si="0"/>
        <v>0</v>
      </c>
      <c r="N14" t="s">
        <v>14</v>
      </c>
      <c r="R14" s="4">
        <f t="shared" si="3"/>
        <v>0</v>
      </c>
      <c r="X14" s="4">
        <f t="shared" si="1"/>
        <v>0</v>
      </c>
    </row>
    <row r="15" spans="2:32" x14ac:dyDescent="0.25">
      <c r="B15" t="s">
        <v>15</v>
      </c>
      <c r="F15" s="4">
        <f t="shared" si="2"/>
        <v>0</v>
      </c>
      <c r="L15" s="4">
        <f t="shared" si="0"/>
        <v>0</v>
      </c>
      <c r="N15" t="s">
        <v>15</v>
      </c>
      <c r="R15" s="4">
        <f t="shared" si="3"/>
        <v>0</v>
      </c>
      <c r="X15" s="4">
        <f t="shared" si="1"/>
        <v>0</v>
      </c>
    </row>
    <row r="16" spans="2:32" x14ac:dyDescent="0.25">
      <c r="B16" t="s">
        <v>16</v>
      </c>
      <c r="F16" s="4">
        <f t="shared" si="2"/>
        <v>0</v>
      </c>
      <c r="L16" s="4">
        <f t="shared" si="0"/>
        <v>0</v>
      </c>
      <c r="N16" t="s">
        <v>16</v>
      </c>
      <c r="R16" s="4">
        <f t="shared" si="3"/>
        <v>0</v>
      </c>
      <c r="X16" s="4">
        <f t="shared" si="1"/>
        <v>0</v>
      </c>
    </row>
    <row r="17" spans="2:24" x14ac:dyDescent="0.25">
      <c r="B17" t="s">
        <v>17</v>
      </c>
      <c r="E17">
        <v>229</v>
      </c>
      <c r="F17" s="4">
        <f t="shared" si="2"/>
        <v>0</v>
      </c>
      <c r="L17" s="4">
        <f t="shared" si="0"/>
        <v>0</v>
      </c>
      <c r="N17" t="s">
        <v>17</v>
      </c>
      <c r="Q17">
        <v>229</v>
      </c>
      <c r="R17" s="4">
        <f t="shared" si="3"/>
        <v>0</v>
      </c>
      <c r="X17" s="4">
        <f t="shared" si="1"/>
        <v>0</v>
      </c>
    </row>
    <row r="18" spans="2:24" x14ac:dyDescent="0.25">
      <c r="B18" t="s">
        <v>18</v>
      </c>
      <c r="E18">
        <v>500</v>
      </c>
      <c r="F18" s="4">
        <f t="shared" si="2"/>
        <v>0</v>
      </c>
      <c r="L18" s="4">
        <f t="shared" si="0"/>
        <v>0</v>
      </c>
      <c r="N18" t="s">
        <v>18</v>
      </c>
      <c r="Q18">
        <v>500</v>
      </c>
      <c r="R18" s="4">
        <f t="shared" si="3"/>
        <v>0</v>
      </c>
      <c r="X18" s="4">
        <f t="shared" si="1"/>
        <v>0</v>
      </c>
    </row>
    <row r="19" spans="2:24" x14ac:dyDescent="0.25">
      <c r="B19" t="s">
        <v>26</v>
      </c>
      <c r="E19">
        <v>650</v>
      </c>
      <c r="F19" s="4">
        <f t="shared" si="2"/>
        <v>0</v>
      </c>
      <c r="L19" s="4">
        <f t="shared" si="0"/>
        <v>0</v>
      </c>
      <c r="N19" t="s">
        <v>26</v>
      </c>
      <c r="Q19">
        <v>650</v>
      </c>
      <c r="R19" s="4">
        <f t="shared" si="3"/>
        <v>0</v>
      </c>
      <c r="X19" s="4">
        <f t="shared" si="1"/>
        <v>0</v>
      </c>
    </row>
    <row r="20" spans="2:24" x14ac:dyDescent="0.25">
      <c r="F20" s="4">
        <f t="shared" si="2"/>
        <v>0</v>
      </c>
      <c r="L20" s="4">
        <f t="shared" si="0"/>
        <v>0</v>
      </c>
      <c r="R20" s="4">
        <f t="shared" si="3"/>
        <v>0</v>
      </c>
      <c r="X20" s="4">
        <f t="shared" si="1"/>
        <v>0</v>
      </c>
    </row>
    <row r="21" spans="2:24" x14ac:dyDescent="0.25">
      <c r="F21" s="4">
        <f t="shared" si="2"/>
        <v>0</v>
      </c>
      <c r="L21" s="4">
        <f t="shared" si="0"/>
        <v>0</v>
      </c>
      <c r="R21" s="4">
        <f t="shared" si="3"/>
        <v>0</v>
      </c>
      <c r="X21" s="4">
        <f t="shared" si="1"/>
        <v>0</v>
      </c>
    </row>
    <row r="22" spans="2:24" x14ac:dyDescent="0.25">
      <c r="F22" s="4">
        <f t="shared" si="2"/>
        <v>0</v>
      </c>
      <c r="L22" s="4">
        <f t="shared" si="0"/>
        <v>0</v>
      </c>
      <c r="R22" s="4">
        <f t="shared" si="3"/>
        <v>0</v>
      </c>
      <c r="X22" s="4">
        <f t="shared" si="1"/>
        <v>0</v>
      </c>
    </row>
    <row r="23" spans="2:24" x14ac:dyDescent="0.25">
      <c r="F23" s="4">
        <f t="shared" si="2"/>
        <v>0</v>
      </c>
      <c r="L23" s="4">
        <f t="shared" si="0"/>
        <v>0</v>
      </c>
      <c r="R23" s="4">
        <f t="shared" si="3"/>
        <v>0</v>
      </c>
      <c r="X23" s="4">
        <f t="shared" si="1"/>
        <v>0</v>
      </c>
    </row>
    <row r="24" spans="2:24" x14ac:dyDescent="0.25">
      <c r="F24" s="4">
        <f t="shared" si="2"/>
        <v>0</v>
      </c>
      <c r="L24" s="4">
        <f t="shared" si="0"/>
        <v>0</v>
      </c>
      <c r="R24" s="4">
        <f t="shared" si="3"/>
        <v>0</v>
      </c>
      <c r="X24" s="4">
        <f t="shared" si="1"/>
        <v>0</v>
      </c>
    </row>
    <row r="25" spans="2:24" x14ac:dyDescent="0.25">
      <c r="F25" s="4">
        <f t="shared" si="2"/>
        <v>0</v>
      </c>
      <c r="L25" s="4">
        <f t="shared" si="0"/>
        <v>0</v>
      </c>
      <c r="R25" s="4">
        <f t="shared" si="3"/>
        <v>0</v>
      </c>
      <c r="X25" s="4">
        <f t="shared" si="1"/>
        <v>0</v>
      </c>
    </row>
    <row r="26" spans="2:24" x14ac:dyDescent="0.25">
      <c r="F26" s="4">
        <f t="shared" si="2"/>
        <v>0</v>
      </c>
      <c r="L26" s="4">
        <f t="shared" si="0"/>
        <v>0</v>
      </c>
      <c r="R26" s="4">
        <f t="shared" si="3"/>
        <v>0</v>
      </c>
      <c r="X26" s="4">
        <f t="shared" si="1"/>
        <v>0</v>
      </c>
    </row>
    <row r="27" spans="2:24" x14ac:dyDescent="0.25">
      <c r="F27" s="4">
        <f t="shared" si="2"/>
        <v>0</v>
      </c>
      <c r="L27" s="4">
        <f t="shared" si="0"/>
        <v>0</v>
      </c>
      <c r="R27" s="4">
        <f t="shared" si="3"/>
        <v>0</v>
      </c>
      <c r="X27" s="4">
        <f t="shared" si="1"/>
        <v>0</v>
      </c>
    </row>
    <row r="28" spans="2:24" x14ac:dyDescent="0.25">
      <c r="F28" s="4">
        <f t="shared" si="2"/>
        <v>0</v>
      </c>
      <c r="L28" s="4">
        <f t="shared" si="0"/>
        <v>0</v>
      </c>
      <c r="R28" s="4">
        <f t="shared" si="3"/>
        <v>0</v>
      </c>
      <c r="X28" s="4">
        <f t="shared" si="1"/>
        <v>0</v>
      </c>
    </row>
    <row r="29" spans="2:24" x14ac:dyDescent="0.25">
      <c r="F29" s="4">
        <f t="shared" si="2"/>
        <v>0</v>
      </c>
      <c r="L29" s="4">
        <f t="shared" si="0"/>
        <v>0</v>
      </c>
      <c r="R29" s="4">
        <f t="shared" si="3"/>
        <v>0</v>
      </c>
      <c r="X29" s="4">
        <f t="shared" si="1"/>
        <v>0</v>
      </c>
    </row>
    <row r="30" spans="2:24" x14ac:dyDescent="0.25">
      <c r="F30" s="4">
        <f t="shared" si="2"/>
        <v>0</v>
      </c>
      <c r="L30" s="4">
        <f t="shared" si="0"/>
        <v>0</v>
      </c>
      <c r="R30" s="4">
        <f t="shared" si="3"/>
        <v>0</v>
      </c>
      <c r="X30" s="4">
        <f t="shared" si="1"/>
        <v>0</v>
      </c>
    </row>
    <row r="31" spans="2:24" x14ac:dyDescent="0.25">
      <c r="F31" s="4">
        <f t="shared" si="2"/>
        <v>0</v>
      </c>
      <c r="L31" s="4">
        <f t="shared" si="0"/>
        <v>0</v>
      </c>
      <c r="R31" s="4">
        <f t="shared" si="3"/>
        <v>0</v>
      </c>
      <c r="X31" s="4">
        <f t="shared" si="1"/>
        <v>0</v>
      </c>
    </row>
    <row r="32" spans="2:24" x14ac:dyDescent="0.25">
      <c r="F32" s="4">
        <f t="shared" si="2"/>
        <v>0</v>
      </c>
      <c r="H32" s="9" t="s">
        <v>23</v>
      </c>
      <c r="I32" s="9"/>
      <c r="J32" s="9"/>
      <c r="K32" s="9"/>
      <c r="L32" s="4">
        <f t="shared" si="0"/>
        <v>0</v>
      </c>
      <c r="R32" s="4">
        <f t="shared" si="3"/>
        <v>0</v>
      </c>
      <c r="T32" s="9" t="s">
        <v>23</v>
      </c>
      <c r="U32" s="9"/>
      <c r="V32" s="9"/>
      <c r="W32" s="9"/>
      <c r="X32" s="15">
        <f>SUM(X10:X31)</f>
        <v>0</v>
      </c>
    </row>
    <row r="33" spans="2:24" x14ac:dyDescent="0.25">
      <c r="B33" s="13" t="s">
        <v>28</v>
      </c>
      <c r="C33" s="13"/>
      <c r="D33" s="14"/>
      <c r="E33" s="14"/>
      <c r="F33" s="10">
        <f>-D33*E33</f>
        <v>0</v>
      </c>
      <c r="H33" s="9" t="s">
        <v>24</v>
      </c>
      <c r="I33" s="9"/>
      <c r="J33" s="9"/>
      <c r="K33" s="9"/>
      <c r="L33" s="8">
        <f>SUM(F34)</f>
        <v>0</v>
      </c>
      <c r="N33" s="13" t="s">
        <v>28</v>
      </c>
      <c r="O33" s="13"/>
      <c r="P33" s="14"/>
      <c r="Q33" s="14"/>
      <c r="R33" s="10">
        <f>-P33*Q33</f>
        <v>0</v>
      </c>
      <c r="T33" s="9" t="s">
        <v>24</v>
      </c>
      <c r="U33" s="9"/>
      <c r="V33" s="9"/>
      <c r="W33" s="9"/>
      <c r="X33" s="8">
        <f>SUM(R34)</f>
        <v>0</v>
      </c>
    </row>
    <row r="34" spans="2:24" x14ac:dyDescent="0.25">
      <c r="B34" s="7" t="s">
        <v>19</v>
      </c>
      <c r="C34" s="7"/>
      <c r="D34" s="7"/>
      <c r="E34" s="7"/>
      <c r="F34" s="21">
        <f>SUM(F10:F33)</f>
        <v>0</v>
      </c>
      <c r="H34" s="9" t="s">
        <v>25</v>
      </c>
      <c r="I34" s="9"/>
      <c r="J34" s="9"/>
      <c r="K34" s="9"/>
      <c r="L34" s="22">
        <f>SUM(L33+L32)</f>
        <v>0</v>
      </c>
      <c r="N34" s="7" t="s">
        <v>19</v>
      </c>
      <c r="O34" s="7"/>
      <c r="P34" s="7"/>
      <c r="Q34" s="7"/>
      <c r="R34" s="21">
        <f>SUM(R10:R33)</f>
        <v>0</v>
      </c>
      <c r="T34" s="9" t="s">
        <v>25</v>
      </c>
      <c r="U34" s="9"/>
      <c r="V34" s="9"/>
      <c r="W34" s="9"/>
      <c r="X34" s="22">
        <f>SUM(X33+X32)</f>
        <v>0</v>
      </c>
    </row>
    <row r="35" spans="2:24" ht="18.75" x14ac:dyDescent="0.3">
      <c r="B35" s="17" t="s">
        <v>29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N35" s="17" t="s">
        <v>29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7" spans="2:24" x14ac:dyDescent="0.25">
      <c r="B37" s="3" t="s">
        <v>0</v>
      </c>
      <c r="C37" s="3"/>
      <c r="D37" s="18" t="s">
        <v>37</v>
      </c>
      <c r="E37" s="18"/>
      <c r="F37" s="18"/>
      <c r="H37" s="3" t="s">
        <v>43</v>
      </c>
      <c r="I37" s="3"/>
      <c r="J37">
        <v>1</v>
      </c>
      <c r="N37" s="3" t="s">
        <v>0</v>
      </c>
      <c r="O37" s="3"/>
      <c r="P37" s="18"/>
      <c r="Q37" s="18"/>
      <c r="R37" s="18"/>
      <c r="T37" s="3" t="s">
        <v>43</v>
      </c>
      <c r="U37" s="3"/>
      <c r="V37">
        <v>1</v>
      </c>
    </row>
    <row r="38" spans="2:24" x14ac:dyDescent="0.25">
      <c r="B38" s="3" t="s">
        <v>1</v>
      </c>
      <c r="C38" s="3"/>
      <c r="D38" s="2" t="s">
        <v>38</v>
      </c>
      <c r="E38" s="2"/>
      <c r="F38" s="2"/>
      <c r="H38" s="3" t="s">
        <v>44</v>
      </c>
      <c r="I38" s="3"/>
      <c r="J38" t="s">
        <v>47</v>
      </c>
      <c r="N38" s="3" t="s">
        <v>1</v>
      </c>
      <c r="O38" s="3"/>
      <c r="P38" s="2"/>
      <c r="Q38" s="2"/>
      <c r="R38" s="2"/>
      <c r="T38" s="3" t="s">
        <v>44</v>
      </c>
      <c r="U38" s="3"/>
      <c r="V38" t="s">
        <v>47</v>
      </c>
    </row>
    <row r="39" spans="2:24" x14ac:dyDescent="0.25">
      <c r="B39" s="3" t="s">
        <v>3</v>
      </c>
      <c r="C39" s="3"/>
      <c r="D39" s="2" t="s">
        <v>32</v>
      </c>
      <c r="E39" s="2"/>
      <c r="F39" s="2"/>
      <c r="H39" s="3" t="s">
        <v>45</v>
      </c>
      <c r="I39" s="3"/>
      <c r="J39" t="s">
        <v>48</v>
      </c>
      <c r="N39" s="3" t="s">
        <v>3</v>
      </c>
      <c r="O39" s="3"/>
      <c r="P39" s="2"/>
      <c r="Q39" s="2"/>
      <c r="R39" s="2"/>
      <c r="T39" s="3" t="s">
        <v>45</v>
      </c>
      <c r="U39" s="3"/>
      <c r="V39" t="s">
        <v>48</v>
      </c>
    </row>
    <row r="40" spans="2:24" x14ac:dyDescent="0.25">
      <c r="B40" s="3" t="s">
        <v>2</v>
      </c>
      <c r="C40" s="3"/>
      <c r="D40" s="2" t="s">
        <v>39</v>
      </c>
      <c r="E40" s="2"/>
      <c r="F40" s="2"/>
      <c r="H40" s="3" t="s">
        <v>46</v>
      </c>
      <c r="I40" s="3"/>
      <c r="J40" t="s">
        <v>49</v>
      </c>
      <c r="N40" s="3" t="s">
        <v>2</v>
      </c>
      <c r="O40" s="3"/>
      <c r="P40" s="2"/>
      <c r="Q40" s="2"/>
      <c r="R40" s="2"/>
      <c r="T40" s="3" t="s">
        <v>46</v>
      </c>
      <c r="U40" s="3"/>
      <c r="V40" t="s">
        <v>49</v>
      </c>
    </row>
    <row r="42" spans="2:24" x14ac:dyDescent="0.25">
      <c r="B42" s="1"/>
      <c r="C42" s="1" t="s">
        <v>4</v>
      </c>
      <c r="D42" s="1"/>
      <c r="E42" s="1"/>
      <c r="F42" s="1"/>
      <c r="H42" s="6" t="s">
        <v>20</v>
      </c>
      <c r="I42" s="6"/>
      <c r="J42" s="6"/>
      <c r="K42" s="6"/>
      <c r="L42" s="6"/>
      <c r="N42" s="1"/>
      <c r="O42" s="1" t="s">
        <v>4</v>
      </c>
      <c r="P42" s="1"/>
      <c r="Q42" s="1"/>
      <c r="R42" s="1"/>
      <c r="T42" s="6" t="s">
        <v>20</v>
      </c>
      <c r="U42" s="6"/>
      <c r="V42" s="6"/>
      <c r="W42" s="6"/>
      <c r="X42" s="6"/>
    </row>
    <row r="43" spans="2:24" x14ac:dyDescent="0.25">
      <c r="B43" s="11" t="s">
        <v>5</v>
      </c>
      <c r="C43" s="11" t="s">
        <v>6</v>
      </c>
      <c r="D43" s="11" t="s">
        <v>7</v>
      </c>
      <c r="E43" s="12" t="s">
        <v>8</v>
      </c>
      <c r="F43" s="11" t="s">
        <v>9</v>
      </c>
      <c r="H43" s="11" t="s">
        <v>5</v>
      </c>
      <c r="I43" s="12" t="s">
        <v>21</v>
      </c>
      <c r="J43" s="12" t="s">
        <v>22</v>
      </c>
      <c r="K43" s="12" t="s">
        <v>8</v>
      </c>
      <c r="L43" s="12" t="s">
        <v>9</v>
      </c>
      <c r="N43" s="11" t="s">
        <v>5</v>
      </c>
      <c r="O43" s="11" t="s">
        <v>6</v>
      </c>
      <c r="P43" s="11" t="s">
        <v>7</v>
      </c>
      <c r="Q43" s="12" t="s">
        <v>8</v>
      </c>
      <c r="R43" s="11" t="s">
        <v>9</v>
      </c>
      <c r="T43" s="11" t="s">
        <v>5</v>
      </c>
      <c r="U43" s="12" t="s">
        <v>21</v>
      </c>
      <c r="V43" s="12" t="s">
        <v>22</v>
      </c>
      <c r="W43" s="12" t="s">
        <v>8</v>
      </c>
      <c r="X43" s="12" t="s">
        <v>9</v>
      </c>
    </row>
    <row r="44" spans="2:24" x14ac:dyDescent="0.25">
      <c r="B44" t="s">
        <v>10</v>
      </c>
      <c r="E44">
        <v>650</v>
      </c>
      <c r="F44" s="4">
        <f>C44*E44</f>
        <v>0</v>
      </c>
      <c r="K44">
        <v>111</v>
      </c>
      <c r="L44" s="4">
        <f t="shared" ref="L44:L46" si="4">-I44*K44+J44*K44</f>
        <v>0</v>
      </c>
      <c r="N44" t="s">
        <v>10</v>
      </c>
      <c r="R44" s="4">
        <f>O44*Q44</f>
        <v>0</v>
      </c>
      <c r="X44" s="4">
        <f t="shared" ref="X44:X65" si="5">-U44*W44+V44*W44</f>
        <v>0</v>
      </c>
    </row>
    <row r="45" spans="2:24" x14ac:dyDescent="0.25">
      <c r="B45" t="s">
        <v>11</v>
      </c>
      <c r="E45">
        <v>670</v>
      </c>
      <c r="F45" s="4">
        <f t="shared" ref="F45:F66" si="6">C45*E45</f>
        <v>0</v>
      </c>
      <c r="L45" s="4">
        <f t="shared" si="4"/>
        <v>0</v>
      </c>
      <c r="N45" t="s">
        <v>11</v>
      </c>
      <c r="R45" s="4">
        <f t="shared" ref="R45:R66" si="7">O45*Q45</f>
        <v>0</v>
      </c>
      <c r="X45" s="4">
        <f t="shared" si="5"/>
        <v>0</v>
      </c>
    </row>
    <row r="46" spans="2:24" x14ac:dyDescent="0.25">
      <c r="B46" t="s">
        <v>12</v>
      </c>
      <c r="E46">
        <v>973</v>
      </c>
      <c r="F46" s="4">
        <f t="shared" si="6"/>
        <v>0</v>
      </c>
      <c r="L46" s="4">
        <f t="shared" si="4"/>
        <v>0</v>
      </c>
      <c r="N46" t="s">
        <v>12</v>
      </c>
      <c r="R46" s="4">
        <f t="shared" si="7"/>
        <v>0</v>
      </c>
      <c r="X46" s="4">
        <f t="shared" si="5"/>
        <v>0</v>
      </c>
    </row>
    <row r="47" spans="2:24" x14ac:dyDescent="0.25">
      <c r="B47" t="s">
        <v>13</v>
      </c>
      <c r="E47">
        <v>622</v>
      </c>
      <c r="F47" s="4">
        <f t="shared" si="6"/>
        <v>0</v>
      </c>
      <c r="K47">
        <v>4.5</v>
      </c>
      <c r="L47" s="4">
        <f>-I47*K47+J47*K47</f>
        <v>0</v>
      </c>
      <c r="N47" t="s">
        <v>13</v>
      </c>
      <c r="R47" s="4">
        <f t="shared" si="7"/>
        <v>0</v>
      </c>
      <c r="X47" s="4">
        <f t="shared" si="5"/>
        <v>0</v>
      </c>
    </row>
    <row r="48" spans="2:24" x14ac:dyDescent="0.25">
      <c r="B48" t="s">
        <v>14</v>
      </c>
      <c r="E48">
        <v>912</v>
      </c>
      <c r="F48" s="4">
        <f t="shared" si="6"/>
        <v>0</v>
      </c>
      <c r="L48" s="4">
        <f t="shared" ref="L48:L65" si="8">-I48*K48+J48*K48</f>
        <v>0</v>
      </c>
      <c r="N48" t="s">
        <v>14</v>
      </c>
      <c r="R48" s="4">
        <f t="shared" si="7"/>
        <v>0</v>
      </c>
      <c r="X48" s="4">
        <f t="shared" si="5"/>
        <v>0</v>
      </c>
    </row>
    <row r="49" spans="2:24" x14ac:dyDescent="0.25">
      <c r="B49" t="s">
        <v>15</v>
      </c>
      <c r="F49" s="4">
        <f t="shared" si="6"/>
        <v>0</v>
      </c>
      <c r="L49" s="4">
        <f t="shared" si="8"/>
        <v>0</v>
      </c>
      <c r="N49" t="s">
        <v>15</v>
      </c>
      <c r="R49" s="4">
        <f t="shared" si="7"/>
        <v>0</v>
      </c>
      <c r="X49" s="4">
        <f t="shared" si="5"/>
        <v>0</v>
      </c>
    </row>
    <row r="50" spans="2:24" x14ac:dyDescent="0.25">
      <c r="B50" t="s">
        <v>16</v>
      </c>
      <c r="E50">
        <v>872</v>
      </c>
      <c r="F50" s="4">
        <f t="shared" si="6"/>
        <v>0</v>
      </c>
      <c r="L50" s="4">
        <f t="shared" si="8"/>
        <v>0</v>
      </c>
      <c r="N50" t="s">
        <v>16</v>
      </c>
      <c r="R50" s="4">
        <f t="shared" si="7"/>
        <v>0</v>
      </c>
      <c r="X50" s="4">
        <f t="shared" si="5"/>
        <v>0</v>
      </c>
    </row>
    <row r="51" spans="2:24" x14ac:dyDescent="0.25">
      <c r="B51" t="s">
        <v>17</v>
      </c>
      <c r="E51">
        <v>229</v>
      </c>
      <c r="F51" s="4">
        <f t="shared" si="6"/>
        <v>0</v>
      </c>
      <c r="K51">
        <v>42</v>
      </c>
      <c r="L51" s="4">
        <f t="shared" si="8"/>
        <v>0</v>
      </c>
      <c r="N51" t="s">
        <v>17</v>
      </c>
      <c r="R51" s="4">
        <f t="shared" si="7"/>
        <v>0</v>
      </c>
      <c r="X51" s="4">
        <f t="shared" si="5"/>
        <v>0</v>
      </c>
    </row>
    <row r="52" spans="2:24" x14ac:dyDescent="0.25">
      <c r="B52" t="s">
        <v>18</v>
      </c>
      <c r="E52">
        <v>500</v>
      </c>
      <c r="F52" s="4">
        <f t="shared" si="6"/>
        <v>0</v>
      </c>
      <c r="L52" s="4">
        <f t="shared" si="8"/>
        <v>0</v>
      </c>
      <c r="N52" t="s">
        <v>18</v>
      </c>
      <c r="R52" s="4">
        <f t="shared" si="7"/>
        <v>0</v>
      </c>
      <c r="X52" s="4">
        <f t="shared" si="5"/>
        <v>0</v>
      </c>
    </row>
    <row r="53" spans="2:24" x14ac:dyDescent="0.25">
      <c r="B53" t="s">
        <v>26</v>
      </c>
      <c r="E53">
        <v>650</v>
      </c>
      <c r="F53" s="4">
        <f t="shared" si="6"/>
        <v>0</v>
      </c>
      <c r="L53" s="4">
        <f t="shared" si="8"/>
        <v>0</v>
      </c>
      <c r="N53" t="s">
        <v>26</v>
      </c>
      <c r="R53" s="4">
        <f t="shared" si="7"/>
        <v>0</v>
      </c>
      <c r="X53" s="4">
        <f t="shared" si="5"/>
        <v>0</v>
      </c>
    </row>
    <row r="54" spans="2:24" x14ac:dyDescent="0.25">
      <c r="B54" s="20" t="s">
        <v>41</v>
      </c>
      <c r="E54">
        <v>1175</v>
      </c>
      <c r="F54" s="4">
        <f t="shared" si="6"/>
        <v>0</v>
      </c>
      <c r="L54" s="4">
        <f t="shared" si="8"/>
        <v>0</v>
      </c>
      <c r="R54" s="4">
        <f t="shared" si="7"/>
        <v>0</v>
      </c>
      <c r="X54" s="4">
        <f t="shared" si="5"/>
        <v>0</v>
      </c>
    </row>
    <row r="55" spans="2:24" x14ac:dyDescent="0.25">
      <c r="B55" t="s">
        <v>40</v>
      </c>
      <c r="E55">
        <v>700</v>
      </c>
      <c r="F55" s="4">
        <f t="shared" si="6"/>
        <v>0</v>
      </c>
      <c r="L55" s="4">
        <f t="shared" si="8"/>
        <v>0</v>
      </c>
      <c r="R55" s="4">
        <f t="shared" si="7"/>
        <v>0</v>
      </c>
      <c r="X55" s="4">
        <f t="shared" si="5"/>
        <v>0</v>
      </c>
    </row>
    <row r="56" spans="2:24" x14ac:dyDescent="0.25">
      <c r="F56" s="4">
        <f t="shared" si="6"/>
        <v>0</v>
      </c>
      <c r="L56" s="4">
        <f t="shared" si="8"/>
        <v>0</v>
      </c>
      <c r="R56" s="4">
        <f t="shared" si="7"/>
        <v>0</v>
      </c>
      <c r="X56" s="4">
        <f t="shared" si="5"/>
        <v>0</v>
      </c>
    </row>
    <row r="57" spans="2:24" x14ac:dyDescent="0.25">
      <c r="F57" s="4">
        <f t="shared" si="6"/>
        <v>0</v>
      </c>
      <c r="L57" s="4">
        <f t="shared" si="8"/>
        <v>0</v>
      </c>
      <c r="R57" s="4">
        <f t="shared" si="7"/>
        <v>0</v>
      </c>
      <c r="X57" s="4">
        <f t="shared" si="5"/>
        <v>0</v>
      </c>
    </row>
    <row r="58" spans="2:24" x14ac:dyDescent="0.25">
      <c r="F58" s="4">
        <f t="shared" si="6"/>
        <v>0</v>
      </c>
      <c r="L58" s="4">
        <f t="shared" si="8"/>
        <v>0</v>
      </c>
      <c r="R58" s="4">
        <f t="shared" si="7"/>
        <v>0</v>
      </c>
      <c r="X58" s="4">
        <f t="shared" si="5"/>
        <v>0</v>
      </c>
    </row>
    <row r="59" spans="2:24" x14ac:dyDescent="0.25">
      <c r="F59" s="4">
        <f t="shared" si="6"/>
        <v>0</v>
      </c>
      <c r="L59" s="4">
        <f t="shared" si="8"/>
        <v>0</v>
      </c>
      <c r="R59" s="4">
        <f t="shared" si="7"/>
        <v>0</v>
      </c>
      <c r="X59" s="4">
        <f t="shared" si="5"/>
        <v>0</v>
      </c>
    </row>
    <row r="60" spans="2:24" x14ac:dyDescent="0.25">
      <c r="F60" s="4">
        <f t="shared" si="6"/>
        <v>0</v>
      </c>
      <c r="L60" s="4">
        <f t="shared" si="8"/>
        <v>0</v>
      </c>
      <c r="R60" s="4">
        <f t="shared" si="7"/>
        <v>0</v>
      </c>
      <c r="X60" s="4">
        <f t="shared" si="5"/>
        <v>0</v>
      </c>
    </row>
    <row r="61" spans="2:24" x14ac:dyDescent="0.25">
      <c r="F61" s="4">
        <f t="shared" si="6"/>
        <v>0</v>
      </c>
      <c r="L61" s="4">
        <f t="shared" si="8"/>
        <v>0</v>
      </c>
      <c r="R61" s="4">
        <f t="shared" si="7"/>
        <v>0</v>
      </c>
      <c r="X61" s="4">
        <f t="shared" si="5"/>
        <v>0</v>
      </c>
    </row>
    <row r="62" spans="2:24" x14ac:dyDescent="0.25">
      <c r="F62" s="4">
        <f t="shared" si="6"/>
        <v>0</v>
      </c>
      <c r="L62" s="4">
        <f t="shared" si="8"/>
        <v>0</v>
      </c>
      <c r="R62" s="4">
        <f t="shared" si="7"/>
        <v>0</v>
      </c>
      <c r="X62" s="4">
        <f t="shared" si="5"/>
        <v>0</v>
      </c>
    </row>
    <row r="63" spans="2:24" x14ac:dyDescent="0.25">
      <c r="F63" s="4">
        <f t="shared" si="6"/>
        <v>0</v>
      </c>
      <c r="L63" s="4">
        <f t="shared" si="8"/>
        <v>0</v>
      </c>
      <c r="R63" s="4">
        <f t="shared" si="7"/>
        <v>0</v>
      </c>
      <c r="X63" s="4">
        <f t="shared" si="5"/>
        <v>0</v>
      </c>
    </row>
    <row r="64" spans="2:24" x14ac:dyDescent="0.25">
      <c r="F64" s="4">
        <f t="shared" si="6"/>
        <v>0</v>
      </c>
      <c r="L64" s="4">
        <f t="shared" si="8"/>
        <v>0</v>
      </c>
      <c r="R64" s="4">
        <f t="shared" si="7"/>
        <v>0</v>
      </c>
      <c r="X64" s="4">
        <f t="shared" si="5"/>
        <v>0</v>
      </c>
    </row>
    <row r="65" spans="2:24" x14ac:dyDescent="0.25">
      <c r="F65" s="4">
        <f t="shared" si="6"/>
        <v>0</v>
      </c>
      <c r="L65" s="4">
        <f t="shared" si="8"/>
        <v>0</v>
      </c>
      <c r="R65" s="4">
        <f t="shared" si="7"/>
        <v>0</v>
      </c>
      <c r="X65" s="4">
        <f t="shared" si="5"/>
        <v>0</v>
      </c>
    </row>
    <row r="66" spans="2:24" x14ac:dyDescent="0.25">
      <c r="F66" s="4">
        <f t="shared" si="6"/>
        <v>0</v>
      </c>
      <c r="H66" s="9" t="s">
        <v>23</v>
      </c>
      <c r="I66" s="9"/>
      <c r="J66" s="9"/>
      <c r="K66" s="9"/>
      <c r="L66" s="15">
        <f>SUM(L44:L65)</f>
        <v>0</v>
      </c>
      <c r="R66" s="4">
        <f t="shared" si="7"/>
        <v>0</v>
      </c>
      <c r="T66" s="9" t="s">
        <v>23</v>
      </c>
      <c r="U66" s="9"/>
      <c r="V66" s="9"/>
      <c r="W66" s="9"/>
      <c r="X66" s="15">
        <f>SUM(X44:X65)</f>
        <v>0</v>
      </c>
    </row>
    <row r="67" spans="2:24" x14ac:dyDescent="0.25">
      <c r="B67" s="13" t="s">
        <v>28</v>
      </c>
      <c r="C67" s="13"/>
      <c r="D67" s="14"/>
      <c r="E67" s="14"/>
      <c r="F67" s="10">
        <f>-D67*E67</f>
        <v>0</v>
      </c>
      <c r="H67" s="9" t="s">
        <v>24</v>
      </c>
      <c r="I67" s="9"/>
      <c r="J67" s="9"/>
      <c r="K67" s="9"/>
      <c r="L67" s="8">
        <f>SUM(F68)</f>
        <v>0</v>
      </c>
      <c r="N67" s="13" t="s">
        <v>28</v>
      </c>
      <c r="O67" s="13"/>
      <c r="P67" s="14"/>
      <c r="Q67" s="14"/>
      <c r="R67" s="10">
        <f>-P67*Q67</f>
        <v>0</v>
      </c>
      <c r="T67" s="9" t="s">
        <v>24</v>
      </c>
      <c r="U67" s="9"/>
      <c r="V67" s="9"/>
      <c r="W67" s="9"/>
      <c r="X67" s="8">
        <f>SUM(R68)</f>
        <v>0</v>
      </c>
    </row>
    <row r="68" spans="2:24" x14ac:dyDescent="0.25">
      <c r="B68" s="7" t="s">
        <v>19</v>
      </c>
      <c r="C68" s="7"/>
      <c r="D68" s="7"/>
      <c r="E68" s="7"/>
      <c r="F68" s="21">
        <f>SUM(F44:F67)</f>
        <v>0</v>
      </c>
      <c r="H68" s="9" t="s">
        <v>25</v>
      </c>
      <c r="I68" s="9"/>
      <c r="J68" s="9"/>
      <c r="K68" s="9"/>
      <c r="L68" s="22">
        <f>SUM(L67+L66)</f>
        <v>0</v>
      </c>
      <c r="N68" s="7" t="s">
        <v>19</v>
      </c>
      <c r="O68" s="7"/>
      <c r="P68" s="7"/>
      <c r="Q68" s="7"/>
      <c r="R68" s="21">
        <f>SUM(R44:R67)</f>
        <v>0</v>
      </c>
      <c r="T68" s="9" t="s">
        <v>25</v>
      </c>
      <c r="U68" s="9"/>
      <c r="V68" s="9"/>
      <c r="W68" s="9"/>
      <c r="X68" s="22">
        <f>SUM(X67+X66)</f>
        <v>0</v>
      </c>
    </row>
  </sheetData>
  <mergeCells count="72">
    <mergeCell ref="B68:E68"/>
    <mergeCell ref="H68:K68"/>
    <mergeCell ref="N68:Q68"/>
    <mergeCell ref="T68:W68"/>
    <mergeCell ref="H42:L42"/>
    <mergeCell ref="T42:X42"/>
    <mergeCell ref="H66:K66"/>
    <mergeCell ref="T66:W66"/>
    <mergeCell ref="B67:C67"/>
    <mergeCell ref="H67:K67"/>
    <mergeCell ref="N67:O67"/>
    <mergeCell ref="T67:W67"/>
    <mergeCell ref="B40:C40"/>
    <mergeCell ref="D40:F40"/>
    <mergeCell ref="H40:I40"/>
    <mergeCell ref="N40:O40"/>
    <mergeCell ref="P40:R40"/>
    <mergeCell ref="T40:U40"/>
    <mergeCell ref="B39:C39"/>
    <mergeCell ref="D39:F39"/>
    <mergeCell ref="H39:I39"/>
    <mergeCell ref="N39:O39"/>
    <mergeCell ref="P39:R39"/>
    <mergeCell ref="T39:U39"/>
    <mergeCell ref="B38:C38"/>
    <mergeCell ref="D38:F38"/>
    <mergeCell ref="H38:I38"/>
    <mergeCell ref="N38:O38"/>
    <mergeCell ref="P38:R38"/>
    <mergeCell ref="T38:U38"/>
    <mergeCell ref="B34:E34"/>
    <mergeCell ref="H34:K34"/>
    <mergeCell ref="N34:Q34"/>
    <mergeCell ref="T34:W34"/>
    <mergeCell ref="B37:C37"/>
    <mergeCell ref="D37:F37"/>
    <mergeCell ref="H37:I37"/>
    <mergeCell ref="N37:O37"/>
    <mergeCell ref="P37:R37"/>
    <mergeCell ref="T37:U37"/>
    <mergeCell ref="H8:L8"/>
    <mergeCell ref="T8:X8"/>
    <mergeCell ref="H32:K32"/>
    <mergeCell ref="T32:W32"/>
    <mergeCell ref="B33:C33"/>
    <mergeCell ref="H33:K33"/>
    <mergeCell ref="N33:O33"/>
    <mergeCell ref="T33:W33"/>
    <mergeCell ref="B6:C6"/>
    <mergeCell ref="D6:F6"/>
    <mergeCell ref="H6:I6"/>
    <mergeCell ref="N6:O6"/>
    <mergeCell ref="P6:R6"/>
    <mergeCell ref="T6:U6"/>
    <mergeCell ref="B5:C5"/>
    <mergeCell ref="D5:F5"/>
    <mergeCell ref="H5:I5"/>
    <mergeCell ref="N5:O5"/>
    <mergeCell ref="P5:R5"/>
    <mergeCell ref="T5:U5"/>
    <mergeCell ref="B4:C4"/>
    <mergeCell ref="D4:F4"/>
    <mergeCell ref="H4:I4"/>
    <mergeCell ref="N4:O4"/>
    <mergeCell ref="P4:R4"/>
    <mergeCell ref="T4:U4"/>
    <mergeCell ref="B3:C3"/>
    <mergeCell ref="D3:F3"/>
    <mergeCell ref="H3:I3"/>
    <mergeCell ref="N3:O3"/>
    <mergeCell ref="P3:R3"/>
    <mergeCell ref="T3:U3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73E9-87D5-4F33-912C-1B13D496EDFB}">
  <dimension ref="B1:AF170"/>
  <sheetViews>
    <sheetView zoomScaleNormal="100" workbookViewId="0">
      <selection activeCell="B2" sqref="B2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  <col min="33" max="33" width="2.28515625" customWidth="1"/>
    <col min="35" max="35" width="2.28515625" customWidth="1"/>
  </cols>
  <sheetData>
    <row r="1" spans="2:32" ht="18.75" x14ac:dyDescent="0.3">
      <c r="B1" s="17" t="s">
        <v>29</v>
      </c>
      <c r="C1" s="16"/>
      <c r="D1" s="16"/>
      <c r="E1" s="16"/>
      <c r="F1" s="16"/>
      <c r="G1" s="16"/>
      <c r="H1" s="16"/>
      <c r="I1" s="16"/>
      <c r="J1" s="16"/>
      <c r="K1" s="16"/>
      <c r="L1" s="16"/>
      <c r="N1" s="17" t="s">
        <v>29</v>
      </c>
      <c r="O1" s="16"/>
      <c r="P1" s="16"/>
      <c r="Q1" s="16"/>
      <c r="R1" s="16"/>
      <c r="S1" s="16"/>
      <c r="T1" s="16"/>
      <c r="U1" s="16"/>
      <c r="V1" s="16"/>
      <c r="W1" s="16"/>
      <c r="X1" s="16"/>
      <c r="Z1" s="23" t="s">
        <v>9</v>
      </c>
      <c r="AB1" s="24" t="s">
        <v>27</v>
      </c>
      <c r="AD1" s="25" t="s">
        <v>76</v>
      </c>
      <c r="AF1" s="26" t="s">
        <v>77</v>
      </c>
    </row>
    <row r="3" spans="2:32" x14ac:dyDescent="0.25">
      <c r="B3" s="3" t="s">
        <v>0</v>
      </c>
      <c r="C3" s="3"/>
      <c r="D3" s="18" t="s">
        <v>53</v>
      </c>
      <c r="E3" s="18"/>
      <c r="F3" s="18"/>
      <c r="H3" s="3" t="s">
        <v>43</v>
      </c>
      <c r="I3" s="3"/>
      <c r="J3">
        <v>2</v>
      </c>
      <c r="N3" s="3" t="s">
        <v>0</v>
      </c>
      <c r="O3" s="3"/>
      <c r="P3" s="18" t="s">
        <v>56</v>
      </c>
      <c r="Q3" s="18"/>
      <c r="R3" s="18"/>
      <c r="T3" s="3" t="s">
        <v>43</v>
      </c>
      <c r="U3" s="3"/>
      <c r="V3">
        <v>2</v>
      </c>
      <c r="Z3" s="28">
        <f>F34+R34+F68+R68+F102+R102+F136+R136+F170</f>
        <v>0</v>
      </c>
      <c r="AA3" s="27"/>
      <c r="AB3" s="27">
        <f>F101</f>
        <v>0</v>
      </c>
      <c r="AC3" s="27"/>
      <c r="AD3" s="27"/>
      <c r="AF3" s="5">
        <f>L34+X34+L68+X68+L102+X102+L136+X136+L170</f>
        <v>0</v>
      </c>
    </row>
    <row r="4" spans="2:32" x14ac:dyDescent="0.25">
      <c r="B4" s="3" t="s">
        <v>1</v>
      </c>
      <c r="C4" s="3"/>
      <c r="D4" s="2" t="s">
        <v>54</v>
      </c>
      <c r="E4" s="2"/>
      <c r="F4" s="2"/>
      <c r="H4" s="3" t="s">
        <v>44</v>
      </c>
      <c r="I4" s="3"/>
      <c r="J4" t="s">
        <v>50</v>
      </c>
      <c r="N4" s="3" t="s">
        <v>1</v>
      </c>
      <c r="O4" s="3"/>
      <c r="P4" s="2" t="s">
        <v>57</v>
      </c>
      <c r="Q4" s="2"/>
      <c r="R4" s="2"/>
      <c r="T4" s="3" t="s">
        <v>44</v>
      </c>
      <c r="U4" s="3"/>
      <c r="V4" t="s">
        <v>50</v>
      </c>
      <c r="Z4" s="27"/>
      <c r="AA4" s="27"/>
      <c r="AB4" s="27"/>
      <c r="AC4" s="27"/>
      <c r="AD4" s="27"/>
    </row>
    <row r="5" spans="2:32" x14ac:dyDescent="0.25">
      <c r="B5" s="3" t="s">
        <v>3</v>
      </c>
      <c r="C5" s="3"/>
      <c r="D5" s="19" t="s">
        <v>32</v>
      </c>
      <c r="E5" s="19"/>
      <c r="F5" s="19"/>
      <c r="H5" s="3" t="s">
        <v>45</v>
      </c>
      <c r="I5" s="3"/>
      <c r="J5" t="s">
        <v>51</v>
      </c>
      <c r="N5" s="3" t="s">
        <v>3</v>
      </c>
      <c r="O5" s="3"/>
      <c r="P5" s="2" t="s">
        <v>58</v>
      </c>
      <c r="Q5" s="2"/>
      <c r="R5" s="2"/>
      <c r="T5" s="3" t="s">
        <v>45</v>
      </c>
      <c r="U5" s="3"/>
      <c r="V5" t="s">
        <v>51</v>
      </c>
      <c r="Z5" s="27"/>
      <c r="AA5" s="27"/>
      <c r="AB5" s="27"/>
      <c r="AC5" s="27"/>
      <c r="AD5" s="27"/>
    </row>
    <row r="6" spans="2:32" x14ac:dyDescent="0.25">
      <c r="B6" s="3" t="s">
        <v>2</v>
      </c>
      <c r="C6" s="3"/>
      <c r="D6" s="2" t="s">
        <v>55</v>
      </c>
      <c r="E6" s="2"/>
      <c r="F6" s="2"/>
      <c r="H6" s="3" t="s">
        <v>46</v>
      </c>
      <c r="I6" s="3"/>
      <c r="J6" t="s">
        <v>52</v>
      </c>
      <c r="N6" s="3" t="s">
        <v>2</v>
      </c>
      <c r="O6" s="3"/>
      <c r="P6" s="2" t="s">
        <v>55</v>
      </c>
      <c r="Q6" s="2"/>
      <c r="R6" s="2"/>
      <c r="T6" s="3" t="s">
        <v>46</v>
      </c>
      <c r="U6" s="3"/>
      <c r="V6" t="s">
        <v>52</v>
      </c>
      <c r="Z6" s="27"/>
      <c r="AA6" s="27"/>
      <c r="AB6" s="27"/>
      <c r="AC6" s="27"/>
      <c r="AD6" s="27"/>
    </row>
    <row r="8" spans="2:32" x14ac:dyDescent="0.25">
      <c r="B8" s="1"/>
      <c r="C8" s="1" t="s">
        <v>4</v>
      </c>
      <c r="D8" s="1"/>
      <c r="E8" s="1"/>
      <c r="F8" s="1"/>
      <c r="H8" s="6" t="s">
        <v>20</v>
      </c>
      <c r="I8" s="6"/>
      <c r="J8" s="6"/>
      <c r="K8" s="6"/>
      <c r="L8" s="6"/>
      <c r="N8" s="1"/>
      <c r="O8" s="1" t="s">
        <v>4</v>
      </c>
      <c r="P8" s="1"/>
      <c r="Q8" s="1"/>
      <c r="R8" s="1"/>
      <c r="T8" s="6" t="s">
        <v>20</v>
      </c>
      <c r="U8" s="6"/>
      <c r="V8" s="6"/>
      <c r="W8" s="6"/>
      <c r="X8" s="6"/>
    </row>
    <row r="9" spans="2:32" x14ac:dyDescent="0.25">
      <c r="B9" s="11" t="s">
        <v>5</v>
      </c>
      <c r="C9" s="11" t="s">
        <v>6</v>
      </c>
      <c r="D9" s="11" t="s">
        <v>7</v>
      </c>
      <c r="E9" s="12" t="s">
        <v>8</v>
      </c>
      <c r="F9" s="11" t="s">
        <v>9</v>
      </c>
      <c r="H9" s="11" t="s">
        <v>5</v>
      </c>
      <c r="I9" s="12" t="s">
        <v>21</v>
      </c>
      <c r="J9" s="12" t="s">
        <v>22</v>
      </c>
      <c r="K9" s="12" t="s">
        <v>8</v>
      </c>
      <c r="L9" s="12" t="s">
        <v>9</v>
      </c>
      <c r="N9" s="11" t="s">
        <v>5</v>
      </c>
      <c r="O9" s="11" t="s">
        <v>6</v>
      </c>
      <c r="P9" s="11" t="s">
        <v>7</v>
      </c>
      <c r="Q9" s="12" t="s">
        <v>8</v>
      </c>
      <c r="R9" s="11" t="s">
        <v>9</v>
      </c>
      <c r="T9" s="11" t="s">
        <v>5</v>
      </c>
      <c r="U9" s="12" t="s">
        <v>21</v>
      </c>
      <c r="V9" s="12" t="s">
        <v>22</v>
      </c>
      <c r="W9" s="12" t="s">
        <v>8</v>
      </c>
      <c r="X9" s="12" t="s">
        <v>9</v>
      </c>
    </row>
    <row r="10" spans="2:32" x14ac:dyDescent="0.25">
      <c r="B10" t="s">
        <v>10</v>
      </c>
      <c r="E10">
        <v>650</v>
      </c>
      <c r="F10" s="4">
        <f>C10*E10</f>
        <v>0</v>
      </c>
      <c r="L10" s="4">
        <f t="shared" ref="L10:L32" si="0">-I10*K10+J10*K10</f>
        <v>0</v>
      </c>
      <c r="N10" t="s">
        <v>10</v>
      </c>
      <c r="Q10">
        <v>650</v>
      </c>
      <c r="R10" s="4">
        <f>O10*Q10</f>
        <v>0</v>
      </c>
      <c r="X10" s="4">
        <f t="shared" ref="X10:X31" si="1">-U10*W10+V10*W10</f>
        <v>0</v>
      </c>
    </row>
    <row r="11" spans="2:32" x14ac:dyDescent="0.25">
      <c r="B11" t="s">
        <v>11</v>
      </c>
      <c r="E11">
        <v>670</v>
      </c>
      <c r="F11" s="4">
        <f t="shared" ref="F11:F32" si="2">C11*E11</f>
        <v>0</v>
      </c>
      <c r="L11" s="4">
        <f t="shared" si="0"/>
        <v>0</v>
      </c>
      <c r="N11" t="s">
        <v>11</v>
      </c>
      <c r="R11" s="4">
        <f t="shared" ref="R11:R32" si="3">O11*Q11</f>
        <v>0</v>
      </c>
      <c r="X11" s="4">
        <f t="shared" si="1"/>
        <v>0</v>
      </c>
    </row>
    <row r="12" spans="2:32" x14ac:dyDescent="0.25">
      <c r="B12" t="s">
        <v>12</v>
      </c>
      <c r="F12" s="4">
        <f t="shared" si="2"/>
        <v>0</v>
      </c>
      <c r="L12" s="4">
        <f t="shared" si="0"/>
        <v>0</v>
      </c>
      <c r="N12" t="s">
        <v>12</v>
      </c>
      <c r="R12" s="4">
        <f t="shared" si="3"/>
        <v>0</v>
      </c>
      <c r="X12" s="4">
        <f t="shared" si="1"/>
        <v>0</v>
      </c>
    </row>
    <row r="13" spans="2:32" x14ac:dyDescent="0.25">
      <c r="B13" t="s">
        <v>13</v>
      </c>
      <c r="E13">
        <v>622</v>
      </c>
      <c r="F13" s="4">
        <f t="shared" si="2"/>
        <v>0</v>
      </c>
      <c r="L13" s="4">
        <f t="shared" si="0"/>
        <v>0</v>
      </c>
      <c r="N13" t="s">
        <v>13</v>
      </c>
      <c r="Q13">
        <v>622</v>
      </c>
      <c r="R13" s="4">
        <f t="shared" si="3"/>
        <v>0</v>
      </c>
      <c r="X13" s="4">
        <f t="shared" si="1"/>
        <v>0</v>
      </c>
    </row>
    <row r="14" spans="2:32" x14ac:dyDescent="0.25">
      <c r="B14" t="s">
        <v>14</v>
      </c>
      <c r="F14" s="4">
        <f t="shared" si="2"/>
        <v>0</v>
      </c>
      <c r="L14" s="4">
        <f t="shared" si="0"/>
        <v>0</v>
      </c>
      <c r="N14" t="s">
        <v>14</v>
      </c>
      <c r="R14" s="4">
        <f t="shared" si="3"/>
        <v>0</v>
      </c>
      <c r="X14" s="4">
        <f t="shared" si="1"/>
        <v>0</v>
      </c>
    </row>
    <row r="15" spans="2:32" x14ac:dyDescent="0.25">
      <c r="B15" t="s">
        <v>15</v>
      </c>
      <c r="F15" s="4">
        <f t="shared" si="2"/>
        <v>0</v>
      </c>
      <c r="L15" s="4">
        <f t="shared" si="0"/>
        <v>0</v>
      </c>
      <c r="N15" t="s">
        <v>15</v>
      </c>
      <c r="R15" s="4">
        <f t="shared" si="3"/>
        <v>0</v>
      </c>
      <c r="X15" s="4">
        <f t="shared" si="1"/>
        <v>0</v>
      </c>
    </row>
    <row r="16" spans="2:32" x14ac:dyDescent="0.25">
      <c r="B16" t="s">
        <v>16</v>
      </c>
      <c r="F16" s="4">
        <f t="shared" si="2"/>
        <v>0</v>
      </c>
      <c r="L16" s="4">
        <f t="shared" si="0"/>
        <v>0</v>
      </c>
      <c r="N16" t="s">
        <v>16</v>
      </c>
      <c r="R16" s="4">
        <f t="shared" si="3"/>
        <v>0</v>
      </c>
      <c r="X16" s="4">
        <f t="shared" si="1"/>
        <v>0</v>
      </c>
    </row>
    <row r="17" spans="2:24" x14ac:dyDescent="0.25">
      <c r="B17" t="s">
        <v>17</v>
      </c>
      <c r="E17">
        <v>9.5</v>
      </c>
      <c r="F17" s="4">
        <f t="shared" si="2"/>
        <v>0</v>
      </c>
      <c r="L17" s="4">
        <f t="shared" si="0"/>
        <v>0</v>
      </c>
      <c r="N17" t="s">
        <v>17</v>
      </c>
      <c r="Q17">
        <v>9.5</v>
      </c>
      <c r="R17" s="4">
        <f t="shared" si="3"/>
        <v>0</v>
      </c>
      <c r="X17" s="4">
        <f t="shared" si="1"/>
        <v>0</v>
      </c>
    </row>
    <row r="18" spans="2:24" x14ac:dyDescent="0.25">
      <c r="B18" t="s">
        <v>18</v>
      </c>
      <c r="E18">
        <v>500</v>
      </c>
      <c r="F18" s="4">
        <f t="shared" si="2"/>
        <v>0</v>
      </c>
      <c r="L18" s="4">
        <f t="shared" si="0"/>
        <v>0</v>
      </c>
      <c r="N18" t="s">
        <v>18</v>
      </c>
      <c r="Q18">
        <v>500</v>
      </c>
      <c r="R18" s="4">
        <f t="shared" si="3"/>
        <v>0</v>
      </c>
      <c r="X18" s="4">
        <f t="shared" si="1"/>
        <v>0</v>
      </c>
    </row>
    <row r="19" spans="2:24" x14ac:dyDescent="0.25">
      <c r="B19" t="s">
        <v>26</v>
      </c>
      <c r="E19">
        <v>650</v>
      </c>
      <c r="F19" s="4">
        <f t="shared" si="2"/>
        <v>0</v>
      </c>
      <c r="L19" s="4">
        <f t="shared" si="0"/>
        <v>0</v>
      </c>
      <c r="N19" t="s">
        <v>26</v>
      </c>
      <c r="Q19">
        <v>650</v>
      </c>
      <c r="R19" s="4">
        <f t="shared" si="3"/>
        <v>0</v>
      </c>
      <c r="X19" s="4">
        <f t="shared" si="1"/>
        <v>0</v>
      </c>
    </row>
    <row r="20" spans="2:24" x14ac:dyDescent="0.25">
      <c r="F20" s="4">
        <f t="shared" si="2"/>
        <v>0</v>
      </c>
      <c r="L20" s="4">
        <f t="shared" si="0"/>
        <v>0</v>
      </c>
      <c r="R20" s="4">
        <f t="shared" si="3"/>
        <v>0</v>
      </c>
      <c r="X20" s="4">
        <f t="shared" si="1"/>
        <v>0</v>
      </c>
    </row>
    <row r="21" spans="2:24" x14ac:dyDescent="0.25">
      <c r="F21" s="4">
        <f t="shared" si="2"/>
        <v>0</v>
      </c>
      <c r="L21" s="4">
        <f t="shared" si="0"/>
        <v>0</v>
      </c>
      <c r="R21" s="4">
        <f t="shared" si="3"/>
        <v>0</v>
      </c>
      <c r="X21" s="4">
        <f t="shared" si="1"/>
        <v>0</v>
      </c>
    </row>
    <row r="22" spans="2:24" x14ac:dyDescent="0.25">
      <c r="F22" s="4">
        <f t="shared" si="2"/>
        <v>0</v>
      </c>
      <c r="L22" s="4">
        <f t="shared" si="0"/>
        <v>0</v>
      </c>
      <c r="R22" s="4">
        <f t="shared" si="3"/>
        <v>0</v>
      </c>
      <c r="X22" s="4">
        <f t="shared" si="1"/>
        <v>0</v>
      </c>
    </row>
    <row r="23" spans="2:24" x14ac:dyDescent="0.25">
      <c r="F23" s="4">
        <f t="shared" si="2"/>
        <v>0</v>
      </c>
      <c r="L23" s="4">
        <f t="shared" si="0"/>
        <v>0</v>
      </c>
      <c r="R23" s="4">
        <f t="shared" si="3"/>
        <v>0</v>
      </c>
      <c r="X23" s="4">
        <f t="shared" si="1"/>
        <v>0</v>
      </c>
    </row>
    <row r="24" spans="2:24" x14ac:dyDescent="0.25">
      <c r="F24" s="4">
        <f t="shared" si="2"/>
        <v>0</v>
      </c>
      <c r="L24" s="4">
        <f t="shared" si="0"/>
        <v>0</v>
      </c>
      <c r="R24" s="4">
        <f t="shared" si="3"/>
        <v>0</v>
      </c>
      <c r="X24" s="4">
        <f t="shared" si="1"/>
        <v>0</v>
      </c>
    </row>
    <row r="25" spans="2:24" x14ac:dyDescent="0.25">
      <c r="F25" s="4">
        <f t="shared" si="2"/>
        <v>0</v>
      </c>
      <c r="L25" s="4">
        <f t="shared" si="0"/>
        <v>0</v>
      </c>
      <c r="R25" s="4">
        <f t="shared" si="3"/>
        <v>0</v>
      </c>
      <c r="X25" s="4">
        <f t="shared" si="1"/>
        <v>0</v>
      </c>
    </row>
    <row r="26" spans="2:24" x14ac:dyDescent="0.25">
      <c r="F26" s="4">
        <f t="shared" si="2"/>
        <v>0</v>
      </c>
      <c r="L26" s="4">
        <f t="shared" si="0"/>
        <v>0</v>
      </c>
      <c r="R26" s="4">
        <f t="shared" si="3"/>
        <v>0</v>
      </c>
      <c r="X26" s="4">
        <f t="shared" si="1"/>
        <v>0</v>
      </c>
    </row>
    <row r="27" spans="2:24" x14ac:dyDescent="0.25">
      <c r="F27" s="4">
        <f t="shared" si="2"/>
        <v>0</v>
      </c>
      <c r="L27" s="4">
        <f t="shared" si="0"/>
        <v>0</v>
      </c>
      <c r="R27" s="4">
        <f t="shared" si="3"/>
        <v>0</v>
      </c>
      <c r="X27" s="4">
        <f t="shared" si="1"/>
        <v>0</v>
      </c>
    </row>
    <row r="28" spans="2:24" x14ac:dyDescent="0.25">
      <c r="F28" s="4">
        <f t="shared" si="2"/>
        <v>0</v>
      </c>
      <c r="L28" s="4">
        <f t="shared" si="0"/>
        <v>0</v>
      </c>
      <c r="R28" s="4">
        <f t="shared" si="3"/>
        <v>0</v>
      </c>
      <c r="X28" s="4">
        <f t="shared" si="1"/>
        <v>0</v>
      </c>
    </row>
    <row r="29" spans="2:24" x14ac:dyDescent="0.25">
      <c r="F29" s="4">
        <f t="shared" si="2"/>
        <v>0</v>
      </c>
      <c r="L29" s="4">
        <f t="shared" si="0"/>
        <v>0</v>
      </c>
      <c r="R29" s="4">
        <f t="shared" si="3"/>
        <v>0</v>
      </c>
      <c r="X29" s="4">
        <f t="shared" si="1"/>
        <v>0</v>
      </c>
    </row>
    <row r="30" spans="2:24" x14ac:dyDescent="0.25">
      <c r="F30" s="4">
        <f t="shared" si="2"/>
        <v>0</v>
      </c>
      <c r="L30" s="4">
        <f t="shared" si="0"/>
        <v>0</v>
      </c>
      <c r="R30" s="4">
        <f t="shared" si="3"/>
        <v>0</v>
      </c>
      <c r="X30" s="4">
        <f t="shared" si="1"/>
        <v>0</v>
      </c>
    </row>
    <row r="31" spans="2:24" x14ac:dyDescent="0.25">
      <c r="F31" s="4">
        <f t="shared" si="2"/>
        <v>0</v>
      </c>
      <c r="L31" s="4">
        <f t="shared" si="0"/>
        <v>0</v>
      </c>
      <c r="R31" s="4">
        <f t="shared" si="3"/>
        <v>0</v>
      </c>
      <c r="X31" s="4">
        <f t="shared" si="1"/>
        <v>0</v>
      </c>
    </row>
    <row r="32" spans="2:24" x14ac:dyDescent="0.25">
      <c r="F32" s="4">
        <f t="shared" si="2"/>
        <v>0</v>
      </c>
      <c r="H32" s="9" t="s">
        <v>23</v>
      </c>
      <c r="I32" s="9"/>
      <c r="J32" s="9"/>
      <c r="K32" s="9"/>
      <c r="L32" s="4">
        <f t="shared" si="0"/>
        <v>0</v>
      </c>
      <c r="R32" s="4">
        <f t="shared" si="3"/>
        <v>0</v>
      </c>
      <c r="T32" s="9" t="s">
        <v>23</v>
      </c>
      <c r="U32" s="9"/>
      <c r="V32" s="9"/>
      <c r="W32" s="9"/>
      <c r="X32" s="15">
        <f>SUM(X10:X31)</f>
        <v>0</v>
      </c>
    </row>
    <row r="33" spans="2:24" x14ac:dyDescent="0.25">
      <c r="B33" s="13" t="s">
        <v>28</v>
      </c>
      <c r="C33" s="13"/>
      <c r="D33" s="14"/>
      <c r="E33" s="14"/>
      <c r="F33" s="10">
        <f>-D33*E33</f>
        <v>0</v>
      </c>
      <c r="H33" s="9" t="s">
        <v>24</v>
      </c>
      <c r="I33" s="9"/>
      <c r="J33" s="9"/>
      <c r="K33" s="9"/>
      <c r="L33" s="8">
        <f>SUM(F34)</f>
        <v>0</v>
      </c>
      <c r="N33" s="13" t="s">
        <v>28</v>
      </c>
      <c r="O33" s="13"/>
      <c r="P33" s="14"/>
      <c r="Q33" s="14"/>
      <c r="R33" s="10">
        <f>-P33*Q33</f>
        <v>0</v>
      </c>
      <c r="T33" s="9" t="s">
        <v>24</v>
      </c>
      <c r="U33" s="9"/>
      <c r="V33" s="9"/>
      <c r="W33" s="9"/>
      <c r="X33" s="8">
        <f>SUM(R34)</f>
        <v>0</v>
      </c>
    </row>
    <row r="34" spans="2:24" x14ac:dyDescent="0.25">
      <c r="B34" s="7" t="s">
        <v>19</v>
      </c>
      <c r="C34" s="7"/>
      <c r="D34" s="7"/>
      <c r="E34" s="7"/>
      <c r="F34" s="21">
        <f>SUM(F10:F33)</f>
        <v>0</v>
      </c>
      <c r="H34" s="9" t="s">
        <v>25</v>
      </c>
      <c r="I34" s="9"/>
      <c r="J34" s="9"/>
      <c r="K34" s="9"/>
      <c r="L34" s="22">
        <f>SUM(L33+L32)</f>
        <v>0</v>
      </c>
      <c r="N34" s="7" t="s">
        <v>19</v>
      </c>
      <c r="O34" s="7"/>
      <c r="P34" s="7"/>
      <c r="Q34" s="7"/>
      <c r="R34" s="21">
        <f>SUM(R10:R33)</f>
        <v>0</v>
      </c>
      <c r="T34" s="9" t="s">
        <v>25</v>
      </c>
      <c r="U34" s="9"/>
      <c r="V34" s="9"/>
      <c r="W34" s="9"/>
      <c r="X34" s="22">
        <f>SUM(X33+X32)</f>
        <v>0</v>
      </c>
    </row>
    <row r="35" spans="2:24" ht="18.75" x14ac:dyDescent="0.3">
      <c r="B35" s="17" t="s">
        <v>29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N35" s="17" t="s">
        <v>29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7" spans="2:24" x14ac:dyDescent="0.25">
      <c r="B37" s="3" t="s">
        <v>0</v>
      </c>
      <c r="C37" s="3"/>
      <c r="D37" s="18" t="s">
        <v>59</v>
      </c>
      <c r="E37" s="18"/>
      <c r="F37" s="18"/>
      <c r="H37" s="3" t="s">
        <v>43</v>
      </c>
      <c r="I37" s="3"/>
      <c r="J37">
        <v>2</v>
      </c>
      <c r="N37" s="3" t="s">
        <v>0</v>
      </c>
      <c r="O37" s="3"/>
      <c r="P37" s="18" t="s">
        <v>62</v>
      </c>
      <c r="Q37" s="18"/>
      <c r="R37" s="18"/>
      <c r="T37" s="3" t="s">
        <v>43</v>
      </c>
      <c r="U37" s="3"/>
      <c r="V37">
        <v>2</v>
      </c>
    </row>
    <row r="38" spans="2:24" x14ac:dyDescent="0.25">
      <c r="B38" s="3" t="s">
        <v>1</v>
      </c>
      <c r="C38" s="3"/>
      <c r="D38" s="2" t="s">
        <v>60</v>
      </c>
      <c r="E38" s="2"/>
      <c r="F38" s="2"/>
      <c r="H38" s="3" t="s">
        <v>44</v>
      </c>
      <c r="I38" s="3"/>
      <c r="J38" t="s">
        <v>50</v>
      </c>
      <c r="N38" s="3" t="s">
        <v>1</v>
      </c>
      <c r="O38" s="3"/>
      <c r="P38" s="2" t="s">
        <v>61</v>
      </c>
      <c r="Q38" s="2"/>
      <c r="R38" s="2"/>
      <c r="T38" s="3" t="s">
        <v>44</v>
      </c>
      <c r="U38" s="3"/>
      <c r="V38" t="s">
        <v>50</v>
      </c>
    </row>
    <row r="39" spans="2:24" x14ac:dyDescent="0.25">
      <c r="B39" s="3" t="s">
        <v>3</v>
      </c>
      <c r="C39" s="3"/>
      <c r="D39" s="2" t="s">
        <v>32</v>
      </c>
      <c r="E39" s="2"/>
      <c r="F39" s="2"/>
      <c r="H39" s="3" t="s">
        <v>45</v>
      </c>
      <c r="I39" s="3"/>
      <c r="J39" t="s">
        <v>51</v>
      </c>
      <c r="N39" s="3" t="s">
        <v>3</v>
      </c>
      <c r="O39" s="3"/>
      <c r="P39" s="2" t="s">
        <v>32</v>
      </c>
      <c r="Q39" s="2"/>
      <c r="R39" s="2"/>
      <c r="T39" s="3" t="s">
        <v>45</v>
      </c>
      <c r="U39" s="3"/>
      <c r="V39" t="s">
        <v>51</v>
      </c>
    </row>
    <row r="40" spans="2:24" x14ac:dyDescent="0.25">
      <c r="B40" s="3" t="s">
        <v>2</v>
      </c>
      <c r="C40" s="3"/>
      <c r="D40" s="2" t="s">
        <v>55</v>
      </c>
      <c r="E40" s="2"/>
      <c r="F40" s="2"/>
      <c r="H40" s="3" t="s">
        <v>46</v>
      </c>
      <c r="I40" s="3"/>
      <c r="J40" t="s">
        <v>52</v>
      </c>
      <c r="N40" s="3" t="s">
        <v>2</v>
      </c>
      <c r="O40" s="3"/>
      <c r="P40" s="2" t="s">
        <v>55</v>
      </c>
      <c r="Q40" s="2"/>
      <c r="R40" s="2"/>
      <c r="T40" s="3" t="s">
        <v>46</v>
      </c>
      <c r="U40" s="3"/>
      <c r="V40" t="s">
        <v>52</v>
      </c>
    </row>
    <row r="42" spans="2:24" x14ac:dyDescent="0.25">
      <c r="B42" s="1"/>
      <c r="C42" s="1" t="s">
        <v>4</v>
      </c>
      <c r="D42" s="1"/>
      <c r="E42" s="1"/>
      <c r="F42" s="1"/>
      <c r="H42" s="6" t="s">
        <v>20</v>
      </c>
      <c r="I42" s="6"/>
      <c r="J42" s="6"/>
      <c r="K42" s="6"/>
      <c r="L42" s="6"/>
      <c r="N42" s="1"/>
      <c r="O42" s="1" t="s">
        <v>4</v>
      </c>
      <c r="P42" s="1"/>
      <c r="Q42" s="1"/>
      <c r="R42" s="1"/>
      <c r="T42" s="6" t="s">
        <v>20</v>
      </c>
      <c r="U42" s="6"/>
      <c r="V42" s="6"/>
      <c r="W42" s="6"/>
      <c r="X42" s="6"/>
    </row>
    <row r="43" spans="2:24" x14ac:dyDescent="0.25">
      <c r="B43" s="11" t="s">
        <v>5</v>
      </c>
      <c r="C43" s="11" t="s">
        <v>6</v>
      </c>
      <c r="D43" s="11" t="s">
        <v>7</v>
      </c>
      <c r="E43" s="12" t="s">
        <v>8</v>
      </c>
      <c r="F43" s="11" t="s">
        <v>9</v>
      </c>
      <c r="H43" s="11" t="s">
        <v>5</v>
      </c>
      <c r="I43" s="12" t="s">
        <v>21</v>
      </c>
      <c r="J43" s="12" t="s">
        <v>22</v>
      </c>
      <c r="K43" s="12" t="s">
        <v>8</v>
      </c>
      <c r="L43" s="12" t="s">
        <v>9</v>
      </c>
      <c r="N43" s="11" t="s">
        <v>5</v>
      </c>
      <c r="O43" s="11" t="s">
        <v>6</v>
      </c>
      <c r="P43" s="11" t="s">
        <v>7</v>
      </c>
      <c r="Q43" s="12" t="s">
        <v>8</v>
      </c>
      <c r="R43" s="11" t="s">
        <v>9</v>
      </c>
      <c r="T43" s="11" t="s">
        <v>5</v>
      </c>
      <c r="U43" s="12" t="s">
        <v>21</v>
      </c>
      <c r="V43" s="12" t="s">
        <v>22</v>
      </c>
      <c r="W43" s="12" t="s">
        <v>8</v>
      </c>
      <c r="X43" s="12" t="s">
        <v>9</v>
      </c>
    </row>
    <row r="44" spans="2:24" x14ac:dyDescent="0.25">
      <c r="B44" t="s">
        <v>10</v>
      </c>
      <c r="E44">
        <v>650</v>
      </c>
      <c r="F44" s="4">
        <f>C44*E44</f>
        <v>0</v>
      </c>
      <c r="L44" s="4">
        <f t="shared" ref="L44:L46" si="4">-I44*K44+J44*K44</f>
        <v>0</v>
      </c>
      <c r="N44" t="s">
        <v>10</v>
      </c>
      <c r="R44" s="4">
        <f>O44*Q44</f>
        <v>0</v>
      </c>
      <c r="X44" s="4">
        <f t="shared" ref="X44:X65" si="5">-U44*W44+V44*W44</f>
        <v>0</v>
      </c>
    </row>
    <row r="45" spans="2:24" x14ac:dyDescent="0.25">
      <c r="B45" t="s">
        <v>11</v>
      </c>
      <c r="E45">
        <v>670</v>
      </c>
      <c r="F45" s="4">
        <f t="shared" ref="F45:F66" si="6">C45*E45</f>
        <v>0</v>
      </c>
      <c r="L45" s="4">
        <f t="shared" si="4"/>
        <v>0</v>
      </c>
      <c r="N45" t="s">
        <v>11</v>
      </c>
      <c r="R45" s="4">
        <f t="shared" ref="R45:R66" si="7">O45*Q45</f>
        <v>0</v>
      </c>
      <c r="X45" s="4">
        <f t="shared" si="5"/>
        <v>0</v>
      </c>
    </row>
    <row r="46" spans="2:24" x14ac:dyDescent="0.25">
      <c r="B46" t="s">
        <v>12</v>
      </c>
      <c r="E46">
        <v>973</v>
      </c>
      <c r="F46" s="4">
        <f t="shared" si="6"/>
        <v>0</v>
      </c>
      <c r="L46" s="4">
        <f t="shared" si="4"/>
        <v>0</v>
      </c>
      <c r="N46" t="s">
        <v>12</v>
      </c>
      <c r="R46" s="4">
        <f t="shared" si="7"/>
        <v>0</v>
      </c>
      <c r="X46" s="4">
        <f t="shared" si="5"/>
        <v>0</v>
      </c>
    </row>
    <row r="47" spans="2:24" x14ac:dyDescent="0.25">
      <c r="B47" t="s">
        <v>13</v>
      </c>
      <c r="E47">
        <v>622</v>
      </c>
      <c r="F47" s="4">
        <f t="shared" si="6"/>
        <v>0</v>
      </c>
      <c r="L47" s="4">
        <f>-I47*K47+J47*K47</f>
        <v>0</v>
      </c>
      <c r="N47" t="s">
        <v>13</v>
      </c>
      <c r="R47" s="4">
        <f t="shared" si="7"/>
        <v>0</v>
      </c>
      <c r="X47" s="4">
        <f t="shared" si="5"/>
        <v>0</v>
      </c>
    </row>
    <row r="48" spans="2:24" x14ac:dyDescent="0.25">
      <c r="B48" t="s">
        <v>14</v>
      </c>
      <c r="E48">
        <v>912</v>
      </c>
      <c r="F48" s="4">
        <f t="shared" si="6"/>
        <v>0</v>
      </c>
      <c r="L48" s="4">
        <f t="shared" ref="L48:L65" si="8">-I48*K48+J48*K48</f>
        <v>0</v>
      </c>
      <c r="N48" t="s">
        <v>14</v>
      </c>
      <c r="R48" s="4">
        <f t="shared" si="7"/>
        <v>0</v>
      </c>
      <c r="X48" s="4">
        <f t="shared" si="5"/>
        <v>0</v>
      </c>
    </row>
    <row r="49" spans="2:24" x14ac:dyDescent="0.25">
      <c r="B49" t="s">
        <v>15</v>
      </c>
      <c r="F49" s="4">
        <f t="shared" si="6"/>
        <v>0</v>
      </c>
      <c r="L49" s="4">
        <f t="shared" si="8"/>
        <v>0</v>
      </c>
      <c r="N49" t="s">
        <v>15</v>
      </c>
      <c r="R49" s="4">
        <f t="shared" si="7"/>
        <v>0</v>
      </c>
      <c r="X49" s="4">
        <f t="shared" si="5"/>
        <v>0</v>
      </c>
    </row>
    <row r="50" spans="2:24" x14ac:dyDescent="0.25">
      <c r="B50" t="s">
        <v>16</v>
      </c>
      <c r="E50">
        <v>872</v>
      </c>
      <c r="F50" s="4">
        <f t="shared" si="6"/>
        <v>0</v>
      </c>
      <c r="L50" s="4">
        <f t="shared" si="8"/>
        <v>0</v>
      </c>
      <c r="N50" t="s">
        <v>16</v>
      </c>
      <c r="R50" s="4">
        <f t="shared" si="7"/>
        <v>0</v>
      </c>
      <c r="X50" s="4">
        <f t="shared" si="5"/>
        <v>0</v>
      </c>
    </row>
    <row r="51" spans="2:24" x14ac:dyDescent="0.25">
      <c r="B51" t="s">
        <v>17</v>
      </c>
      <c r="E51">
        <v>9.5</v>
      </c>
      <c r="F51" s="4">
        <f t="shared" si="6"/>
        <v>0</v>
      </c>
      <c r="L51" s="4">
        <f t="shared" si="8"/>
        <v>0</v>
      </c>
      <c r="N51" t="s">
        <v>17</v>
      </c>
      <c r="R51" s="4">
        <f t="shared" si="7"/>
        <v>0</v>
      </c>
      <c r="X51" s="4">
        <f t="shared" si="5"/>
        <v>0</v>
      </c>
    </row>
    <row r="52" spans="2:24" x14ac:dyDescent="0.25">
      <c r="B52" t="s">
        <v>18</v>
      </c>
      <c r="E52">
        <v>500</v>
      </c>
      <c r="F52" s="4">
        <f t="shared" si="6"/>
        <v>0</v>
      </c>
      <c r="L52" s="4">
        <f t="shared" si="8"/>
        <v>0</v>
      </c>
      <c r="N52" t="s">
        <v>18</v>
      </c>
      <c r="R52" s="4">
        <f t="shared" si="7"/>
        <v>0</v>
      </c>
      <c r="X52" s="4">
        <f t="shared" si="5"/>
        <v>0</v>
      </c>
    </row>
    <row r="53" spans="2:24" x14ac:dyDescent="0.25">
      <c r="B53" t="s">
        <v>26</v>
      </c>
      <c r="E53">
        <v>650</v>
      </c>
      <c r="F53" s="4">
        <f t="shared" si="6"/>
        <v>0</v>
      </c>
      <c r="L53" s="4">
        <f t="shared" si="8"/>
        <v>0</v>
      </c>
      <c r="N53" t="s">
        <v>26</v>
      </c>
      <c r="R53" s="4">
        <f t="shared" si="7"/>
        <v>0</v>
      </c>
      <c r="X53" s="4">
        <f t="shared" si="5"/>
        <v>0</v>
      </c>
    </row>
    <row r="54" spans="2:24" x14ac:dyDescent="0.25">
      <c r="B54" s="20" t="s">
        <v>41</v>
      </c>
      <c r="E54">
        <v>1175</v>
      </c>
      <c r="F54" s="4">
        <f t="shared" si="6"/>
        <v>0</v>
      </c>
      <c r="L54" s="4">
        <f t="shared" si="8"/>
        <v>0</v>
      </c>
      <c r="R54" s="4">
        <f t="shared" si="7"/>
        <v>0</v>
      </c>
      <c r="X54" s="4">
        <f t="shared" si="5"/>
        <v>0</v>
      </c>
    </row>
    <row r="55" spans="2:24" x14ac:dyDescent="0.25">
      <c r="B55" t="s">
        <v>40</v>
      </c>
      <c r="E55">
        <v>700</v>
      </c>
      <c r="F55" s="4">
        <f t="shared" si="6"/>
        <v>0</v>
      </c>
      <c r="L55" s="4">
        <f t="shared" si="8"/>
        <v>0</v>
      </c>
      <c r="R55" s="4">
        <f t="shared" si="7"/>
        <v>0</v>
      </c>
      <c r="X55" s="4">
        <f t="shared" si="5"/>
        <v>0</v>
      </c>
    </row>
    <row r="56" spans="2:24" x14ac:dyDescent="0.25">
      <c r="F56" s="4">
        <f t="shared" si="6"/>
        <v>0</v>
      </c>
      <c r="L56" s="4">
        <f t="shared" si="8"/>
        <v>0</v>
      </c>
      <c r="R56" s="4">
        <f t="shared" si="7"/>
        <v>0</v>
      </c>
      <c r="X56" s="4">
        <f t="shared" si="5"/>
        <v>0</v>
      </c>
    </row>
    <row r="57" spans="2:24" x14ac:dyDescent="0.25">
      <c r="F57" s="4">
        <f t="shared" si="6"/>
        <v>0</v>
      </c>
      <c r="L57" s="4">
        <f t="shared" si="8"/>
        <v>0</v>
      </c>
      <c r="R57" s="4">
        <f t="shared" si="7"/>
        <v>0</v>
      </c>
      <c r="X57" s="4">
        <f t="shared" si="5"/>
        <v>0</v>
      </c>
    </row>
    <row r="58" spans="2:24" x14ac:dyDescent="0.25">
      <c r="F58" s="4">
        <f t="shared" si="6"/>
        <v>0</v>
      </c>
      <c r="L58" s="4">
        <f t="shared" si="8"/>
        <v>0</v>
      </c>
      <c r="R58" s="4">
        <f t="shared" si="7"/>
        <v>0</v>
      </c>
      <c r="X58" s="4">
        <f t="shared" si="5"/>
        <v>0</v>
      </c>
    </row>
    <row r="59" spans="2:24" x14ac:dyDescent="0.25">
      <c r="F59" s="4">
        <f t="shared" si="6"/>
        <v>0</v>
      </c>
      <c r="L59" s="4">
        <f t="shared" si="8"/>
        <v>0</v>
      </c>
      <c r="R59" s="4">
        <f t="shared" si="7"/>
        <v>0</v>
      </c>
      <c r="X59" s="4">
        <f t="shared" si="5"/>
        <v>0</v>
      </c>
    </row>
    <row r="60" spans="2:24" x14ac:dyDescent="0.25">
      <c r="F60" s="4">
        <f t="shared" si="6"/>
        <v>0</v>
      </c>
      <c r="L60" s="4">
        <f t="shared" si="8"/>
        <v>0</v>
      </c>
      <c r="R60" s="4">
        <f t="shared" si="7"/>
        <v>0</v>
      </c>
      <c r="X60" s="4">
        <f t="shared" si="5"/>
        <v>0</v>
      </c>
    </row>
    <row r="61" spans="2:24" x14ac:dyDescent="0.25">
      <c r="F61" s="4">
        <f t="shared" si="6"/>
        <v>0</v>
      </c>
      <c r="L61" s="4">
        <f t="shared" si="8"/>
        <v>0</v>
      </c>
      <c r="R61" s="4">
        <f t="shared" si="7"/>
        <v>0</v>
      </c>
      <c r="X61" s="4">
        <f t="shared" si="5"/>
        <v>0</v>
      </c>
    </row>
    <row r="62" spans="2:24" x14ac:dyDescent="0.25">
      <c r="F62" s="4">
        <f t="shared" si="6"/>
        <v>0</v>
      </c>
      <c r="L62" s="4">
        <f t="shared" si="8"/>
        <v>0</v>
      </c>
      <c r="R62" s="4">
        <f t="shared" si="7"/>
        <v>0</v>
      </c>
      <c r="X62" s="4">
        <f t="shared" si="5"/>
        <v>0</v>
      </c>
    </row>
    <row r="63" spans="2:24" x14ac:dyDescent="0.25">
      <c r="F63" s="4">
        <f t="shared" si="6"/>
        <v>0</v>
      </c>
      <c r="L63" s="4">
        <f t="shared" si="8"/>
        <v>0</v>
      </c>
      <c r="R63" s="4">
        <f t="shared" si="7"/>
        <v>0</v>
      </c>
      <c r="X63" s="4">
        <f t="shared" si="5"/>
        <v>0</v>
      </c>
    </row>
    <row r="64" spans="2:24" x14ac:dyDescent="0.25">
      <c r="F64" s="4">
        <f t="shared" si="6"/>
        <v>0</v>
      </c>
      <c r="L64" s="4">
        <f t="shared" si="8"/>
        <v>0</v>
      </c>
      <c r="R64" s="4">
        <f t="shared" si="7"/>
        <v>0</v>
      </c>
      <c r="X64" s="4">
        <f t="shared" si="5"/>
        <v>0</v>
      </c>
    </row>
    <row r="65" spans="2:24" x14ac:dyDescent="0.25">
      <c r="F65" s="4">
        <f t="shared" si="6"/>
        <v>0</v>
      </c>
      <c r="L65" s="4">
        <f t="shared" si="8"/>
        <v>0</v>
      </c>
      <c r="R65" s="4">
        <f t="shared" si="7"/>
        <v>0</v>
      </c>
      <c r="X65" s="4">
        <f t="shared" si="5"/>
        <v>0</v>
      </c>
    </row>
    <row r="66" spans="2:24" x14ac:dyDescent="0.25">
      <c r="F66" s="4">
        <f t="shared" si="6"/>
        <v>0</v>
      </c>
      <c r="H66" s="9" t="s">
        <v>23</v>
      </c>
      <c r="I66" s="9"/>
      <c r="J66" s="9"/>
      <c r="K66" s="9"/>
      <c r="L66" s="15">
        <f>SUM(L44:L65)</f>
        <v>0</v>
      </c>
      <c r="R66" s="4">
        <f t="shared" si="7"/>
        <v>0</v>
      </c>
      <c r="T66" s="9" t="s">
        <v>23</v>
      </c>
      <c r="U66" s="9"/>
      <c r="V66" s="9"/>
      <c r="W66" s="9"/>
      <c r="X66" s="15">
        <f>SUM(X44:X65)</f>
        <v>0</v>
      </c>
    </row>
    <row r="67" spans="2:24" x14ac:dyDescent="0.25">
      <c r="B67" s="13" t="s">
        <v>28</v>
      </c>
      <c r="C67" s="13"/>
      <c r="D67" s="14"/>
      <c r="E67" s="14"/>
      <c r="F67" s="10">
        <f>-D67*E67</f>
        <v>0</v>
      </c>
      <c r="H67" s="9" t="s">
        <v>24</v>
      </c>
      <c r="I67" s="9"/>
      <c r="J67" s="9"/>
      <c r="K67" s="9"/>
      <c r="L67" s="8">
        <f>SUM(F68)</f>
        <v>0</v>
      </c>
      <c r="N67" s="13" t="s">
        <v>28</v>
      </c>
      <c r="O67" s="13"/>
      <c r="P67" s="14"/>
      <c r="Q67" s="14"/>
      <c r="R67" s="10">
        <f>-P67*Q67</f>
        <v>0</v>
      </c>
      <c r="T67" s="9" t="s">
        <v>24</v>
      </c>
      <c r="U67" s="9"/>
      <c r="V67" s="9"/>
      <c r="W67" s="9"/>
      <c r="X67" s="8">
        <f>SUM(R68)</f>
        <v>0</v>
      </c>
    </row>
    <row r="68" spans="2:24" x14ac:dyDescent="0.25">
      <c r="B68" s="7" t="s">
        <v>19</v>
      </c>
      <c r="C68" s="7"/>
      <c r="D68" s="7"/>
      <c r="E68" s="7"/>
      <c r="F68" s="21">
        <f>SUM(F44:F67)</f>
        <v>0</v>
      </c>
      <c r="H68" s="9" t="s">
        <v>25</v>
      </c>
      <c r="I68" s="9"/>
      <c r="J68" s="9"/>
      <c r="K68" s="9"/>
      <c r="L68" s="22">
        <f>SUM(L67+L66)</f>
        <v>0</v>
      </c>
      <c r="N68" s="7" t="s">
        <v>19</v>
      </c>
      <c r="O68" s="7"/>
      <c r="P68" s="7"/>
      <c r="Q68" s="7"/>
      <c r="R68" s="21">
        <f>SUM(R44:R67)</f>
        <v>0</v>
      </c>
      <c r="T68" s="9" t="s">
        <v>25</v>
      </c>
      <c r="U68" s="9"/>
      <c r="V68" s="9"/>
      <c r="W68" s="9"/>
      <c r="X68" s="22">
        <f>SUM(X67+X66)</f>
        <v>0</v>
      </c>
    </row>
    <row r="69" spans="2:24" ht="18.75" x14ac:dyDescent="0.3">
      <c r="B69" s="17" t="s">
        <v>29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N69" s="17" t="s">
        <v>29</v>
      </c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1" spans="2:24" x14ac:dyDescent="0.25">
      <c r="B71" s="3" t="s">
        <v>0</v>
      </c>
      <c r="C71" s="3"/>
      <c r="D71" s="18" t="s">
        <v>63</v>
      </c>
      <c r="E71" s="18"/>
      <c r="F71" s="18"/>
      <c r="H71" s="3" t="s">
        <v>43</v>
      </c>
      <c r="I71" s="3"/>
      <c r="J71">
        <v>2</v>
      </c>
      <c r="N71" s="3" t="s">
        <v>0</v>
      </c>
      <c r="O71" s="3"/>
      <c r="P71" s="18" t="s">
        <v>67</v>
      </c>
      <c r="Q71" s="18"/>
      <c r="R71" s="18"/>
      <c r="T71" s="3" t="s">
        <v>43</v>
      </c>
      <c r="U71" s="3"/>
      <c r="V71">
        <v>2</v>
      </c>
    </row>
    <row r="72" spans="2:24" x14ac:dyDescent="0.25">
      <c r="B72" s="3" t="s">
        <v>1</v>
      </c>
      <c r="C72" s="3"/>
      <c r="D72" s="2" t="s">
        <v>64</v>
      </c>
      <c r="E72" s="2"/>
      <c r="F72" s="2"/>
      <c r="H72" s="3" t="s">
        <v>44</v>
      </c>
      <c r="I72" s="3"/>
      <c r="J72" t="s">
        <v>50</v>
      </c>
      <c r="N72" s="3" t="s">
        <v>1</v>
      </c>
      <c r="O72" s="3"/>
      <c r="P72" s="2" t="s">
        <v>68</v>
      </c>
      <c r="Q72" s="2"/>
      <c r="R72" s="2"/>
      <c r="T72" s="3" t="s">
        <v>44</v>
      </c>
      <c r="U72" s="3"/>
      <c r="V72" t="s">
        <v>50</v>
      </c>
    </row>
    <row r="73" spans="2:24" x14ac:dyDescent="0.25">
      <c r="B73" s="3" t="s">
        <v>3</v>
      </c>
      <c r="C73" s="3"/>
      <c r="D73" s="2" t="s">
        <v>32</v>
      </c>
      <c r="E73" s="2"/>
      <c r="F73" s="2"/>
      <c r="H73" s="3" t="s">
        <v>45</v>
      </c>
      <c r="I73" s="3"/>
      <c r="J73" t="s">
        <v>51</v>
      </c>
      <c r="N73" s="3" t="s">
        <v>3</v>
      </c>
      <c r="O73" s="3"/>
      <c r="P73" s="2" t="s">
        <v>32</v>
      </c>
      <c r="Q73" s="2"/>
      <c r="R73" s="2"/>
      <c r="T73" s="3" t="s">
        <v>45</v>
      </c>
      <c r="U73" s="3"/>
      <c r="V73" t="s">
        <v>51</v>
      </c>
    </row>
    <row r="74" spans="2:24" x14ac:dyDescent="0.25">
      <c r="B74" s="3" t="s">
        <v>2</v>
      </c>
      <c r="C74" s="3"/>
      <c r="D74" s="2" t="s">
        <v>65</v>
      </c>
      <c r="E74" s="2"/>
      <c r="F74" s="2"/>
      <c r="H74" s="3" t="s">
        <v>46</v>
      </c>
      <c r="I74" s="3"/>
      <c r="J74" t="s">
        <v>52</v>
      </c>
      <c r="N74" s="3" t="s">
        <v>2</v>
      </c>
      <c r="O74" s="3"/>
      <c r="P74" s="2" t="s">
        <v>65</v>
      </c>
      <c r="Q74" s="2"/>
      <c r="R74" s="2"/>
      <c r="T74" s="3" t="s">
        <v>46</v>
      </c>
      <c r="U74" s="3"/>
      <c r="V74" t="s">
        <v>52</v>
      </c>
    </row>
    <row r="76" spans="2:24" x14ac:dyDescent="0.25">
      <c r="B76" s="1"/>
      <c r="C76" s="1" t="s">
        <v>4</v>
      </c>
      <c r="D76" s="1"/>
      <c r="E76" s="1"/>
      <c r="F76" s="1"/>
      <c r="H76" s="6" t="s">
        <v>20</v>
      </c>
      <c r="I76" s="6"/>
      <c r="J76" s="6"/>
      <c r="K76" s="6"/>
      <c r="L76" s="6"/>
      <c r="N76" s="1"/>
      <c r="O76" s="1" t="s">
        <v>4</v>
      </c>
      <c r="P76" s="1"/>
      <c r="Q76" s="1"/>
      <c r="R76" s="1"/>
      <c r="T76" s="6" t="s">
        <v>20</v>
      </c>
      <c r="U76" s="6"/>
      <c r="V76" s="6"/>
      <c r="W76" s="6"/>
      <c r="X76" s="6"/>
    </row>
    <row r="77" spans="2:24" x14ac:dyDescent="0.25">
      <c r="B77" s="11" t="s">
        <v>5</v>
      </c>
      <c r="C77" s="11" t="s">
        <v>6</v>
      </c>
      <c r="D77" s="11" t="s">
        <v>7</v>
      </c>
      <c r="E77" s="12" t="s">
        <v>8</v>
      </c>
      <c r="F77" s="11" t="s">
        <v>9</v>
      </c>
      <c r="H77" s="11" t="s">
        <v>5</v>
      </c>
      <c r="I77" s="12" t="s">
        <v>21</v>
      </c>
      <c r="J77" s="12" t="s">
        <v>22</v>
      </c>
      <c r="K77" s="12" t="s">
        <v>8</v>
      </c>
      <c r="L77" s="12" t="s">
        <v>9</v>
      </c>
      <c r="N77" s="11" t="s">
        <v>5</v>
      </c>
      <c r="O77" s="11" t="s">
        <v>6</v>
      </c>
      <c r="P77" s="11" t="s">
        <v>7</v>
      </c>
      <c r="Q77" s="12" t="s">
        <v>8</v>
      </c>
      <c r="R77" s="11" t="s">
        <v>9</v>
      </c>
      <c r="T77" s="11" t="s">
        <v>5</v>
      </c>
      <c r="U77" s="12" t="s">
        <v>21</v>
      </c>
      <c r="V77" s="12" t="s">
        <v>22</v>
      </c>
      <c r="W77" s="12" t="s">
        <v>8</v>
      </c>
      <c r="X77" s="12" t="s">
        <v>9</v>
      </c>
    </row>
    <row r="78" spans="2:24" x14ac:dyDescent="0.25">
      <c r="B78" t="s">
        <v>10</v>
      </c>
      <c r="E78">
        <v>650</v>
      </c>
      <c r="F78" s="4">
        <f>C78*E78</f>
        <v>0</v>
      </c>
      <c r="L78" s="4">
        <f t="shared" ref="L78:L80" si="9">-I78*K78+J78*K78</f>
        <v>0</v>
      </c>
      <c r="N78" t="s">
        <v>10</v>
      </c>
      <c r="Q78">
        <v>650</v>
      </c>
      <c r="R78" s="4">
        <f>O78*Q78</f>
        <v>0</v>
      </c>
      <c r="X78" s="4">
        <f t="shared" ref="X78:X99" si="10">-U78*W78+V78*W78</f>
        <v>0</v>
      </c>
    </row>
    <row r="79" spans="2:24" x14ac:dyDescent="0.25">
      <c r="B79" t="s">
        <v>11</v>
      </c>
      <c r="E79">
        <v>670</v>
      </c>
      <c r="F79" s="4">
        <f t="shared" ref="F79:F100" si="11">C79*E79</f>
        <v>0</v>
      </c>
      <c r="L79" s="4">
        <f t="shared" si="9"/>
        <v>0</v>
      </c>
      <c r="N79" t="s">
        <v>11</v>
      </c>
      <c r="R79" s="4">
        <f t="shared" ref="R79:R100" si="12">O79*Q79</f>
        <v>0</v>
      </c>
      <c r="X79" s="4">
        <f t="shared" si="10"/>
        <v>0</v>
      </c>
    </row>
    <row r="80" spans="2:24" x14ac:dyDescent="0.25">
      <c r="B80" t="s">
        <v>12</v>
      </c>
      <c r="E80">
        <v>973</v>
      </c>
      <c r="F80" s="4">
        <f t="shared" si="11"/>
        <v>0</v>
      </c>
      <c r="L80" s="4">
        <f t="shared" si="9"/>
        <v>0</v>
      </c>
      <c r="N80" t="s">
        <v>12</v>
      </c>
      <c r="R80" s="4">
        <f t="shared" si="12"/>
        <v>0</v>
      </c>
      <c r="X80" s="4">
        <f t="shared" si="10"/>
        <v>0</v>
      </c>
    </row>
    <row r="81" spans="2:24" x14ac:dyDescent="0.25">
      <c r="B81" t="s">
        <v>13</v>
      </c>
      <c r="E81">
        <v>622</v>
      </c>
      <c r="F81" s="4">
        <f t="shared" si="11"/>
        <v>0</v>
      </c>
      <c r="L81" s="4">
        <f>-I81*K81+J81*K81</f>
        <v>0</v>
      </c>
      <c r="N81" t="s">
        <v>13</v>
      </c>
      <c r="R81" s="4">
        <f t="shared" si="12"/>
        <v>0</v>
      </c>
      <c r="X81" s="4">
        <f t="shared" si="10"/>
        <v>0</v>
      </c>
    </row>
    <row r="82" spans="2:24" x14ac:dyDescent="0.25">
      <c r="B82" t="s">
        <v>14</v>
      </c>
      <c r="E82">
        <v>912</v>
      </c>
      <c r="F82" s="4">
        <f t="shared" si="11"/>
        <v>0</v>
      </c>
      <c r="L82" s="4">
        <f t="shared" ref="L82:L99" si="13">-I82*K82+J82*K82</f>
        <v>0</v>
      </c>
      <c r="N82" t="s">
        <v>14</v>
      </c>
      <c r="R82" s="4">
        <f t="shared" si="12"/>
        <v>0</v>
      </c>
      <c r="X82" s="4">
        <f t="shared" si="10"/>
        <v>0</v>
      </c>
    </row>
    <row r="83" spans="2:24" x14ac:dyDescent="0.25">
      <c r="B83" t="s">
        <v>15</v>
      </c>
      <c r="F83" s="4">
        <f t="shared" si="11"/>
        <v>0</v>
      </c>
      <c r="L83" s="4">
        <f t="shared" si="13"/>
        <v>0</v>
      </c>
      <c r="N83" t="s">
        <v>15</v>
      </c>
      <c r="R83" s="4">
        <f t="shared" si="12"/>
        <v>0</v>
      </c>
      <c r="X83" s="4">
        <f t="shared" si="10"/>
        <v>0</v>
      </c>
    </row>
    <row r="84" spans="2:24" x14ac:dyDescent="0.25">
      <c r="B84" t="s">
        <v>16</v>
      </c>
      <c r="E84">
        <v>872</v>
      </c>
      <c r="F84" s="4">
        <f t="shared" si="11"/>
        <v>0</v>
      </c>
      <c r="L84" s="4">
        <f t="shared" si="13"/>
        <v>0</v>
      </c>
      <c r="N84" t="s">
        <v>16</v>
      </c>
      <c r="R84" s="4">
        <f t="shared" si="12"/>
        <v>0</v>
      </c>
      <c r="X84" s="4">
        <f t="shared" si="10"/>
        <v>0</v>
      </c>
    </row>
    <row r="85" spans="2:24" x14ac:dyDescent="0.25">
      <c r="B85" t="s">
        <v>17</v>
      </c>
      <c r="E85">
        <v>229</v>
      </c>
      <c r="F85" s="4">
        <f t="shared" si="11"/>
        <v>0</v>
      </c>
      <c r="L85" s="4">
        <f t="shared" si="13"/>
        <v>0</v>
      </c>
      <c r="N85" t="s">
        <v>17</v>
      </c>
      <c r="Q85">
        <v>9.5</v>
      </c>
      <c r="R85" s="4">
        <f t="shared" si="12"/>
        <v>0</v>
      </c>
      <c r="X85" s="4">
        <f t="shared" si="10"/>
        <v>0</v>
      </c>
    </row>
    <row r="86" spans="2:24" x14ac:dyDescent="0.25">
      <c r="B86" t="s">
        <v>18</v>
      </c>
      <c r="E86">
        <v>500</v>
      </c>
      <c r="F86" s="4">
        <f t="shared" si="11"/>
        <v>0</v>
      </c>
      <c r="L86" s="4">
        <f t="shared" si="13"/>
        <v>0</v>
      </c>
      <c r="N86" t="s">
        <v>18</v>
      </c>
      <c r="R86" s="4">
        <f t="shared" si="12"/>
        <v>0</v>
      </c>
      <c r="X86" s="4">
        <f t="shared" si="10"/>
        <v>0</v>
      </c>
    </row>
    <row r="87" spans="2:24" x14ac:dyDescent="0.25">
      <c r="B87" t="s">
        <v>26</v>
      </c>
      <c r="E87">
        <v>650</v>
      </c>
      <c r="F87" s="4">
        <f t="shared" si="11"/>
        <v>0</v>
      </c>
      <c r="L87" s="4">
        <f t="shared" si="13"/>
        <v>0</v>
      </c>
      <c r="N87" t="s">
        <v>26</v>
      </c>
      <c r="R87" s="4">
        <f t="shared" si="12"/>
        <v>0</v>
      </c>
      <c r="X87" s="4">
        <f t="shared" si="10"/>
        <v>0</v>
      </c>
    </row>
    <row r="88" spans="2:24" x14ac:dyDescent="0.25">
      <c r="B88" s="20" t="s">
        <v>41</v>
      </c>
      <c r="E88">
        <v>1175</v>
      </c>
      <c r="F88" s="4">
        <f t="shared" si="11"/>
        <v>0</v>
      </c>
      <c r="L88" s="4">
        <f t="shared" si="13"/>
        <v>0</v>
      </c>
      <c r="N88" t="s">
        <v>40</v>
      </c>
      <c r="Q88">
        <v>700</v>
      </c>
      <c r="R88" s="4">
        <f t="shared" si="12"/>
        <v>0</v>
      </c>
      <c r="X88" s="4">
        <f t="shared" si="10"/>
        <v>0</v>
      </c>
    </row>
    <row r="89" spans="2:24" x14ac:dyDescent="0.25">
      <c r="B89" t="s">
        <v>40</v>
      </c>
      <c r="E89">
        <v>700</v>
      </c>
      <c r="F89" s="4">
        <f t="shared" si="11"/>
        <v>0</v>
      </c>
      <c r="L89" s="4">
        <f t="shared" si="13"/>
        <v>0</v>
      </c>
      <c r="R89" s="4">
        <f t="shared" si="12"/>
        <v>0</v>
      </c>
      <c r="X89" s="4">
        <f t="shared" si="10"/>
        <v>0</v>
      </c>
    </row>
    <row r="90" spans="2:24" x14ac:dyDescent="0.25">
      <c r="F90" s="4">
        <f t="shared" si="11"/>
        <v>0</v>
      </c>
      <c r="L90" s="4">
        <f t="shared" si="13"/>
        <v>0</v>
      </c>
      <c r="R90" s="4">
        <f t="shared" si="12"/>
        <v>0</v>
      </c>
      <c r="X90" s="4">
        <f t="shared" si="10"/>
        <v>0</v>
      </c>
    </row>
    <row r="91" spans="2:24" x14ac:dyDescent="0.25">
      <c r="F91" s="4">
        <f t="shared" si="11"/>
        <v>0</v>
      </c>
      <c r="L91" s="4">
        <f t="shared" si="13"/>
        <v>0</v>
      </c>
      <c r="R91" s="4">
        <f t="shared" si="12"/>
        <v>0</v>
      </c>
      <c r="X91" s="4">
        <f t="shared" si="10"/>
        <v>0</v>
      </c>
    </row>
    <row r="92" spans="2:24" x14ac:dyDescent="0.25">
      <c r="F92" s="4">
        <f t="shared" si="11"/>
        <v>0</v>
      </c>
      <c r="L92" s="4">
        <f t="shared" si="13"/>
        <v>0</v>
      </c>
      <c r="R92" s="4">
        <f t="shared" si="12"/>
        <v>0</v>
      </c>
      <c r="X92" s="4">
        <f t="shared" si="10"/>
        <v>0</v>
      </c>
    </row>
    <row r="93" spans="2:24" x14ac:dyDescent="0.25">
      <c r="F93" s="4">
        <f t="shared" si="11"/>
        <v>0</v>
      </c>
      <c r="L93" s="4">
        <f t="shared" si="13"/>
        <v>0</v>
      </c>
      <c r="R93" s="4">
        <f t="shared" si="12"/>
        <v>0</v>
      </c>
      <c r="X93" s="4">
        <f t="shared" si="10"/>
        <v>0</v>
      </c>
    </row>
    <row r="94" spans="2:24" x14ac:dyDescent="0.25">
      <c r="F94" s="4">
        <f t="shared" si="11"/>
        <v>0</v>
      </c>
      <c r="L94" s="4">
        <f t="shared" si="13"/>
        <v>0</v>
      </c>
      <c r="R94" s="4">
        <f t="shared" si="12"/>
        <v>0</v>
      </c>
      <c r="X94" s="4">
        <f t="shared" si="10"/>
        <v>0</v>
      </c>
    </row>
    <row r="95" spans="2:24" x14ac:dyDescent="0.25">
      <c r="F95" s="4">
        <f t="shared" si="11"/>
        <v>0</v>
      </c>
      <c r="L95" s="4">
        <f t="shared" si="13"/>
        <v>0</v>
      </c>
      <c r="R95" s="4">
        <f t="shared" si="12"/>
        <v>0</v>
      </c>
      <c r="X95" s="4">
        <f t="shared" si="10"/>
        <v>0</v>
      </c>
    </row>
    <row r="96" spans="2:24" x14ac:dyDescent="0.25">
      <c r="F96" s="4">
        <f t="shared" si="11"/>
        <v>0</v>
      </c>
      <c r="L96" s="4">
        <f t="shared" si="13"/>
        <v>0</v>
      </c>
      <c r="R96" s="4">
        <f t="shared" si="12"/>
        <v>0</v>
      </c>
      <c r="X96" s="4">
        <f t="shared" si="10"/>
        <v>0</v>
      </c>
    </row>
    <row r="97" spans="2:24" x14ac:dyDescent="0.25">
      <c r="F97" s="4">
        <f t="shared" si="11"/>
        <v>0</v>
      </c>
      <c r="L97" s="4">
        <f t="shared" si="13"/>
        <v>0</v>
      </c>
      <c r="R97" s="4">
        <f t="shared" si="12"/>
        <v>0</v>
      </c>
      <c r="X97" s="4">
        <f t="shared" si="10"/>
        <v>0</v>
      </c>
    </row>
    <row r="98" spans="2:24" x14ac:dyDescent="0.25">
      <c r="F98" s="4">
        <f t="shared" si="11"/>
        <v>0</v>
      </c>
      <c r="L98" s="4">
        <f t="shared" si="13"/>
        <v>0</v>
      </c>
      <c r="R98" s="4">
        <f t="shared" si="12"/>
        <v>0</v>
      </c>
      <c r="X98" s="4">
        <f t="shared" si="10"/>
        <v>0</v>
      </c>
    </row>
    <row r="99" spans="2:24" x14ac:dyDescent="0.25">
      <c r="F99" s="4">
        <f t="shared" si="11"/>
        <v>0</v>
      </c>
      <c r="L99" s="4">
        <f t="shared" si="13"/>
        <v>0</v>
      </c>
      <c r="R99" s="4">
        <f t="shared" si="12"/>
        <v>0</v>
      </c>
      <c r="X99" s="4">
        <f t="shared" si="10"/>
        <v>0</v>
      </c>
    </row>
    <row r="100" spans="2:24" x14ac:dyDescent="0.25">
      <c r="F100" s="4">
        <f t="shared" si="11"/>
        <v>0</v>
      </c>
      <c r="H100" s="9" t="s">
        <v>23</v>
      </c>
      <c r="I100" s="9"/>
      <c r="J100" s="9"/>
      <c r="K100" s="9"/>
      <c r="L100" s="15">
        <f>SUM(L78:L99)</f>
        <v>0</v>
      </c>
      <c r="R100" s="4">
        <f t="shared" si="12"/>
        <v>0</v>
      </c>
      <c r="T100" s="9" t="s">
        <v>23</v>
      </c>
      <c r="U100" s="9"/>
      <c r="V100" s="9"/>
      <c r="W100" s="9"/>
      <c r="X100" s="15">
        <f>SUM(X78:X99)</f>
        <v>0</v>
      </c>
    </row>
    <row r="101" spans="2:24" x14ac:dyDescent="0.25">
      <c r="B101" s="13" t="s">
        <v>28</v>
      </c>
      <c r="C101" s="13"/>
      <c r="D101" s="14"/>
      <c r="E101" s="14"/>
      <c r="F101" s="10">
        <f>-D101*E101</f>
        <v>0</v>
      </c>
      <c r="H101" s="9" t="s">
        <v>24</v>
      </c>
      <c r="I101" s="9"/>
      <c r="J101" s="9"/>
      <c r="K101" s="9"/>
      <c r="L101" s="8">
        <f>SUM(F102)</f>
        <v>0</v>
      </c>
      <c r="N101" s="13" t="s">
        <v>28</v>
      </c>
      <c r="O101" s="13"/>
      <c r="P101" s="14"/>
      <c r="Q101" s="14"/>
      <c r="R101" s="10">
        <f>-P101*Q101</f>
        <v>0</v>
      </c>
      <c r="T101" s="9" t="s">
        <v>24</v>
      </c>
      <c r="U101" s="9"/>
      <c r="V101" s="9"/>
      <c r="W101" s="9"/>
      <c r="X101" s="8">
        <f>SUM(R102)</f>
        <v>0</v>
      </c>
    </row>
    <row r="102" spans="2:24" x14ac:dyDescent="0.25">
      <c r="B102" s="7" t="s">
        <v>19</v>
      </c>
      <c r="C102" s="7"/>
      <c r="D102" s="7"/>
      <c r="E102" s="7"/>
      <c r="F102" s="21">
        <f>SUM(F78:F101)</f>
        <v>0</v>
      </c>
      <c r="H102" s="9" t="s">
        <v>25</v>
      </c>
      <c r="I102" s="9"/>
      <c r="J102" s="9"/>
      <c r="K102" s="9"/>
      <c r="L102" s="22">
        <f>SUM(L101+L100)</f>
        <v>0</v>
      </c>
      <c r="N102" s="7" t="s">
        <v>19</v>
      </c>
      <c r="O102" s="7"/>
      <c r="P102" s="7"/>
      <c r="Q102" s="7"/>
      <c r="R102" s="21">
        <f>SUM(R78:R101)</f>
        <v>0</v>
      </c>
      <c r="T102" s="9" t="s">
        <v>25</v>
      </c>
      <c r="U102" s="9"/>
      <c r="V102" s="9"/>
      <c r="W102" s="9"/>
      <c r="X102" s="22">
        <f>SUM(X101+X100)</f>
        <v>0</v>
      </c>
    </row>
    <row r="103" spans="2:24" ht="18.75" x14ac:dyDescent="0.3">
      <c r="B103" s="17" t="s">
        <v>29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N103" s="17" t="s">
        <v>29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5" spans="2:24" x14ac:dyDescent="0.25">
      <c r="B105" s="3" t="s">
        <v>0</v>
      </c>
      <c r="C105" s="3"/>
      <c r="D105" s="18" t="s">
        <v>70</v>
      </c>
      <c r="E105" s="18"/>
      <c r="F105" s="18"/>
      <c r="H105" s="3" t="s">
        <v>43</v>
      </c>
      <c r="I105" s="3"/>
      <c r="J105">
        <v>2</v>
      </c>
      <c r="N105" s="3" t="s">
        <v>0</v>
      </c>
      <c r="O105" s="3"/>
      <c r="P105" s="18" t="s">
        <v>62</v>
      </c>
      <c r="Q105" s="18"/>
      <c r="R105" s="18"/>
      <c r="T105" s="3" t="s">
        <v>43</v>
      </c>
      <c r="U105" s="3"/>
      <c r="V105">
        <v>2</v>
      </c>
    </row>
    <row r="106" spans="2:24" x14ac:dyDescent="0.25">
      <c r="B106" s="3" t="s">
        <v>1</v>
      </c>
      <c r="C106" s="3"/>
      <c r="D106" s="2" t="s">
        <v>71</v>
      </c>
      <c r="E106" s="2"/>
      <c r="F106" s="2"/>
      <c r="H106" s="3" t="s">
        <v>44</v>
      </c>
      <c r="I106" s="3"/>
      <c r="J106" t="s">
        <v>50</v>
      </c>
      <c r="N106" s="3" t="s">
        <v>1</v>
      </c>
      <c r="O106" s="3"/>
      <c r="P106" s="2" t="s">
        <v>61</v>
      </c>
      <c r="Q106" s="2"/>
      <c r="R106" s="2"/>
      <c r="T106" s="3" t="s">
        <v>44</v>
      </c>
      <c r="U106" s="3"/>
      <c r="V106" t="s">
        <v>50</v>
      </c>
    </row>
    <row r="107" spans="2:24" x14ac:dyDescent="0.25">
      <c r="B107" s="3" t="s">
        <v>3</v>
      </c>
      <c r="C107" s="3"/>
      <c r="D107" s="2" t="s">
        <v>32</v>
      </c>
      <c r="E107" s="2"/>
      <c r="F107" s="2"/>
      <c r="H107" s="3" t="s">
        <v>45</v>
      </c>
      <c r="I107" s="3"/>
      <c r="J107" t="s">
        <v>51</v>
      </c>
      <c r="N107" s="3" t="s">
        <v>3</v>
      </c>
      <c r="O107" s="3"/>
      <c r="P107" s="2" t="s">
        <v>32</v>
      </c>
      <c r="Q107" s="2"/>
      <c r="R107" s="2"/>
      <c r="T107" s="3" t="s">
        <v>45</v>
      </c>
      <c r="U107" s="3"/>
      <c r="V107" t="s">
        <v>51</v>
      </c>
    </row>
    <row r="108" spans="2:24" x14ac:dyDescent="0.25">
      <c r="B108" s="3" t="s">
        <v>2</v>
      </c>
      <c r="C108" s="3"/>
      <c r="D108" s="2" t="s">
        <v>72</v>
      </c>
      <c r="E108" s="2"/>
      <c r="F108" s="2"/>
      <c r="H108" s="3" t="s">
        <v>46</v>
      </c>
      <c r="I108" s="3"/>
      <c r="J108" t="s">
        <v>52</v>
      </c>
      <c r="N108" s="3" t="s">
        <v>2</v>
      </c>
      <c r="O108" s="3"/>
      <c r="P108" s="2" t="s">
        <v>55</v>
      </c>
      <c r="Q108" s="2"/>
      <c r="R108" s="2"/>
      <c r="T108" s="3" t="s">
        <v>46</v>
      </c>
      <c r="U108" s="3"/>
      <c r="V108" t="s">
        <v>52</v>
      </c>
    </row>
    <row r="110" spans="2:24" x14ac:dyDescent="0.25">
      <c r="B110" s="1"/>
      <c r="C110" s="1" t="s">
        <v>4</v>
      </c>
      <c r="D110" s="1"/>
      <c r="E110" s="1"/>
      <c r="F110" s="1"/>
      <c r="H110" s="6" t="s">
        <v>20</v>
      </c>
      <c r="I110" s="6"/>
      <c r="J110" s="6"/>
      <c r="K110" s="6"/>
      <c r="L110" s="6"/>
      <c r="N110" s="1"/>
      <c r="O110" s="1" t="s">
        <v>4</v>
      </c>
      <c r="P110" s="1"/>
      <c r="Q110" s="1"/>
      <c r="R110" s="1"/>
      <c r="T110" s="6" t="s">
        <v>20</v>
      </c>
      <c r="U110" s="6"/>
      <c r="V110" s="6"/>
      <c r="W110" s="6"/>
      <c r="X110" s="6"/>
    </row>
    <row r="111" spans="2:24" x14ac:dyDescent="0.25">
      <c r="B111" s="11" t="s">
        <v>5</v>
      </c>
      <c r="C111" s="11" t="s">
        <v>6</v>
      </c>
      <c r="D111" s="11" t="s">
        <v>7</v>
      </c>
      <c r="E111" s="12" t="s">
        <v>8</v>
      </c>
      <c r="F111" s="11" t="s">
        <v>9</v>
      </c>
      <c r="H111" s="11" t="s">
        <v>5</v>
      </c>
      <c r="I111" s="12" t="s">
        <v>21</v>
      </c>
      <c r="J111" s="12" t="s">
        <v>22</v>
      </c>
      <c r="K111" s="12" t="s">
        <v>8</v>
      </c>
      <c r="L111" s="12" t="s">
        <v>9</v>
      </c>
      <c r="N111" s="11" t="s">
        <v>5</v>
      </c>
      <c r="O111" s="11" t="s">
        <v>6</v>
      </c>
      <c r="P111" s="11" t="s">
        <v>7</v>
      </c>
      <c r="Q111" s="12" t="s">
        <v>8</v>
      </c>
      <c r="R111" s="11" t="s">
        <v>9</v>
      </c>
      <c r="T111" s="11" t="s">
        <v>5</v>
      </c>
      <c r="U111" s="12" t="s">
        <v>21</v>
      </c>
      <c r="V111" s="12" t="s">
        <v>22</v>
      </c>
      <c r="W111" s="12" t="s">
        <v>8</v>
      </c>
      <c r="X111" s="12" t="s">
        <v>9</v>
      </c>
    </row>
    <row r="112" spans="2:24" x14ac:dyDescent="0.25">
      <c r="B112" t="s">
        <v>10</v>
      </c>
      <c r="E112">
        <v>650</v>
      </c>
      <c r="F112" s="4">
        <f>C112*E112</f>
        <v>0</v>
      </c>
      <c r="L112" s="4">
        <f t="shared" ref="L112:L114" si="14">-I112*K112+J112*K112</f>
        <v>0</v>
      </c>
      <c r="N112" t="s">
        <v>10</v>
      </c>
      <c r="R112" s="4">
        <f>O112*Q112</f>
        <v>0</v>
      </c>
      <c r="X112" s="4">
        <f t="shared" ref="X112:X133" si="15">-U112*W112+V112*W112</f>
        <v>0</v>
      </c>
    </row>
    <row r="113" spans="2:24" x14ac:dyDescent="0.25">
      <c r="B113" t="s">
        <v>11</v>
      </c>
      <c r="E113">
        <v>670</v>
      </c>
      <c r="F113" s="4">
        <f t="shared" ref="F113:F134" si="16">C113*E113</f>
        <v>0</v>
      </c>
      <c r="L113" s="4">
        <f t="shared" si="14"/>
        <v>0</v>
      </c>
      <c r="N113" t="s">
        <v>11</v>
      </c>
      <c r="R113" s="4">
        <f t="shared" ref="R113:R134" si="17">O113*Q113</f>
        <v>0</v>
      </c>
      <c r="X113" s="4">
        <f t="shared" si="15"/>
        <v>0</v>
      </c>
    </row>
    <row r="114" spans="2:24" x14ac:dyDescent="0.25">
      <c r="B114" t="s">
        <v>12</v>
      </c>
      <c r="E114">
        <v>973</v>
      </c>
      <c r="F114" s="4">
        <f t="shared" si="16"/>
        <v>0</v>
      </c>
      <c r="L114" s="4">
        <f t="shared" si="14"/>
        <v>0</v>
      </c>
      <c r="N114" t="s">
        <v>12</v>
      </c>
      <c r="R114" s="4">
        <f t="shared" si="17"/>
        <v>0</v>
      </c>
      <c r="X114" s="4">
        <f t="shared" si="15"/>
        <v>0</v>
      </c>
    </row>
    <row r="115" spans="2:24" x14ac:dyDescent="0.25">
      <c r="B115" t="s">
        <v>13</v>
      </c>
      <c r="E115">
        <v>622</v>
      </c>
      <c r="F115" s="4">
        <f t="shared" si="16"/>
        <v>0</v>
      </c>
      <c r="L115" s="4">
        <f>-I115*K115+J115*K115</f>
        <v>0</v>
      </c>
      <c r="N115" t="s">
        <v>13</v>
      </c>
      <c r="R115" s="4">
        <f t="shared" si="17"/>
        <v>0</v>
      </c>
      <c r="X115" s="4">
        <f t="shared" si="15"/>
        <v>0</v>
      </c>
    </row>
    <row r="116" spans="2:24" x14ac:dyDescent="0.25">
      <c r="B116" t="s">
        <v>14</v>
      </c>
      <c r="E116">
        <v>912</v>
      </c>
      <c r="F116" s="4">
        <f t="shared" si="16"/>
        <v>0</v>
      </c>
      <c r="L116" s="4">
        <f t="shared" ref="L116:L133" si="18">-I116*K116+J116*K116</f>
        <v>0</v>
      </c>
      <c r="N116" t="s">
        <v>14</v>
      </c>
      <c r="R116" s="4">
        <f t="shared" si="17"/>
        <v>0</v>
      </c>
      <c r="X116" s="4">
        <f t="shared" si="15"/>
        <v>0</v>
      </c>
    </row>
    <row r="117" spans="2:24" x14ac:dyDescent="0.25">
      <c r="B117" t="s">
        <v>15</v>
      </c>
      <c r="F117" s="4">
        <f t="shared" si="16"/>
        <v>0</v>
      </c>
      <c r="L117" s="4">
        <f t="shared" si="18"/>
        <v>0</v>
      </c>
      <c r="N117" t="s">
        <v>15</v>
      </c>
      <c r="R117" s="4">
        <f t="shared" si="17"/>
        <v>0</v>
      </c>
      <c r="X117" s="4">
        <f t="shared" si="15"/>
        <v>0</v>
      </c>
    </row>
    <row r="118" spans="2:24" x14ac:dyDescent="0.25">
      <c r="B118" t="s">
        <v>16</v>
      </c>
      <c r="E118">
        <v>872</v>
      </c>
      <c r="F118" s="4">
        <f t="shared" si="16"/>
        <v>0</v>
      </c>
      <c r="L118" s="4">
        <f t="shared" si="18"/>
        <v>0</v>
      </c>
      <c r="N118" t="s">
        <v>16</v>
      </c>
      <c r="R118" s="4">
        <f t="shared" si="17"/>
        <v>0</v>
      </c>
      <c r="X118" s="4">
        <f t="shared" si="15"/>
        <v>0</v>
      </c>
    </row>
    <row r="119" spans="2:24" x14ac:dyDescent="0.25">
      <c r="B119" t="s">
        <v>17</v>
      </c>
      <c r="E119">
        <v>229</v>
      </c>
      <c r="F119" s="4">
        <f t="shared" si="16"/>
        <v>0</v>
      </c>
      <c r="L119" s="4">
        <f t="shared" si="18"/>
        <v>0</v>
      </c>
      <c r="N119" t="s">
        <v>17</v>
      </c>
      <c r="R119" s="4">
        <f t="shared" si="17"/>
        <v>0</v>
      </c>
      <c r="X119" s="4">
        <f t="shared" si="15"/>
        <v>0</v>
      </c>
    </row>
    <row r="120" spans="2:24" x14ac:dyDescent="0.25">
      <c r="B120" t="s">
        <v>18</v>
      </c>
      <c r="E120">
        <v>500</v>
      </c>
      <c r="F120" s="4">
        <f t="shared" si="16"/>
        <v>0</v>
      </c>
      <c r="L120" s="4">
        <f t="shared" si="18"/>
        <v>0</v>
      </c>
      <c r="N120" t="s">
        <v>18</v>
      </c>
      <c r="R120" s="4">
        <f t="shared" si="17"/>
        <v>0</v>
      </c>
      <c r="X120" s="4">
        <f t="shared" si="15"/>
        <v>0</v>
      </c>
    </row>
    <row r="121" spans="2:24" x14ac:dyDescent="0.25">
      <c r="B121" t="s">
        <v>26</v>
      </c>
      <c r="E121">
        <v>650</v>
      </c>
      <c r="F121" s="4">
        <f t="shared" si="16"/>
        <v>0</v>
      </c>
      <c r="L121" s="4">
        <f t="shared" si="18"/>
        <v>0</v>
      </c>
      <c r="N121" t="s">
        <v>26</v>
      </c>
      <c r="R121" s="4">
        <f t="shared" si="17"/>
        <v>0</v>
      </c>
      <c r="X121" s="4">
        <f t="shared" si="15"/>
        <v>0</v>
      </c>
    </row>
    <row r="122" spans="2:24" x14ac:dyDescent="0.25">
      <c r="B122" s="20" t="s">
        <v>41</v>
      </c>
      <c r="E122">
        <v>1175</v>
      </c>
      <c r="F122" s="4">
        <f t="shared" si="16"/>
        <v>0</v>
      </c>
      <c r="L122" s="4">
        <f t="shared" si="18"/>
        <v>0</v>
      </c>
      <c r="R122" s="4">
        <f t="shared" si="17"/>
        <v>0</v>
      </c>
      <c r="X122" s="4">
        <f t="shared" si="15"/>
        <v>0</v>
      </c>
    </row>
    <row r="123" spans="2:24" x14ac:dyDescent="0.25">
      <c r="B123" t="s">
        <v>40</v>
      </c>
      <c r="E123">
        <v>700</v>
      </c>
      <c r="F123" s="4">
        <f t="shared" si="16"/>
        <v>0</v>
      </c>
      <c r="L123" s="4">
        <f t="shared" si="18"/>
        <v>0</v>
      </c>
      <c r="R123" s="4">
        <f t="shared" si="17"/>
        <v>0</v>
      </c>
      <c r="X123" s="4">
        <f t="shared" si="15"/>
        <v>0</v>
      </c>
    </row>
    <row r="124" spans="2:24" x14ac:dyDescent="0.25">
      <c r="F124" s="4">
        <f t="shared" si="16"/>
        <v>0</v>
      </c>
      <c r="L124" s="4">
        <f t="shared" si="18"/>
        <v>0</v>
      </c>
      <c r="R124" s="4">
        <f t="shared" si="17"/>
        <v>0</v>
      </c>
      <c r="X124" s="4">
        <f t="shared" si="15"/>
        <v>0</v>
      </c>
    </row>
    <row r="125" spans="2:24" x14ac:dyDescent="0.25">
      <c r="F125" s="4">
        <f t="shared" si="16"/>
        <v>0</v>
      </c>
      <c r="L125" s="4">
        <f t="shared" si="18"/>
        <v>0</v>
      </c>
      <c r="R125" s="4">
        <f t="shared" si="17"/>
        <v>0</v>
      </c>
      <c r="X125" s="4">
        <f t="shared" si="15"/>
        <v>0</v>
      </c>
    </row>
    <row r="126" spans="2:24" x14ac:dyDescent="0.25">
      <c r="F126" s="4">
        <f t="shared" si="16"/>
        <v>0</v>
      </c>
      <c r="L126" s="4">
        <f t="shared" si="18"/>
        <v>0</v>
      </c>
      <c r="R126" s="4">
        <f t="shared" si="17"/>
        <v>0</v>
      </c>
      <c r="X126" s="4">
        <f t="shared" si="15"/>
        <v>0</v>
      </c>
    </row>
    <row r="127" spans="2:24" x14ac:dyDescent="0.25">
      <c r="F127" s="4">
        <f t="shared" si="16"/>
        <v>0</v>
      </c>
      <c r="L127" s="4">
        <f t="shared" si="18"/>
        <v>0</v>
      </c>
      <c r="R127" s="4">
        <f t="shared" si="17"/>
        <v>0</v>
      </c>
      <c r="X127" s="4">
        <f t="shared" si="15"/>
        <v>0</v>
      </c>
    </row>
    <row r="128" spans="2:24" x14ac:dyDescent="0.25">
      <c r="F128" s="4">
        <f t="shared" si="16"/>
        <v>0</v>
      </c>
      <c r="L128" s="4">
        <f t="shared" si="18"/>
        <v>0</v>
      </c>
      <c r="R128" s="4">
        <f t="shared" si="17"/>
        <v>0</v>
      </c>
      <c r="X128" s="4">
        <f t="shared" si="15"/>
        <v>0</v>
      </c>
    </row>
    <row r="129" spans="2:24" x14ac:dyDescent="0.25">
      <c r="F129" s="4">
        <f t="shared" si="16"/>
        <v>0</v>
      </c>
      <c r="L129" s="4">
        <f t="shared" si="18"/>
        <v>0</v>
      </c>
      <c r="R129" s="4">
        <f t="shared" si="17"/>
        <v>0</v>
      </c>
      <c r="X129" s="4">
        <f t="shared" si="15"/>
        <v>0</v>
      </c>
    </row>
    <row r="130" spans="2:24" x14ac:dyDescent="0.25">
      <c r="F130" s="4">
        <f t="shared" si="16"/>
        <v>0</v>
      </c>
      <c r="L130" s="4">
        <f t="shared" si="18"/>
        <v>0</v>
      </c>
      <c r="R130" s="4">
        <f t="shared" si="17"/>
        <v>0</v>
      </c>
      <c r="X130" s="4">
        <f t="shared" si="15"/>
        <v>0</v>
      </c>
    </row>
    <row r="131" spans="2:24" x14ac:dyDescent="0.25">
      <c r="F131" s="4">
        <f t="shared" si="16"/>
        <v>0</v>
      </c>
      <c r="L131" s="4">
        <f t="shared" si="18"/>
        <v>0</v>
      </c>
      <c r="R131" s="4">
        <f t="shared" si="17"/>
        <v>0</v>
      </c>
      <c r="X131" s="4">
        <f t="shared" si="15"/>
        <v>0</v>
      </c>
    </row>
    <row r="132" spans="2:24" x14ac:dyDescent="0.25">
      <c r="F132" s="4">
        <f t="shared" si="16"/>
        <v>0</v>
      </c>
      <c r="L132" s="4">
        <f t="shared" si="18"/>
        <v>0</v>
      </c>
      <c r="R132" s="4">
        <f t="shared" si="17"/>
        <v>0</v>
      </c>
      <c r="X132" s="4">
        <f t="shared" si="15"/>
        <v>0</v>
      </c>
    </row>
    <row r="133" spans="2:24" x14ac:dyDescent="0.25">
      <c r="F133" s="4">
        <f t="shared" si="16"/>
        <v>0</v>
      </c>
      <c r="L133" s="4">
        <f t="shared" si="18"/>
        <v>0</v>
      </c>
      <c r="R133" s="4">
        <f t="shared" si="17"/>
        <v>0</v>
      </c>
      <c r="X133" s="4">
        <f t="shared" si="15"/>
        <v>0</v>
      </c>
    </row>
    <row r="134" spans="2:24" x14ac:dyDescent="0.25">
      <c r="F134" s="4">
        <f t="shared" si="16"/>
        <v>0</v>
      </c>
      <c r="H134" s="9" t="s">
        <v>23</v>
      </c>
      <c r="I134" s="9"/>
      <c r="J134" s="9"/>
      <c r="K134" s="9"/>
      <c r="L134" s="15">
        <f>SUM(L112:L133)</f>
        <v>0</v>
      </c>
      <c r="R134" s="4">
        <f t="shared" si="17"/>
        <v>0</v>
      </c>
      <c r="T134" s="9" t="s">
        <v>23</v>
      </c>
      <c r="U134" s="9"/>
      <c r="V134" s="9"/>
      <c r="W134" s="9"/>
      <c r="X134" s="15">
        <f>SUM(X112:X133)</f>
        <v>0</v>
      </c>
    </row>
    <row r="135" spans="2:24" x14ac:dyDescent="0.25">
      <c r="B135" s="13" t="s">
        <v>28</v>
      </c>
      <c r="C135" s="13"/>
      <c r="D135" s="14"/>
      <c r="E135" s="14"/>
      <c r="F135" s="10">
        <f>-D135*E135</f>
        <v>0</v>
      </c>
      <c r="H135" s="9" t="s">
        <v>24</v>
      </c>
      <c r="I135" s="9"/>
      <c r="J135" s="9"/>
      <c r="K135" s="9"/>
      <c r="L135" s="8">
        <f>SUM(F136)</f>
        <v>0</v>
      </c>
      <c r="N135" s="13" t="s">
        <v>28</v>
      </c>
      <c r="O135" s="13"/>
      <c r="P135" s="14"/>
      <c r="Q135" s="14"/>
      <c r="R135" s="10">
        <f>-P135*Q135</f>
        <v>0</v>
      </c>
      <c r="T135" s="9" t="s">
        <v>24</v>
      </c>
      <c r="U135" s="9"/>
      <c r="V135" s="9"/>
      <c r="W135" s="9"/>
      <c r="X135" s="8">
        <f>SUM(R136)</f>
        <v>0</v>
      </c>
    </row>
    <row r="136" spans="2:24" x14ac:dyDescent="0.25">
      <c r="B136" s="7" t="s">
        <v>19</v>
      </c>
      <c r="C136" s="7"/>
      <c r="D136" s="7"/>
      <c r="E136" s="7"/>
      <c r="F136" s="21">
        <f>SUM(F112:F135)</f>
        <v>0</v>
      </c>
      <c r="H136" s="9" t="s">
        <v>25</v>
      </c>
      <c r="I136" s="9"/>
      <c r="J136" s="9"/>
      <c r="K136" s="9"/>
      <c r="L136" s="22">
        <f>SUM(L135+L134)</f>
        <v>0</v>
      </c>
      <c r="N136" s="7" t="s">
        <v>19</v>
      </c>
      <c r="O136" s="7"/>
      <c r="P136" s="7"/>
      <c r="Q136" s="7"/>
      <c r="R136" s="21">
        <f>SUM(R112:R135)</f>
        <v>0</v>
      </c>
      <c r="T136" s="9" t="s">
        <v>25</v>
      </c>
      <c r="U136" s="9"/>
      <c r="V136" s="9"/>
      <c r="W136" s="9"/>
      <c r="X136" s="22">
        <f>SUM(X135+X134)</f>
        <v>0</v>
      </c>
    </row>
    <row r="137" spans="2:24" ht="18.75" x14ac:dyDescent="0.3">
      <c r="B137" s="17" t="s">
        <v>29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</row>
    <row r="139" spans="2:24" x14ac:dyDescent="0.25">
      <c r="B139" s="3" t="s">
        <v>0</v>
      </c>
      <c r="C139" s="3"/>
      <c r="D139" s="18" t="s">
        <v>73</v>
      </c>
      <c r="E139" s="18"/>
      <c r="F139" s="18"/>
      <c r="H139" s="3" t="s">
        <v>43</v>
      </c>
      <c r="I139" s="3"/>
      <c r="J139">
        <v>2</v>
      </c>
    </row>
    <row r="140" spans="2:24" x14ac:dyDescent="0.25">
      <c r="B140" s="3" t="s">
        <v>1</v>
      </c>
      <c r="C140" s="3"/>
      <c r="D140" s="2" t="s">
        <v>74</v>
      </c>
      <c r="E140" s="2"/>
      <c r="F140" s="2"/>
      <c r="H140" s="3" t="s">
        <v>44</v>
      </c>
      <c r="I140" s="3"/>
      <c r="J140" t="s">
        <v>50</v>
      </c>
    </row>
    <row r="141" spans="2:24" x14ac:dyDescent="0.25">
      <c r="B141" s="3" t="s">
        <v>3</v>
      </c>
      <c r="C141" s="3"/>
      <c r="D141" s="2" t="s">
        <v>32</v>
      </c>
      <c r="E141" s="2"/>
      <c r="F141" s="2"/>
      <c r="H141" s="3" t="s">
        <v>45</v>
      </c>
      <c r="I141" s="3"/>
      <c r="J141" t="s">
        <v>51</v>
      </c>
    </row>
    <row r="142" spans="2:24" x14ac:dyDescent="0.25">
      <c r="B142" s="3" t="s">
        <v>2</v>
      </c>
      <c r="C142" s="3"/>
      <c r="D142" s="2" t="s">
        <v>75</v>
      </c>
      <c r="E142" s="2"/>
      <c r="F142" s="2"/>
      <c r="H142" s="3" t="s">
        <v>46</v>
      </c>
      <c r="I142" s="3"/>
      <c r="J142" t="s">
        <v>52</v>
      </c>
    </row>
    <row r="144" spans="2:24" x14ac:dyDescent="0.25">
      <c r="B144" s="1"/>
      <c r="C144" s="1" t="s">
        <v>4</v>
      </c>
      <c r="D144" s="1"/>
      <c r="E144" s="1"/>
      <c r="F144" s="1"/>
      <c r="H144" s="6" t="s">
        <v>20</v>
      </c>
      <c r="I144" s="6"/>
      <c r="J144" s="6"/>
      <c r="K144" s="6"/>
      <c r="L144" s="6"/>
    </row>
    <row r="145" spans="2:12" x14ac:dyDescent="0.25">
      <c r="B145" s="11" t="s">
        <v>5</v>
      </c>
      <c r="C145" s="11" t="s">
        <v>6</v>
      </c>
      <c r="D145" s="11" t="s">
        <v>7</v>
      </c>
      <c r="E145" s="12" t="s">
        <v>8</v>
      </c>
      <c r="F145" s="11" t="s">
        <v>9</v>
      </c>
      <c r="H145" s="11" t="s">
        <v>5</v>
      </c>
      <c r="I145" s="12" t="s">
        <v>21</v>
      </c>
      <c r="J145" s="12" t="s">
        <v>22</v>
      </c>
      <c r="K145" s="12" t="s">
        <v>8</v>
      </c>
      <c r="L145" s="12" t="s">
        <v>9</v>
      </c>
    </row>
    <row r="146" spans="2:12" x14ac:dyDescent="0.25">
      <c r="B146" t="s">
        <v>10</v>
      </c>
      <c r="E146">
        <v>650</v>
      </c>
      <c r="F146" s="4">
        <f>C146*E146</f>
        <v>0</v>
      </c>
      <c r="K146">
        <v>111</v>
      </c>
      <c r="L146" s="4">
        <f t="shared" ref="L146:L148" si="19">-I146*K146+J146*K146</f>
        <v>0</v>
      </c>
    </row>
    <row r="147" spans="2:12" x14ac:dyDescent="0.25">
      <c r="B147" t="s">
        <v>11</v>
      </c>
      <c r="E147">
        <v>670</v>
      </c>
      <c r="F147" s="4">
        <f t="shared" ref="F147:F168" si="20">C147*E147</f>
        <v>0</v>
      </c>
      <c r="K147">
        <v>111</v>
      </c>
      <c r="L147" s="4">
        <f t="shared" si="19"/>
        <v>0</v>
      </c>
    </row>
    <row r="148" spans="2:12" x14ac:dyDescent="0.25">
      <c r="B148" t="s">
        <v>12</v>
      </c>
      <c r="E148">
        <v>973</v>
      </c>
      <c r="F148" s="4">
        <f t="shared" si="20"/>
        <v>0</v>
      </c>
      <c r="L148" s="4">
        <f t="shared" si="19"/>
        <v>0</v>
      </c>
    </row>
    <row r="149" spans="2:12" x14ac:dyDescent="0.25">
      <c r="B149" t="s">
        <v>13</v>
      </c>
      <c r="E149">
        <v>622</v>
      </c>
      <c r="F149" s="4">
        <f t="shared" si="20"/>
        <v>0</v>
      </c>
      <c r="K149">
        <v>4.5</v>
      </c>
      <c r="L149" s="4">
        <f>-I149*K149+J149*K149</f>
        <v>0</v>
      </c>
    </row>
    <row r="150" spans="2:12" x14ac:dyDescent="0.25">
      <c r="B150" t="s">
        <v>14</v>
      </c>
      <c r="E150">
        <v>912</v>
      </c>
      <c r="F150" s="4">
        <f t="shared" si="20"/>
        <v>0</v>
      </c>
      <c r="K150">
        <v>1.5</v>
      </c>
      <c r="L150" s="4">
        <f t="shared" ref="L150:L167" si="21">-I150*K150+J150*K150</f>
        <v>0</v>
      </c>
    </row>
    <row r="151" spans="2:12" x14ac:dyDescent="0.25">
      <c r="B151" t="s">
        <v>15</v>
      </c>
      <c r="F151" s="4">
        <f t="shared" si="20"/>
        <v>0</v>
      </c>
      <c r="L151" s="4">
        <f t="shared" si="21"/>
        <v>0</v>
      </c>
    </row>
    <row r="152" spans="2:12" x14ac:dyDescent="0.25">
      <c r="B152" t="s">
        <v>16</v>
      </c>
      <c r="E152">
        <v>872</v>
      </c>
      <c r="F152" s="4">
        <f t="shared" si="20"/>
        <v>0</v>
      </c>
      <c r="L152" s="4">
        <f t="shared" si="21"/>
        <v>0</v>
      </c>
    </row>
    <row r="153" spans="2:12" x14ac:dyDescent="0.25">
      <c r="B153" t="s">
        <v>17</v>
      </c>
      <c r="E153">
        <v>229</v>
      </c>
      <c r="F153" s="4">
        <f t="shared" si="20"/>
        <v>0</v>
      </c>
      <c r="K153">
        <v>42</v>
      </c>
      <c r="L153" s="4">
        <f t="shared" si="21"/>
        <v>0</v>
      </c>
    </row>
    <row r="154" spans="2:12" x14ac:dyDescent="0.25">
      <c r="B154" t="s">
        <v>18</v>
      </c>
      <c r="E154">
        <v>500</v>
      </c>
      <c r="F154" s="4">
        <f t="shared" si="20"/>
        <v>0</v>
      </c>
      <c r="L154" s="4">
        <f t="shared" si="21"/>
        <v>0</v>
      </c>
    </row>
    <row r="155" spans="2:12" x14ac:dyDescent="0.25">
      <c r="B155" t="s">
        <v>26</v>
      </c>
      <c r="E155">
        <v>650</v>
      </c>
      <c r="F155" s="4">
        <f t="shared" si="20"/>
        <v>0</v>
      </c>
      <c r="L155" s="4">
        <f t="shared" si="21"/>
        <v>0</v>
      </c>
    </row>
    <row r="156" spans="2:12" x14ac:dyDescent="0.25">
      <c r="B156" s="20" t="s">
        <v>41</v>
      </c>
      <c r="E156">
        <v>1175</v>
      </c>
      <c r="F156" s="4">
        <f t="shared" si="20"/>
        <v>0</v>
      </c>
      <c r="L156" s="4">
        <f t="shared" si="21"/>
        <v>0</v>
      </c>
    </row>
    <row r="157" spans="2:12" x14ac:dyDescent="0.25">
      <c r="B157" t="s">
        <v>40</v>
      </c>
      <c r="E157">
        <v>700</v>
      </c>
      <c r="F157" s="4">
        <f t="shared" si="20"/>
        <v>0</v>
      </c>
      <c r="L157" s="4">
        <f t="shared" si="21"/>
        <v>0</v>
      </c>
    </row>
    <row r="158" spans="2:12" x14ac:dyDescent="0.25">
      <c r="F158" s="4">
        <f t="shared" si="20"/>
        <v>0</v>
      </c>
      <c r="L158" s="4">
        <f t="shared" si="21"/>
        <v>0</v>
      </c>
    </row>
    <row r="159" spans="2:12" x14ac:dyDescent="0.25">
      <c r="F159" s="4">
        <f t="shared" si="20"/>
        <v>0</v>
      </c>
      <c r="L159" s="4">
        <f t="shared" si="21"/>
        <v>0</v>
      </c>
    </row>
    <row r="160" spans="2:12" x14ac:dyDescent="0.25">
      <c r="F160" s="4">
        <f t="shared" si="20"/>
        <v>0</v>
      </c>
      <c r="L160" s="4">
        <f t="shared" si="21"/>
        <v>0</v>
      </c>
    </row>
    <row r="161" spans="2:12" x14ac:dyDescent="0.25">
      <c r="F161" s="4">
        <f t="shared" si="20"/>
        <v>0</v>
      </c>
      <c r="L161" s="4">
        <f t="shared" si="21"/>
        <v>0</v>
      </c>
    </row>
    <row r="162" spans="2:12" x14ac:dyDescent="0.25">
      <c r="F162" s="4">
        <f t="shared" si="20"/>
        <v>0</v>
      </c>
      <c r="L162" s="4">
        <f t="shared" si="21"/>
        <v>0</v>
      </c>
    </row>
    <row r="163" spans="2:12" x14ac:dyDescent="0.25">
      <c r="F163" s="4">
        <f t="shared" si="20"/>
        <v>0</v>
      </c>
      <c r="L163" s="4">
        <f t="shared" si="21"/>
        <v>0</v>
      </c>
    </row>
    <row r="164" spans="2:12" x14ac:dyDescent="0.25">
      <c r="F164" s="4">
        <f t="shared" si="20"/>
        <v>0</v>
      </c>
      <c r="L164" s="4">
        <f t="shared" si="21"/>
        <v>0</v>
      </c>
    </row>
    <row r="165" spans="2:12" x14ac:dyDescent="0.25">
      <c r="F165" s="4">
        <f t="shared" si="20"/>
        <v>0</v>
      </c>
      <c r="L165" s="4">
        <f t="shared" si="21"/>
        <v>0</v>
      </c>
    </row>
    <row r="166" spans="2:12" x14ac:dyDescent="0.25">
      <c r="F166" s="4">
        <f t="shared" si="20"/>
        <v>0</v>
      </c>
      <c r="L166" s="4">
        <f t="shared" si="21"/>
        <v>0</v>
      </c>
    </row>
    <row r="167" spans="2:12" x14ac:dyDescent="0.25">
      <c r="F167" s="4">
        <f t="shared" si="20"/>
        <v>0</v>
      </c>
      <c r="L167" s="4">
        <f t="shared" si="21"/>
        <v>0</v>
      </c>
    </row>
    <row r="168" spans="2:12" x14ac:dyDescent="0.25">
      <c r="F168" s="4">
        <f t="shared" si="20"/>
        <v>0</v>
      </c>
      <c r="H168" s="9" t="s">
        <v>23</v>
      </c>
      <c r="I168" s="9"/>
      <c r="J168" s="9"/>
      <c r="K168" s="9"/>
      <c r="L168" s="15">
        <f>SUM(L146:L167)</f>
        <v>0</v>
      </c>
    </row>
    <row r="169" spans="2:12" x14ac:dyDescent="0.25">
      <c r="B169" s="13" t="s">
        <v>28</v>
      </c>
      <c r="C169" s="13"/>
      <c r="D169" s="14"/>
      <c r="E169" s="14"/>
      <c r="F169" s="10">
        <f>-D169*E169</f>
        <v>0</v>
      </c>
      <c r="H169" s="9" t="s">
        <v>24</v>
      </c>
      <c r="I169" s="9"/>
      <c r="J169" s="9"/>
      <c r="K169" s="9"/>
      <c r="L169" s="8">
        <f>SUM(F170)</f>
        <v>0</v>
      </c>
    </row>
    <row r="170" spans="2:12" x14ac:dyDescent="0.25">
      <c r="B170" s="7" t="s">
        <v>19</v>
      </c>
      <c r="C170" s="7"/>
      <c r="D170" s="7"/>
      <c r="E170" s="7"/>
      <c r="F170" s="21">
        <f>SUM(F146:F169)</f>
        <v>0</v>
      </c>
      <c r="H170" s="9" t="s">
        <v>25</v>
      </c>
      <c r="I170" s="9"/>
      <c r="J170" s="9"/>
      <c r="K170" s="9"/>
      <c r="L170" s="22">
        <f>SUM(L169+L168)</f>
        <v>0</v>
      </c>
    </row>
  </sheetData>
  <mergeCells count="162">
    <mergeCell ref="B170:E170"/>
    <mergeCell ref="H170:K170"/>
    <mergeCell ref="B142:C142"/>
    <mergeCell ref="D142:F142"/>
    <mergeCell ref="H142:I142"/>
    <mergeCell ref="H144:L144"/>
    <mergeCell ref="H168:K168"/>
    <mergeCell ref="B169:C169"/>
    <mergeCell ref="H169:K169"/>
    <mergeCell ref="B140:C140"/>
    <mergeCell ref="D140:F140"/>
    <mergeCell ref="H140:I140"/>
    <mergeCell ref="B141:C141"/>
    <mergeCell ref="D141:F141"/>
    <mergeCell ref="H141:I141"/>
    <mergeCell ref="B136:E136"/>
    <mergeCell ref="H136:K136"/>
    <mergeCell ref="N136:Q136"/>
    <mergeCell ref="T136:W136"/>
    <mergeCell ref="B139:C139"/>
    <mergeCell ref="D139:F139"/>
    <mergeCell ref="H139:I139"/>
    <mergeCell ref="H110:L110"/>
    <mergeCell ref="T110:X110"/>
    <mergeCell ref="H134:K134"/>
    <mergeCell ref="T134:W134"/>
    <mergeCell ref="B135:C135"/>
    <mergeCell ref="H135:K135"/>
    <mergeCell ref="N135:O135"/>
    <mergeCell ref="T135:W135"/>
    <mergeCell ref="B108:C108"/>
    <mergeCell ref="D108:F108"/>
    <mergeCell ref="H108:I108"/>
    <mergeCell ref="N108:O108"/>
    <mergeCell ref="P108:R108"/>
    <mergeCell ref="T108:U108"/>
    <mergeCell ref="B107:C107"/>
    <mergeCell ref="D107:F107"/>
    <mergeCell ref="H107:I107"/>
    <mergeCell ref="N107:O107"/>
    <mergeCell ref="P107:R107"/>
    <mergeCell ref="T107:U107"/>
    <mergeCell ref="B106:C106"/>
    <mergeCell ref="D106:F106"/>
    <mergeCell ref="H106:I106"/>
    <mergeCell ref="N106:O106"/>
    <mergeCell ref="P106:R106"/>
    <mergeCell ref="T106:U106"/>
    <mergeCell ref="B102:E102"/>
    <mergeCell ref="H102:K102"/>
    <mergeCell ref="N102:Q102"/>
    <mergeCell ref="T102:W102"/>
    <mergeCell ref="B105:C105"/>
    <mergeCell ref="D105:F105"/>
    <mergeCell ref="H105:I105"/>
    <mergeCell ref="N105:O105"/>
    <mergeCell ref="P105:R105"/>
    <mergeCell ref="T105:U105"/>
    <mergeCell ref="H76:L76"/>
    <mergeCell ref="T76:X76"/>
    <mergeCell ref="H100:K100"/>
    <mergeCell ref="T100:W100"/>
    <mergeCell ref="B101:C101"/>
    <mergeCell ref="H101:K101"/>
    <mergeCell ref="N101:O101"/>
    <mergeCell ref="T101:W101"/>
    <mergeCell ref="B74:C74"/>
    <mergeCell ref="D74:F74"/>
    <mergeCell ref="H74:I74"/>
    <mergeCell ref="N74:O74"/>
    <mergeCell ref="P74:R74"/>
    <mergeCell ref="T74:U74"/>
    <mergeCell ref="B73:C73"/>
    <mergeCell ref="D73:F73"/>
    <mergeCell ref="H73:I73"/>
    <mergeCell ref="N73:O73"/>
    <mergeCell ref="P73:R73"/>
    <mergeCell ref="T73:U73"/>
    <mergeCell ref="B72:C72"/>
    <mergeCell ref="D72:F72"/>
    <mergeCell ref="H72:I72"/>
    <mergeCell ref="N72:O72"/>
    <mergeCell ref="P72:R72"/>
    <mergeCell ref="T72:U72"/>
    <mergeCell ref="B68:E68"/>
    <mergeCell ref="H68:K68"/>
    <mergeCell ref="N68:Q68"/>
    <mergeCell ref="T68:W68"/>
    <mergeCell ref="B71:C71"/>
    <mergeCell ref="D71:F71"/>
    <mergeCell ref="H71:I71"/>
    <mergeCell ref="N71:O71"/>
    <mergeCell ref="P71:R71"/>
    <mergeCell ref="T71:U71"/>
    <mergeCell ref="H42:L42"/>
    <mergeCell ref="T42:X42"/>
    <mergeCell ref="H66:K66"/>
    <mergeCell ref="T66:W66"/>
    <mergeCell ref="B67:C67"/>
    <mergeCell ref="H67:K67"/>
    <mergeCell ref="N67:O67"/>
    <mergeCell ref="T67:W67"/>
    <mergeCell ref="B40:C40"/>
    <mergeCell ref="D40:F40"/>
    <mergeCell ref="H40:I40"/>
    <mergeCell ref="N40:O40"/>
    <mergeCell ref="P40:R40"/>
    <mergeCell ref="T40:U40"/>
    <mergeCell ref="B39:C39"/>
    <mergeCell ref="D39:F39"/>
    <mergeCell ref="H39:I39"/>
    <mergeCell ref="N39:O39"/>
    <mergeCell ref="P39:R39"/>
    <mergeCell ref="T39:U39"/>
    <mergeCell ref="B38:C38"/>
    <mergeCell ref="D38:F38"/>
    <mergeCell ref="H38:I38"/>
    <mergeCell ref="N38:O38"/>
    <mergeCell ref="P38:R38"/>
    <mergeCell ref="T38:U38"/>
    <mergeCell ref="B34:E34"/>
    <mergeCell ref="H34:K34"/>
    <mergeCell ref="N34:Q34"/>
    <mergeCell ref="T34:W34"/>
    <mergeCell ref="B37:C37"/>
    <mergeCell ref="D37:F37"/>
    <mergeCell ref="H37:I37"/>
    <mergeCell ref="N37:O37"/>
    <mergeCell ref="P37:R37"/>
    <mergeCell ref="T37:U37"/>
    <mergeCell ref="H8:L8"/>
    <mergeCell ref="T8:X8"/>
    <mergeCell ref="H32:K32"/>
    <mergeCell ref="T32:W32"/>
    <mergeCell ref="B33:C33"/>
    <mergeCell ref="H33:K33"/>
    <mergeCell ref="N33:O33"/>
    <mergeCell ref="T33:W33"/>
    <mergeCell ref="B6:C6"/>
    <mergeCell ref="D6:F6"/>
    <mergeCell ref="H6:I6"/>
    <mergeCell ref="N6:O6"/>
    <mergeCell ref="P6:R6"/>
    <mergeCell ref="T6:U6"/>
    <mergeCell ref="B5:C5"/>
    <mergeCell ref="D5:F5"/>
    <mergeCell ref="H5:I5"/>
    <mergeCell ref="N5:O5"/>
    <mergeCell ref="P5:R5"/>
    <mergeCell ref="T5:U5"/>
    <mergeCell ref="B4:C4"/>
    <mergeCell ref="D4:F4"/>
    <mergeCell ref="H4:I4"/>
    <mergeCell ref="N4:O4"/>
    <mergeCell ref="P4:R4"/>
    <mergeCell ref="T4:U4"/>
    <mergeCell ref="B3:C3"/>
    <mergeCell ref="D3:F3"/>
    <mergeCell ref="H3:I3"/>
    <mergeCell ref="N3:O3"/>
    <mergeCell ref="P3:R3"/>
    <mergeCell ref="T3:U3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799D-6277-429E-9C39-AC5AA7A3929C}">
  <dimension ref="B1:AF170"/>
  <sheetViews>
    <sheetView topLeftCell="A139" zoomScaleNormal="100" workbookViewId="0">
      <selection activeCell="O149" sqref="O149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  <col min="33" max="33" width="2.28515625" customWidth="1"/>
    <col min="35" max="35" width="2.28515625" customWidth="1"/>
  </cols>
  <sheetData>
    <row r="1" spans="2:32" ht="18.75" x14ac:dyDescent="0.3">
      <c r="B1" s="17" t="s">
        <v>29</v>
      </c>
      <c r="C1" s="16"/>
      <c r="D1" s="16"/>
      <c r="E1" s="16"/>
      <c r="F1" s="16"/>
      <c r="G1" s="16"/>
      <c r="H1" s="16"/>
      <c r="I1" s="16"/>
      <c r="J1" s="16"/>
      <c r="K1" s="16"/>
      <c r="L1" s="16"/>
      <c r="N1" s="17" t="s">
        <v>29</v>
      </c>
      <c r="O1" s="16"/>
      <c r="P1" s="16"/>
      <c r="Q1" s="16"/>
      <c r="R1" s="16"/>
      <c r="S1" s="16"/>
      <c r="T1" s="16"/>
      <c r="U1" s="16"/>
      <c r="V1" s="16"/>
      <c r="W1" s="16"/>
      <c r="X1" s="16"/>
      <c r="Z1" s="23" t="s">
        <v>9</v>
      </c>
      <c r="AB1" s="24" t="s">
        <v>27</v>
      </c>
      <c r="AD1" s="25" t="s">
        <v>76</v>
      </c>
      <c r="AF1" s="26" t="s">
        <v>77</v>
      </c>
    </row>
    <row r="3" spans="2:32" x14ac:dyDescent="0.25">
      <c r="B3" s="3" t="s">
        <v>0</v>
      </c>
      <c r="C3" s="3"/>
      <c r="D3" s="18" t="s">
        <v>81</v>
      </c>
      <c r="E3" s="18"/>
      <c r="F3" s="18"/>
      <c r="H3" s="3" t="s">
        <v>43</v>
      </c>
      <c r="I3" s="3"/>
      <c r="J3">
        <v>3</v>
      </c>
      <c r="N3" s="3" t="s">
        <v>0</v>
      </c>
      <c r="O3" s="3"/>
      <c r="P3" s="18" t="s">
        <v>84</v>
      </c>
      <c r="Q3" s="18"/>
      <c r="R3" s="18"/>
      <c r="T3" s="3" t="s">
        <v>43</v>
      </c>
      <c r="U3" s="3"/>
      <c r="V3">
        <v>3</v>
      </c>
      <c r="Z3" s="28">
        <f>F34+R34+F68+R68+F102+R102+F136+R136+F170+R170</f>
        <v>0</v>
      </c>
      <c r="AA3" s="27"/>
      <c r="AB3" s="27">
        <f>F67+F101+R101</f>
        <v>0</v>
      </c>
      <c r="AC3" s="27"/>
      <c r="AD3" s="27"/>
      <c r="AF3" s="5">
        <f>L34+X34+L68+X68+L102+X102+L136+X136+L170+X170</f>
        <v>0</v>
      </c>
    </row>
    <row r="4" spans="2:32" x14ac:dyDescent="0.25">
      <c r="B4" s="3" t="s">
        <v>1</v>
      </c>
      <c r="C4" s="3"/>
      <c r="D4" s="2" t="s">
        <v>82</v>
      </c>
      <c r="E4" s="2"/>
      <c r="F4" s="2"/>
      <c r="H4" s="3" t="s">
        <v>44</v>
      </c>
      <c r="I4" s="3"/>
      <c r="J4" t="s">
        <v>78</v>
      </c>
      <c r="N4" s="3" t="s">
        <v>1</v>
      </c>
      <c r="O4" s="3"/>
      <c r="P4" s="2" t="s">
        <v>57</v>
      </c>
      <c r="Q4" s="2"/>
      <c r="R4" s="2"/>
      <c r="T4" s="3" t="s">
        <v>44</v>
      </c>
      <c r="U4" s="3"/>
      <c r="V4" t="s">
        <v>78</v>
      </c>
      <c r="AA4" s="27"/>
      <c r="AB4" s="27"/>
      <c r="AC4" s="27"/>
      <c r="AD4" s="27"/>
    </row>
    <row r="5" spans="2:32" x14ac:dyDescent="0.25">
      <c r="B5" s="3" t="s">
        <v>3</v>
      </c>
      <c r="C5" s="3"/>
      <c r="D5" s="19" t="s">
        <v>32</v>
      </c>
      <c r="E5" s="19"/>
      <c r="F5" s="19"/>
      <c r="H5" s="3" t="s">
        <v>45</v>
      </c>
      <c r="I5" s="3"/>
      <c r="J5" t="s">
        <v>79</v>
      </c>
      <c r="N5" s="3" t="s">
        <v>3</v>
      </c>
      <c r="O5" s="3"/>
      <c r="P5" s="2" t="s">
        <v>58</v>
      </c>
      <c r="Q5" s="2"/>
      <c r="R5" s="2"/>
      <c r="T5" s="3" t="s">
        <v>45</v>
      </c>
      <c r="U5" s="3"/>
      <c r="V5" t="s">
        <v>79</v>
      </c>
      <c r="Z5" s="27"/>
      <c r="AA5" s="27"/>
      <c r="AB5" s="27"/>
      <c r="AC5" s="27"/>
      <c r="AD5" s="27"/>
    </row>
    <row r="6" spans="2:32" x14ac:dyDescent="0.25">
      <c r="B6" s="3" t="s">
        <v>2</v>
      </c>
      <c r="C6" s="3"/>
      <c r="D6" s="2" t="s">
        <v>83</v>
      </c>
      <c r="E6" s="2"/>
      <c r="F6" s="2"/>
      <c r="H6" s="3" t="s">
        <v>46</v>
      </c>
      <c r="I6" s="3"/>
      <c r="J6" t="s">
        <v>80</v>
      </c>
      <c r="N6" s="3" t="s">
        <v>2</v>
      </c>
      <c r="O6" s="3"/>
      <c r="P6" s="2" t="s">
        <v>55</v>
      </c>
      <c r="Q6" s="2"/>
      <c r="R6" s="2"/>
      <c r="T6" s="3" t="s">
        <v>46</v>
      </c>
      <c r="U6" s="3"/>
      <c r="V6" t="s">
        <v>80</v>
      </c>
      <c r="Z6" s="27"/>
      <c r="AA6" s="27"/>
      <c r="AB6" s="27"/>
      <c r="AC6" s="27"/>
      <c r="AD6" s="27"/>
    </row>
    <row r="8" spans="2:32" x14ac:dyDescent="0.25">
      <c r="B8" s="1"/>
      <c r="C8" s="1" t="s">
        <v>4</v>
      </c>
      <c r="D8" s="1"/>
      <c r="E8" s="1"/>
      <c r="F8" s="1"/>
      <c r="H8" s="6" t="s">
        <v>20</v>
      </c>
      <c r="I8" s="6"/>
      <c r="J8" s="6"/>
      <c r="K8" s="6"/>
      <c r="L8" s="6"/>
      <c r="N8" s="1"/>
      <c r="O8" s="1" t="s">
        <v>4</v>
      </c>
      <c r="P8" s="1"/>
      <c r="Q8" s="1"/>
      <c r="R8" s="1"/>
      <c r="T8" s="6" t="s">
        <v>20</v>
      </c>
      <c r="U8" s="6"/>
      <c r="V8" s="6"/>
      <c r="W8" s="6"/>
      <c r="X8" s="6"/>
    </row>
    <row r="9" spans="2:32" x14ac:dyDescent="0.25">
      <c r="B9" s="11" t="s">
        <v>5</v>
      </c>
      <c r="C9" s="11" t="s">
        <v>6</v>
      </c>
      <c r="D9" s="11" t="s">
        <v>7</v>
      </c>
      <c r="E9" s="12" t="s">
        <v>8</v>
      </c>
      <c r="F9" s="11" t="s">
        <v>9</v>
      </c>
      <c r="H9" s="11" t="s">
        <v>5</v>
      </c>
      <c r="I9" s="12" t="s">
        <v>21</v>
      </c>
      <c r="J9" s="12" t="s">
        <v>22</v>
      </c>
      <c r="K9" s="12" t="s">
        <v>8</v>
      </c>
      <c r="L9" s="12" t="s">
        <v>9</v>
      </c>
      <c r="N9" s="11" t="s">
        <v>5</v>
      </c>
      <c r="O9" s="11" t="s">
        <v>6</v>
      </c>
      <c r="P9" s="11" t="s">
        <v>7</v>
      </c>
      <c r="Q9" s="12" t="s">
        <v>8</v>
      </c>
      <c r="R9" s="11" t="s">
        <v>9</v>
      </c>
      <c r="T9" s="11" t="s">
        <v>5</v>
      </c>
      <c r="U9" s="12" t="s">
        <v>21</v>
      </c>
      <c r="V9" s="12" t="s">
        <v>22</v>
      </c>
      <c r="W9" s="12" t="s">
        <v>8</v>
      </c>
      <c r="X9" s="12" t="s">
        <v>9</v>
      </c>
    </row>
    <row r="10" spans="2:32" x14ac:dyDescent="0.25">
      <c r="B10" t="s">
        <v>10</v>
      </c>
      <c r="E10">
        <v>650</v>
      </c>
      <c r="F10" s="4">
        <f>C10*E10</f>
        <v>0</v>
      </c>
      <c r="K10">
        <v>111</v>
      </c>
      <c r="L10" s="4">
        <f t="shared" ref="L10:L32" si="0">-I10*K10+J10*K10</f>
        <v>0</v>
      </c>
      <c r="N10" t="s">
        <v>10</v>
      </c>
      <c r="Q10">
        <v>650</v>
      </c>
      <c r="R10" s="4">
        <f>O10*Q10</f>
        <v>0</v>
      </c>
      <c r="X10" s="4">
        <f t="shared" ref="X10:X31" si="1">-U10*W10+V10*W10</f>
        <v>0</v>
      </c>
    </row>
    <row r="11" spans="2:32" x14ac:dyDescent="0.25">
      <c r="B11" t="s">
        <v>11</v>
      </c>
      <c r="E11">
        <v>670</v>
      </c>
      <c r="F11" s="4">
        <f t="shared" ref="F11:F32" si="2">C11*E11</f>
        <v>0</v>
      </c>
      <c r="L11" s="4">
        <f t="shared" si="0"/>
        <v>0</v>
      </c>
      <c r="N11" t="s">
        <v>11</v>
      </c>
      <c r="Q11">
        <v>670</v>
      </c>
      <c r="R11" s="4">
        <f t="shared" ref="R11:R32" si="3">O11*Q11</f>
        <v>0</v>
      </c>
      <c r="X11" s="4">
        <f t="shared" si="1"/>
        <v>0</v>
      </c>
    </row>
    <row r="12" spans="2:32" x14ac:dyDescent="0.25">
      <c r="B12" t="s">
        <v>12</v>
      </c>
      <c r="F12" s="4">
        <f t="shared" si="2"/>
        <v>0</v>
      </c>
      <c r="L12" s="4">
        <f t="shared" si="0"/>
        <v>0</v>
      </c>
      <c r="N12" t="s">
        <v>12</v>
      </c>
      <c r="R12" s="4">
        <f t="shared" si="3"/>
        <v>0</v>
      </c>
      <c r="X12" s="4">
        <f t="shared" si="1"/>
        <v>0</v>
      </c>
    </row>
    <row r="13" spans="2:32" x14ac:dyDescent="0.25">
      <c r="B13" t="s">
        <v>13</v>
      </c>
      <c r="E13">
        <v>622</v>
      </c>
      <c r="F13" s="4">
        <f t="shared" si="2"/>
        <v>0</v>
      </c>
      <c r="L13" s="4">
        <f t="shared" si="0"/>
        <v>0</v>
      </c>
      <c r="N13" t="s">
        <v>13</v>
      </c>
      <c r="Q13">
        <v>622</v>
      </c>
      <c r="R13" s="4">
        <f t="shared" si="3"/>
        <v>0</v>
      </c>
      <c r="X13" s="4">
        <f t="shared" si="1"/>
        <v>0</v>
      </c>
    </row>
    <row r="14" spans="2:32" x14ac:dyDescent="0.25">
      <c r="B14" t="s">
        <v>14</v>
      </c>
      <c r="F14" s="4">
        <f t="shared" si="2"/>
        <v>0</v>
      </c>
      <c r="L14" s="4">
        <f t="shared" si="0"/>
        <v>0</v>
      </c>
      <c r="N14" t="s">
        <v>14</v>
      </c>
      <c r="R14" s="4">
        <f t="shared" si="3"/>
        <v>0</v>
      </c>
      <c r="X14" s="4">
        <f t="shared" si="1"/>
        <v>0</v>
      </c>
    </row>
    <row r="15" spans="2:32" x14ac:dyDescent="0.25">
      <c r="B15" t="s">
        <v>15</v>
      </c>
      <c r="F15" s="4">
        <f t="shared" si="2"/>
        <v>0</v>
      </c>
      <c r="L15" s="4">
        <f t="shared" si="0"/>
        <v>0</v>
      </c>
      <c r="N15" t="s">
        <v>15</v>
      </c>
      <c r="R15" s="4">
        <f t="shared" si="3"/>
        <v>0</v>
      </c>
      <c r="X15" s="4">
        <f t="shared" si="1"/>
        <v>0</v>
      </c>
    </row>
    <row r="16" spans="2:32" x14ac:dyDescent="0.25">
      <c r="B16" t="s">
        <v>16</v>
      </c>
      <c r="F16" s="4">
        <f t="shared" si="2"/>
        <v>0</v>
      </c>
      <c r="L16" s="4">
        <f t="shared" si="0"/>
        <v>0</v>
      </c>
      <c r="N16" t="s">
        <v>16</v>
      </c>
      <c r="R16" s="4">
        <f t="shared" si="3"/>
        <v>0</v>
      </c>
      <c r="X16" s="4">
        <f t="shared" si="1"/>
        <v>0</v>
      </c>
    </row>
    <row r="17" spans="2:24" x14ac:dyDescent="0.25">
      <c r="B17" t="s">
        <v>17</v>
      </c>
      <c r="E17">
        <v>9.5</v>
      </c>
      <c r="F17" s="4">
        <f t="shared" si="2"/>
        <v>0</v>
      </c>
      <c r="K17">
        <v>42</v>
      </c>
      <c r="L17" s="4">
        <f t="shared" si="0"/>
        <v>0</v>
      </c>
      <c r="N17" t="s">
        <v>17</v>
      </c>
      <c r="Q17">
        <v>9.5</v>
      </c>
      <c r="R17" s="4">
        <f t="shared" si="3"/>
        <v>0</v>
      </c>
      <c r="X17" s="4">
        <f t="shared" si="1"/>
        <v>0</v>
      </c>
    </row>
    <row r="18" spans="2:24" x14ac:dyDescent="0.25">
      <c r="B18" t="s">
        <v>18</v>
      </c>
      <c r="E18">
        <v>500</v>
      </c>
      <c r="F18" s="4">
        <f t="shared" si="2"/>
        <v>0</v>
      </c>
      <c r="L18" s="4">
        <f t="shared" si="0"/>
        <v>0</v>
      </c>
      <c r="N18" t="s">
        <v>18</v>
      </c>
      <c r="Q18">
        <v>500</v>
      </c>
      <c r="R18" s="4">
        <f t="shared" si="3"/>
        <v>0</v>
      </c>
      <c r="X18" s="4">
        <f t="shared" si="1"/>
        <v>0</v>
      </c>
    </row>
    <row r="19" spans="2:24" x14ac:dyDescent="0.25">
      <c r="B19" t="s">
        <v>26</v>
      </c>
      <c r="E19">
        <v>650</v>
      </c>
      <c r="F19" s="4">
        <f t="shared" si="2"/>
        <v>0</v>
      </c>
      <c r="L19" s="4">
        <f t="shared" si="0"/>
        <v>0</v>
      </c>
      <c r="N19" t="s">
        <v>26</v>
      </c>
      <c r="Q19">
        <v>650</v>
      </c>
      <c r="R19" s="4">
        <f t="shared" si="3"/>
        <v>0</v>
      </c>
      <c r="X19" s="4">
        <f t="shared" si="1"/>
        <v>0</v>
      </c>
    </row>
    <row r="20" spans="2:24" x14ac:dyDescent="0.25">
      <c r="B20" t="s">
        <v>40</v>
      </c>
      <c r="E20">
        <v>700</v>
      </c>
      <c r="F20" s="4">
        <f t="shared" si="2"/>
        <v>0</v>
      </c>
      <c r="L20" s="4">
        <f t="shared" si="0"/>
        <v>0</v>
      </c>
      <c r="N20" t="s">
        <v>40</v>
      </c>
      <c r="Q20">
        <v>700</v>
      </c>
      <c r="R20" s="4">
        <f t="shared" si="3"/>
        <v>0</v>
      </c>
      <c r="X20" s="4">
        <f t="shared" si="1"/>
        <v>0</v>
      </c>
    </row>
    <row r="21" spans="2:24" x14ac:dyDescent="0.25">
      <c r="F21" s="4">
        <f t="shared" si="2"/>
        <v>0</v>
      </c>
      <c r="L21" s="4">
        <f t="shared" si="0"/>
        <v>0</v>
      </c>
      <c r="R21" s="4">
        <f t="shared" si="3"/>
        <v>0</v>
      </c>
      <c r="X21" s="4">
        <f t="shared" si="1"/>
        <v>0</v>
      </c>
    </row>
    <row r="22" spans="2:24" x14ac:dyDescent="0.25">
      <c r="F22" s="4">
        <f t="shared" si="2"/>
        <v>0</v>
      </c>
      <c r="L22" s="4">
        <f t="shared" si="0"/>
        <v>0</v>
      </c>
      <c r="R22" s="4">
        <f t="shared" si="3"/>
        <v>0</v>
      </c>
      <c r="X22" s="4">
        <f t="shared" si="1"/>
        <v>0</v>
      </c>
    </row>
    <row r="23" spans="2:24" x14ac:dyDescent="0.25">
      <c r="F23" s="4">
        <f t="shared" si="2"/>
        <v>0</v>
      </c>
      <c r="L23" s="4">
        <f t="shared" si="0"/>
        <v>0</v>
      </c>
      <c r="R23" s="4">
        <f t="shared" si="3"/>
        <v>0</v>
      </c>
      <c r="X23" s="4">
        <f t="shared" si="1"/>
        <v>0</v>
      </c>
    </row>
    <row r="24" spans="2:24" x14ac:dyDescent="0.25">
      <c r="F24" s="4">
        <f t="shared" si="2"/>
        <v>0</v>
      </c>
      <c r="L24" s="4">
        <f t="shared" si="0"/>
        <v>0</v>
      </c>
      <c r="R24" s="4">
        <f t="shared" si="3"/>
        <v>0</v>
      </c>
      <c r="X24" s="4">
        <f t="shared" si="1"/>
        <v>0</v>
      </c>
    </row>
    <row r="25" spans="2:24" x14ac:dyDescent="0.25">
      <c r="F25" s="4">
        <f t="shared" si="2"/>
        <v>0</v>
      </c>
      <c r="L25" s="4">
        <f t="shared" si="0"/>
        <v>0</v>
      </c>
      <c r="R25" s="4">
        <f t="shared" si="3"/>
        <v>0</v>
      </c>
      <c r="X25" s="4">
        <f t="shared" si="1"/>
        <v>0</v>
      </c>
    </row>
    <row r="26" spans="2:24" x14ac:dyDescent="0.25">
      <c r="F26" s="4">
        <f t="shared" si="2"/>
        <v>0</v>
      </c>
      <c r="L26" s="4">
        <f t="shared" si="0"/>
        <v>0</v>
      </c>
      <c r="R26" s="4">
        <f t="shared" si="3"/>
        <v>0</v>
      </c>
      <c r="X26" s="4">
        <f t="shared" si="1"/>
        <v>0</v>
      </c>
    </row>
    <row r="27" spans="2:24" x14ac:dyDescent="0.25">
      <c r="F27" s="4">
        <f t="shared" si="2"/>
        <v>0</v>
      </c>
      <c r="L27" s="4">
        <f t="shared" si="0"/>
        <v>0</v>
      </c>
      <c r="R27" s="4">
        <f t="shared" si="3"/>
        <v>0</v>
      </c>
      <c r="X27" s="4">
        <f t="shared" si="1"/>
        <v>0</v>
      </c>
    </row>
    <row r="28" spans="2:24" x14ac:dyDescent="0.25">
      <c r="F28" s="4">
        <f t="shared" si="2"/>
        <v>0</v>
      </c>
      <c r="L28" s="4">
        <f t="shared" si="0"/>
        <v>0</v>
      </c>
      <c r="R28" s="4">
        <f t="shared" si="3"/>
        <v>0</v>
      </c>
      <c r="X28" s="4">
        <f t="shared" si="1"/>
        <v>0</v>
      </c>
    </row>
    <row r="29" spans="2:24" x14ac:dyDescent="0.25">
      <c r="F29" s="4">
        <f t="shared" si="2"/>
        <v>0</v>
      </c>
      <c r="L29" s="4">
        <f t="shared" si="0"/>
        <v>0</v>
      </c>
      <c r="R29" s="4">
        <f t="shared" si="3"/>
        <v>0</v>
      </c>
      <c r="X29" s="4">
        <f t="shared" si="1"/>
        <v>0</v>
      </c>
    </row>
    <row r="30" spans="2:24" x14ac:dyDescent="0.25">
      <c r="F30" s="4">
        <f t="shared" si="2"/>
        <v>0</v>
      </c>
      <c r="L30" s="4">
        <f t="shared" si="0"/>
        <v>0</v>
      </c>
      <c r="R30" s="4">
        <f t="shared" si="3"/>
        <v>0</v>
      </c>
      <c r="X30" s="4">
        <f t="shared" si="1"/>
        <v>0</v>
      </c>
    </row>
    <row r="31" spans="2:24" x14ac:dyDescent="0.25">
      <c r="F31" s="4">
        <f t="shared" si="2"/>
        <v>0</v>
      </c>
      <c r="L31" s="4">
        <f t="shared" si="0"/>
        <v>0</v>
      </c>
      <c r="R31" s="4">
        <f t="shared" si="3"/>
        <v>0</v>
      </c>
      <c r="X31" s="4">
        <f t="shared" si="1"/>
        <v>0</v>
      </c>
    </row>
    <row r="32" spans="2:24" x14ac:dyDescent="0.25">
      <c r="F32" s="4">
        <f t="shared" si="2"/>
        <v>0</v>
      </c>
      <c r="H32" s="9" t="s">
        <v>23</v>
      </c>
      <c r="I32" s="9"/>
      <c r="J32" s="9"/>
      <c r="K32" s="9"/>
      <c r="L32" s="4">
        <f t="shared" si="0"/>
        <v>0</v>
      </c>
      <c r="R32" s="4">
        <f t="shared" si="3"/>
        <v>0</v>
      </c>
      <c r="T32" s="9" t="s">
        <v>23</v>
      </c>
      <c r="U32" s="9"/>
      <c r="V32" s="9"/>
      <c r="W32" s="9"/>
      <c r="X32" s="15">
        <f>SUM(X10:X31)</f>
        <v>0</v>
      </c>
    </row>
    <row r="33" spans="2:24" x14ac:dyDescent="0.25">
      <c r="B33" s="13" t="s">
        <v>28</v>
      </c>
      <c r="C33" s="13"/>
      <c r="D33" s="14"/>
      <c r="E33" s="14"/>
      <c r="F33" s="10">
        <f>-D33*E33</f>
        <v>0</v>
      </c>
      <c r="H33" s="9" t="s">
        <v>24</v>
      </c>
      <c r="I33" s="9"/>
      <c r="J33" s="9"/>
      <c r="K33" s="9"/>
      <c r="L33" s="8">
        <f>SUM(F34)</f>
        <v>0</v>
      </c>
      <c r="N33" s="13" t="s">
        <v>28</v>
      </c>
      <c r="O33" s="13"/>
      <c r="P33" s="14"/>
      <c r="Q33" s="14"/>
      <c r="R33" s="10">
        <f>-P33*Q33</f>
        <v>0</v>
      </c>
      <c r="T33" s="9" t="s">
        <v>24</v>
      </c>
      <c r="U33" s="9"/>
      <c r="V33" s="9"/>
      <c r="W33" s="9"/>
      <c r="X33" s="8">
        <f>SUM(R34)</f>
        <v>0</v>
      </c>
    </row>
    <row r="34" spans="2:24" x14ac:dyDescent="0.25">
      <c r="B34" s="7" t="s">
        <v>19</v>
      </c>
      <c r="C34" s="7"/>
      <c r="D34" s="7"/>
      <c r="E34" s="7"/>
      <c r="F34" s="21">
        <f>SUM(F10:F33)</f>
        <v>0</v>
      </c>
      <c r="H34" s="9" t="s">
        <v>25</v>
      </c>
      <c r="I34" s="9"/>
      <c r="J34" s="9"/>
      <c r="K34" s="9"/>
      <c r="L34" s="22">
        <f>SUM(L33+L32)</f>
        <v>0</v>
      </c>
      <c r="N34" s="7" t="s">
        <v>19</v>
      </c>
      <c r="O34" s="7"/>
      <c r="P34" s="7"/>
      <c r="Q34" s="7"/>
      <c r="R34" s="21">
        <f>SUM(R10:R33)</f>
        <v>0</v>
      </c>
      <c r="T34" s="9" t="s">
        <v>25</v>
      </c>
      <c r="U34" s="9"/>
      <c r="V34" s="9"/>
      <c r="W34" s="9"/>
      <c r="X34" s="22">
        <f>SUM(X33+X32)</f>
        <v>0</v>
      </c>
    </row>
    <row r="35" spans="2:24" ht="18.75" x14ac:dyDescent="0.3">
      <c r="B35" s="17" t="s">
        <v>29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N35" s="17" t="s">
        <v>29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7" spans="2:24" x14ac:dyDescent="0.25">
      <c r="B37" s="3" t="s">
        <v>0</v>
      </c>
      <c r="C37" s="3"/>
      <c r="D37" s="18" t="s">
        <v>85</v>
      </c>
      <c r="E37" s="18"/>
      <c r="F37" s="18"/>
      <c r="H37" s="3" t="s">
        <v>43</v>
      </c>
      <c r="I37" s="3"/>
      <c r="J37">
        <v>3</v>
      </c>
      <c r="N37" s="3" t="s">
        <v>0</v>
      </c>
      <c r="O37" s="3"/>
      <c r="P37" s="18" t="s">
        <v>89</v>
      </c>
      <c r="Q37" s="18"/>
      <c r="R37" s="18"/>
      <c r="T37" s="3" t="s">
        <v>43</v>
      </c>
      <c r="U37" s="3"/>
      <c r="V37">
        <v>3</v>
      </c>
    </row>
    <row r="38" spans="2:24" x14ac:dyDescent="0.25">
      <c r="B38" s="3" t="s">
        <v>1</v>
      </c>
      <c r="C38" s="3"/>
      <c r="D38" s="2" t="s">
        <v>86</v>
      </c>
      <c r="E38" s="2"/>
      <c r="F38" s="2"/>
      <c r="H38" s="3" t="s">
        <v>44</v>
      </c>
      <c r="I38" s="3"/>
      <c r="J38" t="s">
        <v>78</v>
      </c>
      <c r="N38" s="3" t="s">
        <v>1</v>
      </c>
      <c r="O38" s="3"/>
      <c r="P38" s="2" t="s">
        <v>90</v>
      </c>
      <c r="Q38" s="2"/>
      <c r="R38" s="2"/>
      <c r="T38" s="3" t="s">
        <v>44</v>
      </c>
      <c r="U38" s="3"/>
      <c r="V38" t="s">
        <v>78</v>
      </c>
    </row>
    <row r="39" spans="2:24" x14ac:dyDescent="0.25">
      <c r="B39" s="3" t="s">
        <v>3</v>
      </c>
      <c r="C39" s="3"/>
      <c r="D39" s="2" t="s">
        <v>32</v>
      </c>
      <c r="E39" s="2"/>
      <c r="F39" s="2"/>
      <c r="H39" s="3" t="s">
        <v>45</v>
      </c>
      <c r="I39" s="3"/>
      <c r="J39" t="s">
        <v>79</v>
      </c>
      <c r="N39" s="3" t="s">
        <v>3</v>
      </c>
      <c r="O39" s="3"/>
      <c r="P39" s="2" t="s">
        <v>32</v>
      </c>
      <c r="Q39" s="2"/>
      <c r="R39" s="2"/>
      <c r="T39" s="3" t="s">
        <v>45</v>
      </c>
      <c r="U39" s="3"/>
      <c r="V39" t="s">
        <v>79</v>
      </c>
    </row>
    <row r="40" spans="2:24" x14ac:dyDescent="0.25">
      <c r="B40" s="3" t="s">
        <v>2</v>
      </c>
      <c r="C40" s="3"/>
      <c r="D40" s="2" t="s">
        <v>83</v>
      </c>
      <c r="E40" s="2"/>
      <c r="F40" s="2"/>
      <c r="H40" s="3" t="s">
        <v>46</v>
      </c>
      <c r="I40" s="3"/>
      <c r="J40" t="s">
        <v>80</v>
      </c>
      <c r="N40" s="3" t="s">
        <v>2</v>
      </c>
      <c r="O40" s="3"/>
      <c r="P40" s="2" t="s">
        <v>83</v>
      </c>
      <c r="Q40" s="2"/>
      <c r="R40" s="2"/>
      <c r="T40" s="3" t="s">
        <v>46</v>
      </c>
      <c r="U40" s="3"/>
      <c r="V40" t="s">
        <v>80</v>
      </c>
    </row>
    <row r="42" spans="2:24" x14ac:dyDescent="0.25">
      <c r="B42" s="1"/>
      <c r="C42" s="1" t="s">
        <v>4</v>
      </c>
      <c r="D42" s="1"/>
      <c r="E42" s="1"/>
      <c r="F42" s="1"/>
      <c r="H42" s="6" t="s">
        <v>20</v>
      </c>
      <c r="I42" s="6"/>
      <c r="J42" s="6"/>
      <c r="K42" s="6"/>
      <c r="L42" s="6"/>
      <c r="N42" s="1"/>
      <c r="O42" s="1" t="s">
        <v>4</v>
      </c>
      <c r="P42" s="1"/>
      <c r="Q42" s="1"/>
      <c r="R42" s="1"/>
      <c r="T42" s="6" t="s">
        <v>20</v>
      </c>
      <c r="U42" s="6"/>
      <c r="V42" s="6"/>
      <c r="W42" s="6"/>
      <c r="X42" s="6"/>
    </row>
    <row r="43" spans="2:24" x14ac:dyDescent="0.25">
      <c r="B43" s="11" t="s">
        <v>5</v>
      </c>
      <c r="C43" s="11" t="s">
        <v>6</v>
      </c>
      <c r="D43" s="11" t="s">
        <v>7</v>
      </c>
      <c r="E43" s="12" t="s">
        <v>8</v>
      </c>
      <c r="F43" s="11" t="s">
        <v>9</v>
      </c>
      <c r="H43" s="11" t="s">
        <v>5</v>
      </c>
      <c r="I43" s="12" t="s">
        <v>21</v>
      </c>
      <c r="J43" s="12" t="s">
        <v>22</v>
      </c>
      <c r="K43" s="12" t="s">
        <v>8</v>
      </c>
      <c r="L43" s="12" t="s">
        <v>9</v>
      </c>
      <c r="N43" s="11" t="s">
        <v>5</v>
      </c>
      <c r="O43" s="11" t="s">
        <v>6</v>
      </c>
      <c r="P43" s="11" t="s">
        <v>7</v>
      </c>
      <c r="Q43" s="12" t="s">
        <v>8</v>
      </c>
      <c r="R43" s="11" t="s">
        <v>9</v>
      </c>
      <c r="T43" s="11" t="s">
        <v>5</v>
      </c>
      <c r="U43" s="12" t="s">
        <v>21</v>
      </c>
      <c r="V43" s="12" t="s">
        <v>22</v>
      </c>
      <c r="W43" s="12" t="s">
        <v>8</v>
      </c>
      <c r="X43" s="12" t="s">
        <v>9</v>
      </c>
    </row>
    <row r="44" spans="2:24" x14ac:dyDescent="0.25">
      <c r="B44" t="s">
        <v>10</v>
      </c>
      <c r="E44">
        <v>650</v>
      </c>
      <c r="F44" s="4">
        <f>C44*E44</f>
        <v>0</v>
      </c>
      <c r="K44">
        <v>111</v>
      </c>
      <c r="L44" s="4">
        <f t="shared" ref="L44:L46" si="4">-I44*K44+J44*K44</f>
        <v>0</v>
      </c>
      <c r="N44" t="s">
        <v>10</v>
      </c>
      <c r="Q44">
        <v>650</v>
      </c>
      <c r="R44" s="4">
        <f>O44*Q44</f>
        <v>0</v>
      </c>
      <c r="X44" s="4">
        <f t="shared" ref="X44:X65" si="5">-U44*W44+V44*W44</f>
        <v>0</v>
      </c>
    </row>
    <row r="45" spans="2:24" x14ac:dyDescent="0.25">
      <c r="B45" t="s">
        <v>11</v>
      </c>
      <c r="E45">
        <v>670</v>
      </c>
      <c r="F45" s="4">
        <f t="shared" ref="F45:F66" si="6">C45*E45</f>
        <v>0</v>
      </c>
      <c r="L45" s="4">
        <f t="shared" si="4"/>
        <v>0</v>
      </c>
      <c r="N45" t="s">
        <v>11</v>
      </c>
      <c r="R45" s="4">
        <f t="shared" ref="R45:R66" si="7">O45*Q45</f>
        <v>0</v>
      </c>
      <c r="X45" s="4">
        <f t="shared" si="5"/>
        <v>0</v>
      </c>
    </row>
    <row r="46" spans="2:24" x14ac:dyDescent="0.25">
      <c r="B46" t="s">
        <v>12</v>
      </c>
      <c r="E46">
        <v>973</v>
      </c>
      <c r="F46" s="4">
        <f t="shared" si="6"/>
        <v>0</v>
      </c>
      <c r="L46" s="4">
        <f t="shared" si="4"/>
        <v>0</v>
      </c>
      <c r="N46" t="s">
        <v>12</v>
      </c>
      <c r="R46" s="4">
        <f t="shared" si="7"/>
        <v>0</v>
      </c>
      <c r="X46" s="4">
        <f t="shared" si="5"/>
        <v>0</v>
      </c>
    </row>
    <row r="47" spans="2:24" x14ac:dyDescent="0.25">
      <c r="B47" t="s">
        <v>13</v>
      </c>
      <c r="E47">
        <v>622</v>
      </c>
      <c r="F47" s="4">
        <f t="shared" si="6"/>
        <v>0</v>
      </c>
      <c r="K47">
        <v>1.5</v>
      </c>
      <c r="L47" s="4">
        <f>-I47*K47+J47*K47</f>
        <v>0</v>
      </c>
      <c r="N47" t="s">
        <v>13</v>
      </c>
      <c r="R47" s="4">
        <f t="shared" si="7"/>
        <v>0</v>
      </c>
      <c r="X47" s="4">
        <f t="shared" si="5"/>
        <v>0</v>
      </c>
    </row>
    <row r="48" spans="2:24" x14ac:dyDescent="0.25">
      <c r="B48" t="s">
        <v>14</v>
      </c>
      <c r="E48">
        <v>912</v>
      </c>
      <c r="F48" s="4">
        <f t="shared" si="6"/>
        <v>0</v>
      </c>
      <c r="L48" s="4">
        <f t="shared" ref="L48:L65" si="8">-I48*K48+J48*K48</f>
        <v>0</v>
      </c>
      <c r="N48" t="s">
        <v>14</v>
      </c>
      <c r="R48" s="4">
        <f t="shared" si="7"/>
        <v>0</v>
      </c>
      <c r="X48" s="4">
        <f t="shared" si="5"/>
        <v>0</v>
      </c>
    </row>
    <row r="49" spans="2:24" x14ac:dyDescent="0.25">
      <c r="B49" t="s">
        <v>15</v>
      </c>
      <c r="F49" s="4">
        <f t="shared" si="6"/>
        <v>0</v>
      </c>
      <c r="L49" s="4">
        <f t="shared" si="8"/>
        <v>0</v>
      </c>
      <c r="N49" t="s">
        <v>15</v>
      </c>
      <c r="R49" s="4">
        <f t="shared" si="7"/>
        <v>0</v>
      </c>
      <c r="X49" s="4">
        <f t="shared" si="5"/>
        <v>0</v>
      </c>
    </row>
    <row r="50" spans="2:24" x14ac:dyDescent="0.25">
      <c r="B50" t="s">
        <v>16</v>
      </c>
      <c r="E50">
        <v>872</v>
      </c>
      <c r="F50" s="4">
        <f t="shared" si="6"/>
        <v>0</v>
      </c>
      <c r="L50" s="4">
        <f t="shared" si="8"/>
        <v>0</v>
      </c>
      <c r="N50" t="s">
        <v>16</v>
      </c>
      <c r="R50" s="4">
        <f t="shared" si="7"/>
        <v>0</v>
      </c>
      <c r="X50" s="4">
        <f t="shared" si="5"/>
        <v>0</v>
      </c>
    </row>
    <row r="51" spans="2:24" x14ac:dyDescent="0.25">
      <c r="B51" t="s">
        <v>17</v>
      </c>
      <c r="E51">
        <v>229</v>
      </c>
      <c r="F51" s="4">
        <f t="shared" si="6"/>
        <v>0</v>
      </c>
      <c r="L51" s="4">
        <f t="shared" si="8"/>
        <v>0</v>
      </c>
      <c r="N51" t="s">
        <v>17</v>
      </c>
      <c r="Q51">
        <v>9.5</v>
      </c>
      <c r="R51" s="4">
        <f t="shared" si="7"/>
        <v>0</v>
      </c>
      <c r="X51" s="4">
        <f t="shared" si="5"/>
        <v>0</v>
      </c>
    </row>
    <row r="52" spans="2:24" x14ac:dyDescent="0.25">
      <c r="B52" t="s">
        <v>18</v>
      </c>
      <c r="E52">
        <v>500</v>
      </c>
      <c r="F52" s="4">
        <f t="shared" si="6"/>
        <v>0</v>
      </c>
      <c r="L52" s="4">
        <f t="shared" si="8"/>
        <v>0</v>
      </c>
      <c r="N52" t="s">
        <v>18</v>
      </c>
      <c r="R52" s="4">
        <f t="shared" si="7"/>
        <v>0</v>
      </c>
      <c r="X52" s="4">
        <f t="shared" si="5"/>
        <v>0</v>
      </c>
    </row>
    <row r="53" spans="2:24" x14ac:dyDescent="0.25">
      <c r="B53" t="s">
        <v>26</v>
      </c>
      <c r="E53">
        <v>650</v>
      </c>
      <c r="F53" s="4">
        <f t="shared" si="6"/>
        <v>0</v>
      </c>
      <c r="L53" s="4">
        <f t="shared" si="8"/>
        <v>0</v>
      </c>
      <c r="N53" t="s">
        <v>26</v>
      </c>
      <c r="R53" s="4">
        <f t="shared" si="7"/>
        <v>0</v>
      </c>
      <c r="X53" s="4">
        <f t="shared" si="5"/>
        <v>0</v>
      </c>
    </row>
    <row r="54" spans="2:24" x14ac:dyDescent="0.25">
      <c r="B54" s="20" t="s">
        <v>41</v>
      </c>
      <c r="E54">
        <v>1175</v>
      </c>
      <c r="F54" s="4">
        <f t="shared" si="6"/>
        <v>0</v>
      </c>
      <c r="L54" s="4">
        <f t="shared" si="8"/>
        <v>0</v>
      </c>
      <c r="R54" s="4">
        <f t="shared" si="7"/>
        <v>0</v>
      </c>
      <c r="X54" s="4">
        <f t="shared" si="5"/>
        <v>0</v>
      </c>
    </row>
    <row r="55" spans="2:24" x14ac:dyDescent="0.25">
      <c r="B55" t="s">
        <v>40</v>
      </c>
      <c r="E55">
        <v>700</v>
      </c>
      <c r="F55" s="4">
        <f t="shared" si="6"/>
        <v>0</v>
      </c>
      <c r="L55" s="4">
        <f t="shared" si="8"/>
        <v>0</v>
      </c>
      <c r="R55" s="4">
        <f t="shared" si="7"/>
        <v>0</v>
      </c>
      <c r="X55" s="4">
        <f t="shared" si="5"/>
        <v>0</v>
      </c>
    </row>
    <row r="56" spans="2:24" x14ac:dyDescent="0.25">
      <c r="F56" s="4">
        <f t="shared" si="6"/>
        <v>0</v>
      </c>
      <c r="L56" s="4">
        <f t="shared" si="8"/>
        <v>0</v>
      </c>
      <c r="R56" s="4">
        <f t="shared" si="7"/>
        <v>0</v>
      </c>
      <c r="X56" s="4">
        <f t="shared" si="5"/>
        <v>0</v>
      </c>
    </row>
    <row r="57" spans="2:24" x14ac:dyDescent="0.25">
      <c r="F57" s="4">
        <f t="shared" si="6"/>
        <v>0</v>
      </c>
      <c r="L57" s="4">
        <f t="shared" si="8"/>
        <v>0</v>
      </c>
      <c r="R57" s="4">
        <f t="shared" si="7"/>
        <v>0</v>
      </c>
      <c r="X57" s="4">
        <f t="shared" si="5"/>
        <v>0</v>
      </c>
    </row>
    <row r="58" spans="2:24" x14ac:dyDescent="0.25">
      <c r="F58" s="4">
        <f t="shared" si="6"/>
        <v>0</v>
      </c>
      <c r="L58" s="4">
        <f t="shared" si="8"/>
        <v>0</v>
      </c>
      <c r="R58" s="4">
        <f t="shared" si="7"/>
        <v>0</v>
      </c>
      <c r="X58" s="4">
        <f t="shared" si="5"/>
        <v>0</v>
      </c>
    </row>
    <row r="59" spans="2:24" x14ac:dyDescent="0.25">
      <c r="F59" s="4">
        <f t="shared" si="6"/>
        <v>0</v>
      </c>
      <c r="L59" s="4">
        <f t="shared" si="8"/>
        <v>0</v>
      </c>
      <c r="R59" s="4">
        <f t="shared" si="7"/>
        <v>0</v>
      </c>
      <c r="X59" s="4">
        <f t="shared" si="5"/>
        <v>0</v>
      </c>
    </row>
    <row r="60" spans="2:24" x14ac:dyDescent="0.25">
      <c r="F60" s="4">
        <f t="shared" si="6"/>
        <v>0</v>
      </c>
      <c r="L60" s="4">
        <f t="shared" si="8"/>
        <v>0</v>
      </c>
      <c r="R60" s="4">
        <f t="shared" si="7"/>
        <v>0</v>
      </c>
      <c r="X60" s="4">
        <f t="shared" si="5"/>
        <v>0</v>
      </c>
    </row>
    <row r="61" spans="2:24" x14ac:dyDescent="0.25">
      <c r="F61" s="4">
        <f t="shared" si="6"/>
        <v>0</v>
      </c>
      <c r="L61" s="4">
        <f t="shared" si="8"/>
        <v>0</v>
      </c>
      <c r="R61" s="4">
        <f t="shared" si="7"/>
        <v>0</v>
      </c>
      <c r="X61" s="4">
        <f t="shared" si="5"/>
        <v>0</v>
      </c>
    </row>
    <row r="62" spans="2:24" x14ac:dyDescent="0.25">
      <c r="F62" s="4">
        <f t="shared" si="6"/>
        <v>0</v>
      </c>
      <c r="L62" s="4">
        <f t="shared" si="8"/>
        <v>0</v>
      </c>
      <c r="R62" s="4">
        <f t="shared" si="7"/>
        <v>0</v>
      </c>
      <c r="X62" s="4">
        <f t="shared" si="5"/>
        <v>0</v>
      </c>
    </row>
    <row r="63" spans="2:24" x14ac:dyDescent="0.25">
      <c r="F63" s="4">
        <f t="shared" si="6"/>
        <v>0</v>
      </c>
      <c r="L63" s="4">
        <f t="shared" si="8"/>
        <v>0</v>
      </c>
      <c r="R63" s="4">
        <f t="shared" si="7"/>
        <v>0</v>
      </c>
      <c r="X63" s="4">
        <f t="shared" si="5"/>
        <v>0</v>
      </c>
    </row>
    <row r="64" spans="2:24" x14ac:dyDescent="0.25">
      <c r="F64" s="4">
        <f t="shared" si="6"/>
        <v>0</v>
      </c>
      <c r="L64" s="4">
        <f t="shared" si="8"/>
        <v>0</v>
      </c>
      <c r="R64" s="4">
        <f t="shared" si="7"/>
        <v>0</v>
      </c>
      <c r="X64" s="4">
        <f t="shared" si="5"/>
        <v>0</v>
      </c>
    </row>
    <row r="65" spans="2:24" x14ac:dyDescent="0.25">
      <c r="F65" s="4">
        <f t="shared" si="6"/>
        <v>0</v>
      </c>
      <c r="L65" s="4">
        <f t="shared" si="8"/>
        <v>0</v>
      </c>
      <c r="R65" s="4">
        <f t="shared" si="7"/>
        <v>0</v>
      </c>
      <c r="X65" s="4">
        <f t="shared" si="5"/>
        <v>0</v>
      </c>
    </row>
    <row r="66" spans="2:24" x14ac:dyDescent="0.25">
      <c r="F66" s="4">
        <f t="shared" si="6"/>
        <v>0</v>
      </c>
      <c r="H66" s="9" t="s">
        <v>23</v>
      </c>
      <c r="I66" s="9"/>
      <c r="J66" s="9"/>
      <c r="K66" s="9"/>
      <c r="L66" s="15">
        <f>SUM(L44:L65)</f>
        <v>0</v>
      </c>
      <c r="R66" s="4">
        <f t="shared" si="7"/>
        <v>0</v>
      </c>
      <c r="T66" s="9" t="s">
        <v>23</v>
      </c>
      <c r="U66" s="9"/>
      <c r="V66" s="9"/>
      <c r="W66" s="9"/>
      <c r="X66" s="15">
        <f>SUM(X44:X65)</f>
        <v>0</v>
      </c>
    </row>
    <row r="67" spans="2:24" x14ac:dyDescent="0.25">
      <c r="B67" s="13" t="s">
        <v>28</v>
      </c>
      <c r="C67" s="13"/>
      <c r="D67" s="14"/>
      <c r="E67" s="14"/>
      <c r="F67" s="10">
        <f>-D67*E67</f>
        <v>0</v>
      </c>
      <c r="H67" s="9" t="s">
        <v>24</v>
      </c>
      <c r="I67" s="9"/>
      <c r="J67" s="9"/>
      <c r="K67" s="9"/>
      <c r="L67" s="8">
        <f>SUM(F68)</f>
        <v>0</v>
      </c>
      <c r="N67" s="13" t="s">
        <v>28</v>
      </c>
      <c r="O67" s="13"/>
      <c r="P67" s="14"/>
      <c r="Q67" s="14"/>
      <c r="R67" s="10">
        <f>-P67*Q67</f>
        <v>0</v>
      </c>
      <c r="T67" s="9" t="s">
        <v>24</v>
      </c>
      <c r="U67" s="9"/>
      <c r="V67" s="9"/>
      <c r="W67" s="9"/>
      <c r="X67" s="8">
        <f>SUM(R68)</f>
        <v>0</v>
      </c>
    </row>
    <row r="68" spans="2:24" x14ac:dyDescent="0.25">
      <c r="B68" s="7" t="s">
        <v>19</v>
      </c>
      <c r="C68" s="7"/>
      <c r="D68" s="7"/>
      <c r="E68" s="7"/>
      <c r="F68" s="21">
        <f>SUM(F44:F67)</f>
        <v>0</v>
      </c>
      <c r="H68" s="9" t="s">
        <v>25</v>
      </c>
      <c r="I68" s="9"/>
      <c r="J68" s="9"/>
      <c r="K68" s="9"/>
      <c r="L68" s="22">
        <f>SUM(L67+L66)</f>
        <v>0</v>
      </c>
      <c r="N68" s="7" t="s">
        <v>19</v>
      </c>
      <c r="O68" s="7"/>
      <c r="P68" s="7"/>
      <c r="Q68" s="7"/>
      <c r="R68" s="21">
        <f>SUM(R44:R67)</f>
        <v>0</v>
      </c>
      <c r="T68" s="9" t="s">
        <v>25</v>
      </c>
      <c r="U68" s="9"/>
      <c r="V68" s="9"/>
      <c r="W68" s="9"/>
      <c r="X68" s="22">
        <f>SUM(X67+X66)</f>
        <v>0</v>
      </c>
    </row>
    <row r="69" spans="2:24" ht="18.75" x14ac:dyDescent="0.3">
      <c r="B69" s="17" t="s">
        <v>29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N69" s="17" t="s">
        <v>29</v>
      </c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1" spans="2:24" x14ac:dyDescent="0.25">
      <c r="B71" s="3" t="s">
        <v>0</v>
      </c>
      <c r="C71" s="3"/>
      <c r="D71" s="18" t="s">
        <v>91</v>
      </c>
      <c r="E71" s="18"/>
      <c r="F71" s="18"/>
      <c r="H71" s="3" t="s">
        <v>43</v>
      </c>
      <c r="I71" s="3"/>
      <c r="J71">
        <v>3</v>
      </c>
      <c r="N71" s="3" t="s">
        <v>0</v>
      </c>
      <c r="O71" s="3"/>
      <c r="P71" s="18" t="s">
        <v>93</v>
      </c>
      <c r="Q71" s="18"/>
      <c r="R71" s="18"/>
      <c r="T71" s="3" t="s">
        <v>43</v>
      </c>
      <c r="U71" s="3"/>
      <c r="V71">
        <v>3</v>
      </c>
    </row>
    <row r="72" spans="2:24" x14ac:dyDescent="0.25">
      <c r="B72" s="3" t="s">
        <v>1</v>
      </c>
      <c r="C72" s="3"/>
      <c r="D72" s="2" t="s">
        <v>92</v>
      </c>
      <c r="E72" s="2"/>
      <c r="F72" s="2"/>
      <c r="H72" s="3" t="s">
        <v>44</v>
      </c>
      <c r="I72" s="3"/>
      <c r="J72" t="s">
        <v>78</v>
      </c>
      <c r="N72" s="3" t="s">
        <v>1</v>
      </c>
      <c r="O72" s="3"/>
      <c r="P72" s="2" t="s">
        <v>94</v>
      </c>
      <c r="Q72" s="2"/>
      <c r="R72" s="2"/>
      <c r="T72" s="3" t="s">
        <v>44</v>
      </c>
      <c r="U72" s="3"/>
      <c r="V72" t="s">
        <v>78</v>
      </c>
    </row>
    <row r="73" spans="2:24" x14ac:dyDescent="0.25">
      <c r="B73" s="3" t="s">
        <v>3</v>
      </c>
      <c r="C73" s="3"/>
      <c r="D73" s="2" t="s">
        <v>32</v>
      </c>
      <c r="E73" s="2"/>
      <c r="F73" s="2"/>
      <c r="H73" s="3" t="s">
        <v>45</v>
      </c>
      <c r="I73" s="3"/>
      <c r="J73" t="s">
        <v>79</v>
      </c>
      <c r="N73" s="3" t="s">
        <v>3</v>
      </c>
      <c r="O73" s="3"/>
      <c r="P73" s="2" t="s">
        <v>32</v>
      </c>
      <c r="Q73" s="2"/>
      <c r="R73" s="2"/>
      <c r="T73" s="3" t="s">
        <v>45</v>
      </c>
      <c r="U73" s="3"/>
      <c r="V73" t="s">
        <v>79</v>
      </c>
    </row>
    <row r="74" spans="2:24" x14ac:dyDescent="0.25">
      <c r="B74" s="3" t="s">
        <v>2</v>
      </c>
      <c r="C74" s="3"/>
      <c r="D74" s="2" t="s">
        <v>83</v>
      </c>
      <c r="E74" s="2"/>
      <c r="F74" s="2"/>
      <c r="H74" s="3" t="s">
        <v>46</v>
      </c>
      <c r="I74" s="3"/>
      <c r="J74" t="s">
        <v>80</v>
      </c>
      <c r="N74" s="3" t="s">
        <v>2</v>
      </c>
      <c r="O74" s="3"/>
      <c r="P74" s="2" t="s">
        <v>83</v>
      </c>
      <c r="Q74" s="2"/>
      <c r="R74" s="2"/>
      <c r="T74" s="3" t="s">
        <v>46</v>
      </c>
      <c r="U74" s="3"/>
      <c r="V74" t="s">
        <v>80</v>
      </c>
    </row>
    <row r="76" spans="2:24" x14ac:dyDescent="0.25">
      <c r="B76" s="1"/>
      <c r="C76" s="1" t="s">
        <v>4</v>
      </c>
      <c r="D76" s="1"/>
      <c r="E76" s="1"/>
      <c r="F76" s="1"/>
      <c r="H76" s="6" t="s">
        <v>20</v>
      </c>
      <c r="I76" s="6"/>
      <c r="J76" s="6"/>
      <c r="K76" s="6"/>
      <c r="L76" s="6"/>
      <c r="N76" s="1"/>
      <c r="O76" s="1" t="s">
        <v>4</v>
      </c>
      <c r="P76" s="1"/>
      <c r="Q76" s="1"/>
      <c r="R76" s="1"/>
      <c r="T76" s="6" t="s">
        <v>20</v>
      </c>
      <c r="U76" s="6"/>
      <c r="V76" s="6"/>
      <c r="W76" s="6"/>
      <c r="X76" s="6"/>
    </row>
    <row r="77" spans="2:24" x14ac:dyDescent="0.25">
      <c r="B77" s="11" t="s">
        <v>5</v>
      </c>
      <c r="C77" s="11" t="s">
        <v>6</v>
      </c>
      <c r="D77" s="11" t="s">
        <v>7</v>
      </c>
      <c r="E77" s="12" t="s">
        <v>8</v>
      </c>
      <c r="F77" s="11" t="s">
        <v>9</v>
      </c>
      <c r="H77" s="11" t="s">
        <v>5</v>
      </c>
      <c r="I77" s="12" t="s">
        <v>21</v>
      </c>
      <c r="J77" s="12" t="s">
        <v>22</v>
      </c>
      <c r="K77" s="12" t="s">
        <v>8</v>
      </c>
      <c r="L77" s="12" t="s">
        <v>9</v>
      </c>
      <c r="N77" s="11" t="s">
        <v>5</v>
      </c>
      <c r="O77" s="11" t="s">
        <v>6</v>
      </c>
      <c r="P77" s="11" t="s">
        <v>7</v>
      </c>
      <c r="Q77" s="12" t="s">
        <v>8</v>
      </c>
      <c r="R77" s="11" t="s">
        <v>9</v>
      </c>
      <c r="T77" s="11" t="s">
        <v>5</v>
      </c>
      <c r="U77" s="12" t="s">
        <v>21</v>
      </c>
      <c r="V77" s="12" t="s">
        <v>22</v>
      </c>
      <c r="W77" s="12" t="s">
        <v>8</v>
      </c>
      <c r="X77" s="12" t="s">
        <v>9</v>
      </c>
    </row>
    <row r="78" spans="2:24" x14ac:dyDescent="0.25">
      <c r="B78" t="s">
        <v>10</v>
      </c>
      <c r="E78">
        <v>650</v>
      </c>
      <c r="F78" s="4">
        <f>C78*E78</f>
        <v>0</v>
      </c>
      <c r="L78" s="4">
        <f t="shared" ref="L78:L80" si="9">-I78*K78+J78*K78</f>
        <v>0</v>
      </c>
      <c r="N78" t="s">
        <v>10</v>
      </c>
      <c r="Q78">
        <v>650</v>
      </c>
      <c r="R78" s="4">
        <f>O78*Q78</f>
        <v>0</v>
      </c>
      <c r="X78" s="4">
        <f t="shared" ref="X78:X99" si="10">-U78*W78+V78*W78</f>
        <v>0</v>
      </c>
    </row>
    <row r="79" spans="2:24" x14ac:dyDescent="0.25">
      <c r="B79" t="s">
        <v>11</v>
      </c>
      <c r="E79">
        <v>670</v>
      </c>
      <c r="F79" s="4">
        <f t="shared" ref="F79:F100" si="11">C79*E79</f>
        <v>0</v>
      </c>
      <c r="L79" s="4">
        <f t="shared" si="9"/>
        <v>0</v>
      </c>
      <c r="N79" t="s">
        <v>11</v>
      </c>
      <c r="R79" s="4">
        <f t="shared" ref="R79:R100" si="12">O79*Q79</f>
        <v>0</v>
      </c>
      <c r="X79" s="4">
        <f t="shared" si="10"/>
        <v>0</v>
      </c>
    </row>
    <row r="80" spans="2:24" x14ac:dyDescent="0.25">
      <c r="B80" t="s">
        <v>12</v>
      </c>
      <c r="E80">
        <v>973</v>
      </c>
      <c r="F80" s="4">
        <f t="shared" si="11"/>
        <v>0</v>
      </c>
      <c r="L80" s="4">
        <f t="shared" si="9"/>
        <v>0</v>
      </c>
      <c r="N80" t="s">
        <v>12</v>
      </c>
      <c r="R80" s="4">
        <f t="shared" si="12"/>
        <v>0</v>
      </c>
      <c r="X80" s="4">
        <f t="shared" si="10"/>
        <v>0</v>
      </c>
    </row>
    <row r="81" spans="2:24" x14ac:dyDescent="0.25">
      <c r="B81" t="s">
        <v>13</v>
      </c>
      <c r="E81">
        <v>622</v>
      </c>
      <c r="F81" s="4">
        <f t="shared" si="11"/>
        <v>0</v>
      </c>
      <c r="L81" s="4">
        <f>-I81*K81+J81*K81</f>
        <v>0</v>
      </c>
      <c r="N81" t="s">
        <v>13</v>
      </c>
      <c r="Q81">
        <v>622</v>
      </c>
      <c r="R81" s="4">
        <f t="shared" si="12"/>
        <v>0</v>
      </c>
      <c r="X81" s="4">
        <f t="shared" si="10"/>
        <v>0</v>
      </c>
    </row>
    <row r="82" spans="2:24" x14ac:dyDescent="0.25">
      <c r="B82" t="s">
        <v>14</v>
      </c>
      <c r="E82">
        <v>912</v>
      </c>
      <c r="F82" s="4">
        <f t="shared" si="11"/>
        <v>0</v>
      </c>
      <c r="L82" s="4">
        <f t="shared" ref="L82:L99" si="13">-I82*K82+J82*K82</f>
        <v>0</v>
      </c>
      <c r="N82" t="s">
        <v>14</v>
      </c>
      <c r="R82" s="4">
        <f t="shared" si="12"/>
        <v>0</v>
      </c>
      <c r="X82" s="4">
        <f t="shared" si="10"/>
        <v>0</v>
      </c>
    </row>
    <row r="83" spans="2:24" x14ac:dyDescent="0.25">
      <c r="B83" t="s">
        <v>15</v>
      </c>
      <c r="F83" s="4">
        <f t="shared" si="11"/>
        <v>0</v>
      </c>
      <c r="L83" s="4">
        <f t="shared" si="13"/>
        <v>0</v>
      </c>
      <c r="N83" t="s">
        <v>15</v>
      </c>
      <c r="R83" s="4">
        <f t="shared" si="12"/>
        <v>0</v>
      </c>
      <c r="X83" s="4">
        <f t="shared" si="10"/>
        <v>0</v>
      </c>
    </row>
    <row r="84" spans="2:24" x14ac:dyDescent="0.25">
      <c r="B84" t="s">
        <v>16</v>
      </c>
      <c r="E84">
        <v>872</v>
      </c>
      <c r="F84" s="4">
        <f t="shared" si="11"/>
        <v>0</v>
      </c>
      <c r="L84" s="4">
        <f t="shared" si="13"/>
        <v>0</v>
      </c>
      <c r="N84" t="s">
        <v>16</v>
      </c>
      <c r="R84" s="4">
        <f t="shared" si="12"/>
        <v>0</v>
      </c>
      <c r="X84" s="4">
        <f t="shared" si="10"/>
        <v>0</v>
      </c>
    </row>
    <row r="85" spans="2:24" x14ac:dyDescent="0.25">
      <c r="B85" t="s">
        <v>17</v>
      </c>
      <c r="E85">
        <v>229</v>
      </c>
      <c r="F85" s="4">
        <f t="shared" si="11"/>
        <v>0</v>
      </c>
      <c r="L85" s="4">
        <f t="shared" si="13"/>
        <v>0</v>
      </c>
      <c r="N85" t="s">
        <v>17</v>
      </c>
      <c r="Q85">
        <v>9.5</v>
      </c>
      <c r="R85" s="4">
        <f t="shared" si="12"/>
        <v>0</v>
      </c>
      <c r="X85" s="4">
        <f t="shared" si="10"/>
        <v>0</v>
      </c>
    </row>
    <row r="86" spans="2:24" x14ac:dyDescent="0.25">
      <c r="B86" t="s">
        <v>18</v>
      </c>
      <c r="E86">
        <v>500</v>
      </c>
      <c r="F86" s="4">
        <f t="shared" si="11"/>
        <v>0</v>
      </c>
      <c r="L86" s="4">
        <f t="shared" si="13"/>
        <v>0</v>
      </c>
      <c r="N86" t="s">
        <v>18</v>
      </c>
      <c r="R86" s="4">
        <f t="shared" si="12"/>
        <v>0</v>
      </c>
      <c r="X86" s="4">
        <f t="shared" si="10"/>
        <v>0</v>
      </c>
    </row>
    <row r="87" spans="2:24" x14ac:dyDescent="0.25">
      <c r="B87" t="s">
        <v>26</v>
      </c>
      <c r="E87">
        <v>650</v>
      </c>
      <c r="F87" s="4">
        <f t="shared" si="11"/>
        <v>0</v>
      </c>
      <c r="L87" s="4">
        <f t="shared" si="13"/>
        <v>0</v>
      </c>
      <c r="N87" t="s">
        <v>26</v>
      </c>
      <c r="R87" s="4">
        <f t="shared" si="12"/>
        <v>0</v>
      </c>
      <c r="X87" s="4">
        <f t="shared" si="10"/>
        <v>0</v>
      </c>
    </row>
    <row r="88" spans="2:24" x14ac:dyDescent="0.25">
      <c r="B88" s="20" t="s">
        <v>41</v>
      </c>
      <c r="E88">
        <v>1175</v>
      </c>
      <c r="F88" s="4">
        <f t="shared" si="11"/>
        <v>0</v>
      </c>
      <c r="L88" s="4">
        <f t="shared" si="13"/>
        <v>0</v>
      </c>
      <c r="N88" t="s">
        <v>40</v>
      </c>
      <c r="Q88">
        <v>700</v>
      </c>
      <c r="R88" s="4">
        <f t="shared" si="12"/>
        <v>0</v>
      </c>
      <c r="X88" s="4">
        <f t="shared" si="10"/>
        <v>0</v>
      </c>
    </row>
    <row r="89" spans="2:24" x14ac:dyDescent="0.25">
      <c r="B89" t="s">
        <v>40</v>
      </c>
      <c r="E89">
        <v>700</v>
      </c>
      <c r="F89" s="4">
        <f t="shared" si="11"/>
        <v>0</v>
      </c>
      <c r="L89" s="4">
        <f t="shared" si="13"/>
        <v>0</v>
      </c>
      <c r="R89" s="4">
        <f t="shared" si="12"/>
        <v>0</v>
      </c>
      <c r="X89" s="4">
        <f t="shared" si="10"/>
        <v>0</v>
      </c>
    </row>
    <row r="90" spans="2:24" x14ac:dyDescent="0.25">
      <c r="F90" s="4">
        <f t="shared" si="11"/>
        <v>0</v>
      </c>
      <c r="L90" s="4">
        <f t="shared" si="13"/>
        <v>0</v>
      </c>
      <c r="R90" s="4">
        <f t="shared" si="12"/>
        <v>0</v>
      </c>
      <c r="X90" s="4">
        <f t="shared" si="10"/>
        <v>0</v>
      </c>
    </row>
    <row r="91" spans="2:24" x14ac:dyDescent="0.25">
      <c r="F91" s="4">
        <f t="shared" si="11"/>
        <v>0</v>
      </c>
      <c r="L91" s="4">
        <f t="shared" si="13"/>
        <v>0</v>
      </c>
      <c r="R91" s="4">
        <f t="shared" si="12"/>
        <v>0</v>
      </c>
      <c r="X91" s="4">
        <f t="shared" si="10"/>
        <v>0</v>
      </c>
    </row>
    <row r="92" spans="2:24" x14ac:dyDescent="0.25">
      <c r="F92" s="4">
        <f t="shared" si="11"/>
        <v>0</v>
      </c>
      <c r="L92" s="4">
        <f t="shared" si="13"/>
        <v>0</v>
      </c>
      <c r="R92" s="4">
        <f t="shared" si="12"/>
        <v>0</v>
      </c>
      <c r="X92" s="4">
        <f t="shared" si="10"/>
        <v>0</v>
      </c>
    </row>
    <row r="93" spans="2:24" x14ac:dyDescent="0.25">
      <c r="F93" s="4">
        <f t="shared" si="11"/>
        <v>0</v>
      </c>
      <c r="L93" s="4">
        <f t="shared" si="13"/>
        <v>0</v>
      </c>
      <c r="R93" s="4">
        <f t="shared" si="12"/>
        <v>0</v>
      </c>
      <c r="X93" s="4">
        <f t="shared" si="10"/>
        <v>0</v>
      </c>
    </row>
    <row r="94" spans="2:24" x14ac:dyDescent="0.25">
      <c r="F94" s="4">
        <f t="shared" si="11"/>
        <v>0</v>
      </c>
      <c r="L94" s="4">
        <f t="shared" si="13"/>
        <v>0</v>
      </c>
      <c r="R94" s="4">
        <f t="shared" si="12"/>
        <v>0</v>
      </c>
      <c r="X94" s="4">
        <f t="shared" si="10"/>
        <v>0</v>
      </c>
    </row>
    <row r="95" spans="2:24" x14ac:dyDescent="0.25">
      <c r="F95" s="4">
        <f t="shared" si="11"/>
        <v>0</v>
      </c>
      <c r="L95" s="4">
        <f t="shared" si="13"/>
        <v>0</v>
      </c>
      <c r="R95" s="4">
        <f t="shared" si="12"/>
        <v>0</v>
      </c>
      <c r="X95" s="4">
        <f t="shared" si="10"/>
        <v>0</v>
      </c>
    </row>
    <row r="96" spans="2:24" x14ac:dyDescent="0.25">
      <c r="F96" s="4">
        <f t="shared" si="11"/>
        <v>0</v>
      </c>
      <c r="L96" s="4">
        <f t="shared" si="13"/>
        <v>0</v>
      </c>
      <c r="R96" s="4">
        <f t="shared" si="12"/>
        <v>0</v>
      </c>
      <c r="X96" s="4">
        <f t="shared" si="10"/>
        <v>0</v>
      </c>
    </row>
    <row r="97" spans="2:24" x14ac:dyDescent="0.25">
      <c r="F97" s="4">
        <f t="shared" si="11"/>
        <v>0</v>
      </c>
      <c r="L97" s="4">
        <f t="shared" si="13"/>
        <v>0</v>
      </c>
      <c r="R97" s="4">
        <f t="shared" si="12"/>
        <v>0</v>
      </c>
      <c r="X97" s="4">
        <f t="shared" si="10"/>
        <v>0</v>
      </c>
    </row>
    <row r="98" spans="2:24" x14ac:dyDescent="0.25">
      <c r="F98" s="4">
        <f t="shared" si="11"/>
        <v>0</v>
      </c>
      <c r="L98" s="4">
        <f t="shared" si="13"/>
        <v>0</v>
      </c>
      <c r="R98" s="4">
        <f t="shared" si="12"/>
        <v>0</v>
      </c>
      <c r="X98" s="4">
        <f t="shared" si="10"/>
        <v>0</v>
      </c>
    </row>
    <row r="99" spans="2:24" x14ac:dyDescent="0.25">
      <c r="F99" s="4">
        <f t="shared" si="11"/>
        <v>0</v>
      </c>
      <c r="L99" s="4">
        <f t="shared" si="13"/>
        <v>0</v>
      </c>
      <c r="R99" s="4">
        <f t="shared" si="12"/>
        <v>0</v>
      </c>
      <c r="X99" s="4">
        <f t="shared" si="10"/>
        <v>0</v>
      </c>
    </row>
    <row r="100" spans="2:24" x14ac:dyDescent="0.25">
      <c r="F100" s="4">
        <f t="shared" si="11"/>
        <v>0</v>
      </c>
      <c r="H100" s="9" t="s">
        <v>23</v>
      </c>
      <c r="I100" s="9"/>
      <c r="J100" s="9"/>
      <c r="K100" s="9"/>
      <c r="L100" s="15">
        <f>SUM(L78:L99)</f>
        <v>0</v>
      </c>
      <c r="R100" s="4">
        <f t="shared" si="12"/>
        <v>0</v>
      </c>
      <c r="T100" s="9" t="s">
        <v>23</v>
      </c>
      <c r="U100" s="9"/>
      <c r="V100" s="9"/>
      <c r="W100" s="9"/>
      <c r="X100" s="15">
        <f>SUM(X78:X99)</f>
        <v>0</v>
      </c>
    </row>
    <row r="101" spans="2:24" x14ac:dyDescent="0.25">
      <c r="B101" s="13" t="s">
        <v>28</v>
      </c>
      <c r="C101" s="13"/>
      <c r="D101" s="14"/>
      <c r="E101" s="14"/>
      <c r="F101" s="10">
        <f>-D101*E101</f>
        <v>0</v>
      </c>
      <c r="H101" s="9" t="s">
        <v>24</v>
      </c>
      <c r="I101" s="9"/>
      <c r="J101" s="9"/>
      <c r="K101" s="9"/>
      <c r="L101" s="8">
        <f>SUM(F102)</f>
        <v>0</v>
      </c>
      <c r="N101" s="13" t="s">
        <v>28</v>
      </c>
      <c r="O101" s="13"/>
      <c r="P101" s="14"/>
      <c r="Q101" s="14"/>
      <c r="R101" s="10">
        <f>-P101*Q101</f>
        <v>0</v>
      </c>
      <c r="T101" s="9" t="s">
        <v>24</v>
      </c>
      <c r="U101" s="9"/>
      <c r="V101" s="9"/>
      <c r="W101" s="9"/>
      <c r="X101" s="8">
        <f>SUM(R102)</f>
        <v>0</v>
      </c>
    </row>
    <row r="102" spans="2:24" x14ac:dyDescent="0.25">
      <c r="B102" s="7" t="s">
        <v>19</v>
      </c>
      <c r="C102" s="7"/>
      <c r="D102" s="7"/>
      <c r="E102" s="7"/>
      <c r="F102" s="21">
        <f>SUM(F78:F101)</f>
        <v>0</v>
      </c>
      <c r="H102" s="9" t="s">
        <v>25</v>
      </c>
      <c r="I102" s="9"/>
      <c r="J102" s="9"/>
      <c r="K102" s="9"/>
      <c r="L102" s="22">
        <f>SUM(L101+L100)</f>
        <v>0</v>
      </c>
      <c r="N102" s="7" t="s">
        <v>19</v>
      </c>
      <c r="O102" s="7"/>
      <c r="P102" s="7"/>
      <c r="Q102" s="7"/>
      <c r="R102" s="21">
        <f>SUM(R78:R101)</f>
        <v>0</v>
      </c>
      <c r="T102" s="9" t="s">
        <v>25</v>
      </c>
      <c r="U102" s="9"/>
      <c r="V102" s="9"/>
      <c r="W102" s="9"/>
      <c r="X102" s="22">
        <f>SUM(X101+X100)</f>
        <v>0</v>
      </c>
    </row>
    <row r="103" spans="2:24" ht="18.75" x14ac:dyDescent="0.3">
      <c r="B103" s="17" t="s">
        <v>29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N103" s="17" t="s">
        <v>29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5" spans="2:24" x14ac:dyDescent="0.25">
      <c r="B105" s="3" t="s">
        <v>0</v>
      </c>
      <c r="C105" s="3"/>
      <c r="D105" s="18" t="s">
        <v>95</v>
      </c>
      <c r="E105" s="18"/>
      <c r="F105" s="18"/>
      <c r="H105" s="3" t="s">
        <v>43</v>
      </c>
      <c r="I105" s="3"/>
      <c r="J105">
        <v>3</v>
      </c>
      <c r="N105" s="3" t="s">
        <v>0</v>
      </c>
      <c r="O105" s="3"/>
      <c r="P105" s="18" t="s">
        <v>97</v>
      </c>
      <c r="Q105" s="18"/>
      <c r="R105" s="18"/>
      <c r="T105" s="3" t="s">
        <v>43</v>
      </c>
      <c r="U105" s="3"/>
      <c r="V105">
        <v>3</v>
      </c>
    </row>
    <row r="106" spans="2:24" x14ac:dyDescent="0.25">
      <c r="B106" s="3" t="s">
        <v>1</v>
      </c>
      <c r="C106" s="3"/>
      <c r="D106" s="2" t="s">
        <v>96</v>
      </c>
      <c r="E106" s="2"/>
      <c r="F106" s="2"/>
      <c r="H106" s="3" t="s">
        <v>44</v>
      </c>
      <c r="I106" s="3"/>
      <c r="J106" t="s">
        <v>78</v>
      </c>
      <c r="N106" s="3" t="s">
        <v>1</v>
      </c>
      <c r="O106" s="3"/>
      <c r="P106" s="2" t="s">
        <v>98</v>
      </c>
      <c r="Q106" s="2"/>
      <c r="R106" s="2"/>
      <c r="T106" s="3" t="s">
        <v>44</v>
      </c>
      <c r="U106" s="3"/>
      <c r="V106" t="s">
        <v>78</v>
      </c>
    </row>
    <row r="107" spans="2:24" x14ac:dyDescent="0.25">
      <c r="B107" s="3" t="s">
        <v>3</v>
      </c>
      <c r="C107" s="3"/>
      <c r="D107" s="2" t="s">
        <v>32</v>
      </c>
      <c r="E107" s="2"/>
      <c r="F107" s="2"/>
      <c r="H107" s="3" t="s">
        <v>45</v>
      </c>
      <c r="I107" s="3"/>
      <c r="J107" t="s">
        <v>79</v>
      </c>
      <c r="N107" s="3" t="s">
        <v>3</v>
      </c>
      <c r="O107" s="3"/>
      <c r="P107" s="2" t="s">
        <v>32</v>
      </c>
      <c r="Q107" s="2"/>
      <c r="R107" s="2"/>
      <c r="T107" s="3" t="s">
        <v>45</v>
      </c>
      <c r="U107" s="3"/>
      <c r="V107" t="s">
        <v>79</v>
      </c>
    </row>
    <row r="108" spans="2:24" x14ac:dyDescent="0.25">
      <c r="B108" s="3" t="s">
        <v>2</v>
      </c>
      <c r="C108" s="3"/>
      <c r="D108" s="2" t="s">
        <v>83</v>
      </c>
      <c r="E108" s="2"/>
      <c r="F108" s="2"/>
      <c r="H108" s="3" t="s">
        <v>46</v>
      </c>
      <c r="I108" s="3"/>
      <c r="J108" t="s">
        <v>80</v>
      </c>
      <c r="N108" s="3" t="s">
        <v>2</v>
      </c>
      <c r="O108" s="3"/>
      <c r="P108" s="2" t="s">
        <v>99</v>
      </c>
      <c r="Q108" s="2"/>
      <c r="R108" s="2"/>
      <c r="T108" s="3" t="s">
        <v>46</v>
      </c>
      <c r="U108" s="3"/>
      <c r="V108" t="s">
        <v>80</v>
      </c>
    </row>
    <row r="110" spans="2:24" x14ac:dyDescent="0.25">
      <c r="B110" s="1"/>
      <c r="C110" s="1" t="s">
        <v>4</v>
      </c>
      <c r="D110" s="1"/>
      <c r="E110" s="1"/>
      <c r="F110" s="1"/>
      <c r="H110" s="6" t="s">
        <v>20</v>
      </c>
      <c r="I110" s="6"/>
      <c r="J110" s="6"/>
      <c r="K110" s="6"/>
      <c r="L110" s="6"/>
      <c r="N110" s="1"/>
      <c r="O110" s="1" t="s">
        <v>4</v>
      </c>
      <c r="P110" s="1"/>
      <c r="Q110" s="1"/>
      <c r="R110" s="1"/>
      <c r="T110" s="6" t="s">
        <v>20</v>
      </c>
      <c r="U110" s="6"/>
      <c r="V110" s="6"/>
      <c r="W110" s="6"/>
      <c r="X110" s="6"/>
    </row>
    <row r="111" spans="2:24" x14ac:dyDescent="0.25">
      <c r="B111" s="11" t="s">
        <v>5</v>
      </c>
      <c r="C111" s="11" t="s">
        <v>6</v>
      </c>
      <c r="D111" s="11" t="s">
        <v>7</v>
      </c>
      <c r="E111" s="12" t="s">
        <v>8</v>
      </c>
      <c r="F111" s="11" t="s">
        <v>9</v>
      </c>
      <c r="H111" s="11" t="s">
        <v>5</v>
      </c>
      <c r="I111" s="12" t="s">
        <v>21</v>
      </c>
      <c r="J111" s="12" t="s">
        <v>22</v>
      </c>
      <c r="K111" s="12" t="s">
        <v>8</v>
      </c>
      <c r="L111" s="12" t="s">
        <v>9</v>
      </c>
      <c r="N111" s="11" t="s">
        <v>5</v>
      </c>
      <c r="O111" s="11" t="s">
        <v>6</v>
      </c>
      <c r="P111" s="11" t="s">
        <v>7</v>
      </c>
      <c r="Q111" s="12" t="s">
        <v>8</v>
      </c>
      <c r="R111" s="11" t="s">
        <v>9</v>
      </c>
      <c r="T111" s="11" t="s">
        <v>5</v>
      </c>
      <c r="U111" s="12" t="s">
        <v>21</v>
      </c>
      <c r="V111" s="12" t="s">
        <v>22</v>
      </c>
      <c r="W111" s="12" t="s">
        <v>8</v>
      </c>
      <c r="X111" s="12" t="s">
        <v>9</v>
      </c>
    </row>
    <row r="112" spans="2:24" x14ac:dyDescent="0.25">
      <c r="B112" t="s">
        <v>10</v>
      </c>
      <c r="E112">
        <v>650</v>
      </c>
      <c r="F112" s="4">
        <f>C112*E112</f>
        <v>0</v>
      </c>
      <c r="K112">
        <v>111</v>
      </c>
      <c r="L112" s="4">
        <f t="shared" ref="L112:L114" si="14">-I112*K112+J112*K112</f>
        <v>0</v>
      </c>
      <c r="N112" t="s">
        <v>10</v>
      </c>
      <c r="Q112">
        <v>650</v>
      </c>
      <c r="R112" s="4">
        <f>O112*Q112</f>
        <v>0</v>
      </c>
      <c r="X112" s="4">
        <f t="shared" ref="X112:X133" si="15">-U112*W112+V112*W112</f>
        <v>0</v>
      </c>
    </row>
    <row r="113" spans="2:24" x14ac:dyDescent="0.25">
      <c r="B113" t="s">
        <v>11</v>
      </c>
      <c r="E113">
        <v>670</v>
      </c>
      <c r="F113" s="4">
        <f t="shared" ref="F113:F134" si="16">C113*E113</f>
        <v>0</v>
      </c>
      <c r="L113" s="4">
        <f t="shared" si="14"/>
        <v>0</v>
      </c>
      <c r="N113" t="s">
        <v>11</v>
      </c>
      <c r="R113" s="4">
        <f t="shared" ref="R113:R134" si="17">O113*Q113</f>
        <v>0</v>
      </c>
      <c r="X113" s="4">
        <f t="shared" si="15"/>
        <v>0</v>
      </c>
    </row>
    <row r="114" spans="2:24" x14ac:dyDescent="0.25">
      <c r="B114" t="s">
        <v>12</v>
      </c>
      <c r="E114">
        <v>973</v>
      </c>
      <c r="F114" s="4">
        <f t="shared" si="16"/>
        <v>0</v>
      </c>
      <c r="L114" s="4">
        <f t="shared" si="14"/>
        <v>0</v>
      </c>
      <c r="N114" t="s">
        <v>12</v>
      </c>
      <c r="R114" s="4">
        <f t="shared" si="17"/>
        <v>0</v>
      </c>
      <c r="X114" s="4">
        <f t="shared" si="15"/>
        <v>0</v>
      </c>
    </row>
    <row r="115" spans="2:24" x14ac:dyDescent="0.25">
      <c r="B115" t="s">
        <v>13</v>
      </c>
      <c r="E115">
        <v>622</v>
      </c>
      <c r="F115" s="4">
        <f t="shared" si="16"/>
        <v>0</v>
      </c>
      <c r="L115" s="4">
        <f>-I115*K115+J115*K115</f>
        <v>0</v>
      </c>
      <c r="N115" t="s">
        <v>13</v>
      </c>
      <c r="Q115">
        <v>622</v>
      </c>
      <c r="R115" s="4">
        <f t="shared" si="17"/>
        <v>0</v>
      </c>
      <c r="X115" s="4">
        <f t="shared" si="15"/>
        <v>0</v>
      </c>
    </row>
    <row r="116" spans="2:24" x14ac:dyDescent="0.25">
      <c r="B116" t="s">
        <v>14</v>
      </c>
      <c r="E116">
        <v>912</v>
      </c>
      <c r="F116" s="4">
        <f t="shared" si="16"/>
        <v>0</v>
      </c>
      <c r="L116" s="4">
        <f t="shared" ref="L116:L133" si="18">-I116*K116+J116*K116</f>
        <v>0</v>
      </c>
      <c r="N116" t="s">
        <v>14</v>
      </c>
      <c r="R116" s="4">
        <f t="shared" si="17"/>
        <v>0</v>
      </c>
      <c r="X116" s="4">
        <f t="shared" si="15"/>
        <v>0</v>
      </c>
    </row>
    <row r="117" spans="2:24" x14ac:dyDescent="0.25">
      <c r="B117" t="s">
        <v>15</v>
      </c>
      <c r="F117" s="4">
        <f t="shared" si="16"/>
        <v>0</v>
      </c>
      <c r="L117" s="4">
        <f t="shared" si="18"/>
        <v>0</v>
      </c>
      <c r="N117" t="s">
        <v>15</v>
      </c>
      <c r="R117" s="4">
        <f t="shared" si="17"/>
        <v>0</v>
      </c>
      <c r="X117" s="4">
        <f t="shared" si="15"/>
        <v>0</v>
      </c>
    </row>
    <row r="118" spans="2:24" x14ac:dyDescent="0.25">
      <c r="B118" t="s">
        <v>16</v>
      </c>
      <c r="E118">
        <v>872</v>
      </c>
      <c r="F118" s="4">
        <f t="shared" si="16"/>
        <v>0</v>
      </c>
      <c r="L118" s="4">
        <f t="shared" si="18"/>
        <v>0</v>
      </c>
      <c r="N118" t="s">
        <v>16</v>
      </c>
      <c r="R118" s="4">
        <f t="shared" si="17"/>
        <v>0</v>
      </c>
      <c r="X118" s="4">
        <f t="shared" si="15"/>
        <v>0</v>
      </c>
    </row>
    <row r="119" spans="2:24" x14ac:dyDescent="0.25">
      <c r="B119" t="s">
        <v>17</v>
      </c>
      <c r="E119">
        <v>229</v>
      </c>
      <c r="F119" s="4">
        <f t="shared" si="16"/>
        <v>0</v>
      </c>
      <c r="L119" s="4">
        <f t="shared" si="18"/>
        <v>0</v>
      </c>
      <c r="N119" t="s">
        <v>17</v>
      </c>
      <c r="Q119">
        <v>9.5</v>
      </c>
      <c r="R119" s="4">
        <f t="shared" si="17"/>
        <v>0</v>
      </c>
      <c r="X119" s="4">
        <f t="shared" si="15"/>
        <v>0</v>
      </c>
    </row>
    <row r="120" spans="2:24" x14ac:dyDescent="0.25">
      <c r="B120" t="s">
        <v>18</v>
      </c>
      <c r="E120">
        <v>500</v>
      </c>
      <c r="F120" s="4">
        <f t="shared" si="16"/>
        <v>0</v>
      </c>
      <c r="L120" s="4">
        <f t="shared" si="18"/>
        <v>0</v>
      </c>
      <c r="N120" t="s">
        <v>18</v>
      </c>
      <c r="R120" s="4">
        <f t="shared" si="17"/>
        <v>0</v>
      </c>
      <c r="X120" s="4">
        <f t="shared" si="15"/>
        <v>0</v>
      </c>
    </row>
    <row r="121" spans="2:24" x14ac:dyDescent="0.25">
      <c r="B121" t="s">
        <v>26</v>
      </c>
      <c r="E121">
        <v>650</v>
      </c>
      <c r="F121" s="4">
        <f t="shared" si="16"/>
        <v>0</v>
      </c>
      <c r="L121" s="4">
        <f t="shared" si="18"/>
        <v>0</v>
      </c>
      <c r="N121" t="s">
        <v>26</v>
      </c>
      <c r="R121" s="4">
        <f t="shared" si="17"/>
        <v>0</v>
      </c>
      <c r="X121" s="4">
        <f t="shared" si="15"/>
        <v>0</v>
      </c>
    </row>
    <row r="122" spans="2:24" x14ac:dyDescent="0.25">
      <c r="B122" s="20" t="s">
        <v>41</v>
      </c>
      <c r="E122">
        <v>1175</v>
      </c>
      <c r="F122" s="4">
        <f t="shared" si="16"/>
        <v>0</v>
      </c>
      <c r="L122" s="4">
        <f t="shared" si="18"/>
        <v>0</v>
      </c>
      <c r="R122" s="4">
        <f t="shared" si="17"/>
        <v>0</v>
      </c>
      <c r="X122" s="4">
        <f t="shared" si="15"/>
        <v>0</v>
      </c>
    </row>
    <row r="123" spans="2:24" x14ac:dyDescent="0.25">
      <c r="B123" t="s">
        <v>40</v>
      </c>
      <c r="E123">
        <v>700</v>
      </c>
      <c r="F123" s="4">
        <f t="shared" si="16"/>
        <v>0</v>
      </c>
      <c r="L123" s="4">
        <f t="shared" si="18"/>
        <v>0</v>
      </c>
      <c r="R123" s="4">
        <f t="shared" si="17"/>
        <v>0</v>
      </c>
      <c r="X123" s="4">
        <f t="shared" si="15"/>
        <v>0</v>
      </c>
    </row>
    <row r="124" spans="2:24" x14ac:dyDescent="0.25">
      <c r="F124" s="4">
        <f t="shared" si="16"/>
        <v>0</v>
      </c>
      <c r="L124" s="4">
        <f t="shared" si="18"/>
        <v>0</v>
      </c>
      <c r="R124" s="4">
        <f t="shared" si="17"/>
        <v>0</v>
      </c>
      <c r="X124" s="4">
        <f t="shared" si="15"/>
        <v>0</v>
      </c>
    </row>
    <row r="125" spans="2:24" x14ac:dyDescent="0.25">
      <c r="F125" s="4">
        <f t="shared" si="16"/>
        <v>0</v>
      </c>
      <c r="L125" s="4">
        <f t="shared" si="18"/>
        <v>0</v>
      </c>
      <c r="R125" s="4">
        <f t="shared" si="17"/>
        <v>0</v>
      </c>
      <c r="X125" s="4">
        <f t="shared" si="15"/>
        <v>0</v>
      </c>
    </row>
    <row r="126" spans="2:24" x14ac:dyDescent="0.25">
      <c r="F126" s="4">
        <f t="shared" si="16"/>
        <v>0</v>
      </c>
      <c r="L126" s="4">
        <f t="shared" si="18"/>
        <v>0</v>
      </c>
      <c r="R126" s="4">
        <f t="shared" si="17"/>
        <v>0</v>
      </c>
      <c r="X126" s="4">
        <f t="shared" si="15"/>
        <v>0</v>
      </c>
    </row>
    <row r="127" spans="2:24" x14ac:dyDescent="0.25">
      <c r="F127" s="4">
        <f t="shared" si="16"/>
        <v>0</v>
      </c>
      <c r="L127" s="4">
        <f t="shared" si="18"/>
        <v>0</v>
      </c>
      <c r="R127" s="4">
        <f t="shared" si="17"/>
        <v>0</v>
      </c>
      <c r="X127" s="4">
        <f t="shared" si="15"/>
        <v>0</v>
      </c>
    </row>
    <row r="128" spans="2:24" x14ac:dyDescent="0.25">
      <c r="F128" s="4">
        <f t="shared" si="16"/>
        <v>0</v>
      </c>
      <c r="L128" s="4">
        <f t="shared" si="18"/>
        <v>0</v>
      </c>
      <c r="R128" s="4">
        <f t="shared" si="17"/>
        <v>0</v>
      </c>
      <c r="X128" s="4">
        <f t="shared" si="15"/>
        <v>0</v>
      </c>
    </row>
    <row r="129" spans="2:24" x14ac:dyDescent="0.25">
      <c r="F129" s="4">
        <f t="shared" si="16"/>
        <v>0</v>
      </c>
      <c r="L129" s="4">
        <f t="shared" si="18"/>
        <v>0</v>
      </c>
      <c r="R129" s="4">
        <f t="shared" si="17"/>
        <v>0</v>
      </c>
      <c r="X129" s="4">
        <f t="shared" si="15"/>
        <v>0</v>
      </c>
    </row>
    <row r="130" spans="2:24" x14ac:dyDescent="0.25">
      <c r="F130" s="4">
        <f t="shared" si="16"/>
        <v>0</v>
      </c>
      <c r="L130" s="4">
        <f t="shared" si="18"/>
        <v>0</v>
      </c>
      <c r="R130" s="4">
        <f t="shared" si="17"/>
        <v>0</v>
      </c>
      <c r="X130" s="4">
        <f t="shared" si="15"/>
        <v>0</v>
      </c>
    </row>
    <row r="131" spans="2:24" x14ac:dyDescent="0.25">
      <c r="F131" s="4">
        <f t="shared" si="16"/>
        <v>0</v>
      </c>
      <c r="L131" s="4">
        <f t="shared" si="18"/>
        <v>0</v>
      </c>
      <c r="R131" s="4">
        <f t="shared" si="17"/>
        <v>0</v>
      </c>
      <c r="X131" s="4">
        <f t="shared" si="15"/>
        <v>0</v>
      </c>
    </row>
    <row r="132" spans="2:24" x14ac:dyDescent="0.25">
      <c r="F132" s="4">
        <f t="shared" si="16"/>
        <v>0</v>
      </c>
      <c r="L132" s="4">
        <f t="shared" si="18"/>
        <v>0</v>
      </c>
      <c r="R132" s="4">
        <f t="shared" si="17"/>
        <v>0</v>
      </c>
      <c r="X132" s="4">
        <f t="shared" si="15"/>
        <v>0</v>
      </c>
    </row>
    <row r="133" spans="2:24" x14ac:dyDescent="0.25">
      <c r="F133" s="4">
        <f t="shared" si="16"/>
        <v>0</v>
      </c>
      <c r="L133" s="4">
        <f t="shared" si="18"/>
        <v>0</v>
      </c>
      <c r="R133" s="4">
        <f t="shared" si="17"/>
        <v>0</v>
      </c>
      <c r="X133" s="4">
        <f t="shared" si="15"/>
        <v>0</v>
      </c>
    </row>
    <row r="134" spans="2:24" x14ac:dyDescent="0.25">
      <c r="F134" s="4">
        <f t="shared" si="16"/>
        <v>0</v>
      </c>
      <c r="H134" s="9" t="s">
        <v>23</v>
      </c>
      <c r="I134" s="9"/>
      <c r="J134" s="9"/>
      <c r="K134" s="9"/>
      <c r="L134" s="15">
        <f>SUM(L112:L133)</f>
        <v>0</v>
      </c>
      <c r="R134" s="4">
        <f t="shared" si="17"/>
        <v>0</v>
      </c>
      <c r="T134" s="9" t="s">
        <v>23</v>
      </c>
      <c r="U134" s="9"/>
      <c r="V134" s="9"/>
      <c r="W134" s="9"/>
      <c r="X134" s="15">
        <f>SUM(X112:X133)</f>
        <v>0</v>
      </c>
    </row>
    <row r="135" spans="2:24" x14ac:dyDescent="0.25">
      <c r="B135" s="13" t="s">
        <v>28</v>
      </c>
      <c r="C135" s="13"/>
      <c r="D135" s="14"/>
      <c r="E135" s="14"/>
      <c r="F135" s="10">
        <f>-D135*E135</f>
        <v>0</v>
      </c>
      <c r="H135" s="9" t="s">
        <v>24</v>
      </c>
      <c r="I135" s="9"/>
      <c r="J135" s="9"/>
      <c r="K135" s="9"/>
      <c r="L135" s="8">
        <f>SUM(F136)</f>
        <v>0</v>
      </c>
      <c r="N135" s="13" t="s">
        <v>28</v>
      </c>
      <c r="O135" s="13"/>
      <c r="P135" s="14"/>
      <c r="Q135" s="14"/>
      <c r="R135" s="10">
        <f>-P135*Q135</f>
        <v>0</v>
      </c>
      <c r="T135" s="9" t="s">
        <v>24</v>
      </c>
      <c r="U135" s="9"/>
      <c r="V135" s="9"/>
      <c r="W135" s="9"/>
      <c r="X135" s="8">
        <f>SUM(R136)</f>
        <v>0</v>
      </c>
    </row>
    <row r="136" spans="2:24" x14ac:dyDescent="0.25">
      <c r="B136" s="7" t="s">
        <v>19</v>
      </c>
      <c r="C136" s="7"/>
      <c r="D136" s="7"/>
      <c r="E136" s="7"/>
      <c r="F136" s="21">
        <f>SUM(F112:F135)</f>
        <v>0</v>
      </c>
      <c r="H136" s="9" t="s">
        <v>25</v>
      </c>
      <c r="I136" s="9"/>
      <c r="J136" s="9"/>
      <c r="K136" s="9"/>
      <c r="L136" s="22">
        <f>SUM(L135+L134)</f>
        <v>0</v>
      </c>
      <c r="N136" s="7" t="s">
        <v>19</v>
      </c>
      <c r="O136" s="7"/>
      <c r="P136" s="7"/>
      <c r="Q136" s="7"/>
      <c r="R136" s="21">
        <f>SUM(R112:R135)</f>
        <v>0</v>
      </c>
      <c r="T136" s="9" t="s">
        <v>25</v>
      </c>
      <c r="U136" s="9"/>
      <c r="V136" s="9"/>
      <c r="W136" s="9"/>
      <c r="X136" s="22">
        <f>SUM(X135+X134)</f>
        <v>0</v>
      </c>
    </row>
    <row r="137" spans="2:24" ht="18.75" x14ac:dyDescent="0.3">
      <c r="B137" s="17" t="s">
        <v>29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N137" s="17" t="s">
        <v>29</v>
      </c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9" spans="2:24" x14ac:dyDescent="0.25">
      <c r="B139" s="3" t="s">
        <v>0</v>
      </c>
      <c r="C139" s="3"/>
      <c r="D139" s="18" t="s">
        <v>100</v>
      </c>
      <c r="E139" s="18"/>
      <c r="F139" s="18"/>
      <c r="H139" s="3" t="s">
        <v>43</v>
      </c>
      <c r="I139" s="3"/>
      <c r="J139">
        <v>3</v>
      </c>
      <c r="N139" s="3" t="s">
        <v>0</v>
      </c>
      <c r="O139" s="3"/>
      <c r="P139" s="18" t="s">
        <v>102</v>
      </c>
      <c r="Q139" s="18"/>
      <c r="R139" s="18"/>
      <c r="T139" s="3" t="s">
        <v>43</v>
      </c>
      <c r="U139" s="3"/>
      <c r="V139">
        <v>3</v>
      </c>
    </row>
    <row r="140" spans="2:24" x14ac:dyDescent="0.25">
      <c r="B140" s="3" t="s">
        <v>1</v>
      </c>
      <c r="C140" s="3"/>
      <c r="D140" s="2" t="s">
        <v>101</v>
      </c>
      <c r="E140" s="2"/>
      <c r="F140" s="2"/>
      <c r="H140" s="3" t="s">
        <v>44</v>
      </c>
      <c r="I140" s="3"/>
      <c r="J140" t="s">
        <v>78</v>
      </c>
      <c r="N140" s="3" t="s">
        <v>1</v>
      </c>
      <c r="O140" s="3"/>
      <c r="P140" s="2" t="s">
        <v>103</v>
      </c>
      <c r="Q140" s="2"/>
      <c r="R140" s="2"/>
      <c r="T140" s="3" t="s">
        <v>44</v>
      </c>
      <c r="U140" s="3"/>
      <c r="V140" t="s">
        <v>78</v>
      </c>
    </row>
    <row r="141" spans="2:24" x14ac:dyDescent="0.25">
      <c r="B141" s="3" t="s">
        <v>3</v>
      </c>
      <c r="C141" s="3"/>
      <c r="D141" s="2" t="s">
        <v>32</v>
      </c>
      <c r="E141" s="2"/>
      <c r="F141" s="2"/>
      <c r="H141" s="3" t="s">
        <v>45</v>
      </c>
      <c r="I141" s="3"/>
      <c r="J141" t="s">
        <v>79</v>
      </c>
      <c r="N141" s="3" t="s">
        <v>3</v>
      </c>
      <c r="O141" s="3"/>
      <c r="P141" s="2" t="s">
        <v>32</v>
      </c>
      <c r="Q141" s="2"/>
      <c r="R141" s="2"/>
      <c r="T141" s="3" t="s">
        <v>45</v>
      </c>
      <c r="U141" s="3"/>
      <c r="V141" t="s">
        <v>79</v>
      </c>
    </row>
    <row r="142" spans="2:24" x14ac:dyDescent="0.25">
      <c r="B142" s="3" t="s">
        <v>2</v>
      </c>
      <c r="C142" s="3"/>
      <c r="D142" s="2" t="s">
        <v>83</v>
      </c>
      <c r="E142" s="2"/>
      <c r="F142" s="2"/>
      <c r="H142" s="3" t="s">
        <v>46</v>
      </c>
      <c r="I142" s="3"/>
      <c r="J142" t="s">
        <v>80</v>
      </c>
      <c r="N142" s="3" t="s">
        <v>2</v>
      </c>
      <c r="O142" s="3"/>
      <c r="P142" s="2" t="s">
        <v>104</v>
      </c>
      <c r="Q142" s="2"/>
      <c r="R142" s="2"/>
      <c r="T142" s="3" t="s">
        <v>46</v>
      </c>
      <c r="U142" s="3"/>
      <c r="V142" t="s">
        <v>80</v>
      </c>
    </row>
    <row r="144" spans="2:24" x14ac:dyDescent="0.25">
      <c r="B144" s="1"/>
      <c r="C144" s="1" t="s">
        <v>4</v>
      </c>
      <c r="D144" s="1"/>
      <c r="E144" s="1"/>
      <c r="F144" s="1"/>
      <c r="H144" s="6" t="s">
        <v>20</v>
      </c>
      <c r="I144" s="6"/>
      <c r="J144" s="6"/>
      <c r="K144" s="6"/>
      <c r="L144" s="6"/>
      <c r="N144" s="1"/>
      <c r="O144" s="1" t="s">
        <v>4</v>
      </c>
      <c r="P144" s="1"/>
      <c r="Q144" s="1"/>
      <c r="R144" s="1"/>
      <c r="T144" s="6" t="s">
        <v>20</v>
      </c>
      <c r="U144" s="6"/>
      <c r="V144" s="6"/>
      <c r="W144" s="6"/>
      <c r="X144" s="6"/>
    </row>
    <row r="145" spans="2:24" x14ac:dyDescent="0.25">
      <c r="B145" s="11" t="s">
        <v>5</v>
      </c>
      <c r="C145" s="11" t="s">
        <v>6</v>
      </c>
      <c r="D145" s="11" t="s">
        <v>7</v>
      </c>
      <c r="E145" s="12" t="s">
        <v>8</v>
      </c>
      <c r="F145" s="11" t="s">
        <v>9</v>
      </c>
      <c r="H145" s="11" t="s">
        <v>5</v>
      </c>
      <c r="I145" s="12" t="s">
        <v>21</v>
      </c>
      <c r="J145" s="12" t="s">
        <v>22</v>
      </c>
      <c r="K145" s="12" t="s">
        <v>8</v>
      </c>
      <c r="L145" s="12" t="s">
        <v>9</v>
      </c>
      <c r="N145" s="11" t="s">
        <v>5</v>
      </c>
      <c r="O145" s="11" t="s">
        <v>6</v>
      </c>
      <c r="P145" s="11" t="s">
        <v>7</v>
      </c>
      <c r="Q145" s="12" t="s">
        <v>8</v>
      </c>
      <c r="R145" s="11" t="s">
        <v>9</v>
      </c>
      <c r="T145" s="11" t="s">
        <v>5</v>
      </c>
      <c r="U145" s="12" t="s">
        <v>21</v>
      </c>
      <c r="V145" s="12" t="s">
        <v>22</v>
      </c>
      <c r="W145" s="12" t="s">
        <v>8</v>
      </c>
      <c r="X145" s="12" t="s">
        <v>9</v>
      </c>
    </row>
    <row r="146" spans="2:24" x14ac:dyDescent="0.25">
      <c r="B146" t="s">
        <v>10</v>
      </c>
      <c r="E146">
        <v>650</v>
      </c>
      <c r="F146" s="4">
        <f>C146*E146</f>
        <v>0</v>
      </c>
      <c r="L146" s="4">
        <f t="shared" ref="L146:L148" si="19">-I146*K146+J146*K146</f>
        <v>0</v>
      </c>
      <c r="N146" t="s">
        <v>10</v>
      </c>
      <c r="Q146">
        <v>650</v>
      </c>
      <c r="R146" s="4">
        <f>O146*Q146</f>
        <v>0</v>
      </c>
      <c r="X146" s="4">
        <f t="shared" ref="X146:X148" si="20">-U146*W146+V146*W146</f>
        <v>0</v>
      </c>
    </row>
    <row r="147" spans="2:24" x14ac:dyDescent="0.25">
      <c r="B147" t="s">
        <v>11</v>
      </c>
      <c r="E147">
        <v>670</v>
      </c>
      <c r="F147" s="4">
        <f t="shared" ref="F147:F168" si="21">C147*E147</f>
        <v>0</v>
      </c>
      <c r="L147" s="4">
        <f t="shared" si="19"/>
        <v>0</v>
      </c>
      <c r="N147" t="s">
        <v>11</v>
      </c>
      <c r="Q147">
        <v>670</v>
      </c>
      <c r="R147" s="4">
        <f t="shared" ref="R147:R168" si="22">O147*Q147</f>
        <v>0</v>
      </c>
      <c r="X147" s="4">
        <f t="shared" si="20"/>
        <v>0</v>
      </c>
    </row>
    <row r="148" spans="2:24" x14ac:dyDescent="0.25">
      <c r="B148" t="s">
        <v>12</v>
      </c>
      <c r="E148">
        <v>973</v>
      </c>
      <c r="F148" s="4">
        <f t="shared" si="21"/>
        <v>0</v>
      </c>
      <c r="L148" s="4">
        <f t="shared" si="19"/>
        <v>0</v>
      </c>
      <c r="N148" t="s">
        <v>12</v>
      </c>
      <c r="Q148">
        <v>973</v>
      </c>
      <c r="R148" s="4">
        <f t="shared" si="22"/>
        <v>0</v>
      </c>
      <c r="X148" s="4">
        <f t="shared" si="20"/>
        <v>0</v>
      </c>
    </row>
    <row r="149" spans="2:24" x14ac:dyDescent="0.25">
      <c r="B149" t="s">
        <v>13</v>
      </c>
      <c r="E149">
        <v>622</v>
      </c>
      <c r="F149" s="4">
        <f t="shared" si="21"/>
        <v>0</v>
      </c>
      <c r="L149" s="4">
        <f>-I149*K149+J149*K149</f>
        <v>0</v>
      </c>
      <c r="N149" t="s">
        <v>13</v>
      </c>
      <c r="Q149">
        <v>622</v>
      </c>
      <c r="R149" s="4">
        <f t="shared" si="22"/>
        <v>0</v>
      </c>
      <c r="X149" s="4">
        <f>-U149*W149+V149*W149</f>
        <v>0</v>
      </c>
    </row>
    <row r="150" spans="2:24" x14ac:dyDescent="0.25">
      <c r="B150" t="s">
        <v>14</v>
      </c>
      <c r="E150">
        <v>912</v>
      </c>
      <c r="F150" s="4">
        <f t="shared" si="21"/>
        <v>0</v>
      </c>
      <c r="L150" s="4">
        <f t="shared" ref="L150:L167" si="23">-I150*K150+J150*K150</f>
        <v>0</v>
      </c>
      <c r="N150" t="s">
        <v>14</v>
      </c>
      <c r="Q150">
        <v>912</v>
      </c>
      <c r="R150" s="4">
        <f t="shared" si="22"/>
        <v>0</v>
      </c>
      <c r="X150" s="4">
        <f t="shared" ref="X150:X167" si="24">-U150*W150+V150*W150</f>
        <v>0</v>
      </c>
    </row>
    <row r="151" spans="2:24" x14ac:dyDescent="0.25">
      <c r="B151" t="s">
        <v>15</v>
      </c>
      <c r="F151" s="4">
        <f t="shared" si="21"/>
        <v>0</v>
      </c>
      <c r="L151" s="4">
        <f t="shared" si="23"/>
        <v>0</v>
      </c>
      <c r="N151" t="s">
        <v>15</v>
      </c>
      <c r="R151" s="4">
        <f t="shared" si="22"/>
        <v>0</v>
      </c>
      <c r="X151" s="4">
        <f t="shared" si="24"/>
        <v>0</v>
      </c>
    </row>
    <row r="152" spans="2:24" x14ac:dyDescent="0.25">
      <c r="B152" t="s">
        <v>16</v>
      </c>
      <c r="E152">
        <v>872</v>
      </c>
      <c r="F152" s="4">
        <f t="shared" si="21"/>
        <v>0</v>
      </c>
      <c r="L152" s="4">
        <f t="shared" si="23"/>
        <v>0</v>
      </c>
      <c r="N152" t="s">
        <v>16</v>
      </c>
      <c r="Q152">
        <v>872</v>
      </c>
      <c r="R152" s="4">
        <f t="shared" si="22"/>
        <v>0</v>
      </c>
      <c r="X152" s="4">
        <f t="shared" si="24"/>
        <v>0</v>
      </c>
    </row>
    <row r="153" spans="2:24" x14ac:dyDescent="0.25">
      <c r="B153" t="s">
        <v>17</v>
      </c>
      <c r="E153">
        <v>229</v>
      </c>
      <c r="F153" s="4">
        <f t="shared" si="21"/>
        <v>0</v>
      </c>
      <c r="L153" s="4">
        <f t="shared" si="23"/>
        <v>0</v>
      </c>
      <c r="N153" t="s">
        <v>17</v>
      </c>
      <c r="Q153">
        <v>229</v>
      </c>
      <c r="R153" s="4">
        <f t="shared" si="22"/>
        <v>0</v>
      </c>
      <c r="X153" s="4">
        <f t="shared" si="24"/>
        <v>0</v>
      </c>
    </row>
    <row r="154" spans="2:24" x14ac:dyDescent="0.25">
      <c r="B154" t="s">
        <v>18</v>
      </c>
      <c r="E154">
        <v>500</v>
      </c>
      <c r="F154" s="4">
        <f t="shared" si="21"/>
        <v>0</v>
      </c>
      <c r="L154" s="4">
        <f t="shared" si="23"/>
        <v>0</v>
      </c>
      <c r="N154" t="s">
        <v>18</v>
      </c>
      <c r="Q154">
        <v>500</v>
      </c>
      <c r="R154" s="4">
        <f t="shared" si="22"/>
        <v>0</v>
      </c>
      <c r="X154" s="4">
        <f t="shared" si="24"/>
        <v>0</v>
      </c>
    </row>
    <row r="155" spans="2:24" x14ac:dyDescent="0.25">
      <c r="B155" t="s">
        <v>26</v>
      </c>
      <c r="E155">
        <v>650</v>
      </c>
      <c r="F155" s="4">
        <f t="shared" si="21"/>
        <v>0</v>
      </c>
      <c r="L155" s="4">
        <f t="shared" si="23"/>
        <v>0</v>
      </c>
      <c r="N155" t="s">
        <v>26</v>
      </c>
      <c r="Q155">
        <v>650</v>
      </c>
      <c r="R155" s="4">
        <f t="shared" si="22"/>
        <v>0</v>
      </c>
      <c r="X155" s="4">
        <f t="shared" si="24"/>
        <v>0</v>
      </c>
    </row>
    <row r="156" spans="2:24" x14ac:dyDescent="0.25">
      <c r="B156" s="20" t="s">
        <v>41</v>
      </c>
      <c r="E156">
        <v>1175</v>
      </c>
      <c r="F156" s="4">
        <f t="shared" si="21"/>
        <v>0</v>
      </c>
      <c r="L156" s="4">
        <f t="shared" si="23"/>
        <v>0</v>
      </c>
      <c r="N156" s="20" t="s">
        <v>41</v>
      </c>
      <c r="Q156">
        <v>1175</v>
      </c>
      <c r="R156" s="4">
        <f t="shared" si="22"/>
        <v>0</v>
      </c>
      <c r="X156" s="4">
        <f t="shared" si="24"/>
        <v>0</v>
      </c>
    </row>
    <row r="157" spans="2:24" x14ac:dyDescent="0.25">
      <c r="B157" t="s">
        <v>40</v>
      </c>
      <c r="E157">
        <v>700</v>
      </c>
      <c r="F157" s="4">
        <f t="shared" si="21"/>
        <v>0</v>
      </c>
      <c r="L157" s="4">
        <f t="shared" si="23"/>
        <v>0</v>
      </c>
      <c r="N157" t="s">
        <v>40</v>
      </c>
      <c r="Q157">
        <v>700</v>
      </c>
      <c r="R157" s="4">
        <f t="shared" si="22"/>
        <v>0</v>
      </c>
      <c r="X157" s="4">
        <f t="shared" si="24"/>
        <v>0</v>
      </c>
    </row>
    <row r="158" spans="2:24" x14ac:dyDescent="0.25">
      <c r="F158" s="4">
        <f t="shared" si="21"/>
        <v>0</v>
      </c>
      <c r="L158" s="4">
        <f t="shared" si="23"/>
        <v>0</v>
      </c>
      <c r="R158" s="4">
        <f t="shared" si="22"/>
        <v>0</v>
      </c>
      <c r="X158" s="4">
        <f t="shared" si="24"/>
        <v>0</v>
      </c>
    </row>
    <row r="159" spans="2:24" x14ac:dyDescent="0.25">
      <c r="F159" s="4">
        <f t="shared" si="21"/>
        <v>0</v>
      </c>
      <c r="L159" s="4">
        <f t="shared" si="23"/>
        <v>0</v>
      </c>
      <c r="R159" s="4">
        <f t="shared" si="22"/>
        <v>0</v>
      </c>
      <c r="X159" s="4">
        <f t="shared" si="24"/>
        <v>0</v>
      </c>
    </row>
    <row r="160" spans="2:24" x14ac:dyDescent="0.25">
      <c r="F160" s="4">
        <f t="shared" si="21"/>
        <v>0</v>
      </c>
      <c r="L160" s="4">
        <f t="shared" si="23"/>
        <v>0</v>
      </c>
      <c r="R160" s="4">
        <f t="shared" si="22"/>
        <v>0</v>
      </c>
      <c r="X160" s="4">
        <f t="shared" si="24"/>
        <v>0</v>
      </c>
    </row>
    <row r="161" spans="2:24" x14ac:dyDescent="0.25">
      <c r="F161" s="4">
        <f t="shared" si="21"/>
        <v>0</v>
      </c>
      <c r="L161" s="4">
        <f t="shared" si="23"/>
        <v>0</v>
      </c>
      <c r="R161" s="4">
        <f t="shared" si="22"/>
        <v>0</v>
      </c>
      <c r="X161" s="4">
        <f t="shared" si="24"/>
        <v>0</v>
      </c>
    </row>
    <row r="162" spans="2:24" x14ac:dyDescent="0.25">
      <c r="F162" s="4">
        <f t="shared" si="21"/>
        <v>0</v>
      </c>
      <c r="L162" s="4">
        <f t="shared" si="23"/>
        <v>0</v>
      </c>
      <c r="R162" s="4">
        <f t="shared" si="22"/>
        <v>0</v>
      </c>
      <c r="X162" s="4">
        <f t="shared" si="24"/>
        <v>0</v>
      </c>
    </row>
    <row r="163" spans="2:24" x14ac:dyDescent="0.25">
      <c r="F163" s="4">
        <f t="shared" si="21"/>
        <v>0</v>
      </c>
      <c r="L163" s="4">
        <f t="shared" si="23"/>
        <v>0</v>
      </c>
      <c r="R163" s="4">
        <f t="shared" si="22"/>
        <v>0</v>
      </c>
      <c r="X163" s="4">
        <f t="shared" si="24"/>
        <v>0</v>
      </c>
    </row>
    <row r="164" spans="2:24" x14ac:dyDescent="0.25">
      <c r="F164" s="4">
        <f t="shared" si="21"/>
        <v>0</v>
      </c>
      <c r="L164" s="4">
        <f t="shared" si="23"/>
        <v>0</v>
      </c>
      <c r="R164" s="4">
        <f t="shared" si="22"/>
        <v>0</v>
      </c>
      <c r="X164" s="4">
        <f t="shared" si="24"/>
        <v>0</v>
      </c>
    </row>
    <row r="165" spans="2:24" x14ac:dyDescent="0.25">
      <c r="F165" s="4">
        <f t="shared" si="21"/>
        <v>0</v>
      </c>
      <c r="L165" s="4">
        <f t="shared" si="23"/>
        <v>0</v>
      </c>
      <c r="R165" s="4">
        <f t="shared" si="22"/>
        <v>0</v>
      </c>
      <c r="X165" s="4">
        <f t="shared" si="24"/>
        <v>0</v>
      </c>
    </row>
    <row r="166" spans="2:24" x14ac:dyDescent="0.25">
      <c r="F166" s="4">
        <f t="shared" si="21"/>
        <v>0</v>
      </c>
      <c r="L166" s="4">
        <f t="shared" si="23"/>
        <v>0</v>
      </c>
      <c r="R166" s="4">
        <f t="shared" si="22"/>
        <v>0</v>
      </c>
      <c r="X166" s="4">
        <f t="shared" si="24"/>
        <v>0</v>
      </c>
    </row>
    <row r="167" spans="2:24" x14ac:dyDescent="0.25">
      <c r="F167" s="4">
        <f t="shared" si="21"/>
        <v>0</v>
      </c>
      <c r="L167" s="4">
        <f t="shared" si="23"/>
        <v>0</v>
      </c>
      <c r="R167" s="4">
        <f t="shared" si="22"/>
        <v>0</v>
      </c>
      <c r="X167" s="4">
        <f t="shared" si="24"/>
        <v>0</v>
      </c>
    </row>
    <row r="168" spans="2:24" x14ac:dyDescent="0.25">
      <c r="F168" s="4">
        <f t="shared" si="21"/>
        <v>0</v>
      </c>
      <c r="H168" s="9" t="s">
        <v>23</v>
      </c>
      <c r="I168" s="9"/>
      <c r="J168" s="9"/>
      <c r="K168" s="9"/>
      <c r="L168" s="15">
        <f>SUM(L146:L167)</f>
        <v>0</v>
      </c>
      <c r="R168" s="4">
        <f t="shared" si="22"/>
        <v>0</v>
      </c>
      <c r="T168" s="9" t="s">
        <v>23</v>
      </c>
      <c r="U168" s="9"/>
      <c r="V168" s="9"/>
      <c r="W168" s="9"/>
      <c r="X168" s="15">
        <f>SUM(X146:X167)</f>
        <v>0</v>
      </c>
    </row>
    <row r="169" spans="2:24" x14ac:dyDescent="0.25">
      <c r="B169" s="13" t="s">
        <v>28</v>
      </c>
      <c r="C169" s="13"/>
      <c r="D169" s="14"/>
      <c r="E169" s="14"/>
      <c r="F169" s="10">
        <f>-D169*E169</f>
        <v>0</v>
      </c>
      <c r="H169" s="9" t="s">
        <v>24</v>
      </c>
      <c r="I169" s="9"/>
      <c r="J169" s="9"/>
      <c r="K169" s="9"/>
      <c r="L169" s="8">
        <f>SUM(F170)</f>
        <v>0</v>
      </c>
      <c r="N169" s="13" t="s">
        <v>28</v>
      </c>
      <c r="O169" s="13"/>
      <c r="P169" s="14"/>
      <c r="Q169" s="14"/>
      <c r="R169" s="10">
        <f>-P169*Q169</f>
        <v>0</v>
      </c>
      <c r="T169" s="9" t="s">
        <v>24</v>
      </c>
      <c r="U169" s="9"/>
      <c r="V169" s="9"/>
      <c r="W169" s="9"/>
      <c r="X169" s="8">
        <f>SUM(R170)</f>
        <v>0</v>
      </c>
    </row>
    <row r="170" spans="2:24" x14ac:dyDescent="0.25">
      <c r="B170" s="7" t="s">
        <v>19</v>
      </c>
      <c r="C170" s="7"/>
      <c r="D170" s="7"/>
      <c r="E170" s="7"/>
      <c r="F170" s="21">
        <f>SUM(F146:F169)</f>
        <v>0</v>
      </c>
      <c r="H170" s="9" t="s">
        <v>25</v>
      </c>
      <c r="I170" s="9"/>
      <c r="J170" s="9"/>
      <c r="K170" s="9"/>
      <c r="L170" s="22">
        <f>SUM(L169+L168)</f>
        <v>0</v>
      </c>
      <c r="N170" s="7" t="s">
        <v>19</v>
      </c>
      <c r="O170" s="7"/>
      <c r="P170" s="7"/>
      <c r="Q170" s="7"/>
      <c r="R170" s="21">
        <f>SUM(R146:R169)</f>
        <v>0</v>
      </c>
      <c r="T170" s="9" t="s">
        <v>25</v>
      </c>
      <c r="U170" s="9"/>
      <c r="V170" s="9"/>
      <c r="W170" s="9"/>
      <c r="X170" s="22">
        <f>SUM(X169+X168)</f>
        <v>0</v>
      </c>
    </row>
  </sheetData>
  <mergeCells count="180">
    <mergeCell ref="B170:E170"/>
    <mergeCell ref="H170:K170"/>
    <mergeCell ref="N170:Q170"/>
    <mergeCell ref="T170:W170"/>
    <mergeCell ref="H144:L144"/>
    <mergeCell ref="T144:X144"/>
    <mergeCell ref="H168:K168"/>
    <mergeCell ref="T168:W168"/>
    <mergeCell ref="B169:C169"/>
    <mergeCell ref="H169:K169"/>
    <mergeCell ref="N169:O169"/>
    <mergeCell ref="T169:W169"/>
    <mergeCell ref="B142:C142"/>
    <mergeCell ref="D142:F142"/>
    <mergeCell ref="H142:I142"/>
    <mergeCell ref="N142:O142"/>
    <mergeCell ref="P142:R142"/>
    <mergeCell ref="T142:U142"/>
    <mergeCell ref="B141:C141"/>
    <mergeCell ref="D141:F141"/>
    <mergeCell ref="H141:I141"/>
    <mergeCell ref="N141:O141"/>
    <mergeCell ref="P141:R141"/>
    <mergeCell ref="T141:U141"/>
    <mergeCell ref="B140:C140"/>
    <mergeCell ref="D140:F140"/>
    <mergeCell ref="H140:I140"/>
    <mergeCell ref="N140:O140"/>
    <mergeCell ref="P140:R140"/>
    <mergeCell ref="T140:U140"/>
    <mergeCell ref="B136:E136"/>
    <mergeCell ref="H136:K136"/>
    <mergeCell ref="N136:Q136"/>
    <mergeCell ref="T136:W136"/>
    <mergeCell ref="B139:C139"/>
    <mergeCell ref="D139:F139"/>
    <mergeCell ref="H139:I139"/>
    <mergeCell ref="N139:O139"/>
    <mergeCell ref="P139:R139"/>
    <mergeCell ref="T139:U139"/>
    <mergeCell ref="H110:L110"/>
    <mergeCell ref="T110:X110"/>
    <mergeCell ref="H134:K134"/>
    <mergeCell ref="T134:W134"/>
    <mergeCell ref="B135:C135"/>
    <mergeCell ref="H135:K135"/>
    <mergeCell ref="N135:O135"/>
    <mergeCell ref="T135:W135"/>
    <mergeCell ref="B108:C108"/>
    <mergeCell ref="D108:F108"/>
    <mergeCell ref="H108:I108"/>
    <mergeCell ref="N108:O108"/>
    <mergeCell ref="P108:R108"/>
    <mergeCell ref="T108:U108"/>
    <mergeCell ref="B107:C107"/>
    <mergeCell ref="D107:F107"/>
    <mergeCell ref="H107:I107"/>
    <mergeCell ref="N107:O107"/>
    <mergeCell ref="P107:R107"/>
    <mergeCell ref="T107:U107"/>
    <mergeCell ref="B106:C106"/>
    <mergeCell ref="D106:F106"/>
    <mergeCell ref="H106:I106"/>
    <mergeCell ref="N106:O106"/>
    <mergeCell ref="P106:R106"/>
    <mergeCell ref="T106:U106"/>
    <mergeCell ref="B102:E102"/>
    <mergeCell ref="H102:K102"/>
    <mergeCell ref="N102:Q102"/>
    <mergeCell ref="T102:W102"/>
    <mergeCell ref="B105:C105"/>
    <mergeCell ref="D105:F105"/>
    <mergeCell ref="H105:I105"/>
    <mergeCell ref="N105:O105"/>
    <mergeCell ref="P105:R105"/>
    <mergeCell ref="T105:U105"/>
    <mergeCell ref="H76:L76"/>
    <mergeCell ref="T76:X76"/>
    <mergeCell ref="H100:K100"/>
    <mergeCell ref="T100:W100"/>
    <mergeCell ref="B101:C101"/>
    <mergeCell ref="H101:K101"/>
    <mergeCell ref="N101:O101"/>
    <mergeCell ref="T101:W101"/>
    <mergeCell ref="B74:C74"/>
    <mergeCell ref="D74:F74"/>
    <mergeCell ref="H74:I74"/>
    <mergeCell ref="N74:O74"/>
    <mergeCell ref="P74:R74"/>
    <mergeCell ref="T74:U74"/>
    <mergeCell ref="B73:C73"/>
    <mergeCell ref="D73:F73"/>
    <mergeCell ref="H73:I73"/>
    <mergeCell ref="N73:O73"/>
    <mergeCell ref="P73:R73"/>
    <mergeCell ref="T73:U73"/>
    <mergeCell ref="B72:C72"/>
    <mergeCell ref="D72:F72"/>
    <mergeCell ref="H72:I72"/>
    <mergeCell ref="N72:O72"/>
    <mergeCell ref="P72:R72"/>
    <mergeCell ref="T72:U72"/>
    <mergeCell ref="B68:E68"/>
    <mergeCell ref="H68:K68"/>
    <mergeCell ref="N68:Q68"/>
    <mergeCell ref="T68:W68"/>
    <mergeCell ref="B71:C71"/>
    <mergeCell ref="D71:F71"/>
    <mergeCell ref="H71:I71"/>
    <mergeCell ref="N71:O71"/>
    <mergeCell ref="P71:R71"/>
    <mergeCell ref="T71:U71"/>
    <mergeCell ref="H42:L42"/>
    <mergeCell ref="T42:X42"/>
    <mergeCell ref="H66:K66"/>
    <mergeCell ref="T66:W66"/>
    <mergeCell ref="B67:C67"/>
    <mergeCell ref="H67:K67"/>
    <mergeCell ref="N67:O67"/>
    <mergeCell ref="T67:W67"/>
    <mergeCell ref="B40:C40"/>
    <mergeCell ref="D40:F40"/>
    <mergeCell ref="H40:I40"/>
    <mergeCell ref="N40:O40"/>
    <mergeCell ref="P40:R40"/>
    <mergeCell ref="T40:U40"/>
    <mergeCell ref="B39:C39"/>
    <mergeCell ref="D39:F39"/>
    <mergeCell ref="H39:I39"/>
    <mergeCell ref="N39:O39"/>
    <mergeCell ref="P39:R39"/>
    <mergeCell ref="T39:U39"/>
    <mergeCell ref="B38:C38"/>
    <mergeCell ref="D38:F38"/>
    <mergeCell ref="H38:I38"/>
    <mergeCell ref="N38:O38"/>
    <mergeCell ref="P38:R38"/>
    <mergeCell ref="T38:U38"/>
    <mergeCell ref="B34:E34"/>
    <mergeCell ref="H34:K34"/>
    <mergeCell ref="N34:Q34"/>
    <mergeCell ref="T34:W34"/>
    <mergeCell ref="B37:C37"/>
    <mergeCell ref="D37:F37"/>
    <mergeCell ref="H37:I37"/>
    <mergeCell ref="N37:O37"/>
    <mergeCell ref="P37:R37"/>
    <mergeCell ref="T37:U37"/>
    <mergeCell ref="H8:L8"/>
    <mergeCell ref="T8:X8"/>
    <mergeCell ref="H32:K32"/>
    <mergeCell ref="T32:W32"/>
    <mergeCell ref="B33:C33"/>
    <mergeCell ref="H33:K33"/>
    <mergeCell ref="N33:O33"/>
    <mergeCell ref="T33:W33"/>
    <mergeCell ref="B6:C6"/>
    <mergeCell ref="D6:F6"/>
    <mergeCell ref="H6:I6"/>
    <mergeCell ref="N6:O6"/>
    <mergeCell ref="P6:R6"/>
    <mergeCell ref="T6:U6"/>
    <mergeCell ref="B5:C5"/>
    <mergeCell ref="D5:F5"/>
    <mergeCell ref="H5:I5"/>
    <mergeCell ref="N5:O5"/>
    <mergeCell ref="P5:R5"/>
    <mergeCell ref="T5:U5"/>
    <mergeCell ref="B4:C4"/>
    <mergeCell ref="D4:F4"/>
    <mergeCell ref="H4:I4"/>
    <mergeCell ref="N4:O4"/>
    <mergeCell ref="P4:R4"/>
    <mergeCell ref="T4:U4"/>
    <mergeCell ref="B3:C3"/>
    <mergeCell ref="D3:F3"/>
    <mergeCell ref="H3:I3"/>
    <mergeCell ref="N3:O3"/>
    <mergeCell ref="P3:R3"/>
    <mergeCell ref="T3:U3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17B0-212E-4E74-98F0-E65884F140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21</vt:lpstr>
      <vt:lpstr>IE R1 01-21-2026</vt:lpstr>
      <vt:lpstr>IE R2 01-21-2026</vt:lpstr>
      <vt:lpstr>IE R3 01-21-2026</vt:lpstr>
      <vt:lpstr>22</vt:lpstr>
      <vt:lpstr>IE R1 01-22-2026</vt:lpstr>
      <vt:lpstr>IE R2 01-22-2026</vt:lpstr>
      <vt:lpstr>IE R3 01-22-2026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2026-01-22T05:10:18Z</dcterms:created>
  <dcterms:modified xsi:type="dcterms:W3CDTF">2026-01-22T07:16:50Z</dcterms:modified>
</cp:coreProperties>
</file>