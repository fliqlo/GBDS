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DAE8CFA3-E870-453E-BE0E-5BABA51C32A3}" xr6:coauthVersionLast="45" xr6:coauthVersionMax="47" xr10:uidLastSave="{00000000-0000-0000-0000-000000000000}"/>
  <bookViews>
    <workbookView xWindow="-120" yWindow="-120" windowWidth="29040" windowHeight="15840" firstSheet="62" activeTab="71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 NO TRIP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2B" sheetId="1681" r:id="rId25"/>
    <sheet name="01,07 R3" sheetId="1664" r:id="rId26"/>
    <sheet name="(8)" sheetId="1665" r:id="rId27"/>
    <sheet name="01,08 R1" sheetId="1666" r:id="rId28"/>
    <sheet name="01,08 R2" sheetId="1667" r:id="rId29"/>
    <sheet name="01,08 R3" sheetId="1668" r:id="rId30"/>
    <sheet name="(9)" sheetId="1669" r:id="rId31"/>
    <sheet name="01,09 R1" sheetId="1670" r:id="rId32"/>
    <sheet name="01,09 R2" sheetId="1671" r:id="rId33"/>
    <sheet name="01,09 R3" sheetId="1672" r:id="rId34"/>
    <sheet name="(10)" sheetId="1673" r:id="rId35"/>
    <sheet name="01,10 R1" sheetId="1674" r:id="rId36"/>
    <sheet name="01,10 R2" sheetId="1675" r:id="rId37"/>
    <sheet name="01,10 R3" sheetId="1676" r:id="rId38"/>
    <sheet name="(12)" sheetId="1677" r:id="rId39"/>
    <sheet name="01,12 R1" sheetId="1678" r:id="rId40"/>
    <sheet name="01,12 R2" sheetId="1679" r:id="rId41"/>
    <sheet name="01,12 R3" sheetId="1680" r:id="rId42"/>
    <sheet name="(13)" sheetId="1682" r:id="rId43"/>
    <sheet name="01,13 R1" sheetId="1683" r:id="rId44"/>
    <sheet name="01,13 R2" sheetId="1684" r:id="rId45"/>
    <sheet name="01,13 R3" sheetId="1685" r:id="rId46"/>
    <sheet name="(14)" sheetId="1686" r:id="rId47"/>
    <sheet name="01,14 R1 NO TRIP" sheetId="1687" r:id="rId48"/>
    <sheet name="01,14 R2" sheetId="1688" r:id="rId49"/>
    <sheet name="01,14 R3" sheetId="1689" r:id="rId50"/>
    <sheet name="(15)" sheetId="1690" r:id="rId51"/>
    <sheet name="01,15 R1" sheetId="1691" r:id="rId52"/>
    <sheet name="01,15 R2" sheetId="1692" r:id="rId53"/>
    <sheet name="01,15 R3" sheetId="1693" r:id="rId54"/>
    <sheet name="(16)" sheetId="1694" r:id="rId55"/>
    <sheet name="01,16 R1" sheetId="1695" r:id="rId56"/>
    <sheet name="01,16 R2" sheetId="1696" r:id="rId57"/>
    <sheet name="01,16 R3" sheetId="1697" r:id="rId58"/>
    <sheet name="(17)" sheetId="1698" r:id="rId59"/>
    <sheet name="01,17 R1" sheetId="1699" r:id="rId60"/>
    <sheet name="01,17 R2" sheetId="1700" r:id="rId61"/>
    <sheet name="01,17 R3" sheetId="1701" r:id="rId62"/>
    <sheet name="(19)" sheetId="1702" r:id="rId63"/>
    <sheet name="01,19 R1" sheetId="1703" r:id="rId64"/>
    <sheet name="01,19 R2" sheetId="1704" r:id="rId65"/>
    <sheet name="01,19 R3" sheetId="1705" r:id="rId66"/>
    <sheet name="(20)" sheetId="1706" r:id="rId67"/>
    <sheet name="01,20 R1" sheetId="1707" r:id="rId68"/>
    <sheet name="01,20 R2" sheetId="1708" r:id="rId69"/>
    <sheet name="01,20 R3" sheetId="1709" r:id="rId70"/>
    <sheet name="(21)" sheetId="1710" r:id="rId71"/>
    <sheet name="01,21 R1" sheetId="1711" r:id="rId72"/>
    <sheet name="01,21 R2" sheetId="1712" r:id="rId73"/>
    <sheet name="01,21 R3" sheetId="1713" r:id="rId74"/>
    <sheet name="(22)" sheetId="1714" r:id="rId75"/>
    <sheet name="01,22 R1" sheetId="1715" r:id="rId76"/>
    <sheet name="01,22 R2" sheetId="1716" r:id="rId77"/>
    <sheet name="01,22 R3" sheetId="1717" r:id="rId78"/>
    <sheet name="(23)" sheetId="1718" r:id="rId79"/>
    <sheet name="01,23 R1" sheetId="1719" r:id="rId80"/>
    <sheet name="01,23 R2" sheetId="1720" r:id="rId81"/>
    <sheet name="01,23 R3" sheetId="1721" r:id="rId82"/>
    <sheet name="(24)" sheetId="1722" r:id="rId83"/>
    <sheet name="01,24 R1" sheetId="1723" r:id="rId84"/>
    <sheet name="01,24 R2" sheetId="1724" r:id="rId85"/>
    <sheet name="01,24 R3" sheetId="1725" r:id="rId86"/>
    <sheet name="(26)" sheetId="1726" r:id="rId87"/>
    <sheet name="01,26 R1" sheetId="1727" r:id="rId88"/>
    <sheet name="01,26 R2" sheetId="1728" r:id="rId89"/>
    <sheet name="01,26 R3" sheetId="1729" r:id="rId90"/>
  </sheets>
  <definedNames>
    <definedName name="_xlnm.Print_Area" localSheetId="1">'(01)'!$A$1:$J$60</definedName>
    <definedName name="_xlnm.Print_Area" localSheetId="34">'(10)'!$A$1:$J$60</definedName>
    <definedName name="_xlnm.Print_Area" localSheetId="38">'(12)'!$A$1:$J$60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'(19)'!$A$1:$J$60</definedName>
    <definedName name="_xlnm.Print_Area" localSheetId="5">'(2)'!$A$1:$J$60</definedName>
    <definedName name="_xlnm.Print_Area" localSheetId="66">'(20)'!$A$1:$J$60</definedName>
    <definedName name="_xlnm.Print_Area" localSheetId="70">'(21)'!$A$1:$J$60</definedName>
    <definedName name="_xlnm.Print_Area" localSheetId="74">'(22)'!$A$1:$J$60</definedName>
    <definedName name="_xlnm.Print_Area" localSheetId="78">'(23)'!$A$1:$J$60</definedName>
    <definedName name="_xlnm.Print_Area" localSheetId="82">'(24)'!$A$1:$J$60</definedName>
    <definedName name="_xlnm.Print_Area" localSheetId="86">'(26)'!$A$1:$J$60</definedName>
    <definedName name="_xlnm.Print_Area" localSheetId="9">'(3)'!$A$1:$J$60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6">'(8)'!$A$1:$J$60</definedName>
    <definedName name="_xlnm.Print_Area" localSheetId="30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 NO TRIP'!$A$1:$J$60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R2B'!$A$1:$J$60</definedName>
    <definedName name="_xlnm.Print_Area" localSheetId="25">'01,07 R3'!$A$1:$J$60</definedName>
    <definedName name="_xlnm.Print_Area" localSheetId="27">'01,08 R1'!$A$1:$J$60</definedName>
    <definedName name="_xlnm.Print_Area" localSheetId="28">'01,08 R2'!$A$1:$J$60</definedName>
    <definedName name="_xlnm.Print_Area" localSheetId="29">'01,08 R3'!$A$1:$J$60</definedName>
    <definedName name="_xlnm.Print_Area" localSheetId="31">'01,09 R1'!$A$1:$J$60</definedName>
    <definedName name="_xlnm.Print_Area" localSheetId="32">'01,09 R2'!$A$1:$J$60</definedName>
    <definedName name="_xlnm.Print_Area" localSheetId="33">'01,09 R3'!$A$1:$J$60</definedName>
    <definedName name="_xlnm.Print_Area" localSheetId="35">'01,10 R1'!$A$1:$J$60</definedName>
    <definedName name="_xlnm.Print_Area" localSheetId="36">'01,10 R2'!$A$1:$J$60</definedName>
    <definedName name="_xlnm.Print_Area" localSheetId="37">'01,10 R3'!$A$1:$J$60</definedName>
    <definedName name="_xlnm.Print_Area" localSheetId="39">'01,12 R1'!$A$1:$J$60</definedName>
    <definedName name="_xlnm.Print_Area" localSheetId="40">'01,12 R2'!$A$1:$J$60</definedName>
    <definedName name="_xlnm.Print_Area" localSheetId="41">'01,12 R3'!$A$1:$J$60</definedName>
    <definedName name="_xlnm.Print_Area" localSheetId="43">'01,13 R1'!$A$1:$J$60</definedName>
    <definedName name="_xlnm.Print_Area" localSheetId="44">'01,13 R2'!$A$1:$J$60</definedName>
    <definedName name="_xlnm.Print_Area" localSheetId="45">'01,13 R3'!$A$1:$J$60</definedName>
    <definedName name="_xlnm.Print_Area" localSheetId="47">'01,14 R1 NO TRIP'!$A$1:$J$60</definedName>
    <definedName name="_xlnm.Print_Area" localSheetId="48">'01,14 R2'!$A$1:$J$60</definedName>
    <definedName name="_xlnm.Print_Area" localSheetId="49">'01,14 R3'!$A$1:$J$60</definedName>
    <definedName name="_xlnm.Print_Area" localSheetId="51">'01,15 R1'!$A$1:$J$60</definedName>
    <definedName name="_xlnm.Print_Area" localSheetId="52">'01,15 R2'!$A$1:$J$60</definedName>
    <definedName name="_xlnm.Print_Area" localSheetId="53">'01,15 R3'!$A$1:$J$60</definedName>
    <definedName name="_xlnm.Print_Area" localSheetId="55">'01,16 R1'!$A$1:$J$60</definedName>
    <definedName name="_xlnm.Print_Area" localSheetId="56">'01,16 R2'!$A$1:$J$60</definedName>
    <definedName name="_xlnm.Print_Area" localSheetId="57">'01,16 R3'!$A$1:$J$60</definedName>
    <definedName name="_xlnm.Print_Area" localSheetId="59">'01,17 R1'!$A$1:$J$60</definedName>
    <definedName name="_xlnm.Print_Area" localSheetId="60">'01,17 R2'!$A$1:$J$60</definedName>
    <definedName name="_xlnm.Print_Area" localSheetId="61">'01,17 R3'!$A$1:$J$60</definedName>
    <definedName name="_xlnm.Print_Area" localSheetId="63">'01,19 R1'!$A$1:$J$60</definedName>
    <definedName name="_xlnm.Print_Area" localSheetId="64">'01,19 R2'!$A$1:$J$60</definedName>
    <definedName name="_xlnm.Print_Area" localSheetId="65">'01,19 R3'!$A$1:$J$60</definedName>
    <definedName name="_xlnm.Print_Area" localSheetId="67">'01,20 R1'!$A$1:$J$60</definedName>
    <definedName name="_xlnm.Print_Area" localSheetId="68">'01,20 R2'!$A$1:$J$60</definedName>
    <definedName name="_xlnm.Print_Area" localSheetId="69">'01,20 R3'!$A$1:$J$60</definedName>
    <definedName name="_xlnm.Print_Area" localSheetId="71">'01,21 R1'!$A$1:$J$60</definedName>
    <definedName name="_xlnm.Print_Area" localSheetId="72">'01,21 R2'!$A$1:$J$60</definedName>
    <definedName name="_xlnm.Print_Area" localSheetId="73">'01,21 R3'!$A$1:$J$60</definedName>
    <definedName name="_xlnm.Print_Area" localSheetId="75">'01,22 R1'!$A$1:$J$60</definedName>
    <definedName name="_xlnm.Print_Area" localSheetId="76">'01,22 R2'!$A$1:$J$60</definedName>
    <definedName name="_xlnm.Print_Area" localSheetId="77">'01,22 R3'!$A$1:$J$60</definedName>
    <definedName name="_xlnm.Print_Area" localSheetId="79">'01,23 R1'!$A$1:$J$60</definedName>
    <definedName name="_xlnm.Print_Area" localSheetId="80">'01,23 R2'!$A$1:$J$60</definedName>
    <definedName name="_xlnm.Print_Area" localSheetId="81">'01,23 R3'!$A$1:$J$60</definedName>
    <definedName name="_xlnm.Print_Area" localSheetId="83">'01,24 R1'!$A$1:$J$60</definedName>
    <definedName name="_xlnm.Print_Area" localSheetId="84">'01,24 R2'!$A$1:$J$60</definedName>
    <definedName name="_xlnm.Print_Area" localSheetId="85">'01,24 R3'!$A$1:$J$60</definedName>
    <definedName name="_xlnm.Print_Area" localSheetId="87">'01,26 R1'!$A$1:$J$60</definedName>
    <definedName name="_xlnm.Print_Area" localSheetId="88">'01,26 R2'!$A$1:$J$60</definedName>
    <definedName name="_xlnm.Print_Area" localSheetId="89">'01,26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20" i="1711" l="1"/>
  <c r="C15" i="1711"/>
  <c r="H16" i="1713" l="1"/>
  <c r="H16" i="1712"/>
  <c r="H16" i="1711"/>
  <c r="H16" i="1709" l="1"/>
  <c r="H16" i="1708"/>
  <c r="H16" i="1707"/>
  <c r="C37" i="1709" l="1"/>
  <c r="C6" i="1708"/>
  <c r="C15" i="1707"/>
  <c r="H16" i="1705" l="1"/>
  <c r="H16" i="1704"/>
  <c r="L24" i="1705"/>
  <c r="L25" i="1705"/>
  <c r="C20" i="1703"/>
  <c r="C19" i="1703"/>
  <c r="C12" i="1703"/>
  <c r="C17" i="1703"/>
  <c r="C26" i="1703"/>
  <c r="L26" i="1703"/>
  <c r="C21" i="1703" l="1"/>
  <c r="C15" i="1703"/>
  <c r="H16" i="1701" l="1"/>
  <c r="R52" i="1729" l="1"/>
  <c r="R51" i="1729"/>
  <c r="D50" i="1729"/>
  <c r="R49" i="1729"/>
  <c r="D49" i="1729"/>
  <c r="R48" i="1729"/>
  <c r="D48" i="1729"/>
  <c r="D46" i="1729"/>
  <c r="D45" i="1729"/>
  <c r="R44" i="1729"/>
  <c r="D44" i="1729"/>
  <c r="R42" i="1729"/>
  <c r="L6" i="1729" s="1"/>
  <c r="D6" i="1729" s="1"/>
  <c r="D42" i="1729"/>
  <c r="R41" i="1729"/>
  <c r="D41" i="1729"/>
  <c r="R40" i="1729"/>
  <c r="D40" i="1729"/>
  <c r="R39" i="1729"/>
  <c r="H39" i="1729"/>
  <c r="D39" i="1729"/>
  <c r="R38" i="1729"/>
  <c r="L9" i="1729" s="1"/>
  <c r="D9" i="1729" s="1"/>
  <c r="H38" i="1729"/>
  <c r="D38" i="1729"/>
  <c r="R37" i="1729"/>
  <c r="H37" i="1729"/>
  <c r="D37" i="1729"/>
  <c r="R36" i="1729"/>
  <c r="H36" i="1729"/>
  <c r="G49" i="1729" s="1"/>
  <c r="D36" i="1729"/>
  <c r="R35" i="1729"/>
  <c r="H35" i="1729"/>
  <c r="D35" i="1729"/>
  <c r="R34" i="1729"/>
  <c r="L12" i="1729" s="1"/>
  <c r="D12" i="1729" s="1"/>
  <c r="H34" i="1729"/>
  <c r="D34" i="1729"/>
  <c r="D54" i="1729" s="1"/>
  <c r="H14" i="1729" s="1"/>
  <c r="R33" i="1729"/>
  <c r="R32" i="1729"/>
  <c r="R31" i="1729"/>
  <c r="R30" i="1729"/>
  <c r="R29" i="1729"/>
  <c r="R28" i="1729"/>
  <c r="L28" i="1729"/>
  <c r="D28" i="1729"/>
  <c r="R27" i="1729"/>
  <c r="D27" i="1729"/>
  <c r="R26" i="1729"/>
  <c r="L26" i="1729"/>
  <c r="D26" i="1729" s="1"/>
  <c r="R25" i="1729"/>
  <c r="L25" i="1729"/>
  <c r="D25" i="1729" s="1"/>
  <c r="R24" i="1729"/>
  <c r="D24" i="1729"/>
  <c r="R23" i="1729"/>
  <c r="L23" i="1729"/>
  <c r="D23" i="1729" s="1"/>
  <c r="R22" i="1729"/>
  <c r="L22" i="1729"/>
  <c r="D22" i="1729"/>
  <c r="R21" i="1729"/>
  <c r="D21" i="1729"/>
  <c r="R20" i="1729"/>
  <c r="L20" i="1729"/>
  <c r="D20" i="1729" s="1"/>
  <c r="R19" i="1729"/>
  <c r="L19" i="1729"/>
  <c r="D19" i="1729" s="1"/>
  <c r="R18" i="1729"/>
  <c r="D18" i="1729"/>
  <c r="R17" i="1729"/>
  <c r="D17" i="1729"/>
  <c r="R16" i="1729"/>
  <c r="L16" i="1729"/>
  <c r="D16" i="1729"/>
  <c r="R15" i="1729"/>
  <c r="D15" i="1729"/>
  <c r="R14" i="1729"/>
  <c r="D14" i="1729"/>
  <c r="R13" i="1729"/>
  <c r="D13" i="1729"/>
  <c r="R12" i="1729"/>
  <c r="R11" i="1729"/>
  <c r="L11" i="1729"/>
  <c r="D11" i="1729"/>
  <c r="L10" i="1729"/>
  <c r="D10" i="1729"/>
  <c r="L8" i="1729"/>
  <c r="D8" i="1729"/>
  <c r="L7" i="1729"/>
  <c r="D7" i="1729"/>
  <c r="R6" i="1729"/>
  <c r="R5" i="1729"/>
  <c r="R4" i="1729"/>
  <c r="R52" i="1728"/>
  <c r="R51" i="1728"/>
  <c r="D50" i="1728"/>
  <c r="R49" i="1728"/>
  <c r="D49" i="1728"/>
  <c r="R48" i="1728"/>
  <c r="D48" i="1728"/>
  <c r="D46" i="1728"/>
  <c r="D45" i="1728"/>
  <c r="R44" i="1728"/>
  <c r="L28" i="1728" s="1"/>
  <c r="D28" i="1728" s="1"/>
  <c r="D44" i="1728"/>
  <c r="R42" i="1728"/>
  <c r="D42" i="1728"/>
  <c r="R41" i="1728"/>
  <c r="D41" i="1728"/>
  <c r="R40" i="1728"/>
  <c r="D40" i="1728"/>
  <c r="R39" i="1728"/>
  <c r="H39" i="1728"/>
  <c r="D39" i="1728"/>
  <c r="R38" i="1728"/>
  <c r="H38" i="1728"/>
  <c r="D38" i="1728"/>
  <c r="R37" i="1728"/>
  <c r="H37" i="1728"/>
  <c r="D37" i="1728"/>
  <c r="R36" i="1728"/>
  <c r="L10" i="1728" s="1"/>
  <c r="D10" i="1728" s="1"/>
  <c r="H36" i="1728"/>
  <c r="D36" i="1728"/>
  <c r="R35" i="1728"/>
  <c r="H35" i="1728"/>
  <c r="D35" i="1728"/>
  <c r="R34" i="1728"/>
  <c r="L12" i="1728" s="1"/>
  <c r="D12" i="1728" s="1"/>
  <c r="H34" i="1728"/>
  <c r="G49" i="1728" s="1"/>
  <c r="D34" i="1728"/>
  <c r="D54" i="1728" s="1"/>
  <c r="H14" i="1728" s="1"/>
  <c r="R33" i="1728"/>
  <c r="R32" i="1728"/>
  <c r="R31" i="1728"/>
  <c r="R30" i="1728"/>
  <c r="R29" i="1728"/>
  <c r="R28" i="1728"/>
  <c r="L16" i="1728" s="1"/>
  <c r="D16" i="1728" s="1"/>
  <c r="R27" i="1728"/>
  <c r="D27" i="1728"/>
  <c r="R26" i="1728"/>
  <c r="L26" i="1728"/>
  <c r="D26" i="1728"/>
  <c r="R25" i="1728"/>
  <c r="L25" i="1728"/>
  <c r="D25" i="1728"/>
  <c r="R24" i="1728"/>
  <c r="L24" i="1728"/>
  <c r="D24" i="1728" s="1"/>
  <c r="R23" i="1728"/>
  <c r="L23" i="1728"/>
  <c r="D23" i="1728" s="1"/>
  <c r="R22" i="1728"/>
  <c r="L22" i="1728"/>
  <c r="D22" i="1728" s="1"/>
  <c r="R21" i="1728"/>
  <c r="D21" i="1728"/>
  <c r="R20" i="1728"/>
  <c r="L20" i="1728"/>
  <c r="D20" i="1728" s="1"/>
  <c r="R19" i="1728"/>
  <c r="L19" i="1728"/>
  <c r="D19" i="1728"/>
  <c r="R18" i="1728"/>
  <c r="D18" i="1728"/>
  <c r="R17" i="1728"/>
  <c r="L17" i="1728"/>
  <c r="D17" i="1728" s="1"/>
  <c r="R16" i="1728"/>
  <c r="R15" i="1728"/>
  <c r="D15" i="1728"/>
  <c r="R14" i="1728"/>
  <c r="D14" i="1728"/>
  <c r="R13" i="1728"/>
  <c r="D13" i="1728"/>
  <c r="R12" i="1728"/>
  <c r="R11" i="1728"/>
  <c r="L11" i="1728"/>
  <c r="D11" i="1728"/>
  <c r="L9" i="1728"/>
  <c r="D9" i="1728"/>
  <c r="L8" i="1728"/>
  <c r="D8" i="1728" s="1"/>
  <c r="L7" i="1728"/>
  <c r="D7" i="1728"/>
  <c r="R6" i="1728"/>
  <c r="L6" i="1728"/>
  <c r="D6" i="1728" s="1"/>
  <c r="R5" i="1728"/>
  <c r="R4" i="1728"/>
  <c r="R52" i="1727"/>
  <c r="R51" i="1727"/>
  <c r="D50" i="1727"/>
  <c r="R49" i="1727"/>
  <c r="D49" i="1727"/>
  <c r="R48" i="1727"/>
  <c r="D48" i="1727"/>
  <c r="D46" i="1727"/>
  <c r="D45" i="1727"/>
  <c r="R44" i="1727"/>
  <c r="D44" i="1727"/>
  <c r="R42" i="1727"/>
  <c r="L6" i="1727" s="1"/>
  <c r="D6" i="1727" s="1"/>
  <c r="D42" i="1727"/>
  <c r="R41" i="1727"/>
  <c r="D41" i="1727"/>
  <c r="R40" i="1727"/>
  <c r="D40" i="1727"/>
  <c r="R39" i="1727"/>
  <c r="H39" i="1727"/>
  <c r="D39" i="1727"/>
  <c r="R38" i="1727"/>
  <c r="H38" i="1727"/>
  <c r="D38" i="1727"/>
  <c r="D54" i="1727" s="1"/>
  <c r="H14" i="1727" s="1"/>
  <c r="R37" i="1727"/>
  <c r="H37" i="1727"/>
  <c r="D37" i="1727"/>
  <c r="R36" i="1727"/>
  <c r="H36" i="1727"/>
  <c r="D36" i="1727"/>
  <c r="R35" i="1727"/>
  <c r="H35" i="1727"/>
  <c r="D35" i="1727"/>
  <c r="R34" i="1727"/>
  <c r="L12" i="1727" s="1"/>
  <c r="D12" i="1727" s="1"/>
  <c r="H34" i="1727"/>
  <c r="G49" i="1727" s="1"/>
  <c r="D34" i="1727"/>
  <c r="R33" i="1727"/>
  <c r="R32" i="1727"/>
  <c r="R31" i="1727"/>
  <c r="R30" i="1727"/>
  <c r="R29" i="1727"/>
  <c r="R28" i="1727"/>
  <c r="L16" i="1727" s="1"/>
  <c r="D16" i="1727" s="1"/>
  <c r="L28" i="1727"/>
  <c r="D28" i="1727"/>
  <c r="R27" i="1727"/>
  <c r="D27" i="1727"/>
  <c r="R26" i="1727"/>
  <c r="L26" i="1727"/>
  <c r="D26" i="1727" s="1"/>
  <c r="R25" i="1727"/>
  <c r="L25" i="1727"/>
  <c r="D25" i="1727"/>
  <c r="R24" i="1727"/>
  <c r="L24" i="1727"/>
  <c r="D24" i="1727" s="1"/>
  <c r="R23" i="1727"/>
  <c r="D23" i="1727"/>
  <c r="R22" i="1727"/>
  <c r="D22" i="1727"/>
  <c r="R21" i="1727"/>
  <c r="D21" i="1727"/>
  <c r="R20" i="1727"/>
  <c r="L20" i="1727"/>
  <c r="D20" i="1727"/>
  <c r="R19" i="1727"/>
  <c r="D19" i="1727"/>
  <c r="R18" i="1727"/>
  <c r="D18" i="1727"/>
  <c r="R17" i="1727"/>
  <c r="L17" i="1727"/>
  <c r="D17" i="1727" s="1"/>
  <c r="R16" i="1727"/>
  <c r="R15" i="1727"/>
  <c r="D15" i="1727"/>
  <c r="R14" i="1727"/>
  <c r="D14" i="1727"/>
  <c r="R13" i="1727"/>
  <c r="D13" i="1727"/>
  <c r="R12" i="1727"/>
  <c r="R11" i="1727"/>
  <c r="L11" i="1727"/>
  <c r="D11" i="1727" s="1"/>
  <c r="L10" i="1727"/>
  <c r="D10" i="1727" s="1"/>
  <c r="L9" i="1727"/>
  <c r="D9" i="1727"/>
  <c r="L8" i="1727"/>
  <c r="D8" i="1727" s="1"/>
  <c r="L7" i="1727"/>
  <c r="D7" i="1727" s="1"/>
  <c r="R6" i="1727"/>
  <c r="R5" i="1727"/>
  <c r="R4" i="1727"/>
  <c r="R52" i="1726"/>
  <c r="R51" i="1726"/>
  <c r="D50" i="1726"/>
  <c r="R49" i="1726"/>
  <c r="G49" i="1726"/>
  <c r="D49" i="1726"/>
  <c r="R48" i="1726"/>
  <c r="D48" i="1726"/>
  <c r="D46" i="1726"/>
  <c r="D45" i="1726"/>
  <c r="D44" i="1726"/>
  <c r="R42" i="1726"/>
  <c r="D42" i="1726"/>
  <c r="R41" i="1726"/>
  <c r="L7" i="1726" s="1"/>
  <c r="D7" i="1726" s="1"/>
  <c r="D41" i="1726"/>
  <c r="R40" i="1726"/>
  <c r="D40" i="1726"/>
  <c r="R39" i="1726"/>
  <c r="D39" i="1726"/>
  <c r="R38" i="1726"/>
  <c r="L9" i="1726" s="1"/>
  <c r="D9" i="1726" s="1"/>
  <c r="D38" i="1726"/>
  <c r="R37" i="1726"/>
  <c r="D37" i="1726"/>
  <c r="R36" i="1726"/>
  <c r="L10" i="1726" s="1"/>
  <c r="D10" i="1726" s="1"/>
  <c r="D36" i="1726"/>
  <c r="R35" i="1726"/>
  <c r="D35" i="1726"/>
  <c r="R34" i="1726"/>
  <c r="L12" i="1726" s="1"/>
  <c r="D12" i="1726" s="1"/>
  <c r="D34" i="1726"/>
  <c r="D54" i="1726" s="1"/>
  <c r="H14" i="1726" s="1"/>
  <c r="R33" i="1726"/>
  <c r="L23" i="1726" s="1"/>
  <c r="D23" i="1726" s="1"/>
  <c r="R32" i="1726"/>
  <c r="L11" i="1726" s="1"/>
  <c r="D11" i="1726" s="1"/>
  <c r="R31" i="1726"/>
  <c r="R30" i="1726"/>
  <c r="R29" i="1726"/>
  <c r="R28" i="1726"/>
  <c r="D28" i="1726"/>
  <c r="R27" i="1726"/>
  <c r="D27" i="1726"/>
  <c r="R26" i="1726"/>
  <c r="L26" i="1726"/>
  <c r="D26" i="1726"/>
  <c r="R25" i="1726"/>
  <c r="L25" i="1726"/>
  <c r="D25" i="1726"/>
  <c r="R24" i="1726"/>
  <c r="D24" i="1726"/>
  <c r="R23" i="1726"/>
  <c r="R22" i="1726"/>
  <c r="L22" i="1726"/>
  <c r="D22" i="1726" s="1"/>
  <c r="R21" i="1726"/>
  <c r="D21" i="1726"/>
  <c r="R20" i="1726"/>
  <c r="L20" i="1726"/>
  <c r="D20" i="1726"/>
  <c r="R19" i="1726"/>
  <c r="L19" i="1726"/>
  <c r="D19" i="1726"/>
  <c r="R18" i="1726"/>
  <c r="D18" i="1726"/>
  <c r="R17" i="1726"/>
  <c r="D17" i="1726"/>
  <c r="R16" i="1726"/>
  <c r="L16" i="1726"/>
  <c r="D16" i="1726" s="1"/>
  <c r="S15" i="1726"/>
  <c r="R15" i="1726"/>
  <c r="D15" i="1726"/>
  <c r="S14" i="1726"/>
  <c r="R14" i="1726"/>
  <c r="D14" i="1726"/>
  <c r="R13" i="1726"/>
  <c r="D13" i="1726"/>
  <c r="R12" i="1726"/>
  <c r="R11" i="1726"/>
  <c r="L8" i="1726"/>
  <c r="D8" i="1726" s="1"/>
  <c r="R6" i="1726"/>
  <c r="L6" i="1726"/>
  <c r="D6" i="1726"/>
  <c r="R5" i="1726"/>
  <c r="R4" i="1726"/>
  <c r="R52" i="1725"/>
  <c r="R51" i="1725"/>
  <c r="D50" i="1725"/>
  <c r="R49" i="1725"/>
  <c r="D49" i="1725"/>
  <c r="R48" i="1725"/>
  <c r="D48" i="1725"/>
  <c r="D46" i="1725"/>
  <c r="D45" i="1725"/>
  <c r="R44" i="1725"/>
  <c r="D44" i="1725"/>
  <c r="R42" i="1725"/>
  <c r="D42" i="1725"/>
  <c r="R41" i="1725"/>
  <c r="L7" i="1725" s="1"/>
  <c r="D7" i="1725" s="1"/>
  <c r="D41" i="1725"/>
  <c r="R40" i="1725"/>
  <c r="D40" i="1725"/>
  <c r="R39" i="1725"/>
  <c r="H39" i="1725"/>
  <c r="D39" i="1725"/>
  <c r="R38" i="1725"/>
  <c r="L9" i="1725" s="1"/>
  <c r="D9" i="1725" s="1"/>
  <c r="H38" i="1725"/>
  <c r="D38" i="1725"/>
  <c r="R37" i="1725"/>
  <c r="H37" i="1725"/>
  <c r="D37" i="1725"/>
  <c r="R36" i="1725"/>
  <c r="L10" i="1725" s="1"/>
  <c r="D10" i="1725" s="1"/>
  <c r="H36" i="1725"/>
  <c r="D36" i="1725"/>
  <c r="R35" i="1725"/>
  <c r="L19" i="1725" s="1"/>
  <c r="D19" i="1725" s="1"/>
  <c r="H35" i="1725"/>
  <c r="D35" i="1725"/>
  <c r="R34" i="1725"/>
  <c r="L12" i="1725" s="1"/>
  <c r="D12" i="1725" s="1"/>
  <c r="H34" i="1725"/>
  <c r="G49" i="1725" s="1"/>
  <c r="D34" i="1725"/>
  <c r="D54" i="1725" s="1"/>
  <c r="H14" i="1725" s="1"/>
  <c r="R33" i="1725"/>
  <c r="R32" i="1725"/>
  <c r="L11" i="1725" s="1"/>
  <c r="D11" i="1725" s="1"/>
  <c r="R31" i="1725"/>
  <c r="R30" i="1725"/>
  <c r="R29" i="1725"/>
  <c r="R28" i="1725"/>
  <c r="L28" i="1725"/>
  <c r="D28" i="1725"/>
  <c r="R27" i="1725"/>
  <c r="D27" i="1725"/>
  <c r="R26" i="1725"/>
  <c r="L26" i="1725"/>
  <c r="D26" i="1725" s="1"/>
  <c r="R25" i="1725"/>
  <c r="L25" i="1725"/>
  <c r="D25" i="1725"/>
  <c r="R24" i="1725"/>
  <c r="D24" i="1725"/>
  <c r="R23" i="1725"/>
  <c r="L23" i="1725"/>
  <c r="D23" i="1725" s="1"/>
  <c r="R22" i="1725"/>
  <c r="L22" i="1725"/>
  <c r="D22" i="1725"/>
  <c r="R21" i="1725"/>
  <c r="D21" i="1725"/>
  <c r="R20" i="1725"/>
  <c r="L20" i="1725"/>
  <c r="D20" i="1725" s="1"/>
  <c r="R19" i="1725"/>
  <c r="R18" i="1725"/>
  <c r="D18" i="1725"/>
  <c r="R17" i="1725"/>
  <c r="D17" i="1725"/>
  <c r="R16" i="1725"/>
  <c r="L16" i="1725"/>
  <c r="D16" i="1725" s="1"/>
  <c r="R15" i="1725"/>
  <c r="D15" i="1725"/>
  <c r="R14" i="1725"/>
  <c r="D14" i="1725"/>
  <c r="R13" i="1725"/>
  <c r="D13" i="1725"/>
  <c r="R12" i="1725"/>
  <c r="R11" i="1725"/>
  <c r="L8" i="1725"/>
  <c r="D8" i="1725"/>
  <c r="R6" i="1725"/>
  <c r="L6" i="1725"/>
  <c r="D6" i="1725" s="1"/>
  <c r="R5" i="1725"/>
  <c r="R4" i="1725"/>
  <c r="R52" i="1724"/>
  <c r="R51" i="1724"/>
  <c r="D50" i="1724"/>
  <c r="R49" i="1724"/>
  <c r="D49" i="1724"/>
  <c r="R48" i="1724"/>
  <c r="D48" i="1724"/>
  <c r="D46" i="1724"/>
  <c r="D45" i="1724"/>
  <c r="R44" i="1724"/>
  <c r="L28" i="1724" s="1"/>
  <c r="D28" i="1724" s="1"/>
  <c r="D44" i="1724"/>
  <c r="R42" i="1724"/>
  <c r="L6" i="1724" s="1"/>
  <c r="D6" i="1724" s="1"/>
  <c r="D42" i="1724"/>
  <c r="R41" i="1724"/>
  <c r="D41" i="1724"/>
  <c r="R40" i="1724"/>
  <c r="D40" i="1724"/>
  <c r="R39" i="1724"/>
  <c r="H39" i="1724"/>
  <c r="D39" i="1724"/>
  <c r="R38" i="1724"/>
  <c r="L9" i="1724" s="1"/>
  <c r="D9" i="1724" s="1"/>
  <c r="H38" i="1724"/>
  <c r="D38" i="1724"/>
  <c r="R37" i="1724"/>
  <c r="H37" i="1724"/>
  <c r="D37" i="1724"/>
  <c r="R36" i="1724"/>
  <c r="L10" i="1724" s="1"/>
  <c r="D10" i="1724" s="1"/>
  <c r="H36" i="1724"/>
  <c r="D36" i="1724"/>
  <c r="R35" i="1724"/>
  <c r="H35" i="1724"/>
  <c r="G49" i="1724" s="1"/>
  <c r="D35" i="1724"/>
  <c r="R34" i="1724"/>
  <c r="L12" i="1724" s="1"/>
  <c r="D12" i="1724" s="1"/>
  <c r="H34" i="1724"/>
  <c r="D34" i="1724"/>
  <c r="D54" i="1724" s="1"/>
  <c r="H14" i="1724" s="1"/>
  <c r="R33" i="1724"/>
  <c r="R32" i="1724"/>
  <c r="R31" i="1724"/>
  <c r="R30" i="1724"/>
  <c r="R29" i="1724"/>
  <c r="R28" i="1724"/>
  <c r="L16" i="1724" s="1"/>
  <c r="D16" i="1724" s="1"/>
  <c r="R27" i="1724"/>
  <c r="D27" i="1724"/>
  <c r="R26" i="1724"/>
  <c r="L26" i="1724"/>
  <c r="D26" i="1724" s="1"/>
  <c r="R25" i="1724"/>
  <c r="L25" i="1724"/>
  <c r="D25" i="1724"/>
  <c r="R24" i="1724"/>
  <c r="L24" i="1724"/>
  <c r="D24" i="1724"/>
  <c r="R23" i="1724"/>
  <c r="L23" i="1724"/>
  <c r="D23" i="1724"/>
  <c r="R22" i="1724"/>
  <c r="L22" i="1724"/>
  <c r="D22" i="1724" s="1"/>
  <c r="R21" i="1724"/>
  <c r="D21" i="1724"/>
  <c r="R20" i="1724"/>
  <c r="L20" i="1724"/>
  <c r="D20" i="1724"/>
  <c r="R19" i="1724"/>
  <c r="L19" i="1724"/>
  <c r="D19" i="1724"/>
  <c r="R18" i="1724"/>
  <c r="D18" i="1724"/>
  <c r="R17" i="1724"/>
  <c r="L17" i="1724"/>
  <c r="D17" i="1724"/>
  <c r="R16" i="1724"/>
  <c r="R15" i="1724"/>
  <c r="D15" i="1724"/>
  <c r="R14" i="1724"/>
  <c r="D14" i="1724"/>
  <c r="R13" i="1724"/>
  <c r="D13" i="1724"/>
  <c r="R12" i="1724"/>
  <c r="R11" i="1724"/>
  <c r="L11" i="1724"/>
  <c r="D11" i="1724"/>
  <c r="L8" i="1724"/>
  <c r="D8" i="1724"/>
  <c r="L7" i="1724"/>
  <c r="D7" i="1724"/>
  <c r="R6" i="1724"/>
  <c r="R5" i="1724"/>
  <c r="R4" i="1724"/>
  <c r="R52" i="1723"/>
  <c r="R51" i="1723"/>
  <c r="D50" i="1723"/>
  <c r="R49" i="1723"/>
  <c r="D49" i="1723"/>
  <c r="R48" i="1723"/>
  <c r="D48" i="1723"/>
  <c r="D46" i="1723"/>
  <c r="D45" i="1723"/>
  <c r="R44" i="1723"/>
  <c r="D44" i="1723"/>
  <c r="R42" i="1723"/>
  <c r="L6" i="1723" s="1"/>
  <c r="D6" i="1723" s="1"/>
  <c r="D42" i="1723"/>
  <c r="R41" i="1723"/>
  <c r="D41" i="1723"/>
  <c r="R40" i="1723"/>
  <c r="D40" i="1723"/>
  <c r="R39" i="1723"/>
  <c r="L20" i="1723" s="1"/>
  <c r="D20" i="1723" s="1"/>
  <c r="H39" i="1723"/>
  <c r="D39" i="1723"/>
  <c r="R38" i="1723"/>
  <c r="H38" i="1723"/>
  <c r="D38" i="1723"/>
  <c r="R37" i="1723"/>
  <c r="H37" i="1723"/>
  <c r="D37" i="1723"/>
  <c r="R36" i="1723"/>
  <c r="H36" i="1723"/>
  <c r="D36" i="1723"/>
  <c r="R35" i="1723"/>
  <c r="H35" i="1723"/>
  <c r="D35" i="1723"/>
  <c r="R34" i="1723"/>
  <c r="L12" i="1723" s="1"/>
  <c r="D12" i="1723" s="1"/>
  <c r="H34" i="1723"/>
  <c r="G49" i="1723" s="1"/>
  <c r="D34" i="1723"/>
  <c r="D54" i="1723" s="1"/>
  <c r="H14" i="1723" s="1"/>
  <c r="R33" i="1723"/>
  <c r="R32" i="1723"/>
  <c r="R31" i="1723"/>
  <c r="R30" i="1723"/>
  <c r="R29" i="1723"/>
  <c r="R28" i="1723"/>
  <c r="L28" i="1723"/>
  <c r="D28" i="1723"/>
  <c r="R27" i="1723"/>
  <c r="D27" i="1723"/>
  <c r="R26" i="1723"/>
  <c r="L26" i="1723"/>
  <c r="D26" i="1723"/>
  <c r="R25" i="1723"/>
  <c r="L25" i="1723"/>
  <c r="D25" i="1723"/>
  <c r="R24" i="1723"/>
  <c r="L24" i="1723"/>
  <c r="D24" i="1723" s="1"/>
  <c r="R23" i="1723"/>
  <c r="D23" i="1723"/>
  <c r="R22" i="1723"/>
  <c r="D22" i="1723"/>
  <c r="R21" i="1723"/>
  <c r="D21" i="1723"/>
  <c r="R20" i="1723"/>
  <c r="R19" i="1723"/>
  <c r="D19" i="1723"/>
  <c r="R18" i="1723"/>
  <c r="D18" i="1723"/>
  <c r="R17" i="1723"/>
  <c r="L17" i="1723"/>
  <c r="D17" i="1723" s="1"/>
  <c r="R16" i="1723"/>
  <c r="L16" i="1723"/>
  <c r="D16" i="1723" s="1"/>
  <c r="R15" i="1723"/>
  <c r="D15" i="1723"/>
  <c r="R14" i="1723"/>
  <c r="D14" i="1723"/>
  <c r="R13" i="1723"/>
  <c r="D13" i="1723"/>
  <c r="R12" i="1723"/>
  <c r="R11" i="1723"/>
  <c r="L11" i="1723"/>
  <c r="D11" i="1723" s="1"/>
  <c r="L10" i="1723"/>
  <c r="D10" i="1723"/>
  <c r="L9" i="1723"/>
  <c r="D9" i="1723" s="1"/>
  <c r="L8" i="1723"/>
  <c r="D8" i="1723" s="1"/>
  <c r="L7" i="1723"/>
  <c r="D7" i="1723"/>
  <c r="R6" i="1723"/>
  <c r="R5" i="1723"/>
  <c r="R4" i="1723"/>
  <c r="R52" i="1722"/>
  <c r="R51" i="1722"/>
  <c r="D50" i="1722"/>
  <c r="R49" i="1722"/>
  <c r="G49" i="1722"/>
  <c r="D49" i="1722"/>
  <c r="R48" i="1722"/>
  <c r="D48" i="1722"/>
  <c r="D46" i="1722"/>
  <c r="D45" i="1722"/>
  <c r="D44" i="1722"/>
  <c r="R42" i="1722"/>
  <c r="D42" i="1722"/>
  <c r="R41" i="1722"/>
  <c r="L7" i="1722" s="1"/>
  <c r="D7" i="1722" s="1"/>
  <c r="D41" i="1722"/>
  <c r="R40" i="1722"/>
  <c r="L8" i="1722" s="1"/>
  <c r="D8" i="1722" s="1"/>
  <c r="D40" i="1722"/>
  <c r="R39" i="1722"/>
  <c r="D39" i="1722"/>
  <c r="R38" i="1722"/>
  <c r="L9" i="1722" s="1"/>
  <c r="D9" i="1722" s="1"/>
  <c r="D38" i="1722"/>
  <c r="R37" i="1722"/>
  <c r="D37" i="1722"/>
  <c r="D54" i="1722" s="1"/>
  <c r="H14" i="1722" s="1"/>
  <c r="R36" i="1722"/>
  <c r="D36" i="1722"/>
  <c r="R35" i="1722"/>
  <c r="L19" i="1722" s="1"/>
  <c r="D19" i="1722" s="1"/>
  <c r="D35" i="1722"/>
  <c r="R34" i="1722"/>
  <c r="D34" i="1722"/>
  <c r="R33" i="1722"/>
  <c r="R32" i="1722"/>
  <c r="L11" i="1722" s="1"/>
  <c r="D11" i="1722" s="1"/>
  <c r="R31" i="1722"/>
  <c r="R30" i="1722"/>
  <c r="R29" i="1722"/>
  <c r="R28" i="1722"/>
  <c r="D28" i="1722"/>
  <c r="R27" i="1722"/>
  <c r="D27" i="1722"/>
  <c r="R26" i="1722"/>
  <c r="L26" i="1722"/>
  <c r="D26" i="1722" s="1"/>
  <c r="R25" i="1722"/>
  <c r="L25" i="1722"/>
  <c r="D25" i="1722"/>
  <c r="R24" i="1722"/>
  <c r="D24" i="1722"/>
  <c r="R23" i="1722"/>
  <c r="L23" i="1722"/>
  <c r="D23" i="1722" s="1"/>
  <c r="R22" i="1722"/>
  <c r="L22" i="1722"/>
  <c r="D22" i="1722"/>
  <c r="R21" i="1722"/>
  <c r="D21" i="1722"/>
  <c r="R20" i="1722"/>
  <c r="L20" i="1722"/>
  <c r="D20" i="1722" s="1"/>
  <c r="R19" i="1722"/>
  <c r="R18" i="1722"/>
  <c r="D18" i="1722"/>
  <c r="R17" i="1722"/>
  <c r="D17" i="1722"/>
  <c r="R16" i="1722"/>
  <c r="L16" i="1722"/>
  <c r="D16" i="1722" s="1"/>
  <c r="S15" i="1722"/>
  <c r="R15" i="1722"/>
  <c r="D15" i="1722"/>
  <c r="S14" i="1722"/>
  <c r="R14" i="1722"/>
  <c r="D14" i="1722"/>
  <c r="R13" i="1722"/>
  <c r="D13" i="1722"/>
  <c r="R12" i="1722"/>
  <c r="L12" i="1722"/>
  <c r="D12" i="1722" s="1"/>
  <c r="R11" i="1722"/>
  <c r="L10" i="1722"/>
  <c r="D10" i="1722"/>
  <c r="R6" i="1722"/>
  <c r="L6" i="1722"/>
  <c r="D6" i="1722"/>
  <c r="R5" i="1722"/>
  <c r="R4" i="1722"/>
  <c r="R52" i="1721"/>
  <c r="L22" i="1721" s="1"/>
  <c r="D22" i="1721" s="1"/>
  <c r="R51" i="1721"/>
  <c r="D50" i="1721"/>
  <c r="R49" i="1721"/>
  <c r="D49" i="1721"/>
  <c r="R48" i="1721"/>
  <c r="D48" i="1721"/>
  <c r="D46" i="1721"/>
  <c r="D45" i="1721"/>
  <c r="R44" i="1721"/>
  <c r="D44" i="1721"/>
  <c r="R42" i="1721"/>
  <c r="L6" i="1721" s="1"/>
  <c r="D6" i="1721" s="1"/>
  <c r="D42" i="1721"/>
  <c r="R41" i="1721"/>
  <c r="L7" i="1721" s="1"/>
  <c r="D7" i="1721" s="1"/>
  <c r="D41" i="1721"/>
  <c r="R40" i="1721"/>
  <c r="D40" i="1721"/>
  <c r="R39" i="1721"/>
  <c r="H39" i="1721"/>
  <c r="D39" i="1721"/>
  <c r="R38" i="1721"/>
  <c r="H38" i="1721"/>
  <c r="D38" i="1721"/>
  <c r="D54" i="1721" s="1"/>
  <c r="H14" i="1721" s="1"/>
  <c r="R37" i="1721"/>
  <c r="H37" i="1721"/>
  <c r="D37" i="1721"/>
  <c r="R36" i="1721"/>
  <c r="L10" i="1721" s="1"/>
  <c r="D10" i="1721" s="1"/>
  <c r="H36" i="1721"/>
  <c r="D36" i="1721"/>
  <c r="R35" i="1721"/>
  <c r="L19" i="1721" s="1"/>
  <c r="D19" i="1721" s="1"/>
  <c r="H35" i="1721"/>
  <c r="D35" i="1721"/>
  <c r="R34" i="1721"/>
  <c r="H34" i="1721"/>
  <c r="G49" i="1721" s="1"/>
  <c r="D34" i="1721"/>
  <c r="R33" i="1721"/>
  <c r="R32" i="1721"/>
  <c r="R31" i="1721"/>
  <c r="R30" i="1721"/>
  <c r="R29" i="1721"/>
  <c r="R28" i="1721"/>
  <c r="L28" i="1721"/>
  <c r="D28" i="1721"/>
  <c r="R27" i="1721"/>
  <c r="D27" i="1721"/>
  <c r="R26" i="1721"/>
  <c r="L26" i="1721"/>
  <c r="D26" i="1721" s="1"/>
  <c r="R25" i="1721"/>
  <c r="L25" i="1721"/>
  <c r="D25" i="1721"/>
  <c r="R24" i="1721"/>
  <c r="D24" i="1721"/>
  <c r="R23" i="1721"/>
  <c r="L23" i="1721"/>
  <c r="D23" i="1721" s="1"/>
  <c r="R22" i="1721"/>
  <c r="R21" i="1721"/>
  <c r="D21" i="1721"/>
  <c r="R20" i="1721"/>
  <c r="L20" i="1721"/>
  <c r="D20" i="1721" s="1"/>
  <c r="R19" i="1721"/>
  <c r="R18" i="1721"/>
  <c r="D18" i="1721"/>
  <c r="R17" i="1721"/>
  <c r="D17" i="1721"/>
  <c r="R16" i="1721"/>
  <c r="L16" i="1721"/>
  <c r="D16" i="1721" s="1"/>
  <c r="R15" i="1721"/>
  <c r="D15" i="1721"/>
  <c r="R14" i="1721"/>
  <c r="D14" i="1721"/>
  <c r="R13" i="1721"/>
  <c r="D13" i="1721"/>
  <c r="R12" i="1721"/>
  <c r="L12" i="1721"/>
  <c r="D12" i="1721" s="1"/>
  <c r="R11" i="1721"/>
  <c r="L11" i="1721"/>
  <c r="D11" i="1721"/>
  <c r="L9" i="1721"/>
  <c r="D9" i="1721"/>
  <c r="L8" i="1721"/>
  <c r="D8" i="1721"/>
  <c r="R6" i="1721"/>
  <c r="R5" i="1721"/>
  <c r="R4" i="1721"/>
  <c r="R52" i="1720"/>
  <c r="R51" i="1720"/>
  <c r="D50" i="1720"/>
  <c r="R49" i="1720"/>
  <c r="D49" i="1720"/>
  <c r="R48" i="1720"/>
  <c r="D48" i="1720"/>
  <c r="D46" i="1720"/>
  <c r="D45" i="1720"/>
  <c r="R44" i="1720"/>
  <c r="D44" i="1720"/>
  <c r="R42" i="1720"/>
  <c r="D42" i="1720"/>
  <c r="R41" i="1720"/>
  <c r="D41" i="1720"/>
  <c r="R40" i="1720"/>
  <c r="D40" i="1720"/>
  <c r="R39" i="1720"/>
  <c r="H39" i="1720"/>
  <c r="D39" i="1720"/>
  <c r="R38" i="1720"/>
  <c r="H38" i="1720"/>
  <c r="D38" i="1720"/>
  <c r="R37" i="1720"/>
  <c r="H37" i="1720"/>
  <c r="D37" i="1720"/>
  <c r="R36" i="1720"/>
  <c r="L10" i="1720" s="1"/>
  <c r="D10" i="1720" s="1"/>
  <c r="H36" i="1720"/>
  <c r="D36" i="1720"/>
  <c r="R35" i="1720"/>
  <c r="H35" i="1720"/>
  <c r="D35" i="1720"/>
  <c r="R34" i="1720"/>
  <c r="H34" i="1720"/>
  <c r="G49" i="1720" s="1"/>
  <c r="D34" i="1720"/>
  <c r="D54" i="1720" s="1"/>
  <c r="H14" i="1720" s="1"/>
  <c r="R33" i="1720"/>
  <c r="R32" i="1720"/>
  <c r="R31" i="1720"/>
  <c r="R30" i="1720"/>
  <c r="R29" i="1720"/>
  <c r="R28" i="1720"/>
  <c r="L28" i="1720"/>
  <c r="D28" i="1720"/>
  <c r="R27" i="1720"/>
  <c r="D27" i="1720"/>
  <c r="R26" i="1720"/>
  <c r="L26" i="1720"/>
  <c r="D26" i="1720" s="1"/>
  <c r="R25" i="1720"/>
  <c r="L25" i="1720"/>
  <c r="D25" i="1720"/>
  <c r="R24" i="1720"/>
  <c r="L24" i="1720"/>
  <c r="D24" i="1720"/>
  <c r="R23" i="1720"/>
  <c r="L23" i="1720"/>
  <c r="D23" i="1720"/>
  <c r="R22" i="1720"/>
  <c r="L22" i="1720"/>
  <c r="D22" i="1720" s="1"/>
  <c r="R21" i="1720"/>
  <c r="L17" i="1720" s="1"/>
  <c r="D17" i="1720" s="1"/>
  <c r="D21" i="1720"/>
  <c r="R20" i="1720"/>
  <c r="L20" i="1720"/>
  <c r="D20" i="1720" s="1"/>
  <c r="R19" i="1720"/>
  <c r="L19" i="1720"/>
  <c r="D19" i="1720" s="1"/>
  <c r="R18" i="1720"/>
  <c r="D18" i="1720"/>
  <c r="R17" i="1720"/>
  <c r="R16" i="1720"/>
  <c r="L16" i="1720"/>
  <c r="D16" i="1720" s="1"/>
  <c r="R15" i="1720"/>
  <c r="D15" i="1720"/>
  <c r="R14" i="1720"/>
  <c r="D14" i="1720"/>
  <c r="R13" i="1720"/>
  <c r="D13" i="1720"/>
  <c r="R12" i="1720"/>
  <c r="L12" i="1720"/>
  <c r="D12" i="1720" s="1"/>
  <c r="R11" i="1720"/>
  <c r="L11" i="1720"/>
  <c r="D11" i="1720"/>
  <c r="L9" i="1720"/>
  <c r="D9" i="1720"/>
  <c r="L8" i="1720"/>
  <c r="D8" i="1720" s="1"/>
  <c r="L7" i="1720"/>
  <c r="D7" i="1720"/>
  <c r="R6" i="1720"/>
  <c r="L6" i="1720"/>
  <c r="D6" i="1720"/>
  <c r="R5" i="1720"/>
  <c r="R4" i="1720"/>
  <c r="R52" i="1719"/>
  <c r="R51" i="1719"/>
  <c r="D50" i="1719"/>
  <c r="R49" i="1719"/>
  <c r="D49" i="1719"/>
  <c r="R48" i="1719"/>
  <c r="D48" i="1719"/>
  <c r="D46" i="1719"/>
  <c r="D45" i="1719"/>
  <c r="R44" i="1719"/>
  <c r="D44" i="1719"/>
  <c r="R42" i="1719"/>
  <c r="L6" i="1719" s="1"/>
  <c r="D6" i="1719" s="1"/>
  <c r="D42" i="1719"/>
  <c r="R41" i="1719"/>
  <c r="L7" i="1719" s="1"/>
  <c r="D7" i="1719" s="1"/>
  <c r="D41" i="1719"/>
  <c r="R40" i="1719"/>
  <c r="D40" i="1719"/>
  <c r="R39" i="1719"/>
  <c r="L20" i="1719" s="1"/>
  <c r="D20" i="1719" s="1"/>
  <c r="H39" i="1719"/>
  <c r="D39" i="1719"/>
  <c r="R38" i="1719"/>
  <c r="H38" i="1719"/>
  <c r="D38" i="1719"/>
  <c r="D54" i="1719" s="1"/>
  <c r="H14" i="1719" s="1"/>
  <c r="R37" i="1719"/>
  <c r="H37" i="1719"/>
  <c r="D37" i="1719"/>
  <c r="R36" i="1719"/>
  <c r="H36" i="1719"/>
  <c r="D36" i="1719"/>
  <c r="R35" i="1719"/>
  <c r="H35" i="1719"/>
  <c r="D35" i="1719"/>
  <c r="R34" i="1719"/>
  <c r="H34" i="1719"/>
  <c r="G49" i="1719" s="1"/>
  <c r="D34" i="1719"/>
  <c r="R33" i="1719"/>
  <c r="R32" i="1719"/>
  <c r="L11" i="1719" s="1"/>
  <c r="D11" i="1719" s="1"/>
  <c r="R31" i="1719"/>
  <c r="R30" i="1719"/>
  <c r="R29" i="1719"/>
  <c r="R28" i="1719"/>
  <c r="L28" i="1719"/>
  <c r="D28" i="1719"/>
  <c r="R27" i="1719"/>
  <c r="D27" i="1719"/>
  <c r="R26" i="1719"/>
  <c r="L26" i="1719"/>
  <c r="D26" i="1719"/>
  <c r="R25" i="1719"/>
  <c r="L25" i="1719"/>
  <c r="D25" i="1719"/>
  <c r="R24" i="1719"/>
  <c r="L24" i="1719"/>
  <c r="D24" i="1719" s="1"/>
  <c r="R23" i="1719"/>
  <c r="D23" i="1719"/>
  <c r="R22" i="1719"/>
  <c r="D22" i="1719"/>
  <c r="R21" i="1719"/>
  <c r="D21" i="1719"/>
  <c r="R20" i="1719"/>
  <c r="R19" i="1719"/>
  <c r="D19" i="1719"/>
  <c r="R18" i="1719"/>
  <c r="D18" i="1719"/>
  <c r="R17" i="1719"/>
  <c r="L17" i="1719"/>
  <c r="D17" i="1719" s="1"/>
  <c r="R16" i="1719"/>
  <c r="L16" i="1719"/>
  <c r="D16" i="1719" s="1"/>
  <c r="R15" i="1719"/>
  <c r="D15" i="1719"/>
  <c r="R14" i="1719"/>
  <c r="D14" i="1719"/>
  <c r="R13" i="1719"/>
  <c r="D13" i="1719"/>
  <c r="R12" i="1719"/>
  <c r="L12" i="1719"/>
  <c r="D12" i="1719"/>
  <c r="R11" i="1719"/>
  <c r="L10" i="1719"/>
  <c r="D10" i="1719"/>
  <c r="L9" i="1719"/>
  <c r="D9" i="1719"/>
  <c r="L8" i="1719"/>
  <c r="D8" i="1719" s="1"/>
  <c r="R6" i="1719"/>
  <c r="R5" i="1719"/>
  <c r="R4" i="1719"/>
  <c r="R52" i="1718"/>
  <c r="R51" i="1718"/>
  <c r="D50" i="1718"/>
  <c r="R49" i="1718"/>
  <c r="G49" i="1718"/>
  <c r="D49" i="1718"/>
  <c r="R48" i="1718"/>
  <c r="D48" i="1718"/>
  <c r="D46" i="1718"/>
  <c r="D45" i="1718"/>
  <c r="D44" i="1718"/>
  <c r="R42" i="1718"/>
  <c r="L6" i="1718" s="1"/>
  <c r="D6" i="1718" s="1"/>
  <c r="D42" i="1718"/>
  <c r="R41" i="1718"/>
  <c r="L7" i="1718" s="1"/>
  <c r="D7" i="1718" s="1"/>
  <c r="D41" i="1718"/>
  <c r="R40" i="1718"/>
  <c r="D40" i="1718"/>
  <c r="R39" i="1718"/>
  <c r="D39" i="1718"/>
  <c r="R38" i="1718"/>
  <c r="L9" i="1718" s="1"/>
  <c r="D9" i="1718" s="1"/>
  <c r="D38" i="1718"/>
  <c r="R37" i="1718"/>
  <c r="D37" i="1718"/>
  <c r="R36" i="1718"/>
  <c r="L10" i="1718" s="1"/>
  <c r="D10" i="1718" s="1"/>
  <c r="D36" i="1718"/>
  <c r="R35" i="1718"/>
  <c r="D35" i="1718"/>
  <c r="R34" i="1718"/>
  <c r="L12" i="1718" s="1"/>
  <c r="D12" i="1718" s="1"/>
  <c r="D34" i="1718"/>
  <c r="D54" i="1718" s="1"/>
  <c r="H14" i="1718" s="1"/>
  <c r="R33" i="1718"/>
  <c r="L23" i="1718" s="1"/>
  <c r="D23" i="1718" s="1"/>
  <c r="R32" i="1718"/>
  <c r="R31" i="1718"/>
  <c r="R30" i="1718"/>
  <c r="R29" i="1718"/>
  <c r="R28" i="1718"/>
  <c r="D28" i="1718"/>
  <c r="R27" i="1718"/>
  <c r="D27" i="1718"/>
  <c r="R26" i="1718"/>
  <c r="L26" i="1718"/>
  <c r="D26" i="1718"/>
  <c r="R25" i="1718"/>
  <c r="L25" i="1718"/>
  <c r="D25" i="1718"/>
  <c r="R24" i="1718"/>
  <c r="D24" i="1718"/>
  <c r="R23" i="1718"/>
  <c r="R22" i="1718"/>
  <c r="L22" i="1718"/>
  <c r="D22" i="1718" s="1"/>
  <c r="R21" i="1718"/>
  <c r="D21" i="1718"/>
  <c r="R20" i="1718"/>
  <c r="L20" i="1718"/>
  <c r="D20" i="1718"/>
  <c r="R19" i="1718"/>
  <c r="L19" i="1718"/>
  <c r="D19" i="1718"/>
  <c r="R18" i="1718"/>
  <c r="D18" i="1718"/>
  <c r="R17" i="1718"/>
  <c r="D17" i="1718"/>
  <c r="R16" i="1718"/>
  <c r="L16" i="1718"/>
  <c r="D16" i="1718" s="1"/>
  <c r="S15" i="1718"/>
  <c r="R15" i="1718"/>
  <c r="D15" i="1718"/>
  <c r="S14" i="1718"/>
  <c r="R14" i="1718"/>
  <c r="D14" i="1718"/>
  <c r="R13" i="1718"/>
  <c r="D13" i="1718"/>
  <c r="R12" i="1718"/>
  <c r="R11" i="1718"/>
  <c r="L11" i="1718"/>
  <c r="D11" i="1718" s="1"/>
  <c r="L8" i="1718"/>
  <c r="D8" i="1718"/>
  <c r="R6" i="1718"/>
  <c r="R5" i="1718"/>
  <c r="R4" i="1718"/>
  <c r="R52" i="1717"/>
  <c r="R51" i="1717"/>
  <c r="D50" i="1717"/>
  <c r="R49" i="1717"/>
  <c r="D49" i="1717"/>
  <c r="R48" i="1717"/>
  <c r="D48" i="1717"/>
  <c r="D46" i="1717"/>
  <c r="D45" i="1717"/>
  <c r="R44" i="1717"/>
  <c r="L28" i="1717" s="1"/>
  <c r="D28" i="1717" s="1"/>
  <c r="D44" i="1717"/>
  <c r="R42" i="1717"/>
  <c r="L6" i="1717" s="1"/>
  <c r="D6" i="1717" s="1"/>
  <c r="D42" i="1717"/>
  <c r="R41" i="1717"/>
  <c r="D41" i="1717"/>
  <c r="R40" i="1717"/>
  <c r="D40" i="1717"/>
  <c r="R39" i="1717"/>
  <c r="H39" i="1717"/>
  <c r="D39" i="1717"/>
  <c r="R38" i="1717"/>
  <c r="L9" i="1717" s="1"/>
  <c r="D9" i="1717" s="1"/>
  <c r="H38" i="1717"/>
  <c r="D38" i="1717"/>
  <c r="R37" i="1717"/>
  <c r="H37" i="1717"/>
  <c r="D37" i="1717"/>
  <c r="R36" i="1717"/>
  <c r="L10" i="1717" s="1"/>
  <c r="D10" i="1717" s="1"/>
  <c r="H36" i="1717"/>
  <c r="D36" i="1717"/>
  <c r="R35" i="1717"/>
  <c r="H35" i="1717"/>
  <c r="D35" i="1717"/>
  <c r="R34" i="1717"/>
  <c r="L12" i="1717" s="1"/>
  <c r="D12" i="1717" s="1"/>
  <c r="H34" i="1717"/>
  <c r="G49" i="1717" s="1"/>
  <c r="D34" i="1717"/>
  <c r="D54" i="1717" s="1"/>
  <c r="H14" i="1717" s="1"/>
  <c r="R33" i="1717"/>
  <c r="R32" i="1717"/>
  <c r="R31" i="1717"/>
  <c r="R30" i="1717"/>
  <c r="R29" i="1717"/>
  <c r="R28" i="1717"/>
  <c r="R27" i="1717"/>
  <c r="D27" i="1717"/>
  <c r="R26" i="1717"/>
  <c r="L26" i="1717"/>
  <c r="D26" i="1717"/>
  <c r="R25" i="1717"/>
  <c r="L25" i="1717"/>
  <c r="D25" i="1717" s="1"/>
  <c r="R24" i="1717"/>
  <c r="D24" i="1717"/>
  <c r="R23" i="1717"/>
  <c r="L23" i="1717"/>
  <c r="D23" i="1717"/>
  <c r="R22" i="1717"/>
  <c r="L22" i="1717"/>
  <c r="D22" i="1717"/>
  <c r="R21" i="1717"/>
  <c r="D21" i="1717"/>
  <c r="R20" i="1717"/>
  <c r="L20" i="1717"/>
  <c r="D20" i="1717"/>
  <c r="R19" i="1717"/>
  <c r="L19" i="1717"/>
  <c r="D19" i="1717"/>
  <c r="R18" i="1717"/>
  <c r="D18" i="1717"/>
  <c r="R17" i="1717"/>
  <c r="D17" i="1717"/>
  <c r="R16" i="1717"/>
  <c r="L16" i="1717"/>
  <c r="D16" i="1717" s="1"/>
  <c r="R15" i="1717"/>
  <c r="D15" i="1717"/>
  <c r="R14" i="1717"/>
  <c r="D14" i="1717"/>
  <c r="R13" i="1717"/>
  <c r="D13" i="1717"/>
  <c r="R12" i="1717"/>
  <c r="R11" i="1717"/>
  <c r="L11" i="1717"/>
  <c r="D11" i="1717"/>
  <c r="L8" i="1717"/>
  <c r="D8" i="1717"/>
  <c r="L7" i="1717"/>
  <c r="D7" i="1717"/>
  <c r="R6" i="1717"/>
  <c r="R5" i="1717"/>
  <c r="R4" i="1717"/>
  <c r="R52" i="1716"/>
  <c r="R51" i="1716"/>
  <c r="D50" i="1716"/>
  <c r="R49" i="1716"/>
  <c r="D49" i="1716"/>
  <c r="R48" i="1716"/>
  <c r="D48" i="1716"/>
  <c r="D46" i="1716"/>
  <c r="D45" i="1716"/>
  <c r="R44" i="1716"/>
  <c r="L28" i="1716" s="1"/>
  <c r="D28" i="1716" s="1"/>
  <c r="D44" i="1716"/>
  <c r="R42" i="1716"/>
  <c r="L6" i="1716" s="1"/>
  <c r="D6" i="1716" s="1"/>
  <c r="D42" i="1716"/>
  <c r="R41" i="1716"/>
  <c r="D41" i="1716"/>
  <c r="R40" i="1716"/>
  <c r="D40" i="1716"/>
  <c r="R39" i="1716"/>
  <c r="L20" i="1716" s="1"/>
  <c r="D20" i="1716" s="1"/>
  <c r="H39" i="1716"/>
  <c r="D39" i="1716"/>
  <c r="R38" i="1716"/>
  <c r="H38" i="1716"/>
  <c r="D38" i="1716"/>
  <c r="R37" i="1716"/>
  <c r="H37" i="1716"/>
  <c r="D37" i="1716"/>
  <c r="R36" i="1716"/>
  <c r="L10" i="1716" s="1"/>
  <c r="D10" i="1716" s="1"/>
  <c r="H36" i="1716"/>
  <c r="D36" i="1716"/>
  <c r="R35" i="1716"/>
  <c r="H35" i="1716"/>
  <c r="D35" i="1716"/>
  <c r="R34" i="1716"/>
  <c r="L12" i="1716" s="1"/>
  <c r="D12" i="1716" s="1"/>
  <c r="H34" i="1716"/>
  <c r="G49" i="1716" s="1"/>
  <c r="D34" i="1716"/>
  <c r="D54" i="1716" s="1"/>
  <c r="H14" i="1716" s="1"/>
  <c r="R33" i="1716"/>
  <c r="R32" i="1716"/>
  <c r="R31" i="1716"/>
  <c r="R30" i="1716"/>
  <c r="R29" i="1716"/>
  <c r="R28" i="1716"/>
  <c r="R27" i="1716"/>
  <c r="D27" i="1716"/>
  <c r="R26" i="1716"/>
  <c r="L26" i="1716"/>
  <c r="D26" i="1716"/>
  <c r="R25" i="1716"/>
  <c r="L25" i="1716"/>
  <c r="D25" i="1716" s="1"/>
  <c r="R24" i="1716"/>
  <c r="L24" i="1716"/>
  <c r="D24" i="1716"/>
  <c r="R23" i="1716"/>
  <c r="L23" i="1716"/>
  <c r="D23" i="1716" s="1"/>
  <c r="R22" i="1716"/>
  <c r="L22" i="1716"/>
  <c r="D22" i="1716" s="1"/>
  <c r="R21" i="1716"/>
  <c r="D21" i="1716"/>
  <c r="R20" i="1716"/>
  <c r="R19" i="1716"/>
  <c r="L19" i="1716"/>
  <c r="D19" i="1716" s="1"/>
  <c r="R18" i="1716"/>
  <c r="D18" i="1716"/>
  <c r="R17" i="1716"/>
  <c r="L17" i="1716"/>
  <c r="D17" i="1716" s="1"/>
  <c r="R16" i="1716"/>
  <c r="L16" i="1716"/>
  <c r="D16" i="1716" s="1"/>
  <c r="R15" i="1716"/>
  <c r="D15" i="1716"/>
  <c r="R14" i="1716"/>
  <c r="D14" i="1716"/>
  <c r="R13" i="1716"/>
  <c r="D13" i="1716"/>
  <c r="R12" i="1716"/>
  <c r="R11" i="1716"/>
  <c r="L11" i="1716"/>
  <c r="D11" i="1716"/>
  <c r="L9" i="1716"/>
  <c r="D9" i="1716"/>
  <c r="L8" i="1716"/>
  <c r="D8" i="1716" s="1"/>
  <c r="L7" i="1716"/>
  <c r="D7" i="1716" s="1"/>
  <c r="R6" i="1716"/>
  <c r="R5" i="1716"/>
  <c r="R4" i="1716"/>
  <c r="R52" i="1715"/>
  <c r="R51" i="1715"/>
  <c r="D50" i="1715"/>
  <c r="R49" i="1715"/>
  <c r="D49" i="1715"/>
  <c r="R48" i="1715"/>
  <c r="D48" i="1715"/>
  <c r="D46" i="1715"/>
  <c r="D45" i="1715"/>
  <c r="R44" i="1715"/>
  <c r="D44" i="1715"/>
  <c r="R42" i="1715"/>
  <c r="L6" i="1715" s="1"/>
  <c r="D6" i="1715" s="1"/>
  <c r="D29" i="1715" s="1"/>
  <c r="H13" i="1715" s="1"/>
  <c r="H15" i="1715" s="1"/>
  <c r="H29" i="1715" s="1"/>
  <c r="D42" i="1715"/>
  <c r="R41" i="1715"/>
  <c r="D41" i="1715"/>
  <c r="R40" i="1715"/>
  <c r="D40" i="1715"/>
  <c r="R39" i="1715"/>
  <c r="L20" i="1715" s="1"/>
  <c r="D20" i="1715" s="1"/>
  <c r="H39" i="1715"/>
  <c r="D39" i="1715"/>
  <c r="R38" i="1715"/>
  <c r="H38" i="1715"/>
  <c r="D38" i="1715"/>
  <c r="R37" i="1715"/>
  <c r="H37" i="1715"/>
  <c r="D37" i="1715"/>
  <c r="R36" i="1715"/>
  <c r="H36" i="1715"/>
  <c r="D36" i="1715"/>
  <c r="R35" i="1715"/>
  <c r="H35" i="1715"/>
  <c r="D35" i="1715"/>
  <c r="R34" i="1715"/>
  <c r="H34" i="1715"/>
  <c r="G49" i="1715" s="1"/>
  <c r="D34" i="1715"/>
  <c r="D54" i="1715" s="1"/>
  <c r="H14" i="1715" s="1"/>
  <c r="R33" i="1715"/>
  <c r="R32" i="1715"/>
  <c r="R31" i="1715"/>
  <c r="R30" i="1715"/>
  <c r="R29" i="1715"/>
  <c r="R28" i="1715"/>
  <c r="L28" i="1715"/>
  <c r="D28" i="1715"/>
  <c r="R27" i="1715"/>
  <c r="D27" i="1715"/>
  <c r="R26" i="1715"/>
  <c r="L26" i="1715"/>
  <c r="D26" i="1715"/>
  <c r="R25" i="1715"/>
  <c r="L25" i="1715"/>
  <c r="D25" i="1715" s="1"/>
  <c r="R24" i="1715"/>
  <c r="L24" i="1715"/>
  <c r="D24" i="1715"/>
  <c r="R23" i="1715"/>
  <c r="D23" i="1715"/>
  <c r="R22" i="1715"/>
  <c r="D22" i="1715"/>
  <c r="R21" i="1715"/>
  <c r="D21" i="1715"/>
  <c r="R20" i="1715"/>
  <c r="R19" i="1715"/>
  <c r="D19" i="1715"/>
  <c r="R18" i="1715"/>
  <c r="D18" i="1715"/>
  <c r="R17" i="1715"/>
  <c r="L17" i="1715"/>
  <c r="D17" i="1715"/>
  <c r="R16" i="1715"/>
  <c r="L16" i="1715"/>
  <c r="D16" i="1715" s="1"/>
  <c r="R15" i="1715"/>
  <c r="D15" i="1715"/>
  <c r="R14" i="1715"/>
  <c r="D14" i="1715"/>
  <c r="R13" i="1715"/>
  <c r="D13" i="1715"/>
  <c r="R12" i="1715"/>
  <c r="L12" i="1715"/>
  <c r="D12" i="1715"/>
  <c r="R11" i="1715"/>
  <c r="L11" i="1715"/>
  <c r="D11" i="1715"/>
  <c r="L10" i="1715"/>
  <c r="D10" i="1715" s="1"/>
  <c r="L9" i="1715"/>
  <c r="D9" i="1715" s="1"/>
  <c r="L8" i="1715"/>
  <c r="D8" i="1715" s="1"/>
  <c r="L7" i="1715"/>
  <c r="D7" i="1715"/>
  <c r="R6" i="1715"/>
  <c r="R5" i="1715"/>
  <c r="R4" i="1715"/>
  <c r="R52" i="1714"/>
  <c r="R51" i="1714"/>
  <c r="D50" i="1714"/>
  <c r="R49" i="1714"/>
  <c r="G49" i="1714"/>
  <c r="D49" i="1714"/>
  <c r="R48" i="1714"/>
  <c r="D48" i="1714"/>
  <c r="D46" i="1714"/>
  <c r="D45" i="1714"/>
  <c r="D44" i="1714"/>
  <c r="R42" i="1714"/>
  <c r="D42" i="1714"/>
  <c r="R41" i="1714"/>
  <c r="L7" i="1714" s="1"/>
  <c r="D7" i="1714" s="1"/>
  <c r="D41" i="1714"/>
  <c r="R40" i="1714"/>
  <c r="L8" i="1714" s="1"/>
  <c r="D8" i="1714" s="1"/>
  <c r="D40" i="1714"/>
  <c r="R39" i="1714"/>
  <c r="D39" i="1714"/>
  <c r="R38" i="1714"/>
  <c r="D38" i="1714"/>
  <c r="R37" i="1714"/>
  <c r="D37" i="1714"/>
  <c r="R36" i="1714"/>
  <c r="L10" i="1714" s="1"/>
  <c r="D10" i="1714" s="1"/>
  <c r="D36" i="1714"/>
  <c r="R35" i="1714"/>
  <c r="D35" i="1714"/>
  <c r="R34" i="1714"/>
  <c r="L12" i="1714" s="1"/>
  <c r="D12" i="1714" s="1"/>
  <c r="D34" i="1714"/>
  <c r="D54" i="1714" s="1"/>
  <c r="H14" i="1714" s="1"/>
  <c r="R33" i="1714"/>
  <c r="L23" i="1714" s="1"/>
  <c r="D23" i="1714" s="1"/>
  <c r="R32" i="1714"/>
  <c r="L11" i="1714" s="1"/>
  <c r="D11" i="1714" s="1"/>
  <c r="R31" i="1714"/>
  <c r="R30" i="1714"/>
  <c r="R29" i="1714"/>
  <c r="R28" i="1714"/>
  <c r="L16" i="1714" s="1"/>
  <c r="D16" i="1714" s="1"/>
  <c r="D28" i="1714"/>
  <c r="R27" i="1714"/>
  <c r="D27" i="1714"/>
  <c r="R26" i="1714"/>
  <c r="L26" i="1714"/>
  <c r="D26" i="1714"/>
  <c r="R25" i="1714"/>
  <c r="L25" i="1714"/>
  <c r="D25" i="1714"/>
  <c r="R24" i="1714"/>
  <c r="D24" i="1714"/>
  <c r="R23" i="1714"/>
  <c r="R22" i="1714"/>
  <c r="L22" i="1714"/>
  <c r="D22" i="1714" s="1"/>
  <c r="R21" i="1714"/>
  <c r="D21" i="1714"/>
  <c r="R20" i="1714"/>
  <c r="L20" i="1714"/>
  <c r="D20" i="1714"/>
  <c r="R19" i="1714"/>
  <c r="L19" i="1714"/>
  <c r="D19" i="1714"/>
  <c r="R18" i="1714"/>
  <c r="D18" i="1714"/>
  <c r="R17" i="1714"/>
  <c r="D17" i="1714"/>
  <c r="R16" i="1714"/>
  <c r="S15" i="1714"/>
  <c r="R15" i="1714"/>
  <c r="D15" i="1714"/>
  <c r="S14" i="1714"/>
  <c r="R14" i="1714"/>
  <c r="D14" i="1714"/>
  <c r="R13" i="1714"/>
  <c r="D13" i="1714"/>
  <c r="R12" i="1714"/>
  <c r="R11" i="1714"/>
  <c r="L9" i="1714"/>
  <c r="D9" i="1714" s="1"/>
  <c r="R6" i="1714"/>
  <c r="L6" i="1714"/>
  <c r="D6" i="1714"/>
  <c r="R5" i="1714"/>
  <c r="R4" i="1714"/>
  <c r="R52" i="1713"/>
  <c r="L22" i="1713" s="1"/>
  <c r="D22" i="1713" s="1"/>
  <c r="R51" i="1713"/>
  <c r="D50" i="1713"/>
  <c r="R49" i="1713"/>
  <c r="D49" i="1713"/>
  <c r="R48" i="1713"/>
  <c r="D48" i="1713"/>
  <c r="D46" i="1713"/>
  <c r="D45" i="1713"/>
  <c r="R44" i="1713"/>
  <c r="L28" i="1713" s="1"/>
  <c r="D28" i="1713" s="1"/>
  <c r="D44" i="1713"/>
  <c r="R42" i="1713"/>
  <c r="L6" i="1713" s="1"/>
  <c r="D6" i="1713" s="1"/>
  <c r="D42" i="1713"/>
  <c r="R41" i="1713"/>
  <c r="D41" i="1713"/>
  <c r="R40" i="1713"/>
  <c r="D40" i="1713"/>
  <c r="R39" i="1713"/>
  <c r="H39" i="1713"/>
  <c r="D39" i="1713"/>
  <c r="R38" i="1713"/>
  <c r="H38" i="1713"/>
  <c r="D38" i="1713"/>
  <c r="R37" i="1713"/>
  <c r="H37" i="1713"/>
  <c r="D37" i="1713"/>
  <c r="R36" i="1713"/>
  <c r="L10" i="1713" s="1"/>
  <c r="D10" i="1713" s="1"/>
  <c r="H36" i="1713"/>
  <c r="D36" i="1713"/>
  <c r="R35" i="1713"/>
  <c r="L19" i="1713" s="1"/>
  <c r="D19" i="1713" s="1"/>
  <c r="H35" i="1713"/>
  <c r="D35" i="1713"/>
  <c r="R34" i="1713"/>
  <c r="H34" i="1713"/>
  <c r="G49" i="1713" s="1"/>
  <c r="D34" i="1713"/>
  <c r="R33" i="1713"/>
  <c r="R32" i="1713"/>
  <c r="R31" i="1713"/>
  <c r="R30" i="1713"/>
  <c r="R29" i="1713"/>
  <c r="R28" i="1713"/>
  <c r="R27" i="1713"/>
  <c r="D27" i="1713"/>
  <c r="R26" i="1713"/>
  <c r="L26" i="1713"/>
  <c r="D26" i="1713"/>
  <c r="R25" i="1713"/>
  <c r="L25" i="1713"/>
  <c r="D25" i="1713" s="1"/>
  <c r="R24" i="1713"/>
  <c r="D24" i="1713"/>
  <c r="R23" i="1713"/>
  <c r="L23" i="1713"/>
  <c r="D23" i="1713"/>
  <c r="R22" i="1713"/>
  <c r="R21" i="1713"/>
  <c r="D21" i="1713"/>
  <c r="R20" i="1713"/>
  <c r="L20" i="1713"/>
  <c r="D20" i="1713"/>
  <c r="R19" i="1713"/>
  <c r="R18" i="1713"/>
  <c r="D18" i="1713"/>
  <c r="R17" i="1713"/>
  <c r="D17" i="1713"/>
  <c r="R16" i="1713"/>
  <c r="L16" i="1713"/>
  <c r="D16" i="1713" s="1"/>
  <c r="R15" i="1713"/>
  <c r="D15" i="1713"/>
  <c r="R14" i="1713"/>
  <c r="D14" i="1713"/>
  <c r="R13" i="1713"/>
  <c r="D13" i="1713"/>
  <c r="R12" i="1713"/>
  <c r="L12" i="1713"/>
  <c r="D12" i="1713" s="1"/>
  <c r="R11" i="1713"/>
  <c r="L11" i="1713"/>
  <c r="D11" i="1713"/>
  <c r="L9" i="1713"/>
  <c r="D9" i="1713"/>
  <c r="L8" i="1713"/>
  <c r="D8" i="1713" s="1"/>
  <c r="L7" i="1713"/>
  <c r="D7" i="1713"/>
  <c r="R6" i="1713"/>
  <c r="R5" i="1713"/>
  <c r="R4" i="1713"/>
  <c r="R52" i="1712"/>
  <c r="R51" i="1712"/>
  <c r="D50" i="1712"/>
  <c r="R49" i="1712"/>
  <c r="D49" i="1712"/>
  <c r="R48" i="1712"/>
  <c r="D48" i="1712"/>
  <c r="D46" i="1712"/>
  <c r="D45" i="1712"/>
  <c r="R44" i="1712"/>
  <c r="D44" i="1712"/>
  <c r="R42" i="1712"/>
  <c r="L6" i="1712" s="1"/>
  <c r="D6" i="1712" s="1"/>
  <c r="D42" i="1712"/>
  <c r="R41" i="1712"/>
  <c r="D41" i="1712"/>
  <c r="R40" i="1712"/>
  <c r="L8" i="1712" s="1"/>
  <c r="D8" i="1712" s="1"/>
  <c r="D40" i="1712"/>
  <c r="R39" i="1712"/>
  <c r="H39" i="1712"/>
  <c r="D39" i="1712"/>
  <c r="R38" i="1712"/>
  <c r="H38" i="1712"/>
  <c r="D38" i="1712"/>
  <c r="R37" i="1712"/>
  <c r="H37" i="1712"/>
  <c r="D37" i="1712"/>
  <c r="R36" i="1712"/>
  <c r="L10" i="1712" s="1"/>
  <c r="D10" i="1712" s="1"/>
  <c r="H36" i="1712"/>
  <c r="D36" i="1712"/>
  <c r="R35" i="1712"/>
  <c r="H35" i="1712"/>
  <c r="D35" i="1712"/>
  <c r="R34" i="1712"/>
  <c r="H34" i="1712"/>
  <c r="D34" i="1712"/>
  <c r="R33" i="1712"/>
  <c r="R32" i="1712"/>
  <c r="R31" i="1712"/>
  <c r="R30" i="1712"/>
  <c r="R29" i="1712"/>
  <c r="R28" i="1712"/>
  <c r="L16" i="1712" s="1"/>
  <c r="D16" i="1712" s="1"/>
  <c r="L28" i="1712"/>
  <c r="D28" i="1712" s="1"/>
  <c r="R27" i="1712"/>
  <c r="D27" i="1712"/>
  <c r="R26" i="1712"/>
  <c r="L26" i="1712"/>
  <c r="D26" i="1712" s="1"/>
  <c r="R25" i="1712"/>
  <c r="L25" i="1712"/>
  <c r="D25" i="1712" s="1"/>
  <c r="R24" i="1712"/>
  <c r="L24" i="1712"/>
  <c r="D24" i="1712"/>
  <c r="R23" i="1712"/>
  <c r="L23" i="1712"/>
  <c r="D23" i="1712"/>
  <c r="R22" i="1712"/>
  <c r="L22" i="1712"/>
  <c r="D22" i="1712" s="1"/>
  <c r="R21" i="1712"/>
  <c r="D21" i="1712"/>
  <c r="R20" i="1712"/>
  <c r="L20" i="1712"/>
  <c r="D20" i="1712"/>
  <c r="R19" i="1712"/>
  <c r="L19" i="1712"/>
  <c r="D19" i="1712"/>
  <c r="R18" i="1712"/>
  <c r="D18" i="1712"/>
  <c r="R17" i="1712"/>
  <c r="L17" i="1712"/>
  <c r="D17" i="1712"/>
  <c r="R16" i="1712"/>
  <c r="R15" i="1712"/>
  <c r="D15" i="1712"/>
  <c r="R14" i="1712"/>
  <c r="D14" i="1712"/>
  <c r="R13" i="1712"/>
  <c r="D13" i="1712"/>
  <c r="R12" i="1712"/>
  <c r="L12" i="1712"/>
  <c r="D12" i="1712"/>
  <c r="R11" i="1712"/>
  <c r="L11" i="1712"/>
  <c r="D11" i="1712" s="1"/>
  <c r="L9" i="1712"/>
  <c r="D9" i="1712" s="1"/>
  <c r="L7" i="1712"/>
  <c r="D7" i="1712" s="1"/>
  <c r="R6" i="1712"/>
  <c r="R5" i="1712"/>
  <c r="R4" i="1712"/>
  <c r="R52" i="1711"/>
  <c r="R51" i="1711"/>
  <c r="D50" i="1711"/>
  <c r="R49" i="1711"/>
  <c r="D49" i="1711"/>
  <c r="R48" i="1711"/>
  <c r="D48" i="1711"/>
  <c r="D46" i="1711"/>
  <c r="D45" i="1711"/>
  <c r="R44" i="1711"/>
  <c r="L28" i="1711" s="1"/>
  <c r="D28" i="1711" s="1"/>
  <c r="D44" i="1711"/>
  <c r="R42" i="1711"/>
  <c r="D42" i="1711"/>
  <c r="R41" i="1711"/>
  <c r="L7" i="1711" s="1"/>
  <c r="D7" i="1711" s="1"/>
  <c r="D41" i="1711"/>
  <c r="R40" i="1711"/>
  <c r="D40" i="1711"/>
  <c r="R39" i="1711"/>
  <c r="L20" i="1711" s="1"/>
  <c r="D20" i="1711" s="1"/>
  <c r="H39" i="1711"/>
  <c r="D39" i="1711"/>
  <c r="R38" i="1711"/>
  <c r="L9" i="1711" s="1"/>
  <c r="D9" i="1711" s="1"/>
  <c r="H38" i="1711"/>
  <c r="D38" i="1711"/>
  <c r="R37" i="1711"/>
  <c r="H37" i="1711"/>
  <c r="D37" i="1711"/>
  <c r="R36" i="1711"/>
  <c r="H36" i="1711"/>
  <c r="D36" i="1711"/>
  <c r="R35" i="1711"/>
  <c r="H35" i="1711"/>
  <c r="D35" i="1711"/>
  <c r="R34" i="1711"/>
  <c r="H34" i="1711"/>
  <c r="D34" i="1711"/>
  <c r="R33" i="1711"/>
  <c r="R32" i="1711"/>
  <c r="L11" i="1711" s="1"/>
  <c r="D11" i="1711" s="1"/>
  <c r="R31" i="1711"/>
  <c r="R30" i="1711"/>
  <c r="R29" i="1711"/>
  <c r="R28" i="1711"/>
  <c r="L16" i="1711" s="1"/>
  <c r="D16" i="1711" s="1"/>
  <c r="R27" i="1711"/>
  <c r="D27" i="1711"/>
  <c r="R26" i="1711"/>
  <c r="L26" i="1711"/>
  <c r="D26" i="1711"/>
  <c r="R25" i="1711"/>
  <c r="L25" i="1711"/>
  <c r="D25" i="1711" s="1"/>
  <c r="R24" i="1711"/>
  <c r="L24" i="1711"/>
  <c r="D24" i="1711" s="1"/>
  <c r="R23" i="1711"/>
  <c r="D23" i="1711"/>
  <c r="R22" i="1711"/>
  <c r="D22" i="1711"/>
  <c r="R21" i="1711"/>
  <c r="D21" i="1711"/>
  <c r="R20" i="1711"/>
  <c r="R19" i="1711"/>
  <c r="D19" i="1711"/>
  <c r="R18" i="1711"/>
  <c r="D18" i="1711"/>
  <c r="R17" i="1711"/>
  <c r="L17" i="1711"/>
  <c r="D17" i="1711" s="1"/>
  <c r="R16" i="1711"/>
  <c r="R15" i="1711"/>
  <c r="D15" i="1711"/>
  <c r="R14" i="1711"/>
  <c r="D14" i="1711"/>
  <c r="R13" i="1711"/>
  <c r="D13" i="1711"/>
  <c r="R12" i="1711"/>
  <c r="L12" i="1711"/>
  <c r="D12" i="1711" s="1"/>
  <c r="R11" i="1711"/>
  <c r="L10" i="1711"/>
  <c r="D10" i="1711" s="1"/>
  <c r="L8" i="1711"/>
  <c r="D8" i="1711" s="1"/>
  <c r="R6" i="1711"/>
  <c r="L6" i="1711"/>
  <c r="D6" i="1711" s="1"/>
  <c r="R5" i="1711"/>
  <c r="R4" i="1711"/>
  <c r="R52" i="1710"/>
  <c r="R51" i="1710"/>
  <c r="D50" i="1710"/>
  <c r="R49" i="1710"/>
  <c r="G49" i="1710"/>
  <c r="D49" i="1710"/>
  <c r="R48" i="1710"/>
  <c r="D48" i="1710"/>
  <c r="D46" i="1710"/>
  <c r="D45" i="1710"/>
  <c r="D44" i="1710"/>
  <c r="R42" i="1710"/>
  <c r="D42" i="1710"/>
  <c r="R41" i="1710"/>
  <c r="L7" i="1710" s="1"/>
  <c r="D7" i="1710" s="1"/>
  <c r="D41" i="1710"/>
  <c r="R40" i="1710"/>
  <c r="L8" i="1710" s="1"/>
  <c r="D8" i="1710" s="1"/>
  <c r="D40" i="1710"/>
  <c r="R39" i="1710"/>
  <c r="D39" i="1710"/>
  <c r="R38" i="1710"/>
  <c r="L9" i="1710" s="1"/>
  <c r="D9" i="1710" s="1"/>
  <c r="D38" i="1710"/>
  <c r="R37" i="1710"/>
  <c r="D37" i="1710"/>
  <c r="R36" i="1710"/>
  <c r="L10" i="1710" s="1"/>
  <c r="D10" i="1710" s="1"/>
  <c r="D36" i="1710"/>
  <c r="R35" i="1710"/>
  <c r="L19" i="1710" s="1"/>
  <c r="D19" i="1710" s="1"/>
  <c r="D35" i="1710"/>
  <c r="D54" i="1710" s="1"/>
  <c r="H14" i="1710" s="1"/>
  <c r="R34" i="1710"/>
  <c r="D34" i="1710"/>
  <c r="R33" i="1710"/>
  <c r="R32" i="1710"/>
  <c r="R31" i="1710"/>
  <c r="R30" i="1710"/>
  <c r="R29" i="1710"/>
  <c r="R28" i="1710"/>
  <c r="L16" i="1710" s="1"/>
  <c r="D16" i="1710" s="1"/>
  <c r="D28" i="1710"/>
  <c r="R27" i="1710"/>
  <c r="D27" i="1710"/>
  <c r="R26" i="1710"/>
  <c r="L26" i="1710"/>
  <c r="D26" i="1710"/>
  <c r="R25" i="1710"/>
  <c r="L25" i="1710"/>
  <c r="D25" i="1710"/>
  <c r="R24" i="1710"/>
  <c r="D24" i="1710"/>
  <c r="R23" i="1710"/>
  <c r="L23" i="1710"/>
  <c r="D23" i="1710"/>
  <c r="R22" i="1710"/>
  <c r="L22" i="1710"/>
  <c r="D22" i="1710" s="1"/>
  <c r="R21" i="1710"/>
  <c r="D21" i="1710"/>
  <c r="R20" i="1710"/>
  <c r="L20" i="1710"/>
  <c r="D20" i="1710"/>
  <c r="R19" i="1710"/>
  <c r="R18" i="1710"/>
  <c r="D18" i="1710"/>
  <c r="R17" i="1710"/>
  <c r="D17" i="1710"/>
  <c r="R16" i="1710"/>
  <c r="S15" i="1710"/>
  <c r="R15" i="1710"/>
  <c r="D15" i="1710"/>
  <c r="S14" i="1710"/>
  <c r="R14" i="1710"/>
  <c r="D14" i="1710"/>
  <c r="R13" i="1710"/>
  <c r="D13" i="1710"/>
  <c r="R12" i="1710"/>
  <c r="L12" i="1710"/>
  <c r="D12" i="1710"/>
  <c r="R11" i="1710"/>
  <c r="L11" i="1710"/>
  <c r="D11" i="1710" s="1"/>
  <c r="R6" i="1710"/>
  <c r="L6" i="1710"/>
  <c r="D6" i="1710"/>
  <c r="R5" i="1710"/>
  <c r="R4" i="1710"/>
  <c r="R52" i="1709"/>
  <c r="L22" i="1709" s="1"/>
  <c r="D22" i="1709" s="1"/>
  <c r="R51" i="1709"/>
  <c r="D50" i="1709"/>
  <c r="R49" i="1709"/>
  <c r="D49" i="1709"/>
  <c r="R48" i="1709"/>
  <c r="D48" i="1709"/>
  <c r="D46" i="1709"/>
  <c r="D45" i="1709"/>
  <c r="R44" i="1709"/>
  <c r="L28" i="1709" s="1"/>
  <c r="D28" i="1709" s="1"/>
  <c r="D44" i="1709"/>
  <c r="R42" i="1709"/>
  <c r="D42" i="1709"/>
  <c r="R41" i="1709"/>
  <c r="D41" i="1709"/>
  <c r="R40" i="1709"/>
  <c r="D40" i="1709"/>
  <c r="R39" i="1709"/>
  <c r="H39" i="1709"/>
  <c r="D39" i="1709"/>
  <c r="R38" i="1709"/>
  <c r="L9" i="1709" s="1"/>
  <c r="D9" i="1709" s="1"/>
  <c r="H38" i="1709"/>
  <c r="D38" i="1709"/>
  <c r="R37" i="1709"/>
  <c r="H37" i="1709"/>
  <c r="D37" i="1709"/>
  <c r="R36" i="1709"/>
  <c r="H36" i="1709"/>
  <c r="D36" i="1709"/>
  <c r="R35" i="1709"/>
  <c r="H35" i="1709"/>
  <c r="D35" i="1709"/>
  <c r="R34" i="1709"/>
  <c r="H34" i="1709"/>
  <c r="D34" i="1709"/>
  <c r="R33" i="1709"/>
  <c r="L23" i="1709" s="1"/>
  <c r="D23" i="1709" s="1"/>
  <c r="R32" i="1709"/>
  <c r="L11" i="1709" s="1"/>
  <c r="D11" i="1709" s="1"/>
  <c r="R31" i="1709"/>
  <c r="R30" i="1709"/>
  <c r="R29" i="1709"/>
  <c r="R28" i="1709"/>
  <c r="R27" i="1709"/>
  <c r="D27" i="1709"/>
  <c r="R26" i="1709"/>
  <c r="L26" i="1709"/>
  <c r="D26" i="1709"/>
  <c r="R25" i="1709"/>
  <c r="L25" i="1709"/>
  <c r="D25" i="1709"/>
  <c r="R24" i="1709"/>
  <c r="D24" i="1709"/>
  <c r="R23" i="1709"/>
  <c r="R22" i="1709"/>
  <c r="R21" i="1709"/>
  <c r="D21" i="1709"/>
  <c r="R20" i="1709"/>
  <c r="L20" i="1709"/>
  <c r="D20" i="1709"/>
  <c r="R19" i="1709"/>
  <c r="L19" i="1709"/>
  <c r="D19" i="1709"/>
  <c r="R18" i="1709"/>
  <c r="D18" i="1709"/>
  <c r="R17" i="1709"/>
  <c r="D17" i="1709"/>
  <c r="R16" i="1709"/>
  <c r="L16" i="1709"/>
  <c r="D16" i="1709"/>
  <c r="R15" i="1709"/>
  <c r="D15" i="1709"/>
  <c r="R14" i="1709"/>
  <c r="D14" i="1709"/>
  <c r="R13" i="1709"/>
  <c r="D13" i="1709"/>
  <c r="R12" i="1709"/>
  <c r="L12" i="1709"/>
  <c r="D12" i="1709" s="1"/>
  <c r="R11" i="1709"/>
  <c r="L10" i="1709"/>
  <c r="D10" i="1709"/>
  <c r="L8" i="1709"/>
  <c r="D8" i="1709"/>
  <c r="L7" i="1709"/>
  <c r="D7" i="1709"/>
  <c r="R6" i="1709"/>
  <c r="L6" i="1709"/>
  <c r="D6" i="1709"/>
  <c r="R5" i="1709"/>
  <c r="R4" i="1709"/>
  <c r="R52" i="1708"/>
  <c r="R51" i="1708"/>
  <c r="D50" i="1708"/>
  <c r="R49" i="1708"/>
  <c r="D49" i="1708"/>
  <c r="R48" i="1708"/>
  <c r="D48" i="1708"/>
  <c r="D46" i="1708"/>
  <c r="D45" i="1708"/>
  <c r="R44" i="1708"/>
  <c r="D44" i="1708"/>
  <c r="R42" i="1708"/>
  <c r="D42" i="1708"/>
  <c r="R41" i="1708"/>
  <c r="L7" i="1708" s="1"/>
  <c r="D7" i="1708" s="1"/>
  <c r="D41" i="1708"/>
  <c r="R40" i="1708"/>
  <c r="L8" i="1708" s="1"/>
  <c r="D8" i="1708" s="1"/>
  <c r="D40" i="1708"/>
  <c r="R39" i="1708"/>
  <c r="H39" i="1708"/>
  <c r="D39" i="1708"/>
  <c r="R38" i="1708"/>
  <c r="H38" i="1708"/>
  <c r="D38" i="1708"/>
  <c r="R37" i="1708"/>
  <c r="H37" i="1708"/>
  <c r="D37" i="1708"/>
  <c r="R36" i="1708"/>
  <c r="H36" i="1708"/>
  <c r="D36" i="1708"/>
  <c r="R35" i="1708"/>
  <c r="L19" i="1708" s="1"/>
  <c r="D19" i="1708" s="1"/>
  <c r="H35" i="1708"/>
  <c r="D35" i="1708"/>
  <c r="R34" i="1708"/>
  <c r="H34" i="1708"/>
  <c r="D34" i="1708"/>
  <c r="R33" i="1708"/>
  <c r="R32" i="1708"/>
  <c r="R31" i="1708"/>
  <c r="R30" i="1708"/>
  <c r="R29" i="1708"/>
  <c r="R28" i="1708"/>
  <c r="L28" i="1708"/>
  <c r="D28" i="1708"/>
  <c r="R27" i="1708"/>
  <c r="D27" i="1708"/>
  <c r="R26" i="1708"/>
  <c r="L26" i="1708"/>
  <c r="D26" i="1708"/>
  <c r="R25" i="1708"/>
  <c r="L25" i="1708"/>
  <c r="D25" i="1708"/>
  <c r="R24" i="1708"/>
  <c r="L24" i="1708"/>
  <c r="D24" i="1708" s="1"/>
  <c r="R23" i="1708"/>
  <c r="L23" i="1708"/>
  <c r="D23" i="1708" s="1"/>
  <c r="R22" i="1708"/>
  <c r="L22" i="1708"/>
  <c r="D22" i="1708"/>
  <c r="R21" i="1708"/>
  <c r="L17" i="1708" s="1"/>
  <c r="D17" i="1708" s="1"/>
  <c r="D21" i="1708"/>
  <c r="R20" i="1708"/>
  <c r="L20" i="1708"/>
  <c r="D20" i="1708"/>
  <c r="R19" i="1708"/>
  <c r="R18" i="1708"/>
  <c r="D18" i="1708"/>
  <c r="R17" i="1708"/>
  <c r="R16" i="1708"/>
  <c r="L16" i="1708"/>
  <c r="D16" i="1708"/>
  <c r="R15" i="1708"/>
  <c r="D15" i="1708"/>
  <c r="R14" i="1708"/>
  <c r="D14" i="1708"/>
  <c r="R13" i="1708"/>
  <c r="D13" i="1708"/>
  <c r="R12" i="1708"/>
  <c r="L12" i="1708"/>
  <c r="D12" i="1708"/>
  <c r="R11" i="1708"/>
  <c r="L11" i="1708"/>
  <c r="D11" i="1708"/>
  <c r="L10" i="1708"/>
  <c r="D10" i="1708"/>
  <c r="L9" i="1708"/>
  <c r="D9" i="1708" s="1"/>
  <c r="R6" i="1708"/>
  <c r="L6" i="1708"/>
  <c r="D6" i="1708" s="1"/>
  <c r="R5" i="1708"/>
  <c r="R4" i="1708"/>
  <c r="R52" i="1707"/>
  <c r="R51" i="1707"/>
  <c r="D50" i="1707"/>
  <c r="R49" i="1707"/>
  <c r="D49" i="1707"/>
  <c r="R48" i="1707"/>
  <c r="D48" i="1707"/>
  <c r="D46" i="1707"/>
  <c r="D45" i="1707"/>
  <c r="R44" i="1707"/>
  <c r="D44" i="1707"/>
  <c r="R42" i="1707"/>
  <c r="L6" i="1707" s="1"/>
  <c r="D6" i="1707" s="1"/>
  <c r="D42" i="1707"/>
  <c r="R41" i="1707"/>
  <c r="L7" i="1707" s="1"/>
  <c r="D7" i="1707" s="1"/>
  <c r="D41" i="1707"/>
  <c r="R40" i="1707"/>
  <c r="D40" i="1707"/>
  <c r="R39" i="1707"/>
  <c r="H39" i="1707"/>
  <c r="D39" i="1707"/>
  <c r="R38" i="1707"/>
  <c r="H38" i="1707"/>
  <c r="D38" i="1707"/>
  <c r="R37" i="1707"/>
  <c r="H37" i="1707"/>
  <c r="D37" i="1707"/>
  <c r="R36" i="1707"/>
  <c r="H36" i="1707"/>
  <c r="D36" i="1707"/>
  <c r="R35" i="1707"/>
  <c r="H35" i="1707"/>
  <c r="G49" i="1707" s="1"/>
  <c r="D35" i="1707"/>
  <c r="R34" i="1707"/>
  <c r="H34" i="1707"/>
  <c r="D34" i="1707"/>
  <c r="R33" i="1707"/>
  <c r="R32" i="1707"/>
  <c r="R31" i="1707"/>
  <c r="R30" i="1707"/>
  <c r="R29" i="1707"/>
  <c r="R28" i="1707"/>
  <c r="L16" i="1707" s="1"/>
  <c r="D16" i="1707" s="1"/>
  <c r="L28" i="1707"/>
  <c r="D28" i="1707"/>
  <c r="R27" i="1707"/>
  <c r="D27" i="1707"/>
  <c r="R26" i="1707"/>
  <c r="L26" i="1707"/>
  <c r="D26" i="1707" s="1"/>
  <c r="R25" i="1707"/>
  <c r="L25" i="1707"/>
  <c r="D25" i="1707" s="1"/>
  <c r="R24" i="1707"/>
  <c r="L24" i="1707"/>
  <c r="D24" i="1707"/>
  <c r="R23" i="1707"/>
  <c r="D23" i="1707"/>
  <c r="R22" i="1707"/>
  <c r="D22" i="1707"/>
  <c r="R21" i="1707"/>
  <c r="D21" i="1707"/>
  <c r="R20" i="1707"/>
  <c r="L20" i="1707"/>
  <c r="D20" i="1707"/>
  <c r="R19" i="1707"/>
  <c r="D19" i="1707"/>
  <c r="R18" i="1707"/>
  <c r="D18" i="1707"/>
  <c r="R17" i="1707"/>
  <c r="L17" i="1707"/>
  <c r="D17" i="1707"/>
  <c r="R16" i="1707"/>
  <c r="R15" i="1707"/>
  <c r="D15" i="1707"/>
  <c r="R14" i="1707"/>
  <c r="D14" i="1707"/>
  <c r="R13" i="1707"/>
  <c r="D13" i="1707"/>
  <c r="R12" i="1707"/>
  <c r="L12" i="1707"/>
  <c r="D12" i="1707"/>
  <c r="R11" i="1707"/>
  <c r="L11" i="1707"/>
  <c r="D11" i="1707"/>
  <c r="L10" i="1707"/>
  <c r="D10" i="1707"/>
  <c r="L9" i="1707"/>
  <c r="D9" i="1707"/>
  <c r="L8" i="1707"/>
  <c r="D8" i="1707" s="1"/>
  <c r="R6" i="1707"/>
  <c r="R5" i="1707"/>
  <c r="R4" i="1707"/>
  <c r="R52" i="1706"/>
  <c r="R51" i="1706"/>
  <c r="D50" i="1706"/>
  <c r="R49" i="1706"/>
  <c r="G49" i="1706"/>
  <c r="D49" i="1706"/>
  <c r="R48" i="1706"/>
  <c r="D48" i="1706"/>
  <c r="D46" i="1706"/>
  <c r="D45" i="1706"/>
  <c r="D44" i="1706"/>
  <c r="R42" i="1706"/>
  <c r="D42" i="1706"/>
  <c r="R41" i="1706"/>
  <c r="L7" i="1706" s="1"/>
  <c r="D7" i="1706" s="1"/>
  <c r="D41" i="1706"/>
  <c r="R40" i="1706"/>
  <c r="D40" i="1706"/>
  <c r="R39" i="1706"/>
  <c r="D39" i="1706"/>
  <c r="R38" i="1706"/>
  <c r="D38" i="1706"/>
  <c r="R37" i="1706"/>
  <c r="D37" i="1706"/>
  <c r="R36" i="1706"/>
  <c r="L10" i="1706" s="1"/>
  <c r="D10" i="1706" s="1"/>
  <c r="D36" i="1706"/>
  <c r="R35" i="1706"/>
  <c r="L19" i="1706" s="1"/>
  <c r="D19" i="1706" s="1"/>
  <c r="D35" i="1706"/>
  <c r="D54" i="1706" s="1"/>
  <c r="H14" i="1706" s="1"/>
  <c r="R34" i="1706"/>
  <c r="D34" i="1706"/>
  <c r="R33" i="1706"/>
  <c r="R32" i="1706"/>
  <c r="L11" i="1706" s="1"/>
  <c r="D11" i="1706" s="1"/>
  <c r="R31" i="1706"/>
  <c r="R30" i="1706"/>
  <c r="R29" i="1706"/>
  <c r="R28" i="1706"/>
  <c r="L16" i="1706" s="1"/>
  <c r="D16" i="1706" s="1"/>
  <c r="D28" i="1706"/>
  <c r="R27" i="1706"/>
  <c r="D27" i="1706"/>
  <c r="R26" i="1706"/>
  <c r="L26" i="1706"/>
  <c r="D26" i="1706"/>
  <c r="R25" i="1706"/>
  <c r="L25" i="1706"/>
  <c r="D25" i="1706"/>
  <c r="R24" i="1706"/>
  <c r="D24" i="1706"/>
  <c r="R23" i="1706"/>
  <c r="L23" i="1706"/>
  <c r="D23" i="1706"/>
  <c r="R22" i="1706"/>
  <c r="L22" i="1706"/>
  <c r="D22" i="1706"/>
  <c r="R21" i="1706"/>
  <c r="D21" i="1706"/>
  <c r="R20" i="1706"/>
  <c r="L20" i="1706"/>
  <c r="D20" i="1706"/>
  <c r="R19" i="1706"/>
  <c r="R18" i="1706"/>
  <c r="D18" i="1706"/>
  <c r="R17" i="1706"/>
  <c r="D17" i="1706"/>
  <c r="R16" i="1706"/>
  <c r="S15" i="1706"/>
  <c r="R15" i="1706"/>
  <c r="D15" i="1706"/>
  <c r="S14" i="1706"/>
  <c r="R14" i="1706"/>
  <c r="D14" i="1706"/>
  <c r="R13" i="1706"/>
  <c r="D13" i="1706"/>
  <c r="R12" i="1706"/>
  <c r="L12" i="1706"/>
  <c r="D12" i="1706"/>
  <c r="R11" i="1706"/>
  <c r="L9" i="1706"/>
  <c r="D9" i="1706"/>
  <c r="L8" i="1706"/>
  <c r="D8" i="1706" s="1"/>
  <c r="R6" i="1706"/>
  <c r="L6" i="1706"/>
  <c r="D6" i="1706"/>
  <c r="R5" i="1706"/>
  <c r="R4" i="1706"/>
  <c r="D54" i="1713" l="1"/>
  <c r="H14" i="1713" s="1"/>
  <c r="D54" i="1712"/>
  <c r="H14" i="1712" s="1"/>
  <c r="D54" i="1711"/>
  <c r="H14" i="1711" s="1"/>
  <c r="G49" i="1712"/>
  <c r="G49" i="1711"/>
  <c r="G49" i="1709"/>
  <c r="G49" i="1708"/>
  <c r="D54" i="1709"/>
  <c r="H14" i="1709" s="1"/>
  <c r="D29" i="1709"/>
  <c r="H13" i="1709" s="1"/>
  <c r="D54" i="1708"/>
  <c r="H14" i="1708" s="1"/>
  <c r="D54" i="1707"/>
  <c r="H14" i="1707" s="1"/>
  <c r="D29" i="1729"/>
  <c r="H13" i="1729" s="1"/>
  <c r="H15" i="1729" s="1"/>
  <c r="H29" i="1729" s="1"/>
  <c r="G51" i="1729" s="1"/>
  <c r="D29" i="1728"/>
  <c r="H13" i="1728" s="1"/>
  <c r="H15" i="1728" s="1"/>
  <c r="H29" i="1728" s="1"/>
  <c r="G51" i="1728" s="1"/>
  <c r="D29" i="1727"/>
  <c r="H13" i="1727" s="1"/>
  <c r="H15" i="1727" s="1"/>
  <c r="H29" i="1727" s="1"/>
  <c r="G51" i="1727"/>
  <c r="D29" i="1726"/>
  <c r="H13" i="1726" s="1"/>
  <c r="H15" i="1726" s="1"/>
  <c r="H29" i="1726" s="1"/>
  <c r="G51" i="1726" s="1"/>
  <c r="D29" i="1725"/>
  <c r="H13" i="1725" s="1"/>
  <c r="H15" i="1725" s="1"/>
  <c r="H29" i="1725" s="1"/>
  <c r="G51" i="1725" s="1"/>
  <c r="D29" i="1724"/>
  <c r="H13" i="1724" s="1"/>
  <c r="H15" i="1724" s="1"/>
  <c r="H29" i="1724" s="1"/>
  <c r="G51" i="1724" s="1"/>
  <c r="D29" i="1723"/>
  <c r="H13" i="1723" s="1"/>
  <c r="H15" i="1723" s="1"/>
  <c r="H29" i="1723" s="1"/>
  <c r="G51" i="1723"/>
  <c r="D29" i="1722"/>
  <c r="H13" i="1722" s="1"/>
  <c r="H15" i="1722" s="1"/>
  <c r="H29" i="1722" s="1"/>
  <c r="G51" i="1722" s="1"/>
  <c r="D29" i="1721"/>
  <c r="H13" i="1721" s="1"/>
  <c r="H15" i="1721" s="1"/>
  <c r="H29" i="1721" s="1"/>
  <c r="G51" i="1721" s="1"/>
  <c r="D29" i="1720"/>
  <c r="H13" i="1720" s="1"/>
  <c r="H15" i="1720" s="1"/>
  <c r="H29" i="1720" s="1"/>
  <c r="G51" i="1720"/>
  <c r="D29" i="1719"/>
  <c r="H13" i="1719" s="1"/>
  <c r="H15" i="1719" s="1"/>
  <c r="H29" i="1719" s="1"/>
  <c r="G51" i="1719" s="1"/>
  <c r="D29" i="1718"/>
  <c r="H13" i="1718" s="1"/>
  <c r="H15" i="1718" s="1"/>
  <c r="H29" i="1718" s="1"/>
  <c r="G51" i="1718" s="1"/>
  <c r="D29" i="1717"/>
  <c r="H13" i="1717" s="1"/>
  <c r="H15" i="1717" s="1"/>
  <c r="H29" i="1717" s="1"/>
  <c r="G51" i="1717" s="1"/>
  <c r="D29" i="1716"/>
  <c r="H13" i="1716" s="1"/>
  <c r="H15" i="1716" s="1"/>
  <c r="H29" i="1716" s="1"/>
  <c r="G51" i="1716"/>
  <c r="G51" i="1715"/>
  <c r="D29" i="1714"/>
  <c r="H13" i="1714" s="1"/>
  <c r="H15" i="1714" s="1"/>
  <c r="H29" i="1714" s="1"/>
  <c r="G51" i="1714" s="1"/>
  <c r="D29" i="1713"/>
  <c r="H13" i="1713" s="1"/>
  <c r="D29" i="1712"/>
  <c r="H13" i="1712" s="1"/>
  <c r="D29" i="1711"/>
  <c r="H13" i="1711" s="1"/>
  <c r="D29" i="1710"/>
  <c r="H13" i="1710" s="1"/>
  <c r="H15" i="1710" s="1"/>
  <c r="H29" i="1710" s="1"/>
  <c r="G51" i="1710" s="1"/>
  <c r="D29" i="1708"/>
  <c r="H13" i="1708" s="1"/>
  <c r="D29" i="1707"/>
  <c r="H13" i="1707" s="1"/>
  <c r="D29" i="1706"/>
  <c r="H13" i="1706" s="1"/>
  <c r="H15" i="1706" s="1"/>
  <c r="H29" i="1706" s="1"/>
  <c r="G51" i="1706" s="1"/>
  <c r="C37" i="1700"/>
  <c r="H15" i="1713" l="1"/>
  <c r="H29" i="1713" s="1"/>
  <c r="G51" i="1713" s="1"/>
  <c r="H15" i="1712"/>
  <c r="H29" i="1712" s="1"/>
  <c r="G51" i="1712" s="1"/>
  <c r="H15" i="1711"/>
  <c r="H29" i="1711" s="1"/>
  <c r="G51" i="1711" s="1"/>
  <c r="H15" i="1709"/>
  <c r="H29" i="1709" s="1"/>
  <c r="G51" i="1709" s="1"/>
  <c r="H15" i="1708"/>
  <c r="H29" i="1708" s="1"/>
  <c r="G51" i="1708" s="1"/>
  <c r="H15" i="1707"/>
  <c r="H29" i="1707" s="1"/>
  <c r="G51" i="1707" s="1"/>
  <c r="H16" i="1696"/>
  <c r="C23" i="1697" l="1"/>
  <c r="L26" i="1697"/>
  <c r="C19" i="1697"/>
  <c r="C12" i="1697"/>
  <c r="L24" i="1697"/>
  <c r="C25" i="1697" l="1"/>
  <c r="C15" i="1697"/>
  <c r="C12" i="1695"/>
  <c r="H16" i="1691" l="1"/>
  <c r="H16" i="1692"/>
  <c r="H16" i="1693"/>
  <c r="H16" i="1689" l="1"/>
  <c r="H16" i="1688"/>
  <c r="H16" i="1685" l="1"/>
  <c r="H16" i="1683"/>
  <c r="L28" i="1684"/>
  <c r="C6" i="1684"/>
  <c r="C20" i="1684"/>
  <c r="C9" i="1684"/>
  <c r="C21" i="1684"/>
  <c r="R52" i="1705" l="1"/>
  <c r="R51" i="1705"/>
  <c r="D50" i="1705"/>
  <c r="R49" i="1705"/>
  <c r="D49" i="1705"/>
  <c r="R48" i="1705"/>
  <c r="D48" i="1705"/>
  <c r="D46" i="1705"/>
  <c r="D45" i="1705"/>
  <c r="R44" i="1705"/>
  <c r="D44" i="1705"/>
  <c r="R42" i="1705"/>
  <c r="L6" i="1705" s="1"/>
  <c r="D6" i="1705" s="1"/>
  <c r="D42" i="1705"/>
  <c r="R41" i="1705"/>
  <c r="D41" i="1705"/>
  <c r="R40" i="1705"/>
  <c r="D40" i="1705"/>
  <c r="R39" i="1705"/>
  <c r="H39" i="1705"/>
  <c r="D39" i="1705"/>
  <c r="R38" i="1705"/>
  <c r="L9" i="1705" s="1"/>
  <c r="D9" i="1705" s="1"/>
  <c r="H38" i="1705"/>
  <c r="D38" i="1705"/>
  <c r="R37" i="1705"/>
  <c r="H37" i="1705"/>
  <c r="D37" i="1705"/>
  <c r="R36" i="1705"/>
  <c r="L10" i="1705" s="1"/>
  <c r="D10" i="1705" s="1"/>
  <c r="H36" i="1705"/>
  <c r="D36" i="1705"/>
  <c r="R35" i="1705"/>
  <c r="H35" i="1705"/>
  <c r="D35" i="1705"/>
  <c r="R34" i="1705"/>
  <c r="L12" i="1705" s="1"/>
  <c r="D12" i="1705" s="1"/>
  <c r="H34" i="1705"/>
  <c r="D34" i="1705"/>
  <c r="R33" i="1705"/>
  <c r="R32" i="1705"/>
  <c r="R31" i="1705"/>
  <c r="R30" i="1705"/>
  <c r="R29" i="1705"/>
  <c r="R28" i="1705"/>
  <c r="L28" i="1705"/>
  <c r="D28" i="1705"/>
  <c r="R27" i="1705"/>
  <c r="D27" i="1705"/>
  <c r="R26" i="1705"/>
  <c r="L26" i="1705"/>
  <c r="D26" i="1705" s="1"/>
  <c r="R25" i="1705"/>
  <c r="D25" i="1705"/>
  <c r="R24" i="1705"/>
  <c r="D24" i="1705"/>
  <c r="R23" i="1705"/>
  <c r="L23" i="1705"/>
  <c r="D23" i="1705" s="1"/>
  <c r="R22" i="1705"/>
  <c r="L22" i="1705"/>
  <c r="D22" i="1705"/>
  <c r="R21" i="1705"/>
  <c r="D21" i="1705"/>
  <c r="R20" i="1705"/>
  <c r="L20" i="1705"/>
  <c r="D20" i="1705" s="1"/>
  <c r="R19" i="1705"/>
  <c r="L19" i="1705"/>
  <c r="D19" i="1705"/>
  <c r="R18" i="1705"/>
  <c r="D18" i="1705"/>
  <c r="R17" i="1705"/>
  <c r="D17" i="1705"/>
  <c r="R16" i="1705"/>
  <c r="L16" i="1705"/>
  <c r="D16" i="1705" s="1"/>
  <c r="R15" i="1705"/>
  <c r="D15" i="1705"/>
  <c r="R14" i="1705"/>
  <c r="D14" i="1705"/>
  <c r="R13" i="1705"/>
  <c r="D13" i="1705"/>
  <c r="R12" i="1705"/>
  <c r="R11" i="1705"/>
  <c r="L11" i="1705"/>
  <c r="D11" i="1705"/>
  <c r="L8" i="1705"/>
  <c r="D8" i="1705"/>
  <c r="L7" i="1705"/>
  <c r="D7" i="1705"/>
  <c r="R6" i="1705"/>
  <c r="R5" i="1705"/>
  <c r="R4" i="1705"/>
  <c r="R52" i="1704"/>
  <c r="R51" i="1704"/>
  <c r="D50" i="1704"/>
  <c r="R49" i="1704"/>
  <c r="D49" i="1704"/>
  <c r="R48" i="1704"/>
  <c r="D48" i="1704"/>
  <c r="D46" i="1704"/>
  <c r="D45" i="1704"/>
  <c r="R44" i="1704"/>
  <c r="D44" i="1704"/>
  <c r="R42" i="1704"/>
  <c r="L6" i="1704" s="1"/>
  <c r="D6" i="1704" s="1"/>
  <c r="D42" i="1704"/>
  <c r="R41" i="1704"/>
  <c r="D41" i="1704"/>
  <c r="R40" i="1704"/>
  <c r="L8" i="1704" s="1"/>
  <c r="D8" i="1704" s="1"/>
  <c r="D40" i="1704"/>
  <c r="R39" i="1704"/>
  <c r="H39" i="1704"/>
  <c r="D39" i="1704"/>
  <c r="R38" i="1704"/>
  <c r="H38" i="1704"/>
  <c r="D38" i="1704"/>
  <c r="R37" i="1704"/>
  <c r="H37" i="1704"/>
  <c r="D37" i="1704"/>
  <c r="R36" i="1704"/>
  <c r="L10" i="1704" s="1"/>
  <c r="D10" i="1704" s="1"/>
  <c r="H36" i="1704"/>
  <c r="D36" i="1704"/>
  <c r="R35" i="1704"/>
  <c r="H35" i="1704"/>
  <c r="D35" i="1704"/>
  <c r="R34" i="1704"/>
  <c r="L12" i="1704" s="1"/>
  <c r="D12" i="1704" s="1"/>
  <c r="H34" i="1704"/>
  <c r="D34" i="1704"/>
  <c r="R33" i="1704"/>
  <c r="R32" i="1704"/>
  <c r="R31" i="1704"/>
  <c r="R30" i="1704"/>
  <c r="R29" i="1704"/>
  <c r="R28" i="1704"/>
  <c r="L28" i="1704"/>
  <c r="D28" i="1704"/>
  <c r="R27" i="1704"/>
  <c r="D27" i="1704"/>
  <c r="R26" i="1704"/>
  <c r="L26" i="1704"/>
  <c r="D26" i="1704" s="1"/>
  <c r="R25" i="1704"/>
  <c r="L25" i="1704"/>
  <c r="D25" i="1704"/>
  <c r="R24" i="1704"/>
  <c r="L24" i="1704"/>
  <c r="D24" i="1704"/>
  <c r="R23" i="1704"/>
  <c r="L23" i="1704"/>
  <c r="D23" i="1704"/>
  <c r="R22" i="1704"/>
  <c r="L22" i="1704"/>
  <c r="D22" i="1704" s="1"/>
  <c r="R21" i="1704"/>
  <c r="D21" i="1704"/>
  <c r="R20" i="1704"/>
  <c r="L20" i="1704"/>
  <c r="D20" i="1704" s="1"/>
  <c r="R19" i="1704"/>
  <c r="L19" i="1704"/>
  <c r="D19" i="1704"/>
  <c r="R18" i="1704"/>
  <c r="D18" i="1704"/>
  <c r="R17" i="1704"/>
  <c r="L17" i="1704"/>
  <c r="D17" i="1704"/>
  <c r="R16" i="1704"/>
  <c r="L16" i="1704"/>
  <c r="D16" i="1704" s="1"/>
  <c r="R15" i="1704"/>
  <c r="D15" i="1704"/>
  <c r="R14" i="1704"/>
  <c r="D14" i="1704"/>
  <c r="R13" i="1704"/>
  <c r="D13" i="1704"/>
  <c r="R12" i="1704"/>
  <c r="R11" i="1704"/>
  <c r="L11" i="1704"/>
  <c r="D11" i="1704"/>
  <c r="L9" i="1704"/>
  <c r="D9" i="1704"/>
  <c r="L7" i="1704"/>
  <c r="D7" i="1704"/>
  <c r="R6" i="1704"/>
  <c r="R5" i="1704"/>
  <c r="R4" i="1704"/>
  <c r="R52" i="1703"/>
  <c r="R51" i="1703"/>
  <c r="D50" i="1703"/>
  <c r="R49" i="1703"/>
  <c r="D49" i="1703"/>
  <c r="R48" i="1703"/>
  <c r="D48" i="1703"/>
  <c r="D46" i="1703"/>
  <c r="D45" i="1703"/>
  <c r="R44" i="1703"/>
  <c r="L28" i="1703" s="1"/>
  <c r="D28" i="1703" s="1"/>
  <c r="D44" i="1703"/>
  <c r="R42" i="1703"/>
  <c r="D42" i="1703"/>
  <c r="R41" i="1703"/>
  <c r="D41" i="1703"/>
  <c r="R40" i="1703"/>
  <c r="D40" i="1703"/>
  <c r="R39" i="1703"/>
  <c r="L20" i="1703" s="1"/>
  <c r="D20" i="1703" s="1"/>
  <c r="H39" i="1703"/>
  <c r="D39" i="1703"/>
  <c r="R38" i="1703"/>
  <c r="H38" i="1703"/>
  <c r="D38" i="1703"/>
  <c r="R37" i="1703"/>
  <c r="H37" i="1703"/>
  <c r="D37" i="1703"/>
  <c r="R36" i="1703"/>
  <c r="H36" i="1703"/>
  <c r="D36" i="1703"/>
  <c r="R35" i="1703"/>
  <c r="H35" i="1703"/>
  <c r="D35" i="1703"/>
  <c r="R34" i="1703"/>
  <c r="H34" i="1703"/>
  <c r="D34" i="1703"/>
  <c r="R33" i="1703"/>
  <c r="R32" i="1703"/>
  <c r="R31" i="1703"/>
  <c r="R30" i="1703"/>
  <c r="R29" i="1703"/>
  <c r="R28" i="1703"/>
  <c r="R27" i="1703"/>
  <c r="D27" i="1703"/>
  <c r="R26" i="1703"/>
  <c r="D26" i="1703"/>
  <c r="R25" i="1703"/>
  <c r="L25" i="1703"/>
  <c r="D25" i="1703" s="1"/>
  <c r="R24" i="1703"/>
  <c r="D24" i="1703"/>
  <c r="R23" i="1703"/>
  <c r="D23" i="1703"/>
  <c r="R22" i="1703"/>
  <c r="D22" i="1703"/>
  <c r="R21" i="1703"/>
  <c r="D21" i="1703"/>
  <c r="R20" i="1703"/>
  <c r="R19" i="1703"/>
  <c r="D19" i="1703"/>
  <c r="R18" i="1703"/>
  <c r="D18" i="1703"/>
  <c r="R17" i="1703"/>
  <c r="L17" i="1703"/>
  <c r="D17" i="1703" s="1"/>
  <c r="R16" i="1703"/>
  <c r="L16" i="1703"/>
  <c r="D16" i="1703" s="1"/>
  <c r="R15" i="1703"/>
  <c r="D15" i="1703"/>
  <c r="R14" i="1703"/>
  <c r="D14" i="1703"/>
  <c r="R13" i="1703"/>
  <c r="D13" i="1703"/>
  <c r="R12" i="1703"/>
  <c r="L12" i="1703"/>
  <c r="D12" i="1703" s="1"/>
  <c r="R11" i="1703"/>
  <c r="L11" i="1703"/>
  <c r="D11" i="1703" s="1"/>
  <c r="L10" i="1703"/>
  <c r="D10" i="1703"/>
  <c r="L9" i="1703"/>
  <c r="D9" i="1703" s="1"/>
  <c r="L8" i="1703"/>
  <c r="D8" i="1703"/>
  <c r="L7" i="1703"/>
  <c r="D7" i="1703"/>
  <c r="R6" i="1703"/>
  <c r="L6" i="1703"/>
  <c r="D6" i="1703" s="1"/>
  <c r="R5" i="1703"/>
  <c r="R4" i="1703"/>
  <c r="R52" i="1702"/>
  <c r="R51" i="1702"/>
  <c r="D50" i="1702"/>
  <c r="R49" i="1702"/>
  <c r="G49" i="1702"/>
  <c r="D49" i="1702"/>
  <c r="R48" i="1702"/>
  <c r="D48" i="1702"/>
  <c r="D46" i="1702"/>
  <c r="D45" i="1702"/>
  <c r="D44" i="1702"/>
  <c r="R42" i="1702"/>
  <c r="D42" i="1702"/>
  <c r="R41" i="1702"/>
  <c r="L7" i="1702" s="1"/>
  <c r="D7" i="1702" s="1"/>
  <c r="D41" i="1702"/>
  <c r="R40" i="1702"/>
  <c r="L8" i="1702" s="1"/>
  <c r="D8" i="1702" s="1"/>
  <c r="D40" i="1702"/>
  <c r="R39" i="1702"/>
  <c r="D39" i="1702"/>
  <c r="R38" i="1702"/>
  <c r="D38" i="1702"/>
  <c r="R37" i="1702"/>
  <c r="D37" i="1702"/>
  <c r="R36" i="1702"/>
  <c r="L10" i="1702" s="1"/>
  <c r="D10" i="1702" s="1"/>
  <c r="D36" i="1702"/>
  <c r="R35" i="1702"/>
  <c r="D35" i="1702"/>
  <c r="R34" i="1702"/>
  <c r="L12" i="1702" s="1"/>
  <c r="D12" i="1702" s="1"/>
  <c r="D34" i="1702"/>
  <c r="D54" i="1702" s="1"/>
  <c r="H14" i="1702" s="1"/>
  <c r="R33" i="1702"/>
  <c r="L23" i="1702" s="1"/>
  <c r="D23" i="1702" s="1"/>
  <c r="R32" i="1702"/>
  <c r="L11" i="1702" s="1"/>
  <c r="D11" i="1702" s="1"/>
  <c r="R31" i="1702"/>
  <c r="R30" i="1702"/>
  <c r="R29" i="1702"/>
  <c r="R28" i="1702"/>
  <c r="L16" i="1702" s="1"/>
  <c r="D16" i="1702" s="1"/>
  <c r="D28" i="1702"/>
  <c r="R27" i="1702"/>
  <c r="D27" i="1702"/>
  <c r="R26" i="1702"/>
  <c r="L26" i="1702"/>
  <c r="D26" i="1702"/>
  <c r="R25" i="1702"/>
  <c r="L25" i="1702"/>
  <c r="D25" i="1702"/>
  <c r="R24" i="1702"/>
  <c r="D24" i="1702"/>
  <c r="R23" i="1702"/>
  <c r="R22" i="1702"/>
  <c r="L22" i="1702"/>
  <c r="D22" i="1702" s="1"/>
  <c r="R21" i="1702"/>
  <c r="D21" i="1702"/>
  <c r="R20" i="1702"/>
  <c r="L20" i="1702"/>
  <c r="D20" i="1702"/>
  <c r="R19" i="1702"/>
  <c r="L19" i="1702"/>
  <c r="D19" i="1702"/>
  <c r="R18" i="1702"/>
  <c r="D18" i="1702"/>
  <c r="R17" i="1702"/>
  <c r="D17" i="1702"/>
  <c r="R16" i="1702"/>
  <c r="S15" i="1702"/>
  <c r="R15" i="1702"/>
  <c r="D15" i="1702"/>
  <c r="S14" i="1702"/>
  <c r="R14" i="1702"/>
  <c r="D14" i="1702"/>
  <c r="R13" i="1702"/>
  <c r="D13" i="1702"/>
  <c r="R12" i="1702"/>
  <c r="R11" i="1702"/>
  <c r="L9" i="1702"/>
  <c r="D9" i="1702" s="1"/>
  <c r="R6" i="1702"/>
  <c r="L6" i="1702"/>
  <c r="D6" i="1702" s="1"/>
  <c r="R5" i="1702"/>
  <c r="R4" i="1702"/>
  <c r="R52" i="1701"/>
  <c r="R51" i="1701"/>
  <c r="D50" i="1701"/>
  <c r="R49" i="1701"/>
  <c r="D49" i="1701"/>
  <c r="R48" i="1701"/>
  <c r="D48" i="1701"/>
  <c r="D46" i="1701"/>
  <c r="D45" i="1701"/>
  <c r="R44" i="1701"/>
  <c r="D44" i="1701"/>
  <c r="R42" i="1701"/>
  <c r="L6" i="1701" s="1"/>
  <c r="D6" i="1701" s="1"/>
  <c r="D42" i="1701"/>
  <c r="R41" i="1701"/>
  <c r="D41" i="1701"/>
  <c r="R40" i="1701"/>
  <c r="D40" i="1701"/>
  <c r="R39" i="1701"/>
  <c r="H39" i="1701"/>
  <c r="D39" i="1701"/>
  <c r="R38" i="1701"/>
  <c r="L9" i="1701" s="1"/>
  <c r="D9" i="1701" s="1"/>
  <c r="H38" i="1701"/>
  <c r="D38" i="1701"/>
  <c r="R37" i="1701"/>
  <c r="H37" i="1701"/>
  <c r="D37" i="1701"/>
  <c r="R36" i="1701"/>
  <c r="H36" i="1701"/>
  <c r="D36" i="1701"/>
  <c r="R35" i="1701"/>
  <c r="H35" i="1701"/>
  <c r="D35" i="1701"/>
  <c r="R34" i="1701"/>
  <c r="L12" i="1701" s="1"/>
  <c r="D12" i="1701" s="1"/>
  <c r="H34" i="1701"/>
  <c r="D34" i="1701"/>
  <c r="R33" i="1701"/>
  <c r="L23" i="1701" s="1"/>
  <c r="D23" i="1701" s="1"/>
  <c r="R32" i="1701"/>
  <c r="L11" i="1701" s="1"/>
  <c r="D11" i="1701" s="1"/>
  <c r="R31" i="1701"/>
  <c r="R30" i="1701"/>
  <c r="R29" i="1701"/>
  <c r="R28" i="1701"/>
  <c r="L28" i="1701"/>
  <c r="D28" i="1701"/>
  <c r="R27" i="1701"/>
  <c r="D27" i="1701"/>
  <c r="R26" i="1701"/>
  <c r="L26" i="1701"/>
  <c r="D26" i="1701"/>
  <c r="R25" i="1701"/>
  <c r="L25" i="1701"/>
  <c r="D25" i="1701" s="1"/>
  <c r="R24" i="1701"/>
  <c r="D24" i="1701"/>
  <c r="R23" i="1701"/>
  <c r="R22" i="1701"/>
  <c r="L22" i="1701"/>
  <c r="D22" i="1701"/>
  <c r="R21" i="1701"/>
  <c r="D21" i="1701"/>
  <c r="R20" i="1701"/>
  <c r="L20" i="1701"/>
  <c r="D20" i="1701"/>
  <c r="R19" i="1701"/>
  <c r="L19" i="1701"/>
  <c r="D19" i="1701" s="1"/>
  <c r="R18" i="1701"/>
  <c r="D18" i="1701"/>
  <c r="R17" i="1701"/>
  <c r="D17" i="1701"/>
  <c r="R16" i="1701"/>
  <c r="L16" i="1701"/>
  <c r="D16" i="1701"/>
  <c r="R15" i="1701"/>
  <c r="D15" i="1701"/>
  <c r="R14" i="1701"/>
  <c r="D14" i="1701"/>
  <c r="R13" i="1701"/>
  <c r="D13" i="1701"/>
  <c r="R12" i="1701"/>
  <c r="R11" i="1701"/>
  <c r="L10" i="1701"/>
  <c r="D10" i="1701"/>
  <c r="L8" i="1701"/>
  <c r="D8" i="1701"/>
  <c r="L7" i="1701"/>
  <c r="D7" i="1701" s="1"/>
  <c r="R6" i="1701"/>
  <c r="R5" i="1701"/>
  <c r="R4" i="1701"/>
  <c r="R52" i="1700"/>
  <c r="R51" i="1700"/>
  <c r="D50" i="1700"/>
  <c r="R49" i="1700"/>
  <c r="D49" i="1700"/>
  <c r="R48" i="1700"/>
  <c r="D48" i="1700"/>
  <c r="D46" i="1700"/>
  <c r="D45" i="1700"/>
  <c r="R44" i="1700"/>
  <c r="D44" i="1700"/>
  <c r="R42" i="1700"/>
  <c r="L6" i="1700" s="1"/>
  <c r="D6" i="1700" s="1"/>
  <c r="D42" i="1700"/>
  <c r="R41" i="1700"/>
  <c r="D41" i="1700"/>
  <c r="R40" i="1700"/>
  <c r="D40" i="1700"/>
  <c r="R39" i="1700"/>
  <c r="H39" i="1700"/>
  <c r="D39" i="1700"/>
  <c r="R38" i="1700"/>
  <c r="L9" i="1700" s="1"/>
  <c r="D9" i="1700" s="1"/>
  <c r="H38" i="1700"/>
  <c r="D38" i="1700"/>
  <c r="R37" i="1700"/>
  <c r="H37" i="1700"/>
  <c r="D37" i="1700"/>
  <c r="R36" i="1700"/>
  <c r="L10" i="1700" s="1"/>
  <c r="D10" i="1700" s="1"/>
  <c r="H36" i="1700"/>
  <c r="D36" i="1700"/>
  <c r="R35" i="1700"/>
  <c r="H35" i="1700"/>
  <c r="D35" i="1700"/>
  <c r="R34" i="1700"/>
  <c r="H34" i="1700"/>
  <c r="G49" i="1700" s="1"/>
  <c r="D34" i="1700"/>
  <c r="R33" i="1700"/>
  <c r="R32" i="1700"/>
  <c r="R31" i="1700"/>
  <c r="R30" i="1700"/>
  <c r="R29" i="1700"/>
  <c r="R28" i="1700"/>
  <c r="L28" i="1700"/>
  <c r="D28" i="1700"/>
  <c r="R27" i="1700"/>
  <c r="D27" i="1700"/>
  <c r="R26" i="1700"/>
  <c r="L26" i="1700"/>
  <c r="D26" i="1700" s="1"/>
  <c r="R25" i="1700"/>
  <c r="L25" i="1700"/>
  <c r="D25" i="1700"/>
  <c r="R24" i="1700"/>
  <c r="L24" i="1700"/>
  <c r="D24" i="1700"/>
  <c r="R23" i="1700"/>
  <c r="L23" i="1700"/>
  <c r="D23" i="1700"/>
  <c r="R22" i="1700"/>
  <c r="L22" i="1700"/>
  <c r="D22" i="1700" s="1"/>
  <c r="R21" i="1700"/>
  <c r="D21" i="1700"/>
  <c r="R20" i="1700"/>
  <c r="L20" i="1700"/>
  <c r="D20" i="1700"/>
  <c r="R19" i="1700"/>
  <c r="L19" i="1700"/>
  <c r="D19" i="1700" s="1"/>
  <c r="R18" i="1700"/>
  <c r="D18" i="1700"/>
  <c r="R17" i="1700"/>
  <c r="L17" i="1700"/>
  <c r="D17" i="1700"/>
  <c r="R16" i="1700"/>
  <c r="L16" i="1700"/>
  <c r="D16" i="1700" s="1"/>
  <c r="R15" i="1700"/>
  <c r="D15" i="1700"/>
  <c r="R14" i="1700"/>
  <c r="D14" i="1700"/>
  <c r="R13" i="1700"/>
  <c r="D13" i="1700"/>
  <c r="R12" i="1700"/>
  <c r="L12" i="1700"/>
  <c r="D12" i="1700"/>
  <c r="R11" i="1700"/>
  <c r="L11" i="1700"/>
  <c r="D11" i="1700"/>
  <c r="L8" i="1700"/>
  <c r="D8" i="1700"/>
  <c r="L7" i="1700"/>
  <c r="D7" i="1700"/>
  <c r="R6" i="1700"/>
  <c r="R5" i="1700"/>
  <c r="R4" i="1700"/>
  <c r="R52" i="1699"/>
  <c r="R51" i="1699"/>
  <c r="D50" i="1699"/>
  <c r="R49" i="1699"/>
  <c r="D49" i="1699"/>
  <c r="R48" i="1699"/>
  <c r="D48" i="1699"/>
  <c r="D46" i="1699"/>
  <c r="D45" i="1699"/>
  <c r="R44" i="1699"/>
  <c r="L28" i="1699" s="1"/>
  <c r="D28" i="1699" s="1"/>
  <c r="D44" i="1699"/>
  <c r="R42" i="1699"/>
  <c r="L6" i="1699" s="1"/>
  <c r="D6" i="1699" s="1"/>
  <c r="D42" i="1699"/>
  <c r="R41" i="1699"/>
  <c r="L7" i="1699" s="1"/>
  <c r="D7" i="1699" s="1"/>
  <c r="D41" i="1699"/>
  <c r="R40" i="1699"/>
  <c r="D40" i="1699"/>
  <c r="R39" i="1699"/>
  <c r="L20" i="1699" s="1"/>
  <c r="D20" i="1699" s="1"/>
  <c r="H39" i="1699"/>
  <c r="D39" i="1699"/>
  <c r="R38" i="1699"/>
  <c r="H38" i="1699"/>
  <c r="D38" i="1699"/>
  <c r="R37" i="1699"/>
  <c r="H37" i="1699"/>
  <c r="D37" i="1699"/>
  <c r="R36" i="1699"/>
  <c r="H36" i="1699"/>
  <c r="D36" i="1699"/>
  <c r="R35" i="1699"/>
  <c r="H35" i="1699"/>
  <c r="D35" i="1699"/>
  <c r="R34" i="1699"/>
  <c r="L12" i="1699" s="1"/>
  <c r="D12" i="1699" s="1"/>
  <c r="H34" i="1699"/>
  <c r="D34" i="1699"/>
  <c r="R33" i="1699"/>
  <c r="R32" i="1699"/>
  <c r="R31" i="1699"/>
  <c r="R30" i="1699"/>
  <c r="R29" i="1699"/>
  <c r="R28" i="1699"/>
  <c r="R27" i="1699"/>
  <c r="D27" i="1699"/>
  <c r="R26" i="1699"/>
  <c r="L26" i="1699"/>
  <c r="D26" i="1699"/>
  <c r="R25" i="1699"/>
  <c r="L25" i="1699"/>
  <c r="D25" i="1699"/>
  <c r="R24" i="1699"/>
  <c r="L24" i="1699"/>
  <c r="D24" i="1699"/>
  <c r="R23" i="1699"/>
  <c r="D23" i="1699"/>
  <c r="R22" i="1699"/>
  <c r="D22" i="1699"/>
  <c r="R21" i="1699"/>
  <c r="D21" i="1699"/>
  <c r="R20" i="1699"/>
  <c r="R19" i="1699"/>
  <c r="D19" i="1699"/>
  <c r="R18" i="1699"/>
  <c r="D18" i="1699"/>
  <c r="R17" i="1699"/>
  <c r="L17" i="1699"/>
  <c r="D17" i="1699"/>
  <c r="R16" i="1699"/>
  <c r="L16" i="1699"/>
  <c r="D16" i="1699" s="1"/>
  <c r="R15" i="1699"/>
  <c r="D15" i="1699"/>
  <c r="R14" i="1699"/>
  <c r="D14" i="1699"/>
  <c r="R13" i="1699"/>
  <c r="D13" i="1699"/>
  <c r="R12" i="1699"/>
  <c r="R11" i="1699"/>
  <c r="L11" i="1699"/>
  <c r="D11" i="1699" s="1"/>
  <c r="L10" i="1699"/>
  <c r="D10" i="1699" s="1"/>
  <c r="L9" i="1699"/>
  <c r="D9" i="1699"/>
  <c r="L8" i="1699"/>
  <c r="D8" i="1699" s="1"/>
  <c r="R6" i="1699"/>
  <c r="R5" i="1699"/>
  <c r="R4" i="1699"/>
  <c r="R52" i="1698"/>
  <c r="R51" i="1698"/>
  <c r="D50" i="1698"/>
  <c r="R49" i="1698"/>
  <c r="G49" i="1698"/>
  <c r="D49" i="1698"/>
  <c r="R48" i="1698"/>
  <c r="D48" i="1698"/>
  <c r="D46" i="1698"/>
  <c r="D45" i="1698"/>
  <c r="D44" i="1698"/>
  <c r="R42" i="1698"/>
  <c r="D42" i="1698"/>
  <c r="R41" i="1698"/>
  <c r="L7" i="1698" s="1"/>
  <c r="D7" i="1698" s="1"/>
  <c r="D41" i="1698"/>
  <c r="R40" i="1698"/>
  <c r="L8" i="1698" s="1"/>
  <c r="D8" i="1698" s="1"/>
  <c r="D40" i="1698"/>
  <c r="R39" i="1698"/>
  <c r="D39" i="1698"/>
  <c r="R38" i="1698"/>
  <c r="D38" i="1698"/>
  <c r="R37" i="1698"/>
  <c r="D37" i="1698"/>
  <c r="R36" i="1698"/>
  <c r="D36" i="1698"/>
  <c r="R35" i="1698"/>
  <c r="D35" i="1698"/>
  <c r="R34" i="1698"/>
  <c r="L12" i="1698" s="1"/>
  <c r="D12" i="1698" s="1"/>
  <c r="D34" i="1698"/>
  <c r="D54" i="1698" s="1"/>
  <c r="H14" i="1698" s="1"/>
  <c r="R33" i="1698"/>
  <c r="L23" i="1698" s="1"/>
  <c r="D23" i="1698" s="1"/>
  <c r="R32" i="1698"/>
  <c r="L11" i="1698" s="1"/>
  <c r="D11" i="1698" s="1"/>
  <c r="R31" i="1698"/>
  <c r="R30" i="1698"/>
  <c r="R29" i="1698"/>
  <c r="R28" i="1698"/>
  <c r="L16" i="1698" s="1"/>
  <c r="D16" i="1698" s="1"/>
  <c r="D28" i="1698"/>
  <c r="R27" i="1698"/>
  <c r="D27" i="1698"/>
  <c r="R26" i="1698"/>
  <c r="L26" i="1698"/>
  <c r="D26" i="1698" s="1"/>
  <c r="R25" i="1698"/>
  <c r="L25" i="1698"/>
  <c r="D25" i="1698"/>
  <c r="R24" i="1698"/>
  <c r="D24" i="1698"/>
  <c r="R23" i="1698"/>
  <c r="R22" i="1698"/>
  <c r="L22" i="1698"/>
  <c r="D22" i="1698" s="1"/>
  <c r="R21" i="1698"/>
  <c r="D21" i="1698"/>
  <c r="R20" i="1698"/>
  <c r="L20" i="1698"/>
  <c r="D20" i="1698" s="1"/>
  <c r="R19" i="1698"/>
  <c r="L19" i="1698"/>
  <c r="D19" i="1698"/>
  <c r="R18" i="1698"/>
  <c r="D18" i="1698"/>
  <c r="R17" i="1698"/>
  <c r="D17" i="1698"/>
  <c r="R16" i="1698"/>
  <c r="S15" i="1698"/>
  <c r="R15" i="1698"/>
  <c r="D15" i="1698"/>
  <c r="S14" i="1698"/>
  <c r="R14" i="1698"/>
  <c r="D14" i="1698"/>
  <c r="R13" i="1698"/>
  <c r="D13" i="1698"/>
  <c r="R12" i="1698"/>
  <c r="R11" i="1698"/>
  <c r="L10" i="1698"/>
  <c r="D10" i="1698" s="1"/>
  <c r="L9" i="1698"/>
  <c r="D9" i="1698"/>
  <c r="R6" i="1698"/>
  <c r="L6" i="1698"/>
  <c r="D6" i="1698"/>
  <c r="R5" i="1698"/>
  <c r="R4" i="1698"/>
  <c r="R52" i="1697"/>
  <c r="R51" i="1697"/>
  <c r="D50" i="1697"/>
  <c r="R49" i="1697"/>
  <c r="D49" i="1697"/>
  <c r="R48" i="1697"/>
  <c r="D48" i="1697"/>
  <c r="D46" i="1697"/>
  <c r="D45" i="1697"/>
  <c r="R44" i="1697"/>
  <c r="D44" i="1697"/>
  <c r="R42" i="1697"/>
  <c r="L6" i="1697" s="1"/>
  <c r="D6" i="1697" s="1"/>
  <c r="D42" i="1697"/>
  <c r="R41" i="1697"/>
  <c r="D41" i="1697"/>
  <c r="R40" i="1697"/>
  <c r="D40" i="1697"/>
  <c r="R39" i="1697"/>
  <c r="H39" i="1697"/>
  <c r="D39" i="1697"/>
  <c r="R38" i="1697"/>
  <c r="L9" i="1697" s="1"/>
  <c r="D9" i="1697" s="1"/>
  <c r="H38" i="1697"/>
  <c r="D38" i="1697"/>
  <c r="R37" i="1697"/>
  <c r="H37" i="1697"/>
  <c r="D37" i="1697"/>
  <c r="R36" i="1697"/>
  <c r="H36" i="1697"/>
  <c r="D36" i="1697"/>
  <c r="R35" i="1697"/>
  <c r="H35" i="1697"/>
  <c r="D35" i="1697"/>
  <c r="R34" i="1697"/>
  <c r="L12" i="1697" s="1"/>
  <c r="D12" i="1697" s="1"/>
  <c r="H34" i="1697"/>
  <c r="D34" i="1697"/>
  <c r="R33" i="1697"/>
  <c r="R32" i="1697"/>
  <c r="R31" i="1697"/>
  <c r="R30" i="1697"/>
  <c r="R29" i="1697"/>
  <c r="R28" i="1697"/>
  <c r="L28" i="1697"/>
  <c r="D28" i="1697"/>
  <c r="R27" i="1697"/>
  <c r="D27" i="1697"/>
  <c r="R26" i="1697"/>
  <c r="D26" i="1697"/>
  <c r="R25" i="1697"/>
  <c r="L25" i="1697"/>
  <c r="D25" i="1697" s="1"/>
  <c r="R24" i="1697"/>
  <c r="D24" i="1697"/>
  <c r="R23" i="1697"/>
  <c r="L23" i="1697"/>
  <c r="D23" i="1697"/>
  <c r="R22" i="1697"/>
  <c r="L22" i="1697"/>
  <c r="D22" i="1697"/>
  <c r="R21" i="1697"/>
  <c r="D21" i="1697"/>
  <c r="R20" i="1697"/>
  <c r="L20" i="1697"/>
  <c r="D20" i="1697" s="1"/>
  <c r="R19" i="1697"/>
  <c r="L19" i="1697"/>
  <c r="D19" i="1697" s="1"/>
  <c r="R18" i="1697"/>
  <c r="D18" i="1697"/>
  <c r="R17" i="1697"/>
  <c r="D17" i="1697"/>
  <c r="R16" i="1697"/>
  <c r="L16" i="1697"/>
  <c r="D16" i="1697" s="1"/>
  <c r="R15" i="1697"/>
  <c r="D15" i="1697"/>
  <c r="R14" i="1697"/>
  <c r="D14" i="1697"/>
  <c r="R13" i="1697"/>
  <c r="D13" i="1697"/>
  <c r="R12" i="1697"/>
  <c r="R11" i="1697"/>
  <c r="L11" i="1697"/>
  <c r="D11" i="1697"/>
  <c r="L10" i="1697"/>
  <c r="D10" i="1697"/>
  <c r="L8" i="1697"/>
  <c r="D8" i="1697"/>
  <c r="L7" i="1697"/>
  <c r="D7" i="1697" s="1"/>
  <c r="R6" i="1697"/>
  <c r="R5" i="1697"/>
  <c r="R4" i="1697"/>
  <c r="R52" i="1696"/>
  <c r="R51" i="1696"/>
  <c r="D50" i="1696"/>
  <c r="R49" i="1696"/>
  <c r="D49" i="1696"/>
  <c r="R48" i="1696"/>
  <c r="D48" i="1696"/>
  <c r="D46" i="1696"/>
  <c r="D45" i="1696"/>
  <c r="R44" i="1696"/>
  <c r="D44" i="1696"/>
  <c r="R42" i="1696"/>
  <c r="L6" i="1696" s="1"/>
  <c r="D6" i="1696" s="1"/>
  <c r="D42" i="1696"/>
  <c r="R41" i="1696"/>
  <c r="L7" i="1696" s="1"/>
  <c r="D7" i="1696" s="1"/>
  <c r="D41" i="1696"/>
  <c r="R40" i="1696"/>
  <c r="D40" i="1696"/>
  <c r="R39" i="1696"/>
  <c r="H39" i="1696"/>
  <c r="D39" i="1696"/>
  <c r="R38" i="1696"/>
  <c r="L9" i="1696" s="1"/>
  <c r="D9" i="1696" s="1"/>
  <c r="H38" i="1696"/>
  <c r="D38" i="1696"/>
  <c r="R37" i="1696"/>
  <c r="H37" i="1696"/>
  <c r="D37" i="1696"/>
  <c r="R36" i="1696"/>
  <c r="H36" i="1696"/>
  <c r="D36" i="1696"/>
  <c r="R35" i="1696"/>
  <c r="L19" i="1696" s="1"/>
  <c r="D19" i="1696" s="1"/>
  <c r="H35" i="1696"/>
  <c r="D35" i="1696"/>
  <c r="R34" i="1696"/>
  <c r="L12" i="1696" s="1"/>
  <c r="D12" i="1696" s="1"/>
  <c r="H34" i="1696"/>
  <c r="D34" i="1696"/>
  <c r="R33" i="1696"/>
  <c r="R32" i="1696"/>
  <c r="R31" i="1696"/>
  <c r="R30" i="1696"/>
  <c r="R29" i="1696"/>
  <c r="R28" i="1696"/>
  <c r="L28" i="1696"/>
  <c r="D28" i="1696"/>
  <c r="R27" i="1696"/>
  <c r="D27" i="1696"/>
  <c r="R26" i="1696"/>
  <c r="L26" i="1696"/>
  <c r="D26" i="1696"/>
  <c r="R25" i="1696"/>
  <c r="L25" i="1696"/>
  <c r="D25" i="1696"/>
  <c r="R24" i="1696"/>
  <c r="L24" i="1696"/>
  <c r="D24" i="1696"/>
  <c r="R23" i="1696"/>
  <c r="L23" i="1696"/>
  <c r="D23" i="1696" s="1"/>
  <c r="R22" i="1696"/>
  <c r="L22" i="1696"/>
  <c r="D22" i="1696" s="1"/>
  <c r="R21" i="1696"/>
  <c r="D21" i="1696"/>
  <c r="R20" i="1696"/>
  <c r="L20" i="1696"/>
  <c r="D20" i="1696" s="1"/>
  <c r="R19" i="1696"/>
  <c r="R18" i="1696"/>
  <c r="D18" i="1696"/>
  <c r="R17" i="1696"/>
  <c r="L17" i="1696"/>
  <c r="D17" i="1696" s="1"/>
  <c r="R16" i="1696"/>
  <c r="L16" i="1696"/>
  <c r="D16" i="1696" s="1"/>
  <c r="R15" i="1696"/>
  <c r="D15" i="1696"/>
  <c r="R14" i="1696"/>
  <c r="D14" i="1696"/>
  <c r="R13" i="1696"/>
  <c r="D13" i="1696"/>
  <c r="R12" i="1696"/>
  <c r="R11" i="1696"/>
  <c r="L11" i="1696"/>
  <c r="D11" i="1696"/>
  <c r="L10" i="1696"/>
  <c r="D10" i="1696" s="1"/>
  <c r="L8" i="1696"/>
  <c r="D8" i="1696" s="1"/>
  <c r="R6" i="1696"/>
  <c r="R5" i="1696"/>
  <c r="R4" i="1696"/>
  <c r="R52" i="1695"/>
  <c r="R51" i="1695"/>
  <c r="D50" i="1695"/>
  <c r="R49" i="1695"/>
  <c r="D49" i="1695"/>
  <c r="R48" i="1695"/>
  <c r="D48" i="1695"/>
  <c r="D46" i="1695"/>
  <c r="D45" i="1695"/>
  <c r="R44" i="1695"/>
  <c r="D44" i="1695"/>
  <c r="R42" i="1695"/>
  <c r="L6" i="1695" s="1"/>
  <c r="D6" i="1695" s="1"/>
  <c r="D42" i="1695"/>
  <c r="R41" i="1695"/>
  <c r="L7" i="1695" s="1"/>
  <c r="D7" i="1695" s="1"/>
  <c r="D41" i="1695"/>
  <c r="R40" i="1695"/>
  <c r="L8" i="1695" s="1"/>
  <c r="D8" i="1695" s="1"/>
  <c r="D40" i="1695"/>
  <c r="R39" i="1695"/>
  <c r="H39" i="1695"/>
  <c r="D39" i="1695"/>
  <c r="R38" i="1695"/>
  <c r="H38" i="1695"/>
  <c r="D38" i="1695"/>
  <c r="R37" i="1695"/>
  <c r="H37" i="1695"/>
  <c r="D37" i="1695"/>
  <c r="R36" i="1695"/>
  <c r="H36" i="1695"/>
  <c r="D36" i="1695"/>
  <c r="R35" i="1695"/>
  <c r="H35" i="1695"/>
  <c r="D35" i="1695"/>
  <c r="R34" i="1695"/>
  <c r="H34" i="1695"/>
  <c r="D34" i="1695"/>
  <c r="R33" i="1695"/>
  <c r="R32" i="1695"/>
  <c r="R31" i="1695"/>
  <c r="R30" i="1695"/>
  <c r="R29" i="1695"/>
  <c r="R28" i="1695"/>
  <c r="L16" i="1695" s="1"/>
  <c r="D16" i="1695" s="1"/>
  <c r="L28" i="1695"/>
  <c r="D28" i="1695"/>
  <c r="R27" i="1695"/>
  <c r="D27" i="1695"/>
  <c r="R26" i="1695"/>
  <c r="L26" i="1695"/>
  <c r="D26" i="1695" s="1"/>
  <c r="R25" i="1695"/>
  <c r="L25" i="1695"/>
  <c r="D25" i="1695"/>
  <c r="R24" i="1695"/>
  <c r="L24" i="1695"/>
  <c r="D24" i="1695"/>
  <c r="R23" i="1695"/>
  <c r="D23" i="1695"/>
  <c r="R22" i="1695"/>
  <c r="D22" i="1695"/>
  <c r="R21" i="1695"/>
  <c r="D21" i="1695"/>
  <c r="R20" i="1695"/>
  <c r="L20" i="1695"/>
  <c r="D20" i="1695" s="1"/>
  <c r="R19" i="1695"/>
  <c r="D19" i="1695"/>
  <c r="R18" i="1695"/>
  <c r="D18" i="1695"/>
  <c r="R17" i="1695"/>
  <c r="L17" i="1695"/>
  <c r="D17" i="1695"/>
  <c r="R16" i="1695"/>
  <c r="R15" i="1695"/>
  <c r="D15" i="1695"/>
  <c r="R14" i="1695"/>
  <c r="D14" i="1695"/>
  <c r="R13" i="1695"/>
  <c r="D13" i="1695"/>
  <c r="R12" i="1695"/>
  <c r="L12" i="1695"/>
  <c r="D12" i="1695" s="1"/>
  <c r="R11" i="1695"/>
  <c r="L11" i="1695"/>
  <c r="D11" i="1695" s="1"/>
  <c r="L10" i="1695"/>
  <c r="D10" i="1695"/>
  <c r="L9" i="1695"/>
  <c r="D9" i="1695" s="1"/>
  <c r="R6" i="1695"/>
  <c r="R5" i="1695"/>
  <c r="R4" i="1695"/>
  <c r="R52" i="1694"/>
  <c r="R51" i="1694"/>
  <c r="D50" i="1694"/>
  <c r="R49" i="1694"/>
  <c r="G49" i="1694"/>
  <c r="D49" i="1694"/>
  <c r="R48" i="1694"/>
  <c r="D48" i="1694"/>
  <c r="D46" i="1694"/>
  <c r="D45" i="1694"/>
  <c r="D44" i="1694"/>
  <c r="R42" i="1694"/>
  <c r="L6" i="1694" s="1"/>
  <c r="D6" i="1694" s="1"/>
  <c r="D29" i="1694" s="1"/>
  <c r="H13" i="1694" s="1"/>
  <c r="H15" i="1694" s="1"/>
  <c r="H29" i="1694" s="1"/>
  <c r="D42" i="1694"/>
  <c r="R41" i="1694"/>
  <c r="L7" i="1694" s="1"/>
  <c r="D7" i="1694" s="1"/>
  <c r="D41" i="1694"/>
  <c r="D54" i="1694" s="1"/>
  <c r="H14" i="1694" s="1"/>
  <c r="R40" i="1694"/>
  <c r="D40" i="1694"/>
  <c r="R39" i="1694"/>
  <c r="D39" i="1694"/>
  <c r="R38" i="1694"/>
  <c r="L9" i="1694" s="1"/>
  <c r="D9" i="1694" s="1"/>
  <c r="D38" i="1694"/>
  <c r="R37" i="1694"/>
  <c r="D37" i="1694"/>
  <c r="R36" i="1694"/>
  <c r="L10" i="1694" s="1"/>
  <c r="D10" i="1694" s="1"/>
  <c r="D36" i="1694"/>
  <c r="R35" i="1694"/>
  <c r="L19" i="1694" s="1"/>
  <c r="D19" i="1694" s="1"/>
  <c r="D35" i="1694"/>
  <c r="R34" i="1694"/>
  <c r="L12" i="1694" s="1"/>
  <c r="D12" i="1694" s="1"/>
  <c r="D34" i="1694"/>
  <c r="R33" i="1694"/>
  <c r="L23" i="1694" s="1"/>
  <c r="D23" i="1694" s="1"/>
  <c r="R32" i="1694"/>
  <c r="L11" i="1694" s="1"/>
  <c r="D11" i="1694" s="1"/>
  <c r="R31" i="1694"/>
  <c r="R30" i="1694"/>
  <c r="R29" i="1694"/>
  <c r="R28" i="1694"/>
  <c r="D28" i="1694"/>
  <c r="R27" i="1694"/>
  <c r="D27" i="1694"/>
  <c r="R26" i="1694"/>
  <c r="L26" i="1694"/>
  <c r="D26" i="1694" s="1"/>
  <c r="R25" i="1694"/>
  <c r="L25" i="1694"/>
  <c r="D25" i="1694"/>
  <c r="R24" i="1694"/>
  <c r="D24" i="1694"/>
  <c r="R23" i="1694"/>
  <c r="R22" i="1694"/>
  <c r="L22" i="1694"/>
  <c r="D22" i="1694"/>
  <c r="R21" i="1694"/>
  <c r="D21" i="1694"/>
  <c r="R20" i="1694"/>
  <c r="L20" i="1694"/>
  <c r="D20" i="1694" s="1"/>
  <c r="R19" i="1694"/>
  <c r="R18" i="1694"/>
  <c r="D18" i="1694"/>
  <c r="R17" i="1694"/>
  <c r="D17" i="1694"/>
  <c r="R16" i="1694"/>
  <c r="L16" i="1694"/>
  <c r="D16" i="1694" s="1"/>
  <c r="S15" i="1694"/>
  <c r="R15" i="1694"/>
  <c r="D15" i="1694"/>
  <c r="S14" i="1694"/>
  <c r="R14" i="1694"/>
  <c r="D14" i="1694"/>
  <c r="R13" i="1694"/>
  <c r="D13" i="1694"/>
  <c r="R12" i="1694"/>
  <c r="R11" i="1694"/>
  <c r="L8" i="1694"/>
  <c r="D8" i="1694"/>
  <c r="R6" i="1694"/>
  <c r="R5" i="1694"/>
  <c r="R4" i="1694"/>
  <c r="R52" i="1693"/>
  <c r="L22" i="1693" s="1"/>
  <c r="D22" i="1693" s="1"/>
  <c r="R51" i="1693"/>
  <c r="D50" i="1693"/>
  <c r="R49" i="1693"/>
  <c r="D49" i="1693"/>
  <c r="R48" i="1693"/>
  <c r="D48" i="1693"/>
  <c r="D46" i="1693"/>
  <c r="D45" i="1693"/>
  <c r="R44" i="1693"/>
  <c r="D44" i="1693"/>
  <c r="R42" i="1693"/>
  <c r="D42" i="1693"/>
  <c r="R41" i="1693"/>
  <c r="L7" i="1693" s="1"/>
  <c r="D7" i="1693" s="1"/>
  <c r="D41" i="1693"/>
  <c r="R40" i="1693"/>
  <c r="D40" i="1693"/>
  <c r="R39" i="1693"/>
  <c r="H39" i="1693"/>
  <c r="D39" i="1693"/>
  <c r="R38" i="1693"/>
  <c r="H38" i="1693"/>
  <c r="D38" i="1693"/>
  <c r="R37" i="1693"/>
  <c r="H37" i="1693"/>
  <c r="D37" i="1693"/>
  <c r="R36" i="1693"/>
  <c r="H36" i="1693"/>
  <c r="D36" i="1693"/>
  <c r="R35" i="1693"/>
  <c r="L19" i="1693" s="1"/>
  <c r="D19" i="1693" s="1"/>
  <c r="H35" i="1693"/>
  <c r="D35" i="1693"/>
  <c r="R34" i="1693"/>
  <c r="H34" i="1693"/>
  <c r="D34" i="1693"/>
  <c r="R33" i="1693"/>
  <c r="L23" i="1693" s="1"/>
  <c r="D23" i="1693" s="1"/>
  <c r="R32" i="1693"/>
  <c r="R31" i="1693"/>
  <c r="R30" i="1693"/>
  <c r="R29" i="1693"/>
  <c r="R28" i="1693"/>
  <c r="L28" i="1693"/>
  <c r="D28" i="1693"/>
  <c r="R27" i="1693"/>
  <c r="D27" i="1693"/>
  <c r="R26" i="1693"/>
  <c r="L26" i="1693"/>
  <c r="D26" i="1693"/>
  <c r="R25" i="1693"/>
  <c r="L25" i="1693"/>
  <c r="D25" i="1693"/>
  <c r="R24" i="1693"/>
  <c r="D24" i="1693"/>
  <c r="R23" i="1693"/>
  <c r="R22" i="1693"/>
  <c r="R21" i="1693"/>
  <c r="D21" i="1693"/>
  <c r="R20" i="1693"/>
  <c r="L20" i="1693"/>
  <c r="D20" i="1693"/>
  <c r="R19" i="1693"/>
  <c r="R18" i="1693"/>
  <c r="D18" i="1693"/>
  <c r="R17" i="1693"/>
  <c r="D17" i="1693"/>
  <c r="R16" i="1693"/>
  <c r="L16" i="1693"/>
  <c r="D16" i="1693"/>
  <c r="R15" i="1693"/>
  <c r="D15" i="1693"/>
  <c r="R14" i="1693"/>
  <c r="D14" i="1693"/>
  <c r="R13" i="1693"/>
  <c r="D13" i="1693"/>
  <c r="R12" i="1693"/>
  <c r="L12" i="1693"/>
  <c r="D12" i="1693" s="1"/>
  <c r="R11" i="1693"/>
  <c r="L11" i="1693"/>
  <c r="D11" i="1693" s="1"/>
  <c r="L10" i="1693"/>
  <c r="D10" i="1693"/>
  <c r="L9" i="1693"/>
  <c r="D9" i="1693"/>
  <c r="L8" i="1693"/>
  <c r="D8" i="1693"/>
  <c r="R6" i="1693"/>
  <c r="L6" i="1693"/>
  <c r="D6" i="1693"/>
  <c r="R5" i="1693"/>
  <c r="R4" i="1693"/>
  <c r="R52" i="1692"/>
  <c r="R51" i="1692"/>
  <c r="D50" i="1692"/>
  <c r="R49" i="1692"/>
  <c r="D49" i="1692"/>
  <c r="R48" i="1692"/>
  <c r="D48" i="1692"/>
  <c r="D46" i="1692"/>
  <c r="D45" i="1692"/>
  <c r="R44" i="1692"/>
  <c r="D44" i="1692"/>
  <c r="R42" i="1692"/>
  <c r="D42" i="1692"/>
  <c r="R41" i="1692"/>
  <c r="D41" i="1692"/>
  <c r="R40" i="1692"/>
  <c r="D40" i="1692"/>
  <c r="R39" i="1692"/>
  <c r="L20" i="1692" s="1"/>
  <c r="D20" i="1692" s="1"/>
  <c r="H39" i="1692"/>
  <c r="D39" i="1692"/>
  <c r="R38" i="1692"/>
  <c r="L9" i="1692" s="1"/>
  <c r="D9" i="1692" s="1"/>
  <c r="H38" i="1692"/>
  <c r="D38" i="1692"/>
  <c r="R37" i="1692"/>
  <c r="H37" i="1692"/>
  <c r="D37" i="1692"/>
  <c r="R36" i="1692"/>
  <c r="L10" i="1692" s="1"/>
  <c r="D10" i="1692" s="1"/>
  <c r="H36" i="1692"/>
  <c r="D36" i="1692"/>
  <c r="R35" i="1692"/>
  <c r="H35" i="1692"/>
  <c r="D35" i="1692"/>
  <c r="R34" i="1692"/>
  <c r="H34" i="1692"/>
  <c r="D34" i="1692"/>
  <c r="R33" i="1692"/>
  <c r="L23" i="1692" s="1"/>
  <c r="D23" i="1692" s="1"/>
  <c r="R32" i="1692"/>
  <c r="L11" i="1692" s="1"/>
  <c r="D11" i="1692" s="1"/>
  <c r="R31" i="1692"/>
  <c r="R30" i="1692"/>
  <c r="R29" i="1692"/>
  <c r="R28" i="1692"/>
  <c r="L28" i="1692"/>
  <c r="D28" i="1692"/>
  <c r="R27" i="1692"/>
  <c r="D27" i="1692"/>
  <c r="R26" i="1692"/>
  <c r="L26" i="1692"/>
  <c r="D26" i="1692"/>
  <c r="R25" i="1692"/>
  <c r="L25" i="1692"/>
  <c r="D25" i="1692"/>
  <c r="R24" i="1692"/>
  <c r="L24" i="1692"/>
  <c r="D24" i="1692"/>
  <c r="R23" i="1692"/>
  <c r="R22" i="1692"/>
  <c r="L22" i="1692"/>
  <c r="D22" i="1692" s="1"/>
  <c r="R21" i="1692"/>
  <c r="D21" i="1692"/>
  <c r="R20" i="1692"/>
  <c r="R19" i="1692"/>
  <c r="L19" i="1692"/>
  <c r="D19" i="1692" s="1"/>
  <c r="R18" i="1692"/>
  <c r="D18" i="1692"/>
  <c r="R17" i="1692"/>
  <c r="L17" i="1692"/>
  <c r="D17" i="1692"/>
  <c r="R16" i="1692"/>
  <c r="L16" i="1692"/>
  <c r="D16" i="1692" s="1"/>
  <c r="R15" i="1692"/>
  <c r="D15" i="1692"/>
  <c r="R14" i="1692"/>
  <c r="D14" i="1692"/>
  <c r="R13" i="1692"/>
  <c r="D13" i="1692"/>
  <c r="R12" i="1692"/>
  <c r="L12" i="1692"/>
  <c r="D12" i="1692" s="1"/>
  <c r="R11" i="1692"/>
  <c r="L8" i="1692"/>
  <c r="D8" i="1692"/>
  <c r="L7" i="1692"/>
  <c r="D7" i="1692"/>
  <c r="R6" i="1692"/>
  <c r="L6" i="1692"/>
  <c r="D6" i="1692"/>
  <c r="R5" i="1692"/>
  <c r="R4" i="1692"/>
  <c r="R52" i="1691"/>
  <c r="R51" i="1691"/>
  <c r="D50" i="1691"/>
  <c r="R49" i="1691"/>
  <c r="D49" i="1691"/>
  <c r="R48" i="1691"/>
  <c r="D48" i="1691"/>
  <c r="D46" i="1691"/>
  <c r="D45" i="1691"/>
  <c r="R44" i="1691"/>
  <c r="D44" i="1691"/>
  <c r="R42" i="1691"/>
  <c r="L6" i="1691" s="1"/>
  <c r="D6" i="1691" s="1"/>
  <c r="D42" i="1691"/>
  <c r="R41" i="1691"/>
  <c r="L7" i="1691" s="1"/>
  <c r="D7" i="1691" s="1"/>
  <c r="D41" i="1691"/>
  <c r="R40" i="1691"/>
  <c r="D40" i="1691"/>
  <c r="R39" i="1691"/>
  <c r="H39" i="1691"/>
  <c r="D39" i="1691"/>
  <c r="R38" i="1691"/>
  <c r="H38" i="1691"/>
  <c r="D38" i="1691"/>
  <c r="R37" i="1691"/>
  <c r="H37" i="1691"/>
  <c r="D37" i="1691"/>
  <c r="R36" i="1691"/>
  <c r="H36" i="1691"/>
  <c r="D36" i="1691"/>
  <c r="R35" i="1691"/>
  <c r="H35" i="1691"/>
  <c r="D35" i="1691"/>
  <c r="R34" i="1691"/>
  <c r="H34" i="1691"/>
  <c r="D34" i="1691"/>
  <c r="R33" i="1691"/>
  <c r="R32" i="1691"/>
  <c r="R31" i="1691"/>
  <c r="R30" i="1691"/>
  <c r="R29" i="1691"/>
  <c r="R28" i="1691"/>
  <c r="L28" i="1691"/>
  <c r="D28" i="1691"/>
  <c r="R27" i="1691"/>
  <c r="D27" i="1691"/>
  <c r="R26" i="1691"/>
  <c r="L26" i="1691"/>
  <c r="D26" i="1691" s="1"/>
  <c r="R25" i="1691"/>
  <c r="L25" i="1691"/>
  <c r="D25" i="1691" s="1"/>
  <c r="R24" i="1691"/>
  <c r="L24" i="1691"/>
  <c r="D24" i="1691"/>
  <c r="R23" i="1691"/>
  <c r="D23" i="1691"/>
  <c r="R22" i="1691"/>
  <c r="D22" i="1691"/>
  <c r="R21" i="1691"/>
  <c r="D21" i="1691"/>
  <c r="R20" i="1691"/>
  <c r="L20" i="1691"/>
  <c r="D20" i="1691"/>
  <c r="R19" i="1691"/>
  <c r="D19" i="1691"/>
  <c r="R18" i="1691"/>
  <c r="D18" i="1691"/>
  <c r="R17" i="1691"/>
  <c r="L17" i="1691"/>
  <c r="D17" i="1691"/>
  <c r="R16" i="1691"/>
  <c r="L16" i="1691"/>
  <c r="D16" i="1691" s="1"/>
  <c r="R15" i="1691"/>
  <c r="D15" i="1691"/>
  <c r="R14" i="1691"/>
  <c r="D14" i="1691"/>
  <c r="R13" i="1691"/>
  <c r="D13" i="1691"/>
  <c r="R12" i="1691"/>
  <c r="L12" i="1691"/>
  <c r="D12" i="1691" s="1"/>
  <c r="R11" i="1691"/>
  <c r="L11" i="1691"/>
  <c r="D11" i="1691"/>
  <c r="L10" i="1691"/>
  <c r="D10" i="1691"/>
  <c r="L9" i="1691"/>
  <c r="D9" i="1691"/>
  <c r="L8" i="1691"/>
  <c r="D8" i="1691"/>
  <c r="R6" i="1691"/>
  <c r="R5" i="1691"/>
  <c r="R4" i="1691"/>
  <c r="R52" i="1690"/>
  <c r="R51" i="1690"/>
  <c r="D50" i="1690"/>
  <c r="R49" i="1690"/>
  <c r="G49" i="1690"/>
  <c r="D49" i="1690"/>
  <c r="R48" i="1690"/>
  <c r="D48" i="1690"/>
  <c r="D46" i="1690"/>
  <c r="D45" i="1690"/>
  <c r="D44" i="1690"/>
  <c r="R42" i="1690"/>
  <c r="L6" i="1690" s="1"/>
  <c r="D6" i="1690" s="1"/>
  <c r="D42" i="1690"/>
  <c r="R41" i="1690"/>
  <c r="L7" i="1690" s="1"/>
  <c r="D7" i="1690" s="1"/>
  <c r="D41" i="1690"/>
  <c r="R40" i="1690"/>
  <c r="D40" i="1690"/>
  <c r="R39" i="1690"/>
  <c r="D39" i="1690"/>
  <c r="R38" i="1690"/>
  <c r="D38" i="1690"/>
  <c r="R37" i="1690"/>
  <c r="D37" i="1690"/>
  <c r="R36" i="1690"/>
  <c r="L10" i="1690" s="1"/>
  <c r="D10" i="1690" s="1"/>
  <c r="D36" i="1690"/>
  <c r="R35" i="1690"/>
  <c r="D35" i="1690"/>
  <c r="R34" i="1690"/>
  <c r="L12" i="1690" s="1"/>
  <c r="D12" i="1690" s="1"/>
  <c r="D34" i="1690"/>
  <c r="D54" i="1690" s="1"/>
  <c r="H14" i="1690" s="1"/>
  <c r="R33" i="1690"/>
  <c r="L23" i="1690" s="1"/>
  <c r="D23" i="1690" s="1"/>
  <c r="R32" i="1690"/>
  <c r="R31" i="1690"/>
  <c r="R30" i="1690"/>
  <c r="R29" i="1690"/>
  <c r="R28" i="1690"/>
  <c r="L16" i="1690" s="1"/>
  <c r="D16" i="1690" s="1"/>
  <c r="D28" i="1690"/>
  <c r="R27" i="1690"/>
  <c r="D27" i="1690"/>
  <c r="R26" i="1690"/>
  <c r="L26" i="1690"/>
  <c r="D26" i="1690"/>
  <c r="R25" i="1690"/>
  <c r="L25" i="1690"/>
  <c r="D25" i="1690"/>
  <c r="R24" i="1690"/>
  <c r="D24" i="1690"/>
  <c r="R23" i="1690"/>
  <c r="R22" i="1690"/>
  <c r="L22" i="1690"/>
  <c r="D22" i="1690" s="1"/>
  <c r="R21" i="1690"/>
  <c r="D21" i="1690"/>
  <c r="R20" i="1690"/>
  <c r="L20" i="1690"/>
  <c r="D20" i="1690"/>
  <c r="R19" i="1690"/>
  <c r="L19" i="1690"/>
  <c r="D19" i="1690"/>
  <c r="R18" i="1690"/>
  <c r="D18" i="1690"/>
  <c r="R17" i="1690"/>
  <c r="D17" i="1690"/>
  <c r="R16" i="1690"/>
  <c r="S15" i="1690"/>
  <c r="R15" i="1690"/>
  <c r="D15" i="1690"/>
  <c r="S14" i="1690"/>
  <c r="R14" i="1690"/>
  <c r="D14" i="1690"/>
  <c r="R13" i="1690"/>
  <c r="D13" i="1690"/>
  <c r="R12" i="1690"/>
  <c r="R11" i="1690"/>
  <c r="L11" i="1690"/>
  <c r="D11" i="1690" s="1"/>
  <c r="L9" i="1690"/>
  <c r="D9" i="1690"/>
  <c r="L8" i="1690"/>
  <c r="D8" i="1690"/>
  <c r="R6" i="1690"/>
  <c r="R5" i="1690"/>
  <c r="R4" i="1690"/>
  <c r="R52" i="1689"/>
  <c r="L22" i="1689" s="1"/>
  <c r="D22" i="1689" s="1"/>
  <c r="R51" i="1689"/>
  <c r="D50" i="1689"/>
  <c r="R49" i="1689"/>
  <c r="D49" i="1689"/>
  <c r="R48" i="1689"/>
  <c r="D48" i="1689"/>
  <c r="D46" i="1689"/>
  <c r="D45" i="1689"/>
  <c r="R44" i="1689"/>
  <c r="L28" i="1689" s="1"/>
  <c r="D28" i="1689" s="1"/>
  <c r="D44" i="1689"/>
  <c r="R42" i="1689"/>
  <c r="D42" i="1689"/>
  <c r="R41" i="1689"/>
  <c r="D41" i="1689"/>
  <c r="R40" i="1689"/>
  <c r="D40" i="1689"/>
  <c r="R39" i="1689"/>
  <c r="H39" i="1689"/>
  <c r="D39" i="1689"/>
  <c r="R38" i="1689"/>
  <c r="H38" i="1689"/>
  <c r="D38" i="1689"/>
  <c r="R37" i="1689"/>
  <c r="H37" i="1689"/>
  <c r="D37" i="1689"/>
  <c r="R36" i="1689"/>
  <c r="L10" i="1689" s="1"/>
  <c r="D10" i="1689" s="1"/>
  <c r="H36" i="1689"/>
  <c r="D36" i="1689"/>
  <c r="R35" i="1689"/>
  <c r="H35" i="1689"/>
  <c r="D35" i="1689"/>
  <c r="R34" i="1689"/>
  <c r="H34" i="1689"/>
  <c r="D34" i="1689"/>
  <c r="R33" i="1689"/>
  <c r="L23" i="1689" s="1"/>
  <c r="D23" i="1689" s="1"/>
  <c r="R32" i="1689"/>
  <c r="R31" i="1689"/>
  <c r="R30" i="1689"/>
  <c r="R29" i="1689"/>
  <c r="R28" i="1689"/>
  <c r="R27" i="1689"/>
  <c r="D27" i="1689"/>
  <c r="R26" i="1689"/>
  <c r="L26" i="1689"/>
  <c r="D26" i="1689"/>
  <c r="R25" i="1689"/>
  <c r="L25" i="1689"/>
  <c r="D25" i="1689" s="1"/>
  <c r="R24" i="1689"/>
  <c r="D24" i="1689"/>
  <c r="R23" i="1689"/>
  <c r="R22" i="1689"/>
  <c r="R21" i="1689"/>
  <c r="D21" i="1689"/>
  <c r="R20" i="1689"/>
  <c r="L20" i="1689"/>
  <c r="D20" i="1689"/>
  <c r="R19" i="1689"/>
  <c r="L19" i="1689"/>
  <c r="D19" i="1689" s="1"/>
  <c r="R18" i="1689"/>
  <c r="D18" i="1689"/>
  <c r="R17" i="1689"/>
  <c r="D17" i="1689"/>
  <c r="R16" i="1689"/>
  <c r="L16" i="1689"/>
  <c r="D16" i="1689" s="1"/>
  <c r="R15" i="1689"/>
  <c r="D15" i="1689"/>
  <c r="R14" i="1689"/>
  <c r="D14" i="1689"/>
  <c r="R13" i="1689"/>
  <c r="D13" i="1689"/>
  <c r="R12" i="1689"/>
  <c r="L12" i="1689"/>
  <c r="D12" i="1689" s="1"/>
  <c r="R11" i="1689"/>
  <c r="L11" i="1689"/>
  <c r="D11" i="1689"/>
  <c r="L9" i="1689"/>
  <c r="D9" i="1689"/>
  <c r="L8" i="1689"/>
  <c r="D8" i="1689"/>
  <c r="L7" i="1689"/>
  <c r="D7" i="1689"/>
  <c r="R6" i="1689"/>
  <c r="L6" i="1689"/>
  <c r="D6" i="1689"/>
  <c r="R5" i="1689"/>
  <c r="R4" i="1689"/>
  <c r="R52" i="1688"/>
  <c r="R51" i="1688"/>
  <c r="D50" i="1688"/>
  <c r="R49" i="1688"/>
  <c r="D49" i="1688"/>
  <c r="R48" i="1688"/>
  <c r="D48" i="1688"/>
  <c r="D46" i="1688"/>
  <c r="D45" i="1688"/>
  <c r="R44" i="1688"/>
  <c r="D44" i="1688"/>
  <c r="R42" i="1688"/>
  <c r="L6" i="1688" s="1"/>
  <c r="D6" i="1688" s="1"/>
  <c r="D42" i="1688"/>
  <c r="R41" i="1688"/>
  <c r="D41" i="1688"/>
  <c r="R40" i="1688"/>
  <c r="D40" i="1688"/>
  <c r="R39" i="1688"/>
  <c r="H39" i="1688"/>
  <c r="D39" i="1688"/>
  <c r="R38" i="1688"/>
  <c r="L9" i="1688" s="1"/>
  <c r="D9" i="1688" s="1"/>
  <c r="H38" i="1688"/>
  <c r="D38" i="1688"/>
  <c r="R37" i="1688"/>
  <c r="H37" i="1688"/>
  <c r="D37" i="1688"/>
  <c r="R36" i="1688"/>
  <c r="L10" i="1688" s="1"/>
  <c r="D10" i="1688" s="1"/>
  <c r="H36" i="1688"/>
  <c r="D36" i="1688"/>
  <c r="R35" i="1688"/>
  <c r="H35" i="1688"/>
  <c r="D35" i="1688"/>
  <c r="R34" i="1688"/>
  <c r="H34" i="1688"/>
  <c r="D34" i="1688"/>
  <c r="R33" i="1688"/>
  <c r="R32" i="1688"/>
  <c r="R31" i="1688"/>
  <c r="R30" i="1688"/>
  <c r="R29" i="1688"/>
  <c r="R28" i="1688"/>
  <c r="L28" i="1688"/>
  <c r="D28" i="1688"/>
  <c r="R27" i="1688"/>
  <c r="D27" i="1688"/>
  <c r="R26" i="1688"/>
  <c r="L26" i="1688"/>
  <c r="D26" i="1688"/>
  <c r="R25" i="1688"/>
  <c r="L25" i="1688"/>
  <c r="D25" i="1688" s="1"/>
  <c r="R24" i="1688"/>
  <c r="L24" i="1688"/>
  <c r="D24" i="1688" s="1"/>
  <c r="R23" i="1688"/>
  <c r="L23" i="1688"/>
  <c r="D23" i="1688"/>
  <c r="R22" i="1688"/>
  <c r="L22" i="1688"/>
  <c r="D22" i="1688" s="1"/>
  <c r="R21" i="1688"/>
  <c r="D21" i="1688"/>
  <c r="R20" i="1688"/>
  <c r="L20" i="1688"/>
  <c r="D20" i="1688"/>
  <c r="R19" i="1688"/>
  <c r="L19" i="1688"/>
  <c r="D19" i="1688" s="1"/>
  <c r="R18" i="1688"/>
  <c r="D18" i="1688"/>
  <c r="R17" i="1688"/>
  <c r="L17" i="1688"/>
  <c r="D17" i="1688"/>
  <c r="R16" i="1688"/>
  <c r="L16" i="1688"/>
  <c r="D16" i="1688" s="1"/>
  <c r="R15" i="1688"/>
  <c r="D15" i="1688"/>
  <c r="R14" i="1688"/>
  <c r="D14" i="1688"/>
  <c r="R13" i="1688"/>
  <c r="D13" i="1688"/>
  <c r="R12" i="1688"/>
  <c r="L12" i="1688"/>
  <c r="D12" i="1688"/>
  <c r="R11" i="1688"/>
  <c r="L11" i="1688"/>
  <c r="D11" i="1688"/>
  <c r="L8" i="1688"/>
  <c r="D8" i="1688"/>
  <c r="L7" i="1688"/>
  <c r="D7" i="1688" s="1"/>
  <c r="R6" i="1688"/>
  <c r="R5" i="1688"/>
  <c r="R4" i="1688"/>
  <c r="R52" i="1687"/>
  <c r="R51" i="1687"/>
  <c r="D50" i="1687"/>
  <c r="R49" i="1687"/>
  <c r="D49" i="1687"/>
  <c r="R48" i="1687"/>
  <c r="D48" i="1687"/>
  <c r="D46" i="1687"/>
  <c r="D45" i="1687"/>
  <c r="R44" i="1687"/>
  <c r="D44" i="1687"/>
  <c r="R42" i="1687"/>
  <c r="L6" i="1687" s="1"/>
  <c r="D6" i="1687" s="1"/>
  <c r="D42" i="1687"/>
  <c r="R41" i="1687"/>
  <c r="D41" i="1687"/>
  <c r="R40" i="1687"/>
  <c r="L8" i="1687" s="1"/>
  <c r="D8" i="1687" s="1"/>
  <c r="D40" i="1687"/>
  <c r="R39" i="1687"/>
  <c r="L20" i="1687" s="1"/>
  <c r="D20" i="1687" s="1"/>
  <c r="H39" i="1687"/>
  <c r="D39" i="1687"/>
  <c r="R38" i="1687"/>
  <c r="H38" i="1687"/>
  <c r="D38" i="1687"/>
  <c r="R37" i="1687"/>
  <c r="H37" i="1687"/>
  <c r="D37" i="1687"/>
  <c r="R36" i="1687"/>
  <c r="H36" i="1687"/>
  <c r="G49" i="1687" s="1"/>
  <c r="D36" i="1687"/>
  <c r="R35" i="1687"/>
  <c r="H35" i="1687"/>
  <c r="D35" i="1687"/>
  <c r="R34" i="1687"/>
  <c r="H34" i="1687"/>
  <c r="D34" i="1687"/>
  <c r="D54" i="1687" s="1"/>
  <c r="H14" i="1687" s="1"/>
  <c r="R33" i="1687"/>
  <c r="R32" i="1687"/>
  <c r="R31" i="1687"/>
  <c r="R30" i="1687"/>
  <c r="R29" i="1687"/>
  <c r="R28" i="1687"/>
  <c r="L16" i="1687" s="1"/>
  <c r="D16" i="1687" s="1"/>
  <c r="L28" i="1687"/>
  <c r="D28" i="1687"/>
  <c r="R27" i="1687"/>
  <c r="D27" i="1687"/>
  <c r="R26" i="1687"/>
  <c r="L26" i="1687"/>
  <c r="D26" i="1687"/>
  <c r="R25" i="1687"/>
  <c r="L25" i="1687"/>
  <c r="D25" i="1687"/>
  <c r="R24" i="1687"/>
  <c r="L24" i="1687"/>
  <c r="D24" i="1687"/>
  <c r="R23" i="1687"/>
  <c r="D23" i="1687"/>
  <c r="R22" i="1687"/>
  <c r="D22" i="1687"/>
  <c r="R21" i="1687"/>
  <c r="D21" i="1687"/>
  <c r="R20" i="1687"/>
  <c r="R19" i="1687"/>
  <c r="D19" i="1687"/>
  <c r="R18" i="1687"/>
  <c r="D18" i="1687"/>
  <c r="R17" i="1687"/>
  <c r="L17" i="1687"/>
  <c r="D17" i="1687"/>
  <c r="R16" i="1687"/>
  <c r="R15" i="1687"/>
  <c r="D15" i="1687"/>
  <c r="R14" i="1687"/>
  <c r="D14" i="1687"/>
  <c r="R13" i="1687"/>
  <c r="D13" i="1687"/>
  <c r="R12" i="1687"/>
  <c r="L12" i="1687"/>
  <c r="D12" i="1687"/>
  <c r="R11" i="1687"/>
  <c r="L11" i="1687"/>
  <c r="D11" i="1687"/>
  <c r="L10" i="1687"/>
  <c r="D10" i="1687"/>
  <c r="L9" i="1687"/>
  <c r="D9" i="1687" s="1"/>
  <c r="L7" i="1687"/>
  <c r="D7" i="1687"/>
  <c r="R6" i="1687"/>
  <c r="R5" i="1687"/>
  <c r="R4" i="1687"/>
  <c r="R52" i="1686"/>
  <c r="R51" i="1686"/>
  <c r="D50" i="1686"/>
  <c r="R49" i="1686"/>
  <c r="G49" i="1686"/>
  <c r="D49" i="1686"/>
  <c r="R48" i="1686"/>
  <c r="D48" i="1686"/>
  <c r="D46" i="1686"/>
  <c r="D45" i="1686"/>
  <c r="D44" i="1686"/>
  <c r="R42" i="1686"/>
  <c r="L6" i="1686" s="1"/>
  <c r="D6" i="1686" s="1"/>
  <c r="D42" i="1686"/>
  <c r="R41" i="1686"/>
  <c r="L7" i="1686" s="1"/>
  <c r="D7" i="1686" s="1"/>
  <c r="D41" i="1686"/>
  <c r="R40" i="1686"/>
  <c r="D40" i="1686"/>
  <c r="R39" i="1686"/>
  <c r="D39" i="1686"/>
  <c r="R38" i="1686"/>
  <c r="D38" i="1686"/>
  <c r="R37" i="1686"/>
  <c r="D37" i="1686"/>
  <c r="R36" i="1686"/>
  <c r="L10" i="1686" s="1"/>
  <c r="D10" i="1686" s="1"/>
  <c r="D36" i="1686"/>
  <c r="R35" i="1686"/>
  <c r="D35" i="1686"/>
  <c r="R34" i="1686"/>
  <c r="L12" i="1686" s="1"/>
  <c r="D12" i="1686" s="1"/>
  <c r="D34" i="1686"/>
  <c r="D54" i="1686" s="1"/>
  <c r="H14" i="1686" s="1"/>
  <c r="R33" i="1686"/>
  <c r="L23" i="1686" s="1"/>
  <c r="D23" i="1686" s="1"/>
  <c r="R32" i="1686"/>
  <c r="R31" i="1686"/>
  <c r="R30" i="1686"/>
  <c r="R29" i="1686"/>
  <c r="R28" i="1686"/>
  <c r="L16" i="1686" s="1"/>
  <c r="D16" i="1686" s="1"/>
  <c r="D28" i="1686"/>
  <c r="R27" i="1686"/>
  <c r="D27" i="1686"/>
  <c r="R26" i="1686"/>
  <c r="L26" i="1686"/>
  <c r="D26" i="1686"/>
  <c r="R25" i="1686"/>
  <c r="L25" i="1686"/>
  <c r="D25" i="1686"/>
  <c r="R24" i="1686"/>
  <c r="D24" i="1686"/>
  <c r="R23" i="1686"/>
  <c r="R22" i="1686"/>
  <c r="L22" i="1686"/>
  <c r="D22" i="1686"/>
  <c r="R21" i="1686"/>
  <c r="D21" i="1686"/>
  <c r="R20" i="1686"/>
  <c r="L20" i="1686"/>
  <c r="D20" i="1686"/>
  <c r="R19" i="1686"/>
  <c r="L19" i="1686"/>
  <c r="D19" i="1686"/>
  <c r="R18" i="1686"/>
  <c r="D18" i="1686"/>
  <c r="R17" i="1686"/>
  <c r="D17" i="1686"/>
  <c r="R16" i="1686"/>
  <c r="S15" i="1686"/>
  <c r="R15" i="1686"/>
  <c r="D15" i="1686"/>
  <c r="S14" i="1686"/>
  <c r="R14" i="1686"/>
  <c r="D14" i="1686"/>
  <c r="R13" i="1686"/>
  <c r="D13" i="1686"/>
  <c r="R12" i="1686"/>
  <c r="R11" i="1686"/>
  <c r="L11" i="1686"/>
  <c r="D11" i="1686"/>
  <c r="L9" i="1686"/>
  <c r="D9" i="1686" s="1"/>
  <c r="L8" i="1686"/>
  <c r="D8" i="1686"/>
  <c r="R6" i="1686"/>
  <c r="R5" i="1686"/>
  <c r="R4" i="1686"/>
  <c r="L28" i="1683"/>
  <c r="G49" i="1705" l="1"/>
  <c r="G49" i="1704"/>
  <c r="G49" i="1703"/>
  <c r="D54" i="1705"/>
  <c r="H14" i="1705" s="1"/>
  <c r="D54" i="1704"/>
  <c r="H14" i="1704" s="1"/>
  <c r="D54" i="1703"/>
  <c r="H14" i="1703" s="1"/>
  <c r="G49" i="1701"/>
  <c r="G49" i="1699"/>
  <c r="D54" i="1701"/>
  <c r="H14" i="1701" s="1"/>
  <c r="D54" i="1700"/>
  <c r="H14" i="1700" s="1"/>
  <c r="D29" i="1700"/>
  <c r="H13" i="1700" s="1"/>
  <c r="D54" i="1699"/>
  <c r="H14" i="1699" s="1"/>
  <c r="G49" i="1697"/>
  <c r="G49" i="1696"/>
  <c r="G49" i="1695"/>
  <c r="D54" i="1697"/>
  <c r="H14" i="1697" s="1"/>
  <c r="D29" i="1697"/>
  <c r="H13" i="1697" s="1"/>
  <c r="D54" i="1696"/>
  <c r="H14" i="1696" s="1"/>
  <c r="D54" i="1695"/>
  <c r="H14" i="1695" s="1"/>
  <c r="G49" i="1691"/>
  <c r="G49" i="1692"/>
  <c r="G49" i="1693"/>
  <c r="D54" i="1693"/>
  <c r="H14" i="1693" s="1"/>
  <c r="D54" i="1692"/>
  <c r="H14" i="1692" s="1"/>
  <c r="D29" i="1692"/>
  <c r="H13" i="1692" s="1"/>
  <c r="D54" i="1691"/>
  <c r="H14" i="1691" s="1"/>
  <c r="G49" i="1689"/>
  <c r="G49" i="1688"/>
  <c r="D54" i="1689"/>
  <c r="H14" i="1689" s="1"/>
  <c r="D54" i="1688"/>
  <c r="H14" i="1688" s="1"/>
  <c r="D29" i="1705"/>
  <c r="H13" i="1705" s="1"/>
  <c r="H15" i="1705" s="1"/>
  <c r="H29" i="1705" s="1"/>
  <c r="G51" i="1705" s="1"/>
  <c r="D29" i="1704"/>
  <c r="H13" i="1704" s="1"/>
  <c r="D29" i="1703"/>
  <c r="H13" i="1703" s="1"/>
  <c r="D29" i="1702"/>
  <c r="H13" i="1702" s="1"/>
  <c r="H15" i="1702" s="1"/>
  <c r="H29" i="1702" s="1"/>
  <c r="G51" i="1702"/>
  <c r="D29" i="1701"/>
  <c r="H13" i="1701" s="1"/>
  <c r="D29" i="1699"/>
  <c r="H13" i="1699" s="1"/>
  <c r="D29" i="1698"/>
  <c r="H13" i="1698" s="1"/>
  <c r="H15" i="1698" s="1"/>
  <c r="H29" i="1698" s="1"/>
  <c r="G51" i="1698"/>
  <c r="D29" i="1696"/>
  <c r="H13" i="1696" s="1"/>
  <c r="H15" i="1696" s="1"/>
  <c r="H29" i="1696" s="1"/>
  <c r="D29" i="1695"/>
  <c r="H13" i="1695" s="1"/>
  <c r="G51" i="1694"/>
  <c r="D29" i="1693"/>
  <c r="H13" i="1693" s="1"/>
  <c r="D29" i="1691"/>
  <c r="H13" i="1691" s="1"/>
  <c r="D29" i="1690"/>
  <c r="H13" i="1690" s="1"/>
  <c r="H15" i="1690" s="1"/>
  <c r="H29" i="1690" s="1"/>
  <c r="G51" i="1690" s="1"/>
  <c r="D29" i="1689"/>
  <c r="H13" i="1689" s="1"/>
  <c r="D29" i="1688"/>
  <c r="H13" i="1688" s="1"/>
  <c r="D29" i="1687"/>
  <c r="H13" i="1687" s="1"/>
  <c r="H15" i="1687" s="1"/>
  <c r="H29" i="1687" s="1"/>
  <c r="G51" i="1687" s="1"/>
  <c r="D29" i="1686"/>
  <c r="H13" i="1686" s="1"/>
  <c r="H15" i="1686" s="1"/>
  <c r="H29" i="1686" s="1"/>
  <c r="G51" i="1686" s="1"/>
  <c r="L28" i="1678"/>
  <c r="H16" i="1680"/>
  <c r="H16" i="1679"/>
  <c r="C12" i="1680"/>
  <c r="R52" i="1685"/>
  <c r="R51" i="1685"/>
  <c r="D50" i="1685"/>
  <c r="R49" i="1685"/>
  <c r="D49" i="1685"/>
  <c r="R48" i="1685"/>
  <c r="D48" i="1685"/>
  <c r="D46" i="1685"/>
  <c r="D45" i="1685"/>
  <c r="R44" i="1685"/>
  <c r="L28" i="1685" s="1"/>
  <c r="D28" i="1685" s="1"/>
  <c r="D44" i="1685"/>
  <c r="R42" i="1685"/>
  <c r="D42" i="1685"/>
  <c r="R41" i="1685"/>
  <c r="D41" i="1685"/>
  <c r="R40" i="1685"/>
  <c r="D40" i="1685"/>
  <c r="R39" i="1685"/>
  <c r="H39" i="1685"/>
  <c r="D39" i="1685"/>
  <c r="R38" i="1685"/>
  <c r="H38" i="1685"/>
  <c r="D38" i="1685"/>
  <c r="R37" i="1685"/>
  <c r="H37" i="1685"/>
  <c r="G49" i="1685" s="1"/>
  <c r="D37" i="1685"/>
  <c r="R36" i="1685"/>
  <c r="H36" i="1685"/>
  <c r="D36" i="1685"/>
  <c r="R35" i="1685"/>
  <c r="H35" i="1685"/>
  <c r="D35" i="1685"/>
  <c r="R34" i="1685"/>
  <c r="L12" i="1685" s="1"/>
  <c r="D12" i="1685" s="1"/>
  <c r="H34" i="1685"/>
  <c r="D34" i="1685"/>
  <c r="R33" i="1685"/>
  <c r="L23" i="1685" s="1"/>
  <c r="D23" i="1685" s="1"/>
  <c r="R32" i="1685"/>
  <c r="R31" i="1685"/>
  <c r="R30" i="1685"/>
  <c r="R29" i="1685"/>
  <c r="R28" i="1685"/>
  <c r="L16" i="1685" s="1"/>
  <c r="D16" i="1685" s="1"/>
  <c r="R27" i="1685"/>
  <c r="D27" i="1685"/>
  <c r="R26" i="1685"/>
  <c r="L26" i="1685"/>
  <c r="D26" i="1685"/>
  <c r="R25" i="1685"/>
  <c r="L25" i="1685"/>
  <c r="D25" i="1685"/>
  <c r="R24" i="1685"/>
  <c r="D24" i="1685"/>
  <c r="R23" i="1685"/>
  <c r="R22" i="1685"/>
  <c r="L22" i="1685"/>
  <c r="D22" i="1685" s="1"/>
  <c r="R21" i="1685"/>
  <c r="D21" i="1685"/>
  <c r="R20" i="1685"/>
  <c r="L20" i="1685"/>
  <c r="D20" i="1685"/>
  <c r="R19" i="1685"/>
  <c r="L19" i="1685"/>
  <c r="D19" i="1685"/>
  <c r="R18" i="1685"/>
  <c r="D18" i="1685"/>
  <c r="R17" i="1685"/>
  <c r="D17" i="1685"/>
  <c r="R16" i="1685"/>
  <c r="R15" i="1685"/>
  <c r="D15" i="1685"/>
  <c r="R14" i="1685"/>
  <c r="D14" i="1685"/>
  <c r="R13" i="1685"/>
  <c r="D13" i="1685"/>
  <c r="R12" i="1685"/>
  <c r="R11" i="1685"/>
  <c r="L11" i="1685"/>
  <c r="D11" i="1685"/>
  <c r="L10" i="1685"/>
  <c r="D10" i="1685" s="1"/>
  <c r="L9" i="1685"/>
  <c r="D9" i="1685"/>
  <c r="L8" i="1685"/>
  <c r="D8" i="1685" s="1"/>
  <c r="L7" i="1685"/>
  <c r="D7" i="1685"/>
  <c r="R6" i="1685"/>
  <c r="L6" i="1685"/>
  <c r="D6" i="1685" s="1"/>
  <c r="R5" i="1685"/>
  <c r="R4" i="1685"/>
  <c r="R52" i="1684"/>
  <c r="R51" i="1684"/>
  <c r="D50" i="1684"/>
  <c r="R49" i="1684"/>
  <c r="D49" i="1684"/>
  <c r="R48" i="1684"/>
  <c r="D48" i="1684"/>
  <c r="D46" i="1684"/>
  <c r="D45" i="1684"/>
  <c r="R44" i="1684"/>
  <c r="D44" i="1684"/>
  <c r="R42" i="1684"/>
  <c r="D42" i="1684"/>
  <c r="R41" i="1684"/>
  <c r="D41" i="1684"/>
  <c r="R40" i="1684"/>
  <c r="D40" i="1684"/>
  <c r="R39" i="1684"/>
  <c r="L20" i="1684" s="1"/>
  <c r="D20" i="1684" s="1"/>
  <c r="H39" i="1684"/>
  <c r="D39" i="1684"/>
  <c r="R38" i="1684"/>
  <c r="L9" i="1684" s="1"/>
  <c r="D9" i="1684" s="1"/>
  <c r="H38" i="1684"/>
  <c r="D38" i="1684"/>
  <c r="R37" i="1684"/>
  <c r="H37" i="1684"/>
  <c r="G49" i="1684" s="1"/>
  <c r="D37" i="1684"/>
  <c r="R36" i="1684"/>
  <c r="H36" i="1684"/>
  <c r="D36" i="1684"/>
  <c r="R35" i="1684"/>
  <c r="H35" i="1684"/>
  <c r="D35" i="1684"/>
  <c r="R34" i="1684"/>
  <c r="H34" i="1684"/>
  <c r="D34" i="1684"/>
  <c r="R33" i="1684"/>
  <c r="R32" i="1684"/>
  <c r="L11" i="1684" s="1"/>
  <c r="D11" i="1684" s="1"/>
  <c r="R31" i="1684"/>
  <c r="R30" i="1684"/>
  <c r="R29" i="1684"/>
  <c r="R28" i="1684"/>
  <c r="L16" i="1684" s="1"/>
  <c r="D16" i="1684" s="1"/>
  <c r="D28" i="1684"/>
  <c r="R27" i="1684"/>
  <c r="D27" i="1684"/>
  <c r="R26" i="1684"/>
  <c r="L26" i="1684"/>
  <c r="D26" i="1684"/>
  <c r="R25" i="1684"/>
  <c r="L25" i="1684"/>
  <c r="D25" i="1684"/>
  <c r="R24" i="1684"/>
  <c r="L24" i="1684"/>
  <c r="D24" i="1684"/>
  <c r="R23" i="1684"/>
  <c r="L23" i="1684"/>
  <c r="D23" i="1684" s="1"/>
  <c r="R22" i="1684"/>
  <c r="L22" i="1684"/>
  <c r="D22" i="1684"/>
  <c r="R21" i="1684"/>
  <c r="D21" i="1684"/>
  <c r="R20" i="1684"/>
  <c r="R19" i="1684"/>
  <c r="L19" i="1684"/>
  <c r="D19" i="1684" s="1"/>
  <c r="R18" i="1684"/>
  <c r="D18" i="1684"/>
  <c r="R17" i="1684"/>
  <c r="L17" i="1684"/>
  <c r="D17" i="1684" s="1"/>
  <c r="R16" i="1684"/>
  <c r="R15" i="1684"/>
  <c r="D15" i="1684"/>
  <c r="R14" i="1684"/>
  <c r="D14" i="1684"/>
  <c r="R13" i="1684"/>
  <c r="D13" i="1684"/>
  <c r="R12" i="1684"/>
  <c r="L12" i="1684"/>
  <c r="D12" i="1684"/>
  <c r="R11" i="1684"/>
  <c r="L10" i="1684"/>
  <c r="D10" i="1684"/>
  <c r="L8" i="1684"/>
  <c r="D8" i="1684"/>
  <c r="L7" i="1684"/>
  <c r="D7" i="1684"/>
  <c r="R6" i="1684"/>
  <c r="L6" i="1684"/>
  <c r="D6" i="1684"/>
  <c r="R5" i="1684"/>
  <c r="R4" i="1684"/>
  <c r="R52" i="1683"/>
  <c r="R51" i="1683"/>
  <c r="D50" i="1683"/>
  <c r="R49" i="1683"/>
  <c r="D49" i="1683"/>
  <c r="R48" i="1683"/>
  <c r="D48" i="1683"/>
  <c r="D46" i="1683"/>
  <c r="D45" i="1683"/>
  <c r="R44" i="1683"/>
  <c r="D44" i="1683"/>
  <c r="R42" i="1683"/>
  <c r="D42" i="1683"/>
  <c r="R41" i="1683"/>
  <c r="L7" i="1683" s="1"/>
  <c r="D7" i="1683" s="1"/>
  <c r="D41" i="1683"/>
  <c r="R40" i="1683"/>
  <c r="D40" i="1683"/>
  <c r="R39" i="1683"/>
  <c r="H39" i="1683"/>
  <c r="D39" i="1683"/>
  <c r="R38" i="1683"/>
  <c r="H38" i="1683"/>
  <c r="D38" i="1683"/>
  <c r="R37" i="1683"/>
  <c r="H37" i="1683"/>
  <c r="D37" i="1683"/>
  <c r="R36" i="1683"/>
  <c r="H36" i="1683"/>
  <c r="D36" i="1683"/>
  <c r="R35" i="1683"/>
  <c r="H35" i="1683"/>
  <c r="D35" i="1683"/>
  <c r="R34" i="1683"/>
  <c r="L12" i="1683" s="1"/>
  <c r="H34" i="1683"/>
  <c r="D34" i="1683"/>
  <c r="R33" i="1683"/>
  <c r="R32" i="1683"/>
  <c r="R31" i="1683"/>
  <c r="R30" i="1683"/>
  <c r="R29" i="1683"/>
  <c r="R28" i="1683"/>
  <c r="D28" i="1683"/>
  <c r="R27" i="1683"/>
  <c r="D27" i="1683"/>
  <c r="R26" i="1683"/>
  <c r="L26" i="1683"/>
  <c r="D26" i="1683"/>
  <c r="R25" i="1683"/>
  <c r="L25" i="1683"/>
  <c r="D25" i="1683"/>
  <c r="R24" i="1683"/>
  <c r="L24" i="1683"/>
  <c r="D24" i="1683"/>
  <c r="R23" i="1683"/>
  <c r="D23" i="1683"/>
  <c r="R22" i="1683"/>
  <c r="D22" i="1683"/>
  <c r="R21" i="1683"/>
  <c r="D21" i="1683"/>
  <c r="R20" i="1683"/>
  <c r="L20" i="1683"/>
  <c r="D20" i="1683"/>
  <c r="R19" i="1683"/>
  <c r="D19" i="1683"/>
  <c r="R18" i="1683"/>
  <c r="D18" i="1683"/>
  <c r="R17" i="1683"/>
  <c r="L17" i="1683"/>
  <c r="D17" i="1683"/>
  <c r="R16" i="1683"/>
  <c r="L16" i="1683"/>
  <c r="D16" i="1683" s="1"/>
  <c r="R15" i="1683"/>
  <c r="D15" i="1683"/>
  <c r="R14" i="1683"/>
  <c r="D14" i="1683"/>
  <c r="R13" i="1683"/>
  <c r="D13" i="1683"/>
  <c r="R12" i="1683"/>
  <c r="R11" i="1683"/>
  <c r="L11" i="1683"/>
  <c r="D11" i="1683" s="1"/>
  <c r="L10" i="1683"/>
  <c r="D10" i="1683"/>
  <c r="L9" i="1683"/>
  <c r="D9" i="1683" s="1"/>
  <c r="L8" i="1683"/>
  <c r="D8" i="1683"/>
  <c r="R6" i="1683"/>
  <c r="L6" i="1683"/>
  <c r="D6" i="1683" s="1"/>
  <c r="R5" i="1683"/>
  <c r="R4" i="1683"/>
  <c r="R52" i="1682"/>
  <c r="R51" i="1682"/>
  <c r="D50" i="1682"/>
  <c r="R49" i="1682"/>
  <c r="G49" i="1682"/>
  <c r="D49" i="1682"/>
  <c r="R48" i="1682"/>
  <c r="D48" i="1682"/>
  <c r="D46" i="1682"/>
  <c r="D45" i="1682"/>
  <c r="D44" i="1682"/>
  <c r="R42" i="1682"/>
  <c r="L6" i="1682" s="1"/>
  <c r="D6" i="1682" s="1"/>
  <c r="D42" i="1682"/>
  <c r="R41" i="1682"/>
  <c r="L7" i="1682" s="1"/>
  <c r="D7" i="1682" s="1"/>
  <c r="D41" i="1682"/>
  <c r="R40" i="1682"/>
  <c r="D40" i="1682"/>
  <c r="R39" i="1682"/>
  <c r="D39" i="1682"/>
  <c r="R38" i="1682"/>
  <c r="L9" i="1682" s="1"/>
  <c r="D9" i="1682" s="1"/>
  <c r="D38" i="1682"/>
  <c r="R37" i="1682"/>
  <c r="D37" i="1682"/>
  <c r="R36" i="1682"/>
  <c r="L10" i="1682" s="1"/>
  <c r="D10" i="1682" s="1"/>
  <c r="D36" i="1682"/>
  <c r="R35" i="1682"/>
  <c r="D35" i="1682"/>
  <c r="R34" i="1682"/>
  <c r="L12" i="1682" s="1"/>
  <c r="D12" i="1682" s="1"/>
  <c r="D34" i="1682"/>
  <c r="D54" i="1682" s="1"/>
  <c r="H14" i="1682" s="1"/>
  <c r="R33" i="1682"/>
  <c r="L23" i="1682" s="1"/>
  <c r="D23" i="1682" s="1"/>
  <c r="R32" i="1682"/>
  <c r="R31" i="1682"/>
  <c r="R30" i="1682"/>
  <c r="R29" i="1682"/>
  <c r="R28" i="1682"/>
  <c r="D28" i="1682"/>
  <c r="R27" i="1682"/>
  <c r="D27" i="1682"/>
  <c r="R26" i="1682"/>
  <c r="L26" i="1682"/>
  <c r="D26" i="1682"/>
  <c r="R25" i="1682"/>
  <c r="L25" i="1682"/>
  <c r="D25" i="1682"/>
  <c r="R24" i="1682"/>
  <c r="D24" i="1682"/>
  <c r="R23" i="1682"/>
  <c r="R22" i="1682"/>
  <c r="L22" i="1682"/>
  <c r="D22" i="1682"/>
  <c r="R21" i="1682"/>
  <c r="D21" i="1682"/>
  <c r="R20" i="1682"/>
  <c r="L20" i="1682"/>
  <c r="D20" i="1682"/>
  <c r="R19" i="1682"/>
  <c r="L19" i="1682"/>
  <c r="D19" i="1682"/>
  <c r="R18" i="1682"/>
  <c r="D18" i="1682"/>
  <c r="R17" i="1682"/>
  <c r="D17" i="1682"/>
  <c r="R16" i="1682"/>
  <c r="L16" i="1682"/>
  <c r="D16" i="1682" s="1"/>
  <c r="S15" i="1682"/>
  <c r="R15" i="1682"/>
  <c r="D15" i="1682"/>
  <c r="S14" i="1682"/>
  <c r="R14" i="1682"/>
  <c r="D14" i="1682"/>
  <c r="R13" i="1682"/>
  <c r="D13" i="1682"/>
  <c r="R12" i="1682"/>
  <c r="R11" i="1682"/>
  <c r="L11" i="1682"/>
  <c r="D11" i="1682" s="1"/>
  <c r="L8" i="1682"/>
  <c r="D8" i="1682"/>
  <c r="R6" i="1682"/>
  <c r="R5" i="1682"/>
  <c r="R4" i="1682"/>
  <c r="C20" i="1678"/>
  <c r="C12" i="1678"/>
  <c r="H15" i="1704" l="1"/>
  <c r="H29" i="1704" s="1"/>
  <c r="G51" i="1704" s="1"/>
  <c r="H15" i="1703"/>
  <c r="H29" i="1703" s="1"/>
  <c r="G51" i="1703" s="1"/>
  <c r="H15" i="1701"/>
  <c r="H29" i="1701" s="1"/>
  <c r="G51" i="1701" s="1"/>
  <c r="H15" i="1700"/>
  <c r="H29" i="1700" s="1"/>
  <c r="G51" i="1700" s="1"/>
  <c r="H15" i="1699"/>
  <c r="H29" i="1699" s="1"/>
  <c r="G51" i="1699" s="1"/>
  <c r="G51" i="1696"/>
  <c r="H15" i="1697"/>
  <c r="H29" i="1697" s="1"/>
  <c r="G51" i="1697" s="1"/>
  <c r="H15" i="1695"/>
  <c r="H29" i="1695" s="1"/>
  <c r="G51" i="1695" s="1"/>
  <c r="H15" i="1693"/>
  <c r="H29" i="1693" s="1"/>
  <c r="G51" i="1693" s="1"/>
  <c r="H15" i="1692"/>
  <c r="H29" i="1692" s="1"/>
  <c r="G51" i="1692" s="1"/>
  <c r="H15" i="1691"/>
  <c r="H29" i="1691" s="1"/>
  <c r="G51" i="1691" s="1"/>
  <c r="H15" i="1689"/>
  <c r="H29" i="1689" s="1"/>
  <c r="G51" i="1689" s="1"/>
  <c r="H15" i="1688"/>
  <c r="H29" i="1688" s="1"/>
  <c r="G51" i="1688" s="1"/>
  <c r="G49" i="1683"/>
  <c r="D54" i="1685"/>
  <c r="H14" i="1685" s="1"/>
  <c r="D54" i="1684"/>
  <c r="H14" i="1684" s="1"/>
  <c r="D54" i="1683"/>
  <c r="H14" i="1683" s="1"/>
  <c r="D29" i="1685"/>
  <c r="H13" i="1685" s="1"/>
  <c r="D29" i="1684"/>
  <c r="H13" i="1684" s="1"/>
  <c r="D12" i="1683"/>
  <c r="D29" i="1683" s="1"/>
  <c r="H13" i="1683" s="1"/>
  <c r="D29" i="1682"/>
  <c r="H13" i="1682" s="1"/>
  <c r="H15" i="1682" s="1"/>
  <c r="H29" i="1682" s="1"/>
  <c r="G51" i="1682"/>
  <c r="H16" i="1676"/>
  <c r="H15" i="1685" l="1"/>
  <c r="H29" i="1685" s="1"/>
  <c r="G51" i="1685" s="1"/>
  <c r="H15" i="1684"/>
  <c r="H29" i="1684" s="1"/>
  <c r="G51" i="1684" s="1"/>
  <c r="H15" i="1683"/>
  <c r="H29" i="1683" s="1"/>
  <c r="G51" i="1683" s="1"/>
  <c r="L28" i="1676"/>
  <c r="L25" i="1671" l="1"/>
  <c r="L25" i="1675"/>
  <c r="C12" i="1672" l="1"/>
  <c r="C12" i="1671"/>
  <c r="H16" i="1672"/>
  <c r="H16" i="1668" l="1"/>
  <c r="H16" i="1666"/>
  <c r="C12" i="1668" l="1"/>
  <c r="C12" i="1667"/>
  <c r="L28" i="1666"/>
  <c r="H29" i="1681" l="1"/>
  <c r="R52" i="1681"/>
  <c r="R51" i="1681"/>
  <c r="D50" i="1681"/>
  <c r="R49" i="1681"/>
  <c r="D49" i="1681"/>
  <c r="R48" i="1681"/>
  <c r="D48" i="1681"/>
  <c r="D46" i="1681"/>
  <c r="D45" i="1681"/>
  <c r="R44" i="1681"/>
  <c r="L28" i="1681" s="1"/>
  <c r="D28" i="1681" s="1"/>
  <c r="D44" i="1681"/>
  <c r="R42" i="1681"/>
  <c r="D42" i="1681"/>
  <c r="R41" i="1681"/>
  <c r="L7" i="1681" s="1"/>
  <c r="D7" i="1681" s="1"/>
  <c r="D41" i="1681"/>
  <c r="D54" i="1681" s="1"/>
  <c r="H14" i="1681" s="1"/>
  <c r="R40" i="1681"/>
  <c r="D40" i="1681"/>
  <c r="R39" i="1681"/>
  <c r="H39" i="1681"/>
  <c r="D39" i="1681"/>
  <c r="R38" i="1681"/>
  <c r="H38" i="1681"/>
  <c r="D38" i="1681"/>
  <c r="R37" i="1681"/>
  <c r="H37" i="1681"/>
  <c r="D37" i="1681"/>
  <c r="R36" i="1681"/>
  <c r="H36" i="1681"/>
  <c r="D36" i="1681"/>
  <c r="R35" i="1681"/>
  <c r="L19" i="1681" s="1"/>
  <c r="D19" i="1681" s="1"/>
  <c r="H35" i="1681"/>
  <c r="D35" i="1681"/>
  <c r="R34" i="1681"/>
  <c r="H34" i="1681"/>
  <c r="G49" i="1681" s="1"/>
  <c r="D34" i="1681"/>
  <c r="R33" i="1681"/>
  <c r="R32" i="1681"/>
  <c r="R31" i="1681"/>
  <c r="R30" i="1681"/>
  <c r="R29" i="1681"/>
  <c r="R28" i="1681"/>
  <c r="R27" i="1681"/>
  <c r="D27" i="1681"/>
  <c r="R26" i="1681"/>
  <c r="L26" i="1681"/>
  <c r="D26" i="1681"/>
  <c r="R25" i="1681"/>
  <c r="L25" i="1681"/>
  <c r="D25" i="1681" s="1"/>
  <c r="R24" i="1681"/>
  <c r="L24" i="1681"/>
  <c r="D24" i="1681"/>
  <c r="R23" i="1681"/>
  <c r="L23" i="1681"/>
  <c r="D23" i="1681"/>
  <c r="R22" i="1681"/>
  <c r="L22" i="1681"/>
  <c r="D22" i="1681"/>
  <c r="R21" i="1681"/>
  <c r="L17" i="1681" s="1"/>
  <c r="D17" i="1681" s="1"/>
  <c r="D21" i="1681"/>
  <c r="R20" i="1681"/>
  <c r="L20" i="1681"/>
  <c r="D20" i="1681"/>
  <c r="R19" i="1681"/>
  <c r="R18" i="1681"/>
  <c r="D18" i="1681"/>
  <c r="R17" i="1681"/>
  <c r="R16" i="1681"/>
  <c r="L16" i="1681"/>
  <c r="D16" i="1681"/>
  <c r="R15" i="1681"/>
  <c r="D15" i="1681"/>
  <c r="R14" i="1681"/>
  <c r="D14" i="1681"/>
  <c r="R13" i="1681"/>
  <c r="D13" i="1681"/>
  <c r="R12" i="1681"/>
  <c r="L12" i="1681"/>
  <c r="D12" i="1681"/>
  <c r="R11" i="1681"/>
  <c r="L11" i="1681"/>
  <c r="D11" i="1681"/>
  <c r="L10" i="1681"/>
  <c r="D10" i="1681" s="1"/>
  <c r="L9" i="1681"/>
  <c r="D9" i="1681"/>
  <c r="L8" i="1681"/>
  <c r="D8" i="1681" s="1"/>
  <c r="R6" i="1681"/>
  <c r="L6" i="1681"/>
  <c r="D6" i="1681"/>
  <c r="R5" i="1681"/>
  <c r="R4" i="1681"/>
  <c r="D29" i="1681" l="1"/>
  <c r="H13" i="1681" s="1"/>
  <c r="H15" i="1681" s="1"/>
  <c r="G51" i="1681" s="1"/>
  <c r="L28" i="1663"/>
  <c r="H16" i="1663" l="1"/>
  <c r="H16" i="1662"/>
  <c r="C12" i="1664"/>
  <c r="C21" i="1664"/>
  <c r="L28" i="1662"/>
  <c r="L23" i="1662"/>
  <c r="L25" i="1662"/>
  <c r="C6" i="1660" l="1"/>
  <c r="C21" i="1659" l="1"/>
  <c r="L23" i="1658"/>
  <c r="L25" i="1658"/>
  <c r="H16" i="1660"/>
  <c r="H16" i="1659"/>
  <c r="H38" i="1659"/>
  <c r="H39" i="1659"/>
  <c r="H16" i="1656" l="1"/>
  <c r="H16" i="1655"/>
  <c r="H16" i="1654"/>
  <c r="L28" i="1656" l="1"/>
  <c r="C12" i="1656"/>
  <c r="L28" i="1655"/>
  <c r="C9" i="1654"/>
  <c r="L28" i="1654"/>
  <c r="H16" i="1652" l="1"/>
  <c r="H16" i="1650"/>
  <c r="C18" i="1652"/>
  <c r="C15" i="1652"/>
  <c r="C12" i="1650"/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L28" i="1680" s="1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R34" i="1680"/>
  <c r="L12" i="1680" s="1"/>
  <c r="D12" i="1680" s="1"/>
  <c r="H34" i="1680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R35" i="1679"/>
  <c r="L19" i="1679" s="1"/>
  <c r="D19" i="1679" s="1"/>
  <c r="H35" i="1679"/>
  <c r="D35" i="1679"/>
  <c r="R34" i="1679"/>
  <c r="H34" i="1679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D34" i="1678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D34" i="1676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L28" i="1675" s="1"/>
  <c r="D28" i="1675" s="1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D34" i="1675"/>
  <c r="R33" i="1675"/>
  <c r="R32" i="1675"/>
  <c r="R31" i="1675"/>
  <c r="R30" i="1675"/>
  <c r="R29" i="1675"/>
  <c r="R28" i="1675"/>
  <c r="L16" i="1675" s="1"/>
  <c r="D16" i="1675" s="1"/>
  <c r="R27" i="1675"/>
  <c r="D27" i="1675"/>
  <c r="R26" i="1675"/>
  <c r="L26" i="1675"/>
  <c r="D26" i="1675"/>
  <c r="R25" i="1675"/>
  <c r="D25" i="1675"/>
  <c r="R24" i="1675"/>
  <c r="L24" i="1675"/>
  <c r="D24" i="1675"/>
  <c r="R23" i="1675"/>
  <c r="L23" i="1675"/>
  <c r="D23" i="1675"/>
  <c r="R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L28" i="1674" s="1"/>
  <c r="D44" i="1674"/>
  <c r="R42" i="1674"/>
  <c r="L6" i="1674" s="1"/>
  <c r="D6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D34" i="1674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L28" i="1672" s="1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R35" i="1672"/>
  <c r="L19" i="1672" s="1"/>
  <c r="D19" i="1672" s="1"/>
  <c r="H35" i="1672"/>
  <c r="D35" i="1672"/>
  <c r="R34" i="1672"/>
  <c r="H34" i="1672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R35" i="1671"/>
  <c r="L19" i="1671" s="1"/>
  <c r="D19" i="1671" s="1"/>
  <c r="H35" i="1671"/>
  <c r="D35" i="1671"/>
  <c r="R34" i="1671"/>
  <c r="H34" i="167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D36" i="1668"/>
  <c r="R35" i="1668"/>
  <c r="H35" i="1668"/>
  <c r="D35" i="1668"/>
  <c r="R34" i="1668"/>
  <c r="H34" i="1668"/>
  <c r="D34" i="1668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D34" i="1667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G49" i="1666" s="1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D34" i="1663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D34" i="1662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D34" i="1660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42" i="1659"/>
  <c r="R41" i="1659"/>
  <c r="D41" i="1659"/>
  <c r="R40" i="1659"/>
  <c r="D40" i="1659"/>
  <c r="R39" i="1659"/>
  <c r="D39" i="1659"/>
  <c r="R38" i="1659"/>
  <c r="L9" i="1659" s="1"/>
  <c r="D9" i="1659" s="1"/>
  <c r="D38" i="1659"/>
  <c r="R37" i="1659"/>
  <c r="H37" i="1659"/>
  <c r="D37" i="1659"/>
  <c r="R36" i="1659"/>
  <c r="H36" i="1659"/>
  <c r="D36" i="1659"/>
  <c r="R35" i="1659"/>
  <c r="H35" i="1659"/>
  <c r="D35" i="1659"/>
  <c r="R34" i="1659"/>
  <c r="H34" i="1659"/>
  <c r="D34" i="1659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D34" i="1658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D25" i="1658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D35" i="1656"/>
  <c r="R34" i="1656"/>
  <c r="H34" i="1656"/>
  <c r="D34" i="1656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D34" i="1655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D34" i="1654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42" i="1650"/>
  <c r="R41" i="1650"/>
  <c r="L7" i="1650" s="1"/>
  <c r="D7" i="1650" s="1"/>
  <c r="D41" i="1650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G49" i="1680" l="1"/>
  <c r="G49" i="1679"/>
  <c r="G49" i="1678"/>
  <c r="D54" i="1680"/>
  <c r="H14" i="1680" s="1"/>
  <c r="D54" i="1679"/>
  <c r="H14" i="1679" s="1"/>
  <c r="D54" i="1678"/>
  <c r="H14" i="1678" s="1"/>
  <c r="G49" i="1676"/>
  <c r="G49" i="1675"/>
  <c r="G49" i="1674"/>
  <c r="D54" i="1676"/>
  <c r="H14" i="1676" s="1"/>
  <c r="D54" i="1675"/>
  <c r="H14" i="1675" s="1"/>
  <c r="D54" i="1674"/>
  <c r="H14" i="1674" s="1"/>
  <c r="D29" i="1674"/>
  <c r="H13" i="1674" s="1"/>
  <c r="D54" i="1672"/>
  <c r="H14" i="1672" s="1"/>
  <c r="D54" i="1671"/>
  <c r="H14" i="1671" s="1"/>
  <c r="D29" i="1671"/>
  <c r="H13" i="1671" s="1"/>
  <c r="G49" i="1672"/>
  <c r="G49" i="1671"/>
  <c r="G49" i="1670"/>
  <c r="G49" i="1668"/>
  <c r="G49" i="1667"/>
  <c r="D54" i="1668"/>
  <c r="H14" i="1668" s="1"/>
  <c r="D54" i="1667"/>
  <c r="H14" i="1667" s="1"/>
  <c r="D54" i="1666"/>
  <c r="H14" i="1666" s="1"/>
  <c r="G49" i="1664"/>
  <c r="G49" i="1663"/>
  <c r="G49" i="1662"/>
  <c r="D54" i="1664"/>
  <c r="H14" i="1664" s="1"/>
  <c r="D54" i="1663"/>
  <c r="H14" i="1663" s="1"/>
  <c r="D29" i="1663"/>
  <c r="H13" i="1663" s="1"/>
  <c r="D54" i="1662"/>
  <c r="H14" i="1662" s="1"/>
  <c r="D54" i="1660"/>
  <c r="H14" i="1660" s="1"/>
  <c r="D54" i="1659"/>
  <c r="H14" i="1659" s="1"/>
  <c r="D29" i="1659"/>
  <c r="H13" i="1659" s="1"/>
  <c r="D54" i="1658"/>
  <c r="H14" i="1658" s="1"/>
  <c r="G49" i="1660"/>
  <c r="G49" i="1659"/>
  <c r="G49" i="1658"/>
  <c r="G49" i="1656"/>
  <c r="G49" i="1655"/>
  <c r="G49" i="1654"/>
  <c r="D54" i="1656"/>
  <c r="H14" i="1656" s="1"/>
  <c r="D29" i="1656"/>
  <c r="H13" i="1656" s="1"/>
  <c r="D54" i="1655"/>
  <c r="H14" i="1655" s="1"/>
  <c r="D54" i="1654"/>
  <c r="H14" i="1654" s="1"/>
  <c r="D54" i="1652"/>
  <c r="H14" i="1652" s="1"/>
  <c r="D54" i="1650"/>
  <c r="H14" i="1650" s="1"/>
  <c r="D29" i="1650"/>
  <c r="H13" i="1650" s="1"/>
  <c r="G49" i="1648"/>
  <c r="D54" i="1648"/>
  <c r="H14" i="1648" s="1"/>
  <c r="D29" i="1648"/>
  <c r="H13" i="1648" s="1"/>
  <c r="H15" i="1648" s="1"/>
  <c r="H29" i="1648" s="1"/>
  <c r="G51" i="1648" s="1"/>
  <c r="D29" i="1680"/>
  <c r="H13" i="1680" s="1"/>
  <c r="D29" i="1679"/>
  <c r="H13" i="1679" s="1"/>
  <c r="D29" i="1678"/>
  <c r="H13" i="1678" s="1"/>
  <c r="D29" i="1677"/>
  <c r="H13" i="1677" s="1"/>
  <c r="H15" i="1677" s="1"/>
  <c r="H29" i="1677" s="1"/>
  <c r="G51" i="1677" s="1"/>
  <c r="D29" i="1676"/>
  <c r="H13" i="1676" s="1"/>
  <c r="H15" i="1676" s="1"/>
  <c r="H29" i="1676" s="1"/>
  <c r="D29" i="1675"/>
  <c r="H13" i="1675" s="1"/>
  <c r="G51" i="1673"/>
  <c r="D29" i="1672"/>
  <c r="H13" i="1672" s="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D29" i="1667"/>
  <c r="H13" i="1667" s="1"/>
  <c r="D29" i="1666"/>
  <c r="H13" i="1666" s="1"/>
  <c r="D29" i="1665"/>
  <c r="H13" i="1665" s="1"/>
  <c r="H15" i="1665" s="1"/>
  <c r="H29" i="1665" s="1"/>
  <c r="G51" i="1665" s="1"/>
  <c r="D29" i="1664"/>
  <c r="H13" i="1664" s="1"/>
  <c r="D29" i="1662"/>
  <c r="H13" i="1662" s="1"/>
  <c r="D29" i="1661"/>
  <c r="H13" i="1661" s="1"/>
  <c r="H15" i="1661" s="1"/>
  <c r="H29" i="1661" s="1"/>
  <c r="G51" i="1661" s="1"/>
  <c r="D29" i="1660"/>
  <c r="H13" i="1660" s="1"/>
  <c r="D29" i="1658"/>
  <c r="H13" i="1658" s="1"/>
  <c r="D29" i="1657"/>
  <c r="H13" i="1657" s="1"/>
  <c r="H15" i="1657" s="1"/>
  <c r="H29" i="1657" s="1"/>
  <c r="G51" i="1657"/>
  <c r="D29" i="1655"/>
  <c r="H13" i="1655" s="1"/>
  <c r="D29" i="1654"/>
  <c r="H13" i="1654" s="1"/>
  <c r="D29" i="1653"/>
  <c r="H13" i="1653" s="1"/>
  <c r="H15" i="1653" s="1"/>
  <c r="H29" i="1653" s="1"/>
  <c r="G51" i="1653" s="1"/>
  <c r="D29" i="1652"/>
  <c r="H13" i="1652" s="1"/>
  <c r="D29" i="1651"/>
  <c r="H13" i="1651" s="1"/>
  <c r="H15" i="1651" s="1"/>
  <c r="H29" i="1651" s="1"/>
  <c r="G51" i="1651" s="1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H15" i="1680" l="1"/>
  <c r="H29" i="1680" s="1"/>
  <c r="G51" i="1680" s="1"/>
  <c r="H15" i="1679"/>
  <c r="H29" i="1679" s="1"/>
  <c r="G51" i="1679" s="1"/>
  <c r="H15" i="1678"/>
  <c r="H29" i="1678" s="1"/>
  <c r="G51" i="1678" s="1"/>
  <c r="G51" i="1676"/>
  <c r="H15" i="1675"/>
  <c r="H29" i="1675" s="1"/>
  <c r="G51" i="1675" s="1"/>
  <c r="H15" i="1674"/>
  <c r="H29" i="1674" s="1"/>
  <c r="G51" i="1674" s="1"/>
  <c r="H15" i="1672"/>
  <c r="H29" i="1672" s="1"/>
  <c r="G51" i="1672" s="1"/>
  <c r="H15" i="1671"/>
  <c r="H29" i="1671" s="1"/>
  <c r="G51" i="1671" s="1"/>
  <c r="H15" i="1668"/>
  <c r="H29" i="1668" s="1"/>
  <c r="G51" i="1668" s="1"/>
  <c r="H15" i="1667"/>
  <c r="H29" i="1667" s="1"/>
  <c r="G51" i="1667" s="1"/>
  <c r="H15" i="1666"/>
  <c r="H29" i="1666" s="1"/>
  <c r="G51" i="1666" s="1"/>
  <c r="H15" i="1664"/>
  <c r="H29" i="1664" s="1"/>
  <c r="G51" i="1664" s="1"/>
  <c r="H15" i="1663"/>
  <c r="H29" i="1663" s="1"/>
  <c r="G51" i="1663" s="1"/>
  <c r="H15" i="1662"/>
  <c r="H29" i="1662" s="1"/>
  <c r="G51" i="1662" s="1"/>
  <c r="H15" i="1660"/>
  <c r="H29" i="1660" s="1"/>
  <c r="G51" i="1660" s="1"/>
  <c r="H15" i="1659"/>
  <c r="H29" i="1659" s="1"/>
  <c r="G51" i="1659" s="1"/>
  <c r="H15" i="1658"/>
  <c r="H29" i="1658" s="1"/>
  <c r="G51" i="1658" s="1"/>
  <c r="H15" i="1656"/>
  <c r="H29" i="1656" s="1"/>
  <c r="G51" i="1656" s="1"/>
  <c r="H15" i="1655"/>
  <c r="H29" i="1655" s="1"/>
  <c r="G51" i="1655" s="1"/>
  <c r="H15" i="1654"/>
  <c r="H29" i="1654" s="1"/>
  <c r="G51" i="1654" s="1"/>
  <c r="H15" i="1652"/>
  <c r="H29" i="1652" s="1"/>
  <c r="G51" i="1652" s="1"/>
  <c r="H15" i="1650"/>
  <c r="H29" i="1650" s="1"/>
  <c r="G51" i="1650" s="1"/>
  <c r="G49" i="1618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<sst xmlns="http://schemas.openxmlformats.org/spreadsheetml/2006/main" count="12046" uniqueCount="222">
  <si>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</si>
  <si>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</si>
  <si>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</si>
  <si>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</si>
  <si>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</si>
  <si>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</si>
  <si>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</si>
  <si>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</si>
  <si>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</si>
  <si>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</si>
  <si>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</si>
  <si>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</si>
  <si>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</si>
  <si>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</si>
  <si>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</si>
  <si>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</si>
  <si>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</si>
  <si>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</si>
  <si>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</si>
  <si>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</si>
  <si>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</si>
  <si>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</si>
  <si>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</si>
  <si>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</si>
  <si>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</si>
  <si>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</si>
  <si>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</si>
  <si>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</si>
  <si>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</si>
  <si>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</si>
  <si>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</si>
  <si>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</si>
  <si>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</si>
  <si>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</si>
  <si>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</si>
  <si>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</si>
  <si>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</si>
  <si>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</si>
  <si>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</si>
  <si>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</si>
  <si>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</si>
  <si>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</si>
  <si>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</si>
  <si>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</si>
  <si>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</si>
  <si>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</si>
  <si>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</si>
  <si>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</si>
  <si>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</si>
  <si>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</si>
  <si>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</si>
  <si>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</si>
  <si>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</si>
  <si>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</si>
  <si>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</si>
  <si>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</si>
  <si>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</si>
  <si>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</si>
  <si>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</si>
  <si>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</si>
  <si>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</si>
  <si>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</si>
  <si>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</si>
  <si>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</si>
  <si>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</si>
  <si>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</si>
  <si>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</si>
  <si>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</si>
  <si>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</si>
  <si>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</si>
  <si>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</si>
  <si>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</si>
  <si>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</si>
  <si>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</si>
  <si>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</si>
  <si>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</si>
  <si>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</si>
  <si>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</si>
  <si>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</si>
  <si>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</si>
  <si>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</si>
  <si>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</si>
  <si>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</si>
  <si>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</si>
  <si>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</si>
  <si>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</si>
  <si>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</si>
  <si>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</si>
  <si>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</si>
  <si>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</si>
  <si>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</si>
  <si>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</si>
  <si>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</si>
  <si>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</si>
  <si>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</si>
  <si>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</si>
  <si>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</si>
  <si>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</si>
  <si>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</si>
  <si>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</si>
  <si>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</si>
  <si>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</si>
  <si>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</si>
  <si>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</si>
  <si>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</si>
  <si>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</si>
  <si>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</si>
  <si>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</si>
  <si>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</si>
  <si>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</si>
  <si>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</si>
  <si>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</si>
  <si>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</si>
  <si>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</si>
  <si>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</si>
  <si>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</si>
  <si>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</si>
  <si>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</si>
  <si>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</si>
  <si>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</si>
  <si>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</si>
  <si>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</si>
  <si>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</si>
  <si>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</si>
  <si>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</si>
  <si>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</si>
  <si>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</si>
  <si>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</si>
  <si>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</si>
  <si>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</si>
  <si>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</si>
  <si>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</si>
  <si>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</si>
  <si>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</si>
  <si>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</si>
  <si>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</si>
  <si>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</si>
  <si>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</si>
  <si>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</si>
  <si>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</si>
  <si>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</si>
  <si>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</si>
  <si>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</si>
  <si>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</si>
  <si>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</si>
  <si>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</si>
  <si>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</si>
  <si>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</si>
  <si>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</si>
  <si>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</si>
  <si>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SMLC/RHC/PPC</t>
  </si>
  <si>
    <t>144949</t>
  </si>
  <si>
    <t>42938</t>
  </si>
  <si>
    <t>G-CASH</t>
  </si>
  <si>
    <t>JOHN PASAMANTE</t>
  </si>
  <si>
    <t>LOPEZ, GINA</t>
  </si>
  <si>
    <t>PNB</t>
  </si>
  <si>
    <t>145675</t>
  </si>
  <si>
    <t>BANK TRANSFER</t>
  </si>
  <si>
    <t>BALWARTE</t>
  </si>
  <si>
    <t>135261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</si>
  <si>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</si>
  <si>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1ST VALLEY BANK</t>
  </si>
  <si>
    <t>47901</t>
  </si>
  <si>
    <t>4820800</t>
  </si>
  <si>
    <t>143397</t>
  </si>
  <si>
    <t>JMCC</t>
  </si>
  <si>
    <t>VILMA TAGULOB</t>
  </si>
  <si>
    <t>SMLB BOTT.</t>
  </si>
  <si>
    <t>FB BOTT.</t>
  </si>
  <si>
    <t>144962</t>
  </si>
  <si>
    <t>140911</t>
  </si>
  <si>
    <t>47909</t>
  </si>
  <si>
    <t>42941</t>
  </si>
  <si>
    <t>GRACE CHIONG</t>
  </si>
  <si>
    <t>JEROME ENCLONAR</t>
  </si>
  <si>
    <t>PORMAN NONOY</t>
  </si>
  <si>
    <t xml:space="preserve">SHORT / OVER </t>
  </si>
  <si>
    <t>LOPEZ, GINA GRACE A.</t>
  </si>
  <si>
    <t>1B</t>
  </si>
  <si>
    <t xml:space="preserve">                             GINA GRACE A. LOPEZ</t>
  </si>
  <si>
    <t>PSBC</t>
  </si>
  <si>
    <t>2090009399</t>
  </si>
  <si>
    <t>METROBANK</t>
  </si>
  <si>
    <t>3593251</t>
  </si>
  <si>
    <t>42944</t>
  </si>
  <si>
    <t>EASTCOEST</t>
  </si>
  <si>
    <t>81341</t>
  </si>
  <si>
    <t>140922</t>
  </si>
  <si>
    <t>2000005718</t>
  </si>
  <si>
    <t>2000007209</t>
  </si>
  <si>
    <t>1st  Valley Bank</t>
  </si>
  <si>
    <t>4820789</t>
  </si>
  <si>
    <t>42947</t>
  </si>
  <si>
    <t>PPC/RHC/SMLC</t>
  </si>
  <si>
    <t>145716</t>
  </si>
  <si>
    <t>146830</t>
  </si>
  <si>
    <t>2000007203</t>
  </si>
  <si>
    <t>135263</t>
  </si>
  <si>
    <t>47919</t>
  </si>
  <si>
    <t>200002719</t>
  </si>
  <si>
    <t>143411</t>
  </si>
  <si>
    <t>145002</t>
  </si>
  <si>
    <t>SDC/PAMC/CBC</t>
  </si>
  <si>
    <t>FBAC/FBLC/FBLYC</t>
  </si>
  <si>
    <t>PPG</t>
  </si>
  <si>
    <t>BOSS RIE</t>
  </si>
  <si>
    <t>43585</t>
  </si>
  <si>
    <t>KRB</t>
  </si>
  <si>
    <t>CBB/SDB/CNB</t>
  </si>
  <si>
    <t>PP BOTT.</t>
  </si>
  <si>
    <t>142038</t>
  </si>
  <si>
    <t>LOPEZ, GINA GRACE</t>
  </si>
  <si>
    <t>ELIZABETH HENSON</t>
  </si>
  <si>
    <t>145018</t>
  </si>
  <si>
    <t>145764</t>
  </si>
  <si>
    <t>2130016713</t>
  </si>
  <si>
    <t>146855</t>
  </si>
  <si>
    <t>RACAZA, ALEX</t>
  </si>
  <si>
    <t>42956</t>
  </si>
  <si>
    <t>47937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</si>
  <si>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b/>
        <sz val="11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</si>
</sst>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6" xfId="0" applyFont="1" applyBorder="1"/>
    <xf numFmtId="49" fontId="24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16" xfId="0" applyFont="1" applyBorder="1" applyAlignment="1">
      <alignment horizontal="right"/>
    </xf>
    <xf numFmtId="0" fontId="23" fillId="0" borderId="21" xfId="0" applyFont="1" applyBorder="1"/>
    <xf numFmtId="0" fontId="24" fillId="0" borderId="16" xfId="0" applyFont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9" fillId="0" borderId="16" xfId="0" applyFont="1" applyBorder="1"/>
    <xf numFmtId="0" fontId="14" fillId="0" borderId="10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647701</xdr:colOff>
      <xdr:row>53</xdr:row>
      <xdr:rowOff>23131</xdr:rowOff>
    </xdr:from>
    <xdr:to>
      <xdr:col>3</xdr:col>
      <xdr:colOff>514351</xdr:colOff>
      <xdr:row>59</xdr:row>
      <xdr:rowOff>123824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BAA89C-DFEC-4C98-BED9-5E5567367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1" y="10386331"/>
          <a:ext cx="1485900" cy="1243693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C133EB-54DD-4738-8E4B-3FF4182EC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17F768-3464-46CC-8A1E-95D0CDC88F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4F7F86-D206-4C37-97BF-CC71B0941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367E31-1BE1-43E0-80FF-F8C1C8BE7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42A158-035F-4FBF-9948-75F8AA9BA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1AF431-7176-40E9-A605-8741F145B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19EBB3-162D-4402-8CEC-849EE7DE1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8EE3F9-F1A0-4EC1-8B29-34094E6F7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1147CA-7BA0-4FB0-B421-E87C06147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79066-A9E5-46E8-8A54-84EDB6CAC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E0DB6B-8FDC-468A-AD44-189665F9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CD7F49-724B-4CA2-815F-E7990AA21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5C9621-A135-409D-989A-C64FCC7D2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0A89F-7122-48BA-BB51-ECB44B9729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5EEBDE-B0AB-454F-B57D-4BD0ADF7F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86E68A-D29A-4DED-9ED1-F744A48CBC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FB3CFB-5D37-4517-950B-D4B033CFB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08AD8-8D01-4AF0-A726-7A3072873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B72A3F-127E-415E-A2F6-94AD871CD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7D4E91-A7FB-4D71-B23F-201AA46BE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0D86A-D4B1-4A86-A71F-53366D1FA2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F346A2-436F-4DCB-BCD2-3C1D067D9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771525</xdr:colOff>
      <xdr:row>53</xdr:row>
      <xdr:rowOff>176159</xdr:rowOff>
    </xdr:from>
    <xdr:to>
      <xdr:col>3</xdr:col>
      <xdr:colOff>466725</xdr:colOff>
      <xdr:row>59</xdr:row>
      <xdr:rowOff>133349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552D848-526F-4CEA-8964-AFA7C9910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62025" y="10539359"/>
          <a:ext cx="1314450" cy="110019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7DC988-4E1E-4595-97C0-A9501CAE1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03D84-9A41-49AA-A864-948F9B005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74B25F-48C3-403E-BB26-DA7B826357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781050</xdr:colOff>
      <xdr:row>52</xdr:row>
      <xdr:rowOff>190342</xdr:rowOff>
    </xdr:from>
    <xdr:to>
      <xdr:col>3</xdr:col>
      <xdr:colOff>504825</xdr:colOff>
      <xdr:row>58</xdr:row>
      <xdr:rowOff>161924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8928A87-D20B-467E-B0D2-5ED73AC5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1550" y="10353517"/>
          <a:ext cx="1343025" cy="112410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4EC06D-3EDD-470E-A5F3-FFA5AC147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46B8A7-EAB1-4CA3-92A2-9B23D0103F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1ED343-FF7C-43DA-B18B-0B7D86F6CC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619125</xdr:colOff>
      <xdr:row>53</xdr:row>
      <xdr:rowOff>2320</xdr:rowOff>
    </xdr:from>
    <xdr:to>
      <xdr:col>3</xdr:col>
      <xdr:colOff>533400</xdr:colOff>
      <xdr:row>59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26B18F2-B2D0-4572-BBEF-6850E8B80A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9625" y="10365520"/>
          <a:ext cx="1533525" cy="1283555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CA31F0-D1A1-49FE-AE96-923761C5C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F53035-0E30-4334-8434-50436D62F8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9EAFA8-6F5F-4DD6-A26C-C123DAF82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43C2DB-6BEA-4160-9528-652B41300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B1FB7C-020F-4024-8991-9FB896742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60DE-4E2F-4997-BF69-D4903D429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66559C-5B0E-4362-BFE4-D85A1B1685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0BC28F-E80C-4229-9F5B-5DC80AB9DD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D10632-2CAA-4B21-89B3-F2D67A046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BCB99-1DDA-47E8-82A0-BB2150903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1CEE15-7AF6-45A5-983B-2BC7EC2CD6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944A5F-6F39-460F-A41A-9776951B41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F563C2-1E7F-43E3-83A8-2C65626EA4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8E3C4D-FA27-4109-9029-2578C58F29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015AD-9C7E-4904-9462-6ED7E37B9B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826F28-01C8-4EFE-9D56-E3A50EA88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A88C61-DAD2-4E18-8444-38A1A63E7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88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85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45658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/>
      <c r="D6" s="13">
        <f t="shared" ref="D6:D28" si="1">C6*L6</f>
        <v>0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85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88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H15-H16-H17-H18-H19-H20-H22-H23-H24+H26+H27+H28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8">
        <f t="shared" ref="H34:H39" si="2"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si="2"/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85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45658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88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85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86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45658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88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85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46024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/>
      <c r="D6" s="13">
        <f t="shared" ref="D6:D28" si="1">C6*L6</f>
        <v>0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H15-H16-H17-H18-H19-H20-H22-H23-H24+H26+H27+H28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8">
        <f t="shared" ref="H34:H39" si="2"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si="2"/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46024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46024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480</v>
      </c>
      <c r="D6" s="13">
        <f t="shared" ref="D6:D28" si="1">C6*L6</f>
        <v>365280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12</v>
      </c>
      <c r="D7" s="13">
        <f t="shared" si="1"/>
        <v>9372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75</v>
      </c>
      <c r="D9" s="13">
        <f t="shared" si="1"/>
        <v>54975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6</v>
      </c>
      <c r="D12" s="48">
        <f t="shared" si="1"/>
        <v>5952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4</v>
      </c>
      <c r="D13" s="48">
        <f t="shared" si="1"/>
        <v>1228</v>
      </c>
      <c r="F13" s="163" t="s">
        <v>36</v>
      </c>
      <c r="G13" s="164"/>
      <c r="H13" s="165">
        <f>D29</f>
        <v>443015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18</v>
      </c>
      <c r="D14" s="31">
        <f t="shared" si="1"/>
        <v>198</v>
      </c>
      <c r="F14" s="168" t="s">
        <v>39</v>
      </c>
      <c r="G14" s="169"/>
      <c r="H14" s="170">
        <f>D54</f>
        <v>77991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365024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1758+600+612</f>
        <v>2970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>
        <v>8</v>
      </c>
      <c r="D22" s="48">
        <f t="shared" si="1"/>
        <v>5360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443015</v>
      </c>
      <c r="F29" s="186" t="s">
        <v>55</v>
      </c>
      <c r="G29" s="187"/>
      <c r="H29" s="190">
        <f>H15-H16-H17-H18-H19-H20-H22-H23-H24+H26+H27</f>
        <v>362054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218">
        <f>F34*G34</f>
        <v>78000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218">
        <f>F35*G35</f>
        <v>43500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218">
        <f t="shared" si="2"/>
        <v>1000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18">
        <f t="shared" si="2"/>
        <v>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14</v>
      </c>
      <c r="D42" s="12">
        <f>C42*2.25</f>
        <v>31.5</v>
      </c>
      <c r="F42" s="39" t="s">
        <v>79</v>
      </c>
      <c r="G42" s="218">
        <v>47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202">
        <v>54216</v>
      </c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202">
        <v>188602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6</v>
      </c>
      <c r="D46" s="12">
        <f>C46*1.5</f>
        <v>9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2</v>
      </c>
      <c r="D49" s="12">
        <f>C49*42</f>
        <v>84</v>
      </c>
      <c r="F49" s="243" t="s">
        <v>86</v>
      </c>
      <c r="G49" s="190">
        <f>H34+H35+H36+H37+H38+H39+H40+H41+G42+H44+H45+H46</f>
        <v>365435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24</v>
      </c>
      <c r="D50" s="12">
        <f>C50*1.5</f>
        <v>36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3381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265">
        <v>46025</v>
      </c>
      <c r="J4" s="26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267"/>
      <c r="J5" s="26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728</v>
      </c>
      <c r="D6" s="13">
        <f t="shared" ref="D6:D28" si="1">C6*L6</f>
        <v>554008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60</v>
      </c>
      <c r="D8" s="13">
        <f t="shared" si="1"/>
        <v>65580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9</v>
      </c>
      <c r="D9" s="13">
        <f t="shared" si="1"/>
        <v>6597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5</v>
      </c>
      <c r="D10" s="13">
        <f t="shared" si="1"/>
        <v>5160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>
        <v>16</v>
      </c>
      <c r="D11" s="13">
        <f t="shared" si="1"/>
        <v>18720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f>23+3</f>
        <v>26</v>
      </c>
      <c r="D12" s="48">
        <f t="shared" si="1"/>
        <v>25792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21</v>
      </c>
      <c r="D13" s="48">
        <f t="shared" si="1"/>
        <v>6447</v>
      </c>
      <c r="F13" s="163" t="s">
        <v>36</v>
      </c>
      <c r="G13" s="164"/>
      <c r="H13" s="165">
        <f>D29</f>
        <v>685162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17</v>
      </c>
      <c r="D14" s="31">
        <f t="shared" si="1"/>
        <v>187</v>
      </c>
      <c r="F14" s="168" t="s">
        <v>39</v>
      </c>
      <c r="G14" s="169"/>
      <c r="H14" s="170">
        <f>D54</f>
        <v>145168.5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>
        <v>1</v>
      </c>
      <c r="D15" s="31">
        <f t="shared" si="1"/>
        <v>620</v>
      </c>
      <c r="F15" s="173" t="s">
        <v>40</v>
      </c>
      <c r="G15" s="164"/>
      <c r="H15" s="174">
        <f>H13-H14</f>
        <v>539993.5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2772</f>
        <v>2772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1</v>
      </c>
      <c r="D28" s="48">
        <f t="shared" si="1"/>
        <v>811</v>
      </c>
      <c r="F28" s="93"/>
      <c r="G28" s="61"/>
      <c r="H28" s="212"/>
      <c r="I28" s="213"/>
      <c r="J28" s="214"/>
      <c r="L28" s="7"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685162</v>
      </c>
      <c r="F29" s="186" t="s">
        <v>55</v>
      </c>
      <c r="G29" s="187"/>
      <c r="H29" s="190">
        <f>H15-H16-H17-H18-H19-H20-H22-H23-H24+H26+H27+H28</f>
        <v>537221.5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18</v>
      </c>
      <c r="D34" s="30">
        <f>C34*120</f>
        <v>2160</v>
      </c>
      <c r="F34" s="12">
        <v>1000</v>
      </c>
      <c r="G34" s="40">
        <v>229</v>
      </c>
      <c r="H34" s="218">
        <f t="shared" ref="H34:H39" si="2">F34*G34</f>
        <v>229000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218">
        <f t="shared" si="2"/>
        <v>48500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1154</v>
      </c>
      <c r="D37" s="12">
        <f>C37*111</f>
        <v>128094</v>
      </c>
      <c r="F37" s="12">
        <v>100</v>
      </c>
      <c r="G37" s="39">
        <v>2</v>
      </c>
      <c r="H37" s="218">
        <f t="shared" si="2"/>
        <v>200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16</v>
      </c>
      <c r="D39" s="31">
        <f>C39*4.5</f>
        <v>72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107</v>
      </c>
      <c r="D44" s="12">
        <f>C44*120</f>
        <v>12840</v>
      </c>
      <c r="F44" s="37" t="s">
        <v>147</v>
      </c>
      <c r="G44" s="62" t="s">
        <v>151</v>
      </c>
      <c r="H44" s="202">
        <v>258954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536674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25</v>
      </c>
      <c r="D50" s="12">
        <f>C50*1.5</f>
        <v>37.5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-547.5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145168.5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265">
        <v>46025</v>
      </c>
      <c r="J4" s="26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267"/>
      <c r="J5" s="26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265">
        <v>46025</v>
      </c>
      <c r="J4" s="26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267"/>
      <c r="J5" s="26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480</v>
      </c>
      <c r="D6" s="13">
        <f t="shared" ref="D6:D28" si="1">C6*L6</f>
        <v>365280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15</v>
      </c>
      <c r="D7" s="13">
        <f t="shared" si="1"/>
        <v>11715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2</v>
      </c>
      <c r="D8" s="13">
        <f t="shared" si="1"/>
        <v>2186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37</v>
      </c>
      <c r="D9" s="13">
        <f t="shared" si="1"/>
        <v>27121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3</v>
      </c>
      <c r="D10" s="13">
        <f t="shared" si="1"/>
        <v>3096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>
        <v>2</v>
      </c>
      <c r="D11" s="13">
        <f t="shared" si="1"/>
        <v>2340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10</v>
      </c>
      <c r="D13" s="48">
        <f t="shared" si="1"/>
        <v>3070</v>
      </c>
      <c r="F13" s="163" t="s">
        <v>36</v>
      </c>
      <c r="G13" s="164"/>
      <c r="H13" s="165">
        <f>D29</f>
        <v>419083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68183.25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>
        <f>1</f>
        <v>1</v>
      </c>
      <c r="D15" s="31">
        <f t="shared" si="1"/>
        <v>620</v>
      </c>
      <c r="F15" s="173" t="s">
        <v>40</v>
      </c>
      <c r="G15" s="164"/>
      <c r="H15" s="174">
        <f>H13-H14</f>
        <v>350899.75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216*6+140*6</f>
        <v>2136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>
        <f>4</f>
        <v>4</v>
      </c>
      <c r="D18" s="48">
        <f t="shared" si="1"/>
        <v>2480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 t="s">
        <v>154</v>
      </c>
      <c r="G22" s="73">
        <v>8243</v>
      </c>
      <c r="H22" s="200">
        <v>1440</v>
      </c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95" t="s">
        <v>150</v>
      </c>
      <c r="C23" s="10">
        <v>1</v>
      </c>
      <c r="D23" s="48">
        <f t="shared" si="1"/>
        <v>1175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820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419083</v>
      </c>
      <c r="F29" s="186" t="s">
        <v>55</v>
      </c>
      <c r="G29" s="187"/>
      <c r="H29" s="190">
        <f>H15-H16-H17-H18-H19-H20-H22-H23-H24+H26+H27</f>
        <v>347323.75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218">
        <f>F34*G34</f>
        <v>133000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218">
        <f>F35*G35</f>
        <v>29000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567</v>
      </c>
      <c r="D37" s="12">
        <f>C37*111</f>
        <v>62937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8">
        <v>24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6</v>
      </c>
      <c r="D44" s="12">
        <f>C44*120</f>
        <v>720</v>
      </c>
      <c r="F44" s="37" t="s">
        <v>147</v>
      </c>
      <c r="G44" s="76" t="s">
        <v>152</v>
      </c>
      <c r="H44" s="202">
        <v>139104</v>
      </c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>
        <v>2</v>
      </c>
      <c r="D45" s="12">
        <f>C45*84</f>
        <v>168</v>
      </c>
      <c r="F45" s="37" t="s">
        <v>153</v>
      </c>
      <c r="G45" s="76"/>
      <c r="H45" s="202">
        <v>45689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19</v>
      </c>
      <c r="D46" s="12">
        <f>C46*1.5</f>
        <v>28.5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346817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7</v>
      </c>
      <c r="D50" s="12">
        <f>C50*1.5</f>
        <v>10.5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-506.75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68183.25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46027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463</v>
      </c>
      <c r="D6" s="13">
        <f t="shared" ref="D6:D28" si="1">C6*L6</f>
        <v>352343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7</v>
      </c>
      <c r="D7" s="13">
        <f t="shared" si="1"/>
        <v>5467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2</v>
      </c>
      <c r="D8" s="13">
        <f t="shared" si="1"/>
        <v>2186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f>120-5</f>
        <v>115</v>
      </c>
      <c r="D9" s="13">
        <f t="shared" si="1"/>
        <v>84295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2</v>
      </c>
      <c r="D10" s="13">
        <f t="shared" si="1"/>
        <v>2064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>
        <v>2</v>
      </c>
      <c r="D11" s="13">
        <f t="shared" si="1"/>
        <v>2340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v>2</v>
      </c>
      <c r="D12" s="48">
        <f t="shared" si="1"/>
        <v>1984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24</v>
      </c>
      <c r="D13" s="48">
        <f t="shared" si="1"/>
        <v>7368</v>
      </c>
      <c r="F13" s="163" t="s">
        <v>36</v>
      </c>
      <c r="G13" s="164"/>
      <c r="H13" s="165">
        <f>D29</f>
        <v>463474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12</v>
      </c>
      <c r="D14" s="31">
        <f t="shared" si="1"/>
        <v>132</v>
      </c>
      <c r="F14" s="168" t="s">
        <v>39</v>
      </c>
      <c r="G14" s="169"/>
      <c r="H14" s="170">
        <f>D54</f>
        <v>115968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347506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2592</f>
        <v>2592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 t="s">
        <v>159</v>
      </c>
      <c r="G22" s="73">
        <v>8315</v>
      </c>
      <c r="H22" s="200">
        <v>92560</v>
      </c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 t="s">
        <v>159</v>
      </c>
      <c r="G26" s="65">
        <v>8042</v>
      </c>
      <c r="H26" s="202">
        <v>84449</v>
      </c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5</v>
      </c>
      <c r="D28" s="48">
        <f t="shared" si="1"/>
        <v>4055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463474</v>
      </c>
      <c r="F29" s="186" t="s">
        <v>55</v>
      </c>
      <c r="G29" s="187"/>
      <c r="H29" s="190">
        <f>H15-H16-H17-H18-H19-H20-H22-H23-H24+H26+H27+H28</f>
        <v>336803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19</v>
      </c>
      <c r="H34" s="218">
        <f t="shared" ref="H34:H39" si="2">F34*G34</f>
        <v>19000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218">
        <f t="shared" si="2"/>
        <v>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11</v>
      </c>
      <c r="D36" s="12">
        <f>C36*1.5</f>
        <v>16.5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1013</v>
      </c>
      <c r="D37" s="12">
        <f>C37*111</f>
        <v>112443</v>
      </c>
      <c r="F37" s="12">
        <v>100</v>
      </c>
      <c r="G37" s="39">
        <v>3</v>
      </c>
      <c r="H37" s="218">
        <f t="shared" si="2"/>
        <v>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218">
        <f t="shared" si="2"/>
        <v>100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8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5</v>
      </c>
      <c r="D44" s="12">
        <f>C44*120</f>
        <v>600</v>
      </c>
      <c r="F44" s="37" t="s">
        <v>147</v>
      </c>
      <c r="G44" s="62" t="s">
        <v>157</v>
      </c>
      <c r="H44" s="202">
        <v>188388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4</v>
      </c>
      <c r="D45" s="12">
        <f>C45*84</f>
        <v>336</v>
      </c>
      <c r="F45" s="37" t="s">
        <v>156</v>
      </c>
      <c r="G45" s="96" t="s">
        <v>158</v>
      </c>
      <c r="H45" s="202">
        <v>84449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21</v>
      </c>
      <c r="D46" s="12">
        <f>C46*1.5</f>
        <v>31.5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292745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22</v>
      </c>
      <c r="D50" s="12">
        <f>C50*1.5</f>
        <v>33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-44058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115968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46027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501</v>
      </c>
      <c r="D6" s="13">
        <f t="shared" ref="D6:D28" si="1">C6*L6</f>
        <v>381261</v>
      </c>
      <c r="F6" s="141" t="s">
        <v>16</v>
      </c>
      <c r="G6" s="143" t="s">
        <v>155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8</v>
      </c>
      <c r="D9" s="13">
        <f t="shared" si="1"/>
        <v>5864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18</v>
      </c>
      <c r="D13" s="48">
        <f t="shared" si="1"/>
        <v>5526</v>
      </c>
      <c r="F13" s="163" t="s">
        <v>36</v>
      </c>
      <c r="G13" s="164"/>
      <c r="H13" s="165">
        <f>D29</f>
        <v>392761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10</v>
      </c>
      <c r="D14" s="31">
        <f t="shared" si="1"/>
        <v>110</v>
      </c>
      <c r="F14" s="168" t="s">
        <v>39</v>
      </c>
      <c r="G14" s="169"/>
      <c r="H14" s="170">
        <f>D54</f>
        <v>57342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335419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1296+1284</f>
        <v>2580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392761</v>
      </c>
      <c r="F29" s="186" t="s">
        <v>55</v>
      </c>
      <c r="G29" s="187"/>
      <c r="H29" s="190">
        <f>H15-H16-H17-H18-H19-H20-H22-H23-H24+H26+H27</f>
        <v>332839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186</v>
      </c>
      <c r="H34" s="218">
        <f>F34*G34</f>
        <v>186000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218">
        <f t="shared" ref="H35:H39" si="2">F35*G35</f>
        <v>6500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3</v>
      </c>
      <c r="H37" s="218">
        <f t="shared" si="2"/>
        <v>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18">
        <f t="shared" si="2"/>
        <v>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32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147</v>
      </c>
      <c r="G44" s="62" t="s">
        <v>160</v>
      </c>
      <c r="H44" s="202">
        <v>139756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6</v>
      </c>
      <c r="D49" s="12">
        <f>C49*42</f>
        <v>252</v>
      </c>
      <c r="F49" s="243" t="s">
        <v>86</v>
      </c>
      <c r="G49" s="190">
        <f>H34+H35+H36+H37+H38+H39+H40+H41+G42+H44+H45+H46</f>
        <v>332638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30</v>
      </c>
      <c r="D50" s="12">
        <f>C50*1.5</f>
        <v>45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161</v>
      </c>
      <c r="G51" s="257">
        <f>G49-H29</f>
        <v>-201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57342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46027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735</v>
      </c>
      <c r="D6" s="13">
        <f t="shared" ref="D6:D28" si="1">C6*L6</f>
        <v>559335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4</v>
      </c>
      <c r="D7" s="13">
        <f t="shared" si="1"/>
        <v>3124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1</v>
      </c>
      <c r="D8" s="13">
        <f t="shared" si="1"/>
        <v>1093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114</v>
      </c>
      <c r="D9" s="13">
        <f t="shared" si="1"/>
        <v>83562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3</v>
      </c>
      <c r="D10" s="13">
        <f t="shared" si="1"/>
        <v>3096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>
        <v>2</v>
      </c>
      <c r="D11" s="13">
        <f t="shared" si="1"/>
        <v>2340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5+1</f>
        <v>6</v>
      </c>
      <c r="D12" s="48">
        <f t="shared" si="1"/>
        <v>5952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22</v>
      </c>
      <c r="D13" s="48">
        <f t="shared" si="1"/>
        <v>6754</v>
      </c>
      <c r="F13" s="163" t="s">
        <v>36</v>
      </c>
      <c r="G13" s="164"/>
      <c r="H13" s="165">
        <f>D29</f>
        <v>667630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12</v>
      </c>
      <c r="D14" s="31">
        <f t="shared" si="1"/>
        <v>132</v>
      </c>
      <c r="F14" s="168" t="s">
        <v>39</v>
      </c>
      <c r="G14" s="169"/>
      <c r="H14" s="170">
        <f>D54</f>
        <v>100451.25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567178.75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600+1050+456</f>
        <v>2106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>
        <v>50</v>
      </c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2</v>
      </c>
      <c r="D28" s="48">
        <f t="shared" si="1"/>
        <v>1622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667630</v>
      </c>
      <c r="F29" s="186" t="s">
        <v>55</v>
      </c>
      <c r="G29" s="187"/>
      <c r="H29" s="190">
        <f>H15-H16-H17-H18-H19-H20-H22-H23-H24+H26+H27</f>
        <v>565022.75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242</v>
      </c>
      <c r="H34" s="218">
        <f>F34*G34</f>
        <v>242000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135</v>
      </c>
      <c r="H35" s="218">
        <f>F35*G35</f>
        <v>67500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853</v>
      </c>
      <c r="D37" s="12">
        <f>C37*111</f>
        <v>94683</v>
      </c>
      <c r="F37" s="12">
        <v>100</v>
      </c>
      <c r="G37" s="39">
        <v>10</v>
      </c>
      <c r="H37" s="218">
        <f t="shared" si="2"/>
        <v>1000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218">
        <f t="shared" si="2"/>
        <v>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8">
        <v>58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8</v>
      </c>
      <c r="D44" s="12">
        <f>C44*120</f>
        <v>960</v>
      </c>
      <c r="F44" s="37" t="s">
        <v>147</v>
      </c>
      <c r="G44" s="76" t="s">
        <v>163</v>
      </c>
      <c r="H44" s="202">
        <v>112763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3</v>
      </c>
      <c r="D45" s="12">
        <f>C45*84</f>
        <v>252</v>
      </c>
      <c r="F45" s="97" t="s">
        <v>162</v>
      </c>
      <c r="G45" s="76" t="s">
        <v>164</v>
      </c>
      <c r="H45" s="202">
        <v>142785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4</v>
      </c>
      <c r="D46" s="12">
        <f>C46*1.5</f>
        <v>6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12</v>
      </c>
      <c r="D49" s="12">
        <f>C49*42</f>
        <v>504</v>
      </c>
      <c r="F49" s="243" t="s">
        <v>86</v>
      </c>
      <c r="G49" s="190">
        <f>H34+H35+H36+H37+H38+H39+H40+H41+G42+H44+H45+H46</f>
        <v>566156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15</v>
      </c>
      <c r="D50" s="12">
        <f>C50*1.5</f>
        <v>22.5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1133.25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100451.25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zoomScaleNormal="100" zoomScaleSheetLayoutView="85" workbookViewId="0">
      <selection activeCell="L25" sqref="L2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46028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633</v>
      </c>
      <c r="D6" s="13">
        <f t="shared" ref="D6:D28" si="1">C6*L6</f>
        <v>481713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2</v>
      </c>
      <c r="D7" s="13">
        <f t="shared" si="1"/>
        <v>1562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1</v>
      </c>
      <c r="D8" s="13">
        <f t="shared" si="1"/>
        <v>1093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27</v>
      </c>
      <c r="D9" s="13">
        <f t="shared" si="1"/>
        <v>19791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1</v>
      </c>
      <c r="D10" s="13">
        <f t="shared" si="1"/>
        <v>1032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v>1</v>
      </c>
      <c r="D12" s="48">
        <f t="shared" si="1"/>
        <v>992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9</v>
      </c>
      <c r="D13" s="48">
        <f t="shared" si="1"/>
        <v>2763</v>
      </c>
      <c r="F13" s="163" t="s">
        <v>36</v>
      </c>
      <c r="G13" s="164"/>
      <c r="H13" s="165">
        <f>D29</f>
        <v>509943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74673.75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435269.25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169</v>
      </c>
      <c r="C23" s="84">
        <v>12</v>
      </c>
      <c r="D23" s="48">
        <f t="shared" si="1"/>
        <v>454</v>
      </c>
      <c r="F23" s="77"/>
      <c r="G23" s="79"/>
      <c r="H23" s="253"/>
      <c r="I23" s="254"/>
      <c r="J23" s="254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509943</v>
      </c>
      <c r="F29" s="186" t="s">
        <v>55</v>
      </c>
      <c r="G29" s="187"/>
      <c r="H29" s="190">
        <f>H15-H16-H17-H18-H19-H20-H22-H23-H24+H26+H27+H28</f>
        <v>435269.25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225</v>
      </c>
      <c r="H34" s="218">
        <f t="shared" ref="H34:H39" si="2">F34*G34</f>
        <v>225000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300</v>
      </c>
      <c r="H35" s="218">
        <f t="shared" si="2"/>
        <v>150000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8">
        <f t="shared" si="2"/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641</v>
      </c>
      <c r="D37" s="12">
        <f>C37*111</f>
        <v>71151</v>
      </c>
      <c r="F37" s="12">
        <v>100</v>
      </c>
      <c r="G37" s="39">
        <v>36</v>
      </c>
      <c r="H37" s="218">
        <f t="shared" si="2"/>
        <v>3600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10</v>
      </c>
      <c r="H38" s="218">
        <f t="shared" si="2"/>
        <v>500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8">
        <v>72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3</v>
      </c>
      <c r="D44" s="12">
        <f>C44*120</f>
        <v>360</v>
      </c>
      <c r="F44" s="37" t="s">
        <v>153</v>
      </c>
      <c r="G44" s="62"/>
      <c r="H44" s="202">
        <v>56000</v>
      </c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3</v>
      </c>
      <c r="D46" s="12">
        <f>C46*1.5</f>
        <v>4.5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435392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22</v>
      </c>
      <c r="D50" s="12">
        <f>C50*1.5</f>
        <v>33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122.75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74673.75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46028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581</v>
      </c>
      <c r="D6" s="13">
        <f t="shared" ref="D6:D28" si="1">C6*L6</f>
        <v>442141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3</v>
      </c>
      <c r="D7" s="13">
        <f t="shared" si="1"/>
        <v>2343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41</v>
      </c>
      <c r="D9" s="13">
        <f t="shared" si="1"/>
        <v>30053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2</v>
      </c>
      <c r="D12" s="48">
        <f t="shared" si="1"/>
        <v>1984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17</v>
      </c>
      <c r="D13" s="48">
        <f t="shared" si="1"/>
        <v>5219</v>
      </c>
      <c r="F13" s="163" t="s">
        <v>36</v>
      </c>
      <c r="G13" s="164"/>
      <c r="H13" s="165">
        <f>D29</f>
        <v>486638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</v>
      </c>
      <c r="D14" s="31">
        <f t="shared" si="1"/>
        <v>11</v>
      </c>
      <c r="F14" s="168" t="s">
        <v>39</v>
      </c>
      <c r="G14" s="169"/>
      <c r="H14" s="170">
        <f>D54</f>
        <v>85668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>
        <v>1</v>
      </c>
      <c r="D15" s="31">
        <f t="shared" si="1"/>
        <v>620</v>
      </c>
      <c r="F15" s="173" t="s">
        <v>40</v>
      </c>
      <c r="G15" s="164"/>
      <c r="H15" s="174">
        <f>H13-H14</f>
        <v>400970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324*6+201*6</f>
        <v>3150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10">
        <f>3+1</f>
        <v>4</v>
      </c>
      <c r="D21" s="48">
        <f t="shared" si="1"/>
        <v>2600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 t="s">
        <v>166</v>
      </c>
      <c r="G22" s="73">
        <v>8133</v>
      </c>
      <c r="H22" s="200">
        <v>131647</v>
      </c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>
        <v>1</v>
      </c>
      <c r="D24" s="48">
        <f t="shared" si="1"/>
        <v>1667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486638</v>
      </c>
      <c r="F29" s="186" t="s">
        <v>55</v>
      </c>
      <c r="G29" s="187"/>
      <c r="H29" s="190">
        <f>H15-H16-H17-H18-H19-H20-H22-H23-H24+H26+H27</f>
        <v>266173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39</v>
      </c>
      <c r="H34" s="218">
        <f>F34*G34</f>
        <v>39000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218">
        <f t="shared" ref="H35:H37" si="2">F35*G35</f>
        <v>22500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8">
        <f>F36*G36</f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758</v>
      </c>
      <c r="D37" s="12">
        <f>C37*111</f>
        <v>84138</v>
      </c>
      <c r="F37" s="12">
        <v>100</v>
      </c>
      <c r="G37" s="39">
        <v>40</v>
      </c>
      <c r="H37" s="218">
        <f t="shared" si="2"/>
        <v>4000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218">
        <f t="shared" ref="H38:H39" si="3">F38*G38</f>
        <v>300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18">
        <f t="shared" si="3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2</v>
      </c>
      <c r="D42" s="12">
        <f>C42*2.25</f>
        <v>4.5</v>
      </c>
      <c r="F42" s="39" t="s">
        <v>79</v>
      </c>
      <c r="G42" s="218">
        <v>18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3</v>
      </c>
      <c r="D44" s="12">
        <f>C44*120</f>
        <v>360</v>
      </c>
      <c r="F44" s="37" t="s">
        <v>147</v>
      </c>
      <c r="G44" s="62" t="s">
        <v>165</v>
      </c>
      <c r="H44" s="202">
        <v>198198</v>
      </c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24</v>
      </c>
      <c r="D46" s="12">
        <f>C46*1.5</f>
        <v>36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2</v>
      </c>
      <c r="D49" s="12">
        <f>C49*42</f>
        <v>84</v>
      </c>
      <c r="F49" s="243" t="s">
        <v>86</v>
      </c>
      <c r="G49" s="190">
        <f>H34+H35+H36+H37+H38+H39+H40+H41+G42+H44+H45+H46</f>
        <v>264236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21</v>
      </c>
      <c r="D50" s="12">
        <f>C50*1.5</f>
        <v>31.5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161</v>
      </c>
      <c r="G51" s="257">
        <f>G49-H29</f>
        <v>-1937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85668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46028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f>614-273</f>
        <v>341</v>
      </c>
      <c r="D6" s="13">
        <f t="shared" ref="D6:D28" si="1">C6*L6</f>
        <v>259501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</v>
      </c>
      <c r="D7" s="13">
        <f t="shared" si="1"/>
        <v>781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13</v>
      </c>
      <c r="D9" s="13">
        <f t="shared" si="1"/>
        <v>9529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3</v>
      </c>
      <c r="D12" s="48">
        <f t="shared" si="1"/>
        <v>2976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2</v>
      </c>
      <c r="D13" s="48">
        <f t="shared" si="1"/>
        <v>614</v>
      </c>
      <c r="F13" s="163" t="s">
        <v>36</v>
      </c>
      <c r="G13" s="164"/>
      <c r="H13" s="165">
        <f>D29</f>
        <v>275314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8</v>
      </c>
      <c r="D14" s="31">
        <f t="shared" si="1"/>
        <v>88</v>
      </c>
      <c r="F14" s="168" t="s">
        <v>39</v>
      </c>
      <c r="G14" s="169"/>
      <c r="H14" s="170">
        <f>D54</f>
        <v>52389.75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222924.25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268*6+51*6</f>
        <v>1914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 t="s">
        <v>167</v>
      </c>
      <c r="G22" s="73">
        <v>7798</v>
      </c>
      <c r="H22" s="200">
        <v>173644</v>
      </c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>
        <v>1</v>
      </c>
      <c r="D23" s="48">
        <f t="shared" si="1"/>
        <v>1175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275314</v>
      </c>
      <c r="F29" s="186" t="s">
        <v>55</v>
      </c>
      <c r="G29" s="187"/>
      <c r="H29" s="190">
        <f>H15-H16-H17-H18-H19-H20-H22-H23-H24+H26+H27</f>
        <v>47366.25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26</v>
      </c>
      <c r="H34" s="218">
        <f>F34*G34</f>
        <v>26000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218">
        <f>F35*G35</f>
        <v>17500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218">
        <f t="shared" ref="H36:H39" si="2">F36*G36</f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34</v>
      </c>
      <c r="H37" s="218">
        <f t="shared" si="2"/>
        <v>3400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8">
        <v>142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2</v>
      </c>
      <c r="D44" s="12">
        <f>C44*120</f>
        <v>240</v>
      </c>
      <c r="F44" s="37"/>
      <c r="G44" s="76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7</v>
      </c>
      <c r="D46" s="12">
        <f>C46*1.5</f>
        <v>10.5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47242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16</v>
      </c>
      <c r="D50" s="12">
        <f>C50*1.5</f>
        <v>24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-124.25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52389.75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46029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523</v>
      </c>
      <c r="D6" s="13">
        <f t="shared" ref="D6:D28" si="1">C6*L6</f>
        <v>398003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2</v>
      </c>
      <c r="D7" s="13">
        <f t="shared" si="1"/>
        <v>1562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2</v>
      </c>
      <c r="D8" s="13">
        <f t="shared" si="1"/>
        <v>2186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10</v>
      </c>
      <c r="D9" s="13">
        <f t="shared" si="1"/>
        <v>7330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13</v>
      </c>
      <c r="D13" s="48">
        <f t="shared" si="1"/>
        <v>3991</v>
      </c>
      <c r="F13" s="163" t="s">
        <v>36</v>
      </c>
      <c r="G13" s="164"/>
      <c r="H13" s="165">
        <f>D29</f>
        <v>416738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3</v>
      </c>
      <c r="D14" s="31">
        <f t="shared" si="1"/>
        <v>33</v>
      </c>
      <c r="F14" s="168" t="s">
        <v>39</v>
      </c>
      <c r="G14" s="169"/>
      <c r="H14" s="170">
        <f>D54</f>
        <v>113626.5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303111.5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2586</f>
        <v>2586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169</v>
      </c>
      <c r="C23" s="84">
        <v>12</v>
      </c>
      <c r="D23" s="48">
        <f t="shared" si="1"/>
        <v>454</v>
      </c>
      <c r="F23" s="77"/>
      <c r="G23" s="79"/>
      <c r="H23" s="253"/>
      <c r="I23" s="254"/>
      <c r="J23" s="254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1</v>
      </c>
      <c r="D28" s="48">
        <f t="shared" si="1"/>
        <v>811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416738</v>
      </c>
      <c r="F29" s="186" t="s">
        <v>55</v>
      </c>
      <c r="G29" s="187"/>
      <c r="H29" s="190">
        <f>H15-H16-H17-H18-H19-H20-H22-H23-H24+H26+H27+H28</f>
        <v>300525.5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51</v>
      </c>
      <c r="H34" s="218">
        <f t="shared" ref="H34:H39" si="2">F34*G34</f>
        <v>51000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20</v>
      </c>
      <c r="H35" s="218">
        <f t="shared" si="2"/>
        <v>10000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1005</v>
      </c>
      <c r="D37" s="12">
        <f>C37*111</f>
        <v>111555</v>
      </c>
      <c r="F37" s="12">
        <v>100</v>
      </c>
      <c r="G37" s="39">
        <v>41</v>
      </c>
      <c r="H37" s="218">
        <f t="shared" si="2"/>
        <v>4100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15</v>
      </c>
      <c r="H38" s="218">
        <f t="shared" si="2"/>
        <v>750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30</v>
      </c>
      <c r="D42" s="12">
        <f>C42*2.25</f>
        <v>67.5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147</v>
      </c>
      <c r="G44" s="62" t="s">
        <v>170</v>
      </c>
      <c r="H44" s="202">
        <v>234325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34</v>
      </c>
      <c r="D46" s="12">
        <f>C46*1.5</f>
        <v>51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300175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10</v>
      </c>
      <c r="D50" s="12">
        <f>C50*1.5</f>
        <v>15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-350.5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113626.5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46029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450</v>
      </c>
      <c r="D6" s="13">
        <f t="shared" ref="D6:D28" si="1">C6*L6</f>
        <v>342450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20</v>
      </c>
      <c r="D9" s="13">
        <f t="shared" si="1"/>
        <v>14660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15</v>
      </c>
      <c r="D13" s="48">
        <f t="shared" si="1"/>
        <v>4605</v>
      </c>
      <c r="F13" s="163" t="s">
        <v>36</v>
      </c>
      <c r="G13" s="164"/>
      <c r="H13" s="165">
        <f>D29</f>
        <v>364269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11</v>
      </c>
      <c r="D14" s="31">
        <f t="shared" si="1"/>
        <v>121</v>
      </c>
      <c r="F14" s="168" t="s">
        <v>39</v>
      </c>
      <c r="G14" s="169"/>
      <c r="H14" s="170">
        <f>D54</f>
        <v>53587.5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310681.5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2064</f>
        <v>2064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 t="s">
        <v>166</v>
      </c>
      <c r="G26" s="59">
        <v>8133</v>
      </c>
      <c r="H26" s="206">
        <v>131647</v>
      </c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3</v>
      </c>
      <c r="D28" s="48">
        <f t="shared" si="1"/>
        <v>2433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364269</v>
      </c>
      <c r="F29" s="186" t="s">
        <v>55</v>
      </c>
      <c r="G29" s="187"/>
      <c r="H29" s="190">
        <f>H15-H16-H17-H18-H19-H20-H22-H23-H24+H26+H27</f>
        <v>440264.5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243</v>
      </c>
      <c r="H34" s="218">
        <f>F34*G34</f>
        <v>243000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101</v>
      </c>
      <c r="H35" s="218">
        <f t="shared" ref="H35:H39" si="2">F35*G35</f>
        <v>50500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128</v>
      </c>
      <c r="H37" s="218">
        <f t="shared" si="2"/>
        <v>12800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46</v>
      </c>
      <c r="H38" s="218">
        <f t="shared" si="2"/>
        <v>2300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71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147</v>
      </c>
      <c r="G44" s="62" t="s">
        <v>171</v>
      </c>
      <c r="H44" s="202">
        <v>131647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9</v>
      </c>
      <c r="D49" s="12">
        <f>C49*42</f>
        <v>378</v>
      </c>
      <c r="F49" s="243" t="s">
        <v>86</v>
      </c>
      <c r="G49" s="190">
        <f>H34+H35+H36+H37+H38+H39+H40+H41+G42+H44+H45+H46</f>
        <v>440318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15</v>
      </c>
      <c r="D50" s="12">
        <f>C50*1.5</f>
        <v>22.5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53.5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53587.5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B1D7E-AC3B-4A1A-9DF9-F2224DED70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 t="s">
        <v>179</v>
      </c>
      <c r="H4" s="132" t="s">
        <v>9</v>
      </c>
      <c r="I4" s="134">
        <v>46029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178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 t="s">
        <v>174</v>
      </c>
      <c r="G26" s="59">
        <v>8269</v>
      </c>
      <c r="H26" s="206">
        <v>7281</v>
      </c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02" t="s">
        <v>175</v>
      </c>
      <c r="G27" s="59">
        <v>8269</v>
      </c>
      <c r="H27" s="206">
        <v>1000</v>
      </c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02" t="s">
        <v>176</v>
      </c>
      <c r="G28" s="59">
        <v>8269</v>
      </c>
      <c r="H28" s="206">
        <v>3130</v>
      </c>
      <c r="I28" s="207"/>
      <c r="J28" s="20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H15-H16-H17-H18-H19-H20-H22-H23-H24+H26+H27+H28</f>
        <v>11411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9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1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153</v>
      </c>
      <c r="G44" s="62"/>
      <c r="H44" s="202">
        <v>11411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00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11411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177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46029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380</v>
      </c>
      <c r="D6" s="13">
        <f t="shared" ref="D6:D28" si="1">C6*L6</f>
        <v>289180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19</v>
      </c>
      <c r="D7" s="13">
        <f t="shared" si="1"/>
        <v>14839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2</v>
      </c>
      <c r="D8" s="13">
        <f t="shared" si="1"/>
        <v>2186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84</v>
      </c>
      <c r="D9" s="13">
        <f t="shared" si="1"/>
        <v>61572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1</v>
      </c>
      <c r="D10" s="13">
        <f t="shared" si="1"/>
        <v>1032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3+1</f>
        <v>4</v>
      </c>
      <c r="D12" s="48">
        <f t="shared" si="1"/>
        <v>3968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14</v>
      </c>
      <c r="D13" s="48">
        <f t="shared" si="1"/>
        <v>4298</v>
      </c>
      <c r="F13" s="163" t="s">
        <v>36</v>
      </c>
      <c r="G13" s="164"/>
      <c r="H13" s="165">
        <f>D29</f>
        <v>383641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6</v>
      </c>
      <c r="D14" s="31">
        <f t="shared" si="1"/>
        <v>66</v>
      </c>
      <c r="F14" s="168" t="s">
        <v>39</v>
      </c>
      <c r="G14" s="169"/>
      <c r="H14" s="170">
        <f>D54</f>
        <v>52228.5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331412.5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v>1248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>
        <v>50</v>
      </c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10">
        <f>5+5</f>
        <v>10</v>
      </c>
      <c r="D21" s="48">
        <f t="shared" si="1"/>
        <v>6500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 t="s">
        <v>167</v>
      </c>
      <c r="G26" s="59">
        <v>7798</v>
      </c>
      <c r="H26" s="206">
        <v>173644</v>
      </c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383641</v>
      </c>
      <c r="F29" s="186" t="s">
        <v>55</v>
      </c>
      <c r="G29" s="187"/>
      <c r="H29" s="190">
        <f>H15-H16-H17-H18-H19-H20-H22-H23-H24+H26+H27</f>
        <v>503758.5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218">
        <f>F34*G34</f>
        <v>148000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218">
        <f>F35*G35</f>
        <v>10000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18">
        <f t="shared" ref="H36:H39" si="2">F36*G36</f>
        <v>600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151</v>
      </c>
      <c r="H37" s="218">
        <f t="shared" si="2"/>
        <v>15100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335</v>
      </c>
      <c r="H38" s="218">
        <f t="shared" si="2"/>
        <v>16750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4</v>
      </c>
      <c r="D42" s="12">
        <f>C42*2.25</f>
        <v>9</v>
      </c>
      <c r="F42" s="39" t="s">
        <v>79</v>
      </c>
      <c r="G42" s="218">
        <v>175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5</v>
      </c>
      <c r="D44" s="12">
        <f>C44*120</f>
        <v>600</v>
      </c>
      <c r="F44" s="37" t="s">
        <v>147</v>
      </c>
      <c r="G44" s="76" t="s">
        <v>172</v>
      </c>
      <c r="H44" s="202">
        <v>139318</v>
      </c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>
        <v>2</v>
      </c>
      <c r="D45" s="12">
        <f>C45*84</f>
        <v>168</v>
      </c>
      <c r="F45" s="37" t="s">
        <v>147</v>
      </c>
      <c r="G45" s="76" t="s">
        <v>173</v>
      </c>
      <c r="H45" s="202">
        <v>173644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9</v>
      </c>
      <c r="D46" s="12">
        <f>C46*1.5</f>
        <v>13.5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5</v>
      </c>
      <c r="D49" s="12">
        <f>C49*42</f>
        <v>210</v>
      </c>
      <c r="F49" s="243" t="s">
        <v>86</v>
      </c>
      <c r="G49" s="190">
        <f>H34+H35+H36+H37+H38+H39+H40+H41+G42+H44+H45+H46</f>
        <v>503587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18</v>
      </c>
      <c r="D50" s="12">
        <f>C50*1.5</f>
        <v>27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-171.5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52228.5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46030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707</v>
      </c>
      <c r="D6" s="13">
        <f t="shared" ref="D6:D28" si="1">C6*L6</f>
        <v>538027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10</v>
      </c>
      <c r="D9" s="13">
        <f t="shared" si="1"/>
        <v>7330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26</v>
      </c>
      <c r="D13" s="48">
        <f t="shared" si="1"/>
        <v>7982</v>
      </c>
      <c r="F13" s="163" t="s">
        <v>36</v>
      </c>
      <c r="G13" s="164"/>
      <c r="H13" s="165">
        <f>D29</f>
        <v>555289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79440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475849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3882</f>
        <v>3882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>
        <v>3</v>
      </c>
      <c r="D21" s="48">
        <f t="shared" si="1"/>
        <v>1950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555289</v>
      </c>
      <c r="F29" s="186" t="s">
        <v>55</v>
      </c>
      <c r="G29" s="187"/>
      <c r="H29" s="190">
        <f>H15-H16-H17-H18-H19-H20-H22-H23-H24+H26+H27+H28</f>
        <v>471967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262</v>
      </c>
      <c r="H34" s="218">
        <f t="shared" ref="H34:H39" si="2">F34*G34</f>
        <v>262000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402</v>
      </c>
      <c r="H35" s="218">
        <f t="shared" si="2"/>
        <v>201000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18">
        <f t="shared" si="2"/>
        <v>600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694</v>
      </c>
      <c r="D37" s="12">
        <f>C37*111</f>
        <v>77034</v>
      </c>
      <c r="F37" s="12">
        <v>100</v>
      </c>
      <c r="G37" s="39">
        <v>68</v>
      </c>
      <c r="H37" s="218">
        <f t="shared" si="2"/>
        <v>6800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2</v>
      </c>
      <c r="H38" s="218">
        <f t="shared" si="2"/>
        <v>100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8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2</v>
      </c>
      <c r="D44" s="12">
        <f>C44*120</f>
        <v>240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16</v>
      </c>
      <c r="D49" s="12">
        <f>C49*42</f>
        <v>672</v>
      </c>
      <c r="F49" s="243" t="s">
        <v>86</v>
      </c>
      <c r="G49" s="190">
        <f>H34+H35+H36+H37+H38+H39+H40+H41+G42+H44+H45+H46</f>
        <v>470508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-1459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79440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46030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314</v>
      </c>
      <c r="D6" s="13">
        <f t="shared" ref="D6:D28" si="1">C6*L6</f>
        <v>238954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5</v>
      </c>
      <c r="D7" s="13">
        <f t="shared" si="1"/>
        <v>3905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19</v>
      </c>
      <c r="D9" s="13">
        <f t="shared" si="1"/>
        <v>13927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1</v>
      </c>
      <c r="D10" s="13">
        <f t="shared" si="1"/>
        <v>1032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2+1+1</f>
        <v>4</v>
      </c>
      <c r="D12" s="48">
        <f t="shared" si="1"/>
        <v>3968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7</v>
      </c>
      <c r="D13" s="48">
        <f t="shared" si="1"/>
        <v>2149</v>
      </c>
      <c r="F13" s="163" t="s">
        <v>36</v>
      </c>
      <c r="G13" s="164"/>
      <c r="H13" s="165">
        <f>D29</f>
        <v>263957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</v>
      </c>
      <c r="D14" s="31">
        <f t="shared" si="1"/>
        <v>22</v>
      </c>
      <c r="F14" s="168" t="s">
        <v>39</v>
      </c>
      <c r="G14" s="169"/>
      <c r="H14" s="170">
        <f>D54</f>
        <v>52866.75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211090.25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263957</v>
      </c>
      <c r="F29" s="186" t="s">
        <v>55</v>
      </c>
      <c r="G29" s="187"/>
      <c r="H29" s="190">
        <f>H15-H16-H17-H18-H19-H20-H22-H23-H24+H26+H27</f>
        <v>211090.25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199</v>
      </c>
      <c r="H34" s="218">
        <f>F34*G34</f>
        <v>199000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18">
        <f t="shared" ref="H35:H39" si="2">F35*G35</f>
        <v>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56</v>
      </c>
      <c r="H37" s="218">
        <f t="shared" si="2"/>
        <v>5600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18">
        <f t="shared" si="2"/>
        <v>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</v>
      </c>
      <c r="D42" s="12">
        <f>C42*2.25</f>
        <v>2.25</v>
      </c>
      <c r="F42" s="39" t="s">
        <v>79</v>
      </c>
      <c r="G42" s="218">
        <v>10004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2</v>
      </c>
      <c r="D44" s="12">
        <f>C44*120</f>
        <v>240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22</v>
      </c>
      <c r="D46" s="12">
        <f>C46*1.5</f>
        <v>33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3</v>
      </c>
      <c r="D49" s="12">
        <f>C49*42</f>
        <v>126</v>
      </c>
      <c r="F49" s="243" t="s">
        <v>86</v>
      </c>
      <c r="G49" s="190">
        <f>H34+H35+H36+H37+H38+H39+H40+H41+G42+H44+H45+H46</f>
        <v>215154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36</v>
      </c>
      <c r="D50" s="12">
        <f>C50*1.5</f>
        <v>54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4063.75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52866.75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46030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529</v>
      </c>
      <c r="D6" s="13">
        <f t="shared" ref="D6:D28" si="1">C6*L6</f>
        <v>402569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15</v>
      </c>
      <c r="D7" s="13">
        <f t="shared" si="1"/>
        <v>11715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2</v>
      </c>
      <c r="D8" s="13">
        <f t="shared" si="1"/>
        <v>2186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3</v>
      </c>
      <c r="D10" s="13">
        <f t="shared" si="1"/>
        <v>3096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>
        <v>2</v>
      </c>
      <c r="D11" s="13">
        <f t="shared" si="1"/>
        <v>2340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8+1+1</f>
        <v>10</v>
      </c>
      <c r="D12" s="48">
        <f t="shared" si="1"/>
        <v>9920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5</v>
      </c>
      <c r="D13" s="48">
        <f t="shared" si="1"/>
        <v>1535</v>
      </c>
      <c r="F13" s="163" t="s">
        <v>36</v>
      </c>
      <c r="G13" s="164"/>
      <c r="H13" s="165">
        <f>D29</f>
        <v>434667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6</v>
      </c>
      <c r="D14" s="31">
        <f t="shared" si="1"/>
        <v>66</v>
      </c>
      <c r="F14" s="168" t="s">
        <v>39</v>
      </c>
      <c r="G14" s="169"/>
      <c r="H14" s="170">
        <f>D54</f>
        <v>66066.75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>
        <v>2</v>
      </c>
      <c r="D15" s="31">
        <f t="shared" si="1"/>
        <v>1240</v>
      </c>
      <c r="F15" s="173" t="s">
        <v>40</v>
      </c>
      <c r="G15" s="164"/>
      <c r="H15" s="174">
        <f>H13-H14</f>
        <v>368600.25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2772+330</f>
        <v>3102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434667</v>
      </c>
      <c r="F29" s="186" t="s">
        <v>55</v>
      </c>
      <c r="G29" s="187"/>
      <c r="H29" s="190">
        <f>H15-H16-H17-H18-H19-H20-H22-H23-H24+H26+H27</f>
        <v>365498.25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218">
        <f>F34*G34</f>
        <v>41000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218">
        <f>F35*G35</f>
        <v>15000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8">
        <f t="shared" ref="H36:H39" si="2">F36*G36</f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550</v>
      </c>
      <c r="D37" s="12">
        <f>C37*111</f>
        <v>61050</v>
      </c>
      <c r="F37" s="12">
        <v>100</v>
      </c>
      <c r="G37" s="39">
        <v>73</v>
      </c>
      <c r="H37" s="218">
        <f t="shared" si="2"/>
        <v>7300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2</v>
      </c>
      <c r="H38" s="218">
        <f t="shared" si="2"/>
        <v>100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3</v>
      </c>
      <c r="D42" s="12">
        <f>C42*2.25</f>
        <v>6.75</v>
      </c>
      <c r="F42" s="39" t="s">
        <v>79</v>
      </c>
      <c r="G42" s="218">
        <v>165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21</v>
      </c>
      <c r="D44" s="12">
        <f>C44*120</f>
        <v>2520</v>
      </c>
      <c r="F44" s="37" t="s">
        <v>181</v>
      </c>
      <c r="G44" s="76" t="s">
        <v>182</v>
      </c>
      <c r="H44" s="202">
        <v>301634</v>
      </c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4</v>
      </c>
      <c r="D46" s="12">
        <f>C46*1.5</f>
        <v>6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365419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</v>
      </c>
      <c r="D50" s="12">
        <f>C50*1.5</f>
        <v>1.5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-79.25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66066.75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46031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647</v>
      </c>
      <c r="D6" s="13">
        <f t="shared" ref="D6:D28" si="1">C6*L6</f>
        <v>492367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20</v>
      </c>
      <c r="D13" s="48">
        <f t="shared" si="1"/>
        <v>6140</v>
      </c>
      <c r="F13" s="163" t="s">
        <v>36</v>
      </c>
      <c r="G13" s="164"/>
      <c r="H13" s="165">
        <f>D29</f>
        <v>498507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99282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399225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v>3882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498507</v>
      </c>
      <c r="F29" s="186" t="s">
        <v>55</v>
      </c>
      <c r="G29" s="187"/>
      <c r="H29" s="190">
        <f>H15-H16-H17-H18-H19-H20-H22-H23-H24+H26+H27+H28</f>
        <v>395343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395</v>
      </c>
      <c r="H34" s="218">
        <f t="shared" ref="H34:H39" si="2">F34*G34</f>
        <v>395000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si="2"/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864</v>
      </c>
      <c r="D37" s="12">
        <f>C37*111</f>
        <v>95904</v>
      </c>
      <c r="F37" s="12">
        <v>100</v>
      </c>
      <c r="G37" s="39">
        <v>3</v>
      </c>
      <c r="H37" s="218">
        <f t="shared" si="2"/>
        <v>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13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25</v>
      </c>
      <c r="D48" s="12">
        <f>C48*78</f>
        <v>1950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34</v>
      </c>
      <c r="D49" s="12">
        <f>C49*42</f>
        <v>1428</v>
      </c>
      <c r="F49" s="243" t="s">
        <v>86</v>
      </c>
      <c r="G49" s="190">
        <f>H34+H35+H36+H37+H38+H39+H40+H41+G42+H44+H45+H46</f>
        <v>395313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-30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99282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46031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317</v>
      </c>
      <c r="D6" s="13">
        <f t="shared" ref="D6:D28" si="1">C6*L6</f>
        <v>241237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9</v>
      </c>
      <c r="D7" s="13">
        <f t="shared" si="1"/>
        <v>7029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23</v>
      </c>
      <c r="D9" s="13">
        <f t="shared" si="1"/>
        <v>16859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>
        <v>1</v>
      </c>
      <c r="D11" s="13">
        <f t="shared" si="1"/>
        <v>1170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1+1</f>
        <v>2</v>
      </c>
      <c r="D12" s="48">
        <f t="shared" si="1"/>
        <v>1984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10</v>
      </c>
      <c r="D13" s="48">
        <f t="shared" si="1"/>
        <v>3070</v>
      </c>
      <c r="F13" s="163" t="s">
        <v>36</v>
      </c>
      <c r="G13" s="164"/>
      <c r="H13" s="165">
        <f>D29</f>
        <v>273073.33333333331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22</v>
      </c>
      <c r="D14" s="31">
        <f t="shared" si="1"/>
        <v>242</v>
      </c>
      <c r="F14" s="168" t="s">
        <v>39</v>
      </c>
      <c r="G14" s="169"/>
      <c r="H14" s="170">
        <f>D54</f>
        <v>45388.5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>
        <v>2</v>
      </c>
      <c r="D15" s="31">
        <f t="shared" si="1"/>
        <v>1240</v>
      </c>
      <c r="F15" s="173" t="s">
        <v>40</v>
      </c>
      <c r="G15" s="164"/>
      <c r="H15" s="174">
        <f>H13-H14</f>
        <v>227684.83333333331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v>1074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>
        <v>2</v>
      </c>
      <c r="D25" s="48">
        <f t="shared" si="1"/>
        <v>242.33333333333334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273073.33333333331</v>
      </c>
      <c r="F29" s="186" t="s">
        <v>55</v>
      </c>
      <c r="G29" s="187"/>
      <c r="H29" s="190">
        <f>H15-H16-H17-H18-H19-H20-H22-H23-H24+H26+H27</f>
        <v>226610.83333333331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218">
        <f>F34*G34</f>
        <v>148000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147</v>
      </c>
      <c r="H35" s="218">
        <f t="shared" ref="H35:H39" si="2">F35*G35</f>
        <v>73500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3</v>
      </c>
      <c r="H36" s="218">
        <f>F36*G36</f>
        <v>600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394</v>
      </c>
      <c r="D37" s="12">
        <f>C37*111</f>
        <v>43734</v>
      </c>
      <c r="F37" s="12">
        <v>100</v>
      </c>
      <c r="G37" s="39">
        <v>29</v>
      </c>
      <c r="H37" s="218">
        <f t="shared" si="2"/>
        <v>2900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18">
        <f t="shared" si="2"/>
        <v>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</v>
      </c>
      <c r="D44" s="12">
        <f>C44*120</f>
        <v>120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>
        <v>2</v>
      </c>
      <c r="D45" s="12">
        <f>C45*84</f>
        <v>168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3</v>
      </c>
      <c r="D46" s="12">
        <f>C46*1.5</f>
        <v>4.5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8</v>
      </c>
      <c r="D49" s="12">
        <f>C49*42</f>
        <v>336</v>
      </c>
      <c r="F49" s="243" t="s">
        <v>86</v>
      </c>
      <c r="G49" s="190">
        <f>H34+H35+H36+H37+H38+H39+H40+H41+G42+H44+H45+H46</f>
        <v>225050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20</v>
      </c>
      <c r="D50" s="12">
        <f>C50*1.5</f>
        <v>30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161</v>
      </c>
      <c r="G51" s="257">
        <f>G49-H29</f>
        <v>-1560.8333333333139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45388.5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46031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344</v>
      </c>
      <c r="D6" s="13">
        <f t="shared" ref="D6:D28" si="1">C6*L6</f>
        <v>261784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12</v>
      </c>
      <c r="D7" s="13">
        <f t="shared" si="1"/>
        <v>9372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78</v>
      </c>
      <c r="D9" s="13">
        <f t="shared" si="1"/>
        <v>57174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1</v>
      </c>
      <c r="D10" s="13">
        <f t="shared" si="1"/>
        <v>1032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4+1+1</f>
        <v>6</v>
      </c>
      <c r="D12" s="48">
        <f t="shared" si="1"/>
        <v>5952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10</v>
      </c>
      <c r="D13" s="48">
        <f t="shared" si="1"/>
        <v>3070</v>
      </c>
      <c r="F13" s="163" t="s">
        <v>36</v>
      </c>
      <c r="G13" s="164"/>
      <c r="H13" s="165">
        <f>D29</f>
        <v>341782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14</v>
      </c>
      <c r="D14" s="31">
        <f t="shared" si="1"/>
        <v>154</v>
      </c>
      <c r="F14" s="168" t="s">
        <v>39</v>
      </c>
      <c r="G14" s="169"/>
      <c r="H14" s="170">
        <f>D54</f>
        <v>52036.5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289745.5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684+672</f>
        <v>1356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4</v>
      </c>
      <c r="D28" s="48">
        <f t="shared" si="1"/>
        <v>3244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341782</v>
      </c>
      <c r="F29" s="186" t="s">
        <v>55</v>
      </c>
      <c r="G29" s="187"/>
      <c r="H29" s="190">
        <f>H15-H16-H17-H18-H19-H20-H22-H23-H24+H26+H27</f>
        <v>288389.5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83</v>
      </c>
      <c r="H34" s="218">
        <f>F34*G34</f>
        <v>83000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218">
        <f>F35*G35</f>
        <v>25000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6</v>
      </c>
      <c r="H36" s="218">
        <f t="shared" ref="H36:H39" si="2">F36*G36</f>
        <v>1200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452</v>
      </c>
      <c r="D37" s="12">
        <f>C37*111</f>
        <v>50172</v>
      </c>
      <c r="F37" s="12">
        <v>100</v>
      </c>
      <c r="G37" s="39">
        <v>171</v>
      </c>
      <c r="H37" s="218">
        <f t="shared" si="2"/>
        <v>17100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49</v>
      </c>
      <c r="H38" s="218">
        <f t="shared" si="2"/>
        <v>2450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218">
        <f t="shared" si="2"/>
        <v>60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4</v>
      </c>
      <c r="D42" s="12">
        <f>C42*2.25</f>
        <v>9</v>
      </c>
      <c r="F42" s="39" t="s">
        <v>79</v>
      </c>
      <c r="G42" s="218">
        <v>16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5</v>
      </c>
      <c r="D44" s="12">
        <f>C44*120</f>
        <v>600</v>
      </c>
      <c r="F44" s="37" t="s">
        <v>183</v>
      </c>
      <c r="G44" s="76" t="s">
        <v>184</v>
      </c>
      <c r="H44" s="202">
        <v>84877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185</v>
      </c>
      <c r="H45" s="202">
        <v>74828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12</v>
      </c>
      <c r="D46" s="12">
        <f>C46*1.5</f>
        <v>18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8</v>
      </c>
      <c r="D49" s="12">
        <f>C49*42</f>
        <v>336</v>
      </c>
      <c r="F49" s="243" t="s">
        <v>86</v>
      </c>
      <c r="G49" s="190">
        <f>H34+H35+H36+H37+H38+H39+H40+H41+G42+H44+H45+H46</f>
        <v>288531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8</v>
      </c>
      <c r="D50" s="12">
        <f>C50*1.5</f>
        <v>12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141.5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52036.5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46032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467</v>
      </c>
      <c r="D6" s="13">
        <f t="shared" ref="D6:D28" si="1">C6*L6</f>
        <v>355387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3</v>
      </c>
      <c r="D7" s="13">
        <f t="shared" si="1"/>
        <v>2343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70</v>
      </c>
      <c r="D8" s="13">
        <f t="shared" si="1"/>
        <v>76510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20</v>
      </c>
      <c r="D9" s="13">
        <f t="shared" si="1"/>
        <v>14660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2</v>
      </c>
      <c r="D10" s="13">
        <f t="shared" si="1"/>
        <v>2064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>
        <v>2</v>
      </c>
      <c r="D11" s="13">
        <f t="shared" si="1"/>
        <v>2340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v>3</v>
      </c>
      <c r="D12" s="48">
        <f t="shared" si="1"/>
        <v>2976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8</v>
      </c>
      <c r="D13" s="48">
        <f t="shared" si="1"/>
        <v>2456</v>
      </c>
      <c r="F13" s="163" t="s">
        <v>36</v>
      </c>
      <c r="G13" s="164"/>
      <c r="H13" s="165">
        <f>D29</f>
        <v>458758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2</v>
      </c>
      <c r="D14" s="31">
        <f t="shared" si="1"/>
        <v>22</v>
      </c>
      <c r="F14" s="168" t="s">
        <v>39</v>
      </c>
      <c r="G14" s="169"/>
      <c r="H14" s="170">
        <f>D54</f>
        <v>63504.75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395253.25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458758</v>
      </c>
      <c r="F29" s="186" t="s">
        <v>55</v>
      </c>
      <c r="G29" s="187"/>
      <c r="H29" s="190">
        <f>H15-H16-H17-H18-H19-H20-H22-H23-H24+H26+H27+H28</f>
        <v>395253.25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>
        <v>233</v>
      </c>
      <c r="H34" s="218">
        <f t="shared" ref="H34:H39" si="2">F34*G34</f>
        <v>233000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71</v>
      </c>
      <c r="H35" s="218">
        <f t="shared" si="2"/>
        <v>35500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18">
        <f t="shared" si="2"/>
        <v>400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49</v>
      </c>
      <c r="H37" s="218">
        <f t="shared" si="2"/>
        <v>4900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218">
        <f t="shared" si="2"/>
        <v>750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10</v>
      </c>
      <c r="D41" s="12">
        <f>C41*84</f>
        <v>840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8">
        <v>62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71</v>
      </c>
      <c r="D44" s="12">
        <f>C44*120</f>
        <v>8520</v>
      </c>
      <c r="F44" s="37" t="s">
        <v>186</v>
      </c>
      <c r="G44" s="62" t="s">
        <v>187</v>
      </c>
      <c r="H44" s="202">
        <v>73477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202">
        <v>20198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9</v>
      </c>
      <c r="D46" s="12">
        <f>C46*1.5</f>
        <v>13.5</v>
      </c>
      <c r="F46" s="37" t="s">
        <v>153</v>
      </c>
      <c r="G46" s="62"/>
      <c r="H46" s="202">
        <v>27000</v>
      </c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395307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14</v>
      </c>
      <c r="D50" s="12">
        <f>C50*1.5</f>
        <v>21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53.75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63504.75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46032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264</v>
      </c>
      <c r="D6" s="13">
        <f t="shared" ref="D6:D28" si="1">C6*L6</f>
        <v>200904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19</v>
      </c>
      <c r="D7" s="13">
        <f t="shared" si="1"/>
        <v>14839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37</v>
      </c>
      <c r="D9" s="13">
        <f t="shared" si="1"/>
        <v>27121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2</v>
      </c>
      <c r="D12" s="48">
        <f t="shared" si="1"/>
        <v>1984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9</v>
      </c>
      <c r="D13" s="48">
        <f t="shared" si="1"/>
        <v>2763</v>
      </c>
      <c r="F13" s="163" t="s">
        <v>36</v>
      </c>
      <c r="G13" s="164"/>
      <c r="H13" s="165">
        <f>D29</f>
        <v>250831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23</v>
      </c>
      <c r="D14" s="31">
        <f t="shared" si="1"/>
        <v>253</v>
      </c>
      <c r="F14" s="168" t="s">
        <v>39</v>
      </c>
      <c r="G14" s="169"/>
      <c r="H14" s="170">
        <f>D54</f>
        <v>44389.5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206441.5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v>1176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101</v>
      </c>
      <c r="C22" s="10">
        <v>1</v>
      </c>
      <c r="D22" s="48">
        <f t="shared" si="1"/>
        <v>1667</v>
      </c>
      <c r="F22" s="72"/>
      <c r="G22" s="73"/>
      <c r="H22" s="200"/>
      <c r="I22" s="200"/>
      <c r="J22" s="200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250831</v>
      </c>
      <c r="F29" s="186" t="s">
        <v>55</v>
      </c>
      <c r="G29" s="187"/>
      <c r="H29" s="190">
        <f>H15-H16-H17-H18-H19-H20-H22-H23-H24+H26+H27</f>
        <v>205265.5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49</v>
      </c>
      <c r="H34" s="218">
        <f>F34*G34</f>
        <v>49000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18">
        <f t="shared" ref="H35:H39" si="2">F35*G35</f>
        <v>16000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4</v>
      </c>
      <c r="H36" s="218">
        <f>F36*G36</f>
        <v>800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370</v>
      </c>
      <c r="D37" s="12">
        <f>C37*111</f>
        <v>41070</v>
      </c>
      <c r="F37" s="12">
        <v>100</v>
      </c>
      <c r="G37" s="39">
        <v>142</v>
      </c>
      <c r="H37" s="218">
        <f t="shared" si="2"/>
        <v>14200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13</v>
      </c>
      <c r="H38" s="218">
        <f t="shared" si="2"/>
        <v>650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16</v>
      </c>
      <c r="D42" s="12">
        <f>C42*2.25</f>
        <v>36</v>
      </c>
      <c r="F42" s="39" t="s">
        <v>79</v>
      </c>
      <c r="G42" s="218">
        <v>34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2</v>
      </c>
      <c r="D44" s="12">
        <f>C44*120</f>
        <v>240</v>
      </c>
      <c r="F44" s="37" t="s">
        <v>147</v>
      </c>
      <c r="G44" s="62" t="s">
        <v>188</v>
      </c>
      <c r="H44" s="202">
        <v>124746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</v>
      </c>
      <c r="D46" s="12">
        <f>C46*1.5</f>
        <v>3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205450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17</v>
      </c>
      <c r="D50" s="12">
        <f>C50*1.5</f>
        <v>25.5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184.5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44389.5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46032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394</v>
      </c>
      <c r="D6" s="13">
        <f t="shared" ref="D6:D28" si="1">C6*L6</f>
        <v>299834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3</v>
      </c>
      <c r="D7" s="13">
        <f t="shared" si="1"/>
        <v>2343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11</v>
      </c>
      <c r="D9" s="13">
        <f t="shared" si="1"/>
        <v>8063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2</v>
      </c>
      <c r="D10" s="13">
        <f t="shared" si="1"/>
        <v>2064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2</v>
      </c>
      <c r="D12" s="48">
        <f t="shared" si="1"/>
        <v>1984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6</v>
      </c>
      <c r="D13" s="48">
        <f t="shared" si="1"/>
        <v>1842</v>
      </c>
      <c r="F13" s="163" t="s">
        <v>36</v>
      </c>
      <c r="G13" s="164"/>
      <c r="H13" s="165">
        <f>D29</f>
        <v>317305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75464.25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241840.75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342+1296+666</f>
        <v>2304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95" t="s">
        <v>150</v>
      </c>
      <c r="C23" s="10">
        <v>1</v>
      </c>
      <c r="D23" s="48">
        <f t="shared" si="1"/>
        <v>1175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317305</v>
      </c>
      <c r="F29" s="186" t="s">
        <v>55</v>
      </c>
      <c r="G29" s="187"/>
      <c r="H29" s="190">
        <f>H15-H16-H17-H18-H19-H20-H22-H23-H24+H26+H27</f>
        <v>239536.75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51</v>
      </c>
      <c r="H34" s="218">
        <f>F34*G34</f>
        <v>51000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10</v>
      </c>
      <c r="H35" s="218">
        <f>F35*G35</f>
        <v>5000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627</v>
      </c>
      <c r="D37" s="12">
        <f>C37*111</f>
        <v>69597</v>
      </c>
      <c r="F37" s="12">
        <v>100</v>
      </c>
      <c r="G37" s="39">
        <v>1</v>
      </c>
      <c r="H37" s="218">
        <f t="shared" si="2"/>
        <v>100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48</v>
      </c>
      <c r="D38" s="12">
        <f>C38*84</f>
        <v>4032</v>
      </c>
      <c r="F38" s="30">
        <v>50</v>
      </c>
      <c r="G38" s="39">
        <v>2</v>
      </c>
      <c r="H38" s="218">
        <f t="shared" si="2"/>
        <v>100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18">
        <f t="shared" si="2"/>
        <v>40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8">
        <v>38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</v>
      </c>
      <c r="D44" s="12">
        <f>C44*120</f>
        <v>120</v>
      </c>
      <c r="F44" s="37" t="s">
        <v>156</v>
      </c>
      <c r="G44" s="76" t="s">
        <v>189</v>
      </c>
      <c r="H44" s="202">
        <v>44070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 t="s">
        <v>156</v>
      </c>
      <c r="G45" s="76" t="s">
        <v>190</v>
      </c>
      <c r="H45" s="202">
        <v>139104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16</v>
      </c>
      <c r="D49" s="12">
        <f>C49*42</f>
        <v>672</v>
      </c>
      <c r="F49" s="243" t="s">
        <v>86</v>
      </c>
      <c r="G49" s="190">
        <f>H34+H35+H36+H37+H38+H39+H40+H41+G42+H44+H45+H46</f>
        <v>239452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-84.75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75464.25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233</v>
      </c>
      <c r="D6" s="13">
        <f t="shared" ref="D6:D28" si="1">C6*L6</f>
        <v>177313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12</v>
      </c>
      <c r="D7" s="13">
        <f t="shared" si="1"/>
        <v>9372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3</v>
      </c>
      <c r="D8" s="13">
        <f t="shared" si="1"/>
        <v>3279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20</v>
      </c>
      <c r="D9" s="13">
        <f t="shared" si="1"/>
        <v>14660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3</v>
      </c>
      <c r="D10" s="13">
        <f t="shared" si="1"/>
        <v>3096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>
        <v>3</v>
      </c>
      <c r="D11" s="13">
        <f t="shared" si="1"/>
        <v>3510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f>4+1</f>
        <v>5</v>
      </c>
      <c r="D12" s="48">
        <f t="shared" si="1"/>
        <v>4960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7</v>
      </c>
      <c r="D13" s="48">
        <f t="shared" si="1"/>
        <v>2149</v>
      </c>
      <c r="F13" s="163" t="s">
        <v>36</v>
      </c>
      <c r="G13" s="164"/>
      <c r="H13" s="165">
        <f>D29</f>
        <v>228543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19</v>
      </c>
      <c r="D14" s="31">
        <f t="shared" si="1"/>
        <v>209</v>
      </c>
      <c r="F14" s="168" t="s">
        <v>39</v>
      </c>
      <c r="G14" s="169"/>
      <c r="H14" s="170">
        <f>D54</f>
        <v>28542.75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200000.25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>
        <f>1+3</f>
        <v>4</v>
      </c>
      <c r="D20" s="13">
        <f t="shared" si="1"/>
        <v>4700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 t="s">
        <v>159</v>
      </c>
      <c r="G22" s="73">
        <v>8418</v>
      </c>
      <c r="H22" s="200">
        <v>99507</v>
      </c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 t="s">
        <v>159</v>
      </c>
      <c r="G26" s="65">
        <v>8315</v>
      </c>
      <c r="H26" s="202">
        <v>92560</v>
      </c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5</v>
      </c>
      <c r="D28" s="48">
        <f t="shared" si="1"/>
        <v>4055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228543</v>
      </c>
      <c r="F29" s="186" t="s">
        <v>55</v>
      </c>
      <c r="G29" s="187"/>
      <c r="H29" s="190">
        <f>H15-H16-H17-H18-H19-H20-H22-H23-H24+H26+H27+H28</f>
        <v>193053.25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42</v>
      </c>
      <c r="H34" s="218">
        <f t="shared" ref="H34:H39" si="2">F34*G34</f>
        <v>42000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29</v>
      </c>
      <c r="H35" s="218">
        <f t="shared" si="2"/>
        <v>14500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36</v>
      </c>
      <c r="D36" s="12">
        <f>C36*1.5</f>
        <v>54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6</v>
      </c>
      <c r="H37" s="218">
        <f t="shared" si="2"/>
        <v>600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79</v>
      </c>
      <c r="D38" s="12">
        <f>C38*84</f>
        <v>6636</v>
      </c>
      <c r="F38" s="30">
        <v>50</v>
      </c>
      <c r="G38" s="39">
        <v>2</v>
      </c>
      <c r="H38" s="218">
        <f t="shared" si="2"/>
        <v>100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8">
        <v>159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7</v>
      </c>
      <c r="D44" s="12">
        <f>C44*120</f>
        <v>840</v>
      </c>
      <c r="F44" s="37" t="s">
        <v>153</v>
      </c>
      <c r="G44" s="62"/>
      <c r="H44" s="202">
        <v>11432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6</v>
      </c>
      <c r="D45" s="12">
        <f>C45*84</f>
        <v>504</v>
      </c>
      <c r="F45" s="37" t="s">
        <v>153</v>
      </c>
      <c r="G45" s="62"/>
      <c r="H45" s="202">
        <v>30888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5</v>
      </c>
      <c r="D46" s="12">
        <f>C46*1.5</f>
        <v>7.5</v>
      </c>
      <c r="F46" s="37" t="s">
        <v>156</v>
      </c>
      <c r="G46" s="96" t="s">
        <v>158</v>
      </c>
      <c r="H46" s="202">
        <v>92560</v>
      </c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192239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42</v>
      </c>
      <c r="D50" s="12">
        <f>C50*1.5</f>
        <v>63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-814.25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28542.75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351</v>
      </c>
      <c r="D6" s="13">
        <f t="shared" ref="D6:D28" si="1">C6*L6</f>
        <v>267111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11</v>
      </c>
      <c r="D7" s="13">
        <f t="shared" si="1"/>
        <v>8591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110</v>
      </c>
      <c r="D9" s="13">
        <f t="shared" si="1"/>
        <v>80630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13</v>
      </c>
      <c r="D13" s="48">
        <f t="shared" si="1"/>
        <v>3991</v>
      </c>
      <c r="F13" s="163" t="s">
        <v>36</v>
      </c>
      <c r="G13" s="164"/>
      <c r="H13" s="165">
        <f>D29</f>
        <v>360378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5</v>
      </c>
      <c r="D14" s="31">
        <f t="shared" si="1"/>
        <v>55</v>
      </c>
      <c r="F14" s="168" t="s">
        <v>39</v>
      </c>
      <c r="G14" s="169"/>
      <c r="H14" s="170">
        <f>D54</f>
        <v>53643.75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306734.25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2652</f>
        <v>2652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360378</v>
      </c>
      <c r="F29" s="186" t="s">
        <v>55</v>
      </c>
      <c r="G29" s="187"/>
      <c r="H29" s="190">
        <f>H15-H16-H17-H18-H19-H20-H22-H23-H24+H26+H27</f>
        <v>304082.25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218">
        <f>F34*G34</f>
        <v>123000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267</v>
      </c>
      <c r="H35" s="218">
        <f t="shared" ref="H35:H39" si="2">F35*G35</f>
        <v>133500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8">
        <f>F36*G36</f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471</v>
      </c>
      <c r="D37" s="12">
        <f>C37*111</f>
        <v>52281</v>
      </c>
      <c r="F37" s="12">
        <v>100</v>
      </c>
      <c r="G37" s="39">
        <v>384</v>
      </c>
      <c r="H37" s="218">
        <f t="shared" si="2"/>
        <v>38400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177</v>
      </c>
      <c r="H38" s="218">
        <f t="shared" si="2"/>
        <v>8850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5</v>
      </c>
      <c r="D42" s="12">
        <f>C42*2.25</f>
        <v>11.25</v>
      </c>
      <c r="F42" s="39" t="s">
        <v>79</v>
      </c>
      <c r="G42" s="218">
        <v>61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6</v>
      </c>
      <c r="D46" s="12">
        <f>C46*1.5</f>
        <v>9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2</v>
      </c>
      <c r="D49" s="12">
        <f>C49*42</f>
        <v>84</v>
      </c>
      <c r="F49" s="243" t="s">
        <v>86</v>
      </c>
      <c r="G49" s="190">
        <f>H34+H35+H36+H37+H38+H39+H40+H41+G42+H44+H45+H46</f>
        <v>304011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17</v>
      </c>
      <c r="D50" s="12">
        <f>C50*1.5</f>
        <v>25.5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161</v>
      </c>
      <c r="G51" s="257">
        <f>G49-H29</f>
        <v>-71.25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53643.75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437</v>
      </c>
      <c r="D6" s="13">
        <f t="shared" ref="D6:D28" si="1">C6*L6</f>
        <v>332557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4</v>
      </c>
      <c r="D7" s="13">
        <f t="shared" si="1"/>
        <v>3124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114</v>
      </c>
      <c r="D9" s="13">
        <f t="shared" si="1"/>
        <v>83562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4+1</f>
        <v>5</v>
      </c>
      <c r="D12" s="48">
        <f t="shared" si="1"/>
        <v>4960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13</v>
      </c>
      <c r="D13" s="48">
        <f t="shared" si="1"/>
        <v>3991</v>
      </c>
      <c r="F13" s="163" t="s">
        <v>36</v>
      </c>
      <c r="G13" s="164"/>
      <c r="H13" s="165">
        <f>D29</f>
        <v>429225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20</v>
      </c>
      <c r="D14" s="31">
        <f t="shared" si="1"/>
        <v>220</v>
      </c>
      <c r="F14" s="168" t="s">
        <v>39</v>
      </c>
      <c r="G14" s="169"/>
      <c r="H14" s="170">
        <f>D54</f>
        <v>84082.5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345142.5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1026+312</f>
        <v>1338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>
        <v>50</v>
      </c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1</v>
      </c>
      <c r="D28" s="48">
        <f t="shared" si="1"/>
        <v>811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429225</v>
      </c>
      <c r="F29" s="186" t="s">
        <v>55</v>
      </c>
      <c r="G29" s="187"/>
      <c r="H29" s="190">
        <f>H15-H16-H17-H18-H19-H20-H22-H23-H24+H26+H27</f>
        <v>343754.5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66</v>
      </c>
      <c r="H34" s="218">
        <f>F34*G34</f>
        <v>66000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218">
        <f>F35*G35</f>
        <v>17500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18">
        <f t="shared" ref="H36:H39" si="2">F36*G36</f>
        <v>600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706</v>
      </c>
      <c r="D37" s="12">
        <f>C37*111</f>
        <v>78366</v>
      </c>
      <c r="F37" s="12">
        <v>100</v>
      </c>
      <c r="G37" s="39">
        <v>84</v>
      </c>
      <c r="H37" s="218">
        <f t="shared" si="2"/>
        <v>8400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37</v>
      </c>
      <c r="D38" s="12">
        <f>C38*84</f>
        <v>3108</v>
      </c>
      <c r="F38" s="30">
        <v>50</v>
      </c>
      <c r="G38" s="39">
        <v>35</v>
      </c>
      <c r="H38" s="218">
        <f t="shared" si="2"/>
        <v>1750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8</v>
      </c>
      <c r="D42" s="12">
        <f>C42*2.25</f>
        <v>18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2</v>
      </c>
      <c r="D44" s="12">
        <f>C44*120</f>
        <v>240</v>
      </c>
      <c r="F44" s="113" t="s">
        <v>191</v>
      </c>
      <c r="G44" s="76" t="s">
        <v>192</v>
      </c>
      <c r="H44" s="202">
        <v>140724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3</v>
      </c>
      <c r="D45" s="12">
        <f>C45*84</f>
        <v>252</v>
      </c>
      <c r="F45" s="37" t="s">
        <v>147</v>
      </c>
      <c r="G45" s="76" t="s">
        <v>193</v>
      </c>
      <c r="H45" s="202">
        <v>108088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17</v>
      </c>
      <c r="D46" s="12">
        <f>C46*1.5</f>
        <v>25.5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5</v>
      </c>
      <c r="D49" s="12">
        <f>C49*42</f>
        <v>210</v>
      </c>
      <c r="F49" s="243" t="s">
        <v>86</v>
      </c>
      <c r="G49" s="190">
        <f>H34+H35+H36+H37+H38+H39+H40+H41+G42+H44+H45+H46</f>
        <v>343062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14</v>
      </c>
      <c r="D50" s="12">
        <f>C50*1.5</f>
        <v>21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-692.5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84082.5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435D0-A781-43B0-BB54-63A5594375B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04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7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AF96F-764A-49BB-A36E-4DC837A8A00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46035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355</v>
      </c>
      <c r="D6" s="13">
        <f t="shared" ref="D6:D28" si="1">C6*L6</f>
        <v>270155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3</v>
      </c>
      <c r="D7" s="13">
        <f t="shared" si="1"/>
        <v>2343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20</v>
      </c>
      <c r="D9" s="13">
        <f t="shared" si="1"/>
        <v>14660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5</v>
      </c>
      <c r="D10" s="13">
        <f t="shared" si="1"/>
        <v>5160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>
        <v>5</v>
      </c>
      <c r="D11" s="13">
        <f t="shared" si="1"/>
        <v>5850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v>6</v>
      </c>
      <c r="D12" s="48">
        <f t="shared" si="1"/>
        <v>5952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8</v>
      </c>
      <c r="D13" s="48">
        <f t="shared" si="1"/>
        <v>2456</v>
      </c>
      <c r="F13" s="163" t="s">
        <v>36</v>
      </c>
      <c r="G13" s="164"/>
      <c r="H13" s="165">
        <f>D29</f>
        <v>308880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23</v>
      </c>
      <c r="D14" s="31">
        <f t="shared" si="1"/>
        <v>253</v>
      </c>
      <c r="F14" s="168" t="s">
        <v>39</v>
      </c>
      <c r="G14" s="169"/>
      <c r="H14" s="170">
        <f>D54</f>
        <v>123354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185526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1314</f>
        <v>1314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07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1</v>
      </c>
      <c r="D28" s="48">
        <f t="shared" si="1"/>
        <v>811</v>
      </c>
      <c r="F28" s="104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308880</v>
      </c>
      <c r="F29" s="186" t="s">
        <v>55</v>
      </c>
      <c r="G29" s="187"/>
      <c r="H29" s="190">
        <f>H15-H16-H17-H18-H19-H20-H22-H23-H24+H26+H27+H28</f>
        <v>184212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78</v>
      </c>
      <c r="H34" s="218">
        <f t="shared" ref="H34:H39" si="2">F34*G34</f>
        <v>78000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218">
        <f t="shared" si="2"/>
        <v>10500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1045</v>
      </c>
      <c r="D37" s="12">
        <f>C37*111</f>
        <v>115995</v>
      </c>
      <c r="F37" s="12">
        <v>100</v>
      </c>
      <c r="G37" s="39">
        <v>8</v>
      </c>
      <c r="H37" s="218">
        <f t="shared" si="2"/>
        <v>800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23</v>
      </c>
      <c r="D38" s="12">
        <f>C38*84</f>
        <v>1932</v>
      </c>
      <c r="F38" s="30">
        <v>50</v>
      </c>
      <c r="G38" s="39">
        <v>7</v>
      </c>
      <c r="H38" s="218">
        <f t="shared" si="2"/>
        <v>350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20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7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19</v>
      </c>
      <c r="D44" s="12">
        <f>C44*120</f>
        <v>2280</v>
      </c>
      <c r="F44" s="37" t="s">
        <v>147</v>
      </c>
      <c r="G44" s="62" t="s">
        <v>195</v>
      </c>
      <c r="H44" s="202">
        <v>69378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202">
        <v>25500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22</v>
      </c>
      <c r="D46" s="12">
        <f>C46*1.5</f>
        <v>33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184548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</v>
      </c>
      <c r="D50" s="12">
        <f>C50*1.5</f>
        <v>1.5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336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123354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9F3C-999B-4470-A701-EA35174B52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46035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f>394-63</f>
        <v>331</v>
      </c>
      <c r="D6" s="13">
        <f t="shared" ref="D6:D28" si="1">C6*L6</f>
        <v>251891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6</v>
      </c>
      <c r="D7" s="13">
        <f t="shared" si="1"/>
        <v>4686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f>54-14</f>
        <v>40</v>
      </c>
      <c r="D9" s="13">
        <f t="shared" si="1"/>
        <v>29320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3</v>
      </c>
      <c r="D12" s="48">
        <f t="shared" si="1"/>
        <v>2976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8</v>
      </c>
      <c r="D13" s="48">
        <f t="shared" si="1"/>
        <v>2456</v>
      </c>
      <c r="F13" s="163" t="s">
        <v>36</v>
      </c>
      <c r="G13" s="164"/>
      <c r="H13" s="165">
        <f>D29</f>
        <v>295463.33333333331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22</v>
      </c>
      <c r="D14" s="31">
        <f t="shared" si="1"/>
        <v>242</v>
      </c>
      <c r="F14" s="168" t="s">
        <v>39</v>
      </c>
      <c r="G14" s="169"/>
      <c r="H14" s="170">
        <f>D54</f>
        <v>42937.5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252525.83333333331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v>1182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114" t="s">
        <v>194</v>
      </c>
      <c r="C20" s="10">
        <f>1+1</f>
        <v>2</v>
      </c>
      <c r="D20" s="13">
        <f t="shared" si="1"/>
        <v>2350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2</v>
      </c>
      <c r="D28" s="48">
        <f t="shared" si="1"/>
        <v>242.33333333333334</v>
      </c>
      <c r="F28" s="104"/>
      <c r="G28" s="61"/>
      <c r="H28" s="212"/>
      <c r="I28" s="213"/>
      <c r="J28" s="214"/>
      <c r="L28" s="47">
        <f>700/6+4.5</f>
        <v>121.16666666666667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295463.33333333331</v>
      </c>
      <c r="F29" s="186" t="s">
        <v>55</v>
      </c>
      <c r="G29" s="187"/>
      <c r="H29" s="190">
        <f>H15-H16-H17-H18-H19-H20-H22-H23-H24+H26+H27</f>
        <v>251343.83333333331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93</v>
      </c>
      <c r="H34" s="218">
        <f>F34*G34</f>
        <v>93000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218">
        <f t="shared" ref="H35:H39" si="2">F35*G35</f>
        <v>14000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7</v>
      </c>
      <c r="H36" s="218">
        <f>F36*G36</f>
        <v>1400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100</v>
      </c>
      <c r="H37" s="218">
        <f t="shared" si="2"/>
        <v>10000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21</v>
      </c>
      <c r="D38" s="12">
        <f>C38*84</f>
        <v>1764</v>
      </c>
      <c r="F38" s="30">
        <v>50</v>
      </c>
      <c r="G38" s="39">
        <v>4</v>
      </c>
      <c r="H38" s="218">
        <f t="shared" si="2"/>
        <v>200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12</v>
      </c>
      <c r="D42" s="12">
        <f>C42*2.25</f>
        <v>27</v>
      </c>
      <c r="F42" s="39" t="s">
        <v>79</v>
      </c>
      <c r="G42" s="218">
        <v>50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7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147</v>
      </c>
      <c r="G44" s="62" t="s">
        <v>196</v>
      </c>
      <c r="H44" s="202">
        <v>131773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06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30</v>
      </c>
      <c r="D49" s="12">
        <f>C49*42</f>
        <v>1260</v>
      </c>
      <c r="F49" s="243" t="s">
        <v>86</v>
      </c>
      <c r="G49" s="190">
        <f>H34+H35+H36+H37+H38+H39+H40+H41+G42+H44+H45+H46</f>
        <v>250423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8</v>
      </c>
      <c r="D50" s="12">
        <f>C50*1.5</f>
        <v>12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161</v>
      </c>
      <c r="G51" s="257">
        <f>G49-H29</f>
        <v>-920.83333333331393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42937.5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7A12E-9992-4A31-9BCC-46FD40EA0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46035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363</v>
      </c>
      <c r="D6" s="13">
        <f t="shared" ref="D6:D28" si="1">C6*L6</f>
        <v>276243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7</v>
      </c>
      <c r="D7" s="13">
        <f t="shared" si="1"/>
        <v>5467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15</v>
      </c>
      <c r="D9" s="13">
        <f t="shared" si="1"/>
        <v>10995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3</v>
      </c>
      <c r="D10" s="13">
        <f t="shared" si="1"/>
        <v>3096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12</v>
      </c>
      <c r="D13" s="48">
        <f t="shared" si="1"/>
        <v>3684</v>
      </c>
      <c r="F13" s="163" t="s">
        <v>36</v>
      </c>
      <c r="G13" s="164"/>
      <c r="H13" s="165">
        <f>D29</f>
        <v>302382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5</v>
      </c>
      <c r="D14" s="31">
        <f t="shared" si="1"/>
        <v>55</v>
      </c>
      <c r="F14" s="168" t="s">
        <v>39</v>
      </c>
      <c r="G14" s="169"/>
      <c r="H14" s="170">
        <f>D54</f>
        <v>67329.75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235052.25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1296+324</f>
        <v>1620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95" t="s">
        <v>150</v>
      </c>
      <c r="C23" s="10">
        <v>1</v>
      </c>
      <c r="D23" s="48">
        <f t="shared" si="1"/>
        <v>1175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>
        <v>1</v>
      </c>
      <c r="D24" s="48">
        <f t="shared" si="1"/>
        <v>1667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04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302382</v>
      </c>
      <c r="F29" s="186" t="s">
        <v>55</v>
      </c>
      <c r="G29" s="187"/>
      <c r="H29" s="190">
        <f>H15-H16-H17-H18-H19-H20-H22-H23-H24+H26+H27</f>
        <v>233432.25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87</v>
      </c>
      <c r="H34" s="218">
        <f>F34*G34</f>
        <v>87000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48</v>
      </c>
      <c r="H35" s="218">
        <f>F35*G35</f>
        <v>24000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568</v>
      </c>
      <c r="D37" s="12">
        <f>C37*111</f>
        <v>63048</v>
      </c>
      <c r="F37" s="12">
        <v>100</v>
      </c>
      <c r="G37" s="39">
        <v>39</v>
      </c>
      <c r="H37" s="218">
        <f t="shared" si="2"/>
        <v>3900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27</v>
      </c>
      <c r="H38" s="218">
        <f t="shared" si="2"/>
        <v>1350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8">
        <v>59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7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156</v>
      </c>
      <c r="G44" s="76" t="s">
        <v>197</v>
      </c>
      <c r="H44" s="202">
        <v>117189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233498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</v>
      </c>
      <c r="D50" s="12">
        <f>C50*1.5</f>
        <v>3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65.75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67329.75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09A9C-F6F9-49C7-A02F-E12D7DC3E9C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1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B20F5-1FE7-47A9-9712-2C45168303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46036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/>
      <c r="D6" s="13">
        <f t="shared" ref="D6:D28" si="1">C6*L6</f>
        <v>0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08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H15-H16-H17-H18-H19-H20-H22-H23-H24+H26+H27+H28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8">
        <f t="shared" ref="H34:H39" si="2"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si="2"/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80A9-8B03-4023-809A-82C2B2065F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46036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509</v>
      </c>
      <c r="D6" s="13">
        <f t="shared" ref="D6:D28" si="1">C6*L6</f>
        <v>387349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82</v>
      </c>
      <c r="D9" s="13">
        <f t="shared" si="1"/>
        <v>60106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19</v>
      </c>
      <c r="D13" s="48">
        <f t="shared" si="1"/>
        <v>5833</v>
      </c>
      <c r="F13" s="163" t="s">
        <v>36</v>
      </c>
      <c r="G13" s="164"/>
      <c r="H13" s="165">
        <f>D29</f>
        <v>453420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12</v>
      </c>
      <c r="D14" s="31">
        <f t="shared" si="1"/>
        <v>132</v>
      </c>
      <c r="F14" s="168" t="s">
        <v>39</v>
      </c>
      <c r="G14" s="169"/>
      <c r="H14" s="170">
        <f>D54</f>
        <v>80525.25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372894.75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235*6+350*6</f>
        <v>3510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453420</v>
      </c>
      <c r="F29" s="186" t="s">
        <v>55</v>
      </c>
      <c r="G29" s="187"/>
      <c r="H29" s="190">
        <f>H15-H16-H17-H18-H19-H20-H22-H23-H24+H26+H27</f>
        <v>369384.75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218">
        <f>F34*G34</f>
        <v>101000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96</v>
      </c>
      <c r="H35" s="218">
        <f t="shared" ref="H35:H39" si="2">F35*G35</f>
        <v>48000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715</v>
      </c>
      <c r="D37" s="12">
        <f>C37*111</f>
        <v>79365</v>
      </c>
      <c r="F37" s="12">
        <v>100</v>
      </c>
      <c r="G37" s="39">
        <v>3</v>
      </c>
      <c r="H37" s="218">
        <f t="shared" si="2"/>
        <v>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3</v>
      </c>
      <c r="D42" s="12">
        <f>C42*2.25</f>
        <v>6.75</v>
      </c>
      <c r="F42" s="39" t="s">
        <v>79</v>
      </c>
      <c r="G42" s="218">
        <v>4035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147</v>
      </c>
      <c r="G44" s="62" t="s">
        <v>198</v>
      </c>
      <c r="H44" s="202">
        <v>216075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35</v>
      </c>
      <c r="D46" s="12">
        <f>C46*1.5</f>
        <v>52.5</v>
      </c>
      <c r="F46" s="37"/>
      <c r="G46" s="10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3</v>
      </c>
      <c r="D49" s="12">
        <f>C49*42</f>
        <v>126</v>
      </c>
      <c r="F49" s="243" t="s">
        <v>86</v>
      </c>
      <c r="G49" s="190">
        <f>H34+H35+H36+H37+H38+H39+H40+H41+G42+H44+H45+H46</f>
        <v>369410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23</v>
      </c>
      <c r="D50" s="12">
        <f>C50*1.5</f>
        <v>34.5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25.25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80525.25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6A9B0-77A8-40FF-9B79-B0FECAABF35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46036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205</v>
      </c>
      <c r="D6" s="13">
        <f t="shared" ref="D6:D28" si="1">C6*L6</f>
        <v>156005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5</v>
      </c>
      <c r="D9" s="13">
        <f t="shared" si="1"/>
        <v>3665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2</v>
      </c>
      <c r="D10" s="13">
        <f t="shared" si="1"/>
        <v>2064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1</v>
      </c>
      <c r="D12" s="48">
        <f t="shared" si="1"/>
        <v>992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7</v>
      </c>
      <c r="D13" s="48">
        <f t="shared" si="1"/>
        <v>2149</v>
      </c>
      <c r="F13" s="163" t="s">
        <v>36</v>
      </c>
      <c r="G13" s="164"/>
      <c r="H13" s="165">
        <f>D29</f>
        <v>164919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4</v>
      </c>
      <c r="D14" s="31">
        <f t="shared" si="1"/>
        <v>44</v>
      </c>
      <c r="F14" s="168" t="s">
        <v>39</v>
      </c>
      <c r="G14" s="169"/>
      <c r="H14" s="170">
        <f>D54</f>
        <v>24184.5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140734.5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128*6+50*6</f>
        <v>1068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164919</v>
      </c>
      <c r="F29" s="186" t="s">
        <v>55</v>
      </c>
      <c r="G29" s="187"/>
      <c r="H29" s="190">
        <f>H15-H16-H17-H18-H19-H20-H22-H23-H24+H26+H27</f>
        <v>139666.5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38</v>
      </c>
      <c r="H34" s="218">
        <f>F34*G34</f>
        <v>38000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218">
        <f>F35*G35</f>
        <v>17000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210</v>
      </c>
      <c r="D37" s="12">
        <f>C37*111</f>
        <v>23310</v>
      </c>
      <c r="F37" s="12">
        <v>100</v>
      </c>
      <c r="G37" s="39">
        <v>2</v>
      </c>
      <c r="H37" s="218">
        <f t="shared" si="2"/>
        <v>200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</v>
      </c>
      <c r="D44" s="12">
        <f>C44*120</f>
        <v>120</v>
      </c>
      <c r="F44" s="37" t="s">
        <v>147</v>
      </c>
      <c r="G44" s="76" t="s">
        <v>199</v>
      </c>
      <c r="H44" s="202">
        <v>84323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4</v>
      </c>
      <c r="D49" s="12">
        <f>C49*42</f>
        <v>168</v>
      </c>
      <c r="F49" s="243" t="s">
        <v>86</v>
      </c>
      <c r="G49" s="190">
        <f>H34+H35+H36+H37+H38+H39+H40+H41+G42+H44+H45+H46</f>
        <v>139523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23</v>
      </c>
      <c r="D50" s="12">
        <f>C50*1.5</f>
        <v>34.5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-143.5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24184.5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33036-3E20-4C50-BB00-4CDC7B5352E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1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D27CF-D19C-4D6A-810D-1A453C022A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46037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503</v>
      </c>
      <c r="D6" s="13">
        <f t="shared" ref="D6:D28" si="1">C6*L6</f>
        <v>382783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25</v>
      </c>
      <c r="D7" s="13">
        <f t="shared" si="1"/>
        <v>19525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10</v>
      </c>
      <c r="D9" s="13">
        <f t="shared" si="1"/>
        <v>7330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16</v>
      </c>
      <c r="D13" s="48">
        <f t="shared" si="1"/>
        <v>4912</v>
      </c>
      <c r="F13" s="163" t="s">
        <v>36</v>
      </c>
      <c r="G13" s="164"/>
      <c r="H13" s="165">
        <f>D29</f>
        <v>414803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23</v>
      </c>
      <c r="D14" s="31">
        <f t="shared" si="1"/>
        <v>253</v>
      </c>
      <c r="F14" s="168" t="s">
        <v>39</v>
      </c>
      <c r="G14" s="169"/>
      <c r="H14" s="170">
        <f>D54</f>
        <v>93813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320990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432*6</f>
        <v>2592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08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414803</v>
      </c>
      <c r="F29" s="186" t="s">
        <v>55</v>
      </c>
      <c r="G29" s="187"/>
      <c r="H29" s="190">
        <f>H15-H16-H17-H18-H19-H20-H22-H23-H24+H26+H27+H28</f>
        <v>318398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8</v>
      </c>
      <c r="D34" s="30">
        <f>C34*120</f>
        <v>960</v>
      </c>
      <c r="F34" s="12">
        <v>1000</v>
      </c>
      <c r="G34" s="40">
        <v>61</v>
      </c>
      <c r="H34" s="218">
        <f t="shared" ref="H34:H39" si="2">F34*G34</f>
        <v>61000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18">
        <f t="shared" si="2"/>
        <v>3000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218">
        <f t="shared" si="2"/>
        <v>600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659</v>
      </c>
      <c r="D37" s="12">
        <f>C37*111</f>
        <v>73149</v>
      </c>
      <c r="F37" s="12">
        <v>100</v>
      </c>
      <c r="G37" s="39">
        <v>11</v>
      </c>
      <c r="H37" s="218">
        <f t="shared" si="2"/>
        <v>1100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70</v>
      </c>
      <c r="D38" s="12">
        <f>C38*84</f>
        <v>5880</v>
      </c>
      <c r="F38" s="30">
        <v>50</v>
      </c>
      <c r="G38" s="39">
        <v>8</v>
      </c>
      <c r="H38" s="218">
        <f t="shared" si="2"/>
        <v>400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105</v>
      </c>
      <c r="D40" s="12">
        <f>C40*111</f>
        <v>11655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38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12</v>
      </c>
      <c r="D44" s="12">
        <f>C44*120</f>
        <v>1440</v>
      </c>
      <c r="F44" s="37" t="s">
        <v>147</v>
      </c>
      <c r="G44" s="62" t="s">
        <v>202</v>
      </c>
      <c r="H44" s="202">
        <v>252228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23</v>
      </c>
      <c r="D46" s="12">
        <f>C46*1.5</f>
        <v>34.5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318366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13</v>
      </c>
      <c r="D50" s="12">
        <f>C50*1.5</f>
        <v>19.5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-32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93813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AEBCD-BA6C-4638-81AC-A0B39A6F58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46037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285</v>
      </c>
      <c r="D6" s="13">
        <f t="shared" ref="D6:D28" si="1">C6*L6</f>
        <v>216885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3</v>
      </c>
      <c r="D7" s="13">
        <f t="shared" si="1"/>
        <v>2343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21</v>
      </c>
      <c r="D9" s="13">
        <f t="shared" si="1"/>
        <v>15393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13</v>
      </c>
      <c r="D13" s="48">
        <f t="shared" si="1"/>
        <v>3991</v>
      </c>
      <c r="F13" s="163" t="s">
        <v>36</v>
      </c>
      <c r="G13" s="164"/>
      <c r="H13" s="165">
        <f>D29</f>
        <v>238821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19</v>
      </c>
      <c r="D14" s="31">
        <f t="shared" si="1"/>
        <v>209</v>
      </c>
      <c r="F14" s="168" t="s">
        <v>39</v>
      </c>
      <c r="G14" s="169"/>
      <c r="H14" s="170">
        <f>D54</f>
        <v>59093.25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179727.75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216*6</f>
        <v>1296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238821</v>
      </c>
      <c r="F29" s="186" t="s">
        <v>55</v>
      </c>
      <c r="G29" s="187"/>
      <c r="H29" s="190">
        <f>H15-H16-H17-H18-H19-H20-H22-H23-H24+H26+H27</f>
        <v>178431.75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218">
        <f>F34*G34</f>
        <v>44000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218">
        <f t="shared" ref="H35:H39" si="2">F35*G35</f>
        <v>11000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8">
        <f>F36*G36</f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521</v>
      </c>
      <c r="D37" s="12">
        <f>C37*111</f>
        <v>57831</v>
      </c>
      <c r="F37" s="12">
        <v>100</v>
      </c>
      <c r="G37" s="39">
        <v>45</v>
      </c>
      <c r="H37" s="218">
        <f t="shared" si="2"/>
        <v>4500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21</v>
      </c>
      <c r="H38" s="218">
        <f t="shared" si="2"/>
        <v>1050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8">
        <v>243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147</v>
      </c>
      <c r="G44" s="62" t="s">
        <v>201</v>
      </c>
      <c r="H44" s="202">
        <v>117436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0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9</v>
      </c>
      <c r="D49" s="12">
        <f>C49*42</f>
        <v>378</v>
      </c>
      <c r="F49" s="243" t="s">
        <v>86</v>
      </c>
      <c r="G49" s="190">
        <f>H34+H35+H36+H37+H38+H39+H40+H41+G42+H44+H45+H46</f>
        <v>178429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44</v>
      </c>
      <c r="D50" s="12">
        <f>C50*1.5</f>
        <v>66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161</v>
      </c>
      <c r="G51" s="257">
        <f>G49-H29</f>
        <v>-2.75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59093.25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592F-D0CB-4A32-B713-7F1C876436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46037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421</v>
      </c>
      <c r="D6" s="13">
        <f t="shared" ref="D6:D28" si="1">C6*L6</f>
        <v>320381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15</v>
      </c>
      <c r="D9" s="13">
        <f t="shared" si="1"/>
        <v>10995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>
        <v>1</v>
      </c>
      <c r="D11" s="13">
        <f t="shared" si="1"/>
        <v>1170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5</v>
      </c>
      <c r="D13" s="48">
        <f t="shared" si="1"/>
        <v>1535</v>
      </c>
      <c r="F13" s="163" t="s">
        <v>36</v>
      </c>
      <c r="G13" s="164"/>
      <c r="H13" s="165">
        <f>D29</f>
        <v>334136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5</v>
      </c>
      <c r="D14" s="31">
        <f t="shared" si="1"/>
        <v>55</v>
      </c>
      <c r="F14" s="168" t="s">
        <v>39</v>
      </c>
      <c r="G14" s="169"/>
      <c r="H14" s="170">
        <f>D54</f>
        <v>59604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274532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291*6+56*6</f>
        <v>2082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334136</v>
      </c>
      <c r="F29" s="186" t="s">
        <v>55</v>
      </c>
      <c r="G29" s="187"/>
      <c r="H29" s="190">
        <f>H15-H16-H17-H18-H19-H20-H22-H23-H24+H26+H27</f>
        <v>272450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78</v>
      </c>
      <c r="H34" s="218">
        <f>F34*G34</f>
        <v>78000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8">
        <f>F35*G35</f>
        <v>7000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8">
        <f t="shared" ref="H36:H39" si="2">F36*G36</f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522</v>
      </c>
      <c r="D37" s="12">
        <f>C37*111</f>
        <v>57942</v>
      </c>
      <c r="F37" s="12">
        <v>100</v>
      </c>
      <c r="G37" s="39">
        <v>30</v>
      </c>
      <c r="H37" s="218">
        <f t="shared" si="2"/>
        <v>3000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126</v>
      </c>
      <c r="H38" s="218">
        <f t="shared" si="2"/>
        <v>6300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2</v>
      </c>
      <c r="D42" s="12">
        <f>C42*2.25</f>
        <v>4.5</v>
      </c>
      <c r="F42" s="39" t="s">
        <v>79</v>
      </c>
      <c r="G42" s="218">
        <v>38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156</v>
      </c>
      <c r="G44" s="76" t="s">
        <v>200</v>
      </c>
      <c r="H44" s="202">
        <v>177449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8</v>
      </c>
      <c r="D46" s="12">
        <f>C46*1.5</f>
        <v>12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272007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20</v>
      </c>
      <c r="D50" s="12">
        <f>C50*1.5</f>
        <v>30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-443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59604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DA0-3B6A-491C-9C8E-7B711F6366B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1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0BBDF-472B-4131-8C5C-02F8C36714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210</v>
      </c>
      <c r="D6" s="13">
        <f t="shared" ref="D6:D28" si="1">C6*L6</f>
        <v>159810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11</v>
      </c>
      <c r="D7" s="13">
        <f t="shared" si="1"/>
        <v>8591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51</v>
      </c>
      <c r="D9" s="13">
        <f t="shared" si="1"/>
        <v>37383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f>3+2</f>
        <v>5</v>
      </c>
      <c r="D12" s="48">
        <f t="shared" si="1"/>
        <v>4960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6</v>
      </c>
      <c r="D13" s="48">
        <f t="shared" si="1"/>
        <v>1842</v>
      </c>
      <c r="F13" s="163" t="s">
        <v>36</v>
      </c>
      <c r="G13" s="164"/>
      <c r="H13" s="165">
        <f>D29</f>
        <v>213357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11</v>
      </c>
      <c r="D14" s="31">
        <f t="shared" si="1"/>
        <v>121</v>
      </c>
      <c r="F14" s="168" t="s">
        <v>39</v>
      </c>
      <c r="G14" s="169"/>
      <c r="H14" s="170">
        <f>D54</f>
        <v>30288.75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183068.25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7">
        <v>313.88</v>
      </c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08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213357</v>
      </c>
      <c r="F29" s="186" t="s">
        <v>55</v>
      </c>
      <c r="G29" s="187"/>
      <c r="H29" s="190">
        <f>H15-H16-H17-H18-H19-H20-H22-H23-H24+H26+H27+H28</f>
        <v>182754.37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149</v>
      </c>
      <c r="H34" s="218">
        <f t="shared" ref="H34:H39" si="2">F34*G34</f>
        <v>149000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56</v>
      </c>
      <c r="H35" s="218">
        <f t="shared" si="2"/>
        <v>28000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218">
        <f t="shared" si="2"/>
        <v>600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247</v>
      </c>
      <c r="D37" s="12">
        <f>C37*111</f>
        <v>27417</v>
      </c>
      <c r="F37" s="12">
        <v>100</v>
      </c>
      <c r="G37" s="39">
        <v>48</v>
      </c>
      <c r="H37" s="218">
        <f t="shared" si="2"/>
        <v>4800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7</v>
      </c>
      <c r="H38" s="218">
        <f t="shared" si="2"/>
        <v>350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</v>
      </c>
      <c r="D42" s="12">
        <f>C42*2.25</f>
        <v>2.25</v>
      </c>
      <c r="F42" s="39" t="s">
        <v>79</v>
      </c>
      <c r="G42" s="218">
        <v>131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6</v>
      </c>
      <c r="D44" s="12">
        <f>C44*120</f>
        <v>720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18</v>
      </c>
      <c r="D46" s="12">
        <f>C46*1.5</f>
        <v>27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2</v>
      </c>
      <c r="D49" s="12">
        <f>C49*42</f>
        <v>84</v>
      </c>
      <c r="F49" s="243" t="s">
        <v>86</v>
      </c>
      <c r="G49" s="190">
        <f>H34+H35+H36+H37+H38+H39+H40+H41+G42+H44+H45+H46</f>
        <v>182881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20</v>
      </c>
      <c r="D50" s="12">
        <f>C50*1.5</f>
        <v>30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126.63000000000466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30288.75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B18EE-7BDF-4E14-811A-CE4FCA4B5B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346</v>
      </c>
      <c r="D6" s="13">
        <f t="shared" ref="D6:D28" si="1">C6*L6</f>
        <v>263306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</v>
      </c>
      <c r="D7" s="13">
        <f t="shared" si="1"/>
        <v>781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18</v>
      </c>
      <c r="D9" s="13">
        <f t="shared" si="1"/>
        <v>13194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1</v>
      </c>
      <c r="D10" s="13">
        <f t="shared" si="1"/>
        <v>1032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14</v>
      </c>
      <c r="D13" s="48">
        <f t="shared" si="1"/>
        <v>4298</v>
      </c>
      <c r="F13" s="163" t="s">
        <v>36</v>
      </c>
      <c r="G13" s="164"/>
      <c r="H13" s="165">
        <f>D29</f>
        <v>282677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6</v>
      </c>
      <c r="D14" s="31">
        <f t="shared" si="1"/>
        <v>66</v>
      </c>
      <c r="F14" s="168" t="s">
        <v>39</v>
      </c>
      <c r="G14" s="169"/>
      <c r="H14" s="170">
        <f>D54</f>
        <v>41862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240815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1296</f>
        <v>1296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282677</v>
      </c>
      <c r="F29" s="186" t="s">
        <v>55</v>
      </c>
      <c r="G29" s="187"/>
      <c r="H29" s="190">
        <f>H15-H16-H17-H18-H19-H20-H22-H23-H24+H26+H27</f>
        <v>239519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218">
        <f>F34*G34</f>
        <v>180000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24</v>
      </c>
      <c r="H35" s="218">
        <f t="shared" ref="H35:H39" si="2">F35*G35</f>
        <v>12000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2</v>
      </c>
      <c r="H36" s="218">
        <f>F36*G36</f>
        <v>400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366</v>
      </c>
      <c r="D37" s="12">
        <f>C37*111</f>
        <v>40626</v>
      </c>
      <c r="F37" s="12">
        <v>100</v>
      </c>
      <c r="G37" s="39">
        <v>338</v>
      </c>
      <c r="H37" s="218">
        <f t="shared" si="2"/>
        <v>33800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208</v>
      </c>
      <c r="H38" s="218">
        <f t="shared" si="2"/>
        <v>10400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103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153</v>
      </c>
      <c r="G44" s="62" t="s">
        <v>206</v>
      </c>
      <c r="H44" s="202">
        <v>3308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0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7</v>
      </c>
      <c r="D49" s="12">
        <f>C49*42</f>
        <v>294</v>
      </c>
      <c r="F49" s="243" t="s">
        <v>86</v>
      </c>
      <c r="G49" s="190">
        <f>H34+H35+H36+H37+H38+H39+H40+H41+G42+H44+H45+H46</f>
        <v>240031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13</v>
      </c>
      <c r="D50" s="12">
        <f>C50*1.5</f>
        <v>19.5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512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41862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E0117-E2EB-4ACC-AD48-797593FB3126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241</v>
      </c>
      <c r="D6" s="13">
        <f t="shared" ref="D6:D28" si="1">C6*L6</f>
        <v>183401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2</v>
      </c>
      <c r="D7" s="13">
        <f t="shared" si="1"/>
        <v>1562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10</v>
      </c>
      <c r="D8" s="13">
        <f t="shared" si="1"/>
        <v>10930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107</v>
      </c>
      <c r="D9" s="13">
        <f t="shared" si="1"/>
        <v>78431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10</v>
      </c>
      <c r="D10" s="13">
        <f t="shared" si="1"/>
        <v>10320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>
        <v>20</v>
      </c>
      <c r="D11" s="13">
        <f t="shared" si="1"/>
        <v>23400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21+3+3</f>
        <v>27</v>
      </c>
      <c r="D12" s="48">
        <f t="shared" si="1"/>
        <v>26784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2</v>
      </c>
      <c r="D13" s="48">
        <f t="shared" si="1"/>
        <v>614</v>
      </c>
      <c r="F13" s="163" t="s">
        <v>36</v>
      </c>
      <c r="G13" s="164"/>
      <c r="H13" s="165">
        <f>D29</f>
        <v>400123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4</v>
      </c>
      <c r="D14" s="31">
        <f t="shared" si="1"/>
        <v>44</v>
      </c>
      <c r="F14" s="168" t="s">
        <v>39</v>
      </c>
      <c r="G14" s="169"/>
      <c r="H14" s="170">
        <f>D54</f>
        <v>77359.5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>
        <f>15</f>
        <v>15</v>
      </c>
      <c r="D15" s="31">
        <f t="shared" si="1"/>
        <v>9300</v>
      </c>
      <c r="F15" s="173" t="s">
        <v>40</v>
      </c>
      <c r="G15" s="164"/>
      <c r="H15" s="174">
        <f>H13-H14</f>
        <v>322763.5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>
        <v>1</v>
      </c>
      <c r="D16" s="48">
        <f t="shared" si="1"/>
        <v>1702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>
        <v>11</v>
      </c>
      <c r="D18" s="48">
        <f t="shared" si="1"/>
        <v>6820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15" t="s">
        <v>204</v>
      </c>
      <c r="C19" s="10">
        <f>4</f>
        <v>4</v>
      </c>
      <c r="D19" s="48">
        <f t="shared" si="1"/>
        <v>4408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>
        <f>10+10</f>
        <v>20</v>
      </c>
      <c r="D23" s="48">
        <f t="shared" si="1"/>
        <v>23500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138</v>
      </c>
      <c r="C24" s="10">
        <v>1</v>
      </c>
      <c r="D24" s="48">
        <f t="shared" si="1"/>
        <v>1277</v>
      </c>
      <c r="F24" s="38"/>
      <c r="G24" s="37"/>
      <c r="H24" s="201"/>
      <c r="I24" s="202"/>
      <c r="J24" s="202"/>
      <c r="L24" s="47">
        <f>R31</f>
        <v>1277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95" t="s">
        <v>203</v>
      </c>
      <c r="C25" s="10">
        <f>1+1+1</f>
        <v>3</v>
      </c>
      <c r="D25" s="48">
        <f t="shared" si="1"/>
        <v>4746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205</v>
      </c>
      <c r="C26" s="10">
        <v>1</v>
      </c>
      <c r="D26" s="48">
        <f t="shared" si="1"/>
        <v>1242</v>
      </c>
      <c r="F26" s="64"/>
      <c r="G26" s="59"/>
      <c r="H26" s="206"/>
      <c r="I26" s="207"/>
      <c r="J26" s="208"/>
      <c r="L26" s="47">
        <f>R37</f>
        <v>1242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>
        <v>1</v>
      </c>
      <c r="D27" s="44">
        <f t="shared" si="1"/>
        <v>1582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10</v>
      </c>
      <c r="D28" s="48">
        <f t="shared" si="1"/>
        <v>8110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400123</v>
      </c>
      <c r="F29" s="186" t="s">
        <v>55</v>
      </c>
      <c r="G29" s="187"/>
      <c r="H29" s="190">
        <f>H15-H16-H17-H18-H19-H20-H22-H23-H24+H26+H27</f>
        <v>322763.5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23</v>
      </c>
      <c r="H34" s="218">
        <f>F34*G34</f>
        <v>23000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8</v>
      </c>
      <c r="D35" s="30">
        <f>C35*84</f>
        <v>672</v>
      </c>
      <c r="F35" s="58">
        <v>500</v>
      </c>
      <c r="G35" s="41">
        <v>2</v>
      </c>
      <c r="H35" s="218">
        <f>F35*G35</f>
        <v>1000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216</v>
      </c>
      <c r="D37" s="12">
        <f>C37*111</f>
        <v>23976</v>
      </c>
      <c r="F37" s="12">
        <v>100</v>
      </c>
      <c r="G37" s="39">
        <v>5</v>
      </c>
      <c r="H37" s="218">
        <f t="shared" si="2"/>
        <v>500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512</v>
      </c>
      <c r="D38" s="12">
        <f>C38*84</f>
        <v>43008</v>
      </c>
      <c r="F38" s="30">
        <v>50</v>
      </c>
      <c r="G38" s="39">
        <v>2</v>
      </c>
      <c r="H38" s="218">
        <f t="shared" si="2"/>
        <v>100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32</v>
      </c>
      <c r="D41" s="12">
        <f>C41*84</f>
        <v>2688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4</v>
      </c>
      <c r="D42" s="12">
        <f>C42*2.25</f>
        <v>9</v>
      </c>
      <c r="F42" s="39" t="s">
        <v>79</v>
      </c>
      <c r="G42" s="218">
        <v>2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4</v>
      </c>
      <c r="D44" s="12">
        <f>C44*120</f>
        <v>480</v>
      </c>
      <c r="F44" s="37" t="s">
        <v>147</v>
      </c>
      <c r="G44" s="76" t="s">
        <v>207</v>
      </c>
      <c r="H44" s="202">
        <v>296913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71</v>
      </c>
      <c r="D45" s="12">
        <f>C45*84</f>
        <v>5964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</v>
      </c>
      <c r="D46" s="12">
        <f>C46*1.5</f>
        <v>3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321515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22</v>
      </c>
      <c r="D50" s="12">
        <f>C50*1.5</f>
        <v>33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-1248.5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77359.5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E3E87-005A-4067-89B1-5F54B2CFA3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1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878C5-181C-4BA8-83C6-4A3575D4D5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46039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347</v>
      </c>
      <c r="D6" s="13">
        <f t="shared" ref="D6:D28" si="1">C6*L6</f>
        <v>264067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6</v>
      </c>
      <c r="D7" s="13">
        <f t="shared" si="1"/>
        <v>4686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60</v>
      </c>
      <c r="D8" s="13">
        <f t="shared" si="1"/>
        <v>65580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20</v>
      </c>
      <c r="D9" s="13">
        <f t="shared" si="1"/>
        <v>14660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3</v>
      </c>
      <c r="D10" s="13">
        <f t="shared" si="1"/>
        <v>3096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v>3</v>
      </c>
      <c r="D12" s="48">
        <f t="shared" si="1"/>
        <v>2976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9</v>
      </c>
      <c r="D13" s="48">
        <f t="shared" si="1"/>
        <v>2763</v>
      </c>
      <c r="F13" s="163" t="s">
        <v>36</v>
      </c>
      <c r="G13" s="164"/>
      <c r="H13" s="165">
        <f>D29</f>
        <v>360136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6</v>
      </c>
      <c r="D14" s="31">
        <f t="shared" si="1"/>
        <v>66</v>
      </c>
      <c r="F14" s="168" t="s">
        <v>39</v>
      </c>
      <c r="G14" s="169"/>
      <c r="H14" s="170">
        <f>D54</f>
        <v>47431.5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>
        <v>1</v>
      </c>
      <c r="D15" s="31">
        <f t="shared" si="1"/>
        <v>620</v>
      </c>
      <c r="F15" s="173" t="s">
        <v>40</v>
      </c>
      <c r="G15" s="164"/>
      <c r="H15" s="174">
        <f>H13-H14</f>
        <v>312704.5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08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2</v>
      </c>
      <c r="D28" s="48">
        <f t="shared" si="1"/>
        <v>1622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360136</v>
      </c>
      <c r="F29" s="186" t="s">
        <v>55</v>
      </c>
      <c r="G29" s="187"/>
      <c r="H29" s="190">
        <f>H15-H16-H17-H18-H19-H20-H22-H23-H24+H26+H27+H28</f>
        <v>312704.5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268</v>
      </c>
      <c r="H34" s="218">
        <f t="shared" ref="H34:H39" si="2">F34*G34</f>
        <v>268000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71</v>
      </c>
      <c r="H35" s="218">
        <f t="shared" si="2"/>
        <v>35500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22</v>
      </c>
      <c r="D36" s="12">
        <f>C36*1.5</f>
        <v>33</v>
      </c>
      <c r="F36" s="12">
        <v>200</v>
      </c>
      <c r="G36" s="37">
        <v>3</v>
      </c>
      <c r="H36" s="218">
        <f t="shared" si="2"/>
        <v>600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54</v>
      </c>
      <c r="H37" s="218">
        <f t="shared" si="2"/>
        <v>5400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41</v>
      </c>
      <c r="H38" s="218">
        <f t="shared" si="2"/>
        <v>2050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6</v>
      </c>
      <c r="D39" s="31">
        <f>C39*4.5</f>
        <v>27</v>
      </c>
      <c r="F39" s="12">
        <v>20</v>
      </c>
      <c r="G39" s="37">
        <v>57</v>
      </c>
      <c r="H39" s="218">
        <f t="shared" si="2"/>
        <v>1140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6</v>
      </c>
      <c r="D42" s="12">
        <f>C42*2.25</f>
        <v>13.5</v>
      </c>
      <c r="F42" s="39" t="s">
        <v>79</v>
      </c>
      <c r="G42" s="218">
        <v>67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68</v>
      </c>
      <c r="D44" s="12">
        <f>C44*120</f>
        <v>8160</v>
      </c>
      <c r="F44" s="37" t="s">
        <v>153</v>
      </c>
      <c r="G44" s="62"/>
      <c r="H44" s="202">
        <v>458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4</v>
      </c>
      <c r="D46" s="12">
        <f>C46*1.5</f>
        <v>6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313215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18</v>
      </c>
      <c r="D50" s="12">
        <f>C50*1.5</f>
        <v>27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510.5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47431.5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0EB48-92EF-4D63-BBC6-C6D6485C8BD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46039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156</v>
      </c>
      <c r="D6" s="13">
        <f t="shared" ref="D6:D28" si="1">C6*L6</f>
        <v>118716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2</v>
      </c>
      <c r="D7" s="13">
        <f t="shared" si="1"/>
        <v>1562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39</v>
      </c>
      <c r="D9" s="13">
        <f t="shared" si="1"/>
        <v>28587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6</v>
      </c>
      <c r="D13" s="48">
        <f t="shared" si="1"/>
        <v>1842</v>
      </c>
      <c r="F13" s="163" t="s">
        <v>36</v>
      </c>
      <c r="G13" s="164"/>
      <c r="H13" s="165">
        <f>D29</f>
        <v>150960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23</v>
      </c>
      <c r="D14" s="31">
        <f t="shared" si="1"/>
        <v>253</v>
      </c>
      <c r="F14" s="168" t="s">
        <v>39</v>
      </c>
      <c r="G14" s="169"/>
      <c r="H14" s="170">
        <f>D54</f>
        <v>23091.75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127868.25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150960</v>
      </c>
      <c r="F29" s="186" t="s">
        <v>55</v>
      </c>
      <c r="G29" s="187"/>
      <c r="H29" s="190">
        <f>H15-H16-H17-H18-H19-H20-H22-H23-H24+H26+H27</f>
        <v>127868.25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218">
        <f>F34*G34</f>
        <v>123000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f>83+108+4</f>
        <v>195</v>
      </c>
      <c r="D37" s="12">
        <f>C37*111</f>
        <v>21645</v>
      </c>
      <c r="F37" s="12">
        <v>100</v>
      </c>
      <c r="G37" s="39">
        <v>6</v>
      </c>
      <c r="H37" s="218">
        <f t="shared" si="2"/>
        <v>600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19</v>
      </c>
      <c r="H38" s="218">
        <f t="shared" si="2"/>
        <v>950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3</v>
      </c>
      <c r="D42" s="12">
        <f>C42*2.25</f>
        <v>6.75</v>
      </c>
      <c r="F42" s="39" t="s">
        <v>79</v>
      </c>
      <c r="G42" s="218">
        <v>623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0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125173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18</v>
      </c>
      <c r="D50" s="12">
        <f>C50*1.5</f>
        <v>27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161</v>
      </c>
      <c r="G51" s="257">
        <f>G49-H29</f>
        <v>-2695.25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23091.75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DEBB5-562F-43BE-A6E6-00B6C2D43D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46039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231</v>
      </c>
      <c r="D6" s="13">
        <f t="shared" ref="D6:D28" si="1">C6*L6</f>
        <v>175791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3</v>
      </c>
      <c r="D7" s="13">
        <f t="shared" si="1"/>
        <v>2343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33</v>
      </c>
      <c r="D9" s="13">
        <f t="shared" si="1"/>
        <v>24189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1</v>
      </c>
      <c r="D12" s="48">
        <f t="shared" si="1"/>
        <v>992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8</v>
      </c>
      <c r="D13" s="48">
        <f t="shared" si="1"/>
        <v>2456</v>
      </c>
      <c r="F13" s="163" t="s">
        <v>36</v>
      </c>
      <c r="G13" s="164"/>
      <c r="H13" s="165">
        <f>D29</f>
        <v>205815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4</v>
      </c>
      <c r="D14" s="31">
        <f t="shared" si="1"/>
        <v>44</v>
      </c>
      <c r="F14" s="168" t="s">
        <v>39</v>
      </c>
      <c r="G14" s="169"/>
      <c r="H14" s="170">
        <f>D54</f>
        <v>83061.75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122753.25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468+648</f>
        <v>1116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205815</v>
      </c>
      <c r="F29" s="186" t="s">
        <v>55</v>
      </c>
      <c r="G29" s="187"/>
      <c r="H29" s="190">
        <f>H15-H16-H17-H18-H19-H20-H22-H23-H24+H26+H27</f>
        <v>121637.25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84</v>
      </c>
      <c r="H34" s="218">
        <f>F34*G34</f>
        <v>84000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43</v>
      </c>
      <c r="H35" s="218">
        <f>F35*G35</f>
        <v>21500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5</v>
      </c>
      <c r="H36" s="218">
        <f t="shared" ref="H36:H39" si="2">F36*G36</f>
        <v>1000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693</v>
      </c>
      <c r="D37" s="12">
        <f>C37*111</f>
        <v>76923</v>
      </c>
      <c r="F37" s="12">
        <v>100</v>
      </c>
      <c r="G37" s="39">
        <v>122</v>
      </c>
      <c r="H37" s="218">
        <f t="shared" si="2"/>
        <v>12200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49</v>
      </c>
      <c r="H38" s="218">
        <f t="shared" si="2"/>
        <v>2450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8">
        <v>30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10</v>
      </c>
      <c r="D44" s="12">
        <f>C44*120</f>
        <v>1200</v>
      </c>
      <c r="F44" s="37"/>
      <c r="G44" s="76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</v>
      </c>
      <c r="D46" s="12">
        <f>C46*1.5</f>
        <v>3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6</v>
      </c>
      <c r="D49" s="12">
        <f>C49*42</f>
        <v>252</v>
      </c>
      <c r="F49" s="243" t="s">
        <v>86</v>
      </c>
      <c r="G49" s="190">
        <f>H34+H35+H36+H37+H38+H39+H40+H41+G42+H44+H45+H46</f>
        <v>121200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</v>
      </c>
      <c r="D50" s="12">
        <f>C50*1.5</f>
        <v>3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-437.25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83061.75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50515-980C-48CF-98E5-A126F545398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1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D4AEF-B715-4981-804F-5DC1F75F6CCC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46041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168</v>
      </c>
      <c r="D6" s="13">
        <f t="shared" ref="D6:D28" si="1">C6*L6</f>
        <v>127848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10</v>
      </c>
      <c r="D7" s="13">
        <f t="shared" si="1"/>
        <v>7810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11</v>
      </c>
      <c r="D8" s="13">
        <f t="shared" si="1"/>
        <v>12023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117</v>
      </c>
      <c r="D9" s="13">
        <f t="shared" si="1"/>
        <v>85761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21</v>
      </c>
      <c r="D10" s="13">
        <f t="shared" si="1"/>
        <v>21672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>
        <v>29</v>
      </c>
      <c r="D11" s="13">
        <f t="shared" si="1"/>
        <v>33930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f>15+6</f>
        <v>21</v>
      </c>
      <c r="D12" s="48">
        <f t="shared" si="1"/>
        <v>20832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2</v>
      </c>
      <c r="D13" s="48">
        <f t="shared" si="1"/>
        <v>614</v>
      </c>
      <c r="F13" s="163" t="s">
        <v>36</v>
      </c>
      <c r="G13" s="164"/>
      <c r="H13" s="165">
        <f>D29</f>
        <v>346953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14</v>
      </c>
      <c r="D14" s="31">
        <f t="shared" si="1"/>
        <v>154</v>
      </c>
      <c r="F14" s="168" t="s">
        <v>39</v>
      </c>
      <c r="G14" s="169"/>
      <c r="H14" s="170">
        <f>D54</f>
        <v>73926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>
        <f>16</f>
        <v>16</v>
      </c>
      <c r="D15" s="31">
        <f t="shared" si="1"/>
        <v>9920</v>
      </c>
      <c r="F15" s="173" t="s">
        <v>40</v>
      </c>
      <c r="G15" s="164"/>
      <c r="H15" s="174">
        <f>H13-H14</f>
        <v>273027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>
        <f>1</f>
        <v>1</v>
      </c>
      <c r="D17" s="48">
        <f t="shared" si="1"/>
        <v>1582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>
        <v>6</v>
      </c>
      <c r="D18" s="48">
        <f t="shared" si="1"/>
        <v>3720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15" t="s">
        <v>204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>
        <f>2+2</f>
        <v>4</v>
      </c>
      <c r="D20" s="13">
        <f t="shared" si="1"/>
        <v>4700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>
        <f>2+10</f>
        <v>12</v>
      </c>
      <c r="D21" s="48">
        <f t="shared" si="1"/>
        <v>7800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208</v>
      </c>
      <c r="C24" s="84">
        <v>1</v>
      </c>
      <c r="D24" s="48">
        <f t="shared" si="1"/>
        <v>1728</v>
      </c>
      <c r="F24" s="77"/>
      <c r="G24" s="79"/>
      <c r="H24" s="253"/>
      <c r="I24" s="254"/>
      <c r="J24" s="254"/>
      <c r="L24" s="47">
        <v>1728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21" t="s">
        <v>209</v>
      </c>
      <c r="C26" s="84">
        <f>1</f>
        <v>1</v>
      </c>
      <c r="D26" s="48">
        <f t="shared" si="1"/>
        <v>1702</v>
      </c>
      <c r="F26" s="75"/>
      <c r="G26" s="65"/>
      <c r="H26" s="202"/>
      <c r="I26" s="202"/>
      <c r="J26" s="202"/>
      <c r="L26" s="7">
        <f>1582+120</f>
        <v>1702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08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5</v>
      </c>
      <c r="D28" s="48">
        <f t="shared" si="1"/>
        <v>4055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346953</v>
      </c>
      <c r="F29" s="186" t="s">
        <v>55</v>
      </c>
      <c r="G29" s="187"/>
      <c r="H29" s="190">
        <f>H15-H16-H17-H18-H19-H20-H22-H23-H24+H26+H27+H28</f>
        <v>273027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45</v>
      </c>
      <c r="H34" s="218">
        <f t="shared" ref="H34:H39" si="2">F34*G34</f>
        <v>45000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9</v>
      </c>
      <c r="D35" s="30">
        <f>C35*84</f>
        <v>756</v>
      </c>
      <c r="F35" s="58">
        <v>500</v>
      </c>
      <c r="G35" s="41">
        <v>28</v>
      </c>
      <c r="H35" s="218">
        <f t="shared" si="2"/>
        <v>14000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32</v>
      </c>
      <c r="D36" s="12">
        <f>C36*1.5</f>
        <v>48</v>
      </c>
      <c r="F36" s="12">
        <v>200</v>
      </c>
      <c r="G36" s="37">
        <v>4</v>
      </c>
      <c r="H36" s="218">
        <f t="shared" si="2"/>
        <v>800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23</v>
      </c>
      <c r="H37" s="218">
        <f t="shared" si="2"/>
        <v>2300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374</v>
      </c>
      <c r="D38" s="12">
        <f>C38*84</f>
        <v>31416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38</v>
      </c>
      <c r="D41" s="12">
        <f>C41*84</f>
        <v>3192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22</v>
      </c>
      <c r="D42" s="12">
        <f>C42*2.25</f>
        <v>49.5</v>
      </c>
      <c r="F42" s="39" t="s">
        <v>79</v>
      </c>
      <c r="G42" s="218">
        <v>73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</v>
      </c>
      <c r="D44" s="12">
        <f>C44*120</f>
        <v>120</v>
      </c>
      <c r="F44" s="37" t="s">
        <v>147</v>
      </c>
      <c r="G44" s="62" t="s">
        <v>211</v>
      </c>
      <c r="H44" s="202">
        <v>164812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102</v>
      </c>
      <c r="D45" s="12">
        <f>C45*84</f>
        <v>8568</v>
      </c>
      <c r="F45" s="37" t="s">
        <v>153</v>
      </c>
      <c r="G45" s="62"/>
      <c r="H45" s="202">
        <v>20176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12</v>
      </c>
      <c r="D46" s="12">
        <f>C46*1.5</f>
        <v>18</v>
      </c>
      <c r="F46" s="37" t="s">
        <v>153</v>
      </c>
      <c r="G46" s="62"/>
      <c r="H46" s="202">
        <v>26000</v>
      </c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2</v>
      </c>
      <c r="D49" s="12">
        <f>C49*42</f>
        <v>84</v>
      </c>
      <c r="F49" s="243" t="s">
        <v>86</v>
      </c>
      <c r="G49" s="190">
        <f>H34+H35+H36+H37+H38+H39+H40+H41+G42+H44+H45+H46</f>
        <v>273161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5</v>
      </c>
      <c r="D50" s="12">
        <f>C50*1.5</f>
        <v>7.5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134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73926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260E0-1753-4068-8330-7995D1A13BE4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46041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250</v>
      </c>
      <c r="D6" s="13">
        <f t="shared" ref="D6:D28" si="1">C6*L6</f>
        <v>190250</v>
      </c>
      <c r="F6" s="141" t="s">
        <v>16</v>
      </c>
      <c r="G6" s="143" t="s">
        <v>212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51</v>
      </c>
      <c r="D9" s="13">
        <f t="shared" si="1"/>
        <v>37383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11</v>
      </c>
      <c r="D13" s="48">
        <f t="shared" si="1"/>
        <v>3377</v>
      </c>
      <c r="F13" s="163" t="s">
        <v>36</v>
      </c>
      <c r="G13" s="164"/>
      <c r="H13" s="165">
        <f>D29</f>
        <v>231241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21</v>
      </c>
      <c r="D14" s="31">
        <f t="shared" si="1"/>
        <v>231</v>
      </c>
      <c r="F14" s="168" t="s">
        <v>39</v>
      </c>
      <c r="G14" s="169"/>
      <c r="H14" s="170">
        <f>D54</f>
        <v>34290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196951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266*6</f>
        <v>1596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231241</v>
      </c>
      <c r="F29" s="186" t="s">
        <v>55</v>
      </c>
      <c r="G29" s="187"/>
      <c r="H29" s="190">
        <f>H15-H16-H17-H18-H19-H20-H22-H23-H24+H26+H27</f>
        <v>195355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139</v>
      </c>
      <c r="H34" s="218">
        <f>F34*G34</f>
        <v>139000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107</v>
      </c>
      <c r="H35" s="218">
        <f t="shared" ref="H35:H39" si="2">F35*G35</f>
        <v>53500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301</v>
      </c>
      <c r="D37" s="12">
        <f>C37*111</f>
        <v>33411</v>
      </c>
      <c r="F37" s="12">
        <v>100</v>
      </c>
      <c r="G37" s="39">
        <v>23</v>
      </c>
      <c r="H37" s="218">
        <f t="shared" si="2"/>
        <v>2300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>
        <v>10</v>
      </c>
      <c r="H38" s="218">
        <f t="shared" si="2"/>
        <v>500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63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0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19</v>
      </c>
      <c r="D49" s="12">
        <f>C49*42</f>
        <v>798</v>
      </c>
      <c r="F49" s="243" t="s">
        <v>86</v>
      </c>
      <c r="G49" s="190">
        <f>H34+H35+H36+H37+H38+H39+H40+H41+G42+H44+H45+H46</f>
        <v>195363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</v>
      </c>
      <c r="D50" s="12">
        <f>C50*1.5</f>
        <v>3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8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34290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6DA73-110F-49BD-9DD0-A2B1E89FB062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46041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499</v>
      </c>
      <c r="D6" s="13">
        <f t="shared" ref="D6:D28" si="1">C6*L6</f>
        <v>379739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2</v>
      </c>
      <c r="D7" s="13">
        <f t="shared" si="1"/>
        <v>1562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86</v>
      </c>
      <c r="D9" s="13">
        <f t="shared" si="1"/>
        <v>63038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9</v>
      </c>
      <c r="D13" s="48">
        <f t="shared" si="1"/>
        <v>2763</v>
      </c>
      <c r="F13" s="163" t="s">
        <v>36</v>
      </c>
      <c r="G13" s="164"/>
      <c r="H13" s="165">
        <f>D29</f>
        <v>448931.5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21</v>
      </c>
      <c r="D14" s="31">
        <f t="shared" si="1"/>
        <v>231</v>
      </c>
      <c r="F14" s="168" t="s">
        <v>39</v>
      </c>
      <c r="G14" s="169"/>
      <c r="H14" s="170">
        <f>D54</f>
        <v>79731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369200.5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318*6</f>
        <v>1908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122" t="s">
        <v>213</v>
      </c>
      <c r="G22" s="73">
        <v>8511</v>
      </c>
      <c r="H22" s="200">
        <v>127768</v>
      </c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10">
        <v>12</v>
      </c>
      <c r="D24" s="48">
        <f t="shared" si="1"/>
        <v>504.5</v>
      </c>
      <c r="F24" s="38"/>
      <c r="G24" s="37"/>
      <c r="H24" s="201"/>
      <c r="I24" s="202"/>
      <c r="J24" s="202"/>
      <c r="L24" s="47">
        <f>973/24+1.5</f>
        <v>42.041666666666664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210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448931.5</v>
      </c>
      <c r="F29" s="186" t="s">
        <v>55</v>
      </c>
      <c r="G29" s="187"/>
      <c r="H29" s="190">
        <f>H15-H16-H17-H18-H19-H20-H22-H23-H24+H26+H27</f>
        <v>239524.5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218">
        <f>F34*G34</f>
        <v>12000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218">
        <f>F35*G35</f>
        <v>4000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690</v>
      </c>
      <c r="D37" s="12">
        <f>C37*111</f>
        <v>76590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9</v>
      </c>
      <c r="D38" s="12">
        <f>C38*84</f>
        <v>756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</v>
      </c>
      <c r="D44" s="12">
        <f>C44*120</f>
        <v>120</v>
      </c>
      <c r="F44" s="37" t="s">
        <v>153</v>
      </c>
      <c r="G44" s="76"/>
      <c r="H44" s="202">
        <v>20442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 t="s">
        <v>147</v>
      </c>
      <c r="G45" s="76"/>
      <c r="H45" s="202">
        <v>203392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</v>
      </c>
      <c r="D46" s="12">
        <f>C46*1.5</f>
        <v>1.5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27</v>
      </c>
      <c r="D49" s="12">
        <f>C49*42</f>
        <v>1134</v>
      </c>
      <c r="F49" s="243" t="s">
        <v>86</v>
      </c>
      <c r="G49" s="190">
        <f>H34+H35+H36+H37+H38+H39+H40+H41+G42+H44+H45+H46</f>
        <v>239834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4</v>
      </c>
      <c r="D50" s="12">
        <f>C50*1.5</f>
        <v>6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309.5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79731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B923C-3FD1-46C7-814D-A794C74C3FF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7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82DE2-3D16-48CE-A1D2-E0978F9D92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46042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772</v>
      </c>
      <c r="D6" s="13">
        <f t="shared" ref="D6:D28" si="1">C6*L6</f>
        <v>587492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50</v>
      </c>
      <c r="D7" s="13">
        <f t="shared" si="1"/>
        <v>39050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63</v>
      </c>
      <c r="D9" s="13">
        <f t="shared" si="1"/>
        <v>46179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28</v>
      </c>
      <c r="D13" s="48">
        <f t="shared" si="1"/>
        <v>8596</v>
      </c>
      <c r="F13" s="163" t="s">
        <v>36</v>
      </c>
      <c r="G13" s="164"/>
      <c r="H13" s="165">
        <f>D29</f>
        <v>684428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1</v>
      </c>
      <c r="D14" s="31">
        <f t="shared" si="1"/>
        <v>11</v>
      </c>
      <c r="F14" s="168" t="s">
        <v>39</v>
      </c>
      <c r="G14" s="169"/>
      <c r="H14" s="170">
        <f>D54</f>
        <v>157947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>
        <f>1</f>
        <v>1</v>
      </c>
      <c r="D15" s="31">
        <f t="shared" si="1"/>
        <v>620</v>
      </c>
      <c r="F15" s="173" t="s">
        <v>40</v>
      </c>
      <c r="G15" s="164"/>
      <c r="H15" s="174">
        <f>H13-H14</f>
        <v>526481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2646+2574</f>
        <v>5220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>
        <v>4</v>
      </c>
      <c r="D18" s="48">
        <f t="shared" si="1"/>
        <v>2480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2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684428</v>
      </c>
      <c r="F29" s="186" t="s">
        <v>55</v>
      </c>
      <c r="G29" s="187"/>
      <c r="H29" s="190">
        <f>H15-H16-H17-H18-H19-H20-H22-H23-H24+H26+H27+H28</f>
        <v>521261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40">
        <v>8</v>
      </c>
      <c r="H34" s="218">
        <f t="shared" ref="H34:H39" si="2">F34*G34</f>
        <v>8000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4</v>
      </c>
      <c r="D35" s="30">
        <f>C35*84</f>
        <v>336</v>
      </c>
      <c r="F35" s="58">
        <v>500</v>
      </c>
      <c r="G35" s="41">
        <v>4</v>
      </c>
      <c r="H35" s="218">
        <f t="shared" si="2"/>
        <v>2000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1</v>
      </c>
      <c r="H36" s="218">
        <f t="shared" si="2"/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1334</v>
      </c>
      <c r="D37" s="12">
        <f>C37*111</f>
        <v>148074</v>
      </c>
      <c r="F37" s="12">
        <v>100</v>
      </c>
      <c r="G37" s="39">
        <v>1</v>
      </c>
      <c r="H37" s="218">
        <f t="shared" si="2"/>
        <v>100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29</v>
      </c>
      <c r="D38" s="12">
        <f>C38*84</f>
        <v>2436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4</v>
      </c>
      <c r="D42" s="12">
        <f>C42*2.25</f>
        <v>9</v>
      </c>
      <c r="F42" s="39" t="s">
        <v>79</v>
      </c>
      <c r="G42" s="218">
        <v>7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9</v>
      </c>
      <c r="D44" s="12">
        <f>C44*120</f>
        <v>1080</v>
      </c>
      <c r="F44" s="37" t="s">
        <v>147</v>
      </c>
      <c r="G44" s="62" t="s">
        <v>214</v>
      </c>
      <c r="H44" s="202">
        <v>288122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5</v>
      </c>
      <c r="D45" s="12">
        <f>C45*84</f>
        <v>420</v>
      </c>
      <c r="F45" s="37" t="s">
        <v>147</v>
      </c>
      <c r="G45" s="62" t="s">
        <v>215</v>
      </c>
      <c r="H45" s="202">
        <v>222876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16</v>
      </c>
      <c r="D46" s="12">
        <f>C46*1.5</f>
        <v>24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75</v>
      </c>
      <c r="D49" s="12">
        <f>C49*42</f>
        <v>3150</v>
      </c>
      <c r="F49" s="243" t="s">
        <v>86</v>
      </c>
      <c r="G49" s="190">
        <f>H34+H35+H36+H37+H38+H39+H40+H41+G42+H44+H45+H46</f>
        <v>521325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</v>
      </c>
      <c r="D50" s="12">
        <f>C50*1.5</f>
        <v>1.5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64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157947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3B36-1293-494E-B544-2EE0B1F50A34}">
  <dimension ref="A1:R59"/>
  <sheetViews>
    <sheetView zoomScaleNormal="100" zoomScaleSheetLayoutView="85" workbookViewId="0">
      <selection activeCell="G8" sqref="G8:J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46042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f>474-64</f>
        <v>410</v>
      </c>
      <c r="D6" s="13">
        <f t="shared" ref="D6:D28" si="1">C6*L6</f>
        <v>312010</v>
      </c>
      <c r="F6" s="141" t="s">
        <v>16</v>
      </c>
      <c r="G6" s="143" t="s">
        <v>212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2</v>
      </c>
      <c r="D7" s="13">
        <f t="shared" si="1"/>
        <v>1562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134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20</v>
      </c>
      <c r="D9" s="13">
        <f t="shared" si="1"/>
        <v>14660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2</v>
      </c>
      <c r="D12" s="48">
        <f t="shared" si="1"/>
        <v>1984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17</v>
      </c>
      <c r="D13" s="48">
        <f t="shared" si="1"/>
        <v>5219</v>
      </c>
      <c r="F13" s="163" t="s">
        <v>36</v>
      </c>
      <c r="G13" s="164"/>
      <c r="H13" s="165">
        <f>D29</f>
        <v>336779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4</v>
      </c>
      <c r="D14" s="31">
        <f t="shared" si="1"/>
        <v>44</v>
      </c>
      <c r="F14" s="168" t="s">
        <v>39</v>
      </c>
      <c r="G14" s="169"/>
      <c r="H14" s="170">
        <f>D54</f>
        <v>73817.25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262961.75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216*6+1224</f>
        <v>2520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336779</v>
      </c>
      <c r="F29" s="186" t="s">
        <v>55</v>
      </c>
      <c r="G29" s="187"/>
      <c r="H29" s="190">
        <f>H15-H16-H17-H18-H19-H20-H22-H23-H24+H26+H27</f>
        <v>260441.75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</v>
      </c>
      <c r="H34" s="218">
        <f>F34*G34</f>
        <v>10000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</v>
      </c>
      <c r="H35" s="218">
        <f t="shared" ref="H35:H39" si="2">F35*G35</f>
        <v>1000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654</v>
      </c>
      <c r="D37" s="12">
        <f>C37*111</f>
        <v>72594</v>
      </c>
      <c r="F37" s="12">
        <v>100</v>
      </c>
      <c r="G37" s="39">
        <v>3</v>
      </c>
      <c r="H37" s="218">
        <f t="shared" si="2"/>
        <v>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8">
        <v>73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181</v>
      </c>
      <c r="G44" s="123" t="s">
        <v>216</v>
      </c>
      <c r="H44" s="202">
        <v>117513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 t="s">
        <v>147</v>
      </c>
      <c r="G45" s="62" t="s">
        <v>217</v>
      </c>
      <c r="H45" s="202">
        <v>131604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18</v>
      </c>
      <c r="D46" s="12">
        <f>C46*1.5</f>
        <v>27</v>
      </c>
      <c r="F46" s="37"/>
      <c r="G46" s="11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17</v>
      </c>
      <c r="D49" s="12">
        <f>C49*42</f>
        <v>714</v>
      </c>
      <c r="F49" s="243" t="s">
        <v>86</v>
      </c>
      <c r="G49" s="190">
        <f>H34+H35+H36+H37+H38+H39+H40+H41+G42+H44+H45+H46</f>
        <v>260490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6</v>
      </c>
      <c r="D50" s="12">
        <f>C50*1.5</f>
        <v>9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48.25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73817.25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63019-9353-4F98-93BD-BBCCFD92D0AA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46042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162</v>
      </c>
      <c r="D6" s="13">
        <f t="shared" ref="D6:D28" si="1">C6*L6</f>
        <v>123282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9</v>
      </c>
      <c r="D7" s="13">
        <f t="shared" si="1"/>
        <v>7029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1</v>
      </c>
      <c r="D8" s="13">
        <f t="shared" si="1"/>
        <v>1093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30</v>
      </c>
      <c r="D9" s="13">
        <f t="shared" si="1"/>
        <v>21990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218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7</v>
      </c>
      <c r="D13" s="48">
        <f t="shared" si="1"/>
        <v>2149</v>
      </c>
      <c r="F13" s="163" t="s">
        <v>36</v>
      </c>
      <c r="G13" s="164"/>
      <c r="H13" s="165">
        <f>D29</f>
        <v>156237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4</v>
      </c>
      <c r="D14" s="31">
        <f t="shared" si="1"/>
        <v>44</v>
      </c>
      <c r="F14" s="168" t="s">
        <v>39</v>
      </c>
      <c r="G14" s="169"/>
      <c r="H14" s="170">
        <f>D54</f>
        <v>22064.25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134172.75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372</f>
        <v>372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156237</v>
      </c>
      <c r="F29" s="186" t="s">
        <v>55</v>
      </c>
      <c r="G29" s="187"/>
      <c r="H29" s="190">
        <f>H15-H16-H17-H18-H19-H20-H22-H23-H24+H26+H27</f>
        <v>133800.75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124</v>
      </c>
      <c r="H34" s="218">
        <f>F34*G34</f>
        <v>124000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17</v>
      </c>
      <c r="H35" s="218">
        <f>F35*G35</f>
        <v>8500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f>108+66</f>
        <v>174</v>
      </c>
      <c r="D37" s="12">
        <f>C37*111</f>
        <v>19314</v>
      </c>
      <c r="F37" s="12">
        <v>100</v>
      </c>
      <c r="G37" s="39">
        <v>10</v>
      </c>
      <c r="H37" s="218">
        <f t="shared" si="2"/>
        <v>1000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3</v>
      </c>
      <c r="H38" s="218">
        <f t="shared" si="2"/>
        <v>150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</v>
      </c>
      <c r="D42" s="12">
        <f>C42*2.25</f>
        <v>2.25</v>
      </c>
      <c r="F42" s="39" t="s">
        <v>79</v>
      </c>
      <c r="G42" s="218">
        <v>48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</v>
      </c>
      <c r="D44" s="12">
        <f>C44*120</f>
        <v>120</v>
      </c>
      <c r="F44" s="37"/>
      <c r="G44" s="76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2</v>
      </c>
      <c r="D45" s="12">
        <f>C45*84</f>
        <v>168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8</v>
      </c>
      <c r="D46" s="12">
        <f>C46*1.5</f>
        <v>12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133698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4</v>
      </c>
      <c r="D50" s="12">
        <f>C50*1.5</f>
        <v>6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-102.75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22064.25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199B8-E486-412F-AAE5-218DC8B77AE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7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D6F3-0619-460B-A1D5-FBEFC324D859}">
  <dimension ref="A1:R59"/>
  <sheetViews>
    <sheetView tabSelected="1"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46043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584</v>
      </c>
      <c r="D6" s="13">
        <f t="shared" ref="D6:D28" si="1">C6*L6</f>
        <v>444424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5</v>
      </c>
      <c r="D7" s="13">
        <f t="shared" si="1"/>
        <v>3905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1</v>
      </c>
      <c r="D8" s="13">
        <f t="shared" si="1"/>
        <v>1093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46</v>
      </c>
      <c r="D9" s="13">
        <f t="shared" si="1"/>
        <v>33718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1</v>
      </c>
      <c r="D10" s="13">
        <f t="shared" si="1"/>
        <v>1032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v>1</v>
      </c>
      <c r="D12" s="48">
        <f t="shared" si="1"/>
        <v>992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21</v>
      </c>
      <c r="D13" s="48">
        <f t="shared" si="1"/>
        <v>6447</v>
      </c>
      <c r="F13" s="163" t="s">
        <v>36</v>
      </c>
      <c r="G13" s="164"/>
      <c r="H13" s="165">
        <f>D29</f>
        <v>498306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2</v>
      </c>
      <c r="D14" s="31">
        <f t="shared" si="1"/>
        <v>22</v>
      </c>
      <c r="F14" s="168" t="s">
        <v>39</v>
      </c>
      <c r="G14" s="169"/>
      <c r="H14" s="170">
        <f>D54</f>
        <v>117753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>
        <f>1</f>
        <v>1</v>
      </c>
      <c r="D15" s="31">
        <f t="shared" si="1"/>
        <v>620</v>
      </c>
      <c r="F15" s="173" t="s">
        <v>40</v>
      </c>
      <c r="G15" s="164"/>
      <c r="H15" s="174">
        <f>H13-H14</f>
        <v>380553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2802</f>
        <v>2802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>
        <f>1+1</f>
        <v>2</v>
      </c>
      <c r="D20" s="13">
        <f t="shared" si="1"/>
        <v>2350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 t="s">
        <v>159</v>
      </c>
      <c r="G22" s="73">
        <v>8639</v>
      </c>
      <c r="H22" s="200">
        <v>86324</v>
      </c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 t="s">
        <v>159</v>
      </c>
      <c r="G26" s="65">
        <v>8418</v>
      </c>
      <c r="H26" s="202">
        <v>99507</v>
      </c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2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3</v>
      </c>
      <c r="D28" s="48">
        <f t="shared" si="1"/>
        <v>2433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498306</v>
      </c>
      <c r="F29" s="186" t="s">
        <v>55</v>
      </c>
      <c r="G29" s="187"/>
      <c r="H29" s="190">
        <f>H15-H16-H17-H18-H19-H20-H22-H23-H24+H26+H27+H28</f>
        <v>390934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201</v>
      </c>
      <c r="H34" s="218">
        <f t="shared" ref="H34:H39" si="2">F34*G34</f>
        <v>201000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218">
        <f t="shared" si="2"/>
        <v>8000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12</v>
      </c>
      <c r="H36" s="218">
        <f t="shared" si="2"/>
        <v>2400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1025</v>
      </c>
      <c r="D37" s="12">
        <f>C37*111</f>
        <v>113775</v>
      </c>
      <c r="F37" s="12">
        <v>100</v>
      </c>
      <c r="G37" s="39">
        <v>356</v>
      </c>
      <c r="H37" s="218">
        <f t="shared" si="2"/>
        <v>35600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227</v>
      </c>
      <c r="H38" s="218">
        <f t="shared" si="2"/>
        <v>11350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6</v>
      </c>
      <c r="D42" s="12">
        <f>C42*2.25</f>
        <v>13.5</v>
      </c>
      <c r="F42" s="39" t="s">
        <v>79</v>
      </c>
      <c r="G42" s="218">
        <v>15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4</v>
      </c>
      <c r="D44" s="12">
        <f>C44*120</f>
        <v>480</v>
      </c>
      <c r="F44" s="37" t="s">
        <v>153</v>
      </c>
      <c r="G44" s="62"/>
      <c r="H44" s="202">
        <v>32860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 t="s">
        <v>156</v>
      </c>
      <c r="G45" s="96" t="s">
        <v>158</v>
      </c>
      <c r="H45" s="202">
        <v>99507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23</v>
      </c>
      <c r="D46" s="12">
        <f>C46*1.5</f>
        <v>34.5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21</v>
      </c>
      <c r="D48" s="12">
        <f>C48*78</f>
        <v>1638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16</v>
      </c>
      <c r="D49" s="12">
        <f>C49*42</f>
        <v>672</v>
      </c>
      <c r="F49" s="243" t="s">
        <v>86</v>
      </c>
      <c r="G49" s="190">
        <f>H34+H35+H36+H37+H38+H39+H40+H41+G42+H44+H45+H46</f>
        <v>390732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221</v>
      </c>
      <c r="G51" s="257">
        <f>G49-H29</f>
        <v>-202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117753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42DC5-0EB0-434F-8C74-7D351C7D0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46043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336</v>
      </c>
      <c r="D6" s="13">
        <f t="shared" ref="D6:D28" si="1">C6*L6</f>
        <v>255696</v>
      </c>
      <c r="F6" s="141" t="s">
        <v>16</v>
      </c>
      <c r="G6" s="143" t="s">
        <v>212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</v>
      </c>
      <c r="D7" s="13">
        <f t="shared" si="1"/>
        <v>781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1</v>
      </c>
      <c r="D8" s="13">
        <f t="shared" si="1"/>
        <v>1093</v>
      </c>
      <c r="F8" s="149" t="s">
        <v>21</v>
      </c>
      <c r="G8" s="151" t="s">
        <v>134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27</v>
      </c>
      <c r="D9" s="13">
        <f t="shared" si="1"/>
        <v>19791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10</v>
      </c>
      <c r="D13" s="48">
        <f t="shared" si="1"/>
        <v>3070</v>
      </c>
      <c r="F13" s="163" t="s">
        <v>36</v>
      </c>
      <c r="G13" s="164"/>
      <c r="H13" s="165">
        <f>D29</f>
        <v>282218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15</v>
      </c>
      <c r="D14" s="31">
        <f t="shared" si="1"/>
        <v>165</v>
      </c>
      <c r="F14" s="168" t="s">
        <v>39</v>
      </c>
      <c r="G14" s="169"/>
      <c r="H14" s="170">
        <f>D54</f>
        <v>36882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245336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1248</f>
        <v>1248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2</v>
      </c>
      <c r="D28" s="48">
        <f t="shared" si="1"/>
        <v>1622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282218</v>
      </c>
      <c r="F29" s="186" t="s">
        <v>55</v>
      </c>
      <c r="G29" s="187"/>
      <c r="H29" s="190">
        <f>H15-H16-H17-H18-H19-H20-H22-H23-H24+H26+H27</f>
        <v>244088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211</v>
      </c>
      <c r="H34" s="218">
        <f>F34*G34</f>
        <v>211000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64</v>
      </c>
      <c r="H35" s="218">
        <f t="shared" ref="H35:H39" si="2">F35*G35</f>
        <v>32000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218">
        <f>F36*G36</f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218">
        <f t="shared" si="2"/>
        <v>700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</v>
      </c>
      <c r="H38" s="218">
        <f t="shared" si="2"/>
        <v>250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2</v>
      </c>
      <c r="D42" s="12">
        <f>C42*2.25</f>
        <v>4.5</v>
      </c>
      <c r="F42" s="39" t="s">
        <v>79</v>
      </c>
      <c r="G42" s="218">
        <v>30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</v>
      </c>
      <c r="D46" s="12">
        <f>C46*1.5</f>
        <v>3</v>
      </c>
      <c r="F46" s="37"/>
      <c r="G46" s="11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8</v>
      </c>
      <c r="D49" s="12">
        <f>C49*42</f>
        <v>336</v>
      </c>
      <c r="F49" s="243" t="s">
        <v>86</v>
      </c>
      <c r="G49" s="190">
        <f>H34+H35+H36+H37+H38+H39+H40+H41+G42+H44+H45+H46</f>
        <v>244180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17</v>
      </c>
      <c r="D50" s="12">
        <f>C50*1.5</f>
        <v>25.5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92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36882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6215-47E1-403A-9A63-CCC210FC4F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46043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435</v>
      </c>
      <c r="D6" s="13">
        <f t="shared" ref="D6:D28" si="1">C6*L6</f>
        <v>331035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20</v>
      </c>
      <c r="D7" s="13">
        <f t="shared" si="1"/>
        <v>15620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85</v>
      </c>
      <c r="D9" s="13">
        <f t="shared" si="1"/>
        <v>62305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218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9</v>
      </c>
      <c r="D13" s="48">
        <f t="shared" si="1"/>
        <v>2763</v>
      </c>
      <c r="F13" s="163" t="s">
        <v>36</v>
      </c>
      <c r="G13" s="164"/>
      <c r="H13" s="165">
        <f>D29</f>
        <v>414974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18</v>
      </c>
      <c r="D14" s="31">
        <f t="shared" si="1"/>
        <v>198</v>
      </c>
      <c r="F14" s="168" t="s">
        <v>39</v>
      </c>
      <c r="G14" s="169"/>
      <c r="H14" s="170">
        <f>D54</f>
        <v>67197.75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347776.25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600+630+1248</f>
        <v>2478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>
        <v>50</v>
      </c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3</v>
      </c>
      <c r="D28" s="48">
        <f t="shared" si="1"/>
        <v>2433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414974</v>
      </c>
      <c r="F29" s="186" t="s">
        <v>55</v>
      </c>
      <c r="G29" s="187"/>
      <c r="H29" s="190">
        <f>H15-H16-H17-H18-H19-H20-H22-H23-H24+H26+H27</f>
        <v>345248.25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141</v>
      </c>
      <c r="H34" s="218">
        <f>F34*G34</f>
        <v>141000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18">
        <f>F35*G35</f>
        <v>3000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540</v>
      </c>
      <c r="D37" s="12">
        <f>C37*111</f>
        <v>59940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58</v>
      </c>
      <c r="D40" s="12">
        <f>C40*111</f>
        <v>6438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</v>
      </c>
      <c r="D42" s="12">
        <f>C42*2.25</f>
        <v>2.25</v>
      </c>
      <c r="F42" s="39" t="s">
        <v>79</v>
      </c>
      <c r="G42" s="218">
        <v>131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147</v>
      </c>
      <c r="G44" s="76" t="s">
        <v>219</v>
      </c>
      <c r="H44" s="202">
        <v>132552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220</v>
      </c>
      <c r="H45" s="202">
        <v>68636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19</v>
      </c>
      <c r="D46" s="12">
        <f>C46*1.5</f>
        <v>28.5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7</v>
      </c>
      <c r="D49" s="12">
        <f>C49*42</f>
        <v>294</v>
      </c>
      <c r="F49" s="243" t="s">
        <v>86</v>
      </c>
      <c r="G49" s="190">
        <f>H34+H35+H36+H37+H38+H39+H40+H41+G42+H44+H45+H46</f>
        <v>345319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4</v>
      </c>
      <c r="D50" s="12">
        <f>C50*1.5</f>
        <v>6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70.75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67197.75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1A3A8-1687-4994-A52A-6CBC7951E46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7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89EB4-42B7-4128-B85B-DDB3437138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46044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/>
      <c r="D6" s="13">
        <f t="shared" ref="D6:D28" si="1">C6*L6</f>
        <v>0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2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H15-H16-H17-H18-H19-H20-H22-H23-H24+H26+H27+H28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8">
        <f t="shared" ref="H34:H39" si="2"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si="2"/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1858A-297C-4E5E-8E3A-967D0FAE006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46044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1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B5D2-C704-4E0C-B9B3-00A5609708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46044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2855-51B2-47C5-ADBC-B3E52CF8345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7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F4062-E146-4288-8D8B-852BE8AA1B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46045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/>
      <c r="D6" s="13">
        <f t="shared" ref="D6:D28" si="1">C6*L6</f>
        <v>0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2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H15-H16-H17-H18-H19-H20-H22-H23-H24+H26+H27+H28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8">
        <f t="shared" ref="H34:H39" si="2"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si="2"/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8BD85-C2E6-4056-AFA4-AC92F704C4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46045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1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6A047-020A-481C-8165-87A0976043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46045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2D089-3605-4E62-BCA1-1937E60146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7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9DFAA-E803-4FEA-AC89-5DB0238299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46046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/>
      <c r="D6" s="13">
        <f t="shared" ref="D6:D28" si="1">C6*L6</f>
        <v>0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2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H15-H16-H17-H18-H19-H20-H22-H23-H24+H26+H27+H28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8">
        <f t="shared" ref="H34:H39" si="2"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si="2"/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9C3F4-A70F-4D3D-99D9-AE3ED0880B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46046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1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7B241-2894-459A-A03A-95F2E7C0C6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46046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0163-5914-42F1-B46B-FD040481ECE5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7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A89F1-C58C-454B-BFE8-E16D761894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46048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/>
      <c r="D6" s="13">
        <f t="shared" ref="D6:D28" si="1">C6*L6</f>
        <v>0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2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H15-H16-H17-H18-H19-H20-H22-H23-H24+H26+H27+H28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8">
        <f t="shared" ref="H34:H39" si="2"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si="2"/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FE158-9855-46D2-80D1-502DCE46756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46048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1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62791-BBF1-46BD-AF1D-E6F7D3E6BD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46048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90</vt:i4>
      </vt:variant>
      <vt:variant>
        <vt:lpstr>Named Ranges</vt:lpstr>
      </vt:variant>
      <vt:variant>
        <vt:i4>89</vt:i4>
      </vt:variant>
    </vt:vector>
  </HeadingPairs>
  <TitlesOfParts>
    <vt:vector size="179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 NO TRIP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R2B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(13)</vt:lpstr>
      <vt:lpstr>01,13 R1</vt:lpstr>
      <vt:lpstr>01,13 R2</vt:lpstr>
      <vt:lpstr>01,13 R3</vt:lpstr>
      <vt:lpstr>(14)</vt:lpstr>
      <vt:lpstr>01,14 R1 NO TRIP</vt:lpstr>
      <vt:lpstr>01,14 R2</vt:lpstr>
      <vt:lpstr>01,14 R3</vt:lpstr>
      <vt:lpstr>(15)</vt:lpstr>
      <vt:lpstr>01,15 R1</vt:lpstr>
      <vt:lpstr>01,15 R2</vt:lpstr>
      <vt:lpstr>01,15 R3</vt:lpstr>
      <vt:lpstr>(16)</vt:lpstr>
      <vt:lpstr>01,16 R1</vt:lpstr>
      <vt:lpstr>01,16 R2</vt:lpstr>
      <vt:lpstr>01,16 R3</vt:lpstr>
      <vt:lpstr>(17)</vt:lpstr>
      <vt:lpstr>01,17 R1</vt:lpstr>
      <vt:lpstr>01,17 R2</vt:lpstr>
      <vt:lpstr>01,17 R3</vt:lpstr>
      <vt:lpstr>(19)</vt:lpstr>
      <vt:lpstr>01,19 R1</vt:lpstr>
      <vt:lpstr>01,19 R2</vt:lpstr>
      <vt:lpstr>01,19 R3</vt:lpstr>
      <vt:lpstr>(20)</vt:lpstr>
      <vt:lpstr>01,20 R1</vt:lpstr>
      <vt:lpstr>01,20 R2</vt:lpstr>
      <vt:lpstr>01,20 R3</vt:lpstr>
      <vt:lpstr>(21)</vt:lpstr>
      <vt:lpstr>01,21 R1</vt:lpstr>
      <vt:lpstr>01,21 R2</vt:lpstr>
      <vt:lpstr>01,21 R3</vt:lpstr>
      <vt:lpstr>(22)</vt:lpstr>
      <vt:lpstr>01,22 R1</vt:lpstr>
      <vt:lpstr>01,22 R2</vt:lpstr>
      <vt:lpstr>01,22 R3</vt:lpstr>
      <vt:lpstr>(23)</vt:lpstr>
      <vt:lpstr>01,23 R1</vt:lpstr>
      <vt:lpstr>01,23 R2</vt:lpstr>
      <vt:lpstr>01,23 R3</vt:lpstr>
      <vt:lpstr>(24)</vt:lpstr>
      <vt:lpstr>01,24 R1</vt:lpstr>
      <vt:lpstr>01,24 R2</vt:lpstr>
      <vt:lpstr>01,24 R3</vt:lpstr>
      <vt:lpstr>(26)</vt:lpstr>
      <vt:lpstr>01,26 R1</vt:lpstr>
      <vt:lpstr>01,26 R2</vt:lpstr>
      <vt:lpstr>01,26 R3</vt:lpstr>
      <vt:lpstr>'(01)'!Print_Area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'(26)'!Print_Area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 NO TRIP'!Print_Area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R2B'!Print_Area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  <vt:lpstr>'01,13 R1'!Print_Area</vt:lpstr>
      <vt:lpstr>'01,13 R2'!Print_Area</vt:lpstr>
      <vt:lpstr>'01,13 R3'!Print_Area</vt:lpstr>
      <vt:lpstr>'01,14 R1 NO TRIP'!Print_Area</vt:lpstr>
      <vt:lpstr>'01,14 R2'!Print_Area</vt:lpstr>
      <vt:lpstr>'01,14 R3'!Print_Area</vt:lpstr>
      <vt:lpstr>'01,15 R1'!Print_Area</vt:lpstr>
      <vt:lpstr>'01,15 R2'!Print_Area</vt:lpstr>
      <vt:lpstr>'01,15 R3'!Print_Area</vt:lpstr>
      <vt:lpstr>'01,16 R1'!Print_Area</vt:lpstr>
      <vt:lpstr>'01,16 R2'!Print_Area</vt:lpstr>
      <vt:lpstr>'01,16 R3'!Print_Area</vt:lpstr>
      <vt:lpstr>'01,17 R1'!Print_Area</vt:lpstr>
      <vt:lpstr>'01,17 R2'!Print_Area</vt:lpstr>
      <vt:lpstr>'01,17 R3'!Print_Area</vt:lpstr>
      <vt:lpstr>'01,19 R1'!Print_Area</vt:lpstr>
      <vt:lpstr>'01,19 R2'!Print_Area</vt:lpstr>
      <vt:lpstr>'01,19 R3'!Print_Area</vt:lpstr>
      <vt:lpstr>'01,20 R1'!Print_Area</vt:lpstr>
      <vt:lpstr>'01,20 R2'!Print_Area</vt:lpstr>
      <vt:lpstr>'01,20 R3'!Print_Area</vt:lpstr>
      <vt:lpstr>'01,21 R1'!Print_Area</vt:lpstr>
      <vt:lpstr>'01,21 R2'!Print_Area</vt:lpstr>
      <vt:lpstr>'01,21 R3'!Print_Area</vt:lpstr>
      <vt:lpstr>'01,22 R1'!Print_Area</vt:lpstr>
      <vt:lpstr>'01,22 R2'!Print_Area</vt:lpstr>
      <vt:lpstr>'01,22 R3'!Print_Area</vt:lpstr>
      <vt:lpstr>'01,23 R1'!Print_Area</vt:lpstr>
      <vt:lpstr>'01,23 R2'!Print_Area</vt:lpstr>
      <vt:lpstr>'01,23 R3'!Print_Area</vt:lpstr>
      <vt:lpstr>'01,24 R1'!Print_Area</vt:lpstr>
      <vt:lpstr>'01,24 R2'!Print_Area</vt:lpstr>
      <vt:lpstr>'01,24 R3'!Print_Area</vt:lpstr>
      <vt:lpstr>'01,26 R1'!Print_Area</vt:lpstr>
      <vt:lpstr>'01,26 R2'!Print_Area</vt:lpstr>
      <vt:lpstr>'01,26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2026-01-22T02:32:19Z</cp:lastPrinted>
  <dcterms:created xsi:type="dcterms:W3CDTF">2024-09-01T23:36:50Z</dcterms:created>
  <dcterms:modified xsi:type="dcterms:W3CDTF">2026-01-22T02:33:01Z</dcterms:modified>
</cp:coreProperties>
</file>