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ANUARY FILES 2026\"/>
    </mc:Choice>
  </mc:AlternateContent>
  <xr:revisionPtr revIDLastSave="0" documentId="13_ncr:1_{80098036-3D03-4D41-A2F1-D04A643D89B9}" xr6:coauthVersionLast="45" xr6:coauthVersionMax="47" xr10:uidLastSave="{00000000-0000-0000-0000-000000000000}"/>
  <bookViews>
    <workbookView xWindow="-120" yWindow="-120" windowWidth="29040" windowHeight="15840" firstSheet="13" activeTab="24" xr2:uid="{00000000-000D-0000-FFFF-FFFF00000000}"/>
  </bookViews>
  <sheets>
    <sheet name="(January 2025)" sheetId="814" r:id="rId1"/>
    <sheet name="(01)" sheetId="1617" r:id="rId2"/>
    <sheet name="01,01 R1" sheetId="1618" r:id="rId3"/>
    <sheet name="01,01 R2" sheetId="1619" r:id="rId4"/>
    <sheet name="01,01 R3" sheetId="1620" r:id="rId5"/>
    <sheet name="(2)" sheetId="1645" r:id="rId6"/>
    <sheet name="01,02 R1 NO TRIP" sheetId="1646" r:id="rId7"/>
    <sheet name="01,02 R2 NO TRIP" sheetId="1647" r:id="rId8"/>
    <sheet name="01,02 R3" sheetId="1648" r:id="rId9"/>
    <sheet name="(3)" sheetId="1649" r:id="rId10"/>
    <sheet name="01,03 R1" sheetId="1650" r:id="rId11"/>
    <sheet name="01,03 R2 NO TRIP" sheetId="1651" r:id="rId12"/>
    <sheet name="01,03 R3" sheetId="1652" r:id="rId13"/>
    <sheet name="(5)" sheetId="1653" r:id="rId14"/>
    <sheet name="01,05 R1" sheetId="1654" r:id="rId15"/>
    <sheet name="01,05 R2" sheetId="1655" r:id="rId16"/>
    <sheet name="01,05 R3" sheetId="1656" r:id="rId17"/>
    <sheet name="(6)" sheetId="1657" r:id="rId18"/>
    <sheet name="01,06 R1" sheetId="1658" r:id="rId19"/>
    <sheet name="01,06 R2" sheetId="1659" r:id="rId20"/>
    <sheet name="01,06 R3" sheetId="1660" r:id="rId21"/>
    <sheet name="(7)" sheetId="1661" r:id="rId22"/>
    <sheet name="01,07 R1" sheetId="1662" r:id="rId23"/>
    <sheet name="01,07 R2" sheetId="1663" r:id="rId24"/>
    <sheet name="01,07 R2B" sheetId="1681" r:id="rId25"/>
    <sheet name="01,07 R3" sheetId="1664" r:id="rId26"/>
    <sheet name="(8)" sheetId="1665" r:id="rId27"/>
    <sheet name="01,08 R1" sheetId="1666" r:id="rId28"/>
    <sheet name="01,08 R2" sheetId="1667" r:id="rId29"/>
    <sheet name="01,08 R3" sheetId="1668" r:id="rId30"/>
    <sheet name="(9)" sheetId="1669" r:id="rId31"/>
    <sheet name="01,09 R1" sheetId="1670" r:id="rId32"/>
    <sheet name="01,09 R2" sheetId="1671" r:id="rId33"/>
    <sheet name="01,09 R3" sheetId="1672" r:id="rId34"/>
    <sheet name="(10)" sheetId="1673" r:id="rId35"/>
    <sheet name="01,10 R1" sheetId="1674" r:id="rId36"/>
    <sheet name="01,10 R2" sheetId="1675" r:id="rId37"/>
    <sheet name="01,10 R3" sheetId="1676" r:id="rId38"/>
    <sheet name="(12)" sheetId="1677" r:id="rId39"/>
    <sheet name="01,12 R1" sheetId="1678" r:id="rId40"/>
    <sheet name="01,12 R2" sheetId="1679" r:id="rId41"/>
    <sheet name="01,12 R3" sheetId="1680" r:id="rId42"/>
  </sheets>
  <definedNames>
    <definedName name="_xlnm.Print_Area" localSheetId="1">'(01)'!$A$1:$J$60</definedName>
    <definedName name="_xlnm.Print_Area" localSheetId="34">'(10)'!$A$1:$J$60</definedName>
    <definedName name="_xlnm.Print_Area" localSheetId="38">'(12)'!$A$1:$J$60</definedName>
    <definedName name="_xlnm.Print_Area" localSheetId="5">'(2)'!$A$1:$J$60</definedName>
    <definedName name="_xlnm.Print_Area" localSheetId="9">'(3)'!$A$1:$J$60</definedName>
    <definedName name="_xlnm.Print_Area" localSheetId="13">'(5)'!$A$1:$J$60</definedName>
    <definedName name="_xlnm.Print_Area" localSheetId="17">'(6)'!$A$1:$J$60</definedName>
    <definedName name="_xlnm.Print_Area" localSheetId="21">'(7)'!$A$1:$J$60</definedName>
    <definedName name="_xlnm.Print_Area" localSheetId="26">'(8)'!$A$1:$J$60</definedName>
    <definedName name="_xlnm.Print_Area" localSheetId="30">'(9)'!$A$1:$J$60</definedName>
    <definedName name="_xlnm.Print_Area" localSheetId="2">'01,01 R1'!$A$1:$J$60</definedName>
    <definedName name="_xlnm.Print_Area" localSheetId="3">'01,01 R2'!$A$1:$J$60</definedName>
    <definedName name="_xlnm.Print_Area" localSheetId="4">'01,01 R3'!$A$1:$J$60</definedName>
    <definedName name="_xlnm.Print_Area" localSheetId="6">'01,02 R1 NO TRIP'!$A$1:$J$60</definedName>
    <definedName name="_xlnm.Print_Area" localSheetId="7">'01,02 R2 NO TRIP'!$A$1:$J$60</definedName>
    <definedName name="_xlnm.Print_Area" localSheetId="8">'01,02 R3'!$A$1:$J$60</definedName>
    <definedName name="_xlnm.Print_Area" localSheetId="10">'01,03 R1'!$A$1:$J$60</definedName>
    <definedName name="_xlnm.Print_Area" localSheetId="11">'01,03 R2 NO TRIP'!$A$1:$J$60</definedName>
    <definedName name="_xlnm.Print_Area" localSheetId="12">'01,03 R3'!$A$1:$J$60</definedName>
    <definedName name="_xlnm.Print_Area" localSheetId="14">'01,05 R1'!$A$1:$J$60</definedName>
    <definedName name="_xlnm.Print_Area" localSheetId="15">'01,05 R2'!$A$1:$J$60</definedName>
    <definedName name="_xlnm.Print_Area" localSheetId="16">'01,05 R3'!$A$1:$J$60</definedName>
    <definedName name="_xlnm.Print_Area" localSheetId="18">'01,06 R1'!$A$1:$J$60</definedName>
    <definedName name="_xlnm.Print_Area" localSheetId="19">'01,06 R2'!$A$1:$J$60</definedName>
    <definedName name="_xlnm.Print_Area" localSheetId="20">'01,06 R3'!$A$1:$J$60</definedName>
    <definedName name="_xlnm.Print_Area" localSheetId="22">'01,07 R1'!$A$1:$J$60</definedName>
    <definedName name="_xlnm.Print_Area" localSheetId="23">'01,07 R2'!$A$1:$J$60</definedName>
    <definedName name="_xlnm.Print_Area" localSheetId="24">'01,07 R2B'!$A$1:$J$60</definedName>
    <definedName name="_xlnm.Print_Area" localSheetId="25">'01,07 R3'!$A$1:$J$60</definedName>
    <definedName name="_xlnm.Print_Area" localSheetId="27">'01,08 R1'!$A$1:$J$60</definedName>
    <definedName name="_xlnm.Print_Area" localSheetId="28">'01,08 R2'!$A$1:$J$60</definedName>
    <definedName name="_xlnm.Print_Area" localSheetId="29">'01,08 R3'!$A$1:$J$60</definedName>
    <definedName name="_xlnm.Print_Area" localSheetId="31">'01,09 R1'!$A$1:$J$60</definedName>
    <definedName name="_xlnm.Print_Area" localSheetId="32">'01,09 R2'!$A$1:$J$60</definedName>
    <definedName name="_xlnm.Print_Area" localSheetId="33">'01,09 R3'!$A$1:$J$60</definedName>
    <definedName name="_xlnm.Print_Area" localSheetId="35">'01,10 R1'!$A$1:$J$60</definedName>
    <definedName name="_xlnm.Print_Area" localSheetId="36">'01,10 R2'!$A$1:$J$60</definedName>
    <definedName name="_xlnm.Print_Area" localSheetId="37">'01,10 R3'!$A$1:$J$60</definedName>
    <definedName name="_xlnm.Print_Area" localSheetId="39">'01,12 R1'!$A$1:$J$60</definedName>
    <definedName name="_xlnm.Print_Area" localSheetId="40">'01,12 R2'!$A$1:$J$60</definedName>
    <definedName name="_xlnm.Print_Area" localSheetId="41">'01,12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29" i="1681" l="1"/>
  <c r="R52" i="1681"/>
  <c r="R51" i="1681"/>
  <c r="D50" i="1681"/>
  <c r="R49" i="1681"/>
  <c r="D49" i="1681"/>
  <c r="R48" i="1681"/>
  <c r="D48" i="1681"/>
  <c r="D46" i="1681"/>
  <c r="D45" i="1681"/>
  <c r="R44" i="1681"/>
  <c r="L28" i="1681" s="1"/>
  <c r="D28" i="1681" s="1"/>
  <c r="D44" i="1681"/>
  <c r="R42" i="1681"/>
  <c r="D42" i="1681"/>
  <c r="R41" i="1681"/>
  <c r="L7" i="1681" s="1"/>
  <c r="D7" i="1681" s="1"/>
  <c r="D41" i="1681"/>
  <c r="D54" i="1681" s="1"/>
  <c r="H14" i="1681" s="1"/>
  <c r="R40" i="1681"/>
  <c r="D40" i="1681"/>
  <c r="R39" i="1681"/>
  <c r="H39" i="1681"/>
  <c r="D39" i="1681"/>
  <c r="R38" i="1681"/>
  <c r="H38" i="1681"/>
  <c r="D38" i="1681"/>
  <c r="R37" i="1681"/>
  <c r="H37" i="1681"/>
  <c r="D37" i="1681"/>
  <c r="R36" i="1681"/>
  <c r="H36" i="1681"/>
  <c r="D36" i="1681"/>
  <c r="R35" i="1681"/>
  <c r="L19" i="1681" s="1"/>
  <c r="D19" i="1681" s="1"/>
  <c r="H35" i="1681"/>
  <c r="D35" i="1681"/>
  <c r="R34" i="1681"/>
  <c r="H34" i="1681"/>
  <c r="G49" i="1681" s="1"/>
  <c r="D34" i="1681"/>
  <c r="R33" i="1681"/>
  <c r="R32" i="1681"/>
  <c r="R31" i="1681"/>
  <c r="R30" i="1681"/>
  <c r="R29" i="1681"/>
  <c r="R28" i="1681"/>
  <c r="R27" i="1681"/>
  <c r="D27" i="1681"/>
  <c r="R26" i="1681"/>
  <c r="L26" i="1681"/>
  <c r="D26" i="1681"/>
  <c r="R25" i="1681"/>
  <c r="L25" i="1681"/>
  <c r="D25" i="1681" s="1"/>
  <c r="R24" i="1681"/>
  <c r="L24" i="1681"/>
  <c r="D24" i="1681"/>
  <c r="R23" i="1681"/>
  <c r="L23" i="1681"/>
  <c r="D23" i="1681"/>
  <c r="R22" i="1681"/>
  <c r="L22" i="1681"/>
  <c r="D22" i="1681"/>
  <c r="R21" i="1681"/>
  <c r="L17" i="1681" s="1"/>
  <c r="D17" i="1681" s="1"/>
  <c r="D21" i="1681"/>
  <c r="R20" i="1681"/>
  <c r="L20" i="1681"/>
  <c r="D20" i="1681"/>
  <c r="R19" i="1681"/>
  <c r="R18" i="1681"/>
  <c r="D18" i="1681"/>
  <c r="R17" i="1681"/>
  <c r="R16" i="1681"/>
  <c r="L16" i="1681"/>
  <c r="D16" i="1681"/>
  <c r="R15" i="1681"/>
  <c r="D15" i="1681"/>
  <c r="R14" i="1681"/>
  <c r="D14" i="1681"/>
  <c r="R13" i="1681"/>
  <c r="D13" i="1681"/>
  <c r="R12" i="1681"/>
  <c r="L12" i="1681"/>
  <c r="D12" i="1681"/>
  <c r="R11" i="1681"/>
  <c r="L11" i="1681"/>
  <c r="D11" i="1681"/>
  <c r="L10" i="1681"/>
  <c r="D10" i="1681" s="1"/>
  <c r="L9" i="1681"/>
  <c r="D9" i="1681"/>
  <c r="L8" i="1681"/>
  <c r="D8" i="1681" s="1"/>
  <c r="R6" i="1681"/>
  <c r="L6" i="1681"/>
  <c r="D6" i="1681"/>
  <c r="R5" i="1681"/>
  <c r="R4" i="1681"/>
  <c r="D29" i="1681" l="1"/>
  <c r="H13" i="1681" s="1"/>
  <c r="H15" i="1681" s="1"/>
  <c r="G51" i="1681" s="1"/>
  <c r="L28" i="1663"/>
  <c r="H16" i="1663" l="1"/>
  <c r="H16" i="1662"/>
  <c r="C12" i="1664"/>
  <c r="C21" i="1664"/>
  <c r="L28" i="1662"/>
  <c r="L23" i="1662"/>
  <c r="L25" i="1662"/>
  <c r="C6" i="1660" l="1"/>
  <c r="C21" i="1659" l="1"/>
  <c r="L23" i="1658"/>
  <c r="L25" i="1658"/>
  <c r="H16" i="1660"/>
  <c r="H16" i="1659"/>
  <c r="H38" i="1659"/>
  <c r="H39" i="1659"/>
  <c r="H16" i="1656" l="1"/>
  <c r="H16" i="1655"/>
  <c r="H16" i="1654"/>
  <c r="L28" i="1656" l="1"/>
  <c r="C12" i="1656"/>
  <c r="L28" i="1655"/>
  <c r="C9" i="1654"/>
  <c r="L28" i="1654"/>
  <c r="H16" i="1652" l="1"/>
  <c r="H16" i="1650"/>
  <c r="C18" i="1652"/>
  <c r="C15" i="1652"/>
  <c r="C12" i="1650"/>
  <c r="H16" i="1648" l="1"/>
  <c r="R52" i="1680" l="1"/>
  <c r="L22" i="1680" s="1"/>
  <c r="D22" i="1680" s="1"/>
  <c r="R51" i="1680"/>
  <c r="D50" i="1680"/>
  <c r="R49" i="1680"/>
  <c r="D49" i="1680"/>
  <c r="R48" i="1680"/>
  <c r="D48" i="1680"/>
  <c r="D46" i="1680"/>
  <c r="D45" i="1680"/>
  <c r="R44" i="1680"/>
  <c r="D44" i="1680"/>
  <c r="R42" i="1680"/>
  <c r="L6" i="1680" s="1"/>
  <c r="D6" i="1680" s="1"/>
  <c r="D42" i="1680"/>
  <c r="R41" i="1680"/>
  <c r="D41" i="1680"/>
  <c r="R40" i="1680"/>
  <c r="D40" i="1680"/>
  <c r="R39" i="1680"/>
  <c r="H39" i="1680"/>
  <c r="D39" i="1680"/>
  <c r="R38" i="1680"/>
  <c r="H38" i="1680"/>
  <c r="D38" i="1680"/>
  <c r="R37" i="1680"/>
  <c r="H37" i="1680"/>
  <c r="D37" i="1680"/>
  <c r="R36" i="1680"/>
  <c r="H36" i="1680"/>
  <c r="D36" i="1680"/>
  <c r="R35" i="1680"/>
  <c r="L19" i="1680" s="1"/>
  <c r="D19" i="1680" s="1"/>
  <c r="H35" i="1680"/>
  <c r="D35" i="1680"/>
  <c r="D54" i="1680" s="1"/>
  <c r="H14" i="1680" s="1"/>
  <c r="R34" i="1680"/>
  <c r="L12" i="1680" s="1"/>
  <c r="D12" i="1680" s="1"/>
  <c r="H34" i="1680"/>
  <c r="G49" i="1680" s="1"/>
  <c r="D34" i="1680"/>
  <c r="R33" i="1680"/>
  <c r="L23" i="1680" s="1"/>
  <c r="D23" i="1680" s="1"/>
  <c r="R32" i="1680"/>
  <c r="L11" i="1680" s="1"/>
  <c r="D11" i="1680" s="1"/>
  <c r="R31" i="1680"/>
  <c r="R30" i="1680"/>
  <c r="R29" i="1680"/>
  <c r="R28" i="1680"/>
  <c r="D28" i="1680"/>
  <c r="R27" i="1680"/>
  <c r="D27" i="1680"/>
  <c r="R26" i="1680"/>
  <c r="L26" i="1680"/>
  <c r="D26" i="1680"/>
  <c r="R25" i="1680"/>
  <c r="L25" i="1680"/>
  <c r="D25" i="1680"/>
  <c r="R24" i="1680"/>
  <c r="D24" i="1680"/>
  <c r="R23" i="1680"/>
  <c r="R22" i="1680"/>
  <c r="R21" i="1680"/>
  <c r="D21" i="1680"/>
  <c r="R20" i="1680"/>
  <c r="L20" i="1680"/>
  <c r="D20" i="1680"/>
  <c r="R19" i="1680"/>
  <c r="R18" i="1680"/>
  <c r="D18" i="1680"/>
  <c r="R17" i="1680"/>
  <c r="D17" i="1680"/>
  <c r="R16" i="1680"/>
  <c r="L16" i="1680"/>
  <c r="D16" i="1680" s="1"/>
  <c r="R15" i="1680"/>
  <c r="D15" i="1680"/>
  <c r="R14" i="1680"/>
  <c r="D14" i="1680"/>
  <c r="R13" i="1680"/>
  <c r="D13" i="1680"/>
  <c r="R12" i="1680"/>
  <c r="R11" i="1680"/>
  <c r="L10" i="1680"/>
  <c r="D10" i="1680"/>
  <c r="L9" i="1680"/>
  <c r="D9" i="1680" s="1"/>
  <c r="L8" i="1680"/>
  <c r="D8" i="1680" s="1"/>
  <c r="L7" i="1680"/>
  <c r="D7" i="1680" s="1"/>
  <c r="R6" i="1680"/>
  <c r="R5" i="1680"/>
  <c r="R4" i="1680"/>
  <c r="R52" i="1679"/>
  <c r="R51" i="1679"/>
  <c r="D50" i="1679"/>
  <c r="R49" i="1679"/>
  <c r="D49" i="1679"/>
  <c r="R48" i="1679"/>
  <c r="D48" i="1679"/>
  <c r="D46" i="1679"/>
  <c r="D45" i="1679"/>
  <c r="R44" i="1679"/>
  <c r="D44" i="1679"/>
  <c r="R42" i="1679"/>
  <c r="L6" i="1679" s="1"/>
  <c r="D6" i="1679" s="1"/>
  <c r="D42" i="1679"/>
  <c r="R41" i="1679"/>
  <c r="L7" i="1679" s="1"/>
  <c r="D7" i="1679" s="1"/>
  <c r="D41" i="1679"/>
  <c r="R40" i="1679"/>
  <c r="L8" i="1679" s="1"/>
  <c r="D8" i="1679" s="1"/>
  <c r="D40" i="1679"/>
  <c r="R39" i="1679"/>
  <c r="L20" i="1679" s="1"/>
  <c r="D20" i="1679" s="1"/>
  <c r="H39" i="1679"/>
  <c r="D39" i="1679"/>
  <c r="R38" i="1679"/>
  <c r="H38" i="1679"/>
  <c r="D38" i="1679"/>
  <c r="R37" i="1679"/>
  <c r="H37" i="1679"/>
  <c r="D37" i="1679"/>
  <c r="R36" i="1679"/>
  <c r="H36" i="1679"/>
  <c r="D36" i="1679"/>
  <c r="D54" i="1679" s="1"/>
  <c r="H14" i="1679" s="1"/>
  <c r="R35" i="1679"/>
  <c r="L19" i="1679" s="1"/>
  <c r="D19" i="1679" s="1"/>
  <c r="H35" i="1679"/>
  <c r="D35" i="1679"/>
  <c r="R34" i="1679"/>
  <c r="H34" i="1679"/>
  <c r="G49" i="1679" s="1"/>
  <c r="D34" i="1679"/>
  <c r="R33" i="1679"/>
  <c r="L23" i="1679" s="1"/>
  <c r="D23" i="1679" s="1"/>
  <c r="R32" i="1679"/>
  <c r="R31" i="1679"/>
  <c r="R30" i="1679"/>
  <c r="R29" i="1679"/>
  <c r="R28" i="1679"/>
  <c r="D28" i="1679"/>
  <c r="R27" i="1679"/>
  <c r="D27" i="1679"/>
  <c r="R26" i="1679"/>
  <c r="L26" i="1679"/>
  <c r="D26" i="1679" s="1"/>
  <c r="R25" i="1679"/>
  <c r="L25" i="1679"/>
  <c r="D25" i="1679"/>
  <c r="R24" i="1679"/>
  <c r="L24" i="1679"/>
  <c r="D24" i="1679" s="1"/>
  <c r="R23" i="1679"/>
  <c r="R22" i="1679"/>
  <c r="L22" i="1679"/>
  <c r="D22" i="1679"/>
  <c r="R21" i="1679"/>
  <c r="L17" i="1679" s="1"/>
  <c r="D17" i="1679" s="1"/>
  <c r="D21" i="1679"/>
  <c r="R20" i="1679"/>
  <c r="R19" i="1679"/>
  <c r="R18" i="1679"/>
  <c r="D18" i="1679"/>
  <c r="R17" i="1679"/>
  <c r="R16" i="1679"/>
  <c r="L16" i="1679"/>
  <c r="D16" i="1679"/>
  <c r="R15" i="1679"/>
  <c r="D15" i="1679"/>
  <c r="R14" i="1679"/>
  <c r="D14" i="1679"/>
  <c r="R13" i="1679"/>
  <c r="D13" i="1679"/>
  <c r="R12" i="1679"/>
  <c r="L12" i="1679"/>
  <c r="D12" i="1679" s="1"/>
  <c r="R11" i="1679"/>
  <c r="L11" i="1679"/>
  <c r="D11" i="1679"/>
  <c r="L10" i="1679"/>
  <c r="D10" i="1679" s="1"/>
  <c r="L9" i="1679"/>
  <c r="D9" i="1679" s="1"/>
  <c r="R6" i="1679"/>
  <c r="R5" i="1679"/>
  <c r="R4" i="1679"/>
  <c r="R52" i="1678"/>
  <c r="R51" i="1678"/>
  <c r="D50" i="1678"/>
  <c r="R49" i="1678"/>
  <c r="D49" i="1678"/>
  <c r="R48" i="1678"/>
  <c r="D48" i="1678"/>
  <c r="D46" i="1678"/>
  <c r="D45" i="1678"/>
  <c r="R44" i="1678"/>
  <c r="D44" i="1678"/>
  <c r="R42" i="1678"/>
  <c r="D42" i="1678"/>
  <c r="R41" i="1678"/>
  <c r="L7" i="1678" s="1"/>
  <c r="D7" i="1678" s="1"/>
  <c r="D41" i="1678"/>
  <c r="R40" i="1678"/>
  <c r="D40" i="1678"/>
  <c r="R39" i="1678"/>
  <c r="L20" i="1678" s="1"/>
  <c r="D20" i="1678" s="1"/>
  <c r="H39" i="1678"/>
  <c r="D39" i="1678"/>
  <c r="R38" i="1678"/>
  <c r="L9" i="1678" s="1"/>
  <c r="D9" i="1678" s="1"/>
  <c r="H38" i="1678"/>
  <c r="D38" i="1678"/>
  <c r="R37" i="1678"/>
  <c r="H37" i="1678"/>
  <c r="D37" i="1678"/>
  <c r="R36" i="1678"/>
  <c r="L10" i="1678" s="1"/>
  <c r="D10" i="1678" s="1"/>
  <c r="H36" i="1678"/>
  <c r="D36" i="1678"/>
  <c r="R35" i="1678"/>
  <c r="H35" i="1678"/>
  <c r="D35" i="1678"/>
  <c r="R34" i="1678"/>
  <c r="H34" i="1678"/>
  <c r="G49" i="1678" s="1"/>
  <c r="D34" i="1678"/>
  <c r="D54" i="1678" s="1"/>
  <c r="H14" i="1678" s="1"/>
  <c r="R33" i="1678"/>
  <c r="R32" i="1678"/>
  <c r="L11" i="1678" s="1"/>
  <c r="D11" i="1678" s="1"/>
  <c r="R31" i="1678"/>
  <c r="R30" i="1678"/>
  <c r="R29" i="1678"/>
  <c r="R28" i="1678"/>
  <c r="L16" i="1678" s="1"/>
  <c r="D16" i="1678" s="1"/>
  <c r="D28" i="1678"/>
  <c r="R27" i="1678"/>
  <c r="D27" i="1678"/>
  <c r="R26" i="1678"/>
  <c r="L26" i="1678"/>
  <c r="D26" i="1678"/>
  <c r="R25" i="1678"/>
  <c r="L25" i="1678"/>
  <c r="D25" i="1678" s="1"/>
  <c r="R24" i="1678"/>
  <c r="L24" i="1678"/>
  <c r="D24" i="1678" s="1"/>
  <c r="R23" i="1678"/>
  <c r="D23" i="1678"/>
  <c r="R22" i="1678"/>
  <c r="D22" i="1678"/>
  <c r="R21" i="1678"/>
  <c r="D21" i="1678"/>
  <c r="R20" i="1678"/>
  <c r="R19" i="1678"/>
  <c r="D19" i="1678"/>
  <c r="R18" i="1678"/>
  <c r="D18" i="1678"/>
  <c r="R17" i="1678"/>
  <c r="L17" i="1678"/>
  <c r="D17" i="1678" s="1"/>
  <c r="R16" i="1678"/>
  <c r="R15" i="1678"/>
  <c r="D15" i="1678"/>
  <c r="R14" i="1678"/>
  <c r="D14" i="1678"/>
  <c r="R13" i="1678"/>
  <c r="D13" i="1678"/>
  <c r="R12" i="1678"/>
  <c r="L12" i="1678"/>
  <c r="D12" i="1678" s="1"/>
  <c r="R11" i="1678"/>
  <c r="L8" i="1678"/>
  <c r="D8" i="1678" s="1"/>
  <c r="R6" i="1678"/>
  <c r="L6" i="1678"/>
  <c r="D6" i="1678" s="1"/>
  <c r="R5" i="1678"/>
  <c r="R4" i="1678"/>
  <c r="R52" i="1677"/>
  <c r="R51" i="1677"/>
  <c r="D50" i="1677"/>
  <c r="R49" i="1677"/>
  <c r="G49" i="1677"/>
  <c r="D49" i="1677"/>
  <c r="R48" i="1677"/>
  <c r="D48" i="1677"/>
  <c r="D46" i="1677"/>
  <c r="D45" i="1677"/>
  <c r="D44" i="1677"/>
  <c r="R42" i="1677"/>
  <c r="L6" i="1677" s="1"/>
  <c r="D6" i="1677" s="1"/>
  <c r="D42" i="1677"/>
  <c r="R41" i="1677"/>
  <c r="L7" i="1677" s="1"/>
  <c r="D7" i="1677" s="1"/>
  <c r="D41" i="1677"/>
  <c r="R40" i="1677"/>
  <c r="D40" i="1677"/>
  <c r="R39" i="1677"/>
  <c r="D39" i="1677"/>
  <c r="R38" i="1677"/>
  <c r="D38" i="1677"/>
  <c r="R37" i="1677"/>
  <c r="D37" i="1677"/>
  <c r="R36" i="1677"/>
  <c r="L10" i="1677" s="1"/>
  <c r="D10" i="1677" s="1"/>
  <c r="D36" i="1677"/>
  <c r="R35" i="1677"/>
  <c r="L19" i="1677" s="1"/>
  <c r="D19" i="1677" s="1"/>
  <c r="D35" i="1677"/>
  <c r="R34" i="1677"/>
  <c r="L12" i="1677" s="1"/>
  <c r="D12" i="1677" s="1"/>
  <c r="D34" i="1677"/>
  <c r="D54" i="1677" s="1"/>
  <c r="H14" i="1677" s="1"/>
  <c r="R33" i="1677"/>
  <c r="L23" i="1677" s="1"/>
  <c r="D23" i="1677" s="1"/>
  <c r="R32" i="1677"/>
  <c r="L11" i="1677" s="1"/>
  <c r="D11" i="1677" s="1"/>
  <c r="R31" i="1677"/>
  <c r="R30" i="1677"/>
  <c r="R29" i="1677"/>
  <c r="R28" i="1677"/>
  <c r="D28" i="1677"/>
  <c r="R27" i="1677"/>
  <c r="D27" i="1677"/>
  <c r="R26" i="1677"/>
  <c r="L26" i="1677"/>
  <c r="D26" i="1677" s="1"/>
  <c r="R25" i="1677"/>
  <c r="L25" i="1677"/>
  <c r="D25" i="1677"/>
  <c r="R24" i="1677"/>
  <c r="D24" i="1677"/>
  <c r="R23" i="1677"/>
  <c r="R22" i="1677"/>
  <c r="L22" i="1677"/>
  <c r="D22" i="1677"/>
  <c r="R21" i="1677"/>
  <c r="D21" i="1677"/>
  <c r="R20" i="1677"/>
  <c r="L20" i="1677"/>
  <c r="D20" i="1677" s="1"/>
  <c r="R19" i="1677"/>
  <c r="R18" i="1677"/>
  <c r="D18" i="1677"/>
  <c r="R17" i="1677"/>
  <c r="D17" i="1677"/>
  <c r="R16" i="1677"/>
  <c r="L16" i="1677"/>
  <c r="D16" i="1677" s="1"/>
  <c r="S15" i="1677"/>
  <c r="R15" i="1677"/>
  <c r="D15" i="1677"/>
  <c r="S14" i="1677"/>
  <c r="R14" i="1677"/>
  <c r="D14" i="1677"/>
  <c r="R13" i="1677"/>
  <c r="D13" i="1677"/>
  <c r="R12" i="1677"/>
  <c r="R11" i="1677"/>
  <c r="L9" i="1677"/>
  <c r="D9" i="1677"/>
  <c r="L8" i="1677"/>
  <c r="D8" i="1677"/>
  <c r="R6" i="1677"/>
  <c r="R5" i="1677"/>
  <c r="R4" i="1677"/>
  <c r="R52" i="1676"/>
  <c r="L22" i="1676" s="1"/>
  <c r="D22" i="1676" s="1"/>
  <c r="R51" i="1676"/>
  <c r="D50" i="1676"/>
  <c r="R49" i="1676"/>
  <c r="D49" i="1676"/>
  <c r="R48" i="1676"/>
  <c r="D48" i="1676"/>
  <c r="D46" i="1676"/>
  <c r="D45" i="1676"/>
  <c r="R44" i="1676"/>
  <c r="D44" i="1676"/>
  <c r="R42" i="1676"/>
  <c r="D42" i="1676"/>
  <c r="R41" i="1676"/>
  <c r="D41" i="1676"/>
  <c r="R40" i="1676"/>
  <c r="D40" i="1676"/>
  <c r="R39" i="1676"/>
  <c r="H39" i="1676"/>
  <c r="D39" i="1676"/>
  <c r="R38" i="1676"/>
  <c r="H38" i="1676"/>
  <c r="D38" i="1676"/>
  <c r="R37" i="1676"/>
  <c r="H37" i="1676"/>
  <c r="D37" i="1676"/>
  <c r="R36" i="1676"/>
  <c r="H36" i="1676"/>
  <c r="D36" i="1676"/>
  <c r="R35" i="1676"/>
  <c r="H35" i="1676"/>
  <c r="D35" i="1676"/>
  <c r="R34" i="1676"/>
  <c r="L12" i="1676" s="1"/>
  <c r="D12" i="1676" s="1"/>
  <c r="H34" i="1676"/>
  <c r="G49" i="1676" s="1"/>
  <c r="D34" i="1676"/>
  <c r="D54" i="1676" s="1"/>
  <c r="H14" i="1676" s="1"/>
  <c r="R33" i="1676"/>
  <c r="L23" i="1676" s="1"/>
  <c r="D23" i="1676" s="1"/>
  <c r="R32" i="1676"/>
  <c r="R31" i="1676"/>
  <c r="R30" i="1676"/>
  <c r="R29" i="1676"/>
  <c r="R28" i="1676"/>
  <c r="D28" i="1676"/>
  <c r="R27" i="1676"/>
  <c r="D27" i="1676"/>
  <c r="R26" i="1676"/>
  <c r="L26" i="1676"/>
  <c r="D26" i="1676"/>
  <c r="R25" i="1676"/>
  <c r="L25" i="1676"/>
  <c r="D25" i="1676" s="1"/>
  <c r="R24" i="1676"/>
  <c r="D24" i="1676"/>
  <c r="R23" i="1676"/>
  <c r="R22" i="1676"/>
  <c r="R21" i="1676"/>
  <c r="D21" i="1676"/>
  <c r="R20" i="1676"/>
  <c r="L20" i="1676"/>
  <c r="D20" i="1676"/>
  <c r="R19" i="1676"/>
  <c r="L19" i="1676"/>
  <c r="D19" i="1676" s="1"/>
  <c r="R18" i="1676"/>
  <c r="D18" i="1676"/>
  <c r="R17" i="1676"/>
  <c r="D17" i="1676"/>
  <c r="R16" i="1676"/>
  <c r="L16" i="1676"/>
  <c r="D16" i="1676" s="1"/>
  <c r="R15" i="1676"/>
  <c r="D15" i="1676"/>
  <c r="R14" i="1676"/>
  <c r="D14" i="1676"/>
  <c r="R13" i="1676"/>
  <c r="D13" i="1676"/>
  <c r="R12" i="1676"/>
  <c r="R11" i="1676"/>
  <c r="L11" i="1676"/>
  <c r="D11" i="1676"/>
  <c r="L10" i="1676"/>
  <c r="D10" i="1676" s="1"/>
  <c r="L9" i="1676"/>
  <c r="D9" i="1676" s="1"/>
  <c r="L8" i="1676"/>
  <c r="D8" i="1676" s="1"/>
  <c r="L7" i="1676"/>
  <c r="D7" i="1676"/>
  <c r="R6" i="1676"/>
  <c r="L6" i="1676"/>
  <c r="D6" i="1676" s="1"/>
  <c r="R5" i="1676"/>
  <c r="R4" i="1676"/>
  <c r="R52" i="1675"/>
  <c r="R51" i="1675"/>
  <c r="D50" i="1675"/>
  <c r="R49" i="1675"/>
  <c r="D49" i="1675"/>
  <c r="R48" i="1675"/>
  <c r="D48" i="1675"/>
  <c r="D46" i="1675"/>
  <c r="D45" i="1675"/>
  <c r="R44" i="1675"/>
  <c r="D44" i="1675"/>
  <c r="R42" i="1675"/>
  <c r="L6" i="1675" s="1"/>
  <c r="D6" i="1675" s="1"/>
  <c r="D42" i="1675"/>
  <c r="R41" i="1675"/>
  <c r="D41" i="1675"/>
  <c r="R40" i="1675"/>
  <c r="D40" i="1675"/>
  <c r="R39" i="1675"/>
  <c r="L20" i="1675" s="1"/>
  <c r="D20" i="1675" s="1"/>
  <c r="H39" i="1675"/>
  <c r="D39" i="1675"/>
  <c r="R38" i="1675"/>
  <c r="H38" i="1675"/>
  <c r="D38" i="1675"/>
  <c r="R37" i="1675"/>
  <c r="H37" i="1675"/>
  <c r="D37" i="1675"/>
  <c r="R36" i="1675"/>
  <c r="L10" i="1675" s="1"/>
  <c r="D10" i="1675" s="1"/>
  <c r="H36" i="1675"/>
  <c r="D36" i="1675"/>
  <c r="R35" i="1675"/>
  <c r="H35" i="1675"/>
  <c r="D35" i="1675"/>
  <c r="R34" i="1675"/>
  <c r="H34" i="1675"/>
  <c r="G49" i="1675" s="1"/>
  <c r="D34" i="1675"/>
  <c r="D54" i="1675" s="1"/>
  <c r="H14" i="1675" s="1"/>
  <c r="R33" i="1675"/>
  <c r="R32" i="1675"/>
  <c r="R31" i="1675"/>
  <c r="R30" i="1675"/>
  <c r="R29" i="1675"/>
  <c r="R28" i="1675"/>
  <c r="L16" i="1675" s="1"/>
  <c r="D16" i="1675" s="1"/>
  <c r="D28" i="1675"/>
  <c r="R27" i="1675"/>
  <c r="D27" i="1675"/>
  <c r="R26" i="1675"/>
  <c r="L26" i="1675"/>
  <c r="D26" i="1675"/>
  <c r="R25" i="1675"/>
  <c r="L25" i="1675"/>
  <c r="D25" i="1675" s="1"/>
  <c r="R24" i="1675"/>
  <c r="L24" i="1675"/>
  <c r="D24" i="1675"/>
  <c r="R23" i="1675"/>
  <c r="L23" i="1675"/>
  <c r="D23" i="1675"/>
  <c r="R22" i="1675"/>
  <c r="L22" i="1675"/>
  <c r="D22" i="1675"/>
  <c r="R21" i="1675"/>
  <c r="D21" i="1675"/>
  <c r="R20" i="1675"/>
  <c r="R19" i="1675"/>
  <c r="L19" i="1675"/>
  <c r="D19" i="1675"/>
  <c r="R18" i="1675"/>
  <c r="D18" i="1675"/>
  <c r="R17" i="1675"/>
  <c r="L17" i="1675"/>
  <c r="D17" i="1675"/>
  <c r="R16" i="1675"/>
  <c r="R15" i="1675"/>
  <c r="D15" i="1675"/>
  <c r="R14" i="1675"/>
  <c r="D14" i="1675"/>
  <c r="R13" i="1675"/>
  <c r="D13" i="1675"/>
  <c r="R12" i="1675"/>
  <c r="L12" i="1675"/>
  <c r="D12" i="1675"/>
  <c r="R11" i="1675"/>
  <c r="L11" i="1675"/>
  <c r="D11" i="1675" s="1"/>
  <c r="L9" i="1675"/>
  <c r="D9" i="1675" s="1"/>
  <c r="L8" i="1675"/>
  <c r="D8" i="1675"/>
  <c r="L7" i="1675"/>
  <c r="D7" i="1675" s="1"/>
  <c r="R6" i="1675"/>
  <c r="R5" i="1675"/>
  <c r="R4" i="1675"/>
  <c r="R52" i="1674"/>
  <c r="R51" i="1674"/>
  <c r="D50" i="1674"/>
  <c r="R49" i="1674"/>
  <c r="D49" i="1674"/>
  <c r="R48" i="1674"/>
  <c r="D48" i="1674"/>
  <c r="D46" i="1674"/>
  <c r="D45" i="1674"/>
  <c r="R44" i="1674"/>
  <c r="D44" i="1674"/>
  <c r="R42" i="1674"/>
  <c r="L6" i="1674" s="1"/>
  <c r="D6" i="1674" s="1"/>
  <c r="D29" i="1674" s="1"/>
  <c r="H13" i="1674" s="1"/>
  <c r="H15" i="1674" s="1"/>
  <c r="H29" i="1674" s="1"/>
  <c r="D42" i="1674"/>
  <c r="R41" i="1674"/>
  <c r="D41" i="1674"/>
  <c r="R40" i="1674"/>
  <c r="D40" i="1674"/>
  <c r="R39" i="1674"/>
  <c r="H39" i="1674"/>
  <c r="D39" i="1674"/>
  <c r="R38" i="1674"/>
  <c r="H38" i="1674"/>
  <c r="D38" i="1674"/>
  <c r="R37" i="1674"/>
  <c r="H37" i="1674"/>
  <c r="D37" i="1674"/>
  <c r="R36" i="1674"/>
  <c r="H36" i="1674"/>
  <c r="D36" i="1674"/>
  <c r="R35" i="1674"/>
  <c r="H35" i="1674"/>
  <c r="D35" i="1674"/>
  <c r="R34" i="1674"/>
  <c r="H34" i="1674"/>
  <c r="G49" i="1674" s="1"/>
  <c r="D34" i="1674"/>
  <c r="D54" i="1674" s="1"/>
  <c r="H14" i="1674" s="1"/>
  <c r="R33" i="1674"/>
  <c r="R32" i="1674"/>
  <c r="R31" i="1674"/>
  <c r="R30" i="1674"/>
  <c r="R29" i="1674"/>
  <c r="R28" i="1674"/>
  <c r="D28" i="1674"/>
  <c r="R27" i="1674"/>
  <c r="D27" i="1674"/>
  <c r="R26" i="1674"/>
  <c r="L26" i="1674"/>
  <c r="D26" i="1674"/>
  <c r="R25" i="1674"/>
  <c r="L25" i="1674"/>
  <c r="D25" i="1674"/>
  <c r="R24" i="1674"/>
  <c r="L24" i="1674"/>
  <c r="D24" i="1674"/>
  <c r="R23" i="1674"/>
  <c r="D23" i="1674"/>
  <c r="R22" i="1674"/>
  <c r="D22" i="1674"/>
  <c r="R21" i="1674"/>
  <c r="D21" i="1674"/>
  <c r="R20" i="1674"/>
  <c r="L20" i="1674"/>
  <c r="D20" i="1674" s="1"/>
  <c r="R19" i="1674"/>
  <c r="D19" i="1674"/>
  <c r="R18" i="1674"/>
  <c r="D18" i="1674"/>
  <c r="R17" i="1674"/>
  <c r="L17" i="1674"/>
  <c r="D17" i="1674"/>
  <c r="R16" i="1674"/>
  <c r="L16" i="1674"/>
  <c r="D16" i="1674" s="1"/>
  <c r="R15" i="1674"/>
  <c r="D15" i="1674"/>
  <c r="R14" i="1674"/>
  <c r="D14" i="1674"/>
  <c r="R13" i="1674"/>
  <c r="D13" i="1674"/>
  <c r="R12" i="1674"/>
  <c r="L12" i="1674"/>
  <c r="D12" i="1674" s="1"/>
  <c r="R11" i="1674"/>
  <c r="L11" i="1674"/>
  <c r="D11" i="1674"/>
  <c r="L10" i="1674"/>
  <c r="D10" i="1674" s="1"/>
  <c r="L9" i="1674"/>
  <c r="D9" i="1674"/>
  <c r="L8" i="1674"/>
  <c r="D8" i="1674" s="1"/>
  <c r="L7" i="1674"/>
  <c r="D7" i="1674"/>
  <c r="R6" i="1674"/>
  <c r="R5" i="1674"/>
  <c r="R4" i="1674"/>
  <c r="R52" i="1673"/>
  <c r="R51" i="1673"/>
  <c r="D50" i="1673"/>
  <c r="R49" i="1673"/>
  <c r="G49" i="1673"/>
  <c r="D49" i="1673"/>
  <c r="R48" i="1673"/>
  <c r="D48" i="1673"/>
  <c r="D46" i="1673"/>
  <c r="D45" i="1673"/>
  <c r="D44" i="1673"/>
  <c r="R42" i="1673"/>
  <c r="L6" i="1673" s="1"/>
  <c r="D6" i="1673" s="1"/>
  <c r="D29" i="1673" s="1"/>
  <c r="H13" i="1673" s="1"/>
  <c r="H15" i="1673" s="1"/>
  <c r="H29" i="1673" s="1"/>
  <c r="D42" i="1673"/>
  <c r="R41" i="1673"/>
  <c r="L7" i="1673" s="1"/>
  <c r="D7" i="1673" s="1"/>
  <c r="D41" i="1673"/>
  <c r="R40" i="1673"/>
  <c r="D40" i="1673"/>
  <c r="R39" i="1673"/>
  <c r="D39" i="1673"/>
  <c r="R38" i="1673"/>
  <c r="L9" i="1673" s="1"/>
  <c r="D9" i="1673" s="1"/>
  <c r="D38" i="1673"/>
  <c r="R37" i="1673"/>
  <c r="D37" i="1673"/>
  <c r="R36" i="1673"/>
  <c r="L10" i="1673" s="1"/>
  <c r="D10" i="1673" s="1"/>
  <c r="D36" i="1673"/>
  <c r="R35" i="1673"/>
  <c r="D35" i="1673"/>
  <c r="R34" i="1673"/>
  <c r="L12" i="1673" s="1"/>
  <c r="D12" i="1673" s="1"/>
  <c r="D34" i="1673"/>
  <c r="D54" i="1673" s="1"/>
  <c r="H14" i="1673" s="1"/>
  <c r="R33" i="1673"/>
  <c r="L23" i="1673" s="1"/>
  <c r="D23" i="1673" s="1"/>
  <c r="R32" i="1673"/>
  <c r="R31" i="1673"/>
  <c r="R30" i="1673"/>
  <c r="R29" i="1673"/>
  <c r="R28" i="1673"/>
  <c r="D28" i="1673"/>
  <c r="R27" i="1673"/>
  <c r="D27" i="1673"/>
  <c r="R26" i="1673"/>
  <c r="L26" i="1673"/>
  <c r="D26" i="1673"/>
  <c r="R25" i="1673"/>
  <c r="L25" i="1673"/>
  <c r="D25" i="1673"/>
  <c r="R24" i="1673"/>
  <c r="D24" i="1673"/>
  <c r="R23" i="1673"/>
  <c r="R22" i="1673"/>
  <c r="L22" i="1673"/>
  <c r="D22" i="1673"/>
  <c r="R21" i="1673"/>
  <c r="D21" i="1673"/>
  <c r="R20" i="1673"/>
  <c r="L20" i="1673"/>
  <c r="D20" i="1673"/>
  <c r="R19" i="1673"/>
  <c r="L19" i="1673"/>
  <c r="D19" i="1673"/>
  <c r="R18" i="1673"/>
  <c r="D18" i="1673"/>
  <c r="R17" i="1673"/>
  <c r="D17" i="1673"/>
  <c r="R16" i="1673"/>
  <c r="L16" i="1673"/>
  <c r="D16" i="1673" s="1"/>
  <c r="S15" i="1673"/>
  <c r="R15" i="1673"/>
  <c r="D15" i="1673"/>
  <c r="S14" i="1673"/>
  <c r="R14" i="1673"/>
  <c r="D14" i="1673"/>
  <c r="R13" i="1673"/>
  <c r="D13" i="1673"/>
  <c r="R12" i="1673"/>
  <c r="R11" i="1673"/>
  <c r="L11" i="1673"/>
  <c r="D11" i="1673"/>
  <c r="L8" i="1673"/>
  <c r="D8" i="1673"/>
  <c r="R6" i="1673"/>
  <c r="R5" i="1673"/>
  <c r="R4" i="1673"/>
  <c r="R52" i="1672"/>
  <c r="R51" i="1672"/>
  <c r="D50" i="1672"/>
  <c r="R49" i="1672"/>
  <c r="D49" i="1672"/>
  <c r="R48" i="1672"/>
  <c r="D48" i="1672"/>
  <c r="D46" i="1672"/>
  <c r="D45" i="1672"/>
  <c r="R44" i="1672"/>
  <c r="D44" i="1672"/>
  <c r="R42" i="1672"/>
  <c r="D42" i="1672"/>
  <c r="R41" i="1672"/>
  <c r="D41" i="1672"/>
  <c r="R40" i="1672"/>
  <c r="D40" i="1672"/>
  <c r="R39" i="1672"/>
  <c r="H39" i="1672"/>
  <c r="D39" i="1672"/>
  <c r="R38" i="1672"/>
  <c r="H38" i="1672"/>
  <c r="D38" i="1672"/>
  <c r="R37" i="1672"/>
  <c r="H37" i="1672"/>
  <c r="D37" i="1672"/>
  <c r="R36" i="1672"/>
  <c r="H36" i="1672"/>
  <c r="D36" i="1672"/>
  <c r="D54" i="1672" s="1"/>
  <c r="H14" i="1672" s="1"/>
  <c r="R35" i="1672"/>
  <c r="L19" i="1672" s="1"/>
  <c r="D19" i="1672" s="1"/>
  <c r="H35" i="1672"/>
  <c r="D35" i="1672"/>
  <c r="R34" i="1672"/>
  <c r="H34" i="1672"/>
  <c r="G49" i="1672" s="1"/>
  <c r="D34" i="1672"/>
  <c r="R33" i="1672"/>
  <c r="L23" i="1672" s="1"/>
  <c r="D23" i="1672" s="1"/>
  <c r="R32" i="1672"/>
  <c r="R31" i="1672"/>
  <c r="R30" i="1672"/>
  <c r="R29" i="1672"/>
  <c r="R28" i="1672"/>
  <c r="L16" i="1672" s="1"/>
  <c r="D16" i="1672" s="1"/>
  <c r="D28" i="1672"/>
  <c r="R27" i="1672"/>
  <c r="D27" i="1672"/>
  <c r="R26" i="1672"/>
  <c r="L26" i="1672"/>
  <c r="D26" i="1672"/>
  <c r="R25" i="1672"/>
  <c r="L25" i="1672"/>
  <c r="D25" i="1672" s="1"/>
  <c r="R24" i="1672"/>
  <c r="D24" i="1672"/>
  <c r="R23" i="1672"/>
  <c r="R22" i="1672"/>
  <c r="L22" i="1672"/>
  <c r="D22" i="1672" s="1"/>
  <c r="R21" i="1672"/>
  <c r="D21" i="1672"/>
  <c r="R20" i="1672"/>
  <c r="L20" i="1672"/>
  <c r="D20" i="1672"/>
  <c r="R19" i="1672"/>
  <c r="R18" i="1672"/>
  <c r="D18" i="1672"/>
  <c r="R17" i="1672"/>
  <c r="D17" i="1672"/>
  <c r="R16" i="1672"/>
  <c r="R15" i="1672"/>
  <c r="D15" i="1672"/>
  <c r="R14" i="1672"/>
  <c r="D14" i="1672"/>
  <c r="R13" i="1672"/>
  <c r="D13" i="1672"/>
  <c r="R12" i="1672"/>
  <c r="L12" i="1672"/>
  <c r="D12" i="1672" s="1"/>
  <c r="R11" i="1672"/>
  <c r="L11" i="1672"/>
  <c r="D11" i="1672" s="1"/>
  <c r="L10" i="1672"/>
  <c r="D10" i="1672" s="1"/>
  <c r="L9" i="1672"/>
  <c r="D9" i="1672" s="1"/>
  <c r="L8" i="1672"/>
  <c r="D8" i="1672" s="1"/>
  <c r="L7" i="1672"/>
  <c r="D7" i="1672" s="1"/>
  <c r="R6" i="1672"/>
  <c r="L6" i="1672"/>
  <c r="D6" i="1672" s="1"/>
  <c r="R5" i="1672"/>
  <c r="R4" i="1672"/>
  <c r="R52" i="1671"/>
  <c r="R51" i="1671"/>
  <c r="D50" i="1671"/>
  <c r="R49" i="1671"/>
  <c r="D49" i="1671"/>
  <c r="R48" i="1671"/>
  <c r="D48" i="1671"/>
  <c r="D46" i="1671"/>
  <c r="D45" i="1671"/>
  <c r="R44" i="1671"/>
  <c r="D44" i="1671"/>
  <c r="R42" i="1671"/>
  <c r="D42" i="1671"/>
  <c r="R41" i="1671"/>
  <c r="L7" i="1671" s="1"/>
  <c r="D7" i="1671" s="1"/>
  <c r="D41" i="1671"/>
  <c r="R40" i="1671"/>
  <c r="L8" i="1671" s="1"/>
  <c r="D8" i="1671" s="1"/>
  <c r="D40" i="1671"/>
  <c r="R39" i="1671"/>
  <c r="L20" i="1671" s="1"/>
  <c r="D20" i="1671" s="1"/>
  <c r="H39" i="1671"/>
  <c r="D39" i="1671"/>
  <c r="R38" i="1671"/>
  <c r="H38" i="1671"/>
  <c r="D38" i="1671"/>
  <c r="R37" i="1671"/>
  <c r="H37" i="1671"/>
  <c r="D37" i="1671"/>
  <c r="R36" i="1671"/>
  <c r="H36" i="1671"/>
  <c r="D36" i="1671"/>
  <c r="D54" i="1671" s="1"/>
  <c r="H14" i="1671" s="1"/>
  <c r="R35" i="1671"/>
  <c r="L19" i="1671" s="1"/>
  <c r="D19" i="1671" s="1"/>
  <c r="H35" i="1671"/>
  <c r="D35" i="1671"/>
  <c r="R34" i="1671"/>
  <c r="H34" i="1671"/>
  <c r="G49" i="1671" s="1"/>
  <c r="D34" i="1671"/>
  <c r="R33" i="1671"/>
  <c r="R32" i="1671"/>
  <c r="L11" i="1671" s="1"/>
  <c r="D11" i="1671" s="1"/>
  <c r="R31" i="1671"/>
  <c r="R30" i="1671"/>
  <c r="R29" i="1671"/>
  <c r="R28" i="1671"/>
  <c r="D28" i="1671"/>
  <c r="R27" i="1671"/>
  <c r="D27" i="1671"/>
  <c r="R26" i="1671"/>
  <c r="L26" i="1671"/>
  <c r="D26" i="1671" s="1"/>
  <c r="R25" i="1671"/>
  <c r="L25" i="1671"/>
  <c r="D25" i="1671"/>
  <c r="R24" i="1671"/>
  <c r="L24" i="1671"/>
  <c r="D24" i="1671" s="1"/>
  <c r="R23" i="1671"/>
  <c r="L23" i="1671"/>
  <c r="D23" i="1671"/>
  <c r="R22" i="1671"/>
  <c r="L22" i="1671"/>
  <c r="D22" i="1671"/>
  <c r="R21" i="1671"/>
  <c r="L17" i="1671" s="1"/>
  <c r="D17" i="1671" s="1"/>
  <c r="D21" i="1671"/>
  <c r="R20" i="1671"/>
  <c r="R19" i="1671"/>
  <c r="R18" i="1671"/>
  <c r="D18" i="1671"/>
  <c r="R17" i="1671"/>
  <c r="R16" i="1671"/>
  <c r="L16" i="1671"/>
  <c r="D16" i="1671"/>
  <c r="R15" i="1671"/>
  <c r="D15" i="1671"/>
  <c r="R14" i="1671"/>
  <c r="D14" i="1671"/>
  <c r="R13" i="1671"/>
  <c r="D13" i="1671"/>
  <c r="R12" i="1671"/>
  <c r="L12" i="1671"/>
  <c r="D12" i="1671" s="1"/>
  <c r="R11" i="1671"/>
  <c r="L10" i="1671"/>
  <c r="D10" i="1671" s="1"/>
  <c r="L9" i="1671"/>
  <c r="D9" i="1671" s="1"/>
  <c r="R6" i="1671"/>
  <c r="L6" i="1671"/>
  <c r="D6" i="1671" s="1"/>
  <c r="D29" i="1671" s="1"/>
  <c r="H13" i="1671" s="1"/>
  <c r="H15" i="1671" s="1"/>
  <c r="H29" i="1671" s="1"/>
  <c r="R5" i="1671"/>
  <c r="R4" i="1671"/>
  <c r="R52" i="1670"/>
  <c r="R51" i="1670"/>
  <c r="D50" i="1670"/>
  <c r="R49" i="1670"/>
  <c r="D49" i="1670"/>
  <c r="R48" i="1670"/>
  <c r="D48" i="1670"/>
  <c r="D46" i="1670"/>
  <c r="D45" i="1670"/>
  <c r="R44" i="1670"/>
  <c r="D44" i="1670"/>
  <c r="R42" i="1670"/>
  <c r="L6" i="1670" s="1"/>
  <c r="D6" i="1670" s="1"/>
  <c r="D42" i="1670"/>
  <c r="R41" i="1670"/>
  <c r="D41" i="1670"/>
  <c r="R40" i="1670"/>
  <c r="L8" i="1670" s="1"/>
  <c r="D8" i="1670" s="1"/>
  <c r="D40" i="1670"/>
  <c r="R39" i="1670"/>
  <c r="H39" i="1670"/>
  <c r="D39" i="1670"/>
  <c r="R38" i="1670"/>
  <c r="H38" i="1670"/>
  <c r="D38" i="1670"/>
  <c r="R37" i="1670"/>
  <c r="H37" i="1670"/>
  <c r="D37" i="1670"/>
  <c r="R36" i="1670"/>
  <c r="L10" i="1670" s="1"/>
  <c r="D10" i="1670" s="1"/>
  <c r="H36" i="1670"/>
  <c r="D36" i="1670"/>
  <c r="R35" i="1670"/>
  <c r="H35" i="1670"/>
  <c r="G49" i="1670" s="1"/>
  <c r="D35" i="1670"/>
  <c r="R34" i="1670"/>
  <c r="L12" i="1670" s="1"/>
  <c r="D12" i="1670" s="1"/>
  <c r="H34" i="1670"/>
  <c r="D34" i="1670"/>
  <c r="D54" i="1670" s="1"/>
  <c r="H14" i="1670" s="1"/>
  <c r="R33" i="1670"/>
  <c r="R32" i="1670"/>
  <c r="R31" i="1670"/>
  <c r="R30" i="1670"/>
  <c r="R29" i="1670"/>
  <c r="R28" i="1670"/>
  <c r="D28" i="1670"/>
  <c r="R27" i="1670"/>
  <c r="D27" i="1670"/>
  <c r="R26" i="1670"/>
  <c r="L26" i="1670"/>
  <c r="D26" i="1670"/>
  <c r="R25" i="1670"/>
  <c r="L25" i="1670"/>
  <c r="D25" i="1670"/>
  <c r="R24" i="1670"/>
  <c r="L24" i="1670"/>
  <c r="D24" i="1670"/>
  <c r="R23" i="1670"/>
  <c r="D23" i="1670"/>
  <c r="R22" i="1670"/>
  <c r="D22" i="1670"/>
  <c r="R21" i="1670"/>
  <c r="D21" i="1670"/>
  <c r="R20" i="1670"/>
  <c r="L20" i="1670"/>
  <c r="D20" i="1670"/>
  <c r="R19" i="1670"/>
  <c r="D19" i="1670"/>
  <c r="R18" i="1670"/>
  <c r="D18" i="1670"/>
  <c r="R17" i="1670"/>
  <c r="L17" i="1670"/>
  <c r="D17" i="1670"/>
  <c r="R16" i="1670"/>
  <c r="L16" i="1670"/>
  <c r="D16" i="1670" s="1"/>
  <c r="R15" i="1670"/>
  <c r="D15" i="1670"/>
  <c r="R14" i="1670"/>
  <c r="D14" i="1670"/>
  <c r="R13" i="1670"/>
  <c r="D13" i="1670"/>
  <c r="R12" i="1670"/>
  <c r="R11" i="1670"/>
  <c r="L11" i="1670"/>
  <c r="D11" i="1670"/>
  <c r="L9" i="1670"/>
  <c r="D9" i="1670"/>
  <c r="L7" i="1670"/>
  <c r="D7" i="1670" s="1"/>
  <c r="R6" i="1670"/>
  <c r="R5" i="1670"/>
  <c r="R4" i="1670"/>
  <c r="R52" i="1669"/>
  <c r="R51" i="1669"/>
  <c r="D50" i="1669"/>
  <c r="R49" i="1669"/>
  <c r="G49" i="1669"/>
  <c r="D49" i="1669"/>
  <c r="R48" i="1669"/>
  <c r="D48" i="1669"/>
  <c r="D46" i="1669"/>
  <c r="D45" i="1669"/>
  <c r="D44" i="1669"/>
  <c r="R42" i="1669"/>
  <c r="L6" i="1669" s="1"/>
  <c r="D6" i="1669" s="1"/>
  <c r="D42" i="1669"/>
  <c r="R41" i="1669"/>
  <c r="L7" i="1669" s="1"/>
  <c r="D7" i="1669" s="1"/>
  <c r="D41" i="1669"/>
  <c r="R40" i="1669"/>
  <c r="D40" i="1669"/>
  <c r="R39" i="1669"/>
  <c r="D39" i="1669"/>
  <c r="R38" i="1669"/>
  <c r="D38" i="1669"/>
  <c r="R37" i="1669"/>
  <c r="D37" i="1669"/>
  <c r="R36" i="1669"/>
  <c r="L10" i="1669" s="1"/>
  <c r="D10" i="1669" s="1"/>
  <c r="D36" i="1669"/>
  <c r="R35" i="1669"/>
  <c r="D35" i="1669"/>
  <c r="R34" i="1669"/>
  <c r="L12" i="1669" s="1"/>
  <c r="D12" i="1669" s="1"/>
  <c r="D34" i="1669"/>
  <c r="D54" i="1669" s="1"/>
  <c r="H14" i="1669" s="1"/>
  <c r="R33" i="1669"/>
  <c r="L23" i="1669" s="1"/>
  <c r="D23" i="1669" s="1"/>
  <c r="R32" i="1669"/>
  <c r="R31" i="1669"/>
  <c r="R30" i="1669"/>
  <c r="R29" i="1669"/>
  <c r="R28" i="1669"/>
  <c r="L16" i="1669" s="1"/>
  <c r="D16" i="1669" s="1"/>
  <c r="D28" i="1669"/>
  <c r="R27" i="1669"/>
  <c r="D27" i="1669"/>
  <c r="R26" i="1669"/>
  <c r="L26" i="1669"/>
  <c r="D26" i="1669"/>
  <c r="R25" i="1669"/>
  <c r="L25" i="1669"/>
  <c r="D25" i="1669"/>
  <c r="R24" i="1669"/>
  <c r="D24" i="1669"/>
  <c r="R23" i="1669"/>
  <c r="R22" i="1669"/>
  <c r="L22" i="1669"/>
  <c r="D22" i="1669" s="1"/>
  <c r="R21" i="1669"/>
  <c r="D21" i="1669"/>
  <c r="R20" i="1669"/>
  <c r="L20" i="1669"/>
  <c r="D20" i="1669"/>
  <c r="R19" i="1669"/>
  <c r="L19" i="1669"/>
  <c r="D19" i="1669"/>
  <c r="R18" i="1669"/>
  <c r="D18" i="1669"/>
  <c r="R17" i="1669"/>
  <c r="D17" i="1669"/>
  <c r="R16" i="1669"/>
  <c r="S15" i="1669"/>
  <c r="R15" i="1669"/>
  <c r="D15" i="1669"/>
  <c r="S14" i="1669"/>
  <c r="R14" i="1669"/>
  <c r="D14" i="1669"/>
  <c r="R13" i="1669"/>
  <c r="D13" i="1669"/>
  <c r="R12" i="1669"/>
  <c r="R11" i="1669"/>
  <c r="L11" i="1669"/>
  <c r="D11" i="1669" s="1"/>
  <c r="L9" i="1669"/>
  <c r="D9" i="1669"/>
  <c r="L8" i="1669"/>
  <c r="D8" i="1669" s="1"/>
  <c r="R6" i="1669"/>
  <c r="R5" i="1669"/>
  <c r="R4" i="1669"/>
  <c r="R52" i="1668"/>
  <c r="R51" i="1668"/>
  <c r="D50" i="1668"/>
  <c r="R49" i="1668"/>
  <c r="D49" i="1668"/>
  <c r="R48" i="1668"/>
  <c r="D48" i="1668"/>
  <c r="D46" i="1668"/>
  <c r="D45" i="1668"/>
  <c r="R44" i="1668"/>
  <c r="D44" i="1668"/>
  <c r="R42" i="1668"/>
  <c r="L6" i="1668" s="1"/>
  <c r="D6" i="1668" s="1"/>
  <c r="D42" i="1668"/>
  <c r="R41" i="1668"/>
  <c r="D41" i="1668"/>
  <c r="R40" i="1668"/>
  <c r="L8" i="1668" s="1"/>
  <c r="D8" i="1668" s="1"/>
  <c r="D40" i="1668"/>
  <c r="R39" i="1668"/>
  <c r="H39" i="1668"/>
  <c r="D39" i="1668"/>
  <c r="R38" i="1668"/>
  <c r="H38" i="1668"/>
  <c r="D38" i="1668"/>
  <c r="R37" i="1668"/>
  <c r="H37" i="1668"/>
  <c r="D37" i="1668"/>
  <c r="R36" i="1668"/>
  <c r="H36" i="1668"/>
  <c r="G49" i="1668" s="1"/>
  <c r="D36" i="1668"/>
  <c r="R35" i="1668"/>
  <c r="H35" i="1668"/>
  <c r="D35" i="1668"/>
  <c r="R34" i="1668"/>
  <c r="H34" i="1668"/>
  <c r="D34" i="1668"/>
  <c r="D54" i="1668" s="1"/>
  <c r="H14" i="1668" s="1"/>
  <c r="R33" i="1668"/>
  <c r="R32" i="1668"/>
  <c r="R31" i="1668"/>
  <c r="R30" i="1668"/>
  <c r="R29" i="1668"/>
  <c r="R28" i="1668"/>
  <c r="L16" i="1668" s="1"/>
  <c r="D16" i="1668" s="1"/>
  <c r="D28" i="1668"/>
  <c r="R27" i="1668"/>
  <c r="D27" i="1668"/>
  <c r="R26" i="1668"/>
  <c r="L26" i="1668"/>
  <c r="D26" i="1668" s="1"/>
  <c r="R25" i="1668"/>
  <c r="L25" i="1668"/>
  <c r="D25" i="1668"/>
  <c r="R24" i="1668"/>
  <c r="D24" i="1668"/>
  <c r="R23" i="1668"/>
  <c r="L23" i="1668"/>
  <c r="D23" i="1668" s="1"/>
  <c r="R22" i="1668"/>
  <c r="L22" i="1668"/>
  <c r="D22" i="1668"/>
  <c r="R21" i="1668"/>
  <c r="D21" i="1668"/>
  <c r="R20" i="1668"/>
  <c r="L20" i="1668"/>
  <c r="D20" i="1668" s="1"/>
  <c r="R19" i="1668"/>
  <c r="L19" i="1668"/>
  <c r="D19" i="1668"/>
  <c r="R18" i="1668"/>
  <c r="D18" i="1668"/>
  <c r="R17" i="1668"/>
  <c r="D17" i="1668"/>
  <c r="R16" i="1668"/>
  <c r="R15" i="1668"/>
  <c r="D15" i="1668"/>
  <c r="R14" i="1668"/>
  <c r="D14" i="1668"/>
  <c r="R13" i="1668"/>
  <c r="D13" i="1668"/>
  <c r="R12" i="1668"/>
  <c r="L12" i="1668"/>
  <c r="D12" i="1668"/>
  <c r="R11" i="1668"/>
  <c r="L11" i="1668"/>
  <c r="D11" i="1668"/>
  <c r="L10" i="1668"/>
  <c r="D10" i="1668"/>
  <c r="L9" i="1668"/>
  <c r="D9" i="1668" s="1"/>
  <c r="L7" i="1668"/>
  <c r="D7" i="1668" s="1"/>
  <c r="R6" i="1668"/>
  <c r="R5" i="1668"/>
  <c r="R4" i="1668"/>
  <c r="R52" i="1667"/>
  <c r="R51" i="1667"/>
  <c r="D50" i="1667"/>
  <c r="R49" i="1667"/>
  <c r="D49" i="1667"/>
  <c r="R48" i="1667"/>
  <c r="D48" i="1667"/>
  <c r="D46" i="1667"/>
  <c r="D45" i="1667"/>
  <c r="R44" i="1667"/>
  <c r="D44" i="1667"/>
  <c r="R42" i="1667"/>
  <c r="D42" i="1667"/>
  <c r="R41" i="1667"/>
  <c r="D41" i="1667"/>
  <c r="R40" i="1667"/>
  <c r="D40" i="1667"/>
  <c r="R39" i="1667"/>
  <c r="L20" i="1667" s="1"/>
  <c r="D20" i="1667" s="1"/>
  <c r="H39" i="1667"/>
  <c r="D39" i="1667"/>
  <c r="R38" i="1667"/>
  <c r="L9" i="1667" s="1"/>
  <c r="D9" i="1667" s="1"/>
  <c r="H38" i="1667"/>
  <c r="D38" i="1667"/>
  <c r="R37" i="1667"/>
  <c r="H37" i="1667"/>
  <c r="D37" i="1667"/>
  <c r="R36" i="1667"/>
  <c r="L10" i="1667" s="1"/>
  <c r="D10" i="1667" s="1"/>
  <c r="H36" i="1667"/>
  <c r="D36" i="1667"/>
  <c r="R35" i="1667"/>
  <c r="H35" i="1667"/>
  <c r="D35" i="1667"/>
  <c r="R34" i="1667"/>
  <c r="L12" i="1667" s="1"/>
  <c r="D12" i="1667" s="1"/>
  <c r="H34" i="1667"/>
  <c r="G49" i="1667" s="1"/>
  <c r="D34" i="1667"/>
  <c r="D54" i="1667" s="1"/>
  <c r="H14" i="1667" s="1"/>
  <c r="R33" i="1667"/>
  <c r="L23" i="1667" s="1"/>
  <c r="D23" i="1667" s="1"/>
  <c r="R32" i="1667"/>
  <c r="R31" i="1667"/>
  <c r="R30" i="1667"/>
  <c r="R29" i="1667"/>
  <c r="R28" i="1667"/>
  <c r="L16" i="1667" s="1"/>
  <c r="D16" i="1667" s="1"/>
  <c r="D28" i="1667"/>
  <c r="R27" i="1667"/>
  <c r="D27" i="1667"/>
  <c r="R26" i="1667"/>
  <c r="L26" i="1667"/>
  <c r="D26" i="1667"/>
  <c r="R25" i="1667"/>
  <c r="L25" i="1667"/>
  <c r="D25" i="1667"/>
  <c r="R24" i="1667"/>
  <c r="L24" i="1667"/>
  <c r="D24" i="1667" s="1"/>
  <c r="R23" i="1667"/>
  <c r="R22" i="1667"/>
  <c r="L22" i="1667"/>
  <c r="D22" i="1667"/>
  <c r="R21" i="1667"/>
  <c r="L17" i="1667" s="1"/>
  <c r="D17" i="1667" s="1"/>
  <c r="D21" i="1667"/>
  <c r="R20" i="1667"/>
  <c r="R19" i="1667"/>
  <c r="L19" i="1667"/>
  <c r="D19" i="1667" s="1"/>
  <c r="R18" i="1667"/>
  <c r="D18" i="1667"/>
  <c r="R17" i="1667"/>
  <c r="R16" i="1667"/>
  <c r="R15" i="1667"/>
  <c r="D15" i="1667"/>
  <c r="R14" i="1667"/>
  <c r="D14" i="1667"/>
  <c r="R13" i="1667"/>
  <c r="D13" i="1667"/>
  <c r="R12" i="1667"/>
  <c r="R11" i="1667"/>
  <c r="L11" i="1667"/>
  <c r="D11" i="1667" s="1"/>
  <c r="L8" i="1667"/>
  <c r="D8" i="1667"/>
  <c r="L7" i="1667"/>
  <c r="D7" i="1667"/>
  <c r="R6" i="1667"/>
  <c r="L6" i="1667"/>
  <c r="D6" i="1667" s="1"/>
  <c r="R5" i="1667"/>
  <c r="R4" i="1667"/>
  <c r="R52" i="1666"/>
  <c r="R51" i="1666"/>
  <c r="D50" i="1666"/>
  <c r="R49" i="1666"/>
  <c r="G49" i="1666"/>
  <c r="D49" i="1666"/>
  <c r="R48" i="1666"/>
  <c r="D48" i="1666"/>
  <c r="D46" i="1666"/>
  <c r="D45" i="1666"/>
  <c r="R44" i="1666"/>
  <c r="D44" i="1666"/>
  <c r="R42" i="1666"/>
  <c r="D42" i="1666"/>
  <c r="R41" i="1666"/>
  <c r="D41" i="1666"/>
  <c r="R40" i="1666"/>
  <c r="L8" i="1666" s="1"/>
  <c r="D8" i="1666" s="1"/>
  <c r="D40" i="1666"/>
  <c r="R39" i="1666"/>
  <c r="H39" i="1666"/>
  <c r="D39" i="1666"/>
  <c r="R38" i="1666"/>
  <c r="H38" i="1666"/>
  <c r="D38" i="1666"/>
  <c r="R37" i="1666"/>
  <c r="H37" i="1666"/>
  <c r="D37" i="1666"/>
  <c r="R36" i="1666"/>
  <c r="L10" i="1666" s="1"/>
  <c r="D10" i="1666" s="1"/>
  <c r="H36" i="1666"/>
  <c r="D36" i="1666"/>
  <c r="R35" i="1666"/>
  <c r="H35" i="1666"/>
  <c r="D35" i="1666"/>
  <c r="R34" i="1666"/>
  <c r="L12" i="1666" s="1"/>
  <c r="D12" i="1666" s="1"/>
  <c r="H34" i="1666"/>
  <c r="D34" i="1666"/>
  <c r="D54" i="1666" s="1"/>
  <c r="H14" i="1666" s="1"/>
  <c r="R33" i="1666"/>
  <c r="R32" i="1666"/>
  <c r="R31" i="1666"/>
  <c r="R30" i="1666"/>
  <c r="R29" i="1666"/>
  <c r="R28" i="1666"/>
  <c r="D28" i="1666"/>
  <c r="R27" i="1666"/>
  <c r="D27" i="1666"/>
  <c r="R26" i="1666"/>
  <c r="L26" i="1666"/>
  <c r="D26" i="1666" s="1"/>
  <c r="R25" i="1666"/>
  <c r="L25" i="1666"/>
  <c r="D25" i="1666"/>
  <c r="R24" i="1666"/>
  <c r="L24" i="1666"/>
  <c r="D24" i="1666"/>
  <c r="R23" i="1666"/>
  <c r="D23" i="1666"/>
  <c r="R22" i="1666"/>
  <c r="D22" i="1666"/>
  <c r="R21" i="1666"/>
  <c r="D21" i="1666"/>
  <c r="R20" i="1666"/>
  <c r="L20" i="1666"/>
  <c r="D20" i="1666"/>
  <c r="R19" i="1666"/>
  <c r="D19" i="1666"/>
  <c r="R18" i="1666"/>
  <c r="D18" i="1666"/>
  <c r="R17" i="1666"/>
  <c r="L17" i="1666"/>
  <c r="D17" i="1666"/>
  <c r="R16" i="1666"/>
  <c r="L16" i="1666"/>
  <c r="D16" i="1666" s="1"/>
  <c r="R15" i="1666"/>
  <c r="D15" i="1666"/>
  <c r="R14" i="1666"/>
  <c r="D14" i="1666"/>
  <c r="R13" i="1666"/>
  <c r="D13" i="1666"/>
  <c r="R12" i="1666"/>
  <c r="R11" i="1666"/>
  <c r="L11" i="1666"/>
  <c r="D11" i="1666"/>
  <c r="L9" i="1666"/>
  <c r="D9" i="1666"/>
  <c r="L7" i="1666"/>
  <c r="D7" i="1666"/>
  <c r="R6" i="1666"/>
  <c r="L6" i="1666"/>
  <c r="D6" i="1666"/>
  <c r="R5" i="1666"/>
  <c r="R4" i="1666"/>
  <c r="R52" i="1665"/>
  <c r="R51" i="1665"/>
  <c r="D50" i="1665"/>
  <c r="R49" i="1665"/>
  <c r="G49" i="1665"/>
  <c r="D49" i="1665"/>
  <c r="R48" i="1665"/>
  <c r="D48" i="1665"/>
  <c r="D46" i="1665"/>
  <c r="D45" i="1665"/>
  <c r="D44" i="1665"/>
  <c r="R42" i="1665"/>
  <c r="L6" i="1665" s="1"/>
  <c r="D6" i="1665" s="1"/>
  <c r="D42" i="1665"/>
  <c r="R41" i="1665"/>
  <c r="L7" i="1665" s="1"/>
  <c r="D7" i="1665" s="1"/>
  <c r="D41" i="1665"/>
  <c r="R40" i="1665"/>
  <c r="D40" i="1665"/>
  <c r="R39" i="1665"/>
  <c r="D39" i="1665"/>
  <c r="R38" i="1665"/>
  <c r="D38" i="1665"/>
  <c r="R37" i="1665"/>
  <c r="D37" i="1665"/>
  <c r="R36" i="1665"/>
  <c r="L10" i="1665" s="1"/>
  <c r="D10" i="1665" s="1"/>
  <c r="D36" i="1665"/>
  <c r="R35" i="1665"/>
  <c r="D35" i="1665"/>
  <c r="R34" i="1665"/>
  <c r="L12" i="1665" s="1"/>
  <c r="D12" i="1665" s="1"/>
  <c r="D34" i="1665"/>
  <c r="D54" i="1665" s="1"/>
  <c r="H14" i="1665" s="1"/>
  <c r="R33" i="1665"/>
  <c r="L23" i="1665" s="1"/>
  <c r="D23" i="1665" s="1"/>
  <c r="R32" i="1665"/>
  <c r="R31" i="1665"/>
  <c r="R30" i="1665"/>
  <c r="R29" i="1665"/>
  <c r="R28" i="1665"/>
  <c r="D28" i="1665"/>
  <c r="R27" i="1665"/>
  <c r="D27" i="1665"/>
  <c r="R26" i="1665"/>
  <c r="L26" i="1665"/>
  <c r="D26" i="1665"/>
  <c r="R25" i="1665"/>
  <c r="L25" i="1665"/>
  <c r="D25" i="1665"/>
  <c r="R24" i="1665"/>
  <c r="D24" i="1665"/>
  <c r="R23" i="1665"/>
  <c r="R22" i="1665"/>
  <c r="L22" i="1665"/>
  <c r="D22" i="1665"/>
  <c r="R21" i="1665"/>
  <c r="D21" i="1665"/>
  <c r="R20" i="1665"/>
  <c r="L20" i="1665"/>
  <c r="D20" i="1665"/>
  <c r="R19" i="1665"/>
  <c r="L19" i="1665"/>
  <c r="D19" i="1665"/>
  <c r="R18" i="1665"/>
  <c r="D18" i="1665"/>
  <c r="R17" i="1665"/>
  <c r="D17" i="1665"/>
  <c r="R16" i="1665"/>
  <c r="L16" i="1665"/>
  <c r="D16" i="1665" s="1"/>
  <c r="S15" i="1665"/>
  <c r="R15" i="1665"/>
  <c r="D15" i="1665"/>
  <c r="S14" i="1665"/>
  <c r="R14" i="1665"/>
  <c r="D14" i="1665"/>
  <c r="R13" i="1665"/>
  <c r="D13" i="1665"/>
  <c r="R12" i="1665"/>
  <c r="R11" i="1665"/>
  <c r="L11" i="1665"/>
  <c r="D11" i="1665"/>
  <c r="L9" i="1665"/>
  <c r="D9" i="1665"/>
  <c r="L8" i="1665"/>
  <c r="D8" i="1665" s="1"/>
  <c r="R6" i="1665"/>
  <c r="R5" i="1665"/>
  <c r="R4" i="1665"/>
  <c r="R52" i="1664"/>
  <c r="R51" i="1664"/>
  <c r="D50" i="1664"/>
  <c r="R49" i="1664"/>
  <c r="D49" i="1664"/>
  <c r="R48" i="1664"/>
  <c r="D48" i="1664"/>
  <c r="D46" i="1664"/>
  <c r="D45" i="1664"/>
  <c r="R44" i="1664"/>
  <c r="D44" i="1664"/>
  <c r="R42" i="1664"/>
  <c r="D42" i="1664"/>
  <c r="R41" i="1664"/>
  <c r="D41" i="1664"/>
  <c r="R40" i="1664"/>
  <c r="L8" i="1664" s="1"/>
  <c r="D8" i="1664" s="1"/>
  <c r="D40" i="1664"/>
  <c r="R39" i="1664"/>
  <c r="H39" i="1664"/>
  <c r="D39" i="1664"/>
  <c r="R38" i="1664"/>
  <c r="H38" i="1664"/>
  <c r="D38" i="1664"/>
  <c r="R37" i="1664"/>
  <c r="H37" i="1664"/>
  <c r="D37" i="1664"/>
  <c r="R36" i="1664"/>
  <c r="H36" i="1664"/>
  <c r="D36" i="1664"/>
  <c r="R35" i="1664"/>
  <c r="H35" i="1664"/>
  <c r="D35" i="1664"/>
  <c r="R34" i="1664"/>
  <c r="H34" i="1664"/>
  <c r="D34" i="1664"/>
  <c r="R33" i="1664"/>
  <c r="L23" i="1664" s="1"/>
  <c r="D23" i="1664" s="1"/>
  <c r="R32" i="1664"/>
  <c r="L11" i="1664" s="1"/>
  <c r="D11" i="1664" s="1"/>
  <c r="R31" i="1664"/>
  <c r="R30" i="1664"/>
  <c r="R29" i="1664"/>
  <c r="R28" i="1664"/>
  <c r="D28" i="1664"/>
  <c r="R27" i="1664"/>
  <c r="D27" i="1664"/>
  <c r="R26" i="1664"/>
  <c r="L26" i="1664"/>
  <c r="D26" i="1664" s="1"/>
  <c r="R25" i="1664"/>
  <c r="L25" i="1664"/>
  <c r="D25" i="1664"/>
  <c r="R24" i="1664"/>
  <c r="D24" i="1664"/>
  <c r="R23" i="1664"/>
  <c r="R22" i="1664"/>
  <c r="L22" i="1664"/>
  <c r="D22" i="1664" s="1"/>
  <c r="R21" i="1664"/>
  <c r="D21" i="1664"/>
  <c r="R20" i="1664"/>
  <c r="L20" i="1664"/>
  <c r="D20" i="1664" s="1"/>
  <c r="R19" i="1664"/>
  <c r="L19" i="1664"/>
  <c r="D19" i="1664"/>
  <c r="R18" i="1664"/>
  <c r="D18" i="1664"/>
  <c r="R17" i="1664"/>
  <c r="D17" i="1664"/>
  <c r="R16" i="1664"/>
  <c r="L16" i="1664"/>
  <c r="D16" i="1664" s="1"/>
  <c r="R15" i="1664"/>
  <c r="D15" i="1664"/>
  <c r="R14" i="1664"/>
  <c r="D14" i="1664"/>
  <c r="R13" i="1664"/>
  <c r="D13" i="1664"/>
  <c r="R12" i="1664"/>
  <c r="L12" i="1664"/>
  <c r="D12" i="1664"/>
  <c r="R11" i="1664"/>
  <c r="L10" i="1664"/>
  <c r="D10" i="1664" s="1"/>
  <c r="L9" i="1664"/>
  <c r="D9" i="1664" s="1"/>
  <c r="L7" i="1664"/>
  <c r="D7" i="1664"/>
  <c r="R6" i="1664"/>
  <c r="L6" i="1664"/>
  <c r="D6" i="1664" s="1"/>
  <c r="R5" i="1664"/>
  <c r="R4" i="1664"/>
  <c r="R52" i="1663"/>
  <c r="R51" i="1663"/>
  <c r="D50" i="1663"/>
  <c r="R49" i="1663"/>
  <c r="D49" i="1663"/>
  <c r="R48" i="1663"/>
  <c r="D48" i="1663"/>
  <c r="D46" i="1663"/>
  <c r="D45" i="1663"/>
  <c r="R44" i="1663"/>
  <c r="D44" i="1663"/>
  <c r="R42" i="1663"/>
  <c r="D42" i="1663"/>
  <c r="R41" i="1663"/>
  <c r="D41" i="1663"/>
  <c r="R40" i="1663"/>
  <c r="D40" i="1663"/>
  <c r="R39" i="1663"/>
  <c r="H39" i="1663"/>
  <c r="D39" i="1663"/>
  <c r="R38" i="1663"/>
  <c r="L9" i="1663" s="1"/>
  <c r="D9" i="1663" s="1"/>
  <c r="H38" i="1663"/>
  <c r="D38" i="1663"/>
  <c r="R37" i="1663"/>
  <c r="H37" i="1663"/>
  <c r="D37" i="1663"/>
  <c r="R36" i="1663"/>
  <c r="H36" i="1663"/>
  <c r="D36" i="1663"/>
  <c r="R35" i="1663"/>
  <c r="H35" i="1663"/>
  <c r="D35" i="1663"/>
  <c r="R34" i="1663"/>
  <c r="L12" i="1663" s="1"/>
  <c r="D12" i="1663" s="1"/>
  <c r="H34" i="1663"/>
  <c r="D34" i="1663"/>
  <c r="R33" i="1663"/>
  <c r="L23" i="1663" s="1"/>
  <c r="D23" i="1663" s="1"/>
  <c r="R32" i="1663"/>
  <c r="R31" i="1663"/>
  <c r="R30" i="1663"/>
  <c r="R29" i="1663"/>
  <c r="R28" i="1663"/>
  <c r="L16" i="1663" s="1"/>
  <c r="D16" i="1663" s="1"/>
  <c r="D28" i="1663"/>
  <c r="R27" i="1663"/>
  <c r="D27" i="1663"/>
  <c r="R26" i="1663"/>
  <c r="L26" i="1663"/>
  <c r="D26" i="1663"/>
  <c r="R25" i="1663"/>
  <c r="L25" i="1663"/>
  <c r="D25" i="1663"/>
  <c r="R24" i="1663"/>
  <c r="L24" i="1663"/>
  <c r="D24" i="1663" s="1"/>
  <c r="R23" i="1663"/>
  <c r="R22" i="1663"/>
  <c r="L22" i="1663"/>
  <c r="D22" i="1663"/>
  <c r="R21" i="1663"/>
  <c r="L17" i="1663" s="1"/>
  <c r="D17" i="1663" s="1"/>
  <c r="D21" i="1663"/>
  <c r="R20" i="1663"/>
  <c r="L20" i="1663"/>
  <c r="D20" i="1663" s="1"/>
  <c r="R19" i="1663"/>
  <c r="L19" i="1663"/>
  <c r="D19" i="1663" s="1"/>
  <c r="R18" i="1663"/>
  <c r="D18" i="1663"/>
  <c r="R17" i="1663"/>
  <c r="R16" i="1663"/>
  <c r="R15" i="1663"/>
  <c r="D15" i="1663"/>
  <c r="R14" i="1663"/>
  <c r="D14" i="1663"/>
  <c r="R13" i="1663"/>
  <c r="D13" i="1663"/>
  <c r="R12" i="1663"/>
  <c r="R11" i="1663"/>
  <c r="L11" i="1663"/>
  <c r="D11" i="1663" s="1"/>
  <c r="L10" i="1663"/>
  <c r="D10" i="1663" s="1"/>
  <c r="L8" i="1663"/>
  <c r="D8" i="1663" s="1"/>
  <c r="L7" i="1663"/>
  <c r="D7" i="1663"/>
  <c r="R6" i="1663"/>
  <c r="L6" i="1663"/>
  <c r="D6" i="1663" s="1"/>
  <c r="R5" i="1663"/>
  <c r="R4" i="1663"/>
  <c r="R52" i="1662"/>
  <c r="R51" i="1662"/>
  <c r="D50" i="1662"/>
  <c r="R49" i="1662"/>
  <c r="D49" i="1662"/>
  <c r="R48" i="1662"/>
  <c r="D48" i="1662"/>
  <c r="D46" i="1662"/>
  <c r="D45" i="1662"/>
  <c r="R44" i="1662"/>
  <c r="D44" i="1662"/>
  <c r="R42" i="1662"/>
  <c r="D42" i="1662"/>
  <c r="R41" i="1662"/>
  <c r="D41" i="1662"/>
  <c r="R40" i="1662"/>
  <c r="L8" i="1662" s="1"/>
  <c r="D8" i="1662" s="1"/>
  <c r="D40" i="1662"/>
  <c r="R39" i="1662"/>
  <c r="H39" i="1662"/>
  <c r="D39" i="1662"/>
  <c r="R38" i="1662"/>
  <c r="H38" i="1662"/>
  <c r="D38" i="1662"/>
  <c r="R37" i="1662"/>
  <c r="H37" i="1662"/>
  <c r="D37" i="1662"/>
  <c r="R36" i="1662"/>
  <c r="L10" i="1662" s="1"/>
  <c r="D10" i="1662" s="1"/>
  <c r="H36" i="1662"/>
  <c r="D36" i="1662"/>
  <c r="R35" i="1662"/>
  <c r="H35" i="1662"/>
  <c r="D35" i="1662"/>
  <c r="R34" i="1662"/>
  <c r="L12" i="1662" s="1"/>
  <c r="D12" i="1662" s="1"/>
  <c r="H34" i="1662"/>
  <c r="D34" i="1662"/>
  <c r="R33" i="1662"/>
  <c r="R32" i="1662"/>
  <c r="R31" i="1662"/>
  <c r="R30" i="1662"/>
  <c r="R29" i="1662"/>
  <c r="R28" i="1662"/>
  <c r="L16" i="1662" s="1"/>
  <c r="D16" i="1662" s="1"/>
  <c r="D28" i="1662"/>
  <c r="R27" i="1662"/>
  <c r="D27" i="1662"/>
  <c r="R26" i="1662"/>
  <c r="L26" i="1662"/>
  <c r="D26" i="1662" s="1"/>
  <c r="R25" i="1662"/>
  <c r="D25" i="1662"/>
  <c r="R24" i="1662"/>
  <c r="L24" i="1662"/>
  <c r="D24" i="1662"/>
  <c r="R23" i="1662"/>
  <c r="D23" i="1662"/>
  <c r="R22" i="1662"/>
  <c r="D22" i="1662"/>
  <c r="R21" i="1662"/>
  <c r="D21" i="1662"/>
  <c r="R20" i="1662"/>
  <c r="L20" i="1662"/>
  <c r="D20" i="1662"/>
  <c r="R19" i="1662"/>
  <c r="D19" i="1662"/>
  <c r="R18" i="1662"/>
  <c r="D18" i="1662"/>
  <c r="R17" i="1662"/>
  <c r="L17" i="1662"/>
  <c r="D17" i="1662"/>
  <c r="R16" i="1662"/>
  <c r="R15" i="1662"/>
  <c r="D15" i="1662"/>
  <c r="R14" i="1662"/>
  <c r="D14" i="1662"/>
  <c r="R13" i="1662"/>
  <c r="D13" i="1662"/>
  <c r="R12" i="1662"/>
  <c r="R11" i="1662"/>
  <c r="L11" i="1662"/>
  <c r="D11" i="1662" s="1"/>
  <c r="L9" i="1662"/>
  <c r="D9" i="1662"/>
  <c r="L7" i="1662"/>
  <c r="D7" i="1662" s="1"/>
  <c r="R6" i="1662"/>
  <c r="L6" i="1662"/>
  <c r="D6" i="1662"/>
  <c r="R5" i="1662"/>
  <c r="R4" i="1662"/>
  <c r="R52" i="1661"/>
  <c r="R51" i="1661"/>
  <c r="D50" i="1661"/>
  <c r="R49" i="1661"/>
  <c r="G49" i="1661"/>
  <c r="D49" i="1661"/>
  <c r="R48" i="1661"/>
  <c r="D48" i="1661"/>
  <c r="D46" i="1661"/>
  <c r="D45" i="1661"/>
  <c r="D44" i="1661"/>
  <c r="R42" i="1661"/>
  <c r="L6" i="1661" s="1"/>
  <c r="D6" i="1661" s="1"/>
  <c r="D42" i="1661"/>
  <c r="R41" i="1661"/>
  <c r="L7" i="1661" s="1"/>
  <c r="D7" i="1661" s="1"/>
  <c r="D41" i="1661"/>
  <c r="R40" i="1661"/>
  <c r="D40" i="1661"/>
  <c r="R39" i="1661"/>
  <c r="D39" i="1661"/>
  <c r="R38" i="1661"/>
  <c r="D38" i="1661"/>
  <c r="R37" i="1661"/>
  <c r="D37" i="1661"/>
  <c r="R36" i="1661"/>
  <c r="L10" i="1661" s="1"/>
  <c r="D10" i="1661" s="1"/>
  <c r="D36" i="1661"/>
  <c r="R35" i="1661"/>
  <c r="L19" i="1661" s="1"/>
  <c r="D19" i="1661" s="1"/>
  <c r="D35" i="1661"/>
  <c r="R34" i="1661"/>
  <c r="L12" i="1661" s="1"/>
  <c r="D12" i="1661" s="1"/>
  <c r="D34" i="1661"/>
  <c r="D54" i="1661" s="1"/>
  <c r="H14" i="1661" s="1"/>
  <c r="R33" i="1661"/>
  <c r="L23" i="1661" s="1"/>
  <c r="D23" i="1661" s="1"/>
  <c r="R32" i="1661"/>
  <c r="R31" i="1661"/>
  <c r="R30" i="1661"/>
  <c r="R29" i="1661"/>
  <c r="R28" i="1661"/>
  <c r="D28" i="1661"/>
  <c r="R27" i="1661"/>
  <c r="D27" i="1661"/>
  <c r="R26" i="1661"/>
  <c r="L26" i="1661"/>
  <c r="D26" i="1661" s="1"/>
  <c r="R25" i="1661"/>
  <c r="L25" i="1661"/>
  <c r="D25" i="1661"/>
  <c r="R24" i="1661"/>
  <c r="D24" i="1661"/>
  <c r="R23" i="1661"/>
  <c r="R22" i="1661"/>
  <c r="L22" i="1661"/>
  <c r="D22" i="1661"/>
  <c r="R21" i="1661"/>
  <c r="D21" i="1661"/>
  <c r="R20" i="1661"/>
  <c r="L20" i="1661"/>
  <c r="D20" i="1661" s="1"/>
  <c r="R19" i="1661"/>
  <c r="R18" i="1661"/>
  <c r="D18" i="1661"/>
  <c r="R17" i="1661"/>
  <c r="D17" i="1661"/>
  <c r="R16" i="1661"/>
  <c r="L16" i="1661"/>
  <c r="D16" i="1661" s="1"/>
  <c r="S15" i="1661"/>
  <c r="R15" i="1661"/>
  <c r="D15" i="1661"/>
  <c r="S14" i="1661"/>
  <c r="R14" i="1661"/>
  <c r="D14" i="1661"/>
  <c r="R13" i="1661"/>
  <c r="D13" i="1661"/>
  <c r="R12" i="1661"/>
  <c r="R11" i="1661"/>
  <c r="L11" i="1661"/>
  <c r="D11" i="1661"/>
  <c r="L9" i="1661"/>
  <c r="D9" i="1661"/>
  <c r="L8" i="1661"/>
  <c r="D8" i="1661" s="1"/>
  <c r="R6" i="1661"/>
  <c r="R5" i="1661"/>
  <c r="R4" i="1661"/>
  <c r="R52" i="1660"/>
  <c r="R51" i="1660"/>
  <c r="D50" i="1660"/>
  <c r="R49" i="1660"/>
  <c r="D49" i="1660"/>
  <c r="R48" i="1660"/>
  <c r="D48" i="1660"/>
  <c r="D46" i="1660"/>
  <c r="D45" i="1660"/>
  <c r="R44" i="1660"/>
  <c r="D44" i="1660"/>
  <c r="R42" i="1660"/>
  <c r="L6" i="1660" s="1"/>
  <c r="D6" i="1660" s="1"/>
  <c r="D42" i="1660"/>
  <c r="R41" i="1660"/>
  <c r="D41" i="1660"/>
  <c r="R40" i="1660"/>
  <c r="D40" i="1660"/>
  <c r="R39" i="1660"/>
  <c r="H39" i="1660"/>
  <c r="D39" i="1660"/>
  <c r="R38" i="1660"/>
  <c r="H38" i="1660"/>
  <c r="D38" i="1660"/>
  <c r="R37" i="1660"/>
  <c r="H37" i="1660"/>
  <c r="D37" i="1660"/>
  <c r="R36" i="1660"/>
  <c r="H36" i="1660"/>
  <c r="D36" i="1660"/>
  <c r="R35" i="1660"/>
  <c r="H35" i="1660"/>
  <c r="D35" i="1660"/>
  <c r="R34" i="1660"/>
  <c r="L12" i="1660" s="1"/>
  <c r="D12" i="1660" s="1"/>
  <c r="H34" i="1660"/>
  <c r="D34" i="1660"/>
  <c r="R33" i="1660"/>
  <c r="R32" i="1660"/>
  <c r="R31" i="1660"/>
  <c r="R30" i="1660"/>
  <c r="R29" i="1660"/>
  <c r="R28" i="1660"/>
  <c r="L16" i="1660" s="1"/>
  <c r="D16" i="1660" s="1"/>
  <c r="D28" i="1660"/>
  <c r="R27" i="1660"/>
  <c r="D27" i="1660"/>
  <c r="R26" i="1660"/>
  <c r="L26" i="1660"/>
  <c r="D26" i="1660"/>
  <c r="R25" i="1660"/>
  <c r="L25" i="1660"/>
  <c r="D25" i="1660" s="1"/>
  <c r="R24" i="1660"/>
  <c r="D24" i="1660"/>
  <c r="R23" i="1660"/>
  <c r="L23" i="1660"/>
  <c r="D23" i="1660"/>
  <c r="R22" i="1660"/>
  <c r="L22" i="1660"/>
  <c r="D22" i="1660"/>
  <c r="R21" i="1660"/>
  <c r="D21" i="1660"/>
  <c r="R20" i="1660"/>
  <c r="L20" i="1660"/>
  <c r="D20" i="1660"/>
  <c r="R19" i="1660"/>
  <c r="L19" i="1660"/>
  <c r="D19" i="1660" s="1"/>
  <c r="R18" i="1660"/>
  <c r="D18" i="1660"/>
  <c r="R17" i="1660"/>
  <c r="D17" i="1660"/>
  <c r="R16" i="1660"/>
  <c r="R15" i="1660"/>
  <c r="D15" i="1660"/>
  <c r="R14" i="1660"/>
  <c r="D14" i="1660"/>
  <c r="R13" i="1660"/>
  <c r="D13" i="1660"/>
  <c r="R12" i="1660"/>
  <c r="R11" i="1660"/>
  <c r="L11" i="1660"/>
  <c r="D11" i="1660" s="1"/>
  <c r="L10" i="1660"/>
  <c r="D10" i="1660"/>
  <c r="L9" i="1660"/>
  <c r="D9" i="1660" s="1"/>
  <c r="L8" i="1660"/>
  <c r="D8" i="1660" s="1"/>
  <c r="L7" i="1660"/>
  <c r="D7" i="1660" s="1"/>
  <c r="R6" i="1660"/>
  <c r="R5" i="1660"/>
  <c r="R4" i="1660"/>
  <c r="R52" i="1659"/>
  <c r="R51" i="1659"/>
  <c r="D50" i="1659"/>
  <c r="R49" i="1659"/>
  <c r="D49" i="1659"/>
  <c r="R48" i="1659"/>
  <c r="D48" i="1659"/>
  <c r="D46" i="1659"/>
  <c r="D45" i="1659"/>
  <c r="R44" i="1659"/>
  <c r="D44" i="1659"/>
  <c r="R42" i="1659"/>
  <c r="L6" i="1659" s="1"/>
  <c r="D6" i="1659" s="1"/>
  <c r="D42" i="1659"/>
  <c r="R41" i="1659"/>
  <c r="D41" i="1659"/>
  <c r="R40" i="1659"/>
  <c r="D40" i="1659"/>
  <c r="R39" i="1659"/>
  <c r="D39" i="1659"/>
  <c r="R38" i="1659"/>
  <c r="L9" i="1659" s="1"/>
  <c r="D9" i="1659" s="1"/>
  <c r="D38" i="1659"/>
  <c r="R37" i="1659"/>
  <c r="H37" i="1659"/>
  <c r="D37" i="1659"/>
  <c r="R36" i="1659"/>
  <c r="H36" i="1659"/>
  <c r="D36" i="1659"/>
  <c r="R35" i="1659"/>
  <c r="H35" i="1659"/>
  <c r="D35" i="1659"/>
  <c r="R34" i="1659"/>
  <c r="H34" i="1659"/>
  <c r="D34" i="1659"/>
  <c r="R33" i="1659"/>
  <c r="R32" i="1659"/>
  <c r="R31" i="1659"/>
  <c r="R30" i="1659"/>
  <c r="R29" i="1659"/>
  <c r="R28" i="1659"/>
  <c r="D28" i="1659"/>
  <c r="R27" i="1659"/>
  <c r="D27" i="1659"/>
  <c r="R26" i="1659"/>
  <c r="L26" i="1659"/>
  <c r="D26" i="1659"/>
  <c r="R25" i="1659"/>
  <c r="L25" i="1659"/>
  <c r="D25" i="1659"/>
  <c r="R24" i="1659"/>
  <c r="D24" i="1659"/>
  <c r="R23" i="1659"/>
  <c r="L23" i="1659"/>
  <c r="D23" i="1659" s="1"/>
  <c r="R22" i="1659"/>
  <c r="L22" i="1659"/>
  <c r="D22" i="1659"/>
  <c r="R21" i="1659"/>
  <c r="D21" i="1659"/>
  <c r="R20" i="1659"/>
  <c r="L20" i="1659"/>
  <c r="D20" i="1659" s="1"/>
  <c r="R19" i="1659"/>
  <c r="L19" i="1659"/>
  <c r="D19" i="1659" s="1"/>
  <c r="R18" i="1659"/>
  <c r="D18" i="1659"/>
  <c r="R17" i="1659"/>
  <c r="L17" i="1659"/>
  <c r="D17" i="1659" s="1"/>
  <c r="R16" i="1659"/>
  <c r="L16" i="1659"/>
  <c r="D16" i="1659"/>
  <c r="R15" i="1659"/>
  <c r="D15" i="1659"/>
  <c r="R14" i="1659"/>
  <c r="D14" i="1659"/>
  <c r="R13" i="1659"/>
  <c r="D13" i="1659"/>
  <c r="R12" i="1659"/>
  <c r="L12" i="1659"/>
  <c r="D12" i="1659"/>
  <c r="R11" i="1659"/>
  <c r="L11" i="1659"/>
  <c r="D11" i="1659"/>
  <c r="L10" i="1659"/>
  <c r="D10" i="1659" s="1"/>
  <c r="L8" i="1659"/>
  <c r="D8" i="1659" s="1"/>
  <c r="L7" i="1659"/>
  <c r="D7" i="1659"/>
  <c r="R6" i="1659"/>
  <c r="R5" i="1659"/>
  <c r="R4" i="1659"/>
  <c r="R52" i="1658"/>
  <c r="R51" i="1658"/>
  <c r="D50" i="1658"/>
  <c r="R49" i="1658"/>
  <c r="D49" i="1658"/>
  <c r="R48" i="1658"/>
  <c r="D48" i="1658"/>
  <c r="D46" i="1658"/>
  <c r="D45" i="1658"/>
  <c r="R44" i="1658"/>
  <c r="D44" i="1658"/>
  <c r="R42" i="1658"/>
  <c r="L6" i="1658" s="1"/>
  <c r="D6" i="1658" s="1"/>
  <c r="D42" i="1658"/>
  <c r="R41" i="1658"/>
  <c r="D41" i="1658"/>
  <c r="R40" i="1658"/>
  <c r="D40" i="1658"/>
  <c r="R39" i="1658"/>
  <c r="L20" i="1658" s="1"/>
  <c r="D20" i="1658" s="1"/>
  <c r="H39" i="1658"/>
  <c r="D39" i="1658"/>
  <c r="R38" i="1658"/>
  <c r="H38" i="1658"/>
  <c r="D38" i="1658"/>
  <c r="R37" i="1658"/>
  <c r="H37" i="1658"/>
  <c r="D37" i="1658"/>
  <c r="R36" i="1658"/>
  <c r="L10" i="1658" s="1"/>
  <c r="D10" i="1658" s="1"/>
  <c r="H36" i="1658"/>
  <c r="D36" i="1658"/>
  <c r="R35" i="1658"/>
  <c r="H35" i="1658"/>
  <c r="D35" i="1658"/>
  <c r="R34" i="1658"/>
  <c r="L12" i="1658" s="1"/>
  <c r="D12" i="1658" s="1"/>
  <c r="H34" i="1658"/>
  <c r="D34" i="1658"/>
  <c r="R33" i="1658"/>
  <c r="R32" i="1658"/>
  <c r="R31" i="1658"/>
  <c r="R30" i="1658"/>
  <c r="R29" i="1658"/>
  <c r="R28" i="1658"/>
  <c r="D28" i="1658"/>
  <c r="R27" i="1658"/>
  <c r="D27" i="1658"/>
  <c r="R26" i="1658"/>
  <c r="L26" i="1658"/>
  <c r="D26" i="1658"/>
  <c r="R25" i="1658"/>
  <c r="D25" i="1658"/>
  <c r="R24" i="1658"/>
  <c r="L24" i="1658"/>
  <c r="D24" i="1658" s="1"/>
  <c r="R23" i="1658"/>
  <c r="D23" i="1658"/>
  <c r="R22" i="1658"/>
  <c r="D22" i="1658"/>
  <c r="R21" i="1658"/>
  <c r="D21" i="1658"/>
  <c r="R20" i="1658"/>
  <c r="R19" i="1658"/>
  <c r="D19" i="1658"/>
  <c r="R18" i="1658"/>
  <c r="D18" i="1658"/>
  <c r="R17" i="1658"/>
  <c r="L17" i="1658"/>
  <c r="D17" i="1658" s="1"/>
  <c r="R16" i="1658"/>
  <c r="L16" i="1658"/>
  <c r="D16" i="1658" s="1"/>
  <c r="R15" i="1658"/>
  <c r="D15" i="1658"/>
  <c r="R14" i="1658"/>
  <c r="D14" i="1658"/>
  <c r="R13" i="1658"/>
  <c r="D13" i="1658"/>
  <c r="R12" i="1658"/>
  <c r="R11" i="1658"/>
  <c r="L11" i="1658"/>
  <c r="D11" i="1658"/>
  <c r="L9" i="1658"/>
  <c r="D9" i="1658"/>
  <c r="L8" i="1658"/>
  <c r="D8" i="1658" s="1"/>
  <c r="L7" i="1658"/>
  <c r="D7" i="1658"/>
  <c r="R6" i="1658"/>
  <c r="R5" i="1658"/>
  <c r="R4" i="1658"/>
  <c r="R52" i="1657"/>
  <c r="R51" i="1657"/>
  <c r="D50" i="1657"/>
  <c r="R49" i="1657"/>
  <c r="G49" i="1657"/>
  <c r="D49" i="1657"/>
  <c r="R48" i="1657"/>
  <c r="D48" i="1657"/>
  <c r="D46" i="1657"/>
  <c r="D45" i="1657"/>
  <c r="D44" i="1657"/>
  <c r="R42" i="1657"/>
  <c r="L6" i="1657" s="1"/>
  <c r="D6" i="1657" s="1"/>
  <c r="D42" i="1657"/>
  <c r="R41" i="1657"/>
  <c r="L7" i="1657" s="1"/>
  <c r="D7" i="1657" s="1"/>
  <c r="D41" i="1657"/>
  <c r="R40" i="1657"/>
  <c r="D40" i="1657"/>
  <c r="R39" i="1657"/>
  <c r="D39" i="1657"/>
  <c r="R38" i="1657"/>
  <c r="L9" i="1657" s="1"/>
  <c r="D9" i="1657" s="1"/>
  <c r="D38" i="1657"/>
  <c r="R37" i="1657"/>
  <c r="D37" i="1657"/>
  <c r="R36" i="1657"/>
  <c r="D36" i="1657"/>
  <c r="R35" i="1657"/>
  <c r="L19" i="1657" s="1"/>
  <c r="D19" i="1657" s="1"/>
  <c r="D35" i="1657"/>
  <c r="D54" i="1657" s="1"/>
  <c r="H14" i="1657" s="1"/>
  <c r="R34" i="1657"/>
  <c r="D34" i="1657"/>
  <c r="R33" i="1657"/>
  <c r="R32" i="1657"/>
  <c r="R31" i="1657"/>
  <c r="R30" i="1657"/>
  <c r="R29" i="1657"/>
  <c r="R28" i="1657"/>
  <c r="L16" i="1657" s="1"/>
  <c r="D16" i="1657" s="1"/>
  <c r="D28" i="1657"/>
  <c r="R27" i="1657"/>
  <c r="D27" i="1657"/>
  <c r="R26" i="1657"/>
  <c r="L26" i="1657"/>
  <c r="D26" i="1657"/>
  <c r="R25" i="1657"/>
  <c r="L25" i="1657"/>
  <c r="D25" i="1657"/>
  <c r="R24" i="1657"/>
  <c r="D24" i="1657"/>
  <c r="R23" i="1657"/>
  <c r="L23" i="1657"/>
  <c r="D23" i="1657"/>
  <c r="R22" i="1657"/>
  <c r="L22" i="1657"/>
  <c r="D22" i="1657" s="1"/>
  <c r="R21" i="1657"/>
  <c r="D21" i="1657"/>
  <c r="R20" i="1657"/>
  <c r="L20" i="1657"/>
  <c r="D20" i="1657"/>
  <c r="R19" i="1657"/>
  <c r="R18" i="1657"/>
  <c r="D18" i="1657"/>
  <c r="R17" i="1657"/>
  <c r="D17" i="1657"/>
  <c r="R16" i="1657"/>
  <c r="S15" i="1657"/>
  <c r="R15" i="1657"/>
  <c r="D15" i="1657"/>
  <c r="S14" i="1657"/>
  <c r="R14" i="1657"/>
  <c r="D14" i="1657"/>
  <c r="R13" i="1657"/>
  <c r="D13" i="1657"/>
  <c r="R12" i="1657"/>
  <c r="L12" i="1657"/>
  <c r="D12" i="1657"/>
  <c r="R11" i="1657"/>
  <c r="L11" i="1657"/>
  <c r="D11" i="1657" s="1"/>
  <c r="L10" i="1657"/>
  <c r="D10" i="1657" s="1"/>
  <c r="L8" i="1657"/>
  <c r="D8" i="1657" s="1"/>
  <c r="R6" i="1657"/>
  <c r="R5" i="1657"/>
  <c r="R4" i="1657"/>
  <c r="R52" i="1656"/>
  <c r="L22" i="1656" s="1"/>
  <c r="D22" i="1656" s="1"/>
  <c r="R51" i="1656"/>
  <c r="D50" i="1656"/>
  <c r="R49" i="1656"/>
  <c r="D49" i="1656"/>
  <c r="R48" i="1656"/>
  <c r="D48" i="1656"/>
  <c r="D46" i="1656"/>
  <c r="D45" i="1656"/>
  <c r="R44" i="1656"/>
  <c r="D44" i="1656"/>
  <c r="R42" i="1656"/>
  <c r="D42" i="1656"/>
  <c r="R41" i="1656"/>
  <c r="D41" i="1656"/>
  <c r="R40" i="1656"/>
  <c r="D40" i="1656"/>
  <c r="R39" i="1656"/>
  <c r="H39" i="1656"/>
  <c r="D39" i="1656"/>
  <c r="R38" i="1656"/>
  <c r="H38" i="1656"/>
  <c r="D38" i="1656"/>
  <c r="R37" i="1656"/>
  <c r="H37" i="1656"/>
  <c r="D37" i="1656"/>
  <c r="R36" i="1656"/>
  <c r="H36" i="1656"/>
  <c r="D36" i="1656"/>
  <c r="R35" i="1656"/>
  <c r="L19" i="1656" s="1"/>
  <c r="D19" i="1656" s="1"/>
  <c r="H35" i="1656"/>
  <c r="D35" i="1656"/>
  <c r="R34" i="1656"/>
  <c r="H34" i="1656"/>
  <c r="D34" i="1656"/>
  <c r="R33" i="1656"/>
  <c r="L23" i="1656" s="1"/>
  <c r="D23" i="1656" s="1"/>
  <c r="R32" i="1656"/>
  <c r="R31" i="1656"/>
  <c r="R30" i="1656"/>
  <c r="R29" i="1656"/>
  <c r="R28" i="1656"/>
  <c r="D28" i="1656"/>
  <c r="R27" i="1656"/>
  <c r="D27" i="1656"/>
  <c r="R26" i="1656"/>
  <c r="L26" i="1656"/>
  <c r="D26" i="1656"/>
  <c r="R25" i="1656"/>
  <c r="L25" i="1656"/>
  <c r="D25" i="1656"/>
  <c r="R24" i="1656"/>
  <c r="D24" i="1656"/>
  <c r="R23" i="1656"/>
  <c r="R22" i="1656"/>
  <c r="R21" i="1656"/>
  <c r="D21" i="1656"/>
  <c r="R20" i="1656"/>
  <c r="L20" i="1656"/>
  <c r="D20" i="1656"/>
  <c r="R19" i="1656"/>
  <c r="R18" i="1656"/>
  <c r="D18" i="1656"/>
  <c r="R17" i="1656"/>
  <c r="D17" i="1656"/>
  <c r="R16" i="1656"/>
  <c r="L16" i="1656"/>
  <c r="D16" i="1656" s="1"/>
  <c r="R15" i="1656"/>
  <c r="D15" i="1656"/>
  <c r="R14" i="1656"/>
  <c r="D14" i="1656"/>
  <c r="R13" i="1656"/>
  <c r="D13" i="1656"/>
  <c r="R12" i="1656"/>
  <c r="L12" i="1656"/>
  <c r="D12" i="1656" s="1"/>
  <c r="R11" i="1656"/>
  <c r="L11" i="1656"/>
  <c r="D11" i="1656" s="1"/>
  <c r="L10" i="1656"/>
  <c r="D10" i="1656" s="1"/>
  <c r="L9" i="1656"/>
  <c r="D9" i="1656" s="1"/>
  <c r="L8" i="1656"/>
  <c r="D8" i="1656" s="1"/>
  <c r="L7" i="1656"/>
  <c r="D7" i="1656" s="1"/>
  <c r="R6" i="1656"/>
  <c r="L6" i="1656"/>
  <c r="D6" i="1656" s="1"/>
  <c r="R5" i="1656"/>
  <c r="R4" i="1656"/>
  <c r="R52" i="1655"/>
  <c r="R51" i="1655"/>
  <c r="D50" i="1655"/>
  <c r="R49" i="1655"/>
  <c r="D49" i="1655"/>
  <c r="R48" i="1655"/>
  <c r="D48" i="1655"/>
  <c r="D46" i="1655"/>
  <c r="D45" i="1655"/>
  <c r="R44" i="1655"/>
  <c r="D44" i="1655"/>
  <c r="R42" i="1655"/>
  <c r="L6" i="1655" s="1"/>
  <c r="D6" i="1655" s="1"/>
  <c r="D42" i="1655"/>
  <c r="R41" i="1655"/>
  <c r="D41" i="1655"/>
  <c r="R40" i="1655"/>
  <c r="D40" i="1655"/>
  <c r="R39" i="1655"/>
  <c r="L20" i="1655" s="1"/>
  <c r="D20" i="1655" s="1"/>
  <c r="H39" i="1655"/>
  <c r="D39" i="1655"/>
  <c r="R38" i="1655"/>
  <c r="H38" i="1655"/>
  <c r="D38" i="1655"/>
  <c r="R37" i="1655"/>
  <c r="H37" i="1655"/>
  <c r="D37" i="1655"/>
  <c r="R36" i="1655"/>
  <c r="H36" i="1655"/>
  <c r="D36" i="1655"/>
  <c r="R35" i="1655"/>
  <c r="H35" i="1655"/>
  <c r="D35" i="1655"/>
  <c r="R34" i="1655"/>
  <c r="L12" i="1655" s="1"/>
  <c r="D12" i="1655" s="1"/>
  <c r="H34" i="1655"/>
  <c r="D34" i="1655"/>
  <c r="R33" i="1655"/>
  <c r="R32" i="1655"/>
  <c r="R31" i="1655"/>
  <c r="R30" i="1655"/>
  <c r="R29" i="1655"/>
  <c r="R28" i="1655"/>
  <c r="D28" i="1655"/>
  <c r="R27" i="1655"/>
  <c r="D27" i="1655"/>
  <c r="R26" i="1655"/>
  <c r="L26" i="1655"/>
  <c r="D26" i="1655"/>
  <c r="R25" i="1655"/>
  <c r="L25" i="1655"/>
  <c r="D25" i="1655"/>
  <c r="R24" i="1655"/>
  <c r="L24" i="1655"/>
  <c r="D24" i="1655"/>
  <c r="R23" i="1655"/>
  <c r="L23" i="1655"/>
  <c r="D23" i="1655"/>
  <c r="R22" i="1655"/>
  <c r="L22" i="1655"/>
  <c r="D22" i="1655"/>
  <c r="R21" i="1655"/>
  <c r="D21" i="1655"/>
  <c r="R20" i="1655"/>
  <c r="R19" i="1655"/>
  <c r="L19" i="1655"/>
  <c r="D19" i="1655" s="1"/>
  <c r="R18" i="1655"/>
  <c r="D18" i="1655"/>
  <c r="R17" i="1655"/>
  <c r="L17" i="1655"/>
  <c r="D17" i="1655" s="1"/>
  <c r="R16" i="1655"/>
  <c r="L16" i="1655"/>
  <c r="D16" i="1655"/>
  <c r="R15" i="1655"/>
  <c r="D15" i="1655"/>
  <c r="R14" i="1655"/>
  <c r="D14" i="1655"/>
  <c r="R13" i="1655"/>
  <c r="D13" i="1655"/>
  <c r="R12" i="1655"/>
  <c r="R11" i="1655"/>
  <c r="L11" i="1655"/>
  <c r="D11" i="1655"/>
  <c r="L10" i="1655"/>
  <c r="D10" i="1655" s="1"/>
  <c r="L9" i="1655"/>
  <c r="D9" i="1655" s="1"/>
  <c r="L8" i="1655"/>
  <c r="D8" i="1655"/>
  <c r="L7" i="1655"/>
  <c r="D7" i="1655"/>
  <c r="R6" i="1655"/>
  <c r="R5" i="1655"/>
  <c r="R4" i="1655"/>
  <c r="R52" i="1654"/>
  <c r="R51" i="1654"/>
  <c r="D50" i="1654"/>
  <c r="R49" i="1654"/>
  <c r="D49" i="1654"/>
  <c r="R48" i="1654"/>
  <c r="D48" i="1654"/>
  <c r="D46" i="1654"/>
  <c r="D45" i="1654"/>
  <c r="R44" i="1654"/>
  <c r="D44" i="1654"/>
  <c r="R42" i="1654"/>
  <c r="L6" i="1654" s="1"/>
  <c r="D6" i="1654" s="1"/>
  <c r="D42" i="1654"/>
  <c r="R41" i="1654"/>
  <c r="D41" i="1654"/>
  <c r="R40" i="1654"/>
  <c r="L8" i="1654" s="1"/>
  <c r="D8" i="1654" s="1"/>
  <c r="D40" i="1654"/>
  <c r="R39" i="1654"/>
  <c r="L20" i="1654" s="1"/>
  <c r="D20" i="1654" s="1"/>
  <c r="H39" i="1654"/>
  <c r="D39" i="1654"/>
  <c r="R38" i="1654"/>
  <c r="H38" i="1654"/>
  <c r="D38" i="1654"/>
  <c r="R37" i="1654"/>
  <c r="H37" i="1654"/>
  <c r="D37" i="1654"/>
  <c r="R36" i="1654"/>
  <c r="L10" i="1654" s="1"/>
  <c r="D10" i="1654" s="1"/>
  <c r="H36" i="1654"/>
  <c r="D36" i="1654"/>
  <c r="R35" i="1654"/>
  <c r="H35" i="1654"/>
  <c r="D35" i="1654"/>
  <c r="R34" i="1654"/>
  <c r="L12" i="1654" s="1"/>
  <c r="D12" i="1654" s="1"/>
  <c r="H34" i="1654"/>
  <c r="D34" i="1654"/>
  <c r="R33" i="1654"/>
  <c r="R32" i="1654"/>
  <c r="R31" i="1654"/>
  <c r="R30" i="1654"/>
  <c r="R29" i="1654"/>
  <c r="R28" i="1654"/>
  <c r="L16" i="1654" s="1"/>
  <c r="D16" i="1654" s="1"/>
  <c r="D28" i="1654"/>
  <c r="R27" i="1654"/>
  <c r="D27" i="1654"/>
  <c r="R26" i="1654"/>
  <c r="L26" i="1654"/>
  <c r="D26" i="1654"/>
  <c r="R25" i="1654"/>
  <c r="L25" i="1654"/>
  <c r="D25" i="1654" s="1"/>
  <c r="R24" i="1654"/>
  <c r="L24" i="1654"/>
  <c r="D24" i="1654" s="1"/>
  <c r="R23" i="1654"/>
  <c r="D23" i="1654"/>
  <c r="R22" i="1654"/>
  <c r="D22" i="1654"/>
  <c r="R21" i="1654"/>
  <c r="D21" i="1654"/>
  <c r="R20" i="1654"/>
  <c r="R19" i="1654"/>
  <c r="D19" i="1654"/>
  <c r="R18" i="1654"/>
  <c r="D18" i="1654"/>
  <c r="R17" i="1654"/>
  <c r="L17" i="1654"/>
  <c r="D17" i="1654" s="1"/>
  <c r="R16" i="1654"/>
  <c r="R15" i="1654"/>
  <c r="D15" i="1654"/>
  <c r="R14" i="1654"/>
  <c r="D14" i="1654"/>
  <c r="R13" i="1654"/>
  <c r="D13" i="1654"/>
  <c r="R12" i="1654"/>
  <c r="R11" i="1654"/>
  <c r="L11" i="1654"/>
  <c r="D11" i="1654" s="1"/>
  <c r="L9" i="1654"/>
  <c r="D9" i="1654"/>
  <c r="L7" i="1654"/>
  <c r="D7" i="1654"/>
  <c r="R6" i="1654"/>
  <c r="R5" i="1654"/>
  <c r="R4" i="1654"/>
  <c r="R52" i="1653"/>
  <c r="R51" i="1653"/>
  <c r="D50" i="1653"/>
  <c r="R49" i="1653"/>
  <c r="G49" i="1653"/>
  <c r="D49" i="1653"/>
  <c r="R48" i="1653"/>
  <c r="D48" i="1653"/>
  <c r="D46" i="1653"/>
  <c r="D45" i="1653"/>
  <c r="D44" i="1653"/>
  <c r="R42" i="1653"/>
  <c r="L6" i="1653" s="1"/>
  <c r="D6" i="1653" s="1"/>
  <c r="D42" i="1653"/>
  <c r="R41" i="1653"/>
  <c r="L7" i="1653" s="1"/>
  <c r="D7" i="1653" s="1"/>
  <c r="D41" i="1653"/>
  <c r="R40" i="1653"/>
  <c r="D40" i="1653"/>
  <c r="R39" i="1653"/>
  <c r="D39" i="1653"/>
  <c r="R38" i="1653"/>
  <c r="L9" i="1653" s="1"/>
  <c r="D9" i="1653" s="1"/>
  <c r="D38" i="1653"/>
  <c r="R37" i="1653"/>
  <c r="D37" i="1653"/>
  <c r="R36" i="1653"/>
  <c r="D36" i="1653"/>
  <c r="R35" i="1653"/>
  <c r="D35" i="1653"/>
  <c r="R34" i="1653"/>
  <c r="L12" i="1653" s="1"/>
  <c r="D12" i="1653" s="1"/>
  <c r="D34" i="1653"/>
  <c r="D54" i="1653" s="1"/>
  <c r="H14" i="1653" s="1"/>
  <c r="R33" i="1653"/>
  <c r="L23" i="1653" s="1"/>
  <c r="D23" i="1653" s="1"/>
  <c r="R32" i="1653"/>
  <c r="R31" i="1653"/>
  <c r="R30" i="1653"/>
  <c r="R29" i="1653"/>
  <c r="R28" i="1653"/>
  <c r="D28" i="1653"/>
  <c r="R27" i="1653"/>
  <c r="D27" i="1653"/>
  <c r="R26" i="1653"/>
  <c r="L26" i="1653"/>
  <c r="D26" i="1653"/>
  <c r="R25" i="1653"/>
  <c r="L25" i="1653"/>
  <c r="D25" i="1653"/>
  <c r="R24" i="1653"/>
  <c r="D24" i="1653"/>
  <c r="R23" i="1653"/>
  <c r="R22" i="1653"/>
  <c r="L22" i="1653"/>
  <c r="D22" i="1653"/>
  <c r="R21" i="1653"/>
  <c r="D21" i="1653"/>
  <c r="R20" i="1653"/>
  <c r="L20" i="1653"/>
  <c r="D20" i="1653"/>
  <c r="R19" i="1653"/>
  <c r="L19" i="1653"/>
  <c r="D19" i="1653"/>
  <c r="R18" i="1653"/>
  <c r="D18" i="1653"/>
  <c r="R17" i="1653"/>
  <c r="D17" i="1653"/>
  <c r="R16" i="1653"/>
  <c r="L16" i="1653"/>
  <c r="D16" i="1653" s="1"/>
  <c r="S15" i="1653"/>
  <c r="R15" i="1653"/>
  <c r="D15" i="1653"/>
  <c r="S14" i="1653"/>
  <c r="R14" i="1653"/>
  <c r="D14" i="1653"/>
  <c r="R13" i="1653"/>
  <c r="D13" i="1653"/>
  <c r="R12" i="1653"/>
  <c r="R11" i="1653"/>
  <c r="L11" i="1653"/>
  <c r="D11" i="1653"/>
  <c r="L10" i="1653"/>
  <c r="D10" i="1653"/>
  <c r="L8" i="1653"/>
  <c r="D8" i="1653"/>
  <c r="R6" i="1653"/>
  <c r="R5" i="1653"/>
  <c r="R4" i="1653"/>
  <c r="R52" i="1652"/>
  <c r="R51" i="1652"/>
  <c r="D50" i="1652"/>
  <c r="R49" i="1652"/>
  <c r="D49" i="1652"/>
  <c r="R48" i="1652"/>
  <c r="D48" i="1652"/>
  <c r="D46" i="1652"/>
  <c r="D45" i="1652"/>
  <c r="R44" i="1652"/>
  <c r="D44" i="1652"/>
  <c r="R42" i="1652"/>
  <c r="L6" i="1652" s="1"/>
  <c r="D6" i="1652" s="1"/>
  <c r="D42" i="1652"/>
  <c r="R41" i="1652"/>
  <c r="D41" i="1652"/>
  <c r="R40" i="1652"/>
  <c r="L8" i="1652" s="1"/>
  <c r="D8" i="1652" s="1"/>
  <c r="D40" i="1652"/>
  <c r="R39" i="1652"/>
  <c r="H39" i="1652"/>
  <c r="D39" i="1652"/>
  <c r="R38" i="1652"/>
  <c r="H38" i="1652"/>
  <c r="D38" i="1652"/>
  <c r="R37" i="1652"/>
  <c r="H37" i="1652"/>
  <c r="D37" i="1652"/>
  <c r="R36" i="1652"/>
  <c r="H36" i="1652"/>
  <c r="D36" i="1652"/>
  <c r="R35" i="1652"/>
  <c r="H35" i="1652"/>
  <c r="D35" i="1652"/>
  <c r="R34" i="1652"/>
  <c r="L12" i="1652" s="1"/>
  <c r="D12" i="1652" s="1"/>
  <c r="H34" i="1652"/>
  <c r="G49" i="1652" s="1"/>
  <c r="D34" i="1652"/>
  <c r="R33" i="1652"/>
  <c r="R32" i="1652"/>
  <c r="L11" i="1652" s="1"/>
  <c r="D11" i="1652" s="1"/>
  <c r="R31" i="1652"/>
  <c r="R30" i="1652"/>
  <c r="R29" i="1652"/>
  <c r="R28" i="1652"/>
  <c r="D28" i="1652"/>
  <c r="R27" i="1652"/>
  <c r="D27" i="1652"/>
  <c r="R26" i="1652"/>
  <c r="L26" i="1652"/>
  <c r="D26" i="1652"/>
  <c r="R25" i="1652"/>
  <c r="L25" i="1652"/>
  <c r="D25" i="1652" s="1"/>
  <c r="R24" i="1652"/>
  <c r="D24" i="1652"/>
  <c r="R23" i="1652"/>
  <c r="L23" i="1652"/>
  <c r="D23" i="1652" s="1"/>
  <c r="R22" i="1652"/>
  <c r="L22" i="1652"/>
  <c r="D22" i="1652" s="1"/>
  <c r="R21" i="1652"/>
  <c r="D21" i="1652"/>
  <c r="R20" i="1652"/>
  <c r="L20" i="1652"/>
  <c r="D20" i="1652"/>
  <c r="R19" i="1652"/>
  <c r="L19" i="1652"/>
  <c r="D19" i="1652" s="1"/>
  <c r="R18" i="1652"/>
  <c r="D18" i="1652"/>
  <c r="R17" i="1652"/>
  <c r="D17" i="1652"/>
  <c r="R16" i="1652"/>
  <c r="L16" i="1652"/>
  <c r="D16" i="1652" s="1"/>
  <c r="R15" i="1652"/>
  <c r="D15" i="1652"/>
  <c r="R14" i="1652"/>
  <c r="D14" i="1652"/>
  <c r="R13" i="1652"/>
  <c r="D13" i="1652"/>
  <c r="R12" i="1652"/>
  <c r="R11" i="1652"/>
  <c r="L10" i="1652"/>
  <c r="D10" i="1652" s="1"/>
  <c r="L9" i="1652"/>
  <c r="D9" i="1652" s="1"/>
  <c r="L7" i="1652"/>
  <c r="D7" i="1652" s="1"/>
  <c r="R6" i="1652"/>
  <c r="R5" i="1652"/>
  <c r="R4" i="1652"/>
  <c r="R52" i="1651"/>
  <c r="R51" i="1651"/>
  <c r="D50" i="1651"/>
  <c r="R49" i="1651"/>
  <c r="D49" i="1651"/>
  <c r="R48" i="1651"/>
  <c r="D48" i="1651"/>
  <c r="D46" i="1651"/>
  <c r="D45" i="1651"/>
  <c r="R44" i="1651"/>
  <c r="D44" i="1651"/>
  <c r="R42" i="1651"/>
  <c r="L6" i="1651" s="1"/>
  <c r="D6" i="1651" s="1"/>
  <c r="D42" i="1651"/>
  <c r="R41" i="1651"/>
  <c r="D41" i="1651"/>
  <c r="R40" i="1651"/>
  <c r="D40" i="1651"/>
  <c r="R39" i="1651"/>
  <c r="L20" i="1651" s="1"/>
  <c r="D20" i="1651" s="1"/>
  <c r="H39" i="1651"/>
  <c r="D39" i="1651"/>
  <c r="R38" i="1651"/>
  <c r="L9" i="1651" s="1"/>
  <c r="D9" i="1651" s="1"/>
  <c r="H38" i="1651"/>
  <c r="D38" i="1651"/>
  <c r="R37" i="1651"/>
  <c r="H37" i="1651"/>
  <c r="D37" i="1651"/>
  <c r="R36" i="1651"/>
  <c r="H36" i="1651"/>
  <c r="D36" i="1651"/>
  <c r="R35" i="1651"/>
  <c r="H35" i="1651"/>
  <c r="D35" i="1651"/>
  <c r="R34" i="1651"/>
  <c r="L12" i="1651" s="1"/>
  <c r="D12" i="1651" s="1"/>
  <c r="H34" i="1651"/>
  <c r="G49" i="1651" s="1"/>
  <c r="D34" i="1651"/>
  <c r="D54" i="1651" s="1"/>
  <c r="H14" i="1651" s="1"/>
  <c r="R33" i="1651"/>
  <c r="L23" i="1651" s="1"/>
  <c r="D23" i="1651" s="1"/>
  <c r="R32" i="1651"/>
  <c r="R31" i="1651"/>
  <c r="R30" i="1651"/>
  <c r="R29" i="1651"/>
  <c r="R28" i="1651"/>
  <c r="L16" i="1651" s="1"/>
  <c r="D16" i="1651" s="1"/>
  <c r="D28" i="1651"/>
  <c r="R27" i="1651"/>
  <c r="D27" i="1651"/>
  <c r="R26" i="1651"/>
  <c r="L26" i="1651"/>
  <c r="D26" i="1651"/>
  <c r="R25" i="1651"/>
  <c r="L25" i="1651"/>
  <c r="D25" i="1651" s="1"/>
  <c r="R24" i="1651"/>
  <c r="L24" i="1651"/>
  <c r="D24" i="1651"/>
  <c r="R23" i="1651"/>
  <c r="R22" i="1651"/>
  <c r="L22" i="1651"/>
  <c r="D22" i="1651"/>
  <c r="R21" i="1651"/>
  <c r="D21" i="1651"/>
  <c r="R20" i="1651"/>
  <c r="R19" i="1651"/>
  <c r="L19" i="1651"/>
  <c r="D19" i="1651" s="1"/>
  <c r="R18" i="1651"/>
  <c r="D18" i="1651"/>
  <c r="R17" i="1651"/>
  <c r="L17" i="1651"/>
  <c r="D17" i="1651"/>
  <c r="R16" i="1651"/>
  <c r="R15" i="1651"/>
  <c r="D15" i="1651"/>
  <c r="R14" i="1651"/>
  <c r="D14" i="1651"/>
  <c r="R13" i="1651"/>
  <c r="D13" i="1651"/>
  <c r="R12" i="1651"/>
  <c r="R11" i="1651"/>
  <c r="L11" i="1651"/>
  <c r="D11" i="1651" s="1"/>
  <c r="L10" i="1651"/>
  <c r="D10" i="1651" s="1"/>
  <c r="L8" i="1651"/>
  <c r="D8" i="1651"/>
  <c r="L7" i="1651"/>
  <c r="D7" i="1651" s="1"/>
  <c r="R6" i="1651"/>
  <c r="R5" i="1651"/>
  <c r="R4" i="1651"/>
  <c r="R52" i="1650"/>
  <c r="R51" i="1650"/>
  <c r="D50" i="1650"/>
  <c r="R49" i="1650"/>
  <c r="D49" i="1650"/>
  <c r="R48" i="1650"/>
  <c r="D48" i="1650"/>
  <c r="D46" i="1650"/>
  <c r="D45" i="1650"/>
  <c r="R44" i="1650"/>
  <c r="D44" i="1650"/>
  <c r="R42" i="1650"/>
  <c r="L6" i="1650" s="1"/>
  <c r="D6" i="1650" s="1"/>
  <c r="D42" i="1650"/>
  <c r="R41" i="1650"/>
  <c r="L7" i="1650" s="1"/>
  <c r="D7" i="1650" s="1"/>
  <c r="D41" i="1650"/>
  <c r="R40" i="1650"/>
  <c r="D40" i="1650"/>
  <c r="R39" i="1650"/>
  <c r="H39" i="1650"/>
  <c r="D39" i="1650"/>
  <c r="R38" i="1650"/>
  <c r="H38" i="1650"/>
  <c r="D38" i="1650"/>
  <c r="R37" i="1650"/>
  <c r="H37" i="1650"/>
  <c r="D37" i="1650"/>
  <c r="R36" i="1650"/>
  <c r="L10" i="1650" s="1"/>
  <c r="D10" i="1650" s="1"/>
  <c r="H36" i="1650"/>
  <c r="D36" i="1650"/>
  <c r="R35" i="1650"/>
  <c r="H35" i="1650"/>
  <c r="D35" i="1650"/>
  <c r="R34" i="1650"/>
  <c r="H34" i="1650"/>
  <c r="G49" i="1650" s="1"/>
  <c r="D34" i="1650"/>
  <c r="R33" i="1650"/>
  <c r="R32" i="1650"/>
  <c r="L11" i="1650" s="1"/>
  <c r="D11" i="1650" s="1"/>
  <c r="R31" i="1650"/>
  <c r="R30" i="1650"/>
  <c r="R29" i="1650"/>
  <c r="R28" i="1650"/>
  <c r="L16" i="1650" s="1"/>
  <c r="D16" i="1650" s="1"/>
  <c r="D28" i="1650"/>
  <c r="R27" i="1650"/>
  <c r="D27" i="1650"/>
  <c r="R26" i="1650"/>
  <c r="L26" i="1650"/>
  <c r="D26" i="1650"/>
  <c r="R25" i="1650"/>
  <c r="L25" i="1650"/>
  <c r="D25" i="1650" s="1"/>
  <c r="R24" i="1650"/>
  <c r="L24" i="1650"/>
  <c r="D24" i="1650"/>
  <c r="R23" i="1650"/>
  <c r="D23" i="1650"/>
  <c r="R22" i="1650"/>
  <c r="D22" i="1650"/>
  <c r="R21" i="1650"/>
  <c r="D21" i="1650"/>
  <c r="R20" i="1650"/>
  <c r="L20" i="1650"/>
  <c r="D20" i="1650" s="1"/>
  <c r="R19" i="1650"/>
  <c r="D19" i="1650"/>
  <c r="R18" i="1650"/>
  <c r="D18" i="1650"/>
  <c r="R17" i="1650"/>
  <c r="L17" i="1650"/>
  <c r="D17" i="1650"/>
  <c r="R16" i="1650"/>
  <c r="R15" i="1650"/>
  <c r="D15" i="1650"/>
  <c r="R14" i="1650"/>
  <c r="D14" i="1650"/>
  <c r="R13" i="1650"/>
  <c r="D13" i="1650"/>
  <c r="R12" i="1650"/>
  <c r="L12" i="1650"/>
  <c r="D12" i="1650" s="1"/>
  <c r="R11" i="1650"/>
  <c r="L9" i="1650"/>
  <c r="D9" i="1650"/>
  <c r="L8" i="1650"/>
  <c r="D8" i="1650"/>
  <c r="R6" i="1650"/>
  <c r="R5" i="1650"/>
  <c r="R4" i="1650"/>
  <c r="R52" i="1649"/>
  <c r="R51" i="1649"/>
  <c r="D50" i="1649"/>
  <c r="R49" i="1649"/>
  <c r="G49" i="1649"/>
  <c r="D49" i="1649"/>
  <c r="R48" i="1649"/>
  <c r="D48" i="1649"/>
  <c r="D46" i="1649"/>
  <c r="D45" i="1649"/>
  <c r="D44" i="1649"/>
  <c r="R42" i="1649"/>
  <c r="L6" i="1649" s="1"/>
  <c r="D6" i="1649" s="1"/>
  <c r="D42" i="1649"/>
  <c r="R41" i="1649"/>
  <c r="L7" i="1649" s="1"/>
  <c r="D7" i="1649" s="1"/>
  <c r="D41" i="1649"/>
  <c r="R40" i="1649"/>
  <c r="D40" i="1649"/>
  <c r="R39" i="1649"/>
  <c r="D39" i="1649"/>
  <c r="R38" i="1649"/>
  <c r="D38" i="1649"/>
  <c r="R37" i="1649"/>
  <c r="D37" i="1649"/>
  <c r="R36" i="1649"/>
  <c r="D36" i="1649"/>
  <c r="R35" i="1649"/>
  <c r="D35" i="1649"/>
  <c r="R34" i="1649"/>
  <c r="L12" i="1649" s="1"/>
  <c r="D12" i="1649" s="1"/>
  <c r="D34" i="1649"/>
  <c r="D54" i="1649" s="1"/>
  <c r="H14" i="1649" s="1"/>
  <c r="R33" i="1649"/>
  <c r="L23" i="1649" s="1"/>
  <c r="D23" i="1649" s="1"/>
  <c r="R32" i="1649"/>
  <c r="R31" i="1649"/>
  <c r="R30" i="1649"/>
  <c r="R29" i="1649"/>
  <c r="R28" i="1649"/>
  <c r="D28" i="1649"/>
  <c r="R27" i="1649"/>
  <c r="D27" i="1649"/>
  <c r="R26" i="1649"/>
  <c r="L26" i="1649"/>
  <c r="D26" i="1649"/>
  <c r="R25" i="1649"/>
  <c r="L25" i="1649"/>
  <c r="D25" i="1649"/>
  <c r="R24" i="1649"/>
  <c r="D24" i="1649"/>
  <c r="R23" i="1649"/>
  <c r="R22" i="1649"/>
  <c r="L22" i="1649"/>
  <c r="D22" i="1649"/>
  <c r="R21" i="1649"/>
  <c r="D21" i="1649"/>
  <c r="R20" i="1649"/>
  <c r="L20" i="1649"/>
  <c r="D20" i="1649"/>
  <c r="R19" i="1649"/>
  <c r="L19" i="1649"/>
  <c r="D19" i="1649"/>
  <c r="R18" i="1649"/>
  <c r="D18" i="1649"/>
  <c r="R17" i="1649"/>
  <c r="D17" i="1649"/>
  <c r="R16" i="1649"/>
  <c r="L16" i="1649"/>
  <c r="D16" i="1649" s="1"/>
  <c r="S15" i="1649"/>
  <c r="R15" i="1649"/>
  <c r="D15" i="1649"/>
  <c r="S14" i="1649"/>
  <c r="R14" i="1649"/>
  <c r="D14" i="1649"/>
  <c r="R13" i="1649"/>
  <c r="D13" i="1649"/>
  <c r="R12" i="1649"/>
  <c r="R11" i="1649"/>
  <c r="L11" i="1649"/>
  <c r="D11" i="1649"/>
  <c r="L10" i="1649"/>
  <c r="D10" i="1649"/>
  <c r="L9" i="1649"/>
  <c r="D9" i="1649" s="1"/>
  <c r="L8" i="1649"/>
  <c r="D8" i="1649"/>
  <c r="R6" i="1649"/>
  <c r="R5" i="1649"/>
  <c r="R4" i="1649"/>
  <c r="R52" i="1648"/>
  <c r="R51" i="1648"/>
  <c r="D50" i="1648"/>
  <c r="R49" i="1648"/>
  <c r="D49" i="1648"/>
  <c r="R48" i="1648"/>
  <c r="D48" i="1648"/>
  <c r="D46" i="1648"/>
  <c r="D45" i="1648"/>
  <c r="R44" i="1648"/>
  <c r="D44" i="1648"/>
  <c r="R42" i="1648"/>
  <c r="L6" i="1648" s="1"/>
  <c r="D6" i="1648" s="1"/>
  <c r="D42" i="1648"/>
  <c r="R41" i="1648"/>
  <c r="D41" i="1648"/>
  <c r="R40" i="1648"/>
  <c r="D40" i="1648"/>
  <c r="R39" i="1648"/>
  <c r="H39" i="1648"/>
  <c r="D39" i="1648"/>
  <c r="R38" i="1648"/>
  <c r="H38" i="1648"/>
  <c r="D38" i="1648"/>
  <c r="R37" i="1648"/>
  <c r="H37" i="1648"/>
  <c r="D37" i="1648"/>
  <c r="R36" i="1648"/>
  <c r="L10" i="1648" s="1"/>
  <c r="D10" i="1648" s="1"/>
  <c r="H36" i="1648"/>
  <c r="D36" i="1648"/>
  <c r="R35" i="1648"/>
  <c r="H35" i="1648"/>
  <c r="D35" i="1648"/>
  <c r="R34" i="1648"/>
  <c r="H34" i="1648"/>
  <c r="D34" i="1648"/>
  <c r="R33" i="1648"/>
  <c r="R32" i="1648"/>
  <c r="R31" i="1648"/>
  <c r="R30" i="1648"/>
  <c r="R29" i="1648"/>
  <c r="R28" i="1648"/>
  <c r="L16" i="1648" s="1"/>
  <c r="D16" i="1648" s="1"/>
  <c r="D28" i="1648"/>
  <c r="R27" i="1648"/>
  <c r="D27" i="1648"/>
  <c r="R26" i="1648"/>
  <c r="L26" i="1648"/>
  <c r="D26" i="1648"/>
  <c r="R25" i="1648"/>
  <c r="L25" i="1648"/>
  <c r="D25" i="1648"/>
  <c r="R24" i="1648"/>
  <c r="D24" i="1648"/>
  <c r="R23" i="1648"/>
  <c r="L23" i="1648"/>
  <c r="D23" i="1648"/>
  <c r="R22" i="1648"/>
  <c r="L22" i="1648"/>
  <c r="D22" i="1648" s="1"/>
  <c r="R21" i="1648"/>
  <c r="D21" i="1648"/>
  <c r="R20" i="1648"/>
  <c r="L20" i="1648"/>
  <c r="D20" i="1648"/>
  <c r="R19" i="1648"/>
  <c r="L19" i="1648"/>
  <c r="D19" i="1648"/>
  <c r="R18" i="1648"/>
  <c r="D18" i="1648"/>
  <c r="R17" i="1648"/>
  <c r="D17" i="1648"/>
  <c r="R16" i="1648"/>
  <c r="R15" i="1648"/>
  <c r="D15" i="1648"/>
  <c r="R14" i="1648"/>
  <c r="D14" i="1648"/>
  <c r="R13" i="1648"/>
  <c r="D13" i="1648"/>
  <c r="R12" i="1648"/>
  <c r="L12" i="1648"/>
  <c r="D12" i="1648"/>
  <c r="R11" i="1648"/>
  <c r="L11" i="1648"/>
  <c r="D11" i="1648"/>
  <c r="L9" i="1648"/>
  <c r="D9" i="1648" s="1"/>
  <c r="L8" i="1648"/>
  <c r="D8" i="1648" s="1"/>
  <c r="L7" i="1648"/>
  <c r="D7" i="1648"/>
  <c r="R6" i="1648"/>
  <c r="R5" i="1648"/>
  <c r="R4" i="1648"/>
  <c r="D54" i="1647"/>
  <c r="H14" i="1647" s="1"/>
  <c r="R52" i="1647"/>
  <c r="R51" i="1647"/>
  <c r="D50" i="1647"/>
  <c r="R49" i="1647"/>
  <c r="D49" i="1647"/>
  <c r="R48" i="1647"/>
  <c r="D48" i="1647"/>
  <c r="D46" i="1647"/>
  <c r="D45" i="1647"/>
  <c r="R44" i="1647"/>
  <c r="D44" i="1647"/>
  <c r="R42" i="1647"/>
  <c r="L6" i="1647" s="1"/>
  <c r="D6" i="1647" s="1"/>
  <c r="D42" i="1647"/>
  <c r="R41" i="1647"/>
  <c r="L7" i="1647" s="1"/>
  <c r="D7" i="1647" s="1"/>
  <c r="D41" i="1647"/>
  <c r="R40" i="1647"/>
  <c r="D40" i="1647"/>
  <c r="R39" i="1647"/>
  <c r="H39" i="1647"/>
  <c r="D39" i="1647"/>
  <c r="R38" i="1647"/>
  <c r="L9" i="1647" s="1"/>
  <c r="D9" i="1647" s="1"/>
  <c r="H38" i="1647"/>
  <c r="D38" i="1647"/>
  <c r="R37" i="1647"/>
  <c r="H37" i="1647"/>
  <c r="D37" i="1647"/>
  <c r="R36" i="1647"/>
  <c r="H36" i="1647"/>
  <c r="D36" i="1647"/>
  <c r="R35" i="1647"/>
  <c r="L19" i="1647" s="1"/>
  <c r="D19" i="1647" s="1"/>
  <c r="H35" i="1647"/>
  <c r="D35" i="1647"/>
  <c r="R34" i="1647"/>
  <c r="H34" i="1647"/>
  <c r="G49" i="1647" s="1"/>
  <c r="D34" i="1647"/>
  <c r="R33" i="1647"/>
  <c r="R32" i="1647"/>
  <c r="R31" i="1647"/>
  <c r="R30" i="1647"/>
  <c r="R29" i="1647"/>
  <c r="R28" i="1647"/>
  <c r="D28" i="1647"/>
  <c r="R27" i="1647"/>
  <c r="D27" i="1647"/>
  <c r="R26" i="1647"/>
  <c r="L26" i="1647"/>
  <c r="D26" i="1647"/>
  <c r="R25" i="1647"/>
  <c r="L25" i="1647"/>
  <c r="D25" i="1647"/>
  <c r="R24" i="1647"/>
  <c r="L24" i="1647"/>
  <c r="D24" i="1647"/>
  <c r="R23" i="1647"/>
  <c r="L23" i="1647"/>
  <c r="D23" i="1647"/>
  <c r="R22" i="1647"/>
  <c r="L22" i="1647"/>
  <c r="D22" i="1647"/>
  <c r="R21" i="1647"/>
  <c r="L17" i="1647" s="1"/>
  <c r="D17" i="1647" s="1"/>
  <c r="D21" i="1647"/>
  <c r="R20" i="1647"/>
  <c r="L20" i="1647"/>
  <c r="D20" i="1647"/>
  <c r="R19" i="1647"/>
  <c r="R18" i="1647"/>
  <c r="D18" i="1647"/>
  <c r="R17" i="1647"/>
  <c r="R16" i="1647"/>
  <c r="L16" i="1647"/>
  <c r="D16" i="1647"/>
  <c r="R15" i="1647"/>
  <c r="D15" i="1647"/>
  <c r="R14" i="1647"/>
  <c r="D14" i="1647"/>
  <c r="R13" i="1647"/>
  <c r="D13" i="1647"/>
  <c r="R12" i="1647"/>
  <c r="L12" i="1647"/>
  <c r="D12" i="1647"/>
  <c r="R11" i="1647"/>
  <c r="L11" i="1647"/>
  <c r="D11" i="1647"/>
  <c r="L10" i="1647"/>
  <c r="D10" i="1647"/>
  <c r="L8" i="1647"/>
  <c r="D8" i="1647"/>
  <c r="R6" i="1647"/>
  <c r="R5" i="1647"/>
  <c r="R4" i="1647"/>
  <c r="R52" i="1646"/>
  <c r="R51" i="1646"/>
  <c r="D50" i="1646"/>
  <c r="R49" i="1646"/>
  <c r="D49" i="1646"/>
  <c r="R48" i="1646"/>
  <c r="D48" i="1646"/>
  <c r="D46" i="1646"/>
  <c r="D45" i="1646"/>
  <c r="R44" i="1646"/>
  <c r="D44" i="1646"/>
  <c r="R42" i="1646"/>
  <c r="L6" i="1646" s="1"/>
  <c r="D6" i="1646" s="1"/>
  <c r="D42" i="1646"/>
  <c r="R41" i="1646"/>
  <c r="L7" i="1646" s="1"/>
  <c r="D7" i="1646" s="1"/>
  <c r="D41" i="1646"/>
  <c r="D54" i="1646" s="1"/>
  <c r="H14" i="1646" s="1"/>
  <c r="R40" i="1646"/>
  <c r="D40" i="1646"/>
  <c r="R39" i="1646"/>
  <c r="H39" i="1646"/>
  <c r="D39" i="1646"/>
  <c r="R38" i="1646"/>
  <c r="H38" i="1646"/>
  <c r="D38" i="1646"/>
  <c r="R37" i="1646"/>
  <c r="H37" i="1646"/>
  <c r="D37" i="1646"/>
  <c r="R36" i="1646"/>
  <c r="L10" i="1646" s="1"/>
  <c r="D10" i="1646" s="1"/>
  <c r="H36" i="1646"/>
  <c r="D36" i="1646"/>
  <c r="R35" i="1646"/>
  <c r="H35" i="1646"/>
  <c r="D35" i="1646"/>
  <c r="R34" i="1646"/>
  <c r="H34" i="1646"/>
  <c r="G49" i="1646" s="1"/>
  <c r="D34" i="1646"/>
  <c r="R33" i="1646"/>
  <c r="R32" i="1646"/>
  <c r="R31" i="1646"/>
  <c r="R30" i="1646"/>
  <c r="R29" i="1646"/>
  <c r="R28" i="1646"/>
  <c r="L16" i="1646" s="1"/>
  <c r="D16" i="1646" s="1"/>
  <c r="D28" i="1646"/>
  <c r="R27" i="1646"/>
  <c r="D27" i="1646"/>
  <c r="R26" i="1646"/>
  <c r="L26" i="1646"/>
  <c r="D26" i="1646"/>
  <c r="R25" i="1646"/>
  <c r="L25" i="1646"/>
  <c r="D25" i="1646" s="1"/>
  <c r="R24" i="1646"/>
  <c r="L24" i="1646"/>
  <c r="D24" i="1646"/>
  <c r="R23" i="1646"/>
  <c r="D23" i="1646"/>
  <c r="R22" i="1646"/>
  <c r="D22" i="1646"/>
  <c r="R21" i="1646"/>
  <c r="D21" i="1646"/>
  <c r="R20" i="1646"/>
  <c r="L20" i="1646"/>
  <c r="D20" i="1646" s="1"/>
  <c r="R19" i="1646"/>
  <c r="D19" i="1646"/>
  <c r="R18" i="1646"/>
  <c r="D18" i="1646"/>
  <c r="R17" i="1646"/>
  <c r="L17" i="1646"/>
  <c r="D17" i="1646"/>
  <c r="R16" i="1646"/>
  <c r="R15" i="1646"/>
  <c r="D15" i="1646"/>
  <c r="R14" i="1646"/>
  <c r="D14" i="1646"/>
  <c r="R13" i="1646"/>
  <c r="D13" i="1646"/>
  <c r="R12" i="1646"/>
  <c r="L12" i="1646"/>
  <c r="D12" i="1646"/>
  <c r="R11" i="1646"/>
  <c r="L11" i="1646"/>
  <c r="D11" i="1646"/>
  <c r="L9" i="1646"/>
  <c r="D9" i="1646"/>
  <c r="L8" i="1646"/>
  <c r="D8" i="1646"/>
  <c r="R6" i="1646"/>
  <c r="R5" i="1646"/>
  <c r="R4" i="1646"/>
  <c r="L22" i="1620"/>
  <c r="R52" i="1620"/>
  <c r="R51" i="1620"/>
  <c r="R49" i="1620"/>
  <c r="R48" i="1620"/>
  <c r="R44" i="1620"/>
  <c r="R42" i="1620"/>
  <c r="R41" i="1620"/>
  <c r="R40" i="1620"/>
  <c r="R39" i="1620"/>
  <c r="R38" i="1620"/>
  <c r="R37" i="1620"/>
  <c r="R36" i="1620"/>
  <c r="R35" i="1620"/>
  <c r="R34" i="1620"/>
  <c r="R33" i="1620"/>
  <c r="R32" i="1620"/>
  <c r="R31" i="1620"/>
  <c r="R30" i="1620"/>
  <c r="R29" i="1620"/>
  <c r="R28" i="1620"/>
  <c r="R27" i="1620"/>
  <c r="R26" i="1620"/>
  <c r="R25" i="1620"/>
  <c r="R24" i="1620"/>
  <c r="R23" i="1620"/>
  <c r="R22" i="1620"/>
  <c r="R21" i="1620"/>
  <c r="R20" i="1620"/>
  <c r="R19" i="1620"/>
  <c r="R18" i="1620"/>
  <c r="R17" i="1620"/>
  <c r="R16" i="1620"/>
  <c r="R15" i="1620"/>
  <c r="R14" i="1620"/>
  <c r="R13" i="1620"/>
  <c r="R12" i="1620"/>
  <c r="R11" i="1620"/>
  <c r="R6" i="1620"/>
  <c r="R5" i="1620"/>
  <c r="R4" i="1620"/>
  <c r="R52" i="1619"/>
  <c r="R51" i="1619"/>
  <c r="R49" i="1619"/>
  <c r="R48" i="1619"/>
  <c r="R44" i="1619"/>
  <c r="R42" i="1619"/>
  <c r="R41" i="1619"/>
  <c r="R40" i="1619"/>
  <c r="R39" i="1619"/>
  <c r="R38" i="1619"/>
  <c r="R37" i="1619"/>
  <c r="R36" i="1619"/>
  <c r="R35" i="1619"/>
  <c r="R34" i="1619"/>
  <c r="R33" i="1619"/>
  <c r="R32" i="1619"/>
  <c r="R31" i="1619"/>
  <c r="R30" i="1619"/>
  <c r="R29" i="1619"/>
  <c r="R28" i="1619"/>
  <c r="R27" i="1619"/>
  <c r="R26" i="1619"/>
  <c r="R25" i="1619"/>
  <c r="R24" i="1619"/>
  <c r="R23" i="1619"/>
  <c r="R22" i="1619"/>
  <c r="R21" i="1619"/>
  <c r="R20" i="1619"/>
  <c r="R19" i="1619"/>
  <c r="R18" i="1619"/>
  <c r="R17" i="1619"/>
  <c r="R16" i="1619"/>
  <c r="R15" i="1619"/>
  <c r="R14" i="1619"/>
  <c r="R13" i="1619"/>
  <c r="R12" i="1619"/>
  <c r="R11" i="1619"/>
  <c r="R6" i="1619"/>
  <c r="R5" i="1619"/>
  <c r="R4" i="1619"/>
  <c r="D54" i="1645"/>
  <c r="H14" i="1645" s="1"/>
  <c r="R52" i="1645"/>
  <c r="R51" i="1645"/>
  <c r="D50" i="1645"/>
  <c r="R49" i="1645"/>
  <c r="G49" i="1645"/>
  <c r="D49" i="1645"/>
  <c r="R48" i="1645"/>
  <c r="D48" i="1645"/>
  <c r="D46" i="1645"/>
  <c r="D45" i="1645"/>
  <c r="D44" i="1645"/>
  <c r="R42" i="1645"/>
  <c r="D42" i="1645"/>
  <c r="R41" i="1645"/>
  <c r="L7" i="1645" s="1"/>
  <c r="D7" i="1645" s="1"/>
  <c r="D41" i="1645"/>
  <c r="R40" i="1645"/>
  <c r="L8" i="1645" s="1"/>
  <c r="D8" i="1645" s="1"/>
  <c r="D40" i="1645"/>
  <c r="R39" i="1645"/>
  <c r="D39" i="1645"/>
  <c r="R38" i="1645"/>
  <c r="D38" i="1645"/>
  <c r="R37" i="1645"/>
  <c r="D37" i="1645"/>
  <c r="R36" i="1645"/>
  <c r="L10" i="1645" s="1"/>
  <c r="D10" i="1645" s="1"/>
  <c r="D36" i="1645"/>
  <c r="R35" i="1645"/>
  <c r="D35" i="1645"/>
  <c r="R34" i="1645"/>
  <c r="L12" i="1645" s="1"/>
  <c r="D12" i="1645" s="1"/>
  <c r="D34" i="1645"/>
  <c r="R33" i="1645"/>
  <c r="L23" i="1645" s="1"/>
  <c r="D23" i="1645" s="1"/>
  <c r="R32" i="1645"/>
  <c r="L11" i="1645" s="1"/>
  <c r="D11" i="1645" s="1"/>
  <c r="R31" i="1645"/>
  <c r="R30" i="1645"/>
  <c r="R29" i="1645"/>
  <c r="R28" i="1645"/>
  <c r="L16" i="1645" s="1"/>
  <c r="D16" i="1645" s="1"/>
  <c r="D28" i="1645"/>
  <c r="R27" i="1645"/>
  <c r="D27" i="1645"/>
  <c r="R26" i="1645"/>
  <c r="L26" i="1645"/>
  <c r="D26" i="1645"/>
  <c r="R25" i="1645"/>
  <c r="L25" i="1645"/>
  <c r="D25" i="1645"/>
  <c r="R24" i="1645"/>
  <c r="D24" i="1645"/>
  <c r="R23" i="1645"/>
  <c r="R22" i="1645"/>
  <c r="L22" i="1645"/>
  <c r="D22" i="1645" s="1"/>
  <c r="R21" i="1645"/>
  <c r="D21" i="1645"/>
  <c r="R20" i="1645"/>
  <c r="L20" i="1645"/>
  <c r="D20" i="1645"/>
  <c r="R19" i="1645"/>
  <c r="L19" i="1645"/>
  <c r="D19" i="1645"/>
  <c r="R18" i="1645"/>
  <c r="D18" i="1645"/>
  <c r="R17" i="1645"/>
  <c r="D17" i="1645"/>
  <c r="R16" i="1645"/>
  <c r="S15" i="1645"/>
  <c r="R15" i="1645"/>
  <c r="D15" i="1645"/>
  <c r="S14" i="1645"/>
  <c r="R14" i="1645"/>
  <c r="D14" i="1645"/>
  <c r="R13" i="1645"/>
  <c r="D13" i="1645"/>
  <c r="R12" i="1645"/>
  <c r="R11" i="1645"/>
  <c r="L9" i="1645"/>
  <c r="D9" i="1645" s="1"/>
  <c r="R6" i="1645"/>
  <c r="L6" i="1645"/>
  <c r="D6" i="1645" s="1"/>
  <c r="R5" i="1645"/>
  <c r="R4" i="1645"/>
  <c r="G49" i="1664" l="1"/>
  <c r="G49" i="1663"/>
  <c r="G49" i="1662"/>
  <c r="D54" i="1664"/>
  <c r="H14" i="1664" s="1"/>
  <c r="D54" i="1663"/>
  <c r="H14" i="1663" s="1"/>
  <c r="D29" i="1663"/>
  <c r="H13" i="1663" s="1"/>
  <c r="D54" i="1662"/>
  <c r="H14" i="1662" s="1"/>
  <c r="D54" i="1660"/>
  <c r="H14" i="1660" s="1"/>
  <c r="D54" i="1659"/>
  <c r="H14" i="1659" s="1"/>
  <c r="D29" i="1659"/>
  <c r="H13" i="1659" s="1"/>
  <c r="D54" i="1658"/>
  <c r="H14" i="1658" s="1"/>
  <c r="G49" i="1660"/>
  <c r="G49" i="1659"/>
  <c r="G49" i="1658"/>
  <c r="G49" i="1656"/>
  <c r="G49" i="1655"/>
  <c r="G49" i="1654"/>
  <c r="D54" i="1656"/>
  <c r="H14" i="1656" s="1"/>
  <c r="D29" i="1656"/>
  <c r="H13" i="1656" s="1"/>
  <c r="D54" i="1655"/>
  <c r="H14" i="1655" s="1"/>
  <c r="D54" i="1654"/>
  <c r="H14" i="1654" s="1"/>
  <c r="D54" i="1652"/>
  <c r="H14" i="1652" s="1"/>
  <c r="D54" i="1650"/>
  <c r="H14" i="1650" s="1"/>
  <c r="D29" i="1650"/>
  <c r="H13" i="1650" s="1"/>
  <c r="G49" i="1648"/>
  <c r="D54" i="1648"/>
  <c r="H14" i="1648" s="1"/>
  <c r="D29" i="1648"/>
  <c r="H13" i="1648" s="1"/>
  <c r="H15" i="1648" s="1"/>
  <c r="H29" i="1648" s="1"/>
  <c r="G51" i="1648" s="1"/>
  <c r="D29" i="1680"/>
  <c r="H13" i="1680" s="1"/>
  <c r="H15" i="1680" s="1"/>
  <c r="H29" i="1680" s="1"/>
  <c r="G51" i="1680" s="1"/>
  <c r="D29" i="1679"/>
  <c r="H13" i="1679" s="1"/>
  <c r="H15" i="1679" s="1"/>
  <c r="H29" i="1679" s="1"/>
  <c r="G51" i="1679"/>
  <c r="D29" i="1678"/>
  <c r="H13" i="1678" s="1"/>
  <c r="H15" i="1678" s="1"/>
  <c r="H29" i="1678" s="1"/>
  <c r="G51" i="1678"/>
  <c r="D29" i="1677"/>
  <c r="H13" i="1677" s="1"/>
  <c r="H15" i="1677" s="1"/>
  <c r="H29" i="1677" s="1"/>
  <c r="G51" i="1677" s="1"/>
  <c r="D29" i="1676"/>
  <c r="H13" i="1676" s="1"/>
  <c r="H15" i="1676" s="1"/>
  <c r="H29" i="1676" s="1"/>
  <c r="G51" i="1676" s="1"/>
  <c r="D29" i="1675"/>
  <c r="H13" i="1675" s="1"/>
  <c r="H15" i="1675" s="1"/>
  <c r="H29" i="1675" s="1"/>
  <c r="G51" i="1675"/>
  <c r="G51" i="1674"/>
  <c r="G51" i="1673"/>
  <c r="D29" i="1672"/>
  <c r="H13" i="1672" s="1"/>
  <c r="H15" i="1672" s="1"/>
  <c r="H29" i="1672" s="1"/>
  <c r="G51" i="1672" s="1"/>
  <c r="G51" i="1671"/>
  <c r="D29" i="1670"/>
  <c r="H13" i="1670" s="1"/>
  <c r="H15" i="1670" s="1"/>
  <c r="H29" i="1670" s="1"/>
  <c r="G51" i="1670" s="1"/>
  <c r="D29" i="1669"/>
  <c r="H13" i="1669" s="1"/>
  <c r="H15" i="1669" s="1"/>
  <c r="H29" i="1669" s="1"/>
  <c r="G51" i="1669" s="1"/>
  <c r="D29" i="1668"/>
  <c r="H13" i="1668" s="1"/>
  <c r="H15" i="1668" s="1"/>
  <c r="H29" i="1668" s="1"/>
  <c r="G51" i="1668" s="1"/>
  <c r="D29" i="1667"/>
  <c r="H13" i="1667" s="1"/>
  <c r="H15" i="1667" s="1"/>
  <c r="H29" i="1667" s="1"/>
  <c r="G51" i="1667"/>
  <c r="D29" i="1666"/>
  <c r="H13" i="1666" s="1"/>
  <c r="H15" i="1666" s="1"/>
  <c r="H29" i="1666" s="1"/>
  <c r="G51" i="1666"/>
  <c r="D29" i="1665"/>
  <c r="H13" i="1665" s="1"/>
  <c r="H15" i="1665" s="1"/>
  <c r="H29" i="1665" s="1"/>
  <c r="G51" i="1665" s="1"/>
  <c r="D29" i="1664"/>
  <c r="H13" i="1664" s="1"/>
  <c r="D29" i="1662"/>
  <c r="H13" i="1662" s="1"/>
  <c r="D29" i="1661"/>
  <c r="H13" i="1661" s="1"/>
  <c r="H15" i="1661" s="1"/>
  <c r="H29" i="1661" s="1"/>
  <c r="G51" i="1661" s="1"/>
  <c r="D29" i="1660"/>
  <c r="H13" i="1660" s="1"/>
  <c r="D29" i="1658"/>
  <c r="H13" i="1658" s="1"/>
  <c r="D29" i="1657"/>
  <c r="H13" i="1657" s="1"/>
  <c r="H15" i="1657" s="1"/>
  <c r="H29" i="1657" s="1"/>
  <c r="G51" i="1657"/>
  <c r="D29" i="1655"/>
  <c r="H13" i="1655" s="1"/>
  <c r="D29" i="1654"/>
  <c r="H13" i="1654" s="1"/>
  <c r="D29" i="1653"/>
  <c r="H13" i="1653" s="1"/>
  <c r="H15" i="1653" s="1"/>
  <c r="H29" i="1653" s="1"/>
  <c r="G51" i="1653" s="1"/>
  <c r="D29" i="1652"/>
  <c r="H13" i="1652" s="1"/>
  <c r="D29" i="1651"/>
  <c r="H13" i="1651" s="1"/>
  <c r="H15" i="1651" s="1"/>
  <c r="H29" i="1651" s="1"/>
  <c r="G51" i="1651" s="1"/>
  <c r="D29" i="1649"/>
  <c r="H13" i="1649" s="1"/>
  <c r="H15" i="1649" s="1"/>
  <c r="H29" i="1649" s="1"/>
  <c r="G51" i="1649" s="1"/>
  <c r="D29" i="1647"/>
  <c r="H13" i="1647" s="1"/>
  <c r="H15" i="1647" s="1"/>
  <c r="H29" i="1647" s="1"/>
  <c r="G51" i="1647" s="1"/>
  <c r="G51" i="1646"/>
  <c r="D29" i="1646"/>
  <c r="H13" i="1646" s="1"/>
  <c r="H15" i="1646" s="1"/>
  <c r="H29" i="1646" s="1"/>
  <c r="D29" i="1645"/>
  <c r="H13" i="1645" s="1"/>
  <c r="H15" i="1645" s="1"/>
  <c r="H29" i="1645" s="1"/>
  <c r="G51" i="1645" s="1"/>
  <c r="D50" i="1620"/>
  <c r="D49" i="1620"/>
  <c r="D48" i="1620"/>
  <c r="D46" i="1620"/>
  <c r="D45" i="1620"/>
  <c r="D44" i="1620"/>
  <c r="D42" i="1620"/>
  <c r="D41" i="1620"/>
  <c r="L8" i="1620"/>
  <c r="D8" i="1620" s="1"/>
  <c r="D40" i="1620"/>
  <c r="H39" i="1620"/>
  <c r="D39" i="1620"/>
  <c r="L9" i="1620"/>
  <c r="D9" i="1620" s="1"/>
  <c r="H38" i="1620"/>
  <c r="D38" i="1620"/>
  <c r="H37" i="1620"/>
  <c r="D37" i="1620"/>
  <c r="H36" i="1620"/>
  <c r="D36" i="1620"/>
  <c r="H35" i="1620"/>
  <c r="D35" i="1620"/>
  <c r="H34" i="1620"/>
  <c r="D34" i="1620"/>
  <c r="L23" i="1620"/>
  <c r="D23" i="1620" s="1"/>
  <c r="L11" i="1620"/>
  <c r="D11" i="1620" s="1"/>
  <c r="D28" i="1620"/>
  <c r="D27" i="1620"/>
  <c r="L26" i="1620"/>
  <c r="D26" i="1620"/>
  <c r="L25" i="1620"/>
  <c r="D25" i="1620"/>
  <c r="D24" i="1620"/>
  <c r="D22" i="1620"/>
  <c r="D21" i="1620"/>
  <c r="L20" i="1620"/>
  <c r="D20" i="1620"/>
  <c r="L19" i="1620"/>
  <c r="D19" i="1620" s="1"/>
  <c r="D18" i="1620"/>
  <c r="D17" i="1620"/>
  <c r="L16" i="1620"/>
  <c r="D16" i="1620" s="1"/>
  <c r="D15" i="1620"/>
  <c r="D14" i="1620"/>
  <c r="D13" i="1620"/>
  <c r="L12" i="1620"/>
  <c r="D12" i="1620" s="1"/>
  <c r="L10" i="1620"/>
  <c r="D10" i="1620" s="1"/>
  <c r="L7" i="1620"/>
  <c r="D7" i="1620"/>
  <c r="L6" i="1620"/>
  <c r="D6" i="1620"/>
  <c r="D50" i="1619"/>
  <c r="D49" i="1619"/>
  <c r="D48" i="1619"/>
  <c r="D46" i="1619"/>
  <c r="D45" i="1619"/>
  <c r="D44" i="1619"/>
  <c r="D42" i="1619"/>
  <c r="L7" i="1619"/>
  <c r="D7" i="1619" s="1"/>
  <c r="D41" i="1619"/>
  <c r="D40" i="1619"/>
  <c r="L20" i="1619"/>
  <c r="D20" i="1619" s="1"/>
  <c r="H39" i="1619"/>
  <c r="D39" i="1619"/>
  <c r="H38" i="1619"/>
  <c r="D38" i="1619"/>
  <c r="H37" i="1619"/>
  <c r="D37" i="1619"/>
  <c r="H36" i="1619"/>
  <c r="D36" i="1619"/>
  <c r="L19" i="1619"/>
  <c r="D19" i="1619" s="1"/>
  <c r="H35" i="1619"/>
  <c r="D35" i="1619"/>
  <c r="L12" i="1619"/>
  <c r="D12" i="1619" s="1"/>
  <c r="H34" i="1619"/>
  <c r="D34" i="1619"/>
  <c r="L23" i="1619"/>
  <c r="D23" i="1619" s="1"/>
  <c r="L11" i="1619"/>
  <c r="D11" i="1619" s="1"/>
  <c r="D28" i="1619"/>
  <c r="D27" i="1619"/>
  <c r="L26" i="1619"/>
  <c r="D26" i="1619"/>
  <c r="L25" i="1619"/>
  <c r="D25" i="1619"/>
  <c r="L24" i="1619"/>
  <c r="D24" i="1619"/>
  <c r="L22" i="1619"/>
  <c r="D22" i="1619" s="1"/>
  <c r="L17" i="1619"/>
  <c r="D17" i="1619" s="1"/>
  <c r="D21" i="1619"/>
  <c r="D18" i="1619"/>
  <c r="L16" i="1619"/>
  <c r="D16" i="1619" s="1"/>
  <c r="D15" i="1619"/>
  <c r="D14" i="1619"/>
  <c r="D13" i="1619"/>
  <c r="L10" i="1619"/>
  <c r="D10" i="1619"/>
  <c r="L9" i="1619"/>
  <c r="D9" i="1619"/>
  <c r="L8" i="1619"/>
  <c r="D8" i="1619"/>
  <c r="L6" i="1619"/>
  <c r="D6" i="1619"/>
  <c r="R52" i="1618"/>
  <c r="R51" i="1618"/>
  <c r="D50" i="1618"/>
  <c r="R49" i="1618"/>
  <c r="D49" i="1618"/>
  <c r="R48" i="1618"/>
  <c r="D48" i="1618"/>
  <c r="D46" i="1618"/>
  <c r="D45" i="1618"/>
  <c r="R44" i="1618"/>
  <c r="D44" i="1618"/>
  <c r="R42" i="1618"/>
  <c r="L6" i="1618" s="1"/>
  <c r="D6" i="1618" s="1"/>
  <c r="D42" i="1618"/>
  <c r="R41" i="1618"/>
  <c r="D41" i="1618"/>
  <c r="R40" i="1618"/>
  <c r="L8" i="1618" s="1"/>
  <c r="D8" i="1618" s="1"/>
  <c r="D40" i="1618"/>
  <c r="R39" i="1618"/>
  <c r="L20" i="1618" s="1"/>
  <c r="D20" i="1618" s="1"/>
  <c r="H39" i="1618"/>
  <c r="D39" i="1618"/>
  <c r="R38" i="1618"/>
  <c r="L9" i="1618" s="1"/>
  <c r="D9" i="1618" s="1"/>
  <c r="H38" i="1618"/>
  <c r="D38" i="1618"/>
  <c r="R37" i="1618"/>
  <c r="H37" i="1618"/>
  <c r="D37" i="1618"/>
  <c r="R36" i="1618"/>
  <c r="L10" i="1618" s="1"/>
  <c r="D10" i="1618" s="1"/>
  <c r="H36" i="1618"/>
  <c r="D36" i="1618"/>
  <c r="R35" i="1618"/>
  <c r="H35" i="1618"/>
  <c r="D35" i="1618"/>
  <c r="R34" i="1618"/>
  <c r="L12" i="1618" s="1"/>
  <c r="D12" i="1618" s="1"/>
  <c r="H34" i="1618"/>
  <c r="D34" i="1618"/>
  <c r="R33" i="1618"/>
  <c r="R32" i="1618"/>
  <c r="L11" i="1618" s="1"/>
  <c r="D11" i="1618" s="1"/>
  <c r="R31" i="1618"/>
  <c r="R30" i="1618"/>
  <c r="R29" i="1618"/>
  <c r="R28" i="1618"/>
  <c r="L16" i="1618" s="1"/>
  <c r="D16" i="1618" s="1"/>
  <c r="D28" i="1618"/>
  <c r="R27" i="1618"/>
  <c r="D27" i="1618"/>
  <c r="R26" i="1618"/>
  <c r="L26" i="1618"/>
  <c r="D26" i="1618" s="1"/>
  <c r="R25" i="1618"/>
  <c r="L25" i="1618"/>
  <c r="D25" i="1618"/>
  <c r="R24" i="1618"/>
  <c r="L24" i="1618"/>
  <c r="D24" i="1618" s="1"/>
  <c r="R23" i="1618"/>
  <c r="D23" i="1618"/>
  <c r="R22" i="1618"/>
  <c r="D22" i="1618"/>
  <c r="R21" i="1618"/>
  <c r="D21" i="1618"/>
  <c r="R20" i="1618"/>
  <c r="R19" i="1618"/>
  <c r="D19" i="1618"/>
  <c r="R18" i="1618"/>
  <c r="D18" i="1618"/>
  <c r="R17" i="1618"/>
  <c r="L17" i="1618"/>
  <c r="D17" i="1618" s="1"/>
  <c r="R16" i="1618"/>
  <c r="R15" i="1618"/>
  <c r="D15" i="1618"/>
  <c r="R14" i="1618"/>
  <c r="D14" i="1618"/>
  <c r="R13" i="1618"/>
  <c r="D13" i="1618"/>
  <c r="R12" i="1618"/>
  <c r="R11" i="1618"/>
  <c r="L7" i="1618"/>
  <c r="D7" i="1618" s="1"/>
  <c r="R6" i="1618"/>
  <c r="R5" i="1618"/>
  <c r="R4" i="1618"/>
  <c r="R52" i="1617"/>
  <c r="R51" i="1617"/>
  <c r="D50" i="1617"/>
  <c r="R49" i="1617"/>
  <c r="G49" i="1617"/>
  <c r="D49" i="1617"/>
  <c r="R48" i="1617"/>
  <c r="D48" i="1617"/>
  <c r="D46" i="1617"/>
  <c r="D45" i="1617"/>
  <c r="D44" i="1617"/>
  <c r="R42" i="1617"/>
  <c r="D42" i="1617"/>
  <c r="R41" i="1617"/>
  <c r="L7" i="1617" s="1"/>
  <c r="D7" i="1617" s="1"/>
  <c r="D41" i="1617"/>
  <c r="R40" i="1617"/>
  <c r="L8" i="1617" s="1"/>
  <c r="D8" i="1617" s="1"/>
  <c r="D40" i="1617"/>
  <c r="R39" i="1617"/>
  <c r="D39" i="1617"/>
  <c r="R38" i="1617"/>
  <c r="D38" i="1617"/>
  <c r="R37" i="1617"/>
  <c r="D37" i="1617"/>
  <c r="R36" i="1617"/>
  <c r="L10" i="1617" s="1"/>
  <c r="D10" i="1617" s="1"/>
  <c r="D36" i="1617"/>
  <c r="R35" i="1617"/>
  <c r="D35" i="1617"/>
  <c r="R34" i="1617"/>
  <c r="D34" i="1617"/>
  <c r="D54" i="1617" s="1"/>
  <c r="H14" i="1617" s="1"/>
  <c r="R33" i="1617"/>
  <c r="R32" i="1617"/>
  <c r="L11" i="1617" s="1"/>
  <c r="D11" i="1617" s="1"/>
  <c r="R31" i="1617"/>
  <c r="R30" i="1617"/>
  <c r="R29" i="1617"/>
  <c r="R28" i="1617"/>
  <c r="D28" i="1617"/>
  <c r="R27" i="1617"/>
  <c r="D27" i="1617"/>
  <c r="R26" i="1617"/>
  <c r="L26" i="1617"/>
  <c r="D26" i="1617"/>
  <c r="R25" i="1617"/>
  <c r="L25" i="1617"/>
  <c r="D25" i="1617"/>
  <c r="R24" i="1617"/>
  <c r="D24" i="1617"/>
  <c r="R23" i="1617"/>
  <c r="L23" i="1617"/>
  <c r="D23" i="1617"/>
  <c r="R22" i="1617"/>
  <c r="L22" i="1617"/>
  <c r="D22" i="1617"/>
  <c r="R21" i="1617"/>
  <c r="D21" i="1617"/>
  <c r="R20" i="1617"/>
  <c r="L20" i="1617"/>
  <c r="D20" i="1617"/>
  <c r="R19" i="1617"/>
  <c r="L19" i="1617"/>
  <c r="D19" i="1617"/>
  <c r="R18" i="1617"/>
  <c r="D18" i="1617"/>
  <c r="R17" i="1617"/>
  <c r="D17" i="1617"/>
  <c r="R16" i="1617"/>
  <c r="L16" i="1617"/>
  <c r="D16" i="1617" s="1"/>
  <c r="S15" i="1617"/>
  <c r="R15" i="1617"/>
  <c r="D15" i="1617"/>
  <c r="S14" i="1617"/>
  <c r="R14" i="1617"/>
  <c r="D14" i="1617"/>
  <c r="R13" i="1617"/>
  <c r="D13" i="1617"/>
  <c r="R12" i="1617"/>
  <c r="L12" i="1617"/>
  <c r="D12" i="1617"/>
  <c r="R11" i="1617"/>
  <c r="L9" i="1617"/>
  <c r="D9" i="1617"/>
  <c r="R6" i="1617"/>
  <c r="L6" i="1617"/>
  <c r="D6" i="1617"/>
  <c r="R5" i="1617"/>
  <c r="R4" i="1617"/>
  <c r="H15" i="1664" l="1"/>
  <c r="H29" i="1664" s="1"/>
  <c r="G51" i="1664" s="1"/>
  <c r="H15" i="1663"/>
  <c r="H29" i="1663" s="1"/>
  <c r="G51" i="1663" s="1"/>
  <c r="H15" i="1662"/>
  <c r="H29" i="1662" s="1"/>
  <c r="G51" i="1662" s="1"/>
  <c r="H15" i="1660"/>
  <c r="H29" i="1660" s="1"/>
  <c r="G51" i="1660" s="1"/>
  <c r="H15" i="1659"/>
  <c r="H29" i="1659" s="1"/>
  <c r="G51" i="1659" s="1"/>
  <c r="H15" i="1658"/>
  <c r="H29" i="1658" s="1"/>
  <c r="G51" i="1658" s="1"/>
  <c r="H15" i="1656"/>
  <c r="H29" i="1656" s="1"/>
  <c r="G51" i="1656" s="1"/>
  <c r="H15" i="1655"/>
  <c r="H29" i="1655" s="1"/>
  <c r="G51" i="1655" s="1"/>
  <c r="H15" i="1654"/>
  <c r="H29" i="1654" s="1"/>
  <c r="G51" i="1654" s="1"/>
  <c r="H15" i="1652"/>
  <c r="H29" i="1652" s="1"/>
  <c r="G51" i="1652" s="1"/>
  <c r="H15" i="1650"/>
  <c r="H29" i="1650" s="1"/>
  <c r="G51" i="1650" s="1"/>
  <c r="G49" i="1618"/>
  <c r="G49" i="1620"/>
  <c r="G49" i="1619"/>
  <c r="D54" i="1620"/>
  <c r="H14" i="1620" s="1"/>
  <c r="D54" i="1619"/>
  <c r="H14" i="1619" s="1"/>
  <c r="D54" i="1618"/>
  <c r="H14" i="1618" s="1"/>
  <c r="D29" i="1620"/>
  <c r="H13" i="1620" s="1"/>
  <c r="D29" i="1619"/>
  <c r="H13" i="1619" s="1"/>
  <c r="D29" i="1618"/>
  <c r="H13" i="1618" s="1"/>
  <c r="D29" i="1617"/>
  <c r="H13" i="1617" s="1"/>
  <c r="H15" i="1617" s="1"/>
  <c r="H29" i="1617" s="1"/>
  <c r="G51" i="1617" s="1"/>
  <c r="H15" i="1620" l="1"/>
  <c r="H29" i="1620" s="1"/>
  <c r="G51" i="1620" s="1"/>
  <c r="H15" i="1619"/>
  <c r="H29" i="1619" s="1"/>
  <c r="G51" i="1619" s="1"/>
  <c r="H15" i="1618"/>
  <c r="H29" i="1618" s="1"/>
  <c r="G51" i="1618" s="1"/>
</calcChain>
</file>

<file path=xl/sharedStrings.xml><?xml version="1.0" encoding="utf-8"?>
<sst xmlns="http://schemas.openxmlformats.org/spreadsheetml/2006/main" count="5542" uniqueCount="181">
  <si>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</si>
  <si>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</si>
  <si>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</si>
  <si>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</si>
  <si>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</si>
  <si>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</si>
  <si>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</si>
  <si>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</si>
  <si>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</si>
  <si>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</si>
  <si>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</si>
  <si>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</si>
  <si>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</si>
  <si>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</si>
  <si>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</si>
  <si>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</si>
  <si>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</si>
  <si>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</si>
  <si>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</si>
  <si>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</si>
  <si>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</si>
  <si>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</si>
  <si>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</si>
  <si>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</si>
  <si>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</si>
  <si>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</si>
  <si>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</si>
  <si>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</si>
  <si>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</si>
  <si>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</si>
  <si>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</si>
  <si>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</si>
  <si>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</si>
  <si>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</si>
  <si>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</si>
  <si>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</si>
  <si>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</si>
  <si>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</si>
  <si>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CALI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</si>
  <si>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</si>
  <si>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</si>
  <si>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</si>
  <si>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</si>
  <si>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</si>
  <si>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</si>
  <si>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</si>
  <si>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</si>
  <si>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</si>
  <si>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</si>
  <si>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</si>
  <si>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</si>
  <si>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</si>
  <si>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</si>
  <si>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</si>
  <si>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</si>
  <si>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</si>
  <si>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</si>
  <si>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</si>
  <si>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</si>
  <si>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</si>
  <si>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</si>
  <si>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</si>
  <si>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</si>
  <si>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</si>
  <si>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</si>
  <si>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</si>
  <si>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</si>
  <si>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</si>
  <si>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</si>
  <si>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</si>
  <si>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</si>
  <si>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</si>
  <si>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</si>
  <si>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</si>
  <si>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</si>
  <si>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</si>
  <si>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</si>
  <si>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</si>
  <si>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</si>
  <si>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</si>
  <si>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</si>
  <si>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</si>
  <si>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</si>
  <si>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</si>
  <si>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</si>
  <si>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</si>
  <si>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</si>
  <si>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</si>
  <si>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</si>
  <si>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</si>
  <si>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</si>
  <si>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</si>
  <si>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</si>
  <si>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PAMB</t>
  </si>
  <si>
    <t>CNB</t>
  </si>
  <si>
    <t>CIB</t>
  </si>
  <si>
    <t>FBLYC</t>
  </si>
  <si>
    <t>RHSL</t>
  </si>
  <si>
    <t>S.I. NO.</t>
  </si>
  <si>
    <t>LESS: CREDIT</t>
  </si>
  <si>
    <t>ADD: COLLECTION</t>
  </si>
  <si>
    <t>RH500C</t>
  </si>
  <si>
    <t>CHOCO LAGER CAN</t>
  </si>
  <si>
    <t>RED HORSE 500 CAN</t>
  </si>
  <si>
    <t>GE1000</t>
  </si>
  <si>
    <t>FBA BOTT.</t>
  </si>
  <si>
    <t>RED HORSE SUPER 1000</t>
  </si>
  <si>
    <t>SMLC/RHC</t>
  </si>
  <si>
    <t>SMFC</t>
  </si>
  <si>
    <t>CHOCO LAG</t>
  </si>
  <si>
    <t>HSC</t>
  </si>
  <si>
    <t>DANDAYO, RONNEL</t>
  </si>
  <si>
    <t>SALIG, JULIVEN</t>
  </si>
  <si>
    <t>PAMC</t>
  </si>
  <si>
    <t>ENCLONAR, JEROME</t>
  </si>
  <si>
    <t>SALIG, JOVANI</t>
  </si>
  <si>
    <t>SDC</t>
  </si>
  <si>
    <t>FBAC</t>
  </si>
  <si>
    <t xml:space="preserve">                            RONNEL DANDAYO</t>
  </si>
  <si>
    <t>ARANCES, MARIO</t>
  </si>
  <si>
    <t>OTHERS/PROMO</t>
  </si>
  <si>
    <t>RHS BOTT.</t>
  </si>
  <si>
    <t>PPC/RHC</t>
  </si>
  <si>
    <t>PL BOTT.</t>
  </si>
  <si>
    <t>RHSL BOTT.</t>
  </si>
  <si>
    <t>SMLC/PPC/RHC</t>
  </si>
  <si>
    <t>CC/CIC</t>
  </si>
  <si>
    <t>PAMC/CBC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</si>
  <si>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</si>
  <si>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</si>
  <si>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</si>
  <si>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</si>
  <si>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   ESTEMARK PORMENTO</t>
  </si>
  <si>
    <t>FBAC/FBLC</t>
  </si>
  <si>
    <t>GOMORA, JURLAN</t>
  </si>
  <si>
    <t>CC/CIC/C10C</t>
  </si>
  <si>
    <t>CBB</t>
  </si>
  <si>
    <t>CLC/SDC</t>
  </si>
  <si>
    <t>SMZB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</si>
  <si>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>)</t>
    </r>
    <r>
      <rPr>
        <sz val="11"/>
        <rFont val="Calibri"/>
        <family val="2"/>
        <scheme val="minor"/>
      </rPr>
      <t xml:space="preserve"> / OVER</t>
    </r>
  </si>
  <si>
    <t>GICA, GRACE B.</t>
  </si>
  <si>
    <t xml:space="preserve">                             GRACE B. GICA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</si>
  <si>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</si>
  <si>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</si>
  <si>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</si>
  <si>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t>1VB</t>
  </si>
  <si>
    <t>4820795</t>
  </si>
  <si>
    <t>BDO</t>
  </si>
  <si>
    <t>42937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</si>
  <si>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</si>
  <si>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SMLC/RHC/PPC</t>
  </si>
  <si>
    <t>144949</t>
  </si>
  <si>
    <t>42938</t>
  </si>
  <si>
    <t>G-CASH</t>
  </si>
  <si>
    <t>JOHN PASAMANTE</t>
  </si>
  <si>
    <t>LOPEZ, GINA</t>
  </si>
  <si>
    <t>PNB</t>
  </si>
  <si>
    <t>145675</t>
  </si>
  <si>
    <t>BANK TRANSFER</t>
  </si>
  <si>
    <t>BALWARTE</t>
  </si>
  <si>
    <t>135261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</si>
  <si>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</si>
  <si>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1ST VALLEY BANK</t>
  </si>
  <si>
    <t>47901</t>
  </si>
  <si>
    <t>4820800</t>
  </si>
  <si>
    <t>143397</t>
  </si>
  <si>
    <t>JMCC</t>
  </si>
  <si>
    <t>VILMA TAGULOB</t>
  </si>
  <si>
    <t>SMLB BOTT.</t>
  </si>
  <si>
    <t>FB BOTT.</t>
  </si>
  <si>
    <t>144962</t>
  </si>
  <si>
    <t>140911</t>
  </si>
  <si>
    <t>47909</t>
  </si>
  <si>
    <t>42941</t>
  </si>
  <si>
    <t>GRACE CHIONG</t>
  </si>
  <si>
    <t>JEROME ENCLONAR</t>
  </si>
  <si>
    <t>PORMAN NONOY</t>
  </si>
  <si>
    <t xml:space="preserve">SHORT / OVER </t>
  </si>
  <si>
    <t>LOPEZ, GINA GRACE A.</t>
  </si>
  <si>
    <t>1B</t>
  </si>
  <si>
    <t xml:space="preserve">                             GINA GRACE A. LOPEZ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</si>
</sst>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48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9" fillId="0" borderId="21" xfId="0" applyFont="1" applyBorder="1"/>
    <xf numFmtId="0" fontId="4" fillId="0" borderId="16" xfId="0" applyFont="1" applyFill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3" fillId="0" borderId="16" xfId="0" applyFont="1" applyBorder="1"/>
    <xf numFmtId="49" fontId="24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164" fontId="0" fillId="0" borderId="27" xfId="0" applyNumberFormat="1" applyBorder="1" applyAlignment="1">
      <alignment horizontal="center" vertical="center"/>
    </xf>
    <xf numFmtId="164" fontId="0" fillId="0" borderId="22" xfId="0" applyNumberFormat="1" applyBorder="1" applyAlignment="1">
      <alignment horizontal="center" vertical="center"/>
    </xf>
    <xf numFmtId="164" fontId="0" fillId="0" borderId="29" xfId="0" applyNumberFormat="1" applyBorder="1" applyAlignment="1">
      <alignment horizontal="center" vertical="center"/>
    </xf>
    <xf numFmtId="164" fontId="0" fillId="0" borderId="42" xfId="0" applyNumberFormat="1" applyBorder="1" applyAlignment="1">
      <alignment horizontal="center" vertical="center"/>
    </xf>
    <xf numFmtId="0" fontId="23" fillId="0" borderId="10" xfId="0" applyFont="1" applyBorder="1" applyAlignment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theme" Target="theme/theme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5E2AF8-C749-4947-A538-CDB9C3F24A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44F98BA-609D-4BDA-AF52-74B1D5DEAE7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151B4D6-27BD-43E0-9BF5-173133EDDC0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A4559C-8456-4797-9CD9-9CD87A7153E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60E7C3-1277-4022-BEC5-839F7D5D679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7E8A34-F0A3-4C3E-A795-2F22F7AFD0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88BC64-8BAD-4326-BFCF-CEED73E763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343A9EC-89A2-4834-A18B-72478773A3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0054E30-2D2B-4F41-99A7-9893D4F598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4ECCB8-89D8-4B2C-855D-15406F0EB0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B55680-4897-49D6-B802-88DC6BF257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F77CB6-118B-4525-B5D7-45F8914BCF2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3E523A4-C8DA-48A6-B948-FE16AB82DCC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6FA5CEC-779C-4B6A-A407-BE9ED1B0B4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5958B9-B199-4F10-91A3-389B9F9022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0707CFD-A374-40CD-B579-B4037E09EA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48CB93-7FB0-40EB-A81C-9EA4457082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E63E69A-8F44-48C4-9541-28941DC4C47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4FBB31-17A2-41E4-92D3-15B29D4557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B66B2F-3378-4EFD-A361-38ED865ED9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DCE24A-25E7-42F8-B151-3E362261CD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23CAD8B-76AE-4E9B-B88B-14AE66E19F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763EF41-5EE7-4366-AF41-22C8943605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647701</xdr:colOff>
      <xdr:row>53</xdr:row>
      <xdr:rowOff>23131</xdr:rowOff>
    </xdr:from>
    <xdr:to>
      <xdr:col>3</xdr:col>
      <xdr:colOff>514351</xdr:colOff>
      <xdr:row>59</xdr:row>
      <xdr:rowOff>123824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8FBAA89C-DFEC-4C98-BED9-5E5567367C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8201" y="10386331"/>
          <a:ext cx="1485900" cy="1243693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67D179-197A-4606-AEE5-38D4D6DDE4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0C2C7B-79AD-4077-B8BC-541A1422FE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F08E58F-0905-4173-9552-30DB6CA1E9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2D4CC8F-4FC2-43C1-80EE-4802819F2E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C868EF-81C0-4A97-B11B-94A1CB6140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214C4A4-6038-47EA-8590-65305C77FA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83F133-42FF-455F-8465-69C1EA2ABE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447EB3-E76A-421B-BC44-6FDEEFCE2C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BE9D7A2-6443-42B9-992F-18D8F97CBD9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5BB34D0-54A4-49BC-AE77-C92912B049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FE0EDD-963B-41B6-A3D7-DCEA4DE3858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4D06748-E591-4409-AD27-EC23C81EEC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217AB1-F1D0-4E1F-B680-28E4C9B561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4303AEB-FBE3-40DC-8F7E-FF1404C8F2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523875</xdr:colOff>
      <xdr:row>50</xdr:row>
      <xdr:rowOff>47625</xdr:rowOff>
    </xdr:from>
    <xdr:to>
      <xdr:col>3</xdr:col>
      <xdr:colOff>857250</xdr:colOff>
      <xdr:row>62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CA3889A-0856-4EAC-B0B4-A903CE0719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14375" y="9820275"/>
          <a:ext cx="1952625" cy="2286000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666751</xdr:colOff>
      <xdr:row>54</xdr:row>
      <xdr:rowOff>24203</xdr:rowOff>
    </xdr:from>
    <xdr:to>
      <xdr:col>3</xdr:col>
      <xdr:colOff>304801</xdr:colOff>
      <xdr:row>56</xdr:row>
      <xdr:rowOff>85725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DEE12F-A586-4502-8E13-BEF7DD14B5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57251" y="10577903"/>
          <a:ext cx="1257300" cy="44252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014934-73F4-4D3E-B85A-5AAFA14721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C44" sqref="C44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B1F021-A59F-4DF7-847B-486D304BF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87" t="s">
        <v>2</v>
      </c>
      <c r="Q1" s="8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88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85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3603C0-8A60-45BF-8795-C1318699A60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87" t="s">
        <v>2</v>
      </c>
      <c r="Q1" s="8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45658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/>
      <c r="D6" s="13">
        <f t="shared" ref="D6:D28" si="1">C6*L6</f>
        <v>0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/>
      <c r="D8" s="13">
        <f t="shared" si="1"/>
        <v>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85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88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85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95B9C-982B-4A48-BE38-866509822B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45658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88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85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86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66BE7-48CE-458D-AA89-CE10031A60C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45658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88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89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85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24DF68-5657-4670-896E-72A0E0EDF23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8389-AFAA-48C4-A744-D0F2E5BBB6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46024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/>
      <c r="D6" s="13">
        <f t="shared" ref="D6:D28" si="1">C6*L6</f>
        <v>0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/>
      <c r="D8" s="13">
        <f t="shared" si="1"/>
        <v>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7557C5-0FED-4EBF-9006-15F5BEE292E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46024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3444B-CD4A-4E72-81CD-52274C4982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46024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480</v>
      </c>
      <c r="D6" s="13">
        <f t="shared" ref="D6:D28" si="1">C6*L6</f>
        <v>365280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12</v>
      </c>
      <c r="D7" s="13">
        <f t="shared" si="1"/>
        <v>9372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75</v>
      </c>
      <c r="D9" s="13">
        <f t="shared" si="1"/>
        <v>54975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6</v>
      </c>
      <c r="D12" s="48">
        <f t="shared" si="1"/>
        <v>5952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4</v>
      </c>
      <c r="D13" s="48">
        <f t="shared" si="1"/>
        <v>1228</v>
      </c>
      <c r="F13" s="230" t="s">
        <v>36</v>
      </c>
      <c r="G13" s="194"/>
      <c r="H13" s="185">
        <f>D29</f>
        <v>443015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18</v>
      </c>
      <c r="D14" s="31">
        <f t="shared" si="1"/>
        <v>198</v>
      </c>
      <c r="F14" s="188" t="s">
        <v>39</v>
      </c>
      <c r="G14" s="189"/>
      <c r="H14" s="190">
        <f>D54</f>
        <v>77991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365024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1758+600+612</f>
        <v>2970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>
        <v>8</v>
      </c>
      <c r="D22" s="48">
        <f t="shared" si="1"/>
        <v>5360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443015</v>
      </c>
      <c r="F29" s="102" t="s">
        <v>55</v>
      </c>
      <c r="G29" s="164"/>
      <c r="H29" s="124">
        <f>H15-H16-H17-H18-H19-H20-H22-H23-H24+H26+H27</f>
        <v>362054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78</v>
      </c>
      <c r="H34" s="146">
        <f>F34*G34</f>
        <v>78000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87</v>
      </c>
      <c r="H35" s="146">
        <f>F35*G35</f>
        <v>43500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680</v>
      </c>
      <c r="D37" s="12">
        <f>C37*111</f>
        <v>75480</v>
      </c>
      <c r="F37" s="12">
        <v>100</v>
      </c>
      <c r="G37" s="39">
        <v>10</v>
      </c>
      <c r="H37" s="146">
        <f t="shared" si="2"/>
        <v>1000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>
        <v>1</v>
      </c>
      <c r="H38" s="146">
        <f t="shared" si="2"/>
        <v>50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21</v>
      </c>
      <c r="D39" s="31">
        <f>C39*4.5</f>
        <v>94.5</v>
      </c>
      <c r="F39" s="12">
        <v>20</v>
      </c>
      <c r="G39" s="37">
        <v>1</v>
      </c>
      <c r="H39" s="146">
        <f t="shared" si="2"/>
        <v>20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6</v>
      </c>
      <c r="D40" s="12">
        <f>C40*111</f>
        <v>666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6</v>
      </c>
      <c r="D41" s="12">
        <f>C41*84</f>
        <v>504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14</v>
      </c>
      <c r="D42" s="12">
        <f>C42*2.25</f>
        <v>31.5</v>
      </c>
      <c r="F42" s="39" t="s">
        <v>79</v>
      </c>
      <c r="G42" s="146">
        <v>47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4</v>
      </c>
      <c r="D44" s="12">
        <f>C44*120</f>
        <v>480</v>
      </c>
      <c r="F44" s="37" t="s">
        <v>145</v>
      </c>
      <c r="G44" s="76" t="s">
        <v>146</v>
      </c>
      <c r="H44" s="141">
        <v>54216</v>
      </c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>
        <v>1</v>
      </c>
      <c r="D45" s="12">
        <f>C45*84</f>
        <v>84</v>
      </c>
      <c r="F45" s="37" t="s">
        <v>147</v>
      </c>
      <c r="G45" s="76" t="s">
        <v>148</v>
      </c>
      <c r="H45" s="141">
        <v>188602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6</v>
      </c>
      <c r="D46" s="12">
        <f>C46*1.5</f>
        <v>9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3</v>
      </c>
      <c r="D48" s="12">
        <f>C48*78</f>
        <v>234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2</v>
      </c>
      <c r="D49" s="12">
        <f>C49*42</f>
        <v>84</v>
      </c>
      <c r="F49" s="122" t="s">
        <v>86</v>
      </c>
      <c r="G49" s="124">
        <f>H34+H35+H36+H37+H38+H39+H40+H41+G42+H44+H45+H46</f>
        <v>365435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24</v>
      </c>
      <c r="D50" s="12">
        <f>C50*1.5</f>
        <v>36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149</v>
      </c>
      <c r="G51" s="132">
        <f>G49-H29</f>
        <v>3381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77991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106466-6A08-49B7-83C4-E2FBCF77C3D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A9EA96-5FED-46CD-9385-2C27C434BC0E}">
  <dimension ref="A1:R59"/>
  <sheetViews>
    <sheetView zoomScaleNormal="100" zoomScaleSheetLayoutView="85" workbookViewId="0">
      <selection activeCell="L38" sqref="L38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43">
        <v>45660</v>
      </c>
      <c r="J4" s="244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45"/>
      <c r="J5" s="246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>
        <v>728</v>
      </c>
      <c r="D6" s="13">
        <f t="shared" ref="D6:D28" si="1">C6*L6</f>
        <v>554008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>
        <v>60</v>
      </c>
      <c r="D8" s="13">
        <f t="shared" si="1"/>
        <v>65580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>
        <v>9</v>
      </c>
      <c r="D9" s="13">
        <f t="shared" si="1"/>
        <v>6597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>
        <v>5</v>
      </c>
      <c r="D10" s="13">
        <f t="shared" si="1"/>
        <v>5160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>
        <v>16</v>
      </c>
      <c r="D11" s="13">
        <f t="shared" si="1"/>
        <v>18720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>
        <f>23+3</f>
        <v>26</v>
      </c>
      <c r="D12" s="48">
        <f t="shared" si="1"/>
        <v>25792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>
        <v>21</v>
      </c>
      <c r="D13" s="48">
        <f t="shared" si="1"/>
        <v>6447</v>
      </c>
      <c r="F13" s="230" t="s">
        <v>36</v>
      </c>
      <c r="G13" s="194"/>
      <c r="H13" s="185">
        <f>D29</f>
        <v>685162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>
        <v>17</v>
      </c>
      <c r="D14" s="31">
        <f t="shared" si="1"/>
        <v>187</v>
      </c>
      <c r="F14" s="188" t="s">
        <v>39</v>
      </c>
      <c r="G14" s="189"/>
      <c r="H14" s="190">
        <f>D54</f>
        <v>145168.5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>
        <v>1</v>
      </c>
      <c r="D15" s="31">
        <f t="shared" si="1"/>
        <v>620</v>
      </c>
      <c r="F15" s="193" t="s">
        <v>40</v>
      </c>
      <c r="G15" s="194"/>
      <c r="H15" s="195">
        <f>H13-H14</f>
        <v>539993.5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>
        <f>2772</f>
        <v>2772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>
        <v>1</v>
      </c>
      <c r="D28" s="48">
        <f t="shared" si="1"/>
        <v>811</v>
      </c>
      <c r="F28" s="93"/>
      <c r="G28" s="61"/>
      <c r="H28" s="182"/>
      <c r="I28" s="183"/>
      <c r="J28" s="184"/>
      <c r="L28" s="7"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685162</v>
      </c>
      <c r="F29" s="102" t="s">
        <v>55</v>
      </c>
      <c r="G29" s="164"/>
      <c r="H29" s="124">
        <f>H15-H16-H17-H18-H19-H20-H22-H23-H24+H26+H27+H28</f>
        <v>537221.5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18</v>
      </c>
      <c r="D34" s="30">
        <f>C34*120</f>
        <v>2160</v>
      </c>
      <c r="F34" s="12">
        <v>1000</v>
      </c>
      <c r="G34" s="40">
        <v>229</v>
      </c>
      <c r="H34" s="146">
        <f t="shared" ref="H34:H39" si="2">F34*G34</f>
        <v>229000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97</v>
      </c>
      <c r="H35" s="146">
        <f t="shared" si="2"/>
        <v>48500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1154</v>
      </c>
      <c r="D37" s="12">
        <f>C37*111</f>
        <v>128094</v>
      </c>
      <c r="F37" s="12">
        <v>100</v>
      </c>
      <c r="G37" s="39">
        <v>2</v>
      </c>
      <c r="H37" s="146">
        <f t="shared" si="2"/>
        <v>200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2</v>
      </c>
      <c r="D38" s="12">
        <f>C38*84</f>
        <v>168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16</v>
      </c>
      <c r="D39" s="31">
        <f>C39*4.5</f>
        <v>72</v>
      </c>
      <c r="F39" s="12">
        <v>20</v>
      </c>
      <c r="G39" s="37">
        <v>1</v>
      </c>
      <c r="H39" s="146">
        <f t="shared" si="2"/>
        <v>20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1</v>
      </c>
      <c r="D40" s="12">
        <f>C40*111</f>
        <v>111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107</v>
      </c>
      <c r="D44" s="12">
        <f>C44*120</f>
        <v>12840</v>
      </c>
      <c r="F44" s="37" t="s">
        <v>147</v>
      </c>
      <c r="G44" s="62" t="s">
        <v>151</v>
      </c>
      <c r="H44" s="141">
        <v>258954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20</v>
      </c>
      <c r="D48" s="12">
        <f>C48*78</f>
        <v>1560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1</v>
      </c>
      <c r="D49" s="12">
        <f>C49*42</f>
        <v>42</v>
      </c>
      <c r="F49" s="122" t="s">
        <v>86</v>
      </c>
      <c r="G49" s="124">
        <f>H34+H35+H36+H37+H38+H39+H40+H41+G42+H44+H45+H46</f>
        <v>536674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25</v>
      </c>
      <c r="D50" s="12">
        <f>C50*1.5</f>
        <v>37.5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-547.5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145168.5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FD24F4-C6AF-4BD5-A56B-562B7C6DE13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45660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23CDB-0E4E-4F8D-9CD8-0FDE4418508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45660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480</v>
      </c>
      <c r="D6" s="13">
        <f t="shared" ref="D6:D28" si="1">C6*L6</f>
        <v>365280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15</v>
      </c>
      <c r="D7" s="13">
        <f t="shared" si="1"/>
        <v>11715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2186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37</v>
      </c>
      <c r="D9" s="13">
        <f t="shared" si="1"/>
        <v>27121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3096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2340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10</v>
      </c>
      <c r="D13" s="48">
        <f t="shared" si="1"/>
        <v>3070</v>
      </c>
      <c r="F13" s="230" t="s">
        <v>36</v>
      </c>
      <c r="G13" s="194"/>
      <c r="H13" s="185">
        <f>D29</f>
        <v>419083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68183.25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f>1</f>
        <v>1</v>
      </c>
      <c r="D15" s="31">
        <f t="shared" si="1"/>
        <v>620</v>
      </c>
      <c r="F15" s="193" t="s">
        <v>40</v>
      </c>
      <c r="G15" s="194"/>
      <c r="H15" s="195">
        <f>H13-H14</f>
        <v>350899.75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216*6+140*6</f>
        <v>2136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f>4</f>
        <v>4</v>
      </c>
      <c r="D18" s="48">
        <f t="shared" si="1"/>
        <v>2480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 t="s">
        <v>154</v>
      </c>
      <c r="G22" s="73">
        <v>8243</v>
      </c>
      <c r="H22" s="171">
        <v>1440</v>
      </c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95" t="s">
        <v>150</v>
      </c>
      <c r="C23" s="10">
        <v>1</v>
      </c>
      <c r="D23" s="48">
        <f t="shared" si="1"/>
        <v>1175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820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419083</v>
      </c>
      <c r="F29" s="102" t="s">
        <v>55</v>
      </c>
      <c r="G29" s="164"/>
      <c r="H29" s="124">
        <f>H15-H16-H17-H18-H19-H20-H22-H23-H24+H26+H27</f>
        <v>347323.75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133</v>
      </c>
      <c r="H34" s="146">
        <f>F34*G34</f>
        <v>133000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58</v>
      </c>
      <c r="H35" s="146">
        <f>F35*G35</f>
        <v>29000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567</v>
      </c>
      <c r="D37" s="12">
        <f>C37*111</f>
        <v>62937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28</v>
      </c>
      <c r="D38" s="12">
        <f>C38*84</f>
        <v>2352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1</v>
      </c>
      <c r="D39" s="31">
        <f>C39*4.5</f>
        <v>4.5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9</v>
      </c>
      <c r="D40" s="12">
        <f>C40*111</f>
        <v>999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7</v>
      </c>
      <c r="D42" s="12">
        <f>C42*2.25</f>
        <v>15.75</v>
      </c>
      <c r="F42" s="39" t="s">
        <v>79</v>
      </c>
      <c r="G42" s="146">
        <v>24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6</v>
      </c>
      <c r="D44" s="12">
        <f>C44*120</f>
        <v>720</v>
      </c>
      <c r="F44" s="37" t="s">
        <v>147</v>
      </c>
      <c r="G44" s="76" t="s">
        <v>152</v>
      </c>
      <c r="H44" s="141">
        <v>139104</v>
      </c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>
        <v>2</v>
      </c>
      <c r="D45" s="12">
        <f>C45*84</f>
        <v>168</v>
      </c>
      <c r="F45" s="37" t="s">
        <v>153</v>
      </c>
      <c r="G45" s="76"/>
      <c r="H45" s="141">
        <v>45689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19</v>
      </c>
      <c r="D46" s="12">
        <f>C46*1.5</f>
        <v>28.5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1</v>
      </c>
      <c r="D49" s="12">
        <f>C49*42</f>
        <v>42</v>
      </c>
      <c r="F49" s="122" t="s">
        <v>86</v>
      </c>
      <c r="G49" s="124">
        <f>H34+H35+H36+H37+H38+H39+H40+H41+G42+H44+H45+H46</f>
        <v>346817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7</v>
      </c>
      <c r="D50" s="12">
        <f>C50*1.5</f>
        <v>10.5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-506.75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68183.25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482200-CFCC-42CF-BDB1-79F1895BAFA4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8C2B7-E6D8-421C-A10E-78B57F50A68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45662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>
        <v>463</v>
      </c>
      <c r="D6" s="13">
        <f t="shared" ref="D6:D28" si="1">C6*L6</f>
        <v>352343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>
        <v>7</v>
      </c>
      <c r="D7" s="13">
        <f t="shared" si="1"/>
        <v>5467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>
        <v>2</v>
      </c>
      <c r="D8" s="13">
        <f t="shared" si="1"/>
        <v>2186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>
        <f>120-5</f>
        <v>115</v>
      </c>
      <c r="D9" s="13">
        <f t="shared" si="1"/>
        <v>84295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>
        <v>2</v>
      </c>
      <c r="D10" s="13">
        <f t="shared" si="1"/>
        <v>2064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>
        <v>2</v>
      </c>
      <c r="D11" s="13">
        <f t="shared" si="1"/>
        <v>2340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>
        <v>2</v>
      </c>
      <c r="D12" s="48">
        <f t="shared" si="1"/>
        <v>1984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>
        <v>24</v>
      </c>
      <c r="D13" s="48">
        <f t="shared" si="1"/>
        <v>7368</v>
      </c>
      <c r="F13" s="230" t="s">
        <v>36</v>
      </c>
      <c r="G13" s="194"/>
      <c r="H13" s="185">
        <f>D29</f>
        <v>463474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>
        <v>12</v>
      </c>
      <c r="D14" s="31">
        <f t="shared" si="1"/>
        <v>132</v>
      </c>
      <c r="F14" s="188" t="s">
        <v>39</v>
      </c>
      <c r="G14" s="189"/>
      <c r="H14" s="190">
        <f>D54</f>
        <v>115968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347506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>
        <f>2592</f>
        <v>2592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>
        <v>2</v>
      </c>
      <c r="D18" s="48">
        <f t="shared" si="1"/>
        <v>1240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 t="s">
        <v>159</v>
      </c>
      <c r="G22" s="73">
        <v>8315</v>
      </c>
      <c r="H22" s="171">
        <v>92560</v>
      </c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 t="s">
        <v>159</v>
      </c>
      <c r="G26" s="65">
        <v>8042</v>
      </c>
      <c r="H26" s="141">
        <v>84449</v>
      </c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>
        <v>5</v>
      </c>
      <c r="D28" s="48">
        <f t="shared" si="1"/>
        <v>4055</v>
      </c>
      <c r="F28" s="93"/>
      <c r="G28" s="61"/>
      <c r="H28" s="182"/>
      <c r="I28" s="183"/>
      <c r="J28" s="18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463474</v>
      </c>
      <c r="F29" s="102" t="s">
        <v>55</v>
      </c>
      <c r="G29" s="164"/>
      <c r="H29" s="124">
        <f>H15-H16-H17-H18-H19-H20-H22-H23-H24+H26+H27+H28</f>
        <v>336803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40">
        <v>19</v>
      </c>
      <c r="H34" s="146">
        <f t="shared" ref="H34:H39" si="2">F34*G34</f>
        <v>19000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</v>
      </c>
      <c r="H35" s="146">
        <f t="shared" si="2"/>
        <v>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11</v>
      </c>
      <c r="D36" s="12">
        <f>C36*1.5</f>
        <v>16.5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1013</v>
      </c>
      <c r="D37" s="12">
        <f>C37*111</f>
        <v>112443</v>
      </c>
      <c r="F37" s="12">
        <v>100</v>
      </c>
      <c r="G37" s="39">
        <v>3</v>
      </c>
      <c r="H37" s="146">
        <f t="shared" si="2"/>
        <v>300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2</v>
      </c>
      <c r="H38" s="146">
        <f t="shared" si="2"/>
        <v>100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7</v>
      </c>
      <c r="D40" s="12">
        <f>C40*111</f>
        <v>777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>
        <v>8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5</v>
      </c>
      <c r="D44" s="12">
        <f>C44*120</f>
        <v>600</v>
      </c>
      <c r="F44" s="37" t="s">
        <v>147</v>
      </c>
      <c r="G44" s="62" t="s">
        <v>157</v>
      </c>
      <c r="H44" s="141">
        <v>188388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>
        <v>4</v>
      </c>
      <c r="D45" s="12">
        <f>C45*84</f>
        <v>336</v>
      </c>
      <c r="F45" s="37" t="s">
        <v>156</v>
      </c>
      <c r="G45" s="96" t="s">
        <v>158</v>
      </c>
      <c r="H45" s="141">
        <v>84449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21</v>
      </c>
      <c r="D46" s="12">
        <f>C46*1.5</f>
        <v>31.5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1</v>
      </c>
      <c r="D49" s="12">
        <f>C49*42</f>
        <v>42</v>
      </c>
      <c r="F49" s="122" t="s">
        <v>86</v>
      </c>
      <c r="G49" s="124">
        <f>H34+H35+H36+H37+H38+H39+H40+H41+G42+H44+H45+H46</f>
        <v>292745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22</v>
      </c>
      <c r="D50" s="12">
        <f>C50*1.5</f>
        <v>33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-44058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115968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B4E513-35E2-436E-AD64-FF7682C2A9B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45662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501</v>
      </c>
      <c r="D6" s="13">
        <f t="shared" ref="D6:D28" si="1">C6*L6</f>
        <v>381261</v>
      </c>
      <c r="F6" s="209" t="s">
        <v>16</v>
      </c>
      <c r="G6" s="211" t="s">
        <v>155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8</v>
      </c>
      <c r="D9" s="13">
        <f t="shared" si="1"/>
        <v>5864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18</v>
      </c>
      <c r="D13" s="48">
        <f t="shared" si="1"/>
        <v>5526</v>
      </c>
      <c r="F13" s="230" t="s">
        <v>36</v>
      </c>
      <c r="G13" s="194"/>
      <c r="H13" s="185">
        <f>D29</f>
        <v>392761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10</v>
      </c>
      <c r="D14" s="31">
        <f t="shared" si="1"/>
        <v>110</v>
      </c>
      <c r="F14" s="188" t="s">
        <v>39</v>
      </c>
      <c r="G14" s="189"/>
      <c r="H14" s="190">
        <f>D54</f>
        <v>57342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335419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1296+1284</f>
        <v>2580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392761</v>
      </c>
      <c r="F29" s="102" t="s">
        <v>55</v>
      </c>
      <c r="G29" s="164"/>
      <c r="H29" s="124">
        <f>H15-H16-H17-H18-H19-H20-H22-H23-H24+H26+H27</f>
        <v>332839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186</v>
      </c>
      <c r="H34" s="146">
        <f>F34*G34</f>
        <v>186000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13</v>
      </c>
      <c r="H35" s="146">
        <f t="shared" ref="H35:H39" si="2">F35*G35</f>
        <v>6500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509</v>
      </c>
      <c r="D37" s="12">
        <f>C37*111</f>
        <v>56499</v>
      </c>
      <c r="F37" s="12">
        <v>100</v>
      </c>
      <c r="G37" s="39">
        <v>3</v>
      </c>
      <c r="H37" s="146">
        <f t="shared" si="2"/>
        <v>300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>
        <v>1</v>
      </c>
      <c r="H38" s="146">
        <f t="shared" si="2"/>
        <v>50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>
        <v>32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 t="s">
        <v>147</v>
      </c>
      <c r="G44" s="62" t="s">
        <v>160</v>
      </c>
      <c r="H44" s="141">
        <v>139756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6</v>
      </c>
      <c r="D49" s="12">
        <f>C49*42</f>
        <v>252</v>
      </c>
      <c r="F49" s="122" t="s">
        <v>86</v>
      </c>
      <c r="G49" s="124">
        <f>H34+H35+H36+H37+H38+H39+H40+H41+G42+H44+H45+H46</f>
        <v>332638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30</v>
      </c>
      <c r="D50" s="12">
        <f>C50*1.5</f>
        <v>45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161</v>
      </c>
      <c r="G51" s="231">
        <f>G49-H29</f>
        <v>-201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57342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FC99D-FE27-483E-A38C-5058B5372F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45662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735</v>
      </c>
      <c r="D6" s="13">
        <f t="shared" ref="D6:D28" si="1">C6*L6</f>
        <v>559335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4</v>
      </c>
      <c r="D7" s="13">
        <f t="shared" si="1"/>
        <v>3124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1</v>
      </c>
      <c r="D8" s="13">
        <f t="shared" si="1"/>
        <v>1093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114</v>
      </c>
      <c r="D9" s="13">
        <f t="shared" si="1"/>
        <v>83562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3</v>
      </c>
      <c r="D10" s="13">
        <f t="shared" si="1"/>
        <v>3096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>
        <v>2</v>
      </c>
      <c r="D11" s="13">
        <f t="shared" si="1"/>
        <v>2340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f>5+1</f>
        <v>6</v>
      </c>
      <c r="D12" s="48">
        <f t="shared" si="1"/>
        <v>5952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22</v>
      </c>
      <c r="D13" s="48">
        <f t="shared" si="1"/>
        <v>6754</v>
      </c>
      <c r="F13" s="230" t="s">
        <v>36</v>
      </c>
      <c r="G13" s="194"/>
      <c r="H13" s="185">
        <f>D29</f>
        <v>667630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12</v>
      </c>
      <c r="D14" s="31">
        <f t="shared" si="1"/>
        <v>132</v>
      </c>
      <c r="F14" s="188" t="s">
        <v>39</v>
      </c>
      <c r="G14" s="189"/>
      <c r="H14" s="190">
        <f>D54</f>
        <v>100451.25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567178.75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600+1050+456</f>
        <v>2106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>
        <v>1</v>
      </c>
      <c r="D18" s="48">
        <f t="shared" si="1"/>
        <v>620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>
        <v>50</v>
      </c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2</v>
      </c>
      <c r="D28" s="48">
        <f t="shared" si="1"/>
        <v>1622</v>
      </c>
      <c r="F28" s="93"/>
      <c r="G28" s="61"/>
      <c r="H28" s="182"/>
      <c r="I28" s="183"/>
      <c r="J28" s="18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667630</v>
      </c>
      <c r="F29" s="102" t="s">
        <v>55</v>
      </c>
      <c r="G29" s="164"/>
      <c r="H29" s="124">
        <f>H15-H16-H17-H18-H19-H20-H22-H23-H24+H26+H27</f>
        <v>565022.75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2</v>
      </c>
      <c r="D34" s="30">
        <f>C34*120</f>
        <v>240</v>
      </c>
      <c r="F34" s="12">
        <v>1000</v>
      </c>
      <c r="G34" s="74">
        <v>242</v>
      </c>
      <c r="H34" s="146">
        <f>F34*G34</f>
        <v>242000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>
        <v>1</v>
      </c>
      <c r="D35" s="30">
        <f>C35*84</f>
        <v>84</v>
      </c>
      <c r="F35" s="58">
        <v>500</v>
      </c>
      <c r="G35" s="41">
        <v>135</v>
      </c>
      <c r="H35" s="146">
        <f>F35*G35</f>
        <v>67500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853</v>
      </c>
      <c r="D37" s="12">
        <f>C37*111</f>
        <v>94683</v>
      </c>
      <c r="F37" s="12">
        <v>100</v>
      </c>
      <c r="G37" s="39">
        <v>10</v>
      </c>
      <c r="H37" s="146">
        <f t="shared" si="2"/>
        <v>1000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1</v>
      </c>
      <c r="H38" s="146">
        <f t="shared" si="2"/>
        <v>50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4</v>
      </c>
      <c r="D39" s="31">
        <f>C39*4.5</f>
        <v>18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22</v>
      </c>
      <c r="D40" s="12">
        <f>C40*111</f>
        <v>2442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9</v>
      </c>
      <c r="D42" s="12">
        <f>C42*2.25</f>
        <v>20.25</v>
      </c>
      <c r="F42" s="39" t="s">
        <v>79</v>
      </c>
      <c r="G42" s="146">
        <v>58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8</v>
      </c>
      <c r="D44" s="12">
        <f>C44*120</f>
        <v>960</v>
      </c>
      <c r="F44" s="37" t="s">
        <v>147</v>
      </c>
      <c r="G44" s="76" t="s">
        <v>163</v>
      </c>
      <c r="H44" s="141">
        <v>112763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>
        <v>3</v>
      </c>
      <c r="D45" s="12">
        <f>C45*84</f>
        <v>252</v>
      </c>
      <c r="F45" s="97" t="s">
        <v>162</v>
      </c>
      <c r="G45" s="76" t="s">
        <v>164</v>
      </c>
      <c r="H45" s="141">
        <v>142785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4</v>
      </c>
      <c r="D46" s="12">
        <f>C46*1.5</f>
        <v>6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7</v>
      </c>
      <c r="D48" s="12">
        <f>C48*78</f>
        <v>546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12</v>
      </c>
      <c r="D49" s="12">
        <f>C49*42</f>
        <v>504</v>
      </c>
      <c r="F49" s="122" t="s">
        <v>86</v>
      </c>
      <c r="G49" s="124">
        <f>H34+H35+H36+H37+H38+H39+H40+H41+G42+H44+H45+H46</f>
        <v>566156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15</v>
      </c>
      <c r="D50" s="12">
        <f>C50*1.5</f>
        <v>22.5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149</v>
      </c>
      <c r="G51" s="132">
        <f>G49-H29</f>
        <v>1133.25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100451.25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BFF7F-3EE5-4E6C-9A10-7EFD9C0D88FC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F35C8-4A98-49E5-AB0F-A1AB14D62548}">
  <dimension ref="A1:R59"/>
  <sheetViews>
    <sheetView zoomScaleNormal="100" zoomScaleSheetLayoutView="85" workbookViewId="0">
      <selection activeCell="L23" sqref="L2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>
        <v>633</v>
      </c>
      <c r="D6" s="13">
        <f t="shared" ref="D6:D28" si="1">C6*L6</f>
        <v>481713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>
        <v>2</v>
      </c>
      <c r="D7" s="13">
        <f t="shared" si="1"/>
        <v>1562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>
        <v>1</v>
      </c>
      <c r="D8" s="13">
        <f t="shared" si="1"/>
        <v>1093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>
        <v>27</v>
      </c>
      <c r="D9" s="13">
        <f t="shared" si="1"/>
        <v>19791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>
        <v>1</v>
      </c>
      <c r="D10" s="13">
        <f t="shared" si="1"/>
        <v>1032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>
        <v>1</v>
      </c>
      <c r="D12" s="48">
        <f t="shared" si="1"/>
        <v>992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>
        <v>9</v>
      </c>
      <c r="D13" s="48">
        <f t="shared" si="1"/>
        <v>2763</v>
      </c>
      <c r="F13" s="230" t="s">
        <v>36</v>
      </c>
      <c r="G13" s="194"/>
      <c r="H13" s="185">
        <f>D29</f>
        <v>509943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74673.75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435269.25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169</v>
      </c>
      <c r="C23" s="84">
        <v>12</v>
      </c>
      <c r="D23" s="48">
        <f t="shared" si="1"/>
        <v>454</v>
      </c>
      <c r="F23" s="77"/>
      <c r="G23" s="79"/>
      <c r="H23" s="237"/>
      <c r="I23" s="238"/>
      <c r="J23" s="23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509943</v>
      </c>
      <c r="F29" s="102" t="s">
        <v>55</v>
      </c>
      <c r="G29" s="164"/>
      <c r="H29" s="124">
        <f>H15-H16-H17-H18-H19-H20-H22-H23-H24+H26+H27+H28</f>
        <v>435269.25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225</v>
      </c>
      <c r="H34" s="146">
        <f t="shared" ref="H34:H39" si="2">F34*G34</f>
        <v>225000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300</v>
      </c>
      <c r="H35" s="146">
        <f t="shared" si="2"/>
        <v>150000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6">
        <f t="shared" si="2"/>
        <v>200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641</v>
      </c>
      <c r="D37" s="12">
        <f>C37*111</f>
        <v>71151</v>
      </c>
      <c r="F37" s="12">
        <v>100</v>
      </c>
      <c r="G37" s="39">
        <v>36</v>
      </c>
      <c r="H37" s="146">
        <f t="shared" si="2"/>
        <v>3600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12</v>
      </c>
      <c r="D38" s="12">
        <f>C38*84</f>
        <v>1008</v>
      </c>
      <c r="F38" s="30">
        <v>50</v>
      </c>
      <c r="G38" s="39">
        <v>10</v>
      </c>
      <c r="H38" s="146">
        <f t="shared" si="2"/>
        <v>500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9</v>
      </c>
      <c r="D39" s="31">
        <f>C39*4.5</f>
        <v>40.5</v>
      </c>
      <c r="F39" s="12">
        <v>20</v>
      </c>
      <c r="G39" s="37">
        <v>1</v>
      </c>
      <c r="H39" s="146">
        <f t="shared" si="2"/>
        <v>20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12</v>
      </c>
      <c r="D40" s="12">
        <f>C40*111</f>
        <v>1332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2</v>
      </c>
      <c r="D41" s="12">
        <f>C41*84</f>
        <v>168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6">
        <v>72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3</v>
      </c>
      <c r="D44" s="12">
        <f>C44*120</f>
        <v>360</v>
      </c>
      <c r="F44" s="37" t="s">
        <v>153</v>
      </c>
      <c r="G44" s="62"/>
      <c r="H44" s="141">
        <v>56000</v>
      </c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>
        <v>1</v>
      </c>
      <c r="D45" s="12">
        <f>C45*84</f>
        <v>84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3</v>
      </c>
      <c r="D46" s="12">
        <f>C46*1.5</f>
        <v>4.5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6</v>
      </c>
      <c r="D48" s="12">
        <f>C48*78</f>
        <v>468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435392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22</v>
      </c>
      <c r="D50" s="12">
        <f>C50*1.5</f>
        <v>33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149</v>
      </c>
      <c r="G51" s="132">
        <f>G49-H29</f>
        <v>122.75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74673.75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5D703-BF79-43EA-99D6-F42943139D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581</v>
      </c>
      <c r="D6" s="13">
        <f t="shared" ref="D6:D28" si="1">C6*L6</f>
        <v>442141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3</v>
      </c>
      <c r="D7" s="13">
        <f t="shared" si="1"/>
        <v>2343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41</v>
      </c>
      <c r="D9" s="13">
        <f t="shared" si="1"/>
        <v>30053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2</v>
      </c>
      <c r="D12" s="48">
        <f t="shared" si="1"/>
        <v>1984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17</v>
      </c>
      <c r="D13" s="48">
        <f t="shared" si="1"/>
        <v>5219</v>
      </c>
      <c r="F13" s="230" t="s">
        <v>36</v>
      </c>
      <c r="G13" s="194"/>
      <c r="H13" s="185">
        <f>D29</f>
        <v>486638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</v>
      </c>
      <c r="D14" s="31">
        <f t="shared" si="1"/>
        <v>11</v>
      </c>
      <c r="F14" s="188" t="s">
        <v>39</v>
      </c>
      <c r="G14" s="189"/>
      <c r="H14" s="190">
        <f>D54</f>
        <v>85668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>
        <v>1</v>
      </c>
      <c r="D15" s="31">
        <f t="shared" si="1"/>
        <v>620</v>
      </c>
      <c r="F15" s="193" t="s">
        <v>40</v>
      </c>
      <c r="G15" s="194"/>
      <c r="H15" s="195">
        <f>H13-H14</f>
        <v>400970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324*6+201*6</f>
        <v>3150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10">
        <f>3+1</f>
        <v>4</v>
      </c>
      <c r="D21" s="48">
        <f t="shared" si="1"/>
        <v>2600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 t="s">
        <v>166</v>
      </c>
      <c r="G22" s="73">
        <v>8133</v>
      </c>
      <c r="H22" s="171">
        <v>131647</v>
      </c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>
        <v>1</v>
      </c>
      <c r="D24" s="48">
        <f t="shared" si="1"/>
        <v>1667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486638</v>
      </c>
      <c r="F29" s="102" t="s">
        <v>55</v>
      </c>
      <c r="G29" s="164"/>
      <c r="H29" s="124">
        <f>H15-H16-H17-H18-H19-H20-H22-H23-H24+H26+H27</f>
        <v>266173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39</v>
      </c>
      <c r="H34" s="146">
        <f>F34*G34</f>
        <v>39000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45</v>
      </c>
      <c r="H35" s="146">
        <f t="shared" ref="H35:H37" si="2">F35*G35</f>
        <v>22500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1</v>
      </c>
      <c r="H36" s="146">
        <f>F36*G36</f>
        <v>200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758</v>
      </c>
      <c r="D37" s="12">
        <f>C37*111</f>
        <v>84138</v>
      </c>
      <c r="F37" s="12">
        <v>100</v>
      </c>
      <c r="G37" s="39">
        <v>40</v>
      </c>
      <c r="H37" s="146">
        <f t="shared" si="2"/>
        <v>4000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1</v>
      </c>
      <c r="D38" s="12">
        <f>C38*84</f>
        <v>84</v>
      </c>
      <c r="F38" s="30">
        <v>50</v>
      </c>
      <c r="G38" s="39">
        <v>6</v>
      </c>
      <c r="H38" s="146">
        <f t="shared" ref="H38:H39" si="3">F38*G38</f>
        <v>300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>
        <v>1</v>
      </c>
      <c r="H39" s="146">
        <f t="shared" si="3"/>
        <v>20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2</v>
      </c>
      <c r="D40" s="12">
        <f>C40*111</f>
        <v>222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2</v>
      </c>
      <c r="D42" s="12">
        <f>C42*2.25</f>
        <v>4.5</v>
      </c>
      <c r="F42" s="39" t="s">
        <v>79</v>
      </c>
      <c r="G42" s="146">
        <v>18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3</v>
      </c>
      <c r="D44" s="12">
        <f>C44*120</f>
        <v>360</v>
      </c>
      <c r="F44" s="37" t="s">
        <v>147</v>
      </c>
      <c r="G44" s="62" t="s">
        <v>165</v>
      </c>
      <c r="H44" s="141">
        <v>198198</v>
      </c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24</v>
      </c>
      <c r="D46" s="12">
        <f>C46*1.5</f>
        <v>36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8</v>
      </c>
      <c r="D48" s="12">
        <f>C48*78</f>
        <v>624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2</v>
      </c>
      <c r="D49" s="12">
        <f>C49*42</f>
        <v>84</v>
      </c>
      <c r="F49" s="122" t="s">
        <v>86</v>
      </c>
      <c r="G49" s="124">
        <f>H34+H35+H36+H37+H38+H39+H40+H41+G42+H44+H45+H46</f>
        <v>264236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21</v>
      </c>
      <c r="D50" s="12">
        <f>C50*1.5</f>
        <v>31.5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161</v>
      </c>
      <c r="G51" s="231">
        <f>G49-H29</f>
        <v>-1937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85668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4146DD-CFF6-4F84-82C8-DDA2C84A40E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45663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f>614-273</f>
        <v>341</v>
      </c>
      <c r="D6" s="13">
        <f t="shared" ref="D6:D28" si="1">C6*L6</f>
        <v>259501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</v>
      </c>
      <c r="D7" s="13">
        <f t="shared" si="1"/>
        <v>781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13</v>
      </c>
      <c r="D9" s="13">
        <f t="shared" si="1"/>
        <v>9529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v>3</v>
      </c>
      <c r="D12" s="48">
        <f t="shared" si="1"/>
        <v>2976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2</v>
      </c>
      <c r="D13" s="48">
        <f t="shared" si="1"/>
        <v>614</v>
      </c>
      <c r="F13" s="230" t="s">
        <v>36</v>
      </c>
      <c r="G13" s="194"/>
      <c r="H13" s="185">
        <f>D29</f>
        <v>275314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8</v>
      </c>
      <c r="D14" s="31">
        <f t="shared" si="1"/>
        <v>88</v>
      </c>
      <c r="F14" s="188" t="s">
        <v>39</v>
      </c>
      <c r="G14" s="189"/>
      <c r="H14" s="190">
        <f>D54</f>
        <v>52389.75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222924.25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268*6+51*6</f>
        <v>1914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>
        <v>1</v>
      </c>
      <c r="D21" s="48">
        <f t="shared" si="1"/>
        <v>650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 t="s">
        <v>167</v>
      </c>
      <c r="G22" s="73">
        <v>7798</v>
      </c>
      <c r="H22" s="171">
        <v>173644</v>
      </c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>
        <v>1</v>
      </c>
      <c r="D23" s="48">
        <f t="shared" si="1"/>
        <v>1175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275314</v>
      </c>
      <c r="F29" s="102" t="s">
        <v>55</v>
      </c>
      <c r="G29" s="164"/>
      <c r="H29" s="124">
        <f>H15-H16-H17-H18-H19-H20-H22-H23-H24+H26+H27</f>
        <v>47366.25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26</v>
      </c>
      <c r="H34" s="146">
        <f>F34*G34</f>
        <v>26000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35</v>
      </c>
      <c r="H35" s="146">
        <f>F35*G35</f>
        <v>17500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>
        <v>1</v>
      </c>
      <c r="D36" s="12">
        <f>C36*1.5</f>
        <v>1.5</v>
      </c>
      <c r="F36" s="12">
        <v>200</v>
      </c>
      <c r="G36" s="37">
        <v>1</v>
      </c>
      <c r="H36" s="146">
        <f t="shared" ref="H36:H39" si="2">F36*G36</f>
        <v>200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439</v>
      </c>
      <c r="D37" s="12">
        <f>C37*111</f>
        <v>48729</v>
      </c>
      <c r="F37" s="12">
        <v>100</v>
      </c>
      <c r="G37" s="39">
        <v>34</v>
      </c>
      <c r="H37" s="146">
        <f t="shared" si="2"/>
        <v>3400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3</v>
      </c>
      <c r="D38" s="12">
        <f>C38*84</f>
        <v>252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25</v>
      </c>
      <c r="D40" s="12">
        <f>C40*111</f>
        <v>2775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11</v>
      </c>
      <c r="D42" s="12">
        <f>C42*2.25</f>
        <v>24.75</v>
      </c>
      <c r="F42" s="39" t="s">
        <v>79</v>
      </c>
      <c r="G42" s="146">
        <v>142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2</v>
      </c>
      <c r="D44" s="12">
        <f>C44*120</f>
        <v>240</v>
      </c>
      <c r="F44" s="37"/>
      <c r="G44" s="76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7</v>
      </c>
      <c r="D46" s="12">
        <f>C46*1.5</f>
        <v>10.5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1</v>
      </c>
      <c r="D48" s="12">
        <f>C48*78</f>
        <v>78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1</v>
      </c>
      <c r="D49" s="12">
        <f>C49*42</f>
        <v>42</v>
      </c>
      <c r="F49" s="122" t="s">
        <v>86</v>
      </c>
      <c r="G49" s="124">
        <f>H34+H35+H36+H37+H38+H39+H40+H41+G42+H44+H45+H46</f>
        <v>47242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16</v>
      </c>
      <c r="D50" s="12">
        <f>C50*1.5</f>
        <v>24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-124.25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52389.75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17D0-404F-49AF-B1D2-8044EFB5CED3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DF9B40-1E74-404F-A7FA-39AAF57DE09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>
        <v>523</v>
      </c>
      <c r="D6" s="13">
        <f t="shared" ref="D6:D28" si="1">C6*L6</f>
        <v>398003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>
        <v>2</v>
      </c>
      <c r="D7" s="13">
        <f t="shared" si="1"/>
        <v>1562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>
        <v>2</v>
      </c>
      <c r="D8" s="13">
        <f t="shared" si="1"/>
        <v>2186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>
        <v>10</v>
      </c>
      <c r="D9" s="13">
        <f t="shared" si="1"/>
        <v>7330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>
        <v>13</v>
      </c>
      <c r="D13" s="48">
        <f t="shared" si="1"/>
        <v>3991</v>
      </c>
      <c r="F13" s="230" t="s">
        <v>36</v>
      </c>
      <c r="G13" s="194"/>
      <c r="H13" s="185">
        <f>D29</f>
        <v>416738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>
        <v>3</v>
      </c>
      <c r="D14" s="31">
        <f t="shared" si="1"/>
        <v>33</v>
      </c>
      <c r="F14" s="188" t="s">
        <v>39</v>
      </c>
      <c r="G14" s="189"/>
      <c r="H14" s="190">
        <f>D54</f>
        <v>113626.5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303111.5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>
        <f>2586</f>
        <v>2586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>
        <v>1</v>
      </c>
      <c r="D20" s="13">
        <f t="shared" si="1"/>
        <v>1175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>
        <v>1</v>
      </c>
      <c r="D21" s="48">
        <f t="shared" si="1"/>
        <v>650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169</v>
      </c>
      <c r="C23" s="84">
        <v>12</v>
      </c>
      <c r="D23" s="48">
        <f t="shared" si="1"/>
        <v>454</v>
      </c>
      <c r="F23" s="77"/>
      <c r="G23" s="79"/>
      <c r="H23" s="237"/>
      <c r="I23" s="238"/>
      <c r="J23" s="238"/>
      <c r="L23" s="47">
        <f>872/24+1.5</f>
        <v>37.833333333333336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168</v>
      </c>
      <c r="C25" s="84">
        <v>12</v>
      </c>
      <c r="D25" s="48">
        <f t="shared" si="1"/>
        <v>543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1050/24+1.5</f>
        <v>45.25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>
        <v>1</v>
      </c>
      <c r="D28" s="48">
        <f t="shared" si="1"/>
        <v>811</v>
      </c>
      <c r="F28" s="93"/>
      <c r="G28" s="61"/>
      <c r="H28" s="182"/>
      <c r="I28" s="183"/>
      <c r="J28" s="18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416738</v>
      </c>
      <c r="F29" s="102" t="s">
        <v>55</v>
      </c>
      <c r="G29" s="164"/>
      <c r="H29" s="124">
        <f>H15-H16-H17-H18-H19-H20-H22-H23-H24+H26+H27+H28</f>
        <v>300525.5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>
        <v>51</v>
      </c>
      <c r="H34" s="146">
        <f t="shared" ref="H34:H39" si="2">F34*G34</f>
        <v>51000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>
        <v>2</v>
      </c>
      <c r="D35" s="30">
        <f>C35*84</f>
        <v>168</v>
      </c>
      <c r="F35" s="58">
        <v>500</v>
      </c>
      <c r="G35" s="41">
        <v>20</v>
      </c>
      <c r="H35" s="146">
        <f t="shared" si="2"/>
        <v>10000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1005</v>
      </c>
      <c r="D37" s="12">
        <f>C37*111</f>
        <v>111555</v>
      </c>
      <c r="F37" s="12">
        <v>100</v>
      </c>
      <c r="G37" s="39">
        <v>41</v>
      </c>
      <c r="H37" s="146">
        <f t="shared" si="2"/>
        <v>4100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4</v>
      </c>
      <c r="D38" s="12">
        <f>C38*84</f>
        <v>336</v>
      </c>
      <c r="F38" s="30">
        <v>50</v>
      </c>
      <c r="G38" s="39">
        <v>15</v>
      </c>
      <c r="H38" s="146">
        <f t="shared" si="2"/>
        <v>750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5</v>
      </c>
      <c r="D40" s="12">
        <f>C40*111</f>
        <v>555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>
        <v>1</v>
      </c>
      <c r="D41" s="12">
        <f>C41*84</f>
        <v>84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30</v>
      </c>
      <c r="D42" s="12">
        <f>C42*2.25</f>
        <v>67.5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 t="s">
        <v>147</v>
      </c>
      <c r="G44" s="62" t="s">
        <v>170</v>
      </c>
      <c r="H44" s="141">
        <v>234325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>
        <v>1</v>
      </c>
      <c r="D45" s="12">
        <f>C45*84</f>
        <v>84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34</v>
      </c>
      <c r="D46" s="12">
        <f>C46*1.5</f>
        <v>51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9</v>
      </c>
      <c r="D48" s="12">
        <f>C48*78</f>
        <v>702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300175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10</v>
      </c>
      <c r="D50" s="12">
        <f>C50*1.5</f>
        <v>15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-350.5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113626.5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ED1DB-0449-492C-A8C7-2F65547D42F6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450</v>
      </c>
      <c r="D6" s="13">
        <f t="shared" ref="D6:D28" si="1">C6*L6</f>
        <v>342450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20</v>
      </c>
      <c r="D9" s="13">
        <f t="shared" si="1"/>
        <v>14660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15</v>
      </c>
      <c r="D13" s="48">
        <f t="shared" si="1"/>
        <v>4605</v>
      </c>
      <c r="F13" s="230" t="s">
        <v>36</v>
      </c>
      <c r="G13" s="194"/>
      <c r="H13" s="185">
        <f>D29</f>
        <v>364269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11</v>
      </c>
      <c r="D14" s="31">
        <f t="shared" si="1"/>
        <v>121</v>
      </c>
      <c r="F14" s="188" t="s">
        <v>39</v>
      </c>
      <c r="G14" s="189"/>
      <c r="H14" s="190">
        <f>D54</f>
        <v>53587.5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310681.5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f>2064</f>
        <v>2064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 t="s">
        <v>166</v>
      </c>
      <c r="G26" s="59">
        <v>8133</v>
      </c>
      <c r="H26" s="176">
        <v>131647</v>
      </c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>
        <v>3</v>
      </c>
      <c r="D28" s="48">
        <f t="shared" si="1"/>
        <v>2433</v>
      </c>
      <c r="F28" s="93"/>
      <c r="G28" s="61"/>
      <c r="H28" s="182"/>
      <c r="I28" s="183"/>
      <c r="J28" s="184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364269</v>
      </c>
      <c r="F29" s="102" t="s">
        <v>55</v>
      </c>
      <c r="G29" s="164"/>
      <c r="H29" s="124">
        <f>H15-H16-H17-H18-H19-H20-H22-H23-H24+H26+H27</f>
        <v>440264.5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>
        <v>243</v>
      </c>
      <c r="H34" s="146">
        <f>F34*G34</f>
        <v>243000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101</v>
      </c>
      <c r="H35" s="146">
        <f t="shared" ref="H35:H39" si="2">F35*G35</f>
        <v>50500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466</v>
      </c>
      <c r="D37" s="12">
        <f>C37*111</f>
        <v>51726</v>
      </c>
      <c r="F37" s="12">
        <v>100</v>
      </c>
      <c r="G37" s="39">
        <v>128</v>
      </c>
      <c r="H37" s="146">
        <f t="shared" si="2"/>
        <v>12800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8</v>
      </c>
      <c r="D38" s="12">
        <f>C38*84</f>
        <v>672</v>
      </c>
      <c r="F38" s="30">
        <v>50</v>
      </c>
      <c r="G38" s="39">
        <v>46</v>
      </c>
      <c r="H38" s="146">
        <f t="shared" si="2"/>
        <v>2300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>
        <v>71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 t="s">
        <v>147</v>
      </c>
      <c r="G44" s="62" t="s">
        <v>171</v>
      </c>
      <c r="H44" s="141">
        <v>131647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10</v>
      </c>
      <c r="D48" s="12">
        <f>C48*78</f>
        <v>780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9</v>
      </c>
      <c r="D49" s="12">
        <f>C49*42</f>
        <v>378</v>
      </c>
      <c r="F49" s="122" t="s">
        <v>86</v>
      </c>
      <c r="G49" s="124">
        <f>H34+H35+H36+H37+H38+H39+H40+H41+G42+H44+H45+H46</f>
        <v>440318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15</v>
      </c>
      <c r="D50" s="12">
        <f>C50*1.5</f>
        <v>22.5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53.5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53587.5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2B1D7E-AC3B-4A1A-9DF9-F2224DED7014}">
  <dimension ref="A1:R59"/>
  <sheetViews>
    <sheetView tabSelected="1" topLeftCell="A4" zoomScaleNormal="100" zoomScaleSheetLayoutView="85" workbookViewId="0">
      <selection activeCell="B57" sqref="B57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8" t="s">
        <v>2</v>
      </c>
      <c r="Q1" s="9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 t="s">
        <v>179</v>
      </c>
      <c r="H4" s="203" t="s">
        <v>9</v>
      </c>
      <c r="I4" s="205">
        <v>45664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178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 t="s">
        <v>174</v>
      </c>
      <c r="G26" s="59">
        <v>8269</v>
      </c>
      <c r="H26" s="176">
        <v>7281</v>
      </c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47" t="s">
        <v>175</v>
      </c>
      <c r="G27" s="59">
        <v>8269</v>
      </c>
      <c r="H27" s="176">
        <v>1000</v>
      </c>
      <c r="I27" s="177"/>
      <c r="J27" s="178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247" t="s">
        <v>176</v>
      </c>
      <c r="G28" s="59">
        <v>8269</v>
      </c>
      <c r="H28" s="176">
        <v>3130</v>
      </c>
      <c r="I28" s="177"/>
      <c r="J28" s="178"/>
      <c r="L28" s="47">
        <f>R44</f>
        <v>811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11411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9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101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 t="s">
        <v>153</v>
      </c>
      <c r="G44" s="62"/>
      <c r="H44" s="141">
        <v>11411</v>
      </c>
      <c r="I44" s="141"/>
      <c r="J44" s="141"/>
      <c r="K44" s="21"/>
      <c r="O44" t="s">
        <v>106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100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11411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177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180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1D6E1-A235-427E-8635-9ADA7BD0B7C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45664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>
        <v>380</v>
      </c>
      <c r="D6" s="13">
        <f t="shared" ref="D6:D28" si="1">C6*L6</f>
        <v>289180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>
        <v>19</v>
      </c>
      <c r="D7" s="13">
        <f t="shared" si="1"/>
        <v>14839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>
        <v>2</v>
      </c>
      <c r="D8" s="13">
        <f t="shared" si="1"/>
        <v>2186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>
        <v>84</v>
      </c>
      <c r="D9" s="13">
        <f t="shared" si="1"/>
        <v>61572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>
        <v>1</v>
      </c>
      <c r="D10" s="13">
        <f t="shared" si="1"/>
        <v>1032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>
        <f>3+1</f>
        <v>4</v>
      </c>
      <c r="D12" s="48">
        <f t="shared" si="1"/>
        <v>3968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>
        <v>14</v>
      </c>
      <c r="D13" s="48">
        <f t="shared" si="1"/>
        <v>4298</v>
      </c>
      <c r="F13" s="230" t="s">
        <v>36</v>
      </c>
      <c r="G13" s="194"/>
      <c r="H13" s="185">
        <f>D29</f>
        <v>383641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>
        <v>6</v>
      </c>
      <c r="D14" s="31">
        <f t="shared" si="1"/>
        <v>66</v>
      </c>
      <c r="F14" s="188" t="s">
        <v>39</v>
      </c>
      <c r="G14" s="189"/>
      <c r="H14" s="190">
        <f>D54</f>
        <v>52228.5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331412.5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>
        <v>1248</v>
      </c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>
        <v>50</v>
      </c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10">
        <f>5+5</f>
        <v>10</v>
      </c>
      <c r="D21" s="48">
        <f t="shared" si="1"/>
        <v>6500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 t="s">
        <v>167</v>
      </c>
      <c r="G26" s="59">
        <v>7798</v>
      </c>
      <c r="H26" s="176">
        <v>173644</v>
      </c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383641</v>
      </c>
      <c r="F29" s="102" t="s">
        <v>55</v>
      </c>
      <c r="G29" s="164"/>
      <c r="H29" s="124">
        <f>H15-H16-H17-H18-H19-H20-H22-H23-H24+H26+H27</f>
        <v>503758.5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>
        <v>1</v>
      </c>
      <c r="D34" s="30">
        <f>C34*120</f>
        <v>120</v>
      </c>
      <c r="F34" s="12">
        <v>1000</v>
      </c>
      <c r="G34" s="74">
        <v>148</v>
      </c>
      <c r="H34" s="146">
        <f>F34*G34</f>
        <v>148000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>
        <v>20</v>
      </c>
      <c r="H35" s="146">
        <f>F35*G35</f>
        <v>10000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>
        <v>3</v>
      </c>
      <c r="H36" s="146">
        <f t="shared" ref="H36:H39" si="2">F36*G36</f>
        <v>600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>
        <v>429</v>
      </c>
      <c r="D37" s="12">
        <f>C37*111</f>
        <v>47619</v>
      </c>
      <c r="F37" s="12">
        <v>100</v>
      </c>
      <c r="G37" s="39">
        <v>151</v>
      </c>
      <c r="H37" s="146">
        <f t="shared" si="2"/>
        <v>15100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>
        <v>14</v>
      </c>
      <c r="D38" s="12">
        <f>C38*84</f>
        <v>1176</v>
      </c>
      <c r="F38" s="30">
        <v>50</v>
      </c>
      <c r="G38" s="39">
        <v>335</v>
      </c>
      <c r="H38" s="146">
        <f t="shared" si="2"/>
        <v>16750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>
        <v>2</v>
      </c>
      <c r="D39" s="31">
        <f>C39*4.5</f>
        <v>9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>
        <v>17</v>
      </c>
      <c r="D40" s="12">
        <f>C40*111</f>
        <v>1887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>
        <v>4</v>
      </c>
      <c r="D42" s="12">
        <f>C42*2.25</f>
        <v>9</v>
      </c>
      <c r="F42" s="39" t="s">
        <v>79</v>
      </c>
      <c r="G42" s="146">
        <v>175</v>
      </c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>
        <v>5</v>
      </c>
      <c r="D44" s="12">
        <f>C44*120</f>
        <v>600</v>
      </c>
      <c r="F44" s="37" t="s">
        <v>147</v>
      </c>
      <c r="G44" s="76" t="s">
        <v>172</v>
      </c>
      <c r="H44" s="141">
        <v>139318</v>
      </c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>
        <v>2</v>
      </c>
      <c r="D45" s="12">
        <f>C45*84</f>
        <v>168</v>
      </c>
      <c r="F45" s="37" t="s">
        <v>147</v>
      </c>
      <c r="G45" s="76" t="s">
        <v>173</v>
      </c>
      <c r="H45" s="141">
        <v>173644</v>
      </c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>
        <v>9</v>
      </c>
      <c r="D46" s="12">
        <f>C46*1.5</f>
        <v>13.5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>
        <v>5</v>
      </c>
      <c r="D48" s="12">
        <f>C48*78</f>
        <v>390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>
        <v>5</v>
      </c>
      <c r="D49" s="12">
        <f>C49*42</f>
        <v>210</v>
      </c>
      <c r="F49" s="122" t="s">
        <v>86</v>
      </c>
      <c r="G49" s="124">
        <f>H34+H35+H36+H37+H38+H39+H40+H41+G42+H44+H45+H46</f>
        <v>503587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>
        <v>18</v>
      </c>
      <c r="D50" s="12">
        <f>C50*1.5</f>
        <v>27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-171.5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52228.5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17782-9F68-4B75-8208-605F1C60D1A0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54C857-BA52-4829-8B51-359EC0CFBAB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45665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/>
      <c r="D6" s="13">
        <f t="shared" ref="D6:D28" si="1">C6*L6</f>
        <v>0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/>
      <c r="D8" s="13">
        <f t="shared" si="1"/>
        <v>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4AF4C-799B-4CCC-867A-64D1685E741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45665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7F9605-2183-4C17-95EE-4E0761910F0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45665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8EBD6E-7FB6-4412-BEFB-0E21667F6E42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C24E1-A897-47E6-A4FF-FF94A239BFE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45666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/>
      <c r="D6" s="13">
        <f t="shared" ref="D6:D28" si="1">C6*L6</f>
        <v>0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/>
      <c r="D8" s="13">
        <f t="shared" si="1"/>
        <v>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61630-3EB8-4211-A7C1-B833962E79C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45666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63F3F1-5256-4795-A607-ECE807DB61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45666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7F4D5C-15B7-4FF1-AB19-8AEC2ECEED07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077569-A1B8-490B-909F-69E0F3766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45667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/>
      <c r="D6" s="13">
        <f t="shared" ref="D6:D28" si="1">C6*L6</f>
        <v>0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/>
      <c r="D8" s="13">
        <f t="shared" si="1"/>
        <v>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3891E-ED09-443C-A190-A5FAC5B0356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45667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B4CCB8-C46D-4AEA-A1A7-C9ADADAE7C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45667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20FCC-6EB1-4288-BD3B-524B2D0A9838}">
  <dimension ref="A1:S59"/>
  <sheetViews>
    <sheetView zoomScaleNormal="100" zoomScaleSheetLayoutView="85" workbookViewId="0">
      <selection activeCell="C44" sqref="C4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49" t="s">
        <v>7</v>
      </c>
      <c r="B4" s="150"/>
      <c r="C4" s="150"/>
      <c r="D4" s="151"/>
      <c r="F4" s="199" t="s">
        <v>8</v>
      </c>
      <c r="G4" s="201"/>
      <c r="H4" s="203" t="s">
        <v>9</v>
      </c>
      <c r="I4" s="205"/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4"/>
      <c r="B6" s="16"/>
      <c r="C6" s="10"/>
      <c r="D6" s="13">
        <f t="shared" ref="D6:D28" si="1">C6*L6</f>
        <v>0</v>
      </c>
      <c r="F6" s="209" t="s">
        <v>16</v>
      </c>
      <c r="G6" s="211"/>
      <c r="H6" s="212"/>
      <c r="I6" s="212"/>
      <c r="J6" s="213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4"/>
      <c r="B7" s="16"/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4"/>
      <c r="B8" s="16"/>
      <c r="C8" s="10"/>
      <c r="D8" s="13">
        <f t="shared" si="1"/>
        <v>0</v>
      </c>
      <c r="F8" s="217" t="s">
        <v>21</v>
      </c>
      <c r="G8" s="218"/>
      <c r="H8" s="219"/>
      <c r="I8" s="219"/>
      <c r="J8" s="220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4"/>
      <c r="B9" s="16"/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4"/>
      <c r="C10" s="10"/>
      <c r="D10" s="13">
        <f t="shared" si="1"/>
        <v>0</v>
      </c>
      <c r="F10" s="209" t="s">
        <v>26</v>
      </c>
      <c r="G10" s="224"/>
      <c r="H10" s="225"/>
      <c r="I10" s="225"/>
      <c r="J10" s="226"/>
      <c r="K10" s="8"/>
      <c r="L10" s="6">
        <f>R36</f>
        <v>972</v>
      </c>
      <c r="P10" s="4"/>
      <c r="Q10" s="4"/>
      <c r="R10" s="5"/>
    </row>
    <row r="11" spans="1:19" ht="15.75" x14ac:dyDescent="0.25">
      <c r="A11" s="144"/>
      <c r="B11" s="17"/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4"/>
      <c r="B12" s="17"/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4"/>
      <c r="B13" s="17"/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4"/>
      <c r="B14" s="14"/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4"/>
      <c r="B15" s="14"/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4"/>
      <c r="B16" s="18"/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/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/>
      <c r="C19" s="10"/>
      <c r="D19" s="48">
        <f t="shared" si="1"/>
        <v>0</v>
      </c>
      <c r="F19" s="56"/>
      <c r="G19" s="68" t="s">
        <v>50</v>
      </c>
      <c r="H19" s="167"/>
      <c r="I19" s="167"/>
      <c r="J19" s="167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/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/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4"/>
      <c r="B22" s="46"/>
      <c r="C22" s="10"/>
      <c r="D22" s="48">
        <f t="shared" si="1"/>
        <v>0</v>
      </c>
      <c r="F22" s="77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/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/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/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/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4"/>
      <c r="B27" s="14"/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/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/>
      <c r="I34" s="147"/>
      <c r="J34" s="148"/>
      <c r="O34" t="s">
        <v>67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/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/>
      <c r="I36" s="147"/>
      <c r="J36" s="148"/>
      <c r="O36" t="s">
        <v>71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/>
      <c r="I37" s="147"/>
      <c r="J37" s="148"/>
      <c r="O37" t="s">
        <v>73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/>
      <c r="I38" s="147"/>
      <c r="J38" s="148"/>
      <c r="O38" t="s">
        <v>74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/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P43" s="4"/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P44" s="4"/>
      <c r="Q44" s="4"/>
      <c r="R44" s="5"/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P50" s="4"/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128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7D0D5-9461-4279-AC47-71E0A74AE2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1</v>
      </c>
      <c r="H4" s="203" t="s">
        <v>9</v>
      </c>
      <c r="I4" s="205">
        <v>45669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84"/>
      <c r="D6" s="13">
        <f t="shared" ref="D6:D28" si="1">C6*L6</f>
        <v>0</v>
      </c>
      <c r="F6" s="209" t="s">
        <v>16</v>
      </c>
      <c r="G6" s="211" t="s">
        <v>129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84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84"/>
      <c r="D8" s="13">
        <f t="shared" si="1"/>
        <v>0</v>
      </c>
      <c r="F8" s="217" t="s">
        <v>21</v>
      </c>
      <c r="G8" s="218" t="s">
        <v>112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84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84"/>
      <c r="D10" s="13">
        <f t="shared" si="1"/>
        <v>0</v>
      </c>
      <c r="F10" s="209" t="s">
        <v>26</v>
      </c>
      <c r="G10" s="224" t="s">
        <v>130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84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84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84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84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84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84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137</v>
      </c>
      <c r="C17" s="84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1582</f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84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133</v>
      </c>
      <c r="C19" s="84"/>
      <c r="D19" s="48">
        <f t="shared" si="1"/>
        <v>0</v>
      </c>
      <c r="F19" s="56"/>
      <c r="G19" s="68" t="s">
        <v>50</v>
      </c>
      <c r="H19" s="166"/>
      <c r="I19" s="166"/>
      <c r="J19" s="166"/>
      <c r="L19" s="6">
        <v>1102</v>
      </c>
      <c r="Q19" s="4"/>
      <c r="R19" s="5">
        <f t="shared" si="0"/>
        <v>0</v>
      </c>
    </row>
    <row r="20" spans="1:18" ht="15.75" x14ac:dyDescent="0.25">
      <c r="A20" s="144"/>
      <c r="B20" s="83" t="s">
        <v>125</v>
      </c>
      <c r="C20" s="84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135</v>
      </c>
      <c r="C21" s="84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127</v>
      </c>
      <c r="C22" s="84"/>
      <c r="D22" s="48">
        <f t="shared" si="1"/>
        <v>0</v>
      </c>
      <c r="F22" s="77"/>
      <c r="G22" s="73"/>
      <c r="H22" s="171"/>
      <c r="I22" s="171"/>
      <c r="J22" s="171"/>
      <c r="L22" s="7">
        <v>1582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101</v>
      </c>
      <c r="C23" s="84"/>
      <c r="D23" s="48">
        <f t="shared" si="1"/>
        <v>0</v>
      </c>
      <c r="F23" s="77"/>
      <c r="G23" s="79"/>
      <c r="H23" s="237"/>
      <c r="I23" s="238"/>
      <c r="J23" s="238"/>
      <c r="L23" s="47">
        <v>1667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121</v>
      </c>
      <c r="C24" s="84"/>
      <c r="D24" s="48">
        <f t="shared" si="1"/>
        <v>0</v>
      </c>
      <c r="F24" s="77"/>
      <c r="G24" s="79"/>
      <c r="H24" s="237"/>
      <c r="I24" s="238"/>
      <c r="J24" s="238"/>
      <c r="L24" s="47">
        <f>913/24+1.5</f>
        <v>39.541666666666664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138</v>
      </c>
      <c r="C25" s="84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1052+120</f>
        <v>1172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136</v>
      </c>
      <c r="C26" s="84"/>
      <c r="D26" s="48">
        <f t="shared" si="1"/>
        <v>0</v>
      </c>
      <c r="F26" s="75"/>
      <c r="G26" s="65"/>
      <c r="H26" s="141"/>
      <c r="I26" s="141"/>
      <c r="J26" s="141"/>
      <c r="L26" s="7">
        <f>1447+120</f>
        <v>1567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110</v>
      </c>
      <c r="C27" s="84"/>
      <c r="D27" s="44">
        <f t="shared" si="1"/>
        <v>0</v>
      </c>
      <c r="F27" s="71"/>
      <c r="G27" s="90"/>
      <c r="H27" s="239"/>
      <c r="I27" s="240"/>
      <c r="J27" s="240"/>
      <c r="L27" s="7">
        <v>1142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84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H15-H16-H17-H18-H19-H20-H22-H23-H24+H26+H27+H28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40"/>
      <c r="H34" s="146">
        <f t="shared" ref="H34:H39" si="2"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si="2"/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si="2"/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1"/>
      <c r="I46" s="141"/>
      <c r="J46" s="141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131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132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17F3A-5F49-4B3A-8A37-12F5AA06B9E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2</v>
      </c>
      <c r="H4" s="203" t="s">
        <v>9</v>
      </c>
      <c r="I4" s="205">
        <v>45669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140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114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115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93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96</v>
      </c>
      <c r="C19" s="10"/>
      <c r="D19" s="48">
        <f t="shared" si="1"/>
        <v>0</v>
      </c>
      <c r="F19" s="56"/>
      <c r="G19" s="68" t="s">
        <v>50</v>
      </c>
      <c r="H19" s="241"/>
      <c r="I19" s="241"/>
      <c r="J19" s="241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122</v>
      </c>
      <c r="C20" s="10"/>
      <c r="D20" s="13">
        <f t="shared" si="1"/>
        <v>0</v>
      </c>
      <c r="F20" s="57"/>
      <c r="G20" s="70" t="s">
        <v>120</v>
      </c>
      <c r="H20" s="166"/>
      <c r="I20" s="166"/>
      <c r="J20" s="166"/>
      <c r="L20" s="6">
        <f>R39</f>
        <v>1175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2"/>
      <c r="G22" s="73"/>
      <c r="H22" s="171"/>
      <c r="I22" s="171"/>
      <c r="J22" s="171"/>
      <c r="L22" s="7">
        <f>559+111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25"/>
      <c r="G23" s="37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123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f>596/6</f>
        <v>99.333333333333329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124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674/6</f>
        <v>112.33333333333333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10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14"/>
      <c r="G27" s="14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 t="shared" ref="H35:H39" si="2"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62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62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91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142</v>
      </c>
      <c r="G51" s="132">
        <f>G49-H29</f>
        <v>0</v>
      </c>
      <c r="H51" s="133"/>
      <c r="I51" s="133"/>
      <c r="J51" s="134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135"/>
      <c r="H52" s="136"/>
      <c r="I52" s="136"/>
      <c r="J52" s="137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6768AE-9C4C-4242-8281-75B8C43306B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98" t="s">
        <v>1</v>
      </c>
      <c r="O1" s="198"/>
      <c r="P1" s="92" t="s">
        <v>2</v>
      </c>
      <c r="Q1" s="9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49" t="s">
        <v>7</v>
      </c>
      <c r="B4" s="150"/>
      <c r="C4" s="150"/>
      <c r="D4" s="151"/>
      <c r="F4" s="199" t="s">
        <v>8</v>
      </c>
      <c r="G4" s="201">
        <v>3</v>
      </c>
      <c r="H4" s="203" t="s">
        <v>9</v>
      </c>
      <c r="I4" s="205">
        <v>45669</v>
      </c>
      <c r="J4" s="206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3" t="s">
        <v>7</v>
      </c>
      <c r="B5" s="15" t="s">
        <v>11</v>
      </c>
      <c r="C5" s="9" t="s">
        <v>12</v>
      </c>
      <c r="D5" s="25" t="s">
        <v>13</v>
      </c>
      <c r="F5" s="200"/>
      <c r="G5" s="202"/>
      <c r="H5" s="204"/>
      <c r="I5" s="207"/>
      <c r="J5" s="208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4"/>
      <c r="B6" s="16" t="s">
        <v>15</v>
      </c>
      <c r="C6" s="10"/>
      <c r="D6" s="13">
        <f t="shared" ref="D6:D28" si="1">C6*L6</f>
        <v>0</v>
      </c>
      <c r="F6" s="209" t="s">
        <v>16</v>
      </c>
      <c r="G6" s="211" t="s">
        <v>111</v>
      </c>
      <c r="H6" s="212"/>
      <c r="I6" s="212"/>
      <c r="J6" s="213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4"/>
      <c r="B7" s="16" t="s">
        <v>18</v>
      </c>
      <c r="C7" s="10"/>
      <c r="D7" s="13">
        <f t="shared" si="1"/>
        <v>0</v>
      </c>
      <c r="F7" s="210"/>
      <c r="G7" s="214"/>
      <c r="H7" s="215"/>
      <c r="I7" s="215"/>
      <c r="J7" s="216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4"/>
      <c r="B8" s="16" t="s">
        <v>20</v>
      </c>
      <c r="C8" s="10"/>
      <c r="D8" s="13">
        <f t="shared" si="1"/>
        <v>0</v>
      </c>
      <c r="F8" s="217" t="s">
        <v>21</v>
      </c>
      <c r="G8" s="218" t="s">
        <v>119</v>
      </c>
      <c r="H8" s="219"/>
      <c r="I8" s="219"/>
      <c r="J8" s="220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4"/>
      <c r="B9" s="16" t="s">
        <v>23</v>
      </c>
      <c r="C9" s="10"/>
      <c r="D9" s="13">
        <f t="shared" si="1"/>
        <v>0</v>
      </c>
      <c r="F9" s="210"/>
      <c r="G9" s="221"/>
      <c r="H9" s="222"/>
      <c r="I9" s="222"/>
      <c r="J9" s="223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4"/>
      <c r="B10" t="s">
        <v>25</v>
      </c>
      <c r="C10" s="10"/>
      <c r="D10" s="13">
        <f t="shared" si="1"/>
        <v>0</v>
      </c>
      <c r="F10" s="209" t="s">
        <v>26</v>
      </c>
      <c r="G10" s="224" t="s">
        <v>134</v>
      </c>
      <c r="H10" s="225"/>
      <c r="I10" s="225"/>
      <c r="J10" s="226"/>
      <c r="K10" s="8"/>
      <c r="L10" s="6">
        <f>R36</f>
        <v>1032</v>
      </c>
      <c r="P10" s="4"/>
      <c r="Q10" s="4"/>
      <c r="R10" s="5"/>
    </row>
    <row r="11" spans="1:18" ht="15.75" x14ac:dyDescent="0.25">
      <c r="A11" s="144"/>
      <c r="B11" s="17" t="s">
        <v>28</v>
      </c>
      <c r="C11" s="10"/>
      <c r="D11" s="13">
        <f t="shared" si="1"/>
        <v>0</v>
      </c>
      <c r="F11" s="210"/>
      <c r="G11" s="221"/>
      <c r="H11" s="222"/>
      <c r="I11" s="222"/>
      <c r="J11" s="223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4"/>
      <c r="B12" s="17" t="s">
        <v>30</v>
      </c>
      <c r="C12" s="10"/>
      <c r="D12" s="48">
        <f t="shared" si="1"/>
        <v>0</v>
      </c>
      <c r="F12" s="227" t="s">
        <v>33</v>
      </c>
      <c r="G12" s="228"/>
      <c r="H12" s="228"/>
      <c r="I12" s="228"/>
      <c r="J12" s="229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4"/>
      <c r="B13" s="17" t="s">
        <v>32</v>
      </c>
      <c r="C13" s="10"/>
      <c r="D13" s="48">
        <f t="shared" si="1"/>
        <v>0</v>
      </c>
      <c r="F13" s="230" t="s">
        <v>36</v>
      </c>
      <c r="G13" s="194"/>
      <c r="H13" s="185">
        <f>D29</f>
        <v>0</v>
      </c>
      <c r="I13" s="186"/>
      <c r="J13" s="187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4"/>
      <c r="B14" s="14" t="s">
        <v>35</v>
      </c>
      <c r="C14" s="10"/>
      <c r="D14" s="31">
        <f t="shared" si="1"/>
        <v>0</v>
      </c>
      <c r="F14" s="188" t="s">
        <v>39</v>
      </c>
      <c r="G14" s="189"/>
      <c r="H14" s="190">
        <f>D54</f>
        <v>0</v>
      </c>
      <c r="I14" s="191"/>
      <c r="J14" s="192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4"/>
      <c r="B15" s="14" t="s">
        <v>38</v>
      </c>
      <c r="C15" s="10"/>
      <c r="D15" s="31">
        <f t="shared" si="1"/>
        <v>0</v>
      </c>
      <c r="F15" s="193" t="s">
        <v>40</v>
      </c>
      <c r="G15" s="194"/>
      <c r="H15" s="195">
        <f>H13-H14</f>
        <v>0</v>
      </c>
      <c r="I15" s="196"/>
      <c r="J15" s="197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4"/>
      <c r="B16" s="18" t="s">
        <v>94</v>
      </c>
      <c r="C16" s="10"/>
      <c r="D16" s="48">
        <f t="shared" si="1"/>
        <v>0</v>
      </c>
      <c r="F16" s="67" t="s">
        <v>42</v>
      </c>
      <c r="G16" s="66" t="s">
        <v>43</v>
      </c>
      <c r="H16" s="155"/>
      <c r="I16" s="155"/>
      <c r="J16" s="155"/>
      <c r="L16" s="6">
        <f>R28</f>
        <v>1702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4"/>
      <c r="B17" t="s">
        <v>113</v>
      </c>
      <c r="C17" s="10"/>
      <c r="D17" s="48">
        <f t="shared" si="1"/>
        <v>0</v>
      </c>
      <c r="F17" s="56"/>
      <c r="G17" s="66" t="s">
        <v>45</v>
      </c>
      <c r="H17" s="166"/>
      <c r="I17" s="166"/>
      <c r="J17" s="166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4"/>
      <c r="B18" s="19" t="s">
        <v>95</v>
      </c>
      <c r="C18" s="10"/>
      <c r="D18" s="48">
        <f t="shared" si="1"/>
        <v>0</v>
      </c>
      <c r="F18" s="56"/>
      <c r="G18" s="66" t="s">
        <v>47</v>
      </c>
      <c r="H18" s="166"/>
      <c r="I18" s="166"/>
      <c r="J18" s="166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4"/>
      <c r="B19" s="14" t="s">
        <v>117</v>
      </c>
      <c r="C19" s="10"/>
      <c r="D19" s="48">
        <f t="shared" si="1"/>
        <v>0</v>
      </c>
      <c r="F19" s="56"/>
      <c r="G19" s="68" t="s">
        <v>50</v>
      </c>
      <c r="H19" s="242"/>
      <c r="I19" s="242"/>
      <c r="J19" s="242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4"/>
      <c r="B20" s="46" t="s">
        <v>108</v>
      </c>
      <c r="C20" s="10"/>
      <c r="D20" s="13">
        <f t="shared" si="1"/>
        <v>0</v>
      </c>
      <c r="F20" s="57"/>
      <c r="G20" s="70" t="s">
        <v>120</v>
      </c>
      <c r="H20" s="155"/>
      <c r="I20" s="155"/>
      <c r="J20" s="155"/>
      <c r="L20" s="6">
        <f>1102</f>
        <v>1102</v>
      </c>
      <c r="N20" s="1" t="s">
        <v>41</v>
      </c>
      <c r="Q20" s="4"/>
      <c r="R20" s="5">
        <f t="shared" si="0"/>
        <v>0</v>
      </c>
    </row>
    <row r="21" spans="1:18" ht="15.75" x14ac:dyDescent="0.25">
      <c r="A21" s="144"/>
      <c r="B21" s="14" t="s">
        <v>126</v>
      </c>
      <c r="C21" s="10"/>
      <c r="D21" s="48">
        <f t="shared" si="1"/>
        <v>0</v>
      </c>
      <c r="F21" s="69" t="s">
        <v>99</v>
      </c>
      <c r="G21" s="82" t="s">
        <v>98</v>
      </c>
      <c r="H21" s="168" t="s">
        <v>13</v>
      </c>
      <c r="I21" s="169"/>
      <c r="J21" s="170"/>
      <c r="L21" s="7">
        <v>650</v>
      </c>
      <c r="O21" t="s">
        <v>44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4"/>
      <c r="B22" s="46" t="s">
        <v>104</v>
      </c>
      <c r="C22" s="10"/>
      <c r="D22" s="48">
        <f t="shared" si="1"/>
        <v>0</v>
      </c>
      <c r="F22" s="77"/>
      <c r="G22" s="73"/>
      <c r="H22" s="171"/>
      <c r="I22" s="171"/>
      <c r="J22" s="171"/>
      <c r="L22" s="47">
        <f>R52</f>
        <v>670</v>
      </c>
      <c r="O22" t="s">
        <v>46</v>
      </c>
      <c r="P22" s="4">
        <v>1582</v>
      </c>
      <c r="Q22" s="4"/>
      <c r="R22" s="5">
        <f t="shared" si="0"/>
        <v>1582</v>
      </c>
    </row>
    <row r="23" spans="1:18" ht="15.75" x14ac:dyDescent="0.25">
      <c r="A23" s="144"/>
      <c r="B23" s="14" t="s">
        <v>107</v>
      </c>
      <c r="C23" s="10"/>
      <c r="D23" s="48">
        <f t="shared" si="1"/>
        <v>0</v>
      </c>
      <c r="F23" s="78"/>
      <c r="G23" s="79"/>
      <c r="H23" s="172"/>
      <c r="I23" s="141"/>
      <c r="J23" s="141"/>
      <c r="L23" s="47">
        <f>R33</f>
        <v>1175</v>
      </c>
      <c r="N23" s="1"/>
      <c r="O23" t="s">
        <v>48</v>
      </c>
      <c r="P23" s="4">
        <v>1728</v>
      </c>
      <c r="Q23" s="4"/>
      <c r="R23" s="5">
        <f t="shared" si="0"/>
        <v>1728</v>
      </c>
    </row>
    <row r="24" spans="1:18" ht="15.75" x14ac:dyDescent="0.25">
      <c r="A24" s="144"/>
      <c r="B24" s="14" t="s">
        <v>101</v>
      </c>
      <c r="C24" s="10"/>
      <c r="D24" s="48">
        <f t="shared" si="1"/>
        <v>0</v>
      </c>
      <c r="F24" s="38"/>
      <c r="G24" s="37"/>
      <c r="H24" s="172"/>
      <c r="I24" s="141"/>
      <c r="J24" s="141"/>
      <c r="L24" s="47">
        <v>1667</v>
      </c>
      <c r="N24" s="1"/>
      <c r="O24" t="s">
        <v>49</v>
      </c>
      <c r="P24" s="4">
        <v>1728</v>
      </c>
      <c r="Q24" s="4"/>
      <c r="R24" s="5">
        <f t="shared" si="0"/>
        <v>1728</v>
      </c>
    </row>
    <row r="25" spans="1:18" ht="15.75" x14ac:dyDescent="0.25">
      <c r="A25" s="144"/>
      <c r="B25" s="14" t="s">
        <v>116</v>
      </c>
      <c r="C25" s="10"/>
      <c r="D25" s="48">
        <f t="shared" si="1"/>
        <v>0</v>
      </c>
      <c r="F25" s="60" t="s">
        <v>100</v>
      </c>
      <c r="G25" s="55" t="s">
        <v>98</v>
      </c>
      <c r="H25" s="173" t="s">
        <v>13</v>
      </c>
      <c r="I25" s="174"/>
      <c r="J25" s="175"/>
      <c r="L25" s="47">
        <f>1582</f>
        <v>1582</v>
      </c>
      <c r="O25" t="s">
        <v>51</v>
      </c>
      <c r="P25" s="4">
        <v>1582</v>
      </c>
      <c r="Q25" s="4"/>
      <c r="R25" s="5">
        <f t="shared" si="0"/>
        <v>1582</v>
      </c>
    </row>
    <row r="26" spans="1:18" ht="15.75" x14ac:dyDescent="0.25">
      <c r="A26" s="144"/>
      <c r="B26" s="14" t="s">
        <v>105</v>
      </c>
      <c r="C26" s="10"/>
      <c r="D26" s="48">
        <f t="shared" si="1"/>
        <v>0</v>
      </c>
      <c r="F26" s="64"/>
      <c r="G26" s="59"/>
      <c r="H26" s="176"/>
      <c r="I26" s="177"/>
      <c r="J26" s="178"/>
      <c r="L26" s="7">
        <f>832/24+1.5</f>
        <v>36.166666666666664</v>
      </c>
      <c r="O26" t="s">
        <v>52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4"/>
      <c r="B27" s="14" t="s">
        <v>109</v>
      </c>
      <c r="C27" s="10"/>
      <c r="D27" s="44">
        <f t="shared" si="1"/>
        <v>0</v>
      </c>
      <c r="F27" s="25"/>
      <c r="G27" s="80"/>
      <c r="H27" s="179"/>
      <c r="I27" s="180"/>
      <c r="J27" s="181"/>
      <c r="L27" s="7">
        <v>1582</v>
      </c>
      <c r="O27" t="s">
        <v>53</v>
      </c>
      <c r="P27" s="4">
        <v>1582</v>
      </c>
      <c r="Q27" s="4"/>
      <c r="R27" s="5">
        <f t="shared" si="0"/>
        <v>1582</v>
      </c>
    </row>
    <row r="28" spans="1:18" ht="15.75" x14ac:dyDescent="0.25">
      <c r="A28" s="145"/>
      <c r="B28" s="46" t="s">
        <v>97</v>
      </c>
      <c r="C28" s="10"/>
      <c r="D28" s="48">
        <f t="shared" si="1"/>
        <v>0</v>
      </c>
      <c r="F28" s="93"/>
      <c r="G28" s="61"/>
      <c r="H28" s="182"/>
      <c r="I28" s="183"/>
      <c r="J28" s="184"/>
      <c r="L28" s="7">
        <v>785</v>
      </c>
      <c r="O28" t="s">
        <v>54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56" t="s">
        <v>36</v>
      </c>
      <c r="B29" s="157"/>
      <c r="C29" s="158"/>
      <c r="D29" s="162">
        <f>SUM(D6:D28)</f>
        <v>0</v>
      </c>
      <c r="F29" s="102" t="s">
        <v>55</v>
      </c>
      <c r="G29" s="164"/>
      <c r="H29" s="124">
        <f>H15-H16-H17-H18-H19-H20-H22-H23-H24+H26+H27</f>
        <v>0</v>
      </c>
      <c r="I29" s="125"/>
      <c r="J29" s="126"/>
      <c r="O29" t="s">
        <v>56</v>
      </c>
      <c r="P29" s="4">
        <v>1582</v>
      </c>
      <c r="Q29" s="4"/>
      <c r="R29" s="5">
        <f t="shared" si="0"/>
        <v>1582</v>
      </c>
    </row>
    <row r="30" spans="1:18" x14ac:dyDescent="0.25">
      <c r="A30" s="159"/>
      <c r="B30" s="160"/>
      <c r="C30" s="161"/>
      <c r="D30" s="163"/>
      <c r="F30" s="105"/>
      <c r="G30" s="165"/>
      <c r="H30" s="127"/>
      <c r="I30" s="128"/>
      <c r="J30" s="129"/>
      <c r="N30" s="1"/>
      <c r="O30" t="s">
        <v>143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57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49" t="s">
        <v>58</v>
      </c>
      <c r="B32" s="150"/>
      <c r="C32" s="150"/>
      <c r="D32" s="151"/>
      <c r="F32" s="152" t="s">
        <v>59</v>
      </c>
      <c r="G32" s="153"/>
      <c r="H32" s="153"/>
      <c r="I32" s="153"/>
      <c r="J32" s="154"/>
      <c r="O32" t="s">
        <v>60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61</v>
      </c>
      <c r="D33" s="25" t="s">
        <v>13</v>
      </c>
      <c r="F33" s="25" t="s">
        <v>62</v>
      </c>
      <c r="G33" s="94" t="s">
        <v>63</v>
      </c>
      <c r="H33" s="152" t="s">
        <v>13</v>
      </c>
      <c r="I33" s="153"/>
      <c r="J33" s="154"/>
      <c r="O33" t="s">
        <v>64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3" t="s">
        <v>65</v>
      </c>
      <c r="B34" s="26" t="s">
        <v>66</v>
      </c>
      <c r="C34" s="51"/>
      <c r="D34" s="30">
        <f>C34*120</f>
        <v>0</v>
      </c>
      <c r="F34" s="12">
        <v>1000</v>
      </c>
      <c r="G34" s="74"/>
      <c r="H34" s="146">
        <f>F34*G34</f>
        <v>0</v>
      </c>
      <c r="I34" s="147"/>
      <c r="J34" s="148"/>
      <c r="O34" t="s">
        <v>67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4"/>
      <c r="B35" s="27" t="s">
        <v>68</v>
      </c>
      <c r="C35" s="52"/>
      <c r="D35" s="30">
        <f>C35*84</f>
        <v>0</v>
      </c>
      <c r="F35" s="58">
        <v>500</v>
      </c>
      <c r="G35" s="41"/>
      <c r="H35" s="146">
        <f>F35*G35</f>
        <v>0</v>
      </c>
      <c r="I35" s="147"/>
      <c r="J35" s="148"/>
      <c r="O35" t="s">
        <v>69</v>
      </c>
      <c r="P35" s="4">
        <v>1102</v>
      </c>
      <c r="Q35" s="4"/>
      <c r="R35" s="5">
        <f t="shared" si="0"/>
        <v>1102</v>
      </c>
    </row>
    <row r="36" spans="1:18" ht="15.75" x14ac:dyDescent="0.25">
      <c r="A36" s="145"/>
      <c r="B36" s="26" t="s">
        <v>70</v>
      </c>
      <c r="C36" s="10"/>
      <c r="D36" s="12">
        <f>C36*1.5</f>
        <v>0</v>
      </c>
      <c r="F36" s="12">
        <v>200</v>
      </c>
      <c r="G36" s="37"/>
      <c r="H36" s="146">
        <f t="shared" ref="H36:H39" si="2">F36*G36</f>
        <v>0</v>
      </c>
      <c r="I36" s="147"/>
      <c r="J36" s="148"/>
      <c r="O36" t="s">
        <v>71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3" t="s">
        <v>72</v>
      </c>
      <c r="B37" s="28" t="s">
        <v>66</v>
      </c>
      <c r="C37" s="53"/>
      <c r="D37" s="12">
        <f>C37*111</f>
        <v>0</v>
      </c>
      <c r="F37" s="12">
        <v>100</v>
      </c>
      <c r="G37" s="39"/>
      <c r="H37" s="146">
        <f t="shared" si="2"/>
        <v>0</v>
      </c>
      <c r="I37" s="147"/>
      <c r="J37" s="148"/>
      <c r="O37" t="s">
        <v>73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4"/>
      <c r="B38" s="29" t="s">
        <v>68</v>
      </c>
      <c r="C38" s="54"/>
      <c r="D38" s="12">
        <f>C38*84</f>
        <v>0</v>
      </c>
      <c r="F38" s="30">
        <v>50</v>
      </c>
      <c r="G38" s="39"/>
      <c r="H38" s="146">
        <f t="shared" si="2"/>
        <v>0</v>
      </c>
      <c r="I38" s="147"/>
      <c r="J38" s="148"/>
      <c r="O38" t="s">
        <v>74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5"/>
      <c r="B39" s="29" t="s">
        <v>70</v>
      </c>
      <c r="C39" s="52"/>
      <c r="D39" s="31">
        <f>C39*4.5</f>
        <v>0</v>
      </c>
      <c r="F39" s="12">
        <v>20</v>
      </c>
      <c r="G39" s="37"/>
      <c r="H39" s="146">
        <f t="shared" si="2"/>
        <v>0</v>
      </c>
      <c r="I39" s="147"/>
      <c r="J39" s="148"/>
      <c r="O39" t="s">
        <v>75</v>
      </c>
      <c r="P39" s="4">
        <v>1175</v>
      </c>
      <c r="Q39" s="4"/>
      <c r="R39" s="5">
        <f t="shared" si="0"/>
        <v>1175</v>
      </c>
    </row>
    <row r="40" spans="1:18" ht="15.75" x14ac:dyDescent="0.25">
      <c r="A40" s="143" t="s">
        <v>76</v>
      </c>
      <c r="B40" s="27" t="s">
        <v>66</v>
      </c>
      <c r="C40" s="63"/>
      <c r="D40" s="12">
        <f>C40*111</f>
        <v>0</v>
      </c>
      <c r="F40" s="12">
        <v>10</v>
      </c>
      <c r="G40" s="42"/>
      <c r="H40" s="146"/>
      <c r="I40" s="147"/>
      <c r="J40" s="148"/>
      <c r="O40" t="s">
        <v>77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4"/>
      <c r="B41" s="27" t="s">
        <v>68</v>
      </c>
      <c r="C41" s="10"/>
      <c r="D41" s="12">
        <f>C41*84</f>
        <v>0</v>
      </c>
      <c r="F41" s="12">
        <v>5</v>
      </c>
      <c r="G41" s="42"/>
      <c r="H41" s="146"/>
      <c r="I41" s="147"/>
      <c r="J41" s="148"/>
      <c r="K41" s="21"/>
      <c r="O41" t="s">
        <v>78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5"/>
      <c r="B42" s="27" t="s">
        <v>70</v>
      </c>
      <c r="C42" s="11"/>
      <c r="D42" s="12">
        <f>C42*2.25</f>
        <v>0</v>
      </c>
      <c r="F42" s="39" t="s">
        <v>79</v>
      </c>
      <c r="G42" s="146"/>
      <c r="H42" s="147"/>
      <c r="I42" s="147"/>
      <c r="J42" s="148"/>
      <c r="K42" s="36"/>
      <c r="O42" t="s">
        <v>80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16" t="s">
        <v>81</v>
      </c>
      <c r="C43" s="11"/>
      <c r="D43" s="12"/>
      <c r="F43" s="59" t="s">
        <v>82</v>
      </c>
      <c r="G43" s="90" t="s">
        <v>83</v>
      </c>
      <c r="H43" s="138" t="s">
        <v>13</v>
      </c>
      <c r="I43" s="139"/>
      <c r="J43" s="140"/>
      <c r="K43" s="21"/>
      <c r="O43" t="s">
        <v>103</v>
      </c>
      <c r="P43" s="4">
        <v>1667</v>
      </c>
      <c r="Q43" s="4"/>
      <c r="R43" s="5"/>
    </row>
    <row r="44" spans="1:18" ht="15.75" x14ac:dyDescent="0.25">
      <c r="A44" s="117"/>
      <c r="B44" s="27" t="s">
        <v>66</v>
      </c>
      <c r="C44" s="10"/>
      <c r="D44" s="12">
        <f>C44*120</f>
        <v>0</v>
      </c>
      <c r="F44" s="37"/>
      <c r="G44" s="76"/>
      <c r="H44" s="141"/>
      <c r="I44" s="141"/>
      <c r="J44" s="141"/>
      <c r="K44" s="21"/>
      <c r="O44" t="s">
        <v>106</v>
      </c>
      <c r="P44" s="4">
        <v>700</v>
      </c>
      <c r="Q44" s="4">
        <v>120</v>
      </c>
      <c r="R44" s="5">
        <f>Q44+P44</f>
        <v>820</v>
      </c>
    </row>
    <row r="45" spans="1:18" ht="15.75" x14ac:dyDescent="0.25">
      <c r="A45" s="117"/>
      <c r="B45" s="27" t="s">
        <v>68</v>
      </c>
      <c r="C45" s="33"/>
      <c r="D45" s="12">
        <f>C45*84</f>
        <v>0</v>
      </c>
      <c r="F45" s="37"/>
      <c r="G45" s="76"/>
      <c r="H45" s="141"/>
      <c r="I45" s="141"/>
      <c r="J45" s="141"/>
      <c r="K45" s="21"/>
      <c r="P45" s="4"/>
      <c r="Q45" s="4"/>
      <c r="R45" s="5"/>
    </row>
    <row r="46" spans="1:18" ht="15.75" x14ac:dyDescent="0.25">
      <c r="A46" s="117"/>
      <c r="B46" s="49" t="s">
        <v>70</v>
      </c>
      <c r="C46" s="81"/>
      <c r="D46" s="12">
        <f>C46*1.5</f>
        <v>0</v>
      </c>
      <c r="F46" s="37"/>
      <c r="G46" s="62"/>
      <c r="H46" s="142"/>
      <c r="I46" s="142"/>
      <c r="J46" s="142"/>
      <c r="K46" s="21"/>
      <c r="P46" s="4"/>
      <c r="Q46" s="4"/>
      <c r="R46" s="5"/>
    </row>
    <row r="47" spans="1:18" ht="15.75" x14ac:dyDescent="0.25">
      <c r="A47" s="118"/>
      <c r="B47" s="27"/>
      <c r="C47" s="11"/>
      <c r="D47" s="12"/>
      <c r="F47" s="59"/>
      <c r="G47" s="59"/>
      <c r="H47" s="119"/>
      <c r="I47" s="120"/>
      <c r="J47" s="121"/>
      <c r="K47" s="21"/>
      <c r="P47" s="4"/>
      <c r="Q47" s="4"/>
      <c r="R47" s="5"/>
    </row>
    <row r="48" spans="1:18" ht="15" customHeight="1" x14ac:dyDescent="0.25">
      <c r="A48" s="116" t="s">
        <v>32</v>
      </c>
      <c r="B48" s="27" t="s">
        <v>66</v>
      </c>
      <c r="C48" s="10"/>
      <c r="D48" s="12">
        <f>C48*78</f>
        <v>0</v>
      </c>
      <c r="F48" s="59"/>
      <c r="G48" s="59"/>
      <c r="H48" s="119"/>
      <c r="I48" s="120"/>
      <c r="J48" s="121"/>
      <c r="K48" s="35"/>
      <c r="O48" t="s">
        <v>84</v>
      </c>
      <c r="P48" s="4">
        <v>1175</v>
      </c>
      <c r="Q48" s="4"/>
      <c r="R48" s="5">
        <f t="shared" si="0"/>
        <v>1175</v>
      </c>
    </row>
    <row r="49" spans="1:18" ht="15.75" x14ac:dyDescent="0.25">
      <c r="A49" s="117"/>
      <c r="B49" s="29" t="s">
        <v>68</v>
      </c>
      <c r="C49" s="33"/>
      <c r="D49" s="12">
        <f>C49*42</f>
        <v>0</v>
      </c>
      <c r="F49" s="122" t="s">
        <v>86</v>
      </c>
      <c r="G49" s="124">
        <f>H34+H35+H36+H37+H38+H39+H40+H41+G42+H44+H45+H46</f>
        <v>0</v>
      </c>
      <c r="H49" s="125"/>
      <c r="I49" s="125"/>
      <c r="J49" s="126"/>
      <c r="O49" t="s">
        <v>85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17"/>
      <c r="B50" s="32" t="s">
        <v>70</v>
      </c>
      <c r="C50" s="11"/>
      <c r="D50" s="12">
        <f>C50*1.5</f>
        <v>0</v>
      </c>
      <c r="F50" s="123"/>
      <c r="G50" s="127"/>
      <c r="H50" s="128"/>
      <c r="I50" s="128"/>
      <c r="J50" s="129"/>
      <c r="O50" t="s">
        <v>144</v>
      </c>
      <c r="P50" s="4">
        <v>1204</v>
      </c>
      <c r="Q50" s="4"/>
      <c r="R50" s="5"/>
    </row>
    <row r="51" spans="1:18" ht="15" customHeight="1" x14ac:dyDescent="0.25">
      <c r="A51" s="117"/>
      <c r="B51" s="27"/>
      <c r="C51" s="10"/>
      <c r="D51" s="31"/>
      <c r="F51" s="130" t="s">
        <v>139</v>
      </c>
      <c r="G51" s="231">
        <f>G49-H29</f>
        <v>0</v>
      </c>
      <c r="H51" s="232"/>
      <c r="I51" s="232"/>
      <c r="J51" s="233"/>
      <c r="K51" s="21"/>
      <c r="O51" t="s">
        <v>87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17"/>
      <c r="B52" s="29"/>
      <c r="C52" s="33"/>
      <c r="D52" s="45"/>
      <c r="F52" s="131"/>
      <c r="G52" s="234"/>
      <c r="H52" s="235"/>
      <c r="I52" s="235"/>
      <c r="J52" s="236"/>
      <c r="K52" s="21"/>
      <c r="O52" t="s">
        <v>88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18"/>
      <c r="B53" s="32"/>
      <c r="C53" s="11"/>
      <c r="D53" s="12"/>
      <c r="F53" s="35"/>
      <c r="G53" s="24"/>
      <c r="H53" s="24"/>
      <c r="I53" s="24"/>
      <c r="J53" s="17"/>
      <c r="N53" s="1"/>
      <c r="O53" t="s">
        <v>89</v>
      </c>
      <c r="P53" s="4">
        <v>1142</v>
      </c>
    </row>
    <row r="54" spans="1:18" x14ac:dyDescent="0.25">
      <c r="A54" s="102" t="s">
        <v>90</v>
      </c>
      <c r="B54" s="103"/>
      <c r="C54" s="104"/>
      <c r="D54" s="108">
        <f>SUM(D34:D53)</f>
        <v>0</v>
      </c>
      <c r="F54" s="21"/>
      <c r="J54" s="34"/>
      <c r="O54" t="s">
        <v>102</v>
      </c>
      <c r="P54" s="4">
        <v>1582</v>
      </c>
      <c r="R54" s="3">
        <v>1582</v>
      </c>
    </row>
    <row r="55" spans="1:18" x14ac:dyDescent="0.25">
      <c r="A55" s="105"/>
      <c r="B55" s="106"/>
      <c r="C55" s="107"/>
      <c r="D55" s="109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110" t="s">
        <v>91</v>
      </c>
      <c r="B58" s="111"/>
      <c r="C58" s="111"/>
      <c r="D58" s="112"/>
      <c r="F58" s="110" t="s">
        <v>92</v>
      </c>
      <c r="G58" s="111"/>
      <c r="H58" s="111"/>
      <c r="I58" s="111"/>
      <c r="J58" s="112"/>
    </row>
    <row r="59" spans="1:18" x14ac:dyDescent="0.25">
      <c r="A59" s="113"/>
      <c r="B59" s="114"/>
      <c r="C59" s="114"/>
      <c r="D59" s="115"/>
      <c r="F59" s="113"/>
      <c r="G59" s="114"/>
      <c r="H59" s="114"/>
      <c r="I59" s="114"/>
      <c r="J59" s="115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42</vt:i4>
      </vt:variant>
      <vt:variant>
        <vt:lpstr>Named Ranges</vt:lpstr>
      </vt:variant>
      <vt:variant>
        <vt:i4>41</vt:i4>
      </vt:variant>
    </vt:vector>
  </HeadingPairs>
  <TitlesOfParts>
    <vt:vector size="83" baseType="lpstr">
      <vt:lpstr>(January 2025)</vt:lpstr>
      <vt:lpstr>(01)</vt:lpstr>
      <vt:lpstr>01,01 R1</vt:lpstr>
      <vt:lpstr>01,01 R2</vt:lpstr>
      <vt:lpstr>01,01 R3</vt:lpstr>
      <vt:lpstr>(2)</vt:lpstr>
      <vt:lpstr>01,02 R1 NO TRIP</vt:lpstr>
      <vt:lpstr>01,02 R2 NO TRIP</vt:lpstr>
      <vt:lpstr>01,02 R3</vt:lpstr>
      <vt:lpstr>(3)</vt:lpstr>
      <vt:lpstr>01,03 R1</vt:lpstr>
      <vt:lpstr>01,03 R2 NO TRIP</vt:lpstr>
      <vt:lpstr>01,03 R3</vt:lpstr>
      <vt:lpstr>(5)</vt:lpstr>
      <vt:lpstr>01,05 R1</vt:lpstr>
      <vt:lpstr>01,05 R2</vt:lpstr>
      <vt:lpstr>01,05 R3</vt:lpstr>
      <vt:lpstr>(6)</vt:lpstr>
      <vt:lpstr>01,06 R1</vt:lpstr>
      <vt:lpstr>01,06 R2</vt:lpstr>
      <vt:lpstr>01,06 R3</vt:lpstr>
      <vt:lpstr>(7)</vt:lpstr>
      <vt:lpstr>01,07 R1</vt:lpstr>
      <vt:lpstr>01,07 R2</vt:lpstr>
      <vt:lpstr>01,07 R2B</vt:lpstr>
      <vt:lpstr>01,07 R3</vt:lpstr>
      <vt:lpstr>(8)</vt:lpstr>
      <vt:lpstr>01,08 R1</vt:lpstr>
      <vt:lpstr>01,08 R2</vt:lpstr>
      <vt:lpstr>01,08 R3</vt:lpstr>
      <vt:lpstr>(9)</vt:lpstr>
      <vt:lpstr>01,09 R1</vt:lpstr>
      <vt:lpstr>01,09 R2</vt:lpstr>
      <vt:lpstr>01,09 R3</vt:lpstr>
      <vt:lpstr>(10)</vt:lpstr>
      <vt:lpstr>01,10 R1</vt:lpstr>
      <vt:lpstr>01,10 R2</vt:lpstr>
      <vt:lpstr>01,10 R3</vt:lpstr>
      <vt:lpstr>(12)</vt:lpstr>
      <vt:lpstr>01,12 R1</vt:lpstr>
      <vt:lpstr>01,12 R2</vt:lpstr>
      <vt:lpstr>01,12 R3</vt:lpstr>
      <vt:lpstr>'(01)'!Print_Area</vt:lpstr>
      <vt:lpstr>'(10)'!Print_Area</vt:lpstr>
      <vt:lpstr>'(12)'!Print_Area</vt:lpstr>
      <vt:lpstr>'(2)'!Print_Area</vt:lpstr>
      <vt:lpstr>'(3)'!Print_Area</vt:lpstr>
      <vt:lpstr>'(5)'!Print_Area</vt:lpstr>
      <vt:lpstr>'(6)'!Print_Area</vt:lpstr>
      <vt:lpstr>'(7)'!Print_Area</vt:lpstr>
      <vt:lpstr>'(8)'!Print_Area</vt:lpstr>
      <vt:lpstr>'(9)'!Print_Area</vt:lpstr>
      <vt:lpstr>'01,01 R1'!Print_Area</vt:lpstr>
      <vt:lpstr>'01,01 R2'!Print_Area</vt:lpstr>
      <vt:lpstr>'01,01 R3'!Print_Area</vt:lpstr>
      <vt:lpstr>'01,02 R1 NO TRIP'!Print_Area</vt:lpstr>
      <vt:lpstr>'01,02 R2 NO TRIP'!Print_Area</vt:lpstr>
      <vt:lpstr>'01,02 R3'!Print_Area</vt:lpstr>
      <vt:lpstr>'01,03 R1'!Print_Area</vt:lpstr>
      <vt:lpstr>'01,03 R2 NO TRIP'!Print_Area</vt:lpstr>
      <vt:lpstr>'01,03 R3'!Print_Area</vt:lpstr>
      <vt:lpstr>'01,05 R1'!Print_Area</vt:lpstr>
      <vt:lpstr>'01,05 R2'!Print_Area</vt:lpstr>
      <vt:lpstr>'01,05 R3'!Print_Area</vt:lpstr>
      <vt:lpstr>'01,06 R1'!Print_Area</vt:lpstr>
      <vt:lpstr>'01,06 R2'!Print_Area</vt:lpstr>
      <vt:lpstr>'01,06 R3'!Print_Area</vt:lpstr>
      <vt:lpstr>'01,07 R1'!Print_Area</vt:lpstr>
      <vt:lpstr>'01,07 R2'!Print_Area</vt:lpstr>
      <vt:lpstr>'01,07 R2B'!Print_Area</vt:lpstr>
      <vt:lpstr>'01,07 R3'!Print_Area</vt:lpstr>
      <vt:lpstr>'01,08 R1'!Print_Area</vt:lpstr>
      <vt:lpstr>'01,08 R2'!Print_Area</vt:lpstr>
      <vt:lpstr>'01,08 R3'!Print_Area</vt:lpstr>
      <vt:lpstr>'01,09 R1'!Print_Area</vt:lpstr>
      <vt:lpstr>'01,09 R2'!Print_Area</vt:lpstr>
      <vt:lpstr>'01,09 R3'!Print_Area</vt:lpstr>
      <vt:lpstr>'01,10 R1'!Print_Area</vt:lpstr>
      <vt:lpstr>'01,10 R2'!Print_Area</vt:lpstr>
      <vt:lpstr>'01,10 R3'!Print_Area</vt:lpstr>
      <vt:lpstr>'01,12 R1'!Print_Area</vt:lpstr>
      <vt:lpstr>'01,12 R2'!Print_Area</vt:lpstr>
      <vt:lpstr>'01,12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2026-01-08T05:34:20Z</cp:lastPrinted>
  <dcterms:created xsi:type="dcterms:W3CDTF">2024-09-01T23:36:50Z</dcterms:created>
  <dcterms:modified xsi:type="dcterms:W3CDTF">2026-01-08T05:35:02Z</dcterms:modified>
</cp:coreProperties>
</file>