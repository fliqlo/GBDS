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F9B5B693-EE38-4E04-A38A-77894A9396BE}" xr6:coauthVersionLast="45" xr6:coauthVersionMax="47" xr10:uidLastSave="{00000000-0000-0000-0000-000000000000}"/>
  <bookViews>
    <workbookView xWindow="-120" yWindow="-120" windowWidth="29040" windowHeight="15840" firstSheet="33" activeTab="39" xr2:uid="{00000000-000D-0000-FFFF-FFFF00000000}"/>
  </bookViews>
  <sheets>
    <sheet name="(January 2025)" sheetId="814" r:id="rId1"/>
    <sheet name="(01)" sheetId="1617" r:id="rId2"/>
    <sheet name="01,01 R1" sheetId="1618" r:id="rId3"/>
    <sheet name="01,01 R2" sheetId="1619" r:id="rId4"/>
    <sheet name="01,01 R3" sheetId="1620" r:id="rId5"/>
    <sheet name="(2)" sheetId="1645" r:id="rId6"/>
    <sheet name="01,02 R1 NO TRIP" sheetId="1646" r:id="rId7"/>
    <sheet name="01,02 R2 NO TRIP" sheetId="1647" r:id="rId8"/>
    <sheet name="01,02 R3" sheetId="1648" r:id="rId9"/>
    <sheet name="(3)" sheetId="1649" r:id="rId10"/>
    <sheet name="01,03 R1" sheetId="1650" r:id="rId11"/>
    <sheet name="01,03 R2 NO TRIP" sheetId="1651" r:id="rId12"/>
    <sheet name="01,03 R3" sheetId="1652" r:id="rId13"/>
    <sheet name="(5)" sheetId="1653" r:id="rId14"/>
    <sheet name="01,05 R1" sheetId="1654" r:id="rId15"/>
    <sheet name="01,05 R2" sheetId="1655" r:id="rId16"/>
    <sheet name="01,05 R3" sheetId="1656" r:id="rId17"/>
    <sheet name="(6)" sheetId="1657" r:id="rId18"/>
    <sheet name="01,06 R1" sheetId="1658" r:id="rId19"/>
    <sheet name="01,06 R2" sheetId="1659" r:id="rId20"/>
    <sheet name="01,06 R3" sheetId="1660" r:id="rId21"/>
    <sheet name="(7)" sheetId="1661" r:id="rId22"/>
    <sheet name="01,07 R1" sheetId="1662" r:id="rId23"/>
    <sheet name="01,07 R2" sheetId="1663" r:id="rId24"/>
    <sheet name="01,07 R2B" sheetId="1681" r:id="rId25"/>
    <sheet name="01,07 R3" sheetId="1664" r:id="rId26"/>
    <sheet name="(8)" sheetId="1665" r:id="rId27"/>
    <sheet name="01,08 R1" sheetId="1666" r:id="rId28"/>
    <sheet name="01,08 R2" sheetId="1667" r:id="rId29"/>
    <sheet name="01,08 R3" sheetId="1668" r:id="rId30"/>
    <sheet name="(9)" sheetId="1669" r:id="rId31"/>
    <sheet name="01,09 R1" sheetId="1670" r:id="rId32"/>
    <sheet name="01,09 R2" sheetId="1671" r:id="rId33"/>
    <sheet name="01,09 R3" sheetId="1672" r:id="rId34"/>
    <sheet name="(10)" sheetId="1673" r:id="rId35"/>
    <sheet name="01,10 R1" sheetId="1674" r:id="rId36"/>
    <sheet name="01,10 R2" sheetId="1675" r:id="rId37"/>
    <sheet name="01,10 R3" sheetId="1676" r:id="rId38"/>
    <sheet name="(12)" sheetId="1677" r:id="rId39"/>
    <sheet name="01,12 R1" sheetId="1678" r:id="rId40"/>
    <sheet name="01,12 R2" sheetId="1679" r:id="rId41"/>
    <sheet name="01,12 R3" sheetId="1680" r:id="rId42"/>
    <sheet name="(13)" sheetId="1682" r:id="rId43"/>
    <sheet name="01,12 R1 (2)" sheetId="1683" r:id="rId44"/>
    <sheet name="01,12 R2 (2)" sheetId="1684" r:id="rId45"/>
    <sheet name="01,12 R3 (2)" sheetId="1685" r:id="rId46"/>
  </sheets>
  <definedNames>
    <definedName name="_xlnm.Print_Area" localSheetId="1">'(01)'!$A$1:$J$60</definedName>
    <definedName name="_xlnm.Print_Area" localSheetId="34">'(10)'!$A$1:$J$60</definedName>
    <definedName name="_xlnm.Print_Area" localSheetId="38">'(12)'!$A$1:$J$60</definedName>
    <definedName name="_xlnm.Print_Area" localSheetId="42">'(13)'!$A$1:$J$60</definedName>
    <definedName name="_xlnm.Print_Area" localSheetId="5">'(2)'!$A$1:$J$60</definedName>
    <definedName name="_xlnm.Print_Area" localSheetId="9">'(3)'!$A$1:$J$60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6">'(8)'!$A$1:$J$60</definedName>
    <definedName name="_xlnm.Print_Area" localSheetId="30">'(9)'!$A$1:$J$60</definedName>
    <definedName name="_xlnm.Print_Area" localSheetId="2">'01,01 R1'!$A$1:$J$60</definedName>
    <definedName name="_xlnm.Print_Area" localSheetId="3">'01,01 R2'!$A$1:$J$60</definedName>
    <definedName name="_xlnm.Print_Area" localSheetId="4">'01,01 R3'!$A$1:$J$60</definedName>
    <definedName name="_xlnm.Print_Area" localSheetId="6">'01,02 R1 NO TRIP'!$A$1:$J$60</definedName>
    <definedName name="_xlnm.Print_Area" localSheetId="7">'01,02 R2 NO TRIP'!$A$1:$J$60</definedName>
    <definedName name="_xlnm.Print_Area" localSheetId="8">'01,02 R3'!$A$1:$J$60</definedName>
    <definedName name="_xlnm.Print_Area" localSheetId="10">'01,03 R1'!$A$1:$J$60</definedName>
    <definedName name="_xlnm.Print_Area" localSheetId="11">'01,03 R2 NO TRIP'!$A$1:$J$60</definedName>
    <definedName name="_xlnm.Print_Area" localSheetId="12">'01,03 R3'!$A$1:$J$60</definedName>
    <definedName name="_xlnm.Print_Area" localSheetId="14">'01,05 R1'!$A$1:$J$60</definedName>
    <definedName name="_xlnm.Print_Area" localSheetId="15">'01,05 R2'!$A$1:$J$60</definedName>
    <definedName name="_xlnm.Print_Area" localSheetId="16">'01,05 R3'!$A$1:$J$60</definedName>
    <definedName name="_xlnm.Print_Area" localSheetId="18">'01,06 R1'!$A$1:$J$60</definedName>
    <definedName name="_xlnm.Print_Area" localSheetId="19">'01,06 R2'!$A$1:$J$60</definedName>
    <definedName name="_xlnm.Print_Area" localSheetId="20">'01,06 R3'!$A$1:$J$60</definedName>
    <definedName name="_xlnm.Print_Area" localSheetId="22">'01,07 R1'!$A$1:$J$60</definedName>
    <definedName name="_xlnm.Print_Area" localSheetId="23">'01,07 R2'!$A$1:$J$60</definedName>
    <definedName name="_xlnm.Print_Area" localSheetId="24">'01,07 R2B'!$A$1:$J$60</definedName>
    <definedName name="_xlnm.Print_Area" localSheetId="25">'01,07 R3'!$A$1:$J$60</definedName>
    <definedName name="_xlnm.Print_Area" localSheetId="27">'01,08 R1'!$A$1:$J$60</definedName>
    <definedName name="_xlnm.Print_Area" localSheetId="28">'01,08 R2'!$A$1:$J$60</definedName>
    <definedName name="_xlnm.Print_Area" localSheetId="29">'01,08 R3'!$A$1:$J$60</definedName>
    <definedName name="_xlnm.Print_Area" localSheetId="31">'01,09 R1'!$A$1:$J$60</definedName>
    <definedName name="_xlnm.Print_Area" localSheetId="32">'01,09 R2'!$A$1:$J$60</definedName>
    <definedName name="_xlnm.Print_Area" localSheetId="33">'01,09 R3'!$A$1:$J$60</definedName>
    <definedName name="_xlnm.Print_Area" localSheetId="35">'01,10 R1'!$A$1:$J$60</definedName>
    <definedName name="_xlnm.Print_Area" localSheetId="36">'01,10 R2'!$A$1:$J$60</definedName>
    <definedName name="_xlnm.Print_Area" localSheetId="37">'01,10 R3'!$A$1:$J$60</definedName>
    <definedName name="_xlnm.Print_Area" localSheetId="39">'01,12 R1'!$A$1:$J$60</definedName>
    <definedName name="_xlnm.Print_Area" localSheetId="43">'01,12 R1 (2)'!$A$1:$J$60</definedName>
    <definedName name="_xlnm.Print_Area" localSheetId="40">'01,12 R2'!$A$1:$J$60</definedName>
    <definedName name="_xlnm.Print_Area" localSheetId="44">'01,12 R2 (2)'!$A$1:$J$60</definedName>
    <definedName name="_xlnm.Print_Area" localSheetId="41">'01,12 R3'!$A$1:$J$60</definedName>
    <definedName name="_xlnm.Print_Area" localSheetId="45">'01,12 R3 (2)'!$A$1:$J$60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8" i="1678" l="1"/>
  <c r="H16" i="1680"/>
  <c r="H16" i="1679"/>
  <c r="C12" i="1680"/>
  <c r="R52" i="1685"/>
  <c r="R51" i="1685"/>
  <c r="D50" i="1685"/>
  <c r="R49" i="1685"/>
  <c r="G49" i="1685"/>
  <c r="D49" i="1685"/>
  <c r="R48" i="1685"/>
  <c r="D48" i="1685"/>
  <c r="D46" i="1685"/>
  <c r="D45" i="1685"/>
  <c r="R44" i="1685"/>
  <c r="D44" i="1685"/>
  <c r="R42" i="1685"/>
  <c r="D42" i="1685"/>
  <c r="R41" i="1685"/>
  <c r="D41" i="1685"/>
  <c r="R40" i="1685"/>
  <c r="D40" i="1685"/>
  <c r="R39" i="1685"/>
  <c r="H39" i="1685"/>
  <c r="D39" i="1685"/>
  <c r="R38" i="1685"/>
  <c r="H38" i="1685"/>
  <c r="D38" i="1685"/>
  <c r="R37" i="1685"/>
  <c r="H37" i="1685"/>
  <c r="D37" i="1685"/>
  <c r="R36" i="1685"/>
  <c r="H36" i="1685"/>
  <c r="D36" i="1685"/>
  <c r="R35" i="1685"/>
  <c r="H35" i="1685"/>
  <c r="D35" i="1685"/>
  <c r="R34" i="1685"/>
  <c r="L12" i="1685" s="1"/>
  <c r="D12" i="1685" s="1"/>
  <c r="H34" i="1685"/>
  <c r="D34" i="1685"/>
  <c r="D54" i="1685" s="1"/>
  <c r="H14" i="1685" s="1"/>
  <c r="R33" i="1685"/>
  <c r="L23" i="1685" s="1"/>
  <c r="D23" i="1685" s="1"/>
  <c r="R32" i="1685"/>
  <c r="R31" i="1685"/>
  <c r="R30" i="1685"/>
  <c r="R29" i="1685"/>
  <c r="R28" i="1685"/>
  <c r="L16" i="1685" s="1"/>
  <c r="D16" i="1685" s="1"/>
  <c r="D28" i="1685"/>
  <c r="R27" i="1685"/>
  <c r="D27" i="1685"/>
  <c r="R26" i="1685"/>
  <c r="L26" i="1685"/>
  <c r="D26" i="1685"/>
  <c r="R25" i="1685"/>
  <c r="L25" i="1685"/>
  <c r="D25" i="1685"/>
  <c r="R24" i="1685"/>
  <c r="D24" i="1685"/>
  <c r="R23" i="1685"/>
  <c r="R22" i="1685"/>
  <c r="L22" i="1685"/>
  <c r="D22" i="1685" s="1"/>
  <c r="R21" i="1685"/>
  <c r="D21" i="1685"/>
  <c r="R20" i="1685"/>
  <c r="L20" i="1685"/>
  <c r="D20" i="1685"/>
  <c r="R19" i="1685"/>
  <c r="L19" i="1685"/>
  <c r="D19" i="1685"/>
  <c r="R18" i="1685"/>
  <c r="D18" i="1685"/>
  <c r="R17" i="1685"/>
  <c r="D17" i="1685"/>
  <c r="R16" i="1685"/>
  <c r="R15" i="1685"/>
  <c r="D15" i="1685"/>
  <c r="R14" i="1685"/>
  <c r="D14" i="1685"/>
  <c r="R13" i="1685"/>
  <c r="D13" i="1685"/>
  <c r="R12" i="1685"/>
  <c r="R11" i="1685"/>
  <c r="L11" i="1685"/>
  <c r="D11" i="1685"/>
  <c r="L10" i="1685"/>
  <c r="D10" i="1685" s="1"/>
  <c r="L9" i="1685"/>
  <c r="D9" i="1685"/>
  <c r="L8" i="1685"/>
  <c r="D8" i="1685" s="1"/>
  <c r="L7" i="1685"/>
  <c r="D7" i="1685"/>
  <c r="R6" i="1685"/>
  <c r="L6" i="1685"/>
  <c r="D6" i="1685" s="1"/>
  <c r="R5" i="1685"/>
  <c r="R4" i="1685"/>
  <c r="R52" i="1684"/>
  <c r="R51" i="1684"/>
  <c r="D50" i="1684"/>
  <c r="R49" i="1684"/>
  <c r="D49" i="1684"/>
  <c r="R48" i="1684"/>
  <c r="D48" i="1684"/>
  <c r="D46" i="1684"/>
  <c r="D45" i="1684"/>
  <c r="R44" i="1684"/>
  <c r="D44" i="1684"/>
  <c r="R42" i="1684"/>
  <c r="D42" i="1684"/>
  <c r="R41" i="1684"/>
  <c r="D41" i="1684"/>
  <c r="R40" i="1684"/>
  <c r="D40" i="1684"/>
  <c r="R39" i="1684"/>
  <c r="L20" i="1684" s="1"/>
  <c r="D20" i="1684" s="1"/>
  <c r="H39" i="1684"/>
  <c r="D39" i="1684"/>
  <c r="R38" i="1684"/>
  <c r="L9" i="1684" s="1"/>
  <c r="D9" i="1684" s="1"/>
  <c r="H38" i="1684"/>
  <c r="D38" i="1684"/>
  <c r="R37" i="1684"/>
  <c r="H37" i="1684"/>
  <c r="G49" i="1684" s="1"/>
  <c r="D37" i="1684"/>
  <c r="R36" i="1684"/>
  <c r="H36" i="1684"/>
  <c r="D36" i="1684"/>
  <c r="R35" i="1684"/>
  <c r="H35" i="1684"/>
  <c r="D35" i="1684"/>
  <c r="R34" i="1684"/>
  <c r="H34" i="1684"/>
  <c r="D34" i="1684"/>
  <c r="D54" i="1684" s="1"/>
  <c r="H14" i="1684" s="1"/>
  <c r="R33" i="1684"/>
  <c r="R32" i="1684"/>
  <c r="L11" i="1684" s="1"/>
  <c r="D11" i="1684" s="1"/>
  <c r="R31" i="1684"/>
  <c r="R30" i="1684"/>
  <c r="R29" i="1684"/>
  <c r="R28" i="1684"/>
  <c r="L16" i="1684" s="1"/>
  <c r="D16" i="1684" s="1"/>
  <c r="D28" i="1684"/>
  <c r="R27" i="1684"/>
  <c r="D27" i="1684"/>
  <c r="R26" i="1684"/>
  <c r="L26" i="1684"/>
  <c r="D26" i="1684"/>
  <c r="R25" i="1684"/>
  <c r="L25" i="1684"/>
  <c r="D25" i="1684"/>
  <c r="R24" i="1684"/>
  <c r="L24" i="1684"/>
  <c r="D24" i="1684"/>
  <c r="R23" i="1684"/>
  <c r="L23" i="1684"/>
  <c r="D23" i="1684" s="1"/>
  <c r="R22" i="1684"/>
  <c r="L22" i="1684"/>
  <c r="D22" i="1684"/>
  <c r="R21" i="1684"/>
  <c r="D21" i="1684"/>
  <c r="R20" i="1684"/>
  <c r="R19" i="1684"/>
  <c r="L19" i="1684"/>
  <c r="D19" i="1684" s="1"/>
  <c r="R18" i="1684"/>
  <c r="D18" i="1684"/>
  <c r="R17" i="1684"/>
  <c r="L17" i="1684"/>
  <c r="D17" i="1684" s="1"/>
  <c r="R16" i="1684"/>
  <c r="R15" i="1684"/>
  <c r="D15" i="1684"/>
  <c r="R14" i="1684"/>
  <c r="D14" i="1684"/>
  <c r="R13" i="1684"/>
  <c r="D13" i="1684"/>
  <c r="R12" i="1684"/>
  <c r="L12" i="1684"/>
  <c r="D12" i="1684"/>
  <c r="R11" i="1684"/>
  <c r="L10" i="1684"/>
  <c r="D10" i="1684"/>
  <c r="L8" i="1684"/>
  <c r="D8" i="1684"/>
  <c r="L7" i="1684"/>
  <c r="D7" i="1684"/>
  <c r="R6" i="1684"/>
  <c r="L6" i="1684"/>
  <c r="D6" i="1684"/>
  <c r="R5" i="1684"/>
  <c r="R4" i="1684"/>
  <c r="D54" i="1683"/>
  <c r="H14" i="1683" s="1"/>
  <c r="R52" i="1683"/>
  <c r="R51" i="1683"/>
  <c r="D50" i="1683"/>
  <c r="R49" i="1683"/>
  <c r="G49" i="1683"/>
  <c r="D49" i="1683"/>
  <c r="R48" i="1683"/>
  <c r="D48" i="1683"/>
  <c r="D46" i="1683"/>
  <c r="D45" i="1683"/>
  <c r="R44" i="1683"/>
  <c r="D44" i="1683"/>
  <c r="R42" i="1683"/>
  <c r="D42" i="1683"/>
  <c r="R41" i="1683"/>
  <c r="L7" i="1683" s="1"/>
  <c r="D7" i="1683" s="1"/>
  <c r="D41" i="1683"/>
  <c r="R40" i="1683"/>
  <c r="D40" i="1683"/>
  <c r="R39" i="1683"/>
  <c r="H39" i="1683"/>
  <c r="D39" i="1683"/>
  <c r="R38" i="1683"/>
  <c r="H38" i="1683"/>
  <c r="D38" i="1683"/>
  <c r="R37" i="1683"/>
  <c r="H37" i="1683"/>
  <c r="D37" i="1683"/>
  <c r="R36" i="1683"/>
  <c r="H36" i="1683"/>
  <c r="D36" i="1683"/>
  <c r="R35" i="1683"/>
  <c r="H35" i="1683"/>
  <c r="D35" i="1683"/>
  <c r="R34" i="1683"/>
  <c r="L12" i="1683" s="1"/>
  <c r="H34" i="1683"/>
  <c r="D34" i="1683"/>
  <c r="R33" i="1683"/>
  <c r="R32" i="1683"/>
  <c r="R31" i="1683"/>
  <c r="R30" i="1683"/>
  <c r="R29" i="1683"/>
  <c r="R28" i="1683"/>
  <c r="D28" i="1683"/>
  <c r="R27" i="1683"/>
  <c r="D27" i="1683"/>
  <c r="R26" i="1683"/>
  <c r="L26" i="1683"/>
  <c r="D26" i="1683"/>
  <c r="R25" i="1683"/>
  <c r="L25" i="1683"/>
  <c r="D25" i="1683"/>
  <c r="R24" i="1683"/>
  <c r="L24" i="1683"/>
  <c r="D24" i="1683"/>
  <c r="R23" i="1683"/>
  <c r="D23" i="1683"/>
  <c r="R22" i="1683"/>
  <c r="D22" i="1683"/>
  <c r="R21" i="1683"/>
  <c r="D21" i="1683"/>
  <c r="R20" i="1683"/>
  <c r="L20" i="1683"/>
  <c r="C20" i="1683"/>
  <c r="D20" i="1683" s="1"/>
  <c r="R19" i="1683"/>
  <c r="D19" i="1683"/>
  <c r="R18" i="1683"/>
  <c r="D18" i="1683"/>
  <c r="R17" i="1683"/>
  <c r="L17" i="1683"/>
  <c r="D17" i="1683"/>
  <c r="R16" i="1683"/>
  <c r="L16" i="1683"/>
  <c r="D16" i="1683" s="1"/>
  <c r="R15" i="1683"/>
  <c r="D15" i="1683"/>
  <c r="R14" i="1683"/>
  <c r="D14" i="1683"/>
  <c r="R13" i="1683"/>
  <c r="D13" i="1683"/>
  <c r="R12" i="1683"/>
  <c r="C12" i="1683"/>
  <c r="R11" i="1683"/>
  <c r="L11" i="1683"/>
  <c r="D11" i="1683" s="1"/>
  <c r="L10" i="1683"/>
  <c r="D10" i="1683"/>
  <c r="L9" i="1683"/>
  <c r="D9" i="1683" s="1"/>
  <c r="L8" i="1683"/>
  <c r="D8" i="1683"/>
  <c r="R6" i="1683"/>
  <c r="L6" i="1683"/>
  <c r="D6" i="1683" s="1"/>
  <c r="R5" i="1683"/>
  <c r="R4" i="1683"/>
  <c r="R52" i="1682"/>
  <c r="R51" i="1682"/>
  <c r="D50" i="1682"/>
  <c r="R49" i="1682"/>
  <c r="G49" i="1682"/>
  <c r="D49" i="1682"/>
  <c r="R48" i="1682"/>
  <c r="D48" i="1682"/>
  <c r="D46" i="1682"/>
  <c r="D45" i="1682"/>
  <c r="D44" i="1682"/>
  <c r="R42" i="1682"/>
  <c r="L6" i="1682" s="1"/>
  <c r="D6" i="1682" s="1"/>
  <c r="D42" i="1682"/>
  <c r="R41" i="1682"/>
  <c r="L7" i="1682" s="1"/>
  <c r="D7" i="1682" s="1"/>
  <c r="D41" i="1682"/>
  <c r="R40" i="1682"/>
  <c r="D40" i="1682"/>
  <c r="R39" i="1682"/>
  <c r="D39" i="1682"/>
  <c r="R38" i="1682"/>
  <c r="L9" i="1682" s="1"/>
  <c r="D9" i="1682" s="1"/>
  <c r="D38" i="1682"/>
  <c r="R37" i="1682"/>
  <c r="D37" i="1682"/>
  <c r="R36" i="1682"/>
  <c r="L10" i="1682" s="1"/>
  <c r="D10" i="1682" s="1"/>
  <c r="D36" i="1682"/>
  <c r="R35" i="1682"/>
  <c r="D35" i="1682"/>
  <c r="R34" i="1682"/>
  <c r="L12" i="1682" s="1"/>
  <c r="D12" i="1682" s="1"/>
  <c r="D34" i="1682"/>
  <c r="D54" i="1682" s="1"/>
  <c r="H14" i="1682" s="1"/>
  <c r="R33" i="1682"/>
  <c r="L23" i="1682" s="1"/>
  <c r="D23" i="1682" s="1"/>
  <c r="R32" i="1682"/>
  <c r="R31" i="1682"/>
  <c r="R30" i="1682"/>
  <c r="R29" i="1682"/>
  <c r="R28" i="1682"/>
  <c r="D28" i="1682"/>
  <c r="R27" i="1682"/>
  <c r="D27" i="1682"/>
  <c r="R26" i="1682"/>
  <c r="L26" i="1682"/>
  <c r="D26" i="1682"/>
  <c r="R25" i="1682"/>
  <c r="L25" i="1682"/>
  <c r="D25" i="1682"/>
  <c r="R24" i="1682"/>
  <c r="D24" i="1682"/>
  <c r="R23" i="1682"/>
  <c r="R22" i="1682"/>
  <c r="L22" i="1682"/>
  <c r="D22" i="1682"/>
  <c r="R21" i="1682"/>
  <c r="D21" i="1682"/>
  <c r="R20" i="1682"/>
  <c r="L20" i="1682"/>
  <c r="D20" i="1682"/>
  <c r="R19" i="1682"/>
  <c r="L19" i="1682"/>
  <c r="D19" i="1682"/>
  <c r="R18" i="1682"/>
  <c r="D18" i="1682"/>
  <c r="R17" i="1682"/>
  <c r="D17" i="1682"/>
  <c r="R16" i="1682"/>
  <c r="L16" i="1682"/>
  <c r="D16" i="1682" s="1"/>
  <c r="S15" i="1682"/>
  <c r="R15" i="1682"/>
  <c r="D15" i="1682"/>
  <c r="S14" i="1682"/>
  <c r="R14" i="1682"/>
  <c r="D14" i="1682"/>
  <c r="R13" i="1682"/>
  <c r="D13" i="1682"/>
  <c r="R12" i="1682"/>
  <c r="R11" i="1682"/>
  <c r="L11" i="1682"/>
  <c r="D11" i="1682" s="1"/>
  <c r="L8" i="1682"/>
  <c r="D8" i="1682"/>
  <c r="R6" i="1682"/>
  <c r="R5" i="1682"/>
  <c r="R4" i="1682"/>
  <c r="C20" i="1678"/>
  <c r="C12" i="1678"/>
  <c r="D29" i="1685" l="1"/>
  <c r="H13" i="1685" s="1"/>
  <c r="H15" i="1685" s="1"/>
  <c r="H29" i="1685" s="1"/>
  <c r="G51" i="1685"/>
  <c r="D29" i="1684"/>
  <c r="H13" i="1684" s="1"/>
  <c r="H15" i="1684" s="1"/>
  <c r="H29" i="1684" s="1"/>
  <c r="G51" i="1684" s="1"/>
  <c r="D12" i="1683"/>
  <c r="D29" i="1683" s="1"/>
  <c r="H13" i="1683" s="1"/>
  <c r="H15" i="1683" s="1"/>
  <c r="H29" i="1683" s="1"/>
  <c r="G51" i="1683" s="1"/>
  <c r="D29" i="1682"/>
  <c r="H13" i="1682" s="1"/>
  <c r="H15" i="1682" s="1"/>
  <c r="H29" i="1682" s="1"/>
  <c r="G51" i="1682"/>
  <c r="H16" i="1676"/>
  <c r="L28" i="1676" l="1"/>
  <c r="L25" i="1671" l="1"/>
  <c r="L25" i="1675"/>
  <c r="C12" i="1672" l="1"/>
  <c r="C12" i="1671"/>
  <c r="H16" i="1672"/>
  <c r="H16" i="1668" l="1"/>
  <c r="H16" i="1666"/>
  <c r="C12" i="1668" l="1"/>
  <c r="C12" i="1667"/>
  <c r="L28" i="1666"/>
  <c r="H29" i="1681" l="1"/>
  <c r="R52" i="1681"/>
  <c r="R51" i="1681"/>
  <c r="D50" i="1681"/>
  <c r="R49" i="1681"/>
  <c r="D49" i="1681"/>
  <c r="R48" i="1681"/>
  <c r="D48" i="1681"/>
  <c r="D46" i="1681"/>
  <c r="D45" i="1681"/>
  <c r="R44" i="1681"/>
  <c r="L28" i="1681" s="1"/>
  <c r="D28" i="1681" s="1"/>
  <c r="D44" i="1681"/>
  <c r="R42" i="1681"/>
  <c r="D42" i="1681"/>
  <c r="R41" i="1681"/>
  <c r="L7" i="1681" s="1"/>
  <c r="D7" i="1681" s="1"/>
  <c r="D41" i="1681"/>
  <c r="D54" i="1681" s="1"/>
  <c r="H14" i="1681" s="1"/>
  <c r="R40" i="1681"/>
  <c r="D40" i="1681"/>
  <c r="R39" i="1681"/>
  <c r="H39" i="1681"/>
  <c r="D39" i="1681"/>
  <c r="R38" i="1681"/>
  <c r="H38" i="1681"/>
  <c r="D38" i="1681"/>
  <c r="R37" i="1681"/>
  <c r="H37" i="1681"/>
  <c r="D37" i="1681"/>
  <c r="R36" i="1681"/>
  <c r="H36" i="1681"/>
  <c r="D36" i="1681"/>
  <c r="R35" i="1681"/>
  <c r="L19" i="1681" s="1"/>
  <c r="D19" i="1681" s="1"/>
  <c r="H35" i="1681"/>
  <c r="D35" i="1681"/>
  <c r="R34" i="1681"/>
  <c r="H34" i="1681"/>
  <c r="G49" i="1681" s="1"/>
  <c r="D34" i="1681"/>
  <c r="R33" i="1681"/>
  <c r="R32" i="1681"/>
  <c r="R31" i="1681"/>
  <c r="R30" i="1681"/>
  <c r="R29" i="1681"/>
  <c r="R28" i="1681"/>
  <c r="R27" i="1681"/>
  <c r="D27" i="1681"/>
  <c r="R26" i="1681"/>
  <c r="L26" i="1681"/>
  <c r="D26" i="1681"/>
  <c r="R25" i="1681"/>
  <c r="L25" i="1681"/>
  <c r="D25" i="1681" s="1"/>
  <c r="R24" i="1681"/>
  <c r="L24" i="1681"/>
  <c r="D24" i="1681"/>
  <c r="R23" i="1681"/>
  <c r="L23" i="1681"/>
  <c r="D23" i="1681"/>
  <c r="R22" i="1681"/>
  <c r="L22" i="1681"/>
  <c r="D22" i="1681"/>
  <c r="R21" i="1681"/>
  <c r="L17" i="1681" s="1"/>
  <c r="D17" i="1681" s="1"/>
  <c r="D21" i="1681"/>
  <c r="R20" i="1681"/>
  <c r="L20" i="1681"/>
  <c r="D20" i="1681"/>
  <c r="R19" i="1681"/>
  <c r="R18" i="1681"/>
  <c r="D18" i="1681"/>
  <c r="R17" i="1681"/>
  <c r="R16" i="1681"/>
  <c r="L16" i="1681"/>
  <c r="D16" i="1681"/>
  <c r="R15" i="1681"/>
  <c r="D15" i="1681"/>
  <c r="R14" i="1681"/>
  <c r="D14" i="1681"/>
  <c r="R13" i="1681"/>
  <c r="D13" i="1681"/>
  <c r="R12" i="1681"/>
  <c r="L12" i="1681"/>
  <c r="D12" i="1681"/>
  <c r="R11" i="1681"/>
  <c r="L11" i="1681"/>
  <c r="D11" i="1681"/>
  <c r="L10" i="1681"/>
  <c r="D10" i="1681" s="1"/>
  <c r="L9" i="1681"/>
  <c r="D9" i="1681"/>
  <c r="L8" i="1681"/>
  <c r="D8" i="1681" s="1"/>
  <c r="R6" i="1681"/>
  <c r="L6" i="1681"/>
  <c r="D6" i="1681"/>
  <c r="R5" i="1681"/>
  <c r="R4" i="1681"/>
  <c r="D29" i="1681" l="1"/>
  <c r="H13" i="1681" s="1"/>
  <c r="H15" i="1681" s="1"/>
  <c r="G51" i="1681" s="1"/>
  <c r="L28" i="1663"/>
  <c r="H16" i="1663" l="1"/>
  <c r="H16" i="1662"/>
  <c r="C12" i="1664"/>
  <c r="C21" i="1664"/>
  <c r="L28" i="1662"/>
  <c r="L23" i="1662"/>
  <c r="L25" i="1662"/>
  <c r="C6" i="1660" l="1"/>
  <c r="C21" i="1659" l="1"/>
  <c r="L23" i="1658"/>
  <c r="L25" i="1658"/>
  <c r="H16" i="1660"/>
  <c r="H16" i="1659"/>
  <c r="H38" i="1659"/>
  <c r="H39" i="1659"/>
  <c r="H16" i="1656" l="1"/>
  <c r="H16" i="1655"/>
  <c r="H16" i="1654"/>
  <c r="L28" i="1656" l="1"/>
  <c r="C12" i="1656"/>
  <c r="L28" i="1655"/>
  <c r="C9" i="1654"/>
  <c r="L28" i="1654"/>
  <c r="H16" i="1652" l="1"/>
  <c r="H16" i="1650"/>
  <c r="C18" i="1652"/>
  <c r="C15" i="1652"/>
  <c r="C12" i="1650"/>
  <c r="H16" i="1648" l="1"/>
  <c r="R52" i="1680" l="1"/>
  <c r="L22" i="1680" s="1"/>
  <c r="D22" i="1680" s="1"/>
  <c r="R51" i="1680"/>
  <c r="D50" i="1680"/>
  <c r="R49" i="1680"/>
  <c r="D49" i="1680"/>
  <c r="R48" i="1680"/>
  <c r="D48" i="1680"/>
  <c r="D46" i="1680"/>
  <c r="D45" i="1680"/>
  <c r="R44" i="1680"/>
  <c r="L28" i="1680" s="1"/>
  <c r="D44" i="1680"/>
  <c r="R42" i="1680"/>
  <c r="L6" i="1680" s="1"/>
  <c r="D6" i="1680" s="1"/>
  <c r="D42" i="1680"/>
  <c r="R41" i="1680"/>
  <c r="D41" i="1680"/>
  <c r="R40" i="1680"/>
  <c r="D40" i="1680"/>
  <c r="R39" i="1680"/>
  <c r="H39" i="1680"/>
  <c r="D39" i="1680"/>
  <c r="R38" i="1680"/>
  <c r="H38" i="1680"/>
  <c r="D38" i="1680"/>
  <c r="R37" i="1680"/>
  <c r="H37" i="1680"/>
  <c r="D37" i="1680"/>
  <c r="R36" i="1680"/>
  <c r="H36" i="1680"/>
  <c r="D36" i="1680"/>
  <c r="R35" i="1680"/>
  <c r="L19" i="1680" s="1"/>
  <c r="D19" i="1680" s="1"/>
  <c r="H35" i="1680"/>
  <c r="D35" i="1680"/>
  <c r="R34" i="1680"/>
  <c r="L12" i="1680" s="1"/>
  <c r="D12" i="1680" s="1"/>
  <c r="H34" i="1680"/>
  <c r="D34" i="1680"/>
  <c r="R33" i="1680"/>
  <c r="L23" i="1680" s="1"/>
  <c r="D23" i="1680" s="1"/>
  <c r="R32" i="1680"/>
  <c r="L11" i="1680" s="1"/>
  <c r="D11" i="1680" s="1"/>
  <c r="R31" i="1680"/>
  <c r="R30" i="1680"/>
  <c r="R29" i="1680"/>
  <c r="R28" i="1680"/>
  <c r="D28" i="1680"/>
  <c r="R27" i="1680"/>
  <c r="D27" i="1680"/>
  <c r="R26" i="1680"/>
  <c r="L26" i="1680"/>
  <c r="D26" i="1680"/>
  <c r="R25" i="1680"/>
  <c r="L25" i="1680"/>
  <c r="D25" i="1680"/>
  <c r="R24" i="1680"/>
  <c r="D24" i="1680"/>
  <c r="R23" i="1680"/>
  <c r="R22" i="1680"/>
  <c r="R21" i="1680"/>
  <c r="D21" i="1680"/>
  <c r="R20" i="1680"/>
  <c r="L20" i="1680"/>
  <c r="D20" i="1680"/>
  <c r="R19" i="1680"/>
  <c r="R18" i="1680"/>
  <c r="D18" i="1680"/>
  <c r="R17" i="1680"/>
  <c r="D17" i="1680"/>
  <c r="R16" i="1680"/>
  <c r="L16" i="1680"/>
  <c r="D16" i="1680" s="1"/>
  <c r="R15" i="1680"/>
  <c r="D15" i="1680"/>
  <c r="R14" i="1680"/>
  <c r="D14" i="1680"/>
  <c r="R13" i="1680"/>
  <c r="D13" i="1680"/>
  <c r="R12" i="1680"/>
  <c r="R11" i="1680"/>
  <c r="L10" i="1680"/>
  <c r="D10" i="1680"/>
  <c r="L9" i="1680"/>
  <c r="D9" i="1680" s="1"/>
  <c r="L8" i="1680"/>
  <c r="D8" i="1680" s="1"/>
  <c r="L7" i="1680"/>
  <c r="D7" i="1680" s="1"/>
  <c r="R6" i="1680"/>
  <c r="R5" i="1680"/>
  <c r="R4" i="1680"/>
  <c r="R52" i="1679"/>
  <c r="R51" i="1679"/>
  <c r="D50" i="1679"/>
  <c r="R49" i="1679"/>
  <c r="D49" i="1679"/>
  <c r="R48" i="1679"/>
  <c r="D48" i="1679"/>
  <c r="D46" i="1679"/>
  <c r="D45" i="1679"/>
  <c r="R44" i="1679"/>
  <c r="D44" i="1679"/>
  <c r="R42" i="1679"/>
  <c r="L6" i="1679" s="1"/>
  <c r="D6" i="1679" s="1"/>
  <c r="D42" i="1679"/>
  <c r="R41" i="1679"/>
  <c r="L7" i="1679" s="1"/>
  <c r="D7" i="1679" s="1"/>
  <c r="D41" i="1679"/>
  <c r="R40" i="1679"/>
  <c r="L8" i="1679" s="1"/>
  <c r="D8" i="1679" s="1"/>
  <c r="D40" i="1679"/>
  <c r="R39" i="1679"/>
  <c r="L20" i="1679" s="1"/>
  <c r="D20" i="1679" s="1"/>
  <c r="H39" i="1679"/>
  <c r="D39" i="1679"/>
  <c r="R38" i="1679"/>
  <c r="H38" i="1679"/>
  <c r="D38" i="1679"/>
  <c r="R37" i="1679"/>
  <c r="H37" i="1679"/>
  <c r="D37" i="1679"/>
  <c r="R36" i="1679"/>
  <c r="H36" i="1679"/>
  <c r="D36" i="1679"/>
  <c r="R35" i="1679"/>
  <c r="L19" i="1679" s="1"/>
  <c r="D19" i="1679" s="1"/>
  <c r="H35" i="1679"/>
  <c r="D35" i="1679"/>
  <c r="R34" i="1679"/>
  <c r="H34" i="1679"/>
  <c r="D34" i="1679"/>
  <c r="R33" i="1679"/>
  <c r="L23" i="1679" s="1"/>
  <c r="D23" i="1679" s="1"/>
  <c r="R32" i="1679"/>
  <c r="R31" i="1679"/>
  <c r="R30" i="1679"/>
  <c r="R29" i="1679"/>
  <c r="R28" i="1679"/>
  <c r="D28" i="1679"/>
  <c r="R27" i="1679"/>
  <c r="D27" i="1679"/>
  <c r="R26" i="1679"/>
  <c r="L26" i="1679"/>
  <c r="D26" i="1679" s="1"/>
  <c r="R25" i="1679"/>
  <c r="L25" i="1679"/>
  <c r="D25" i="1679"/>
  <c r="R24" i="1679"/>
  <c r="L24" i="1679"/>
  <c r="D24" i="1679" s="1"/>
  <c r="R23" i="1679"/>
  <c r="R22" i="1679"/>
  <c r="L22" i="1679"/>
  <c r="D22" i="1679"/>
  <c r="R21" i="1679"/>
  <c r="L17" i="1679" s="1"/>
  <c r="D17" i="1679" s="1"/>
  <c r="D21" i="1679"/>
  <c r="R20" i="1679"/>
  <c r="R19" i="1679"/>
  <c r="R18" i="1679"/>
  <c r="D18" i="1679"/>
  <c r="R17" i="1679"/>
  <c r="R16" i="1679"/>
  <c r="L16" i="1679"/>
  <c r="D16" i="1679"/>
  <c r="R15" i="1679"/>
  <c r="D15" i="1679"/>
  <c r="R14" i="1679"/>
  <c r="D14" i="1679"/>
  <c r="R13" i="1679"/>
  <c r="D13" i="1679"/>
  <c r="R12" i="1679"/>
  <c r="L12" i="1679"/>
  <c r="D12" i="1679" s="1"/>
  <c r="R11" i="1679"/>
  <c r="L11" i="1679"/>
  <c r="D11" i="1679"/>
  <c r="L10" i="1679"/>
  <c r="D10" i="1679" s="1"/>
  <c r="L9" i="1679"/>
  <c r="D9" i="1679" s="1"/>
  <c r="R6" i="1679"/>
  <c r="R5" i="1679"/>
  <c r="R4" i="1679"/>
  <c r="R52" i="1678"/>
  <c r="R51" i="1678"/>
  <c r="D50" i="1678"/>
  <c r="R49" i="1678"/>
  <c r="D49" i="1678"/>
  <c r="R48" i="1678"/>
  <c r="D48" i="1678"/>
  <c r="D46" i="1678"/>
  <c r="D45" i="1678"/>
  <c r="R44" i="1678"/>
  <c r="D44" i="1678"/>
  <c r="R42" i="1678"/>
  <c r="D42" i="1678"/>
  <c r="R41" i="1678"/>
  <c r="L7" i="1678" s="1"/>
  <c r="D7" i="1678" s="1"/>
  <c r="D41" i="1678"/>
  <c r="R40" i="1678"/>
  <c r="D40" i="1678"/>
  <c r="R39" i="1678"/>
  <c r="L20" i="1678" s="1"/>
  <c r="D20" i="1678" s="1"/>
  <c r="H39" i="1678"/>
  <c r="D39" i="1678"/>
  <c r="R38" i="1678"/>
  <c r="L9" i="1678" s="1"/>
  <c r="D9" i="1678" s="1"/>
  <c r="H38" i="1678"/>
  <c r="D38" i="1678"/>
  <c r="R37" i="1678"/>
  <c r="H37" i="1678"/>
  <c r="D37" i="1678"/>
  <c r="R36" i="1678"/>
  <c r="L10" i="1678" s="1"/>
  <c r="D10" i="1678" s="1"/>
  <c r="H36" i="1678"/>
  <c r="D36" i="1678"/>
  <c r="R35" i="1678"/>
  <c r="H35" i="1678"/>
  <c r="D35" i="1678"/>
  <c r="R34" i="1678"/>
  <c r="H34" i="1678"/>
  <c r="D34" i="1678"/>
  <c r="R33" i="1678"/>
  <c r="R32" i="1678"/>
  <c r="L11" i="1678" s="1"/>
  <c r="D11" i="1678" s="1"/>
  <c r="R31" i="1678"/>
  <c r="R30" i="1678"/>
  <c r="R29" i="1678"/>
  <c r="R28" i="1678"/>
  <c r="L16" i="1678" s="1"/>
  <c r="D16" i="1678" s="1"/>
  <c r="D28" i="1678"/>
  <c r="R27" i="1678"/>
  <c r="D27" i="1678"/>
  <c r="R26" i="1678"/>
  <c r="L26" i="1678"/>
  <c r="D26" i="1678"/>
  <c r="R25" i="1678"/>
  <c r="L25" i="1678"/>
  <c r="D25" i="1678" s="1"/>
  <c r="R24" i="1678"/>
  <c r="L24" i="1678"/>
  <c r="D24" i="1678" s="1"/>
  <c r="R23" i="1678"/>
  <c r="D23" i="1678"/>
  <c r="R22" i="1678"/>
  <c r="D22" i="1678"/>
  <c r="R21" i="1678"/>
  <c r="D21" i="1678"/>
  <c r="R20" i="1678"/>
  <c r="R19" i="1678"/>
  <c r="D19" i="1678"/>
  <c r="R18" i="1678"/>
  <c r="D18" i="1678"/>
  <c r="R17" i="1678"/>
  <c r="L17" i="1678"/>
  <c r="D17" i="1678" s="1"/>
  <c r="R16" i="1678"/>
  <c r="R15" i="1678"/>
  <c r="D15" i="1678"/>
  <c r="R14" i="1678"/>
  <c r="D14" i="1678"/>
  <c r="R13" i="1678"/>
  <c r="D13" i="1678"/>
  <c r="R12" i="1678"/>
  <c r="L12" i="1678"/>
  <c r="D12" i="1678" s="1"/>
  <c r="R11" i="1678"/>
  <c r="L8" i="1678"/>
  <c r="D8" i="1678" s="1"/>
  <c r="R6" i="1678"/>
  <c r="L6" i="1678"/>
  <c r="D6" i="1678" s="1"/>
  <c r="R5" i="1678"/>
  <c r="R4" i="1678"/>
  <c r="R52" i="1677"/>
  <c r="R51" i="1677"/>
  <c r="D50" i="1677"/>
  <c r="R49" i="1677"/>
  <c r="G49" i="1677"/>
  <c r="D49" i="1677"/>
  <c r="R48" i="1677"/>
  <c r="D48" i="1677"/>
  <c r="D46" i="1677"/>
  <c r="D45" i="1677"/>
  <c r="D44" i="1677"/>
  <c r="R42" i="1677"/>
  <c r="L6" i="1677" s="1"/>
  <c r="D6" i="1677" s="1"/>
  <c r="D42" i="1677"/>
  <c r="R41" i="1677"/>
  <c r="L7" i="1677" s="1"/>
  <c r="D7" i="1677" s="1"/>
  <c r="D41" i="1677"/>
  <c r="R40" i="1677"/>
  <c r="D40" i="1677"/>
  <c r="R39" i="1677"/>
  <c r="D39" i="1677"/>
  <c r="R38" i="1677"/>
  <c r="D38" i="1677"/>
  <c r="R37" i="1677"/>
  <c r="D37" i="1677"/>
  <c r="R36" i="1677"/>
  <c r="L10" i="1677" s="1"/>
  <c r="D10" i="1677" s="1"/>
  <c r="D36" i="1677"/>
  <c r="R35" i="1677"/>
  <c r="L19" i="1677" s="1"/>
  <c r="D19" i="1677" s="1"/>
  <c r="D35" i="1677"/>
  <c r="R34" i="1677"/>
  <c r="L12" i="1677" s="1"/>
  <c r="D12" i="1677" s="1"/>
  <c r="D34" i="1677"/>
  <c r="D54" i="1677" s="1"/>
  <c r="H14" i="1677" s="1"/>
  <c r="R33" i="1677"/>
  <c r="L23" i="1677" s="1"/>
  <c r="D23" i="1677" s="1"/>
  <c r="R32" i="1677"/>
  <c r="L11" i="1677" s="1"/>
  <c r="D11" i="1677" s="1"/>
  <c r="R31" i="1677"/>
  <c r="R30" i="1677"/>
  <c r="R29" i="1677"/>
  <c r="R28" i="1677"/>
  <c r="D28" i="1677"/>
  <c r="R27" i="1677"/>
  <c r="D27" i="1677"/>
  <c r="R26" i="1677"/>
  <c r="L26" i="1677"/>
  <c r="D26" i="1677" s="1"/>
  <c r="R25" i="1677"/>
  <c r="L25" i="1677"/>
  <c r="D25" i="1677"/>
  <c r="R24" i="1677"/>
  <c r="D24" i="1677"/>
  <c r="R23" i="1677"/>
  <c r="R22" i="1677"/>
  <c r="L22" i="1677"/>
  <c r="D22" i="1677"/>
  <c r="R21" i="1677"/>
  <c r="D21" i="1677"/>
  <c r="R20" i="1677"/>
  <c r="L20" i="1677"/>
  <c r="D20" i="1677" s="1"/>
  <c r="R19" i="1677"/>
  <c r="R18" i="1677"/>
  <c r="D18" i="1677"/>
  <c r="R17" i="1677"/>
  <c r="D17" i="1677"/>
  <c r="R16" i="1677"/>
  <c r="L16" i="1677"/>
  <c r="D16" i="1677" s="1"/>
  <c r="S15" i="1677"/>
  <c r="R15" i="1677"/>
  <c r="D15" i="1677"/>
  <c r="S14" i="1677"/>
  <c r="R14" i="1677"/>
  <c r="D14" i="1677"/>
  <c r="R13" i="1677"/>
  <c r="D13" i="1677"/>
  <c r="R12" i="1677"/>
  <c r="R11" i="1677"/>
  <c r="L9" i="1677"/>
  <c r="D9" i="1677"/>
  <c r="L8" i="1677"/>
  <c r="D8" i="1677"/>
  <c r="R6" i="1677"/>
  <c r="R5" i="1677"/>
  <c r="R4" i="1677"/>
  <c r="R52" i="1676"/>
  <c r="L22" i="1676" s="1"/>
  <c r="D22" i="1676" s="1"/>
  <c r="R51" i="1676"/>
  <c r="D50" i="1676"/>
  <c r="R49" i="1676"/>
  <c r="D49" i="1676"/>
  <c r="R48" i="1676"/>
  <c r="D48" i="1676"/>
  <c r="D46" i="1676"/>
  <c r="D45" i="1676"/>
  <c r="R44" i="1676"/>
  <c r="D44" i="1676"/>
  <c r="R42" i="1676"/>
  <c r="D42" i="1676"/>
  <c r="R41" i="1676"/>
  <c r="D41" i="1676"/>
  <c r="R40" i="1676"/>
  <c r="D40" i="1676"/>
  <c r="R39" i="1676"/>
  <c r="H39" i="1676"/>
  <c r="D39" i="1676"/>
  <c r="R38" i="1676"/>
  <c r="H38" i="1676"/>
  <c r="D38" i="1676"/>
  <c r="R37" i="1676"/>
  <c r="H37" i="1676"/>
  <c r="D37" i="1676"/>
  <c r="R36" i="1676"/>
  <c r="H36" i="1676"/>
  <c r="D36" i="1676"/>
  <c r="R35" i="1676"/>
  <c r="H35" i="1676"/>
  <c r="D35" i="1676"/>
  <c r="R34" i="1676"/>
  <c r="L12" i="1676" s="1"/>
  <c r="D12" i="1676" s="1"/>
  <c r="H34" i="1676"/>
  <c r="D34" i="1676"/>
  <c r="R33" i="1676"/>
  <c r="L23" i="1676" s="1"/>
  <c r="D23" i="1676" s="1"/>
  <c r="R32" i="1676"/>
  <c r="R31" i="1676"/>
  <c r="R30" i="1676"/>
  <c r="R29" i="1676"/>
  <c r="R28" i="1676"/>
  <c r="D28" i="1676"/>
  <c r="R27" i="1676"/>
  <c r="D27" i="1676"/>
  <c r="R26" i="1676"/>
  <c r="L26" i="1676"/>
  <c r="D26" i="1676"/>
  <c r="R25" i="1676"/>
  <c r="L25" i="1676"/>
  <c r="D25" i="1676" s="1"/>
  <c r="R24" i="1676"/>
  <c r="D24" i="1676"/>
  <c r="R23" i="1676"/>
  <c r="R22" i="1676"/>
  <c r="R21" i="1676"/>
  <c r="D21" i="1676"/>
  <c r="R20" i="1676"/>
  <c r="L20" i="1676"/>
  <c r="D20" i="1676"/>
  <c r="R19" i="1676"/>
  <c r="L19" i="1676"/>
  <c r="D19" i="1676" s="1"/>
  <c r="R18" i="1676"/>
  <c r="D18" i="1676"/>
  <c r="R17" i="1676"/>
  <c r="D17" i="1676"/>
  <c r="R16" i="1676"/>
  <c r="L16" i="1676"/>
  <c r="D16" i="1676" s="1"/>
  <c r="R15" i="1676"/>
  <c r="D15" i="1676"/>
  <c r="R14" i="1676"/>
  <c r="D14" i="1676"/>
  <c r="R13" i="1676"/>
  <c r="D13" i="1676"/>
  <c r="R12" i="1676"/>
  <c r="R11" i="1676"/>
  <c r="L11" i="1676"/>
  <c r="D11" i="1676"/>
  <c r="L10" i="1676"/>
  <c r="D10" i="1676" s="1"/>
  <c r="L9" i="1676"/>
  <c r="D9" i="1676" s="1"/>
  <c r="L8" i="1676"/>
  <c r="D8" i="1676" s="1"/>
  <c r="L7" i="1676"/>
  <c r="D7" i="1676"/>
  <c r="R6" i="1676"/>
  <c r="L6" i="1676"/>
  <c r="D6" i="1676" s="1"/>
  <c r="R5" i="1676"/>
  <c r="R4" i="1676"/>
  <c r="R52" i="1675"/>
  <c r="R51" i="1675"/>
  <c r="D50" i="1675"/>
  <c r="R49" i="1675"/>
  <c r="D49" i="1675"/>
  <c r="R48" i="1675"/>
  <c r="D48" i="1675"/>
  <c r="D46" i="1675"/>
  <c r="D45" i="1675"/>
  <c r="R44" i="1675"/>
  <c r="L28" i="1675" s="1"/>
  <c r="D28" i="1675" s="1"/>
  <c r="D44" i="1675"/>
  <c r="R42" i="1675"/>
  <c r="L6" i="1675" s="1"/>
  <c r="D6" i="1675" s="1"/>
  <c r="D42" i="1675"/>
  <c r="R41" i="1675"/>
  <c r="D41" i="1675"/>
  <c r="R40" i="1675"/>
  <c r="D40" i="1675"/>
  <c r="R39" i="1675"/>
  <c r="L20" i="1675" s="1"/>
  <c r="D20" i="1675" s="1"/>
  <c r="H39" i="1675"/>
  <c r="D39" i="1675"/>
  <c r="R38" i="1675"/>
  <c r="H38" i="1675"/>
  <c r="D38" i="1675"/>
  <c r="R37" i="1675"/>
  <c r="H37" i="1675"/>
  <c r="D37" i="1675"/>
  <c r="R36" i="1675"/>
  <c r="L10" i="1675" s="1"/>
  <c r="D10" i="1675" s="1"/>
  <c r="H36" i="1675"/>
  <c r="D36" i="1675"/>
  <c r="R35" i="1675"/>
  <c r="H35" i="1675"/>
  <c r="D35" i="1675"/>
  <c r="R34" i="1675"/>
  <c r="H34" i="1675"/>
  <c r="D34" i="1675"/>
  <c r="R33" i="1675"/>
  <c r="R32" i="1675"/>
  <c r="R31" i="1675"/>
  <c r="R30" i="1675"/>
  <c r="R29" i="1675"/>
  <c r="R28" i="1675"/>
  <c r="L16" i="1675" s="1"/>
  <c r="D16" i="1675" s="1"/>
  <c r="R27" i="1675"/>
  <c r="D27" i="1675"/>
  <c r="R26" i="1675"/>
  <c r="L26" i="1675"/>
  <c r="D26" i="1675"/>
  <c r="R25" i="1675"/>
  <c r="D25" i="1675"/>
  <c r="R24" i="1675"/>
  <c r="L24" i="1675"/>
  <c r="D24" i="1675"/>
  <c r="R23" i="1675"/>
  <c r="L23" i="1675"/>
  <c r="D23" i="1675"/>
  <c r="R22" i="1675"/>
  <c r="D22" i="1675"/>
  <c r="R21" i="1675"/>
  <c r="D21" i="1675"/>
  <c r="R20" i="1675"/>
  <c r="R19" i="1675"/>
  <c r="L19" i="1675"/>
  <c r="D19" i="1675"/>
  <c r="R18" i="1675"/>
  <c r="D18" i="1675"/>
  <c r="R17" i="1675"/>
  <c r="L17" i="1675"/>
  <c r="D17" i="1675"/>
  <c r="R16" i="1675"/>
  <c r="R15" i="1675"/>
  <c r="D15" i="1675"/>
  <c r="R14" i="1675"/>
  <c r="D14" i="1675"/>
  <c r="R13" i="1675"/>
  <c r="D13" i="1675"/>
  <c r="R12" i="1675"/>
  <c r="L12" i="1675"/>
  <c r="D12" i="1675"/>
  <c r="R11" i="1675"/>
  <c r="L11" i="1675"/>
  <c r="D11" i="1675" s="1"/>
  <c r="L9" i="1675"/>
  <c r="D9" i="1675" s="1"/>
  <c r="L8" i="1675"/>
  <c r="D8" i="1675"/>
  <c r="L7" i="1675"/>
  <c r="D7" i="1675" s="1"/>
  <c r="R6" i="1675"/>
  <c r="R5" i="1675"/>
  <c r="R4" i="1675"/>
  <c r="R52" i="1674"/>
  <c r="R51" i="1674"/>
  <c r="D50" i="1674"/>
  <c r="R49" i="1674"/>
  <c r="D49" i="1674"/>
  <c r="R48" i="1674"/>
  <c r="D48" i="1674"/>
  <c r="D46" i="1674"/>
  <c r="D45" i="1674"/>
  <c r="R44" i="1674"/>
  <c r="L28" i="1674" s="1"/>
  <c r="D44" i="1674"/>
  <c r="R42" i="1674"/>
  <c r="L6" i="1674" s="1"/>
  <c r="D6" i="1674" s="1"/>
  <c r="D42" i="1674"/>
  <c r="R41" i="1674"/>
  <c r="D41" i="1674"/>
  <c r="R40" i="1674"/>
  <c r="D40" i="1674"/>
  <c r="R39" i="1674"/>
  <c r="H39" i="1674"/>
  <c r="D39" i="1674"/>
  <c r="R38" i="1674"/>
  <c r="H38" i="1674"/>
  <c r="D38" i="1674"/>
  <c r="R37" i="1674"/>
  <c r="H37" i="1674"/>
  <c r="D37" i="1674"/>
  <c r="R36" i="1674"/>
  <c r="H36" i="1674"/>
  <c r="D36" i="1674"/>
  <c r="R35" i="1674"/>
  <c r="H35" i="1674"/>
  <c r="D35" i="1674"/>
  <c r="R34" i="1674"/>
  <c r="H34" i="1674"/>
  <c r="D34" i="1674"/>
  <c r="R33" i="1674"/>
  <c r="R32" i="1674"/>
  <c r="R31" i="1674"/>
  <c r="R30" i="1674"/>
  <c r="R29" i="1674"/>
  <c r="R28" i="1674"/>
  <c r="D28" i="1674"/>
  <c r="R27" i="1674"/>
  <c r="D27" i="1674"/>
  <c r="R26" i="1674"/>
  <c r="L26" i="1674"/>
  <c r="D26" i="1674"/>
  <c r="R25" i="1674"/>
  <c r="L25" i="1674"/>
  <c r="D25" i="1674"/>
  <c r="R24" i="1674"/>
  <c r="L24" i="1674"/>
  <c r="D24" i="1674"/>
  <c r="R23" i="1674"/>
  <c r="D23" i="1674"/>
  <c r="R22" i="1674"/>
  <c r="D22" i="1674"/>
  <c r="R21" i="1674"/>
  <c r="D21" i="1674"/>
  <c r="R20" i="1674"/>
  <c r="L20" i="1674"/>
  <c r="D20" i="1674" s="1"/>
  <c r="R19" i="1674"/>
  <c r="D19" i="1674"/>
  <c r="R18" i="1674"/>
  <c r="D18" i="1674"/>
  <c r="R17" i="1674"/>
  <c r="L17" i="1674"/>
  <c r="D17" i="1674"/>
  <c r="R16" i="1674"/>
  <c r="L16" i="1674"/>
  <c r="D16" i="1674" s="1"/>
  <c r="R15" i="1674"/>
  <c r="D15" i="1674"/>
  <c r="R14" i="1674"/>
  <c r="D14" i="1674"/>
  <c r="R13" i="1674"/>
  <c r="D13" i="1674"/>
  <c r="R12" i="1674"/>
  <c r="L12" i="1674"/>
  <c r="D12" i="1674" s="1"/>
  <c r="R11" i="1674"/>
  <c r="L11" i="1674"/>
  <c r="D11" i="1674"/>
  <c r="L10" i="1674"/>
  <c r="D10" i="1674" s="1"/>
  <c r="L9" i="1674"/>
  <c r="D9" i="1674"/>
  <c r="L8" i="1674"/>
  <c r="D8" i="1674" s="1"/>
  <c r="L7" i="1674"/>
  <c r="D7" i="1674"/>
  <c r="R6" i="1674"/>
  <c r="R5" i="1674"/>
  <c r="R4" i="1674"/>
  <c r="R52" i="1673"/>
  <c r="R51" i="1673"/>
  <c r="D50" i="1673"/>
  <c r="R49" i="1673"/>
  <c r="G49" i="1673"/>
  <c r="D49" i="1673"/>
  <c r="R48" i="1673"/>
  <c r="D48" i="1673"/>
  <c r="D46" i="1673"/>
  <c r="D45" i="1673"/>
  <c r="D44" i="1673"/>
  <c r="R42" i="1673"/>
  <c r="L6" i="1673" s="1"/>
  <c r="D6" i="1673" s="1"/>
  <c r="D29" i="1673" s="1"/>
  <c r="H13" i="1673" s="1"/>
  <c r="H15" i="1673" s="1"/>
  <c r="H29" i="1673" s="1"/>
  <c r="D42" i="1673"/>
  <c r="R41" i="1673"/>
  <c r="L7" i="1673" s="1"/>
  <c r="D7" i="1673" s="1"/>
  <c r="D41" i="1673"/>
  <c r="R40" i="1673"/>
  <c r="D40" i="1673"/>
  <c r="R39" i="1673"/>
  <c r="D39" i="1673"/>
  <c r="R38" i="1673"/>
  <c r="L9" i="1673" s="1"/>
  <c r="D9" i="1673" s="1"/>
  <c r="D38" i="1673"/>
  <c r="R37" i="1673"/>
  <c r="D37" i="1673"/>
  <c r="R36" i="1673"/>
  <c r="L10" i="1673" s="1"/>
  <c r="D10" i="1673" s="1"/>
  <c r="D36" i="1673"/>
  <c r="R35" i="1673"/>
  <c r="D35" i="1673"/>
  <c r="R34" i="1673"/>
  <c r="L12" i="1673" s="1"/>
  <c r="D12" i="1673" s="1"/>
  <c r="D34" i="1673"/>
  <c r="D54" i="1673" s="1"/>
  <c r="H14" i="1673" s="1"/>
  <c r="R33" i="1673"/>
  <c r="L23" i="1673" s="1"/>
  <c r="D23" i="1673" s="1"/>
  <c r="R32" i="1673"/>
  <c r="R31" i="1673"/>
  <c r="R30" i="1673"/>
  <c r="R29" i="1673"/>
  <c r="R28" i="1673"/>
  <c r="D28" i="1673"/>
  <c r="R27" i="1673"/>
  <c r="D27" i="1673"/>
  <c r="R26" i="1673"/>
  <c r="L26" i="1673"/>
  <c r="D26" i="1673"/>
  <c r="R25" i="1673"/>
  <c r="L25" i="1673"/>
  <c r="D25" i="1673"/>
  <c r="R24" i="1673"/>
  <c r="D24" i="1673"/>
  <c r="R23" i="1673"/>
  <c r="R22" i="1673"/>
  <c r="L22" i="1673"/>
  <c r="D22" i="1673"/>
  <c r="R21" i="1673"/>
  <c r="D21" i="1673"/>
  <c r="R20" i="1673"/>
  <c r="L20" i="1673"/>
  <c r="D20" i="1673"/>
  <c r="R19" i="1673"/>
  <c r="L19" i="1673"/>
  <c r="D19" i="1673"/>
  <c r="R18" i="1673"/>
  <c r="D18" i="1673"/>
  <c r="R17" i="1673"/>
  <c r="D17" i="1673"/>
  <c r="R16" i="1673"/>
  <c r="L16" i="1673"/>
  <c r="D16" i="1673" s="1"/>
  <c r="S15" i="1673"/>
  <c r="R15" i="1673"/>
  <c r="D15" i="1673"/>
  <c r="S14" i="1673"/>
  <c r="R14" i="1673"/>
  <c r="D14" i="1673"/>
  <c r="R13" i="1673"/>
  <c r="D13" i="1673"/>
  <c r="R12" i="1673"/>
  <c r="R11" i="1673"/>
  <c r="L11" i="1673"/>
  <c r="D11" i="1673"/>
  <c r="L8" i="1673"/>
  <c r="D8" i="1673"/>
  <c r="R6" i="1673"/>
  <c r="R5" i="1673"/>
  <c r="R4" i="1673"/>
  <c r="R52" i="1672"/>
  <c r="R51" i="1672"/>
  <c r="D50" i="1672"/>
  <c r="R49" i="1672"/>
  <c r="D49" i="1672"/>
  <c r="R48" i="1672"/>
  <c r="D48" i="1672"/>
  <c r="D46" i="1672"/>
  <c r="D45" i="1672"/>
  <c r="R44" i="1672"/>
  <c r="L28" i="1672" s="1"/>
  <c r="D44" i="1672"/>
  <c r="R42" i="1672"/>
  <c r="D42" i="1672"/>
  <c r="R41" i="1672"/>
  <c r="D41" i="1672"/>
  <c r="R40" i="1672"/>
  <c r="D40" i="1672"/>
  <c r="R39" i="1672"/>
  <c r="H39" i="1672"/>
  <c r="D39" i="1672"/>
  <c r="R38" i="1672"/>
  <c r="H38" i="1672"/>
  <c r="D38" i="1672"/>
  <c r="R37" i="1672"/>
  <c r="H37" i="1672"/>
  <c r="D37" i="1672"/>
  <c r="R36" i="1672"/>
  <c r="H36" i="1672"/>
  <c r="D36" i="1672"/>
  <c r="R35" i="1672"/>
  <c r="L19" i="1672" s="1"/>
  <c r="D19" i="1672" s="1"/>
  <c r="H35" i="1672"/>
  <c r="D35" i="1672"/>
  <c r="R34" i="1672"/>
  <c r="H34" i="1672"/>
  <c r="D34" i="1672"/>
  <c r="R33" i="1672"/>
  <c r="L23" i="1672" s="1"/>
  <c r="D23" i="1672" s="1"/>
  <c r="R32" i="1672"/>
  <c r="R31" i="1672"/>
  <c r="R30" i="1672"/>
  <c r="R29" i="1672"/>
  <c r="R28" i="1672"/>
  <c r="L16" i="1672" s="1"/>
  <c r="D16" i="1672" s="1"/>
  <c r="D28" i="1672"/>
  <c r="R27" i="1672"/>
  <c r="D27" i="1672"/>
  <c r="R26" i="1672"/>
  <c r="L26" i="1672"/>
  <c r="D26" i="1672"/>
  <c r="R25" i="1672"/>
  <c r="L25" i="1672"/>
  <c r="D25" i="1672" s="1"/>
  <c r="R24" i="1672"/>
  <c r="D24" i="1672"/>
  <c r="R23" i="1672"/>
  <c r="R22" i="1672"/>
  <c r="L22" i="1672"/>
  <c r="D22" i="1672" s="1"/>
  <c r="R21" i="1672"/>
  <c r="D21" i="1672"/>
  <c r="R20" i="1672"/>
  <c r="L20" i="1672"/>
  <c r="D20" i="1672"/>
  <c r="R19" i="1672"/>
  <c r="R18" i="1672"/>
  <c r="D18" i="1672"/>
  <c r="R17" i="1672"/>
  <c r="D17" i="1672"/>
  <c r="R16" i="1672"/>
  <c r="R15" i="1672"/>
  <c r="D15" i="1672"/>
  <c r="R14" i="1672"/>
  <c r="D14" i="1672"/>
  <c r="R13" i="1672"/>
  <c r="D13" i="1672"/>
  <c r="R12" i="1672"/>
  <c r="L12" i="1672"/>
  <c r="D12" i="1672" s="1"/>
  <c r="R11" i="1672"/>
  <c r="L11" i="1672"/>
  <c r="D11" i="1672" s="1"/>
  <c r="L10" i="1672"/>
  <c r="D10" i="1672" s="1"/>
  <c r="L9" i="1672"/>
  <c r="D9" i="1672" s="1"/>
  <c r="L8" i="1672"/>
  <c r="D8" i="1672" s="1"/>
  <c r="L7" i="1672"/>
  <c r="D7" i="1672" s="1"/>
  <c r="R6" i="1672"/>
  <c r="L6" i="1672"/>
  <c r="D6" i="1672" s="1"/>
  <c r="R5" i="1672"/>
  <c r="R4" i="1672"/>
  <c r="R52" i="1671"/>
  <c r="R51" i="1671"/>
  <c r="D50" i="1671"/>
  <c r="R49" i="1671"/>
  <c r="D49" i="1671"/>
  <c r="R48" i="1671"/>
  <c r="D48" i="1671"/>
  <c r="D46" i="1671"/>
  <c r="D45" i="1671"/>
  <c r="R44" i="1671"/>
  <c r="D44" i="1671"/>
  <c r="R42" i="1671"/>
  <c r="D42" i="1671"/>
  <c r="R41" i="1671"/>
  <c r="L7" i="1671" s="1"/>
  <c r="D7" i="1671" s="1"/>
  <c r="D41" i="1671"/>
  <c r="R40" i="1671"/>
  <c r="L8" i="1671" s="1"/>
  <c r="D8" i="1671" s="1"/>
  <c r="D40" i="1671"/>
  <c r="R39" i="1671"/>
  <c r="L20" i="1671" s="1"/>
  <c r="D20" i="1671" s="1"/>
  <c r="H39" i="1671"/>
  <c r="D39" i="1671"/>
  <c r="R38" i="1671"/>
  <c r="H38" i="1671"/>
  <c r="D38" i="1671"/>
  <c r="R37" i="1671"/>
  <c r="H37" i="1671"/>
  <c r="D37" i="1671"/>
  <c r="R36" i="1671"/>
  <c r="H36" i="1671"/>
  <c r="D36" i="1671"/>
  <c r="R35" i="1671"/>
  <c r="L19" i="1671" s="1"/>
  <c r="D19" i="1671" s="1"/>
  <c r="H35" i="1671"/>
  <c r="D35" i="1671"/>
  <c r="R34" i="1671"/>
  <c r="H34" i="1671"/>
  <c r="D34" i="1671"/>
  <c r="R33" i="1671"/>
  <c r="R32" i="1671"/>
  <c r="L11" i="1671" s="1"/>
  <c r="D11" i="1671" s="1"/>
  <c r="R31" i="1671"/>
  <c r="R30" i="1671"/>
  <c r="R29" i="1671"/>
  <c r="R28" i="1671"/>
  <c r="D28" i="1671"/>
  <c r="R27" i="1671"/>
  <c r="D27" i="1671"/>
  <c r="R26" i="1671"/>
  <c r="L26" i="1671"/>
  <c r="D26" i="1671" s="1"/>
  <c r="R25" i="1671"/>
  <c r="D25" i="1671"/>
  <c r="R24" i="1671"/>
  <c r="L24" i="1671"/>
  <c r="D24" i="1671" s="1"/>
  <c r="R23" i="1671"/>
  <c r="L23" i="1671"/>
  <c r="D23" i="1671"/>
  <c r="R22" i="1671"/>
  <c r="L22" i="1671"/>
  <c r="D22" i="1671"/>
  <c r="R21" i="1671"/>
  <c r="L17" i="1671" s="1"/>
  <c r="D17" i="1671" s="1"/>
  <c r="D21" i="1671"/>
  <c r="R20" i="1671"/>
  <c r="R19" i="1671"/>
  <c r="R18" i="1671"/>
  <c r="D18" i="1671"/>
  <c r="R17" i="1671"/>
  <c r="R16" i="1671"/>
  <c r="L16" i="1671"/>
  <c r="D16" i="1671"/>
  <c r="R15" i="1671"/>
  <c r="D15" i="1671"/>
  <c r="R14" i="1671"/>
  <c r="D14" i="1671"/>
  <c r="R13" i="1671"/>
  <c r="D13" i="1671"/>
  <c r="R12" i="1671"/>
  <c r="L12" i="1671"/>
  <c r="D12" i="1671" s="1"/>
  <c r="R11" i="1671"/>
  <c r="L10" i="1671"/>
  <c r="D10" i="1671" s="1"/>
  <c r="L9" i="1671"/>
  <c r="D9" i="1671" s="1"/>
  <c r="R6" i="1671"/>
  <c r="L6" i="1671"/>
  <c r="D6" i="1671" s="1"/>
  <c r="R5" i="1671"/>
  <c r="R4" i="1671"/>
  <c r="R52" i="1670"/>
  <c r="R51" i="1670"/>
  <c r="D50" i="1670"/>
  <c r="R49" i="1670"/>
  <c r="D49" i="1670"/>
  <c r="R48" i="1670"/>
  <c r="D48" i="1670"/>
  <c r="D46" i="1670"/>
  <c r="D45" i="1670"/>
  <c r="R44" i="1670"/>
  <c r="D44" i="1670"/>
  <c r="R42" i="1670"/>
  <c r="L6" i="1670" s="1"/>
  <c r="D6" i="1670" s="1"/>
  <c r="D42" i="1670"/>
  <c r="R41" i="1670"/>
  <c r="D41" i="1670"/>
  <c r="R40" i="1670"/>
  <c r="L8" i="1670" s="1"/>
  <c r="D8" i="1670" s="1"/>
  <c r="D40" i="1670"/>
  <c r="R39" i="1670"/>
  <c r="H39" i="1670"/>
  <c r="D39" i="1670"/>
  <c r="R38" i="1670"/>
  <c r="H38" i="1670"/>
  <c r="D38" i="1670"/>
  <c r="R37" i="1670"/>
  <c r="H37" i="1670"/>
  <c r="D37" i="1670"/>
  <c r="R36" i="1670"/>
  <c r="L10" i="1670" s="1"/>
  <c r="D10" i="1670" s="1"/>
  <c r="H36" i="1670"/>
  <c r="D36" i="1670"/>
  <c r="R35" i="1670"/>
  <c r="H35" i="1670"/>
  <c r="D35" i="1670"/>
  <c r="R34" i="1670"/>
  <c r="L12" i="1670" s="1"/>
  <c r="D12" i="1670" s="1"/>
  <c r="H34" i="1670"/>
  <c r="D34" i="1670"/>
  <c r="D54" i="1670" s="1"/>
  <c r="H14" i="1670" s="1"/>
  <c r="R33" i="1670"/>
  <c r="R32" i="1670"/>
  <c r="R31" i="1670"/>
  <c r="R30" i="1670"/>
  <c r="R29" i="1670"/>
  <c r="R28" i="1670"/>
  <c r="D28" i="1670"/>
  <c r="R27" i="1670"/>
  <c r="D27" i="1670"/>
  <c r="R26" i="1670"/>
  <c r="L26" i="1670"/>
  <c r="D26" i="1670"/>
  <c r="R25" i="1670"/>
  <c r="L25" i="1670"/>
  <c r="D25" i="1670"/>
  <c r="R24" i="1670"/>
  <c r="L24" i="1670"/>
  <c r="D24" i="1670"/>
  <c r="R23" i="1670"/>
  <c r="D23" i="1670"/>
  <c r="R22" i="1670"/>
  <c r="D22" i="1670"/>
  <c r="R21" i="1670"/>
  <c r="D21" i="1670"/>
  <c r="R20" i="1670"/>
  <c r="L20" i="1670"/>
  <c r="D20" i="1670"/>
  <c r="R19" i="1670"/>
  <c r="D19" i="1670"/>
  <c r="R18" i="1670"/>
  <c r="D18" i="1670"/>
  <c r="R17" i="1670"/>
  <c r="L17" i="1670"/>
  <c r="D17" i="1670"/>
  <c r="R16" i="1670"/>
  <c r="L16" i="1670"/>
  <c r="D16" i="1670" s="1"/>
  <c r="R15" i="1670"/>
  <c r="D15" i="1670"/>
  <c r="R14" i="1670"/>
  <c r="D14" i="1670"/>
  <c r="R13" i="1670"/>
  <c r="D13" i="1670"/>
  <c r="R12" i="1670"/>
  <c r="R11" i="1670"/>
  <c r="L11" i="1670"/>
  <c r="D11" i="1670"/>
  <c r="L9" i="1670"/>
  <c r="D9" i="1670"/>
  <c r="L7" i="1670"/>
  <c r="D7" i="1670" s="1"/>
  <c r="R6" i="1670"/>
  <c r="R5" i="1670"/>
  <c r="R4" i="1670"/>
  <c r="R52" i="1669"/>
  <c r="R51" i="1669"/>
  <c r="D50" i="1669"/>
  <c r="R49" i="1669"/>
  <c r="G49" i="1669"/>
  <c r="D49" i="1669"/>
  <c r="R48" i="1669"/>
  <c r="D48" i="1669"/>
  <c r="D46" i="1669"/>
  <c r="D45" i="1669"/>
  <c r="D44" i="1669"/>
  <c r="R42" i="1669"/>
  <c r="L6" i="1669" s="1"/>
  <c r="D6" i="1669" s="1"/>
  <c r="D42" i="1669"/>
  <c r="R41" i="1669"/>
  <c r="L7" i="1669" s="1"/>
  <c r="D7" i="1669" s="1"/>
  <c r="D41" i="1669"/>
  <c r="R40" i="1669"/>
  <c r="D40" i="1669"/>
  <c r="R39" i="1669"/>
  <c r="D39" i="1669"/>
  <c r="R38" i="1669"/>
  <c r="D38" i="1669"/>
  <c r="R37" i="1669"/>
  <c r="D37" i="1669"/>
  <c r="R36" i="1669"/>
  <c r="L10" i="1669" s="1"/>
  <c r="D10" i="1669" s="1"/>
  <c r="D36" i="1669"/>
  <c r="R35" i="1669"/>
  <c r="D35" i="1669"/>
  <c r="R34" i="1669"/>
  <c r="L12" i="1669" s="1"/>
  <c r="D12" i="1669" s="1"/>
  <c r="D34" i="1669"/>
  <c r="D54" i="1669" s="1"/>
  <c r="H14" i="1669" s="1"/>
  <c r="R33" i="1669"/>
  <c r="L23" i="1669" s="1"/>
  <c r="D23" i="1669" s="1"/>
  <c r="R32" i="1669"/>
  <c r="R31" i="1669"/>
  <c r="R30" i="1669"/>
  <c r="R29" i="1669"/>
  <c r="R28" i="1669"/>
  <c r="L16" i="1669" s="1"/>
  <c r="D16" i="1669" s="1"/>
  <c r="D28" i="1669"/>
  <c r="R27" i="1669"/>
  <c r="D27" i="1669"/>
  <c r="R26" i="1669"/>
  <c r="L26" i="1669"/>
  <c r="D26" i="1669"/>
  <c r="R25" i="1669"/>
  <c r="L25" i="1669"/>
  <c r="D25" i="1669"/>
  <c r="R24" i="1669"/>
  <c r="D24" i="1669"/>
  <c r="R23" i="1669"/>
  <c r="R22" i="1669"/>
  <c r="L22" i="1669"/>
  <c r="D22" i="1669" s="1"/>
  <c r="R21" i="1669"/>
  <c r="D21" i="1669"/>
  <c r="R20" i="1669"/>
  <c r="L20" i="1669"/>
  <c r="D20" i="1669"/>
  <c r="R19" i="1669"/>
  <c r="L19" i="1669"/>
  <c r="D19" i="1669"/>
  <c r="R18" i="1669"/>
  <c r="D18" i="1669"/>
  <c r="R17" i="1669"/>
  <c r="D17" i="1669"/>
  <c r="R16" i="1669"/>
  <c r="S15" i="1669"/>
  <c r="R15" i="1669"/>
  <c r="D15" i="1669"/>
  <c r="S14" i="1669"/>
  <c r="R14" i="1669"/>
  <c r="D14" i="1669"/>
  <c r="R13" i="1669"/>
  <c r="D13" i="1669"/>
  <c r="R12" i="1669"/>
  <c r="R11" i="1669"/>
  <c r="L11" i="1669"/>
  <c r="D11" i="1669" s="1"/>
  <c r="L9" i="1669"/>
  <c r="D9" i="1669"/>
  <c r="L8" i="1669"/>
  <c r="D8" i="1669" s="1"/>
  <c r="R6" i="1669"/>
  <c r="R5" i="1669"/>
  <c r="R4" i="1669"/>
  <c r="R52" i="1668"/>
  <c r="R51" i="1668"/>
  <c r="D50" i="1668"/>
  <c r="R49" i="1668"/>
  <c r="D49" i="1668"/>
  <c r="R48" i="1668"/>
  <c r="D48" i="1668"/>
  <c r="D46" i="1668"/>
  <c r="D45" i="1668"/>
  <c r="R44" i="1668"/>
  <c r="D44" i="1668"/>
  <c r="R42" i="1668"/>
  <c r="L6" i="1668" s="1"/>
  <c r="D6" i="1668" s="1"/>
  <c r="D42" i="1668"/>
  <c r="R41" i="1668"/>
  <c r="D41" i="1668"/>
  <c r="R40" i="1668"/>
  <c r="L8" i="1668" s="1"/>
  <c r="D8" i="1668" s="1"/>
  <c r="D40" i="1668"/>
  <c r="R39" i="1668"/>
  <c r="H39" i="1668"/>
  <c r="D39" i="1668"/>
  <c r="R38" i="1668"/>
  <c r="H38" i="1668"/>
  <c r="D38" i="1668"/>
  <c r="R37" i="1668"/>
  <c r="H37" i="1668"/>
  <c r="D37" i="1668"/>
  <c r="R36" i="1668"/>
  <c r="H36" i="1668"/>
  <c r="D36" i="1668"/>
  <c r="R35" i="1668"/>
  <c r="H35" i="1668"/>
  <c r="D35" i="1668"/>
  <c r="R34" i="1668"/>
  <c r="H34" i="1668"/>
  <c r="D34" i="1668"/>
  <c r="R33" i="1668"/>
  <c r="R32" i="1668"/>
  <c r="R31" i="1668"/>
  <c r="R30" i="1668"/>
  <c r="R29" i="1668"/>
  <c r="R28" i="1668"/>
  <c r="L16" i="1668" s="1"/>
  <c r="D16" i="1668" s="1"/>
  <c r="D28" i="1668"/>
  <c r="R27" i="1668"/>
  <c r="D27" i="1668"/>
  <c r="R26" i="1668"/>
  <c r="L26" i="1668"/>
  <c r="D26" i="1668" s="1"/>
  <c r="R25" i="1668"/>
  <c r="L25" i="1668"/>
  <c r="D25" i="1668"/>
  <c r="R24" i="1668"/>
  <c r="D24" i="1668"/>
  <c r="R23" i="1668"/>
  <c r="L23" i="1668"/>
  <c r="D23" i="1668" s="1"/>
  <c r="R22" i="1668"/>
  <c r="L22" i="1668"/>
  <c r="D22" i="1668"/>
  <c r="R21" i="1668"/>
  <c r="D21" i="1668"/>
  <c r="R20" i="1668"/>
  <c r="L20" i="1668"/>
  <c r="D20" i="1668" s="1"/>
  <c r="R19" i="1668"/>
  <c r="L19" i="1668"/>
  <c r="D19" i="1668"/>
  <c r="R18" i="1668"/>
  <c r="D18" i="1668"/>
  <c r="R17" i="1668"/>
  <c r="D17" i="1668"/>
  <c r="R16" i="1668"/>
  <c r="R15" i="1668"/>
  <c r="D15" i="1668"/>
  <c r="R14" i="1668"/>
  <c r="D14" i="1668"/>
  <c r="R13" i="1668"/>
  <c r="D13" i="1668"/>
  <c r="R12" i="1668"/>
  <c r="L12" i="1668"/>
  <c r="D12" i="1668"/>
  <c r="R11" i="1668"/>
  <c r="L11" i="1668"/>
  <c r="D11" i="1668"/>
  <c r="L10" i="1668"/>
  <c r="D10" i="1668"/>
  <c r="L9" i="1668"/>
  <c r="D9" i="1668" s="1"/>
  <c r="L7" i="1668"/>
  <c r="D7" i="1668" s="1"/>
  <c r="R6" i="1668"/>
  <c r="R5" i="1668"/>
  <c r="R4" i="1668"/>
  <c r="R52" i="1667"/>
  <c r="R51" i="1667"/>
  <c r="D50" i="1667"/>
  <c r="R49" i="1667"/>
  <c r="D49" i="1667"/>
  <c r="R48" i="1667"/>
  <c r="D48" i="1667"/>
  <c r="D46" i="1667"/>
  <c r="D45" i="1667"/>
  <c r="R44" i="1667"/>
  <c r="D44" i="1667"/>
  <c r="R42" i="1667"/>
  <c r="D42" i="1667"/>
  <c r="R41" i="1667"/>
  <c r="D41" i="1667"/>
  <c r="R40" i="1667"/>
  <c r="D40" i="1667"/>
  <c r="R39" i="1667"/>
  <c r="L20" i="1667" s="1"/>
  <c r="D20" i="1667" s="1"/>
  <c r="H39" i="1667"/>
  <c r="D39" i="1667"/>
  <c r="R38" i="1667"/>
  <c r="L9" i="1667" s="1"/>
  <c r="D9" i="1667" s="1"/>
  <c r="H38" i="1667"/>
  <c r="D38" i="1667"/>
  <c r="R37" i="1667"/>
  <c r="H37" i="1667"/>
  <c r="D37" i="1667"/>
  <c r="R36" i="1667"/>
  <c r="L10" i="1667" s="1"/>
  <c r="D10" i="1667" s="1"/>
  <c r="H36" i="1667"/>
  <c r="D36" i="1667"/>
  <c r="R35" i="1667"/>
  <c r="H35" i="1667"/>
  <c r="D35" i="1667"/>
  <c r="R34" i="1667"/>
  <c r="L12" i="1667" s="1"/>
  <c r="D12" i="1667" s="1"/>
  <c r="H34" i="1667"/>
  <c r="D34" i="1667"/>
  <c r="R33" i="1667"/>
  <c r="L23" i="1667" s="1"/>
  <c r="D23" i="1667" s="1"/>
  <c r="R32" i="1667"/>
  <c r="R31" i="1667"/>
  <c r="R30" i="1667"/>
  <c r="R29" i="1667"/>
  <c r="R28" i="1667"/>
  <c r="L16" i="1667" s="1"/>
  <c r="D16" i="1667" s="1"/>
  <c r="D28" i="1667"/>
  <c r="R27" i="1667"/>
  <c r="D27" i="1667"/>
  <c r="R26" i="1667"/>
  <c r="L26" i="1667"/>
  <c r="D26" i="1667"/>
  <c r="R25" i="1667"/>
  <c r="L25" i="1667"/>
  <c r="D25" i="1667"/>
  <c r="R24" i="1667"/>
  <c r="L24" i="1667"/>
  <c r="D24" i="1667" s="1"/>
  <c r="R23" i="1667"/>
  <c r="R22" i="1667"/>
  <c r="L22" i="1667"/>
  <c r="D22" i="1667"/>
  <c r="R21" i="1667"/>
  <c r="L17" i="1667" s="1"/>
  <c r="D17" i="1667" s="1"/>
  <c r="D21" i="1667"/>
  <c r="R20" i="1667"/>
  <c r="R19" i="1667"/>
  <c r="L19" i="1667"/>
  <c r="D19" i="1667" s="1"/>
  <c r="R18" i="1667"/>
  <c r="D18" i="1667"/>
  <c r="R17" i="1667"/>
  <c r="R16" i="1667"/>
  <c r="R15" i="1667"/>
  <c r="D15" i="1667"/>
  <c r="R14" i="1667"/>
  <c r="D14" i="1667"/>
  <c r="R13" i="1667"/>
  <c r="D13" i="1667"/>
  <c r="R12" i="1667"/>
  <c r="R11" i="1667"/>
  <c r="L11" i="1667"/>
  <c r="D11" i="1667" s="1"/>
  <c r="L8" i="1667"/>
  <c r="D8" i="1667"/>
  <c r="L7" i="1667"/>
  <c r="D7" i="1667"/>
  <c r="R6" i="1667"/>
  <c r="L6" i="1667"/>
  <c r="D6" i="1667" s="1"/>
  <c r="R5" i="1667"/>
  <c r="R4" i="1667"/>
  <c r="R52" i="1666"/>
  <c r="R51" i="1666"/>
  <c r="D50" i="1666"/>
  <c r="R49" i="1666"/>
  <c r="D49" i="1666"/>
  <c r="R48" i="1666"/>
  <c r="D48" i="1666"/>
  <c r="D46" i="1666"/>
  <c r="D45" i="1666"/>
  <c r="R44" i="1666"/>
  <c r="D44" i="1666"/>
  <c r="R42" i="1666"/>
  <c r="D42" i="1666"/>
  <c r="R41" i="1666"/>
  <c r="D41" i="1666"/>
  <c r="R40" i="1666"/>
  <c r="L8" i="1666" s="1"/>
  <c r="D8" i="1666" s="1"/>
  <c r="D40" i="1666"/>
  <c r="R39" i="1666"/>
  <c r="H39" i="1666"/>
  <c r="D39" i="1666"/>
  <c r="R38" i="1666"/>
  <c r="H38" i="1666"/>
  <c r="G49" i="1666" s="1"/>
  <c r="D38" i="1666"/>
  <c r="R37" i="1666"/>
  <c r="H37" i="1666"/>
  <c r="D37" i="1666"/>
  <c r="R36" i="1666"/>
  <c r="L10" i="1666" s="1"/>
  <c r="D10" i="1666" s="1"/>
  <c r="H36" i="1666"/>
  <c r="D36" i="1666"/>
  <c r="R35" i="1666"/>
  <c r="H35" i="1666"/>
  <c r="D35" i="1666"/>
  <c r="R34" i="1666"/>
  <c r="L12" i="1666" s="1"/>
  <c r="D12" i="1666" s="1"/>
  <c r="H34" i="1666"/>
  <c r="D34" i="1666"/>
  <c r="R33" i="1666"/>
  <c r="R32" i="1666"/>
  <c r="R31" i="1666"/>
  <c r="R30" i="1666"/>
  <c r="R29" i="1666"/>
  <c r="R28" i="1666"/>
  <c r="D28" i="1666"/>
  <c r="R27" i="1666"/>
  <c r="D27" i="1666"/>
  <c r="R26" i="1666"/>
  <c r="L26" i="1666"/>
  <c r="D26" i="1666" s="1"/>
  <c r="R25" i="1666"/>
  <c r="L25" i="1666"/>
  <c r="D25" i="1666"/>
  <c r="R24" i="1666"/>
  <c r="L24" i="1666"/>
  <c r="D24" i="1666"/>
  <c r="R23" i="1666"/>
  <c r="D23" i="1666"/>
  <c r="R22" i="1666"/>
  <c r="D22" i="1666"/>
  <c r="R21" i="1666"/>
  <c r="D21" i="1666"/>
  <c r="R20" i="1666"/>
  <c r="L20" i="1666"/>
  <c r="D20" i="1666"/>
  <c r="R19" i="1666"/>
  <c r="D19" i="1666"/>
  <c r="R18" i="1666"/>
  <c r="D18" i="1666"/>
  <c r="R17" i="1666"/>
  <c r="L17" i="1666"/>
  <c r="D17" i="1666"/>
  <c r="R16" i="1666"/>
  <c r="L16" i="1666"/>
  <c r="D16" i="1666" s="1"/>
  <c r="R15" i="1666"/>
  <c r="D15" i="1666"/>
  <c r="R14" i="1666"/>
  <c r="D14" i="1666"/>
  <c r="R13" i="1666"/>
  <c r="D13" i="1666"/>
  <c r="R12" i="1666"/>
  <c r="R11" i="1666"/>
  <c r="L11" i="1666"/>
  <c r="D11" i="1666"/>
  <c r="L9" i="1666"/>
  <c r="D9" i="1666"/>
  <c r="L7" i="1666"/>
  <c r="D7" i="1666"/>
  <c r="R6" i="1666"/>
  <c r="L6" i="1666"/>
  <c r="D6" i="1666"/>
  <c r="R5" i="1666"/>
  <c r="R4" i="1666"/>
  <c r="R52" i="1665"/>
  <c r="R51" i="1665"/>
  <c r="D50" i="1665"/>
  <c r="R49" i="1665"/>
  <c r="G49" i="1665"/>
  <c r="D49" i="1665"/>
  <c r="R48" i="1665"/>
  <c r="D48" i="1665"/>
  <c r="D46" i="1665"/>
  <c r="D45" i="1665"/>
  <c r="D44" i="1665"/>
  <c r="R42" i="1665"/>
  <c r="L6" i="1665" s="1"/>
  <c r="D6" i="1665" s="1"/>
  <c r="D42" i="1665"/>
  <c r="R41" i="1665"/>
  <c r="L7" i="1665" s="1"/>
  <c r="D7" i="1665" s="1"/>
  <c r="D41" i="1665"/>
  <c r="R40" i="1665"/>
  <c r="D40" i="1665"/>
  <c r="R39" i="1665"/>
  <c r="D39" i="1665"/>
  <c r="R38" i="1665"/>
  <c r="D38" i="1665"/>
  <c r="R37" i="1665"/>
  <c r="D37" i="1665"/>
  <c r="R36" i="1665"/>
  <c r="L10" i="1665" s="1"/>
  <c r="D10" i="1665" s="1"/>
  <c r="D36" i="1665"/>
  <c r="R35" i="1665"/>
  <c r="D35" i="1665"/>
  <c r="R34" i="1665"/>
  <c r="L12" i="1665" s="1"/>
  <c r="D12" i="1665" s="1"/>
  <c r="D34" i="1665"/>
  <c r="D54" i="1665" s="1"/>
  <c r="H14" i="1665" s="1"/>
  <c r="R33" i="1665"/>
  <c r="L23" i="1665" s="1"/>
  <c r="D23" i="1665" s="1"/>
  <c r="R32" i="1665"/>
  <c r="R31" i="1665"/>
  <c r="R30" i="1665"/>
  <c r="R29" i="1665"/>
  <c r="R28" i="1665"/>
  <c r="D28" i="1665"/>
  <c r="R27" i="1665"/>
  <c r="D27" i="1665"/>
  <c r="R26" i="1665"/>
  <c r="L26" i="1665"/>
  <c r="D26" i="1665"/>
  <c r="R25" i="1665"/>
  <c r="L25" i="1665"/>
  <c r="D25" i="1665"/>
  <c r="R24" i="1665"/>
  <c r="D24" i="1665"/>
  <c r="R23" i="1665"/>
  <c r="R22" i="1665"/>
  <c r="L22" i="1665"/>
  <c r="D22" i="1665"/>
  <c r="R21" i="1665"/>
  <c r="D21" i="1665"/>
  <c r="R20" i="1665"/>
  <c r="L20" i="1665"/>
  <c r="D20" i="1665"/>
  <c r="R19" i="1665"/>
  <c r="L19" i="1665"/>
  <c r="D19" i="1665"/>
  <c r="R18" i="1665"/>
  <c r="D18" i="1665"/>
  <c r="R17" i="1665"/>
  <c r="D17" i="1665"/>
  <c r="R16" i="1665"/>
  <c r="L16" i="1665"/>
  <c r="D16" i="1665" s="1"/>
  <c r="S15" i="1665"/>
  <c r="R15" i="1665"/>
  <c r="D15" i="1665"/>
  <c r="S14" i="1665"/>
  <c r="R14" i="1665"/>
  <c r="D14" i="1665"/>
  <c r="R13" i="1665"/>
  <c r="D13" i="1665"/>
  <c r="R12" i="1665"/>
  <c r="R11" i="1665"/>
  <c r="L11" i="1665"/>
  <c r="D11" i="1665"/>
  <c r="L9" i="1665"/>
  <c r="D9" i="1665"/>
  <c r="L8" i="1665"/>
  <c r="D8" i="1665" s="1"/>
  <c r="R6" i="1665"/>
  <c r="R5" i="1665"/>
  <c r="R4" i="1665"/>
  <c r="R52" i="1664"/>
  <c r="R51" i="1664"/>
  <c r="D50" i="1664"/>
  <c r="R49" i="1664"/>
  <c r="D49" i="1664"/>
  <c r="R48" i="1664"/>
  <c r="D48" i="1664"/>
  <c r="D46" i="1664"/>
  <c r="D45" i="1664"/>
  <c r="R44" i="1664"/>
  <c r="D44" i="1664"/>
  <c r="R42" i="1664"/>
  <c r="D42" i="1664"/>
  <c r="R41" i="1664"/>
  <c r="D41" i="1664"/>
  <c r="R40" i="1664"/>
  <c r="L8" i="1664" s="1"/>
  <c r="D8" i="1664" s="1"/>
  <c r="D40" i="1664"/>
  <c r="R39" i="1664"/>
  <c r="H39" i="1664"/>
  <c r="D39" i="1664"/>
  <c r="R38" i="1664"/>
  <c r="H38" i="1664"/>
  <c r="D38" i="1664"/>
  <c r="R37" i="1664"/>
  <c r="H37" i="1664"/>
  <c r="D37" i="1664"/>
  <c r="R36" i="1664"/>
  <c r="H36" i="1664"/>
  <c r="D36" i="1664"/>
  <c r="R35" i="1664"/>
  <c r="H35" i="1664"/>
  <c r="D35" i="1664"/>
  <c r="R34" i="1664"/>
  <c r="H34" i="1664"/>
  <c r="D34" i="1664"/>
  <c r="R33" i="1664"/>
  <c r="L23" i="1664" s="1"/>
  <c r="D23" i="1664" s="1"/>
  <c r="R32" i="1664"/>
  <c r="L11" i="1664" s="1"/>
  <c r="D11" i="1664" s="1"/>
  <c r="R31" i="1664"/>
  <c r="R30" i="1664"/>
  <c r="R29" i="1664"/>
  <c r="R28" i="1664"/>
  <c r="D28" i="1664"/>
  <c r="R27" i="1664"/>
  <c r="D27" i="1664"/>
  <c r="R26" i="1664"/>
  <c r="L26" i="1664"/>
  <c r="D26" i="1664" s="1"/>
  <c r="R25" i="1664"/>
  <c r="L25" i="1664"/>
  <c r="D25" i="1664"/>
  <c r="R24" i="1664"/>
  <c r="D24" i="1664"/>
  <c r="R23" i="1664"/>
  <c r="R22" i="1664"/>
  <c r="L22" i="1664"/>
  <c r="D22" i="1664" s="1"/>
  <c r="R21" i="1664"/>
  <c r="D21" i="1664"/>
  <c r="R20" i="1664"/>
  <c r="L20" i="1664"/>
  <c r="D20" i="1664" s="1"/>
  <c r="R19" i="1664"/>
  <c r="L19" i="1664"/>
  <c r="D19" i="1664"/>
  <c r="R18" i="1664"/>
  <c r="D18" i="1664"/>
  <c r="R17" i="1664"/>
  <c r="D17" i="1664"/>
  <c r="R16" i="1664"/>
  <c r="L16" i="1664"/>
  <c r="D16" i="1664" s="1"/>
  <c r="R15" i="1664"/>
  <c r="D15" i="1664"/>
  <c r="R14" i="1664"/>
  <c r="D14" i="1664"/>
  <c r="R13" i="1664"/>
  <c r="D13" i="1664"/>
  <c r="R12" i="1664"/>
  <c r="L12" i="1664"/>
  <c r="D12" i="1664"/>
  <c r="R11" i="1664"/>
  <c r="L10" i="1664"/>
  <c r="D10" i="1664" s="1"/>
  <c r="L9" i="1664"/>
  <c r="D9" i="1664" s="1"/>
  <c r="L7" i="1664"/>
  <c r="D7" i="1664"/>
  <c r="R6" i="1664"/>
  <c r="L6" i="1664"/>
  <c r="D6" i="1664" s="1"/>
  <c r="R5" i="1664"/>
  <c r="R4" i="1664"/>
  <c r="R52" i="1663"/>
  <c r="R51" i="1663"/>
  <c r="D50" i="1663"/>
  <c r="R49" i="1663"/>
  <c r="D49" i="1663"/>
  <c r="R48" i="1663"/>
  <c r="D48" i="1663"/>
  <c r="D46" i="1663"/>
  <c r="D45" i="1663"/>
  <c r="R44" i="1663"/>
  <c r="D44" i="1663"/>
  <c r="R42" i="1663"/>
  <c r="D42" i="1663"/>
  <c r="R41" i="1663"/>
  <c r="D41" i="1663"/>
  <c r="R40" i="1663"/>
  <c r="D40" i="1663"/>
  <c r="R39" i="1663"/>
  <c r="H39" i="1663"/>
  <c r="D39" i="1663"/>
  <c r="R38" i="1663"/>
  <c r="L9" i="1663" s="1"/>
  <c r="D9" i="1663" s="1"/>
  <c r="H38" i="1663"/>
  <c r="D38" i="1663"/>
  <c r="R37" i="1663"/>
  <c r="H37" i="1663"/>
  <c r="D37" i="1663"/>
  <c r="R36" i="1663"/>
  <c r="H36" i="1663"/>
  <c r="D36" i="1663"/>
  <c r="R35" i="1663"/>
  <c r="H35" i="1663"/>
  <c r="D35" i="1663"/>
  <c r="R34" i="1663"/>
  <c r="L12" i="1663" s="1"/>
  <c r="D12" i="1663" s="1"/>
  <c r="H34" i="1663"/>
  <c r="D34" i="1663"/>
  <c r="R33" i="1663"/>
  <c r="L23" i="1663" s="1"/>
  <c r="D23" i="1663" s="1"/>
  <c r="R32" i="1663"/>
  <c r="R31" i="1663"/>
  <c r="R30" i="1663"/>
  <c r="R29" i="1663"/>
  <c r="R28" i="1663"/>
  <c r="L16" i="1663" s="1"/>
  <c r="D16" i="1663" s="1"/>
  <c r="D28" i="1663"/>
  <c r="R27" i="1663"/>
  <c r="D27" i="1663"/>
  <c r="R26" i="1663"/>
  <c r="L26" i="1663"/>
  <c r="D26" i="1663"/>
  <c r="R25" i="1663"/>
  <c r="L25" i="1663"/>
  <c r="D25" i="1663"/>
  <c r="R24" i="1663"/>
  <c r="L24" i="1663"/>
  <c r="D24" i="1663" s="1"/>
  <c r="R23" i="1663"/>
  <c r="R22" i="1663"/>
  <c r="L22" i="1663"/>
  <c r="D22" i="1663"/>
  <c r="R21" i="1663"/>
  <c r="L17" i="1663" s="1"/>
  <c r="D17" i="1663" s="1"/>
  <c r="D21" i="1663"/>
  <c r="R20" i="1663"/>
  <c r="L20" i="1663"/>
  <c r="D20" i="1663" s="1"/>
  <c r="R19" i="1663"/>
  <c r="L19" i="1663"/>
  <c r="D19" i="1663" s="1"/>
  <c r="R18" i="1663"/>
  <c r="D18" i="1663"/>
  <c r="R17" i="1663"/>
  <c r="R16" i="1663"/>
  <c r="R15" i="1663"/>
  <c r="D15" i="1663"/>
  <c r="R14" i="1663"/>
  <c r="D14" i="1663"/>
  <c r="R13" i="1663"/>
  <c r="D13" i="1663"/>
  <c r="R12" i="1663"/>
  <c r="R11" i="1663"/>
  <c r="L11" i="1663"/>
  <c r="D11" i="1663" s="1"/>
  <c r="L10" i="1663"/>
  <c r="D10" i="1663" s="1"/>
  <c r="L8" i="1663"/>
  <c r="D8" i="1663" s="1"/>
  <c r="L7" i="1663"/>
  <c r="D7" i="1663"/>
  <c r="R6" i="1663"/>
  <c r="L6" i="1663"/>
  <c r="D6" i="1663" s="1"/>
  <c r="R5" i="1663"/>
  <c r="R4" i="1663"/>
  <c r="R52" i="1662"/>
  <c r="R51" i="1662"/>
  <c r="D50" i="1662"/>
  <c r="R49" i="1662"/>
  <c r="D49" i="1662"/>
  <c r="R48" i="1662"/>
  <c r="D48" i="1662"/>
  <c r="D46" i="1662"/>
  <c r="D45" i="1662"/>
  <c r="R44" i="1662"/>
  <c r="D44" i="1662"/>
  <c r="R42" i="1662"/>
  <c r="D42" i="1662"/>
  <c r="R41" i="1662"/>
  <c r="D41" i="1662"/>
  <c r="R40" i="1662"/>
  <c r="L8" i="1662" s="1"/>
  <c r="D8" i="1662" s="1"/>
  <c r="D40" i="1662"/>
  <c r="R39" i="1662"/>
  <c r="H39" i="1662"/>
  <c r="D39" i="1662"/>
  <c r="R38" i="1662"/>
  <c r="H38" i="1662"/>
  <c r="D38" i="1662"/>
  <c r="R37" i="1662"/>
  <c r="H37" i="1662"/>
  <c r="D37" i="1662"/>
  <c r="R36" i="1662"/>
  <c r="L10" i="1662" s="1"/>
  <c r="D10" i="1662" s="1"/>
  <c r="H36" i="1662"/>
  <c r="D36" i="1662"/>
  <c r="R35" i="1662"/>
  <c r="H35" i="1662"/>
  <c r="D35" i="1662"/>
  <c r="R34" i="1662"/>
  <c r="L12" i="1662" s="1"/>
  <c r="D12" i="1662" s="1"/>
  <c r="H34" i="1662"/>
  <c r="D34" i="1662"/>
  <c r="R33" i="1662"/>
  <c r="R32" i="1662"/>
  <c r="R31" i="1662"/>
  <c r="R30" i="1662"/>
  <c r="R29" i="1662"/>
  <c r="R28" i="1662"/>
  <c r="L16" i="1662" s="1"/>
  <c r="D16" i="1662" s="1"/>
  <c r="D28" i="1662"/>
  <c r="R27" i="1662"/>
  <c r="D27" i="1662"/>
  <c r="R26" i="1662"/>
  <c r="L26" i="1662"/>
  <c r="D26" i="1662" s="1"/>
  <c r="R25" i="1662"/>
  <c r="D25" i="1662"/>
  <c r="R24" i="1662"/>
  <c r="L24" i="1662"/>
  <c r="D24" i="1662"/>
  <c r="R23" i="1662"/>
  <c r="D23" i="1662"/>
  <c r="R22" i="1662"/>
  <c r="D22" i="1662"/>
  <c r="R21" i="1662"/>
  <c r="D21" i="1662"/>
  <c r="R20" i="1662"/>
  <c r="L20" i="1662"/>
  <c r="D20" i="1662"/>
  <c r="R19" i="1662"/>
  <c r="D19" i="1662"/>
  <c r="R18" i="1662"/>
  <c r="D18" i="1662"/>
  <c r="R17" i="1662"/>
  <c r="L17" i="1662"/>
  <c r="D17" i="1662"/>
  <c r="R16" i="1662"/>
  <c r="R15" i="1662"/>
  <c r="D15" i="1662"/>
  <c r="R14" i="1662"/>
  <c r="D14" i="1662"/>
  <c r="R13" i="1662"/>
  <c r="D13" i="1662"/>
  <c r="R12" i="1662"/>
  <c r="R11" i="1662"/>
  <c r="L11" i="1662"/>
  <c r="D11" i="1662" s="1"/>
  <c r="L9" i="1662"/>
  <c r="D9" i="1662"/>
  <c r="L7" i="1662"/>
  <c r="D7" i="1662" s="1"/>
  <c r="R6" i="1662"/>
  <c r="L6" i="1662"/>
  <c r="D6" i="1662"/>
  <c r="R5" i="1662"/>
  <c r="R4" i="1662"/>
  <c r="R52" i="1661"/>
  <c r="R51" i="1661"/>
  <c r="D50" i="1661"/>
  <c r="R49" i="1661"/>
  <c r="G49" i="1661"/>
  <c r="D49" i="1661"/>
  <c r="R48" i="1661"/>
  <c r="D48" i="1661"/>
  <c r="D46" i="1661"/>
  <c r="D45" i="1661"/>
  <c r="D44" i="1661"/>
  <c r="R42" i="1661"/>
  <c r="L6" i="1661" s="1"/>
  <c r="D6" i="1661" s="1"/>
  <c r="D42" i="1661"/>
  <c r="R41" i="1661"/>
  <c r="L7" i="1661" s="1"/>
  <c r="D7" i="1661" s="1"/>
  <c r="D41" i="1661"/>
  <c r="R40" i="1661"/>
  <c r="D40" i="1661"/>
  <c r="R39" i="1661"/>
  <c r="D39" i="1661"/>
  <c r="R38" i="1661"/>
  <c r="D38" i="1661"/>
  <c r="R37" i="1661"/>
  <c r="D37" i="1661"/>
  <c r="R36" i="1661"/>
  <c r="L10" i="1661" s="1"/>
  <c r="D10" i="1661" s="1"/>
  <c r="D36" i="1661"/>
  <c r="R35" i="1661"/>
  <c r="L19" i="1661" s="1"/>
  <c r="D19" i="1661" s="1"/>
  <c r="D35" i="1661"/>
  <c r="R34" i="1661"/>
  <c r="L12" i="1661" s="1"/>
  <c r="D12" i="1661" s="1"/>
  <c r="D34" i="1661"/>
  <c r="D54" i="1661" s="1"/>
  <c r="H14" i="1661" s="1"/>
  <c r="R33" i="1661"/>
  <c r="L23" i="1661" s="1"/>
  <c r="D23" i="1661" s="1"/>
  <c r="R32" i="1661"/>
  <c r="R31" i="1661"/>
  <c r="R30" i="1661"/>
  <c r="R29" i="1661"/>
  <c r="R28" i="1661"/>
  <c r="D28" i="1661"/>
  <c r="R27" i="1661"/>
  <c r="D27" i="1661"/>
  <c r="R26" i="1661"/>
  <c r="L26" i="1661"/>
  <c r="D26" i="1661" s="1"/>
  <c r="R25" i="1661"/>
  <c r="L25" i="1661"/>
  <c r="D25" i="1661"/>
  <c r="R24" i="1661"/>
  <c r="D24" i="1661"/>
  <c r="R23" i="1661"/>
  <c r="R22" i="1661"/>
  <c r="L22" i="1661"/>
  <c r="D22" i="1661"/>
  <c r="R21" i="1661"/>
  <c r="D21" i="1661"/>
  <c r="R20" i="1661"/>
  <c r="L20" i="1661"/>
  <c r="D20" i="1661" s="1"/>
  <c r="R19" i="1661"/>
  <c r="R18" i="1661"/>
  <c r="D18" i="1661"/>
  <c r="R17" i="1661"/>
  <c r="D17" i="1661"/>
  <c r="R16" i="1661"/>
  <c r="L16" i="1661"/>
  <c r="D16" i="1661" s="1"/>
  <c r="S15" i="1661"/>
  <c r="R15" i="1661"/>
  <c r="D15" i="1661"/>
  <c r="S14" i="1661"/>
  <c r="R14" i="1661"/>
  <c r="D14" i="1661"/>
  <c r="R13" i="1661"/>
  <c r="D13" i="1661"/>
  <c r="R12" i="1661"/>
  <c r="R11" i="1661"/>
  <c r="L11" i="1661"/>
  <c r="D11" i="1661"/>
  <c r="L9" i="1661"/>
  <c r="D9" i="1661"/>
  <c r="L8" i="1661"/>
  <c r="D8" i="1661" s="1"/>
  <c r="R6" i="1661"/>
  <c r="R5" i="1661"/>
  <c r="R4" i="1661"/>
  <c r="R52" i="1660"/>
  <c r="R51" i="1660"/>
  <c r="D50" i="1660"/>
  <c r="R49" i="1660"/>
  <c r="D49" i="1660"/>
  <c r="R48" i="1660"/>
  <c r="D48" i="1660"/>
  <c r="D46" i="1660"/>
  <c r="D45" i="1660"/>
  <c r="R44" i="1660"/>
  <c r="D44" i="1660"/>
  <c r="R42" i="1660"/>
  <c r="L6" i="1660" s="1"/>
  <c r="D6" i="1660" s="1"/>
  <c r="D42" i="1660"/>
  <c r="R41" i="1660"/>
  <c r="D41" i="1660"/>
  <c r="R40" i="1660"/>
  <c r="D40" i="1660"/>
  <c r="R39" i="1660"/>
  <c r="H39" i="1660"/>
  <c r="D39" i="1660"/>
  <c r="R38" i="1660"/>
  <c r="H38" i="1660"/>
  <c r="D38" i="1660"/>
  <c r="R37" i="1660"/>
  <c r="H37" i="1660"/>
  <c r="D37" i="1660"/>
  <c r="R36" i="1660"/>
  <c r="H36" i="1660"/>
  <c r="D36" i="1660"/>
  <c r="R35" i="1660"/>
  <c r="H35" i="1660"/>
  <c r="D35" i="1660"/>
  <c r="R34" i="1660"/>
  <c r="L12" i="1660" s="1"/>
  <c r="D12" i="1660" s="1"/>
  <c r="H34" i="1660"/>
  <c r="D34" i="1660"/>
  <c r="R33" i="1660"/>
  <c r="R32" i="1660"/>
  <c r="R31" i="1660"/>
  <c r="R30" i="1660"/>
  <c r="R29" i="1660"/>
  <c r="R28" i="1660"/>
  <c r="L16" i="1660" s="1"/>
  <c r="D16" i="1660" s="1"/>
  <c r="D28" i="1660"/>
  <c r="R27" i="1660"/>
  <c r="D27" i="1660"/>
  <c r="R26" i="1660"/>
  <c r="L26" i="1660"/>
  <c r="D26" i="1660"/>
  <c r="R25" i="1660"/>
  <c r="L25" i="1660"/>
  <c r="D25" i="1660" s="1"/>
  <c r="R24" i="1660"/>
  <c r="D24" i="1660"/>
  <c r="R23" i="1660"/>
  <c r="L23" i="1660"/>
  <c r="D23" i="1660"/>
  <c r="R22" i="1660"/>
  <c r="L22" i="1660"/>
  <c r="D22" i="1660"/>
  <c r="R21" i="1660"/>
  <c r="D21" i="1660"/>
  <c r="R20" i="1660"/>
  <c r="L20" i="1660"/>
  <c r="D20" i="1660"/>
  <c r="R19" i="1660"/>
  <c r="L19" i="1660"/>
  <c r="D19" i="1660" s="1"/>
  <c r="R18" i="1660"/>
  <c r="D18" i="1660"/>
  <c r="R17" i="1660"/>
  <c r="D17" i="1660"/>
  <c r="R16" i="1660"/>
  <c r="R15" i="1660"/>
  <c r="D15" i="1660"/>
  <c r="R14" i="1660"/>
  <c r="D14" i="1660"/>
  <c r="R13" i="1660"/>
  <c r="D13" i="1660"/>
  <c r="R12" i="1660"/>
  <c r="R11" i="1660"/>
  <c r="L11" i="1660"/>
  <c r="D11" i="1660" s="1"/>
  <c r="L10" i="1660"/>
  <c r="D10" i="1660"/>
  <c r="L9" i="1660"/>
  <c r="D9" i="1660" s="1"/>
  <c r="L8" i="1660"/>
  <c r="D8" i="1660" s="1"/>
  <c r="L7" i="1660"/>
  <c r="D7" i="1660" s="1"/>
  <c r="R6" i="1660"/>
  <c r="R5" i="1660"/>
  <c r="R4" i="1660"/>
  <c r="R52" i="1659"/>
  <c r="R51" i="1659"/>
  <c r="D50" i="1659"/>
  <c r="R49" i="1659"/>
  <c r="D49" i="1659"/>
  <c r="R48" i="1659"/>
  <c r="D48" i="1659"/>
  <c r="D46" i="1659"/>
  <c r="D45" i="1659"/>
  <c r="R44" i="1659"/>
  <c r="D44" i="1659"/>
  <c r="R42" i="1659"/>
  <c r="L6" i="1659" s="1"/>
  <c r="D6" i="1659" s="1"/>
  <c r="D42" i="1659"/>
  <c r="R41" i="1659"/>
  <c r="D41" i="1659"/>
  <c r="R40" i="1659"/>
  <c r="D40" i="1659"/>
  <c r="R39" i="1659"/>
  <c r="D39" i="1659"/>
  <c r="R38" i="1659"/>
  <c r="L9" i="1659" s="1"/>
  <c r="D9" i="1659" s="1"/>
  <c r="D38" i="1659"/>
  <c r="R37" i="1659"/>
  <c r="H37" i="1659"/>
  <c r="D37" i="1659"/>
  <c r="R36" i="1659"/>
  <c r="H36" i="1659"/>
  <c r="D36" i="1659"/>
  <c r="R35" i="1659"/>
  <c r="H35" i="1659"/>
  <c r="D35" i="1659"/>
  <c r="R34" i="1659"/>
  <c r="H34" i="1659"/>
  <c r="D34" i="1659"/>
  <c r="R33" i="1659"/>
  <c r="R32" i="1659"/>
  <c r="R31" i="1659"/>
  <c r="R30" i="1659"/>
  <c r="R29" i="1659"/>
  <c r="R28" i="1659"/>
  <c r="D28" i="1659"/>
  <c r="R27" i="1659"/>
  <c r="D27" i="1659"/>
  <c r="R26" i="1659"/>
  <c r="L26" i="1659"/>
  <c r="D26" i="1659"/>
  <c r="R25" i="1659"/>
  <c r="L25" i="1659"/>
  <c r="D25" i="1659"/>
  <c r="R24" i="1659"/>
  <c r="D24" i="1659"/>
  <c r="R23" i="1659"/>
  <c r="L23" i="1659"/>
  <c r="D23" i="1659" s="1"/>
  <c r="R22" i="1659"/>
  <c r="L22" i="1659"/>
  <c r="D22" i="1659"/>
  <c r="R21" i="1659"/>
  <c r="D21" i="1659"/>
  <c r="R20" i="1659"/>
  <c r="L20" i="1659"/>
  <c r="D20" i="1659" s="1"/>
  <c r="R19" i="1659"/>
  <c r="L19" i="1659"/>
  <c r="D19" i="1659" s="1"/>
  <c r="R18" i="1659"/>
  <c r="D18" i="1659"/>
  <c r="R17" i="1659"/>
  <c r="L17" i="1659"/>
  <c r="D17" i="1659" s="1"/>
  <c r="R16" i="1659"/>
  <c r="L16" i="1659"/>
  <c r="D16" i="1659"/>
  <c r="R15" i="1659"/>
  <c r="D15" i="1659"/>
  <c r="R14" i="1659"/>
  <c r="D14" i="1659"/>
  <c r="R13" i="1659"/>
  <c r="D13" i="1659"/>
  <c r="R12" i="1659"/>
  <c r="L12" i="1659"/>
  <c r="D12" i="1659"/>
  <c r="R11" i="1659"/>
  <c r="L11" i="1659"/>
  <c r="D11" i="1659"/>
  <c r="L10" i="1659"/>
  <c r="D10" i="1659" s="1"/>
  <c r="L8" i="1659"/>
  <c r="D8" i="1659" s="1"/>
  <c r="L7" i="1659"/>
  <c r="D7" i="1659"/>
  <c r="R6" i="1659"/>
  <c r="R5" i="1659"/>
  <c r="R4" i="1659"/>
  <c r="R52" i="1658"/>
  <c r="R51" i="1658"/>
  <c r="D50" i="1658"/>
  <c r="R49" i="1658"/>
  <c r="D49" i="1658"/>
  <c r="R48" i="1658"/>
  <c r="D48" i="1658"/>
  <c r="D46" i="1658"/>
  <c r="D45" i="1658"/>
  <c r="R44" i="1658"/>
  <c r="D44" i="1658"/>
  <c r="R42" i="1658"/>
  <c r="L6" i="1658" s="1"/>
  <c r="D6" i="1658" s="1"/>
  <c r="D42" i="1658"/>
  <c r="R41" i="1658"/>
  <c r="D41" i="1658"/>
  <c r="R40" i="1658"/>
  <c r="D40" i="1658"/>
  <c r="R39" i="1658"/>
  <c r="L20" i="1658" s="1"/>
  <c r="D20" i="1658" s="1"/>
  <c r="H39" i="1658"/>
  <c r="D39" i="1658"/>
  <c r="R38" i="1658"/>
  <c r="H38" i="1658"/>
  <c r="D38" i="1658"/>
  <c r="R37" i="1658"/>
  <c r="H37" i="1658"/>
  <c r="D37" i="1658"/>
  <c r="R36" i="1658"/>
  <c r="L10" i="1658" s="1"/>
  <c r="D10" i="1658" s="1"/>
  <c r="H36" i="1658"/>
  <c r="D36" i="1658"/>
  <c r="R35" i="1658"/>
  <c r="H35" i="1658"/>
  <c r="D35" i="1658"/>
  <c r="R34" i="1658"/>
  <c r="L12" i="1658" s="1"/>
  <c r="D12" i="1658" s="1"/>
  <c r="H34" i="1658"/>
  <c r="D34" i="1658"/>
  <c r="R33" i="1658"/>
  <c r="R32" i="1658"/>
  <c r="R31" i="1658"/>
  <c r="R30" i="1658"/>
  <c r="R29" i="1658"/>
  <c r="R28" i="1658"/>
  <c r="D28" i="1658"/>
  <c r="R27" i="1658"/>
  <c r="D27" i="1658"/>
  <c r="R26" i="1658"/>
  <c r="L26" i="1658"/>
  <c r="D26" i="1658"/>
  <c r="R25" i="1658"/>
  <c r="D25" i="1658"/>
  <c r="R24" i="1658"/>
  <c r="L24" i="1658"/>
  <c r="D24" i="1658" s="1"/>
  <c r="R23" i="1658"/>
  <c r="D23" i="1658"/>
  <c r="R22" i="1658"/>
  <c r="D22" i="1658"/>
  <c r="R21" i="1658"/>
  <c r="D21" i="1658"/>
  <c r="R20" i="1658"/>
  <c r="R19" i="1658"/>
  <c r="D19" i="1658"/>
  <c r="R18" i="1658"/>
  <c r="D18" i="1658"/>
  <c r="R17" i="1658"/>
  <c r="L17" i="1658"/>
  <c r="D17" i="1658" s="1"/>
  <c r="R16" i="1658"/>
  <c r="L16" i="1658"/>
  <c r="D16" i="1658" s="1"/>
  <c r="R15" i="1658"/>
  <c r="D15" i="1658"/>
  <c r="R14" i="1658"/>
  <c r="D14" i="1658"/>
  <c r="R13" i="1658"/>
  <c r="D13" i="1658"/>
  <c r="R12" i="1658"/>
  <c r="R11" i="1658"/>
  <c r="L11" i="1658"/>
  <c r="D11" i="1658"/>
  <c r="L9" i="1658"/>
  <c r="D9" i="1658"/>
  <c r="L8" i="1658"/>
  <c r="D8" i="1658" s="1"/>
  <c r="L7" i="1658"/>
  <c r="D7" i="1658"/>
  <c r="R6" i="1658"/>
  <c r="R5" i="1658"/>
  <c r="R4" i="1658"/>
  <c r="R52" i="1657"/>
  <c r="R51" i="1657"/>
  <c r="D50" i="1657"/>
  <c r="R49" i="1657"/>
  <c r="G49" i="1657"/>
  <c r="D49" i="1657"/>
  <c r="R48" i="1657"/>
  <c r="D48" i="1657"/>
  <c r="D46" i="1657"/>
  <c r="D45" i="1657"/>
  <c r="D44" i="1657"/>
  <c r="R42" i="1657"/>
  <c r="L6" i="1657" s="1"/>
  <c r="D6" i="1657" s="1"/>
  <c r="D42" i="1657"/>
  <c r="R41" i="1657"/>
  <c r="L7" i="1657" s="1"/>
  <c r="D7" i="1657" s="1"/>
  <c r="D41" i="1657"/>
  <c r="R40" i="1657"/>
  <c r="D40" i="1657"/>
  <c r="R39" i="1657"/>
  <c r="D39" i="1657"/>
  <c r="R38" i="1657"/>
  <c r="L9" i="1657" s="1"/>
  <c r="D9" i="1657" s="1"/>
  <c r="D38" i="1657"/>
  <c r="R37" i="1657"/>
  <c r="D37" i="1657"/>
  <c r="R36" i="1657"/>
  <c r="D36" i="1657"/>
  <c r="R35" i="1657"/>
  <c r="L19" i="1657" s="1"/>
  <c r="D19" i="1657" s="1"/>
  <c r="D35" i="1657"/>
  <c r="D54" i="1657" s="1"/>
  <c r="H14" i="1657" s="1"/>
  <c r="R34" i="1657"/>
  <c r="D34" i="1657"/>
  <c r="R33" i="1657"/>
  <c r="R32" i="1657"/>
  <c r="R31" i="1657"/>
  <c r="R30" i="1657"/>
  <c r="R29" i="1657"/>
  <c r="R28" i="1657"/>
  <c r="L16" i="1657" s="1"/>
  <c r="D16" i="1657" s="1"/>
  <c r="D28" i="1657"/>
  <c r="R27" i="1657"/>
  <c r="D27" i="1657"/>
  <c r="R26" i="1657"/>
  <c r="L26" i="1657"/>
  <c r="D26" i="1657"/>
  <c r="R25" i="1657"/>
  <c r="L25" i="1657"/>
  <c r="D25" i="1657"/>
  <c r="R24" i="1657"/>
  <c r="D24" i="1657"/>
  <c r="R23" i="1657"/>
  <c r="L23" i="1657"/>
  <c r="D23" i="1657"/>
  <c r="R22" i="1657"/>
  <c r="L22" i="1657"/>
  <c r="D22" i="1657" s="1"/>
  <c r="R21" i="1657"/>
  <c r="D21" i="1657"/>
  <c r="R20" i="1657"/>
  <c r="L20" i="1657"/>
  <c r="D20" i="1657"/>
  <c r="R19" i="1657"/>
  <c r="R18" i="1657"/>
  <c r="D18" i="1657"/>
  <c r="R17" i="1657"/>
  <c r="D17" i="1657"/>
  <c r="R16" i="1657"/>
  <c r="S15" i="1657"/>
  <c r="R15" i="1657"/>
  <c r="D15" i="1657"/>
  <c r="S14" i="1657"/>
  <c r="R14" i="1657"/>
  <c r="D14" i="1657"/>
  <c r="R13" i="1657"/>
  <c r="D13" i="1657"/>
  <c r="R12" i="1657"/>
  <c r="L12" i="1657"/>
  <c r="D12" i="1657"/>
  <c r="R11" i="1657"/>
  <c r="L11" i="1657"/>
  <c r="D11" i="1657" s="1"/>
  <c r="L10" i="1657"/>
  <c r="D10" i="1657" s="1"/>
  <c r="L8" i="1657"/>
  <c r="D8" i="1657" s="1"/>
  <c r="R6" i="1657"/>
  <c r="R5" i="1657"/>
  <c r="R4" i="1657"/>
  <c r="R52" i="1656"/>
  <c r="L22" i="1656" s="1"/>
  <c r="D22" i="1656" s="1"/>
  <c r="R51" i="1656"/>
  <c r="D50" i="1656"/>
  <c r="R49" i="1656"/>
  <c r="D49" i="1656"/>
  <c r="R48" i="1656"/>
  <c r="D48" i="1656"/>
  <c r="D46" i="1656"/>
  <c r="D45" i="1656"/>
  <c r="R44" i="1656"/>
  <c r="D44" i="1656"/>
  <c r="R42" i="1656"/>
  <c r="D42" i="1656"/>
  <c r="R41" i="1656"/>
  <c r="D41" i="1656"/>
  <c r="R40" i="1656"/>
  <c r="D40" i="1656"/>
  <c r="R39" i="1656"/>
  <c r="H39" i="1656"/>
  <c r="D39" i="1656"/>
  <c r="R38" i="1656"/>
  <c r="H38" i="1656"/>
  <c r="D38" i="1656"/>
  <c r="R37" i="1656"/>
  <c r="H37" i="1656"/>
  <c r="D37" i="1656"/>
  <c r="R36" i="1656"/>
  <c r="H36" i="1656"/>
  <c r="D36" i="1656"/>
  <c r="R35" i="1656"/>
  <c r="L19" i="1656" s="1"/>
  <c r="D19" i="1656" s="1"/>
  <c r="H35" i="1656"/>
  <c r="D35" i="1656"/>
  <c r="R34" i="1656"/>
  <c r="H34" i="1656"/>
  <c r="D34" i="1656"/>
  <c r="R33" i="1656"/>
  <c r="L23" i="1656" s="1"/>
  <c r="D23" i="1656" s="1"/>
  <c r="R32" i="1656"/>
  <c r="R31" i="1656"/>
  <c r="R30" i="1656"/>
  <c r="R29" i="1656"/>
  <c r="R28" i="1656"/>
  <c r="D28" i="1656"/>
  <c r="R27" i="1656"/>
  <c r="D27" i="1656"/>
  <c r="R26" i="1656"/>
  <c r="L26" i="1656"/>
  <c r="D26" i="1656"/>
  <c r="R25" i="1656"/>
  <c r="L25" i="1656"/>
  <c r="D25" i="1656"/>
  <c r="R24" i="1656"/>
  <c r="D24" i="1656"/>
  <c r="R23" i="1656"/>
  <c r="R22" i="1656"/>
  <c r="R21" i="1656"/>
  <c r="D21" i="1656"/>
  <c r="R20" i="1656"/>
  <c r="L20" i="1656"/>
  <c r="D20" i="1656"/>
  <c r="R19" i="1656"/>
  <c r="R18" i="1656"/>
  <c r="D18" i="1656"/>
  <c r="R17" i="1656"/>
  <c r="D17" i="1656"/>
  <c r="R16" i="1656"/>
  <c r="L16" i="1656"/>
  <c r="D16" i="1656" s="1"/>
  <c r="R15" i="1656"/>
  <c r="D15" i="1656"/>
  <c r="R14" i="1656"/>
  <c r="D14" i="1656"/>
  <c r="R13" i="1656"/>
  <c r="D13" i="1656"/>
  <c r="R12" i="1656"/>
  <c r="L12" i="1656"/>
  <c r="D12" i="1656" s="1"/>
  <c r="R11" i="1656"/>
  <c r="L11" i="1656"/>
  <c r="D11" i="1656" s="1"/>
  <c r="L10" i="1656"/>
  <c r="D10" i="1656" s="1"/>
  <c r="L9" i="1656"/>
  <c r="D9" i="1656" s="1"/>
  <c r="L8" i="1656"/>
  <c r="D8" i="1656" s="1"/>
  <c r="L7" i="1656"/>
  <c r="D7" i="1656" s="1"/>
  <c r="R6" i="1656"/>
  <c r="L6" i="1656"/>
  <c r="D6" i="1656" s="1"/>
  <c r="R5" i="1656"/>
  <c r="R4" i="1656"/>
  <c r="R52" i="1655"/>
  <c r="R51" i="1655"/>
  <c r="D50" i="1655"/>
  <c r="R49" i="1655"/>
  <c r="D49" i="1655"/>
  <c r="R48" i="1655"/>
  <c r="D48" i="1655"/>
  <c r="D46" i="1655"/>
  <c r="D45" i="1655"/>
  <c r="R44" i="1655"/>
  <c r="D44" i="1655"/>
  <c r="R42" i="1655"/>
  <c r="L6" i="1655" s="1"/>
  <c r="D6" i="1655" s="1"/>
  <c r="D42" i="1655"/>
  <c r="R41" i="1655"/>
  <c r="D41" i="1655"/>
  <c r="R40" i="1655"/>
  <c r="D40" i="1655"/>
  <c r="R39" i="1655"/>
  <c r="L20" i="1655" s="1"/>
  <c r="D20" i="1655" s="1"/>
  <c r="H39" i="1655"/>
  <c r="D39" i="1655"/>
  <c r="R38" i="1655"/>
  <c r="H38" i="1655"/>
  <c r="D38" i="1655"/>
  <c r="R37" i="1655"/>
  <c r="H37" i="1655"/>
  <c r="D37" i="1655"/>
  <c r="R36" i="1655"/>
  <c r="H36" i="1655"/>
  <c r="D36" i="1655"/>
  <c r="R35" i="1655"/>
  <c r="H35" i="1655"/>
  <c r="D35" i="1655"/>
  <c r="R34" i="1655"/>
  <c r="L12" i="1655" s="1"/>
  <c r="D12" i="1655" s="1"/>
  <c r="H34" i="1655"/>
  <c r="D34" i="1655"/>
  <c r="R33" i="1655"/>
  <c r="R32" i="1655"/>
  <c r="R31" i="1655"/>
  <c r="R30" i="1655"/>
  <c r="R29" i="1655"/>
  <c r="R28" i="1655"/>
  <c r="D28" i="1655"/>
  <c r="R27" i="1655"/>
  <c r="D27" i="1655"/>
  <c r="R26" i="1655"/>
  <c r="L26" i="1655"/>
  <c r="D26" i="1655"/>
  <c r="R25" i="1655"/>
  <c r="L25" i="1655"/>
  <c r="D25" i="1655"/>
  <c r="R24" i="1655"/>
  <c r="L24" i="1655"/>
  <c r="D24" i="1655"/>
  <c r="R23" i="1655"/>
  <c r="L23" i="1655"/>
  <c r="D23" i="1655"/>
  <c r="R22" i="1655"/>
  <c r="L22" i="1655"/>
  <c r="D22" i="1655"/>
  <c r="R21" i="1655"/>
  <c r="D21" i="1655"/>
  <c r="R20" i="1655"/>
  <c r="R19" i="1655"/>
  <c r="L19" i="1655"/>
  <c r="D19" i="1655" s="1"/>
  <c r="R18" i="1655"/>
  <c r="D18" i="1655"/>
  <c r="R17" i="1655"/>
  <c r="L17" i="1655"/>
  <c r="D17" i="1655" s="1"/>
  <c r="R16" i="1655"/>
  <c r="L16" i="1655"/>
  <c r="D16" i="1655"/>
  <c r="R15" i="1655"/>
  <c r="D15" i="1655"/>
  <c r="R14" i="1655"/>
  <c r="D14" i="1655"/>
  <c r="R13" i="1655"/>
  <c r="D13" i="1655"/>
  <c r="R12" i="1655"/>
  <c r="R11" i="1655"/>
  <c r="L11" i="1655"/>
  <c r="D11" i="1655"/>
  <c r="L10" i="1655"/>
  <c r="D10" i="1655" s="1"/>
  <c r="L9" i="1655"/>
  <c r="D9" i="1655" s="1"/>
  <c r="L8" i="1655"/>
  <c r="D8" i="1655"/>
  <c r="L7" i="1655"/>
  <c r="D7" i="1655"/>
  <c r="R6" i="1655"/>
  <c r="R5" i="1655"/>
  <c r="R4" i="1655"/>
  <c r="R52" i="1654"/>
  <c r="R51" i="1654"/>
  <c r="D50" i="1654"/>
  <c r="R49" i="1654"/>
  <c r="D49" i="1654"/>
  <c r="R48" i="1654"/>
  <c r="D48" i="1654"/>
  <c r="D46" i="1654"/>
  <c r="D45" i="1654"/>
  <c r="R44" i="1654"/>
  <c r="D44" i="1654"/>
  <c r="R42" i="1654"/>
  <c r="L6" i="1654" s="1"/>
  <c r="D6" i="1654" s="1"/>
  <c r="D42" i="1654"/>
  <c r="R41" i="1654"/>
  <c r="D41" i="1654"/>
  <c r="R40" i="1654"/>
  <c r="L8" i="1654" s="1"/>
  <c r="D8" i="1654" s="1"/>
  <c r="D40" i="1654"/>
  <c r="R39" i="1654"/>
  <c r="L20" i="1654" s="1"/>
  <c r="D20" i="1654" s="1"/>
  <c r="H39" i="1654"/>
  <c r="D39" i="1654"/>
  <c r="R38" i="1654"/>
  <c r="H38" i="1654"/>
  <c r="D38" i="1654"/>
  <c r="R37" i="1654"/>
  <c r="H37" i="1654"/>
  <c r="D37" i="1654"/>
  <c r="R36" i="1654"/>
  <c r="L10" i="1654" s="1"/>
  <c r="D10" i="1654" s="1"/>
  <c r="H36" i="1654"/>
  <c r="D36" i="1654"/>
  <c r="R35" i="1654"/>
  <c r="H35" i="1654"/>
  <c r="D35" i="1654"/>
  <c r="R34" i="1654"/>
  <c r="L12" i="1654" s="1"/>
  <c r="D12" i="1654" s="1"/>
  <c r="H34" i="1654"/>
  <c r="D34" i="1654"/>
  <c r="R33" i="1654"/>
  <c r="R32" i="1654"/>
  <c r="R31" i="1654"/>
  <c r="R30" i="1654"/>
  <c r="R29" i="1654"/>
  <c r="R28" i="1654"/>
  <c r="L16" i="1654" s="1"/>
  <c r="D16" i="1654" s="1"/>
  <c r="D28" i="1654"/>
  <c r="R27" i="1654"/>
  <c r="D27" i="1654"/>
  <c r="R26" i="1654"/>
  <c r="L26" i="1654"/>
  <c r="D26" i="1654"/>
  <c r="R25" i="1654"/>
  <c r="L25" i="1654"/>
  <c r="D25" i="1654" s="1"/>
  <c r="R24" i="1654"/>
  <c r="L24" i="1654"/>
  <c r="D24" i="1654" s="1"/>
  <c r="R23" i="1654"/>
  <c r="D23" i="1654"/>
  <c r="R22" i="1654"/>
  <c r="D22" i="1654"/>
  <c r="R21" i="1654"/>
  <c r="D21" i="1654"/>
  <c r="R20" i="1654"/>
  <c r="R19" i="1654"/>
  <c r="D19" i="1654"/>
  <c r="R18" i="1654"/>
  <c r="D18" i="1654"/>
  <c r="R17" i="1654"/>
  <c r="L17" i="1654"/>
  <c r="D17" i="1654" s="1"/>
  <c r="R16" i="1654"/>
  <c r="R15" i="1654"/>
  <c r="D15" i="1654"/>
  <c r="R14" i="1654"/>
  <c r="D14" i="1654"/>
  <c r="R13" i="1654"/>
  <c r="D13" i="1654"/>
  <c r="R12" i="1654"/>
  <c r="R11" i="1654"/>
  <c r="L11" i="1654"/>
  <c r="D11" i="1654" s="1"/>
  <c r="L9" i="1654"/>
  <c r="D9" i="1654"/>
  <c r="L7" i="1654"/>
  <c r="D7" i="1654"/>
  <c r="R6" i="1654"/>
  <c r="R5" i="1654"/>
  <c r="R4" i="1654"/>
  <c r="R52" i="1653"/>
  <c r="R51" i="1653"/>
  <c r="D50" i="1653"/>
  <c r="R49" i="1653"/>
  <c r="G49" i="1653"/>
  <c r="D49" i="1653"/>
  <c r="R48" i="1653"/>
  <c r="D48" i="1653"/>
  <c r="D46" i="1653"/>
  <c r="D45" i="1653"/>
  <c r="D44" i="1653"/>
  <c r="R42" i="1653"/>
  <c r="L6" i="1653" s="1"/>
  <c r="D6" i="1653" s="1"/>
  <c r="D42" i="1653"/>
  <c r="R41" i="1653"/>
  <c r="L7" i="1653" s="1"/>
  <c r="D7" i="1653" s="1"/>
  <c r="D41" i="1653"/>
  <c r="R40" i="1653"/>
  <c r="D40" i="1653"/>
  <c r="R39" i="1653"/>
  <c r="D39" i="1653"/>
  <c r="R38" i="1653"/>
  <c r="L9" i="1653" s="1"/>
  <c r="D9" i="1653" s="1"/>
  <c r="D38" i="1653"/>
  <c r="R37" i="1653"/>
  <c r="D37" i="1653"/>
  <c r="R36" i="1653"/>
  <c r="D36" i="1653"/>
  <c r="R35" i="1653"/>
  <c r="D35" i="1653"/>
  <c r="R34" i="1653"/>
  <c r="L12" i="1653" s="1"/>
  <c r="D12" i="1653" s="1"/>
  <c r="D34" i="1653"/>
  <c r="D54" i="1653" s="1"/>
  <c r="H14" i="1653" s="1"/>
  <c r="R33" i="1653"/>
  <c r="L23" i="1653" s="1"/>
  <c r="D23" i="1653" s="1"/>
  <c r="R32" i="1653"/>
  <c r="R31" i="1653"/>
  <c r="R30" i="1653"/>
  <c r="R29" i="1653"/>
  <c r="R28" i="1653"/>
  <c r="D28" i="1653"/>
  <c r="R27" i="1653"/>
  <c r="D27" i="1653"/>
  <c r="R26" i="1653"/>
  <c r="L26" i="1653"/>
  <c r="D26" i="1653"/>
  <c r="R25" i="1653"/>
  <c r="L25" i="1653"/>
  <c r="D25" i="1653"/>
  <c r="R24" i="1653"/>
  <c r="D24" i="1653"/>
  <c r="R23" i="1653"/>
  <c r="R22" i="1653"/>
  <c r="L22" i="1653"/>
  <c r="D22" i="1653"/>
  <c r="R21" i="1653"/>
  <c r="D21" i="1653"/>
  <c r="R20" i="1653"/>
  <c r="L20" i="1653"/>
  <c r="D20" i="1653"/>
  <c r="R19" i="1653"/>
  <c r="L19" i="1653"/>
  <c r="D19" i="1653"/>
  <c r="R18" i="1653"/>
  <c r="D18" i="1653"/>
  <c r="R17" i="1653"/>
  <c r="D17" i="1653"/>
  <c r="R16" i="1653"/>
  <c r="L16" i="1653"/>
  <c r="D16" i="1653" s="1"/>
  <c r="S15" i="1653"/>
  <c r="R15" i="1653"/>
  <c r="D15" i="1653"/>
  <c r="S14" i="1653"/>
  <c r="R14" i="1653"/>
  <c r="D14" i="1653"/>
  <c r="R13" i="1653"/>
  <c r="D13" i="1653"/>
  <c r="R12" i="1653"/>
  <c r="R11" i="1653"/>
  <c r="L11" i="1653"/>
  <c r="D11" i="1653"/>
  <c r="L10" i="1653"/>
  <c r="D10" i="1653"/>
  <c r="L8" i="1653"/>
  <c r="D8" i="1653"/>
  <c r="R6" i="1653"/>
  <c r="R5" i="1653"/>
  <c r="R4" i="1653"/>
  <c r="R52" i="1652"/>
  <c r="R51" i="1652"/>
  <c r="D50" i="1652"/>
  <c r="R49" i="1652"/>
  <c r="D49" i="1652"/>
  <c r="R48" i="1652"/>
  <c r="D48" i="1652"/>
  <c r="D46" i="1652"/>
  <c r="D45" i="1652"/>
  <c r="R44" i="1652"/>
  <c r="D44" i="1652"/>
  <c r="R42" i="1652"/>
  <c r="L6" i="1652" s="1"/>
  <c r="D6" i="1652" s="1"/>
  <c r="D42" i="1652"/>
  <c r="R41" i="1652"/>
  <c r="D41" i="1652"/>
  <c r="R40" i="1652"/>
  <c r="L8" i="1652" s="1"/>
  <c r="D8" i="1652" s="1"/>
  <c r="D40" i="1652"/>
  <c r="R39" i="1652"/>
  <c r="H39" i="1652"/>
  <c r="D39" i="1652"/>
  <c r="R38" i="1652"/>
  <c r="H38" i="1652"/>
  <c r="D38" i="1652"/>
  <c r="R37" i="1652"/>
  <c r="H37" i="1652"/>
  <c r="D37" i="1652"/>
  <c r="R36" i="1652"/>
  <c r="H36" i="1652"/>
  <c r="D36" i="1652"/>
  <c r="R35" i="1652"/>
  <c r="H35" i="1652"/>
  <c r="D35" i="1652"/>
  <c r="R34" i="1652"/>
  <c r="L12" i="1652" s="1"/>
  <c r="D12" i="1652" s="1"/>
  <c r="H34" i="1652"/>
  <c r="G49" i="1652" s="1"/>
  <c r="D34" i="1652"/>
  <c r="R33" i="1652"/>
  <c r="R32" i="1652"/>
  <c r="L11" i="1652" s="1"/>
  <c r="D11" i="1652" s="1"/>
  <c r="R31" i="1652"/>
  <c r="R30" i="1652"/>
  <c r="R29" i="1652"/>
  <c r="R28" i="1652"/>
  <c r="D28" i="1652"/>
  <c r="R27" i="1652"/>
  <c r="D27" i="1652"/>
  <c r="R26" i="1652"/>
  <c r="L26" i="1652"/>
  <c r="D26" i="1652"/>
  <c r="R25" i="1652"/>
  <c r="L25" i="1652"/>
  <c r="D25" i="1652" s="1"/>
  <c r="R24" i="1652"/>
  <c r="D24" i="1652"/>
  <c r="R23" i="1652"/>
  <c r="L23" i="1652"/>
  <c r="D23" i="1652" s="1"/>
  <c r="R22" i="1652"/>
  <c r="L22" i="1652"/>
  <c r="D22" i="1652" s="1"/>
  <c r="R21" i="1652"/>
  <c r="D21" i="1652"/>
  <c r="R20" i="1652"/>
  <c r="L20" i="1652"/>
  <c r="D20" i="1652"/>
  <c r="R19" i="1652"/>
  <c r="L19" i="1652"/>
  <c r="D19" i="1652" s="1"/>
  <c r="R18" i="1652"/>
  <c r="D18" i="1652"/>
  <c r="R17" i="1652"/>
  <c r="D17" i="1652"/>
  <c r="R16" i="1652"/>
  <c r="L16" i="1652"/>
  <c r="D16" i="1652" s="1"/>
  <c r="R15" i="1652"/>
  <c r="D15" i="1652"/>
  <c r="R14" i="1652"/>
  <c r="D14" i="1652"/>
  <c r="R13" i="1652"/>
  <c r="D13" i="1652"/>
  <c r="R12" i="1652"/>
  <c r="R11" i="1652"/>
  <c r="L10" i="1652"/>
  <c r="D10" i="1652" s="1"/>
  <c r="L9" i="1652"/>
  <c r="D9" i="1652" s="1"/>
  <c r="L7" i="1652"/>
  <c r="D7" i="1652" s="1"/>
  <c r="R6" i="1652"/>
  <c r="R5" i="1652"/>
  <c r="R4" i="1652"/>
  <c r="R52" i="1651"/>
  <c r="R51" i="1651"/>
  <c r="D50" i="1651"/>
  <c r="R49" i="1651"/>
  <c r="D49" i="1651"/>
  <c r="R48" i="1651"/>
  <c r="D48" i="1651"/>
  <c r="D46" i="1651"/>
  <c r="D45" i="1651"/>
  <c r="R44" i="1651"/>
  <c r="D44" i="1651"/>
  <c r="R42" i="1651"/>
  <c r="L6" i="1651" s="1"/>
  <c r="D6" i="1651" s="1"/>
  <c r="D42" i="1651"/>
  <c r="R41" i="1651"/>
  <c r="D41" i="1651"/>
  <c r="R40" i="1651"/>
  <c r="D40" i="1651"/>
  <c r="R39" i="1651"/>
  <c r="L20" i="1651" s="1"/>
  <c r="D20" i="1651" s="1"/>
  <c r="H39" i="1651"/>
  <c r="D39" i="1651"/>
  <c r="R38" i="1651"/>
  <c r="L9" i="1651" s="1"/>
  <c r="D9" i="1651" s="1"/>
  <c r="H38" i="1651"/>
  <c r="D38" i="1651"/>
  <c r="R37" i="1651"/>
  <c r="H37" i="1651"/>
  <c r="D37" i="1651"/>
  <c r="R36" i="1651"/>
  <c r="H36" i="1651"/>
  <c r="D36" i="1651"/>
  <c r="R35" i="1651"/>
  <c r="H35" i="1651"/>
  <c r="D35" i="1651"/>
  <c r="R34" i="1651"/>
  <c r="L12" i="1651" s="1"/>
  <c r="D12" i="1651" s="1"/>
  <c r="H34" i="1651"/>
  <c r="G49" i="1651" s="1"/>
  <c r="D34" i="1651"/>
  <c r="D54" i="1651" s="1"/>
  <c r="H14" i="1651" s="1"/>
  <c r="R33" i="1651"/>
  <c r="L23" i="1651" s="1"/>
  <c r="D23" i="1651" s="1"/>
  <c r="R32" i="1651"/>
  <c r="R31" i="1651"/>
  <c r="R30" i="1651"/>
  <c r="R29" i="1651"/>
  <c r="R28" i="1651"/>
  <c r="L16" i="1651" s="1"/>
  <c r="D16" i="1651" s="1"/>
  <c r="D28" i="1651"/>
  <c r="R27" i="1651"/>
  <c r="D27" i="1651"/>
  <c r="R26" i="1651"/>
  <c r="L26" i="1651"/>
  <c r="D26" i="1651"/>
  <c r="R25" i="1651"/>
  <c r="L25" i="1651"/>
  <c r="D25" i="1651" s="1"/>
  <c r="R24" i="1651"/>
  <c r="L24" i="1651"/>
  <c r="D24" i="1651"/>
  <c r="R23" i="1651"/>
  <c r="R22" i="1651"/>
  <c r="L22" i="1651"/>
  <c r="D22" i="1651"/>
  <c r="R21" i="1651"/>
  <c r="D21" i="1651"/>
  <c r="R20" i="1651"/>
  <c r="R19" i="1651"/>
  <c r="L19" i="1651"/>
  <c r="D19" i="1651" s="1"/>
  <c r="R18" i="1651"/>
  <c r="D18" i="1651"/>
  <c r="R17" i="1651"/>
  <c r="L17" i="1651"/>
  <c r="D17" i="1651"/>
  <c r="R16" i="1651"/>
  <c r="R15" i="1651"/>
  <c r="D15" i="1651"/>
  <c r="R14" i="1651"/>
  <c r="D14" i="1651"/>
  <c r="R13" i="1651"/>
  <c r="D13" i="1651"/>
  <c r="R12" i="1651"/>
  <c r="R11" i="1651"/>
  <c r="L11" i="1651"/>
  <c r="D11" i="1651" s="1"/>
  <c r="L10" i="1651"/>
  <c r="D10" i="1651" s="1"/>
  <c r="L8" i="1651"/>
  <c r="D8" i="1651"/>
  <c r="L7" i="1651"/>
  <c r="D7" i="1651" s="1"/>
  <c r="R6" i="1651"/>
  <c r="R5" i="1651"/>
  <c r="R4" i="1651"/>
  <c r="R52" i="1650"/>
  <c r="R51" i="1650"/>
  <c r="D50" i="1650"/>
  <c r="R49" i="1650"/>
  <c r="D49" i="1650"/>
  <c r="R48" i="1650"/>
  <c r="D48" i="1650"/>
  <c r="D46" i="1650"/>
  <c r="D45" i="1650"/>
  <c r="R44" i="1650"/>
  <c r="D44" i="1650"/>
  <c r="R42" i="1650"/>
  <c r="L6" i="1650" s="1"/>
  <c r="D6" i="1650" s="1"/>
  <c r="D42" i="1650"/>
  <c r="R41" i="1650"/>
  <c r="L7" i="1650" s="1"/>
  <c r="D7" i="1650" s="1"/>
  <c r="D41" i="1650"/>
  <c r="R40" i="1650"/>
  <c r="D40" i="1650"/>
  <c r="R39" i="1650"/>
  <c r="H39" i="1650"/>
  <c r="D39" i="1650"/>
  <c r="R38" i="1650"/>
  <c r="H38" i="1650"/>
  <c r="D38" i="1650"/>
  <c r="R37" i="1650"/>
  <c r="H37" i="1650"/>
  <c r="D37" i="1650"/>
  <c r="R36" i="1650"/>
  <c r="L10" i="1650" s="1"/>
  <c r="D10" i="1650" s="1"/>
  <c r="H36" i="1650"/>
  <c r="D36" i="1650"/>
  <c r="R35" i="1650"/>
  <c r="H35" i="1650"/>
  <c r="D35" i="1650"/>
  <c r="R34" i="1650"/>
  <c r="H34" i="1650"/>
  <c r="G49" i="1650" s="1"/>
  <c r="D34" i="1650"/>
  <c r="R33" i="1650"/>
  <c r="R32" i="1650"/>
  <c r="L11" i="1650" s="1"/>
  <c r="D11" i="1650" s="1"/>
  <c r="R31" i="1650"/>
  <c r="R30" i="1650"/>
  <c r="R29" i="1650"/>
  <c r="R28" i="1650"/>
  <c r="L16" i="1650" s="1"/>
  <c r="D16" i="1650" s="1"/>
  <c r="D28" i="1650"/>
  <c r="R27" i="1650"/>
  <c r="D27" i="1650"/>
  <c r="R26" i="1650"/>
  <c r="L26" i="1650"/>
  <c r="D26" i="1650"/>
  <c r="R25" i="1650"/>
  <c r="L25" i="1650"/>
  <c r="D25" i="1650" s="1"/>
  <c r="R24" i="1650"/>
  <c r="L24" i="1650"/>
  <c r="D24" i="1650"/>
  <c r="R23" i="1650"/>
  <c r="D23" i="1650"/>
  <c r="R22" i="1650"/>
  <c r="D22" i="1650"/>
  <c r="R21" i="1650"/>
  <c r="D21" i="1650"/>
  <c r="R20" i="1650"/>
  <c r="L20" i="1650"/>
  <c r="D20" i="1650" s="1"/>
  <c r="R19" i="1650"/>
  <c r="D19" i="1650"/>
  <c r="R18" i="1650"/>
  <c r="D18" i="1650"/>
  <c r="R17" i="1650"/>
  <c r="L17" i="1650"/>
  <c r="D17" i="1650"/>
  <c r="R16" i="1650"/>
  <c r="R15" i="1650"/>
  <c r="D15" i="1650"/>
  <c r="R14" i="1650"/>
  <c r="D14" i="1650"/>
  <c r="R13" i="1650"/>
  <c r="D13" i="1650"/>
  <c r="R12" i="1650"/>
  <c r="L12" i="1650"/>
  <c r="D12" i="1650" s="1"/>
  <c r="R11" i="1650"/>
  <c r="L9" i="1650"/>
  <c r="D9" i="1650"/>
  <c r="L8" i="1650"/>
  <c r="D8" i="1650"/>
  <c r="R6" i="1650"/>
  <c r="R5" i="1650"/>
  <c r="R4" i="1650"/>
  <c r="R52" i="1649"/>
  <c r="R51" i="1649"/>
  <c r="D50" i="1649"/>
  <c r="R49" i="1649"/>
  <c r="G49" i="1649"/>
  <c r="D49" i="1649"/>
  <c r="R48" i="1649"/>
  <c r="D48" i="1649"/>
  <c r="D46" i="1649"/>
  <c r="D45" i="1649"/>
  <c r="D44" i="1649"/>
  <c r="R42" i="1649"/>
  <c r="L6" i="1649" s="1"/>
  <c r="D6" i="1649" s="1"/>
  <c r="D42" i="1649"/>
  <c r="R41" i="1649"/>
  <c r="L7" i="1649" s="1"/>
  <c r="D7" i="1649" s="1"/>
  <c r="D41" i="1649"/>
  <c r="R40" i="1649"/>
  <c r="D40" i="1649"/>
  <c r="R39" i="1649"/>
  <c r="D39" i="1649"/>
  <c r="R38" i="1649"/>
  <c r="D38" i="1649"/>
  <c r="R37" i="1649"/>
  <c r="D37" i="1649"/>
  <c r="R36" i="1649"/>
  <c r="D36" i="1649"/>
  <c r="R35" i="1649"/>
  <c r="D35" i="1649"/>
  <c r="R34" i="1649"/>
  <c r="L12" i="1649" s="1"/>
  <c r="D12" i="1649" s="1"/>
  <c r="D34" i="1649"/>
  <c r="D54" i="1649" s="1"/>
  <c r="H14" i="1649" s="1"/>
  <c r="R33" i="1649"/>
  <c r="L23" i="1649" s="1"/>
  <c r="D23" i="1649" s="1"/>
  <c r="R32" i="1649"/>
  <c r="R31" i="1649"/>
  <c r="R30" i="1649"/>
  <c r="R29" i="1649"/>
  <c r="R28" i="1649"/>
  <c r="D28" i="1649"/>
  <c r="R27" i="1649"/>
  <c r="D27" i="1649"/>
  <c r="R26" i="1649"/>
  <c r="L26" i="1649"/>
  <c r="D26" i="1649"/>
  <c r="R25" i="1649"/>
  <c r="L25" i="1649"/>
  <c r="D25" i="1649"/>
  <c r="R24" i="1649"/>
  <c r="D24" i="1649"/>
  <c r="R23" i="1649"/>
  <c r="R22" i="1649"/>
  <c r="L22" i="1649"/>
  <c r="D22" i="1649"/>
  <c r="R21" i="1649"/>
  <c r="D21" i="1649"/>
  <c r="R20" i="1649"/>
  <c r="L20" i="1649"/>
  <c r="D20" i="1649"/>
  <c r="R19" i="1649"/>
  <c r="L19" i="1649"/>
  <c r="D19" i="1649"/>
  <c r="R18" i="1649"/>
  <c r="D18" i="1649"/>
  <c r="R17" i="1649"/>
  <c r="D17" i="1649"/>
  <c r="R16" i="1649"/>
  <c r="L16" i="1649"/>
  <c r="D16" i="1649" s="1"/>
  <c r="S15" i="1649"/>
  <c r="R15" i="1649"/>
  <c r="D15" i="1649"/>
  <c r="S14" i="1649"/>
  <c r="R14" i="1649"/>
  <c r="D14" i="1649"/>
  <c r="R13" i="1649"/>
  <c r="D13" i="1649"/>
  <c r="R12" i="1649"/>
  <c r="R11" i="1649"/>
  <c r="L11" i="1649"/>
  <c r="D11" i="1649"/>
  <c r="L10" i="1649"/>
  <c r="D10" i="1649"/>
  <c r="L9" i="1649"/>
  <c r="D9" i="1649" s="1"/>
  <c r="L8" i="1649"/>
  <c r="D8" i="1649"/>
  <c r="R6" i="1649"/>
  <c r="R5" i="1649"/>
  <c r="R4" i="1649"/>
  <c r="R52" i="1648"/>
  <c r="R51" i="1648"/>
  <c r="D50" i="1648"/>
  <c r="R49" i="1648"/>
  <c r="D49" i="1648"/>
  <c r="R48" i="1648"/>
  <c r="D48" i="1648"/>
  <c r="D46" i="1648"/>
  <c r="D45" i="1648"/>
  <c r="R44" i="1648"/>
  <c r="D44" i="1648"/>
  <c r="R42" i="1648"/>
  <c r="L6" i="1648" s="1"/>
  <c r="D6" i="1648" s="1"/>
  <c r="D42" i="1648"/>
  <c r="R41" i="1648"/>
  <c r="D41" i="1648"/>
  <c r="R40" i="1648"/>
  <c r="D40" i="1648"/>
  <c r="R39" i="1648"/>
  <c r="H39" i="1648"/>
  <c r="D39" i="1648"/>
  <c r="R38" i="1648"/>
  <c r="H38" i="1648"/>
  <c r="D38" i="1648"/>
  <c r="R37" i="1648"/>
  <c r="H37" i="1648"/>
  <c r="D37" i="1648"/>
  <c r="R36" i="1648"/>
  <c r="L10" i="1648" s="1"/>
  <c r="D10" i="1648" s="1"/>
  <c r="H36" i="1648"/>
  <c r="D36" i="1648"/>
  <c r="R35" i="1648"/>
  <c r="H35" i="1648"/>
  <c r="D35" i="1648"/>
  <c r="R34" i="1648"/>
  <c r="H34" i="1648"/>
  <c r="D34" i="1648"/>
  <c r="R33" i="1648"/>
  <c r="R32" i="1648"/>
  <c r="R31" i="1648"/>
  <c r="R30" i="1648"/>
  <c r="R29" i="1648"/>
  <c r="R28" i="1648"/>
  <c r="L16" i="1648" s="1"/>
  <c r="D16" i="1648" s="1"/>
  <c r="D28" i="1648"/>
  <c r="R27" i="1648"/>
  <c r="D27" i="1648"/>
  <c r="R26" i="1648"/>
  <c r="L26" i="1648"/>
  <c r="D26" i="1648"/>
  <c r="R25" i="1648"/>
  <c r="L25" i="1648"/>
  <c r="D25" i="1648"/>
  <c r="R24" i="1648"/>
  <c r="D24" i="1648"/>
  <c r="R23" i="1648"/>
  <c r="L23" i="1648"/>
  <c r="D23" i="1648"/>
  <c r="R22" i="1648"/>
  <c r="L22" i="1648"/>
  <c r="D22" i="1648" s="1"/>
  <c r="R21" i="1648"/>
  <c r="D21" i="1648"/>
  <c r="R20" i="1648"/>
  <c r="L20" i="1648"/>
  <c r="D20" i="1648"/>
  <c r="R19" i="1648"/>
  <c r="L19" i="1648"/>
  <c r="D19" i="1648"/>
  <c r="R18" i="1648"/>
  <c r="D18" i="1648"/>
  <c r="R17" i="1648"/>
  <c r="D17" i="1648"/>
  <c r="R16" i="1648"/>
  <c r="R15" i="1648"/>
  <c r="D15" i="1648"/>
  <c r="R14" i="1648"/>
  <c r="D14" i="1648"/>
  <c r="R13" i="1648"/>
  <c r="D13" i="1648"/>
  <c r="R12" i="1648"/>
  <c r="L12" i="1648"/>
  <c r="D12" i="1648"/>
  <c r="R11" i="1648"/>
  <c r="L11" i="1648"/>
  <c r="D11" i="1648"/>
  <c r="L9" i="1648"/>
  <c r="D9" i="1648" s="1"/>
  <c r="L8" i="1648"/>
  <c r="D8" i="1648" s="1"/>
  <c r="L7" i="1648"/>
  <c r="D7" i="1648"/>
  <c r="R6" i="1648"/>
  <c r="R5" i="1648"/>
  <c r="R4" i="1648"/>
  <c r="D54" i="1647"/>
  <c r="H14" i="1647" s="1"/>
  <c r="R52" i="1647"/>
  <c r="R51" i="1647"/>
  <c r="D50" i="1647"/>
  <c r="R49" i="1647"/>
  <c r="D49" i="1647"/>
  <c r="R48" i="1647"/>
  <c r="D48" i="1647"/>
  <c r="D46" i="1647"/>
  <c r="D45" i="1647"/>
  <c r="R44" i="1647"/>
  <c r="D44" i="1647"/>
  <c r="R42" i="1647"/>
  <c r="L6" i="1647" s="1"/>
  <c r="D6" i="1647" s="1"/>
  <c r="D42" i="1647"/>
  <c r="R41" i="1647"/>
  <c r="L7" i="1647" s="1"/>
  <c r="D7" i="1647" s="1"/>
  <c r="D41" i="1647"/>
  <c r="R40" i="1647"/>
  <c r="D40" i="1647"/>
  <c r="R39" i="1647"/>
  <c r="H39" i="1647"/>
  <c r="D39" i="1647"/>
  <c r="R38" i="1647"/>
  <c r="L9" i="1647" s="1"/>
  <c r="D9" i="1647" s="1"/>
  <c r="H38" i="1647"/>
  <c r="D38" i="1647"/>
  <c r="R37" i="1647"/>
  <c r="H37" i="1647"/>
  <c r="D37" i="1647"/>
  <c r="R36" i="1647"/>
  <c r="H36" i="1647"/>
  <c r="D36" i="1647"/>
  <c r="R35" i="1647"/>
  <c r="L19" i="1647" s="1"/>
  <c r="D19" i="1647" s="1"/>
  <c r="H35" i="1647"/>
  <c r="D35" i="1647"/>
  <c r="R34" i="1647"/>
  <c r="H34" i="1647"/>
  <c r="G49" i="1647" s="1"/>
  <c r="D34" i="1647"/>
  <c r="R33" i="1647"/>
  <c r="R32" i="1647"/>
  <c r="R31" i="1647"/>
  <c r="R30" i="1647"/>
  <c r="R29" i="1647"/>
  <c r="R28" i="1647"/>
  <c r="D28" i="1647"/>
  <c r="R27" i="1647"/>
  <c r="D27" i="1647"/>
  <c r="R26" i="1647"/>
  <c r="L26" i="1647"/>
  <c r="D26" i="1647"/>
  <c r="R25" i="1647"/>
  <c r="L25" i="1647"/>
  <c r="D25" i="1647"/>
  <c r="R24" i="1647"/>
  <c r="L24" i="1647"/>
  <c r="D24" i="1647"/>
  <c r="R23" i="1647"/>
  <c r="L23" i="1647"/>
  <c r="D23" i="1647"/>
  <c r="R22" i="1647"/>
  <c r="L22" i="1647"/>
  <c r="D22" i="1647"/>
  <c r="R21" i="1647"/>
  <c r="L17" i="1647" s="1"/>
  <c r="D17" i="1647" s="1"/>
  <c r="D21" i="1647"/>
  <c r="R20" i="1647"/>
  <c r="L20" i="1647"/>
  <c r="D20" i="1647"/>
  <c r="R19" i="1647"/>
  <c r="R18" i="1647"/>
  <c r="D18" i="1647"/>
  <c r="R17" i="1647"/>
  <c r="R16" i="1647"/>
  <c r="L16" i="1647"/>
  <c r="D16" i="1647"/>
  <c r="R15" i="1647"/>
  <c r="D15" i="1647"/>
  <c r="R14" i="1647"/>
  <c r="D14" i="1647"/>
  <c r="R13" i="1647"/>
  <c r="D13" i="1647"/>
  <c r="R12" i="1647"/>
  <c r="L12" i="1647"/>
  <c r="D12" i="1647"/>
  <c r="R11" i="1647"/>
  <c r="L11" i="1647"/>
  <c r="D11" i="1647"/>
  <c r="L10" i="1647"/>
  <c r="D10" i="1647"/>
  <c r="L8" i="1647"/>
  <c r="D8" i="1647"/>
  <c r="R6" i="1647"/>
  <c r="R5" i="1647"/>
  <c r="R4" i="1647"/>
  <c r="R52" i="1646"/>
  <c r="R51" i="1646"/>
  <c r="D50" i="1646"/>
  <c r="R49" i="1646"/>
  <c r="D49" i="1646"/>
  <c r="R48" i="1646"/>
  <c r="D48" i="1646"/>
  <c r="D46" i="1646"/>
  <c r="D45" i="1646"/>
  <c r="R44" i="1646"/>
  <c r="D44" i="1646"/>
  <c r="R42" i="1646"/>
  <c r="L6" i="1646" s="1"/>
  <c r="D6" i="1646" s="1"/>
  <c r="D42" i="1646"/>
  <c r="R41" i="1646"/>
  <c r="L7" i="1646" s="1"/>
  <c r="D7" i="1646" s="1"/>
  <c r="D41" i="1646"/>
  <c r="D54" i="1646" s="1"/>
  <c r="H14" i="1646" s="1"/>
  <c r="R40" i="1646"/>
  <c r="D40" i="1646"/>
  <c r="R39" i="1646"/>
  <c r="H39" i="1646"/>
  <c r="D39" i="1646"/>
  <c r="R38" i="1646"/>
  <c r="H38" i="1646"/>
  <c r="D38" i="1646"/>
  <c r="R37" i="1646"/>
  <c r="H37" i="1646"/>
  <c r="D37" i="1646"/>
  <c r="R36" i="1646"/>
  <c r="L10" i="1646" s="1"/>
  <c r="D10" i="1646" s="1"/>
  <c r="H36" i="1646"/>
  <c r="D36" i="1646"/>
  <c r="R35" i="1646"/>
  <c r="H35" i="1646"/>
  <c r="D35" i="1646"/>
  <c r="R34" i="1646"/>
  <c r="H34" i="1646"/>
  <c r="G49" i="1646" s="1"/>
  <c r="D34" i="1646"/>
  <c r="R33" i="1646"/>
  <c r="R32" i="1646"/>
  <c r="R31" i="1646"/>
  <c r="R30" i="1646"/>
  <c r="R29" i="1646"/>
  <c r="R28" i="1646"/>
  <c r="L16" i="1646" s="1"/>
  <c r="D16" i="1646" s="1"/>
  <c r="D28" i="1646"/>
  <c r="R27" i="1646"/>
  <c r="D27" i="1646"/>
  <c r="R26" i="1646"/>
  <c r="L26" i="1646"/>
  <c r="D26" i="1646"/>
  <c r="R25" i="1646"/>
  <c r="L25" i="1646"/>
  <c r="D25" i="1646" s="1"/>
  <c r="R24" i="1646"/>
  <c r="L24" i="1646"/>
  <c r="D24" i="1646"/>
  <c r="R23" i="1646"/>
  <c r="D23" i="1646"/>
  <c r="R22" i="1646"/>
  <c r="D22" i="1646"/>
  <c r="R21" i="1646"/>
  <c r="D21" i="1646"/>
  <c r="R20" i="1646"/>
  <c r="L20" i="1646"/>
  <c r="D20" i="1646" s="1"/>
  <c r="R19" i="1646"/>
  <c r="D19" i="1646"/>
  <c r="R18" i="1646"/>
  <c r="D18" i="1646"/>
  <c r="R17" i="1646"/>
  <c r="L17" i="1646"/>
  <c r="D17" i="1646"/>
  <c r="R16" i="1646"/>
  <c r="R15" i="1646"/>
  <c r="D15" i="1646"/>
  <c r="R14" i="1646"/>
  <c r="D14" i="1646"/>
  <c r="R13" i="1646"/>
  <c r="D13" i="1646"/>
  <c r="R12" i="1646"/>
  <c r="L12" i="1646"/>
  <c r="D12" i="1646"/>
  <c r="R11" i="1646"/>
  <c r="L11" i="1646"/>
  <c r="D11" i="1646"/>
  <c r="L9" i="1646"/>
  <c r="D9" i="1646"/>
  <c r="L8" i="1646"/>
  <c r="D8" i="1646"/>
  <c r="R6" i="1646"/>
  <c r="R5" i="1646"/>
  <c r="R4" i="1646"/>
  <c r="L22" i="1620"/>
  <c r="R52" i="1620"/>
  <c r="R51" i="1620"/>
  <c r="R49" i="1620"/>
  <c r="R48" i="1620"/>
  <c r="R44" i="1620"/>
  <c r="R42" i="1620"/>
  <c r="R41" i="1620"/>
  <c r="R40" i="1620"/>
  <c r="R39" i="1620"/>
  <c r="R38" i="1620"/>
  <c r="R37" i="1620"/>
  <c r="R36" i="1620"/>
  <c r="R35" i="1620"/>
  <c r="R34" i="1620"/>
  <c r="R33" i="1620"/>
  <c r="R32" i="1620"/>
  <c r="R31" i="1620"/>
  <c r="R30" i="1620"/>
  <c r="R29" i="1620"/>
  <c r="R28" i="1620"/>
  <c r="R27" i="1620"/>
  <c r="R26" i="1620"/>
  <c r="R25" i="1620"/>
  <c r="R24" i="1620"/>
  <c r="R23" i="1620"/>
  <c r="R22" i="1620"/>
  <c r="R21" i="1620"/>
  <c r="R20" i="1620"/>
  <c r="R19" i="1620"/>
  <c r="R18" i="1620"/>
  <c r="R17" i="1620"/>
  <c r="R16" i="1620"/>
  <c r="R15" i="1620"/>
  <c r="R14" i="1620"/>
  <c r="R13" i="1620"/>
  <c r="R12" i="1620"/>
  <c r="R11" i="1620"/>
  <c r="R6" i="1620"/>
  <c r="R5" i="1620"/>
  <c r="R4" i="1620"/>
  <c r="R52" i="1619"/>
  <c r="R51" i="1619"/>
  <c r="R49" i="1619"/>
  <c r="R48" i="1619"/>
  <c r="R44" i="1619"/>
  <c r="R42" i="1619"/>
  <c r="R41" i="1619"/>
  <c r="R40" i="1619"/>
  <c r="R39" i="1619"/>
  <c r="R38" i="1619"/>
  <c r="R37" i="1619"/>
  <c r="R36" i="1619"/>
  <c r="R35" i="1619"/>
  <c r="R34" i="1619"/>
  <c r="R33" i="1619"/>
  <c r="R32" i="1619"/>
  <c r="R31" i="1619"/>
  <c r="R30" i="1619"/>
  <c r="R29" i="1619"/>
  <c r="R28" i="1619"/>
  <c r="R27" i="1619"/>
  <c r="R26" i="1619"/>
  <c r="R25" i="1619"/>
  <c r="R24" i="1619"/>
  <c r="R23" i="1619"/>
  <c r="R22" i="1619"/>
  <c r="R21" i="1619"/>
  <c r="R20" i="1619"/>
  <c r="R19" i="1619"/>
  <c r="R18" i="1619"/>
  <c r="R17" i="1619"/>
  <c r="R16" i="1619"/>
  <c r="R15" i="1619"/>
  <c r="R14" i="1619"/>
  <c r="R13" i="1619"/>
  <c r="R12" i="1619"/>
  <c r="R11" i="1619"/>
  <c r="R6" i="1619"/>
  <c r="R5" i="1619"/>
  <c r="R4" i="1619"/>
  <c r="D54" i="1645"/>
  <c r="H14" i="1645" s="1"/>
  <c r="R52" i="1645"/>
  <c r="R51" i="1645"/>
  <c r="D50" i="1645"/>
  <c r="R49" i="1645"/>
  <c r="G49" i="1645"/>
  <c r="D49" i="1645"/>
  <c r="R48" i="1645"/>
  <c r="D48" i="1645"/>
  <c r="D46" i="1645"/>
  <c r="D45" i="1645"/>
  <c r="D44" i="1645"/>
  <c r="R42" i="1645"/>
  <c r="D42" i="1645"/>
  <c r="R41" i="1645"/>
  <c r="L7" i="1645" s="1"/>
  <c r="D7" i="1645" s="1"/>
  <c r="D41" i="1645"/>
  <c r="R40" i="1645"/>
  <c r="L8" i="1645" s="1"/>
  <c r="D8" i="1645" s="1"/>
  <c r="D40" i="1645"/>
  <c r="R39" i="1645"/>
  <c r="D39" i="1645"/>
  <c r="R38" i="1645"/>
  <c r="D38" i="1645"/>
  <c r="R37" i="1645"/>
  <c r="D37" i="1645"/>
  <c r="R36" i="1645"/>
  <c r="L10" i="1645" s="1"/>
  <c r="D10" i="1645" s="1"/>
  <c r="D36" i="1645"/>
  <c r="R35" i="1645"/>
  <c r="D35" i="1645"/>
  <c r="R34" i="1645"/>
  <c r="L12" i="1645" s="1"/>
  <c r="D12" i="1645" s="1"/>
  <c r="D34" i="1645"/>
  <c r="R33" i="1645"/>
  <c r="L23" i="1645" s="1"/>
  <c r="D23" i="1645" s="1"/>
  <c r="R32" i="1645"/>
  <c r="L11" i="1645" s="1"/>
  <c r="D11" i="1645" s="1"/>
  <c r="R31" i="1645"/>
  <c r="R30" i="1645"/>
  <c r="R29" i="1645"/>
  <c r="R28" i="1645"/>
  <c r="L16" i="1645" s="1"/>
  <c r="D16" i="1645" s="1"/>
  <c r="D28" i="1645"/>
  <c r="R27" i="1645"/>
  <c r="D27" i="1645"/>
  <c r="R26" i="1645"/>
  <c r="L26" i="1645"/>
  <c r="D26" i="1645"/>
  <c r="R25" i="1645"/>
  <c r="L25" i="1645"/>
  <c r="D25" i="1645"/>
  <c r="R24" i="1645"/>
  <c r="D24" i="1645"/>
  <c r="R23" i="1645"/>
  <c r="R22" i="1645"/>
  <c r="L22" i="1645"/>
  <c r="D22" i="1645" s="1"/>
  <c r="R21" i="1645"/>
  <c r="D21" i="1645"/>
  <c r="R20" i="1645"/>
  <c r="L20" i="1645"/>
  <c r="D20" i="1645"/>
  <c r="R19" i="1645"/>
  <c r="L19" i="1645"/>
  <c r="D19" i="1645"/>
  <c r="R18" i="1645"/>
  <c r="D18" i="1645"/>
  <c r="R17" i="1645"/>
  <c r="D17" i="1645"/>
  <c r="R16" i="1645"/>
  <c r="S15" i="1645"/>
  <c r="R15" i="1645"/>
  <c r="D15" i="1645"/>
  <c r="S14" i="1645"/>
  <c r="R14" i="1645"/>
  <c r="D14" i="1645"/>
  <c r="R13" i="1645"/>
  <c r="D13" i="1645"/>
  <c r="R12" i="1645"/>
  <c r="R11" i="1645"/>
  <c r="L9" i="1645"/>
  <c r="D9" i="1645" s="1"/>
  <c r="R6" i="1645"/>
  <c r="L6" i="1645"/>
  <c r="D6" i="1645" s="1"/>
  <c r="R5" i="1645"/>
  <c r="R4" i="1645"/>
  <c r="G49" i="1680" l="1"/>
  <c r="G49" i="1679"/>
  <c r="G49" i="1678"/>
  <c r="D54" i="1680"/>
  <c r="H14" i="1680" s="1"/>
  <c r="D54" i="1679"/>
  <c r="H14" i="1679" s="1"/>
  <c r="D54" i="1678"/>
  <c r="H14" i="1678" s="1"/>
  <c r="G49" i="1676"/>
  <c r="G49" i="1675"/>
  <c r="G49" i="1674"/>
  <c r="D54" i="1676"/>
  <c r="H14" i="1676" s="1"/>
  <c r="D54" i="1675"/>
  <c r="H14" i="1675" s="1"/>
  <c r="D54" i="1674"/>
  <c r="H14" i="1674" s="1"/>
  <c r="D29" i="1674"/>
  <c r="H13" i="1674" s="1"/>
  <c r="D54" i="1672"/>
  <c r="H14" i="1672" s="1"/>
  <c r="D54" i="1671"/>
  <c r="H14" i="1671" s="1"/>
  <c r="D29" i="1671"/>
  <c r="H13" i="1671" s="1"/>
  <c r="G49" i="1672"/>
  <c r="G49" i="1671"/>
  <c r="G49" i="1670"/>
  <c r="G49" i="1668"/>
  <c r="G49" i="1667"/>
  <c r="D54" i="1668"/>
  <c r="H14" i="1668" s="1"/>
  <c r="D54" i="1667"/>
  <c r="H14" i="1667" s="1"/>
  <c r="D54" i="1666"/>
  <c r="H14" i="1666" s="1"/>
  <c r="G49" i="1664"/>
  <c r="G49" i="1663"/>
  <c r="G49" i="1662"/>
  <c r="D54" i="1664"/>
  <c r="H14" i="1664" s="1"/>
  <c r="D54" i="1663"/>
  <c r="H14" i="1663" s="1"/>
  <c r="D29" i="1663"/>
  <c r="H13" i="1663" s="1"/>
  <c r="D54" i="1662"/>
  <c r="H14" i="1662" s="1"/>
  <c r="D54" i="1660"/>
  <c r="H14" i="1660" s="1"/>
  <c r="D54" i="1659"/>
  <c r="H14" i="1659" s="1"/>
  <c r="D29" i="1659"/>
  <c r="H13" i="1659" s="1"/>
  <c r="D54" i="1658"/>
  <c r="H14" i="1658" s="1"/>
  <c r="G49" i="1660"/>
  <c r="G49" i="1659"/>
  <c r="G49" i="1658"/>
  <c r="G49" i="1656"/>
  <c r="G49" i="1655"/>
  <c r="G49" i="1654"/>
  <c r="D54" i="1656"/>
  <c r="H14" i="1656" s="1"/>
  <c r="D29" i="1656"/>
  <c r="H13" i="1656" s="1"/>
  <c r="D54" i="1655"/>
  <c r="H14" i="1655" s="1"/>
  <c r="D54" i="1654"/>
  <c r="H14" i="1654" s="1"/>
  <c r="D54" i="1652"/>
  <c r="H14" i="1652" s="1"/>
  <c r="D54" i="1650"/>
  <c r="H14" i="1650" s="1"/>
  <c r="D29" i="1650"/>
  <c r="H13" i="1650" s="1"/>
  <c r="G49" i="1648"/>
  <c r="D54" i="1648"/>
  <c r="H14" i="1648" s="1"/>
  <c r="D29" i="1648"/>
  <c r="H13" i="1648" s="1"/>
  <c r="H15" i="1648" s="1"/>
  <c r="H29" i="1648" s="1"/>
  <c r="G51" i="1648" s="1"/>
  <c r="D29" i="1680"/>
  <c r="H13" i="1680" s="1"/>
  <c r="D29" i="1679"/>
  <c r="H13" i="1679" s="1"/>
  <c r="D29" i="1678"/>
  <c r="H13" i="1678" s="1"/>
  <c r="D29" i="1677"/>
  <c r="H13" i="1677" s="1"/>
  <c r="H15" i="1677" s="1"/>
  <c r="H29" i="1677" s="1"/>
  <c r="G51" i="1677" s="1"/>
  <c r="D29" i="1676"/>
  <c r="H13" i="1676" s="1"/>
  <c r="H15" i="1676" s="1"/>
  <c r="H29" i="1676" s="1"/>
  <c r="D29" i="1675"/>
  <c r="H13" i="1675" s="1"/>
  <c r="G51" i="1673"/>
  <c r="D29" i="1672"/>
  <c r="H13" i="1672" s="1"/>
  <c r="D29" i="1670"/>
  <c r="H13" i="1670" s="1"/>
  <c r="H15" i="1670" s="1"/>
  <c r="H29" i="1670" s="1"/>
  <c r="G51" i="1670" s="1"/>
  <c r="D29" i="1669"/>
  <c r="H13" i="1669" s="1"/>
  <c r="H15" i="1669" s="1"/>
  <c r="H29" i="1669" s="1"/>
  <c r="G51" i="1669" s="1"/>
  <c r="D29" i="1668"/>
  <c r="H13" i="1668" s="1"/>
  <c r="D29" i="1667"/>
  <c r="H13" i="1667" s="1"/>
  <c r="D29" i="1666"/>
  <c r="H13" i="1666" s="1"/>
  <c r="D29" i="1665"/>
  <c r="H13" i="1665" s="1"/>
  <c r="H15" i="1665" s="1"/>
  <c r="H29" i="1665" s="1"/>
  <c r="G51" i="1665" s="1"/>
  <c r="D29" i="1664"/>
  <c r="H13" i="1664" s="1"/>
  <c r="D29" i="1662"/>
  <c r="H13" i="1662" s="1"/>
  <c r="D29" i="1661"/>
  <c r="H13" i="1661" s="1"/>
  <c r="H15" i="1661" s="1"/>
  <c r="H29" i="1661" s="1"/>
  <c r="G51" i="1661" s="1"/>
  <c r="D29" i="1660"/>
  <c r="H13" i="1660" s="1"/>
  <c r="D29" i="1658"/>
  <c r="H13" i="1658" s="1"/>
  <c r="D29" i="1657"/>
  <c r="H13" i="1657" s="1"/>
  <c r="H15" i="1657" s="1"/>
  <c r="H29" i="1657" s="1"/>
  <c r="G51" i="1657"/>
  <c r="D29" i="1655"/>
  <c r="H13" i="1655" s="1"/>
  <c r="D29" i="1654"/>
  <c r="H13" i="1654" s="1"/>
  <c r="D29" i="1653"/>
  <c r="H13" i="1653" s="1"/>
  <c r="H15" i="1653" s="1"/>
  <c r="H29" i="1653" s="1"/>
  <c r="G51" i="1653" s="1"/>
  <c r="D29" i="1652"/>
  <c r="H13" i="1652" s="1"/>
  <c r="D29" i="1651"/>
  <c r="H13" i="1651" s="1"/>
  <c r="H15" i="1651" s="1"/>
  <c r="H29" i="1651" s="1"/>
  <c r="G51" i="1651" s="1"/>
  <c r="D29" i="1649"/>
  <c r="H13" i="1649" s="1"/>
  <c r="H15" i="1649" s="1"/>
  <c r="H29" i="1649" s="1"/>
  <c r="G51" i="1649" s="1"/>
  <c r="D29" i="1647"/>
  <c r="H13" i="1647" s="1"/>
  <c r="H15" i="1647" s="1"/>
  <c r="H29" i="1647" s="1"/>
  <c r="G51" i="1647" s="1"/>
  <c r="G51" i="1646"/>
  <c r="D29" i="1646"/>
  <c r="H13" i="1646" s="1"/>
  <c r="H15" i="1646" s="1"/>
  <c r="H29" i="1646" s="1"/>
  <c r="D29" i="1645"/>
  <c r="H13" i="1645" s="1"/>
  <c r="H15" i="1645" s="1"/>
  <c r="H29" i="1645" s="1"/>
  <c r="G51" i="1645" s="1"/>
  <c r="D50" i="1620"/>
  <c r="D49" i="1620"/>
  <c r="D48" i="1620"/>
  <c r="D46" i="1620"/>
  <c r="D45" i="1620"/>
  <c r="D44" i="1620"/>
  <c r="D42" i="1620"/>
  <c r="D41" i="1620"/>
  <c r="L8" i="1620"/>
  <c r="D8" i="1620" s="1"/>
  <c r="D40" i="1620"/>
  <c r="H39" i="1620"/>
  <c r="D39" i="1620"/>
  <c r="L9" i="1620"/>
  <c r="D9" i="1620" s="1"/>
  <c r="H38" i="1620"/>
  <c r="D38" i="1620"/>
  <c r="H37" i="1620"/>
  <c r="D37" i="1620"/>
  <c r="H36" i="1620"/>
  <c r="D36" i="1620"/>
  <c r="H35" i="1620"/>
  <c r="D35" i="1620"/>
  <c r="H34" i="1620"/>
  <c r="D34" i="1620"/>
  <c r="L23" i="1620"/>
  <c r="D23" i="1620" s="1"/>
  <c r="L11" i="1620"/>
  <c r="D11" i="1620" s="1"/>
  <c r="D28" i="1620"/>
  <c r="D27" i="1620"/>
  <c r="L26" i="1620"/>
  <c r="D26" i="1620"/>
  <c r="L25" i="1620"/>
  <c r="D25" i="1620"/>
  <c r="D24" i="1620"/>
  <c r="D22" i="1620"/>
  <c r="D21" i="1620"/>
  <c r="L20" i="1620"/>
  <c r="D20" i="1620"/>
  <c r="L19" i="1620"/>
  <c r="D19" i="1620" s="1"/>
  <c r="D18" i="1620"/>
  <c r="D17" i="1620"/>
  <c r="L16" i="1620"/>
  <c r="D16" i="1620" s="1"/>
  <c r="D15" i="1620"/>
  <c r="D14" i="1620"/>
  <c r="D13" i="1620"/>
  <c r="L12" i="1620"/>
  <c r="D12" i="1620" s="1"/>
  <c r="L10" i="1620"/>
  <c r="D10" i="1620" s="1"/>
  <c r="L7" i="1620"/>
  <c r="D7" i="1620"/>
  <c r="L6" i="1620"/>
  <c r="D6" i="1620"/>
  <c r="D50" i="1619"/>
  <c r="D49" i="1619"/>
  <c r="D48" i="1619"/>
  <c r="D46" i="1619"/>
  <c r="D45" i="1619"/>
  <c r="D44" i="1619"/>
  <c r="D42" i="1619"/>
  <c r="L7" i="1619"/>
  <c r="D7" i="1619" s="1"/>
  <c r="D41" i="1619"/>
  <c r="D40" i="1619"/>
  <c r="L20" i="1619"/>
  <c r="D20" i="1619" s="1"/>
  <c r="H39" i="1619"/>
  <c r="D39" i="1619"/>
  <c r="H38" i="1619"/>
  <c r="D38" i="1619"/>
  <c r="H37" i="1619"/>
  <c r="D37" i="1619"/>
  <c r="H36" i="1619"/>
  <c r="D36" i="1619"/>
  <c r="L19" i="1619"/>
  <c r="D19" i="1619" s="1"/>
  <c r="H35" i="1619"/>
  <c r="D35" i="1619"/>
  <c r="L12" i="1619"/>
  <c r="D12" i="1619" s="1"/>
  <c r="H34" i="1619"/>
  <c r="D34" i="1619"/>
  <c r="L23" i="1619"/>
  <c r="D23" i="1619" s="1"/>
  <c r="L11" i="1619"/>
  <c r="D11" i="1619" s="1"/>
  <c r="D28" i="1619"/>
  <c r="D27" i="1619"/>
  <c r="L26" i="1619"/>
  <c r="D26" i="1619"/>
  <c r="L25" i="1619"/>
  <c r="D25" i="1619"/>
  <c r="L24" i="1619"/>
  <c r="D24" i="1619"/>
  <c r="L22" i="1619"/>
  <c r="D22" i="1619" s="1"/>
  <c r="L17" i="1619"/>
  <c r="D17" i="1619" s="1"/>
  <c r="D21" i="1619"/>
  <c r="D18" i="1619"/>
  <c r="L16" i="1619"/>
  <c r="D16" i="1619" s="1"/>
  <c r="D15" i="1619"/>
  <c r="D14" i="1619"/>
  <c r="D13" i="1619"/>
  <c r="L10" i="1619"/>
  <c r="D10" i="1619"/>
  <c r="L9" i="1619"/>
  <c r="D9" i="1619"/>
  <c r="L8" i="1619"/>
  <c r="D8" i="1619"/>
  <c r="L6" i="1619"/>
  <c r="D6" i="1619"/>
  <c r="R52" i="1618"/>
  <c r="R51" i="1618"/>
  <c r="D50" i="1618"/>
  <c r="R49" i="1618"/>
  <c r="D49" i="1618"/>
  <c r="R48" i="1618"/>
  <c r="D48" i="1618"/>
  <c r="D46" i="1618"/>
  <c r="D45" i="1618"/>
  <c r="R44" i="1618"/>
  <c r="D44" i="1618"/>
  <c r="R42" i="1618"/>
  <c r="L6" i="1618" s="1"/>
  <c r="D6" i="1618" s="1"/>
  <c r="D42" i="1618"/>
  <c r="R41" i="1618"/>
  <c r="D41" i="1618"/>
  <c r="R40" i="1618"/>
  <c r="L8" i="1618" s="1"/>
  <c r="D8" i="1618" s="1"/>
  <c r="D40" i="1618"/>
  <c r="R39" i="1618"/>
  <c r="L20" i="1618" s="1"/>
  <c r="D20" i="1618" s="1"/>
  <c r="H39" i="1618"/>
  <c r="D39" i="1618"/>
  <c r="R38" i="1618"/>
  <c r="L9" i="1618" s="1"/>
  <c r="D9" i="1618" s="1"/>
  <c r="H38" i="1618"/>
  <c r="D38" i="1618"/>
  <c r="R37" i="1618"/>
  <c r="H37" i="1618"/>
  <c r="D37" i="1618"/>
  <c r="R36" i="1618"/>
  <c r="L10" i="1618" s="1"/>
  <c r="D10" i="1618" s="1"/>
  <c r="H36" i="1618"/>
  <c r="D36" i="1618"/>
  <c r="R35" i="1618"/>
  <c r="H35" i="1618"/>
  <c r="D35" i="1618"/>
  <c r="R34" i="1618"/>
  <c r="L12" i="1618" s="1"/>
  <c r="D12" i="1618" s="1"/>
  <c r="H34" i="1618"/>
  <c r="D34" i="1618"/>
  <c r="R33" i="1618"/>
  <c r="R32" i="1618"/>
  <c r="L11" i="1618" s="1"/>
  <c r="D11" i="1618" s="1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R11" i="1618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H15" i="1680" l="1"/>
  <c r="H29" i="1680" s="1"/>
  <c r="G51" i="1680" s="1"/>
  <c r="H15" i="1679"/>
  <c r="H29" i="1679" s="1"/>
  <c r="G51" i="1679" s="1"/>
  <c r="H15" i="1678"/>
  <c r="H29" i="1678" s="1"/>
  <c r="G51" i="1678" s="1"/>
  <c r="G51" i="1676"/>
  <c r="H15" i="1675"/>
  <c r="H29" i="1675" s="1"/>
  <c r="G51" i="1675" s="1"/>
  <c r="H15" i="1674"/>
  <c r="H29" i="1674" s="1"/>
  <c r="G51" i="1674" s="1"/>
  <c r="H15" i="1672"/>
  <c r="H29" i="1672" s="1"/>
  <c r="G51" i="1672" s="1"/>
  <c r="H15" i="1671"/>
  <c r="H29" i="1671" s="1"/>
  <c r="G51" i="1671" s="1"/>
  <c r="H15" i="1668"/>
  <c r="H29" i="1668" s="1"/>
  <c r="G51" i="1668" s="1"/>
  <c r="H15" i="1667"/>
  <c r="H29" i="1667" s="1"/>
  <c r="G51" i="1667" s="1"/>
  <c r="H15" i="1666"/>
  <c r="H29" i="1666" s="1"/>
  <c r="G51" i="1666" s="1"/>
  <c r="H15" i="1664"/>
  <c r="H29" i="1664" s="1"/>
  <c r="G51" i="1664" s="1"/>
  <c r="H15" i="1663"/>
  <c r="H29" i="1663" s="1"/>
  <c r="G51" i="1663" s="1"/>
  <c r="H15" i="1662"/>
  <c r="H29" i="1662" s="1"/>
  <c r="G51" i="1662" s="1"/>
  <c r="H15" i="1660"/>
  <c r="H29" i="1660" s="1"/>
  <c r="G51" i="1660" s="1"/>
  <c r="H15" i="1659"/>
  <c r="H29" i="1659" s="1"/>
  <c r="G51" i="1659" s="1"/>
  <c r="H15" i="1658"/>
  <c r="H29" i="1658" s="1"/>
  <c r="G51" i="1658" s="1"/>
  <c r="H15" i="1656"/>
  <c r="H29" i="1656" s="1"/>
  <c r="G51" i="1656" s="1"/>
  <c r="H15" i="1655"/>
  <c r="H29" i="1655" s="1"/>
  <c r="G51" i="1655" s="1"/>
  <c r="H15" i="1654"/>
  <c r="H29" i="1654" s="1"/>
  <c r="G51" i="1654" s="1"/>
  <c r="H15" i="1652"/>
  <c r="H29" i="1652" s="1"/>
  <c r="G51" i="1652" s="1"/>
  <c r="H15" i="1650"/>
  <c r="H29" i="1650" s="1"/>
  <c r="G51" i="1650" s="1"/>
  <c r="G49" i="1618"/>
  <c r="G49" i="1620"/>
  <c r="G49" i="1619"/>
  <c r="D54" i="1620"/>
  <c r="H14" i="1620" s="1"/>
  <c r="D54" i="1619"/>
  <c r="H14" i="1619" s="1"/>
  <c r="D54" i="1618"/>
  <c r="H14" i="1618" s="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H15" i="1620" l="1"/>
  <c r="H29" i="1620" s="1"/>
  <c r="G51" i="1620" s="1"/>
  <c r="H15" i="1619"/>
  <c r="H29" i="1619" s="1"/>
  <c r="G51" i="1619" s="1"/>
  <c r="H15" i="1618"/>
  <c r="H29" i="1618" s="1"/>
  <c r="G51" i="1618" s="1"/>
</calcChain>
</file>

<file path=xl/sharedStrings.xml><?xml version="1.0" encoding="utf-8"?>
<sst xmlns="http://schemas.openxmlformats.org/spreadsheetml/2006/main" count="6104" uniqueCount="194">
  <si>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</si>
  <si>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</si>
  <si>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</si>
  <si>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</si>
  <si>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</si>
  <si>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</si>
  <si>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</si>
  <si>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</si>
  <si>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</si>
  <si>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</si>
  <si>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</si>
  <si>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</si>
  <si>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</si>
  <si>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</si>
  <si>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</si>
  <si>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</si>
  <si>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</si>
  <si>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</si>
  <si>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</si>
  <si>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</si>
  <si>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</si>
  <si>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</si>
  <si>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</si>
  <si>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</si>
  <si>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</si>
  <si>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</si>
  <si>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</si>
  <si>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</si>
  <si>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</si>
  <si>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</si>
  <si>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</si>
  <si>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</si>
  <si>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</si>
  <si>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</si>
  <si>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</si>
  <si>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</si>
  <si>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</si>
  <si>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</si>
  <si>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</si>
  <si>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</si>
  <si>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</si>
  <si>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</si>
  <si>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</si>
  <si>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</si>
  <si>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</si>
  <si>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</si>
  <si>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</si>
  <si>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</si>
  <si>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</si>
  <si>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</si>
  <si>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</si>
  <si>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</si>
  <si>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</si>
  <si>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</si>
  <si>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</si>
  <si>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</si>
  <si>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</si>
  <si>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</si>
  <si>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</si>
  <si>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</si>
  <si>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</si>
  <si>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</si>
  <si>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</si>
  <si>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</si>
  <si>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</si>
  <si>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</si>
  <si>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</si>
  <si>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</si>
  <si>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</si>
  <si>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</si>
  <si>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</si>
  <si>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</si>
  <si>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</si>
  <si>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</si>
  <si>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</si>
  <si>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</si>
  <si>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</si>
  <si>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</si>
  <si>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</si>
  <si>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</si>
  <si>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</si>
  <si>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</si>
  <si>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</si>
  <si>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</si>
  <si>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</si>
  <si>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</si>
  <si>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</si>
  <si>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</si>
  <si>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</si>
  <si>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</si>
  <si>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</si>
  <si>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</si>
  <si>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</si>
  <si>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</si>
  <si>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</si>
  <si>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</si>
  <si>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</si>
  <si>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</si>
  <si>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</si>
  <si>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</si>
  <si>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</si>
  <si>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</si>
  <si>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</si>
  <si>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</si>
  <si>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</si>
  <si>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</si>
  <si>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</si>
  <si>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</si>
  <si>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</si>
  <si>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</si>
  <si>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</si>
  <si>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</si>
  <si>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</si>
  <si>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</si>
  <si>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</si>
  <si>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</si>
  <si>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</si>
  <si>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</si>
  <si>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</si>
  <si>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</si>
  <si>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</si>
  <si>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</si>
  <si>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</si>
  <si>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</si>
  <si>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</si>
  <si>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</si>
  <si>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</si>
  <si>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</si>
  <si>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</si>
  <si>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</si>
  <si>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</si>
  <si>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</si>
  <si>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</si>
  <si>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</si>
  <si>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</si>
  <si>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</si>
  <si>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</si>
  <si>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</si>
  <si>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</si>
  <si>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</si>
  <si>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</si>
  <si>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</si>
  <si>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</si>
  <si>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</si>
  <si>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</si>
  <si>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t>1VB</t>
  </si>
  <si>
    <t>4820795</t>
  </si>
  <si>
    <t>BDO</t>
  </si>
  <si>
    <t>42937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</si>
  <si>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</si>
  <si>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SMLC/RHC/PPC</t>
  </si>
  <si>
    <t>144949</t>
  </si>
  <si>
    <t>42938</t>
  </si>
  <si>
    <t>G-CASH</t>
  </si>
  <si>
    <t>JOHN PASAMANTE</t>
  </si>
  <si>
    <t>LOPEZ, GINA</t>
  </si>
  <si>
    <t>PNB</t>
  </si>
  <si>
    <t>145675</t>
  </si>
  <si>
    <t>BANK TRANSFER</t>
  </si>
  <si>
    <t>BALWARTE</t>
  </si>
  <si>
    <t>135261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</si>
  <si>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</si>
  <si>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1ST VALLEY BANK</t>
  </si>
  <si>
    <t>47901</t>
  </si>
  <si>
    <t>4820800</t>
  </si>
  <si>
    <t>143397</t>
  </si>
  <si>
    <t>JMCC</t>
  </si>
  <si>
    <t>VILMA TAGULOB</t>
  </si>
  <si>
    <t>SMLB BOTT.</t>
  </si>
  <si>
    <t>FB BOTT.</t>
  </si>
  <si>
    <t>144962</t>
  </si>
  <si>
    <t>140911</t>
  </si>
  <si>
    <t>47909</t>
  </si>
  <si>
    <t>42941</t>
  </si>
  <si>
    <t>GRACE CHIONG</t>
  </si>
  <si>
    <t>JEROME ENCLONAR</t>
  </si>
  <si>
    <t>PORMAN NONOY</t>
  </si>
  <si>
    <t xml:space="preserve">SHORT / OVER </t>
  </si>
  <si>
    <t>LOPEZ, GINA GRACE A.</t>
  </si>
  <si>
    <t>1B</t>
  </si>
  <si>
    <t xml:space="preserve">                             GINA GRACE A. LOPEZ</t>
  </si>
  <si>
    <t>PSBC</t>
  </si>
  <si>
    <t>2090009399</t>
  </si>
  <si>
    <t>METROBANK</t>
  </si>
  <si>
    <t>3593251</t>
  </si>
  <si>
    <t>42944</t>
  </si>
  <si>
    <t>EASTCOEST</t>
  </si>
  <si>
    <t>81341</t>
  </si>
  <si>
    <t>140922</t>
  </si>
  <si>
    <t>2000005718</t>
  </si>
  <si>
    <t>2000007209</t>
  </si>
  <si>
    <t>1st  Valley Bank</t>
  </si>
  <si>
    <t>4820789</t>
  </si>
  <si>
    <t>42947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</si>
</sst>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4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6" xfId="0" applyFont="1" applyBorder="1"/>
    <xf numFmtId="49" fontId="24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4" fontId="0" fillId="0" borderId="27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  <xf numFmtId="0" fontId="0" fillId="0" borderId="16" xfId="0" applyFont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theme" Target="theme/theme1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60E7C3-1277-4022-BEC5-839F7D5D6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E8A34-F0A3-4C3E-A795-2F22F7AFD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88BC64-8BAD-4326-BFCF-CEED73E76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43A9EC-89A2-4834-A18B-72478773A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54E30-2D2B-4F41-99A7-9893D4F5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4ECCB8-89D8-4B2C-855D-15406F0EB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B55680-4897-49D6-B802-88DC6BF25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F77CB6-118B-4525-B5D7-45F8914BC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E523A4-C8DA-48A6-B948-FE16AB82D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FA5CEC-779C-4B6A-A407-BE9ED1B0B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5958B9-B199-4F10-91A3-389B9F9022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707CFD-A374-40CD-B579-B4037E09E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48CB93-7FB0-40EB-A81C-9EA445708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63E69A-8F44-48C4-9541-28941DC4C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4FBB31-17A2-41E4-92D3-15B29D455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66B2F-3378-4EFD-A361-38ED865ED9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CE24A-25E7-42F8-B151-3E362261C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3CAD8B-76AE-4E9B-B88B-14AE66E19F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3EF41-5EE7-4366-AF41-22C894360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647701</xdr:colOff>
      <xdr:row>53</xdr:row>
      <xdr:rowOff>23131</xdr:rowOff>
    </xdr:from>
    <xdr:to>
      <xdr:col>3</xdr:col>
      <xdr:colOff>514351</xdr:colOff>
      <xdr:row>59</xdr:row>
      <xdr:rowOff>123824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BAA89C-DFEC-4C98-BED9-5E5567367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1" y="10386331"/>
          <a:ext cx="1485900" cy="1243693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7D179-197A-4606-AEE5-38D4D6DDE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0C2C7B-79AD-4077-B8BC-541A1422F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08E58F-0905-4173-9552-30DB6CA1E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4CC8F-4FC2-43C1-80EE-4802819F2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868EF-81C0-4A97-B11B-94A1CB614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14C4A4-6038-47EA-8590-65305C77F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83F133-42FF-455F-8465-69C1EA2AB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447EB3-E76A-421B-BC44-6FDEEFCE2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E9D7A2-6443-42B9-992F-18D8F97CB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B34D0-54A4-49BC-AE77-C92912B0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FE0EDD-963B-41B6-A3D7-DCEA4DE38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06748-E591-4409-AD27-EC23C81EE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17AB1-F1D0-4E1F-B680-28E4C9B56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03AEB-FBE3-40DC-8F7E-FF1404C8F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3889A-0856-4EAC-B0B4-A903CE071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DEE12F-A586-4502-8E13-BEF7DD14B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014934-73F4-4D3E-B85A-5AAFA1472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C133EB-54DD-4738-8E4B-3FF4182EC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17F768-3464-46CC-8A1E-95D0CDC88F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4F7F86-D206-4C37-97BF-CC71B0941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367E31-1BE1-43E0-80FF-F8C1C8BE7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C44" sqref="C44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4" t="s">
        <v>1</v>
      </c>
      <c r="O1" s="204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205" t="s">
        <v>8</v>
      </c>
      <c r="G4" s="207"/>
      <c r="H4" s="209" t="s">
        <v>9</v>
      </c>
      <c r="I4" s="211"/>
      <c r="J4" s="2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206"/>
      <c r="G5" s="208"/>
      <c r="H5" s="210"/>
      <c r="I5" s="213"/>
      <c r="J5" s="2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215" t="s">
        <v>16</v>
      </c>
      <c r="G6" s="217"/>
      <c r="H6" s="218"/>
      <c r="I6" s="218"/>
      <c r="J6" s="2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216"/>
      <c r="G7" s="220"/>
      <c r="H7" s="221"/>
      <c r="I7" s="221"/>
      <c r="J7" s="2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223" t="s">
        <v>21</v>
      </c>
      <c r="G8" s="224"/>
      <c r="H8" s="225"/>
      <c r="I8" s="225"/>
      <c r="J8" s="22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216"/>
      <c r="G9" s="227"/>
      <c r="H9" s="228"/>
      <c r="I9" s="228"/>
      <c r="J9" s="22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215" t="s">
        <v>26</v>
      </c>
      <c r="G10" s="230"/>
      <c r="H10" s="231"/>
      <c r="I10" s="231"/>
      <c r="J10" s="232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216"/>
      <c r="G11" s="227"/>
      <c r="H11" s="228"/>
      <c r="I11" s="228"/>
      <c r="J11" s="22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233" t="s">
        <v>33</v>
      </c>
      <c r="G12" s="234"/>
      <c r="H12" s="234"/>
      <c r="I12" s="234"/>
      <c r="J12" s="23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236" t="s">
        <v>36</v>
      </c>
      <c r="G13" s="20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94" t="s">
        <v>39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99" t="s">
        <v>40</v>
      </c>
      <c r="G15" s="200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1"/>
      <c r="I16" s="161"/>
      <c r="J16" s="16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45</v>
      </c>
      <c r="H17" s="172"/>
      <c r="I17" s="172"/>
      <c r="J17" s="17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47</v>
      </c>
      <c r="H18" s="172"/>
      <c r="I18" s="172"/>
      <c r="J18" s="17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50</v>
      </c>
      <c r="H19" s="173"/>
      <c r="I19" s="173"/>
      <c r="J19" s="1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120</v>
      </c>
      <c r="H20" s="161"/>
      <c r="I20" s="161"/>
      <c r="J20" s="16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7"/>
      <c r="G22" s="73"/>
      <c r="H22" s="177"/>
      <c r="I22" s="177"/>
      <c r="J22" s="17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8"/>
      <c r="G23" s="79"/>
      <c r="H23" s="178"/>
      <c r="I23" s="147"/>
      <c r="J23" s="14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178"/>
      <c r="I24" s="147"/>
      <c r="J24" s="14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88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08" t="s">
        <v>55</v>
      </c>
      <c r="G29" s="170"/>
      <c r="H29" s="130">
        <f>H15-H16-H17-H18-H19-H20-H22-H23-H24+H26+H27</f>
        <v>0</v>
      </c>
      <c r="I29" s="131"/>
      <c r="J29" s="13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11"/>
      <c r="G30" s="171"/>
      <c r="H30" s="133"/>
      <c r="I30" s="134"/>
      <c r="J30" s="13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58</v>
      </c>
      <c r="B32" s="156"/>
      <c r="C32" s="156"/>
      <c r="D32" s="157"/>
      <c r="F32" s="158" t="s">
        <v>59</v>
      </c>
      <c r="G32" s="159"/>
      <c r="H32" s="159"/>
      <c r="I32" s="159"/>
      <c r="J32" s="16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58" t="s">
        <v>13</v>
      </c>
      <c r="I33" s="159"/>
      <c r="J33" s="16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2"/>
      <c r="I34" s="153"/>
      <c r="J34" s="15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152"/>
      <c r="I35" s="153"/>
      <c r="J35" s="15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152"/>
      <c r="I36" s="153"/>
      <c r="J36" s="15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2"/>
      <c r="I37" s="153"/>
      <c r="J37" s="15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152"/>
      <c r="I38" s="153"/>
      <c r="J38" s="15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152"/>
      <c r="I39" s="153"/>
      <c r="J39" s="15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2"/>
      <c r="I40" s="153"/>
      <c r="J40" s="15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152"/>
      <c r="I41" s="153"/>
      <c r="J41" s="15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152"/>
      <c r="H42" s="153"/>
      <c r="I42" s="153"/>
      <c r="J42" s="15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2" t="s">
        <v>81</v>
      </c>
      <c r="C43" s="11"/>
      <c r="D43" s="12"/>
      <c r="F43" s="59" t="s">
        <v>82</v>
      </c>
      <c r="G43" s="85" t="s">
        <v>83</v>
      </c>
      <c r="H43" s="144" t="s">
        <v>13</v>
      </c>
      <c r="I43" s="145"/>
      <c r="J43" s="146"/>
      <c r="K43" s="21"/>
      <c r="P43" s="4"/>
      <c r="Q43" s="4"/>
      <c r="R43" s="5"/>
    </row>
    <row r="44" spans="1:18" ht="15.75" x14ac:dyDescent="0.25">
      <c r="A44" s="123"/>
      <c r="B44" s="27" t="s">
        <v>66</v>
      </c>
      <c r="C44" s="10"/>
      <c r="D44" s="12">
        <f>C44*120</f>
        <v>0</v>
      </c>
      <c r="F44" s="37"/>
      <c r="G44" s="76"/>
      <c r="H44" s="147"/>
      <c r="I44" s="147"/>
      <c r="J44" s="147"/>
      <c r="K44" s="21"/>
      <c r="P44" s="4"/>
      <c r="Q44" s="4"/>
      <c r="R44" s="5"/>
    </row>
    <row r="45" spans="1:18" ht="15.75" x14ac:dyDescent="0.25">
      <c r="A45" s="123"/>
      <c r="B45" s="27" t="s">
        <v>68</v>
      </c>
      <c r="C45" s="33"/>
      <c r="D45" s="12">
        <f>C45*84</f>
        <v>0</v>
      </c>
      <c r="F45" s="37"/>
      <c r="G45" s="76"/>
      <c r="H45" s="147"/>
      <c r="I45" s="147"/>
      <c r="J45" s="147"/>
      <c r="K45" s="21"/>
      <c r="P45" s="4"/>
      <c r="Q45" s="4"/>
      <c r="R45" s="5"/>
    </row>
    <row r="46" spans="1:18" ht="15.75" x14ac:dyDescent="0.25">
      <c r="A46" s="123"/>
      <c r="B46" s="49" t="s">
        <v>70</v>
      </c>
      <c r="C46" s="81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4"/>
      <c r="B47" s="27"/>
      <c r="C47" s="11"/>
      <c r="D47" s="12"/>
      <c r="F47" s="59"/>
      <c r="G47" s="59"/>
      <c r="H47" s="125"/>
      <c r="I47" s="126"/>
      <c r="J47" s="127"/>
      <c r="K47" s="21"/>
      <c r="P47" s="4"/>
      <c r="Q47" s="4"/>
      <c r="R47" s="5"/>
    </row>
    <row r="48" spans="1:18" ht="15" customHeight="1" x14ac:dyDescent="0.25">
      <c r="A48" s="122" t="s">
        <v>32</v>
      </c>
      <c r="B48" s="27" t="s">
        <v>66</v>
      </c>
      <c r="C48" s="10"/>
      <c r="D48" s="12">
        <f>C48*78</f>
        <v>0</v>
      </c>
      <c r="F48" s="59"/>
      <c r="G48" s="59"/>
      <c r="H48" s="125"/>
      <c r="I48" s="126"/>
      <c r="J48" s="1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3"/>
      <c r="B49" s="29" t="s">
        <v>68</v>
      </c>
      <c r="C49" s="33"/>
      <c r="D49" s="12">
        <f>C49*42</f>
        <v>0</v>
      </c>
      <c r="F49" s="128" t="s">
        <v>86</v>
      </c>
      <c r="G49" s="130">
        <f>H34+H35+H36+H37+H38+H39+H40+H41+G42+H44+H45+H46</f>
        <v>0</v>
      </c>
      <c r="H49" s="131"/>
      <c r="I49" s="131"/>
      <c r="J49" s="13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3"/>
      <c r="B50" s="32" t="s">
        <v>70</v>
      </c>
      <c r="C50" s="11"/>
      <c r="D50" s="12">
        <f>C50*1.5</f>
        <v>0</v>
      </c>
      <c r="F50" s="129"/>
      <c r="G50" s="133"/>
      <c r="H50" s="134"/>
      <c r="I50" s="134"/>
      <c r="J50" s="135"/>
      <c r="P50" s="4"/>
      <c r="Q50" s="4"/>
      <c r="R50" s="5"/>
    </row>
    <row r="51" spans="1:18" ht="15" customHeight="1" x14ac:dyDescent="0.25">
      <c r="A51" s="123"/>
      <c r="B51" s="27"/>
      <c r="C51" s="10"/>
      <c r="D51" s="31"/>
      <c r="F51" s="136" t="s">
        <v>128</v>
      </c>
      <c r="G51" s="138">
        <f>G49-H29</f>
        <v>0</v>
      </c>
      <c r="H51" s="139"/>
      <c r="I51" s="139"/>
      <c r="J51" s="1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3"/>
      <c r="B52" s="29"/>
      <c r="C52" s="33"/>
      <c r="D52" s="45"/>
      <c r="F52" s="137"/>
      <c r="G52" s="141"/>
      <c r="H52" s="142"/>
      <c r="I52" s="142"/>
      <c r="J52" s="1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8" t="s">
        <v>90</v>
      </c>
      <c r="B54" s="109"/>
      <c r="C54" s="110"/>
      <c r="D54" s="114">
        <f>SUM(D34:D53)</f>
        <v>0</v>
      </c>
      <c r="F54" s="21"/>
      <c r="J54" s="34"/>
    </row>
    <row r="55" spans="1:18" x14ac:dyDescent="0.25">
      <c r="A55" s="111"/>
      <c r="B55" s="112"/>
      <c r="C55" s="113"/>
      <c r="D55" s="1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6" t="s">
        <v>91</v>
      </c>
      <c r="B58" s="117"/>
      <c r="C58" s="117"/>
      <c r="D58" s="118"/>
      <c r="F58" s="116" t="s">
        <v>92</v>
      </c>
      <c r="G58" s="117"/>
      <c r="H58" s="117"/>
      <c r="I58" s="117"/>
      <c r="J58" s="118"/>
    </row>
    <row r="59" spans="1:18" x14ac:dyDescent="0.25">
      <c r="A59" s="119"/>
      <c r="B59" s="120"/>
      <c r="C59" s="120"/>
      <c r="D59" s="121"/>
      <c r="F59" s="119"/>
      <c r="G59" s="120"/>
      <c r="H59" s="120"/>
      <c r="I59" s="120"/>
      <c r="J59" s="12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4" t="s">
        <v>1</v>
      </c>
      <c r="O1" s="204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205" t="s">
        <v>8</v>
      </c>
      <c r="G4" s="207">
        <v>1</v>
      </c>
      <c r="H4" s="209" t="s">
        <v>9</v>
      </c>
      <c r="I4" s="211">
        <v>45658</v>
      </c>
      <c r="J4" s="2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206"/>
      <c r="G5" s="208"/>
      <c r="H5" s="210"/>
      <c r="I5" s="213"/>
      <c r="J5" s="2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84"/>
      <c r="D6" s="13">
        <f t="shared" ref="D6:D28" si="1">C6*L6</f>
        <v>0</v>
      </c>
      <c r="F6" s="215" t="s">
        <v>16</v>
      </c>
      <c r="G6" s="217" t="s">
        <v>129</v>
      </c>
      <c r="H6" s="218"/>
      <c r="I6" s="218"/>
      <c r="J6" s="2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84"/>
      <c r="D7" s="13">
        <f t="shared" si="1"/>
        <v>0</v>
      </c>
      <c r="F7" s="216"/>
      <c r="G7" s="220"/>
      <c r="H7" s="221"/>
      <c r="I7" s="221"/>
      <c r="J7" s="2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84"/>
      <c r="D8" s="13">
        <f t="shared" si="1"/>
        <v>0</v>
      </c>
      <c r="F8" s="223" t="s">
        <v>21</v>
      </c>
      <c r="G8" s="224" t="s">
        <v>112</v>
      </c>
      <c r="H8" s="225"/>
      <c r="I8" s="225"/>
      <c r="J8" s="2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84"/>
      <c r="D9" s="13">
        <f t="shared" si="1"/>
        <v>0</v>
      </c>
      <c r="F9" s="216"/>
      <c r="G9" s="227"/>
      <c r="H9" s="228"/>
      <c r="I9" s="228"/>
      <c r="J9" s="2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84"/>
      <c r="D10" s="13">
        <f t="shared" si="1"/>
        <v>0</v>
      </c>
      <c r="F10" s="215" t="s">
        <v>26</v>
      </c>
      <c r="G10" s="230" t="s">
        <v>130</v>
      </c>
      <c r="H10" s="231"/>
      <c r="I10" s="231"/>
      <c r="J10" s="232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84"/>
      <c r="D11" s="13">
        <f t="shared" si="1"/>
        <v>0</v>
      </c>
      <c r="F11" s="216"/>
      <c r="G11" s="227"/>
      <c r="H11" s="228"/>
      <c r="I11" s="228"/>
      <c r="J11" s="2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84"/>
      <c r="D12" s="48">
        <f t="shared" si="1"/>
        <v>0</v>
      </c>
      <c r="F12" s="233" t="s">
        <v>33</v>
      </c>
      <c r="G12" s="234"/>
      <c r="H12" s="234"/>
      <c r="I12" s="234"/>
      <c r="J12" s="2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84"/>
      <c r="D13" s="48">
        <f t="shared" si="1"/>
        <v>0</v>
      </c>
      <c r="F13" s="236" t="s">
        <v>36</v>
      </c>
      <c r="G13" s="20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84"/>
      <c r="D14" s="31">
        <f t="shared" si="1"/>
        <v>0</v>
      </c>
      <c r="F14" s="194" t="s">
        <v>39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84"/>
      <c r="D15" s="31">
        <f t="shared" si="1"/>
        <v>0</v>
      </c>
      <c r="F15" s="199" t="s">
        <v>40</v>
      </c>
      <c r="G15" s="200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1"/>
      <c r="I16" s="161"/>
      <c r="J16" s="16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137</v>
      </c>
      <c r="C17" s="84"/>
      <c r="D17" s="48">
        <f t="shared" si="1"/>
        <v>0</v>
      </c>
      <c r="F17" s="56"/>
      <c r="G17" s="66" t="s">
        <v>45</v>
      </c>
      <c r="H17" s="172"/>
      <c r="I17" s="172"/>
      <c r="J17" s="17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2"/>
      <c r="I18" s="172"/>
      <c r="J18" s="17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v>1102</v>
      </c>
      <c r="Q19" s="4"/>
      <c r="R19" s="5">
        <f t="shared" si="0"/>
        <v>0</v>
      </c>
    </row>
    <row r="20" spans="1:18" ht="15.75" x14ac:dyDescent="0.25">
      <c r="A20" s="15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127</v>
      </c>
      <c r="C22" s="84"/>
      <c r="D22" s="48">
        <f t="shared" si="1"/>
        <v>0</v>
      </c>
      <c r="F22" s="77"/>
      <c r="G22" s="73"/>
      <c r="H22" s="177"/>
      <c r="I22" s="177"/>
      <c r="J22" s="17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136</v>
      </c>
      <c r="C26" s="84"/>
      <c r="D26" s="48">
        <f t="shared" si="1"/>
        <v>0</v>
      </c>
      <c r="F26" s="75"/>
      <c r="G26" s="65"/>
      <c r="H26" s="147"/>
      <c r="I26" s="147"/>
      <c r="J26" s="14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110</v>
      </c>
      <c r="C27" s="84"/>
      <c r="D27" s="44">
        <f t="shared" si="1"/>
        <v>0</v>
      </c>
      <c r="F27" s="71"/>
      <c r="G27" s="85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84"/>
      <c r="D28" s="48">
        <f t="shared" si="1"/>
        <v>0</v>
      </c>
      <c r="F28" s="88"/>
      <c r="G28" s="61"/>
      <c r="H28" s="188"/>
      <c r="I28" s="189"/>
      <c r="J28" s="190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08" t="s">
        <v>55</v>
      </c>
      <c r="G29" s="170"/>
      <c r="H29" s="130">
        <f>H15-H16-H17-H18-H19-H20-H22-H23-H24+H26+H27+H28</f>
        <v>0</v>
      </c>
      <c r="I29" s="131"/>
      <c r="J29" s="13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11"/>
      <c r="G30" s="171"/>
      <c r="H30" s="133"/>
      <c r="I30" s="134"/>
      <c r="J30" s="13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58</v>
      </c>
      <c r="B32" s="156"/>
      <c r="C32" s="156"/>
      <c r="D32" s="157"/>
      <c r="F32" s="158" t="s">
        <v>59</v>
      </c>
      <c r="G32" s="159"/>
      <c r="H32" s="159"/>
      <c r="I32" s="159"/>
      <c r="J32" s="16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58" t="s">
        <v>13</v>
      </c>
      <c r="I33" s="159"/>
      <c r="J33" s="16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2">
        <f t="shared" ref="H34:H39" si="2">F34*G34</f>
        <v>0</v>
      </c>
      <c r="I34" s="153"/>
      <c r="J34" s="15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152">
        <f t="shared" si="2"/>
        <v>0</v>
      </c>
      <c r="I35" s="153"/>
      <c r="J35" s="15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152">
        <f t="shared" si="2"/>
        <v>0</v>
      </c>
      <c r="I36" s="153"/>
      <c r="J36" s="15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2">
        <f t="shared" si="2"/>
        <v>0</v>
      </c>
      <c r="I37" s="153"/>
      <c r="J37" s="15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152">
        <f t="shared" si="2"/>
        <v>0</v>
      </c>
      <c r="I38" s="153"/>
      <c r="J38" s="15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152">
        <f t="shared" si="2"/>
        <v>0</v>
      </c>
      <c r="I39" s="153"/>
      <c r="J39" s="15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2"/>
      <c r="I40" s="153"/>
      <c r="J40" s="15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152"/>
      <c r="I41" s="153"/>
      <c r="J41" s="15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152"/>
      <c r="H42" s="153"/>
      <c r="I42" s="153"/>
      <c r="J42" s="15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2" t="s">
        <v>81</v>
      </c>
      <c r="C43" s="11"/>
      <c r="D43" s="12"/>
      <c r="F43" s="59" t="s">
        <v>82</v>
      </c>
      <c r="G43" s="85" t="s">
        <v>83</v>
      </c>
      <c r="H43" s="144" t="s">
        <v>13</v>
      </c>
      <c r="I43" s="145"/>
      <c r="J43" s="14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3"/>
      <c r="B44" s="27" t="s">
        <v>66</v>
      </c>
      <c r="C44" s="10"/>
      <c r="D44" s="12">
        <f>C44*120</f>
        <v>0</v>
      </c>
      <c r="F44" s="37"/>
      <c r="G44" s="62"/>
      <c r="H44" s="147"/>
      <c r="I44" s="147"/>
      <c r="J44" s="147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23"/>
      <c r="B45" s="27" t="s">
        <v>68</v>
      </c>
      <c r="C45" s="33"/>
      <c r="D45" s="12">
        <f>C45*84</f>
        <v>0</v>
      </c>
      <c r="F45" s="37"/>
      <c r="G45" s="62"/>
      <c r="H45" s="147"/>
      <c r="I45" s="147"/>
      <c r="J45" s="147"/>
      <c r="K45" s="21"/>
      <c r="P45" s="4"/>
      <c r="Q45" s="4"/>
      <c r="R45" s="5"/>
    </row>
    <row r="46" spans="1:18" ht="15.75" x14ac:dyDescent="0.25">
      <c r="A46" s="123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4"/>
      <c r="B47" s="27"/>
      <c r="C47" s="11"/>
      <c r="D47" s="12"/>
      <c r="F47" s="59"/>
      <c r="G47" s="59"/>
      <c r="H47" s="125"/>
      <c r="I47" s="126"/>
      <c r="J47" s="127"/>
      <c r="K47" s="21"/>
      <c r="P47" s="4"/>
      <c r="Q47" s="4"/>
      <c r="R47" s="5"/>
    </row>
    <row r="48" spans="1:18" ht="15" customHeight="1" x14ac:dyDescent="0.25">
      <c r="A48" s="122" t="s">
        <v>32</v>
      </c>
      <c r="B48" s="27" t="s">
        <v>66</v>
      </c>
      <c r="C48" s="10"/>
      <c r="D48" s="12">
        <f>C48*78</f>
        <v>0</v>
      </c>
      <c r="F48" s="59"/>
      <c r="G48" s="59"/>
      <c r="H48" s="125"/>
      <c r="I48" s="126"/>
      <c r="J48" s="1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3"/>
      <c r="B49" s="29" t="s">
        <v>68</v>
      </c>
      <c r="C49" s="33"/>
      <c r="D49" s="12">
        <f>C49*42</f>
        <v>0</v>
      </c>
      <c r="F49" s="128" t="s">
        <v>86</v>
      </c>
      <c r="G49" s="130">
        <f>H34+H35+H36+H37+H38+H39+H40+H41+G42+H44+H45+H46</f>
        <v>0</v>
      </c>
      <c r="H49" s="131"/>
      <c r="I49" s="131"/>
      <c r="J49" s="13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3"/>
      <c r="B50" s="32" t="s">
        <v>70</v>
      </c>
      <c r="C50" s="11"/>
      <c r="D50" s="12">
        <f>C50*1.5</f>
        <v>0</v>
      </c>
      <c r="F50" s="129"/>
      <c r="G50" s="133"/>
      <c r="H50" s="134"/>
      <c r="I50" s="134"/>
      <c r="J50" s="135"/>
      <c r="O50" t="s">
        <v>144</v>
      </c>
      <c r="P50" s="4">
        <v>1204</v>
      </c>
      <c r="Q50" s="4"/>
      <c r="R50" s="5"/>
    </row>
    <row r="51" spans="1:18" ht="15" customHeight="1" x14ac:dyDescent="0.25">
      <c r="A51" s="123"/>
      <c r="B51" s="27"/>
      <c r="C51" s="10"/>
      <c r="D51" s="31"/>
      <c r="F51" s="136" t="s">
        <v>131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3"/>
      <c r="B52" s="29"/>
      <c r="C52" s="33"/>
      <c r="D52" s="45"/>
      <c r="F52" s="137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8" t="s">
        <v>90</v>
      </c>
      <c r="B54" s="109"/>
      <c r="C54" s="110"/>
      <c r="D54" s="11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1"/>
      <c r="B55" s="112"/>
      <c r="C55" s="113"/>
      <c r="D55" s="1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16" t="s">
        <v>91</v>
      </c>
      <c r="B58" s="117"/>
      <c r="C58" s="117"/>
      <c r="D58" s="118"/>
      <c r="F58" s="116" t="s">
        <v>92</v>
      </c>
      <c r="G58" s="117"/>
      <c r="H58" s="117"/>
      <c r="I58" s="117"/>
      <c r="J58" s="118"/>
    </row>
    <row r="59" spans="1:18" x14ac:dyDescent="0.25">
      <c r="A59" s="119"/>
      <c r="B59" s="120"/>
      <c r="C59" s="120"/>
      <c r="D59" s="121"/>
      <c r="F59" s="119"/>
      <c r="G59" s="120"/>
      <c r="H59" s="120"/>
      <c r="I59" s="120"/>
      <c r="J59" s="12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4" t="s">
        <v>1</v>
      </c>
      <c r="O1" s="20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205" t="s">
        <v>8</v>
      </c>
      <c r="G4" s="207">
        <v>2</v>
      </c>
      <c r="H4" s="209" t="s">
        <v>9</v>
      </c>
      <c r="I4" s="211">
        <v>45658</v>
      </c>
      <c r="J4" s="2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206"/>
      <c r="G5" s="208"/>
      <c r="H5" s="210"/>
      <c r="I5" s="213"/>
      <c r="J5" s="2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/>
      <c r="D6" s="13">
        <f t="shared" ref="D6:D28" si="1">C6*L6</f>
        <v>0</v>
      </c>
      <c r="F6" s="215" t="s">
        <v>16</v>
      </c>
      <c r="G6" s="217" t="s">
        <v>140</v>
      </c>
      <c r="H6" s="218"/>
      <c r="I6" s="218"/>
      <c r="J6" s="2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/>
      <c r="D7" s="13">
        <f t="shared" si="1"/>
        <v>0</v>
      </c>
      <c r="F7" s="216"/>
      <c r="G7" s="220"/>
      <c r="H7" s="221"/>
      <c r="I7" s="221"/>
      <c r="J7" s="2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223" t="s">
        <v>21</v>
      </c>
      <c r="G8" s="224" t="s">
        <v>114</v>
      </c>
      <c r="H8" s="225"/>
      <c r="I8" s="225"/>
      <c r="J8" s="2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/>
      <c r="D9" s="13">
        <f t="shared" si="1"/>
        <v>0</v>
      </c>
      <c r="F9" s="216"/>
      <c r="G9" s="227"/>
      <c r="H9" s="228"/>
      <c r="I9" s="228"/>
      <c r="J9" s="2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215" t="s">
        <v>26</v>
      </c>
      <c r="G10" s="230" t="s">
        <v>115</v>
      </c>
      <c r="H10" s="231"/>
      <c r="I10" s="231"/>
      <c r="J10" s="232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216"/>
      <c r="G11" s="227"/>
      <c r="H11" s="228"/>
      <c r="I11" s="228"/>
      <c r="J11" s="2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233" t="s">
        <v>33</v>
      </c>
      <c r="G12" s="234"/>
      <c r="H12" s="234"/>
      <c r="I12" s="234"/>
      <c r="J12" s="2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/>
      <c r="D13" s="48">
        <f t="shared" si="1"/>
        <v>0</v>
      </c>
      <c r="F13" s="236" t="s">
        <v>36</v>
      </c>
      <c r="G13" s="20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94" t="s">
        <v>39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99" t="s">
        <v>40</v>
      </c>
      <c r="G15" s="200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1"/>
      <c r="I16" s="161"/>
      <c r="J16" s="16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93</v>
      </c>
      <c r="C17" s="10"/>
      <c r="D17" s="48">
        <f t="shared" si="1"/>
        <v>0</v>
      </c>
      <c r="F17" s="56"/>
      <c r="G17" s="66" t="s">
        <v>45</v>
      </c>
      <c r="H17" s="172"/>
      <c r="I17" s="172"/>
      <c r="J17" s="17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2"/>
      <c r="I18" s="172"/>
      <c r="J18" s="17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7"/>
      <c r="I19" s="247"/>
      <c r="J19" s="24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2"/>
      <c r="G22" s="73"/>
      <c r="H22" s="177"/>
      <c r="I22" s="177"/>
      <c r="J22" s="17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25"/>
      <c r="G23" s="37"/>
      <c r="H23" s="178"/>
      <c r="I23" s="147"/>
      <c r="J23" s="14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123</v>
      </c>
      <c r="C24" s="10"/>
      <c r="D24" s="48">
        <f t="shared" si="1"/>
        <v>0</v>
      </c>
      <c r="F24" s="38"/>
      <c r="G24" s="37"/>
      <c r="H24" s="178"/>
      <c r="I24" s="147"/>
      <c r="J24" s="14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88"/>
      <c r="G28" s="61"/>
      <c r="H28" s="188"/>
      <c r="I28" s="189"/>
      <c r="J28" s="190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08" t="s">
        <v>55</v>
      </c>
      <c r="G29" s="170"/>
      <c r="H29" s="130">
        <f>H15-H16-H17-H18-H19-H20-H22-H23-H24+H26+H27</f>
        <v>0</v>
      </c>
      <c r="I29" s="131"/>
      <c r="J29" s="13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11"/>
      <c r="G30" s="171"/>
      <c r="H30" s="133"/>
      <c r="I30" s="134"/>
      <c r="J30" s="13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58</v>
      </c>
      <c r="B32" s="156"/>
      <c r="C32" s="156"/>
      <c r="D32" s="157"/>
      <c r="F32" s="158" t="s">
        <v>59</v>
      </c>
      <c r="G32" s="159"/>
      <c r="H32" s="159"/>
      <c r="I32" s="159"/>
      <c r="J32" s="16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58" t="s">
        <v>13</v>
      </c>
      <c r="I33" s="159"/>
      <c r="J33" s="16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2">
        <f>F34*G34</f>
        <v>0</v>
      </c>
      <c r="I34" s="153"/>
      <c r="J34" s="15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152">
        <f t="shared" ref="H35:H39" si="2">F35*G35</f>
        <v>0</v>
      </c>
      <c r="I35" s="153"/>
      <c r="J35" s="15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152">
        <f>F36*G36</f>
        <v>0</v>
      </c>
      <c r="I36" s="153"/>
      <c r="J36" s="15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2">
        <f t="shared" si="2"/>
        <v>0</v>
      </c>
      <c r="I37" s="153"/>
      <c r="J37" s="15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152">
        <f t="shared" si="2"/>
        <v>0</v>
      </c>
      <c r="I38" s="153"/>
      <c r="J38" s="15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152">
        <f t="shared" si="2"/>
        <v>0</v>
      </c>
      <c r="I39" s="153"/>
      <c r="J39" s="15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2"/>
      <c r="I40" s="153"/>
      <c r="J40" s="15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152"/>
      <c r="I41" s="153"/>
      <c r="J41" s="15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152"/>
      <c r="H42" s="153"/>
      <c r="I42" s="153"/>
      <c r="J42" s="15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2" t="s">
        <v>81</v>
      </c>
      <c r="C43" s="11"/>
      <c r="D43" s="12"/>
      <c r="F43" s="59" t="s">
        <v>82</v>
      </c>
      <c r="G43" s="85" t="s">
        <v>83</v>
      </c>
      <c r="H43" s="144" t="s">
        <v>13</v>
      </c>
      <c r="I43" s="145"/>
      <c r="J43" s="14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3"/>
      <c r="B44" s="27" t="s">
        <v>66</v>
      </c>
      <c r="C44" s="10"/>
      <c r="D44" s="12">
        <f>C44*120</f>
        <v>0</v>
      </c>
      <c r="F44" s="37"/>
      <c r="G44" s="62"/>
      <c r="H44" s="147"/>
      <c r="I44" s="147"/>
      <c r="J44" s="147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23"/>
      <c r="B45" s="27" t="s">
        <v>68</v>
      </c>
      <c r="C45" s="33"/>
      <c r="D45" s="12">
        <f>C45*84</f>
        <v>0</v>
      </c>
      <c r="F45" s="37"/>
      <c r="G45" s="62"/>
      <c r="H45" s="147"/>
      <c r="I45" s="147"/>
      <c r="J45" s="147"/>
      <c r="K45" s="21"/>
      <c r="P45" s="4"/>
      <c r="Q45" s="4"/>
      <c r="R45" s="5"/>
    </row>
    <row r="46" spans="1:18" ht="15.75" x14ac:dyDescent="0.25">
      <c r="A46" s="123"/>
      <c r="B46" s="49" t="s">
        <v>70</v>
      </c>
      <c r="C46" s="81"/>
      <c r="D46" s="12">
        <f>C46*1.5</f>
        <v>0</v>
      </c>
      <c r="F46" s="37"/>
      <c r="G46" s="86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4"/>
      <c r="B47" s="27"/>
      <c r="C47" s="11"/>
      <c r="D47" s="12"/>
      <c r="F47" s="59"/>
      <c r="G47" s="59"/>
      <c r="H47" s="125"/>
      <c r="I47" s="126"/>
      <c r="J47" s="127"/>
      <c r="K47" s="21"/>
      <c r="P47" s="4"/>
      <c r="Q47" s="4"/>
      <c r="R47" s="5"/>
    </row>
    <row r="48" spans="1:18" ht="15" customHeight="1" x14ac:dyDescent="0.25">
      <c r="A48" s="122" t="s">
        <v>32</v>
      </c>
      <c r="B48" s="27" t="s">
        <v>66</v>
      </c>
      <c r="C48" s="10"/>
      <c r="D48" s="12">
        <f>C48*78</f>
        <v>0</v>
      </c>
      <c r="F48" s="59"/>
      <c r="G48" s="59"/>
      <c r="H48" s="125"/>
      <c r="I48" s="126"/>
      <c r="J48" s="1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3"/>
      <c r="B49" s="29" t="s">
        <v>68</v>
      </c>
      <c r="C49" s="33"/>
      <c r="D49" s="12">
        <f>C49*42</f>
        <v>0</v>
      </c>
      <c r="F49" s="128" t="s">
        <v>86</v>
      </c>
      <c r="G49" s="130">
        <f>H34+H35+H36+H37+H38+H39+H40+H41+G42+H44+H45+H46</f>
        <v>0</v>
      </c>
      <c r="H49" s="131"/>
      <c r="I49" s="131"/>
      <c r="J49" s="13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3"/>
      <c r="B50" s="32" t="s">
        <v>70</v>
      </c>
      <c r="C50" s="11"/>
      <c r="D50" s="12">
        <f>C50*1.5</f>
        <v>0</v>
      </c>
      <c r="F50" s="129"/>
      <c r="G50" s="133"/>
      <c r="H50" s="134"/>
      <c r="I50" s="134"/>
      <c r="J50" s="135"/>
      <c r="O50" t="s">
        <v>144</v>
      </c>
      <c r="P50" s="4">
        <v>1204</v>
      </c>
      <c r="Q50" s="4"/>
      <c r="R50" s="5"/>
    </row>
    <row r="51" spans="1:18" ht="15" customHeight="1" x14ac:dyDescent="0.25">
      <c r="A51" s="123"/>
      <c r="B51" s="27"/>
      <c r="C51" s="10"/>
      <c r="D51" s="31"/>
      <c r="F51" s="136" t="s">
        <v>142</v>
      </c>
      <c r="G51" s="138">
        <f>G49-H29</f>
        <v>0</v>
      </c>
      <c r="H51" s="139"/>
      <c r="I51" s="139"/>
      <c r="J51" s="1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3"/>
      <c r="B52" s="29"/>
      <c r="C52" s="33"/>
      <c r="D52" s="45"/>
      <c r="F52" s="137"/>
      <c r="G52" s="141"/>
      <c r="H52" s="142"/>
      <c r="I52" s="142"/>
      <c r="J52" s="1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8" t="s">
        <v>90</v>
      </c>
      <c r="B54" s="109"/>
      <c r="C54" s="110"/>
      <c r="D54" s="11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1"/>
      <c r="B55" s="112"/>
      <c r="C55" s="113"/>
      <c r="D55" s="1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16" t="s">
        <v>91</v>
      </c>
      <c r="B58" s="117"/>
      <c r="C58" s="117"/>
      <c r="D58" s="118"/>
      <c r="F58" s="116" t="s">
        <v>92</v>
      </c>
      <c r="G58" s="117"/>
      <c r="H58" s="117"/>
      <c r="I58" s="117"/>
      <c r="J58" s="118"/>
    </row>
    <row r="59" spans="1:18" x14ac:dyDescent="0.25">
      <c r="A59" s="119"/>
      <c r="B59" s="120"/>
      <c r="C59" s="120"/>
      <c r="D59" s="121"/>
      <c r="F59" s="119"/>
      <c r="G59" s="120"/>
      <c r="H59" s="120"/>
      <c r="I59" s="120"/>
      <c r="J59" s="12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4" t="s">
        <v>1</v>
      </c>
      <c r="O1" s="20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205" t="s">
        <v>8</v>
      </c>
      <c r="G4" s="207">
        <v>3</v>
      </c>
      <c r="H4" s="209" t="s">
        <v>9</v>
      </c>
      <c r="I4" s="211">
        <v>45658</v>
      </c>
      <c r="J4" s="2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206"/>
      <c r="G5" s="208"/>
      <c r="H5" s="210"/>
      <c r="I5" s="213"/>
      <c r="J5" s="2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/>
      <c r="D6" s="13">
        <f t="shared" ref="D6:D28" si="1">C6*L6</f>
        <v>0</v>
      </c>
      <c r="F6" s="215" t="s">
        <v>16</v>
      </c>
      <c r="G6" s="217" t="s">
        <v>111</v>
      </c>
      <c r="H6" s="218"/>
      <c r="I6" s="218"/>
      <c r="J6" s="2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/>
      <c r="D7" s="13">
        <f t="shared" si="1"/>
        <v>0</v>
      </c>
      <c r="F7" s="216"/>
      <c r="G7" s="220"/>
      <c r="H7" s="221"/>
      <c r="I7" s="221"/>
      <c r="J7" s="2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223" t="s">
        <v>21</v>
      </c>
      <c r="G8" s="224" t="s">
        <v>119</v>
      </c>
      <c r="H8" s="225"/>
      <c r="I8" s="225"/>
      <c r="J8" s="2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/>
      <c r="D9" s="13">
        <f t="shared" si="1"/>
        <v>0</v>
      </c>
      <c r="F9" s="216"/>
      <c r="G9" s="227"/>
      <c r="H9" s="228"/>
      <c r="I9" s="228"/>
      <c r="J9" s="2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215" t="s">
        <v>26</v>
      </c>
      <c r="G10" s="230" t="s">
        <v>134</v>
      </c>
      <c r="H10" s="231"/>
      <c r="I10" s="231"/>
      <c r="J10" s="232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216"/>
      <c r="G11" s="227"/>
      <c r="H11" s="228"/>
      <c r="I11" s="228"/>
      <c r="J11" s="2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233" t="s">
        <v>33</v>
      </c>
      <c r="G12" s="234"/>
      <c r="H12" s="234"/>
      <c r="I12" s="234"/>
      <c r="J12" s="2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/>
      <c r="D13" s="48">
        <f t="shared" si="1"/>
        <v>0</v>
      </c>
      <c r="F13" s="236" t="s">
        <v>36</v>
      </c>
      <c r="G13" s="20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94" t="s">
        <v>39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99" t="s">
        <v>40</v>
      </c>
      <c r="G15" s="200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1"/>
      <c r="I16" s="161"/>
      <c r="J16" s="16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113</v>
      </c>
      <c r="C17" s="10"/>
      <c r="D17" s="48">
        <f t="shared" si="1"/>
        <v>0</v>
      </c>
      <c r="F17" s="56"/>
      <c r="G17" s="66" t="s">
        <v>45</v>
      </c>
      <c r="H17" s="172"/>
      <c r="I17" s="172"/>
      <c r="J17" s="17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2"/>
      <c r="I18" s="172"/>
      <c r="J18" s="17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8"/>
      <c r="I19" s="248"/>
      <c r="J19" s="24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1"/>
      <c r="I20" s="161"/>
      <c r="J20" s="16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7"/>
      <c r="G22" s="73"/>
      <c r="H22" s="177"/>
      <c r="I22" s="177"/>
      <c r="J22" s="17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78"/>
      <c r="G23" s="79"/>
      <c r="H23" s="178"/>
      <c r="I23" s="147"/>
      <c r="J23" s="14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101</v>
      </c>
      <c r="C24" s="10"/>
      <c r="D24" s="48">
        <f t="shared" si="1"/>
        <v>0</v>
      </c>
      <c r="F24" s="38"/>
      <c r="G24" s="37"/>
      <c r="H24" s="178"/>
      <c r="I24" s="147"/>
      <c r="J24" s="14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88"/>
      <c r="G28" s="61"/>
      <c r="H28" s="188"/>
      <c r="I28" s="189"/>
      <c r="J28" s="190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08" t="s">
        <v>55</v>
      </c>
      <c r="G29" s="170"/>
      <c r="H29" s="130">
        <f>H15-H16-H17-H18-H19-H20-H22-H23-H24+H26+H27</f>
        <v>0</v>
      </c>
      <c r="I29" s="131"/>
      <c r="J29" s="13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11"/>
      <c r="G30" s="171"/>
      <c r="H30" s="133"/>
      <c r="I30" s="134"/>
      <c r="J30" s="13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58</v>
      </c>
      <c r="B32" s="156"/>
      <c r="C32" s="156"/>
      <c r="D32" s="157"/>
      <c r="F32" s="158" t="s">
        <v>59</v>
      </c>
      <c r="G32" s="159"/>
      <c r="H32" s="159"/>
      <c r="I32" s="159"/>
      <c r="J32" s="16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58" t="s">
        <v>13</v>
      </c>
      <c r="I33" s="159"/>
      <c r="J33" s="16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2">
        <f>F34*G34</f>
        <v>0</v>
      </c>
      <c r="I34" s="153"/>
      <c r="J34" s="15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152">
        <f>F35*G35</f>
        <v>0</v>
      </c>
      <c r="I35" s="153"/>
      <c r="J35" s="15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152">
        <f t="shared" ref="H36:H39" si="2">F36*G36</f>
        <v>0</v>
      </c>
      <c r="I36" s="153"/>
      <c r="J36" s="15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2">
        <f t="shared" si="2"/>
        <v>0</v>
      </c>
      <c r="I37" s="153"/>
      <c r="J37" s="15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152">
        <f t="shared" si="2"/>
        <v>0</v>
      </c>
      <c r="I38" s="153"/>
      <c r="J38" s="15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152">
        <f t="shared" si="2"/>
        <v>0</v>
      </c>
      <c r="I39" s="153"/>
      <c r="J39" s="15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2"/>
      <c r="I40" s="153"/>
      <c r="J40" s="15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152"/>
      <c r="I41" s="153"/>
      <c r="J41" s="15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152"/>
      <c r="H42" s="153"/>
      <c r="I42" s="153"/>
      <c r="J42" s="15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2" t="s">
        <v>81</v>
      </c>
      <c r="C43" s="11"/>
      <c r="D43" s="12"/>
      <c r="F43" s="59" t="s">
        <v>82</v>
      </c>
      <c r="G43" s="85" t="s">
        <v>83</v>
      </c>
      <c r="H43" s="144" t="s">
        <v>13</v>
      </c>
      <c r="I43" s="145"/>
      <c r="J43" s="14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3"/>
      <c r="B44" s="27" t="s">
        <v>66</v>
      </c>
      <c r="C44" s="10"/>
      <c r="D44" s="12">
        <f>C44*120</f>
        <v>0</v>
      </c>
      <c r="F44" s="37"/>
      <c r="G44" s="76"/>
      <c r="H44" s="147"/>
      <c r="I44" s="147"/>
      <c r="J44" s="147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23"/>
      <c r="B45" s="27" t="s">
        <v>68</v>
      </c>
      <c r="C45" s="33"/>
      <c r="D45" s="12">
        <f>C45*84</f>
        <v>0</v>
      </c>
      <c r="F45" s="37"/>
      <c r="G45" s="76"/>
      <c r="H45" s="147"/>
      <c r="I45" s="147"/>
      <c r="J45" s="147"/>
      <c r="K45" s="21"/>
      <c r="P45" s="4"/>
      <c r="Q45" s="4"/>
      <c r="R45" s="5"/>
    </row>
    <row r="46" spans="1:18" ht="15.75" x14ac:dyDescent="0.25">
      <c r="A46" s="123"/>
      <c r="B46" s="49" t="s">
        <v>70</v>
      </c>
      <c r="C46" s="81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4"/>
      <c r="B47" s="27"/>
      <c r="C47" s="11"/>
      <c r="D47" s="12"/>
      <c r="F47" s="59"/>
      <c r="G47" s="59"/>
      <c r="H47" s="125"/>
      <c r="I47" s="126"/>
      <c r="J47" s="127"/>
      <c r="K47" s="21"/>
      <c r="P47" s="4"/>
      <c r="Q47" s="4"/>
      <c r="R47" s="5"/>
    </row>
    <row r="48" spans="1:18" ht="15" customHeight="1" x14ac:dyDescent="0.25">
      <c r="A48" s="122" t="s">
        <v>32</v>
      </c>
      <c r="B48" s="27" t="s">
        <v>66</v>
      </c>
      <c r="C48" s="10"/>
      <c r="D48" s="12">
        <f>C48*78</f>
        <v>0</v>
      </c>
      <c r="F48" s="59"/>
      <c r="G48" s="59"/>
      <c r="H48" s="125"/>
      <c r="I48" s="126"/>
      <c r="J48" s="1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3"/>
      <c r="B49" s="29" t="s">
        <v>68</v>
      </c>
      <c r="C49" s="33"/>
      <c r="D49" s="12">
        <f>C49*42</f>
        <v>0</v>
      </c>
      <c r="F49" s="128" t="s">
        <v>86</v>
      </c>
      <c r="G49" s="130">
        <f>H34+H35+H36+H37+H38+H39+H40+H41+G42+H44+H45+H46</f>
        <v>0</v>
      </c>
      <c r="H49" s="131"/>
      <c r="I49" s="131"/>
      <c r="J49" s="13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3"/>
      <c r="B50" s="32" t="s">
        <v>70</v>
      </c>
      <c r="C50" s="11"/>
      <c r="D50" s="12">
        <f>C50*1.5</f>
        <v>0</v>
      </c>
      <c r="F50" s="129"/>
      <c r="G50" s="133"/>
      <c r="H50" s="134"/>
      <c r="I50" s="134"/>
      <c r="J50" s="135"/>
      <c r="O50" t="s">
        <v>144</v>
      </c>
      <c r="P50" s="4">
        <v>1204</v>
      </c>
      <c r="Q50" s="4"/>
      <c r="R50" s="5"/>
    </row>
    <row r="51" spans="1:18" ht="15" customHeight="1" x14ac:dyDescent="0.25">
      <c r="A51" s="123"/>
      <c r="B51" s="27"/>
      <c r="C51" s="10"/>
      <c r="D51" s="31"/>
      <c r="F51" s="136" t="s">
        <v>139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3"/>
      <c r="B52" s="29"/>
      <c r="C52" s="33"/>
      <c r="D52" s="45"/>
      <c r="F52" s="137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8" t="s">
        <v>90</v>
      </c>
      <c r="B54" s="109"/>
      <c r="C54" s="110"/>
      <c r="D54" s="11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1"/>
      <c r="B55" s="112"/>
      <c r="C55" s="113"/>
      <c r="D55" s="1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6" t="s">
        <v>91</v>
      </c>
      <c r="B58" s="117"/>
      <c r="C58" s="117"/>
      <c r="D58" s="118"/>
      <c r="F58" s="116" t="s">
        <v>92</v>
      </c>
      <c r="G58" s="117"/>
      <c r="H58" s="117"/>
      <c r="I58" s="117"/>
      <c r="J58" s="118"/>
    </row>
    <row r="59" spans="1:18" x14ac:dyDescent="0.25">
      <c r="A59" s="119"/>
      <c r="B59" s="120"/>
      <c r="C59" s="120"/>
      <c r="D59" s="121"/>
      <c r="F59" s="119"/>
      <c r="G59" s="120"/>
      <c r="H59" s="120"/>
      <c r="I59" s="120"/>
      <c r="J59" s="12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DF68-5657-4670-896E-72A0E0EDF23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4" t="s">
        <v>1</v>
      </c>
      <c r="O1" s="20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205" t="s">
        <v>8</v>
      </c>
      <c r="G4" s="207"/>
      <c r="H4" s="209" t="s">
        <v>9</v>
      </c>
      <c r="I4" s="211"/>
      <c r="J4" s="2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206"/>
      <c r="G5" s="208"/>
      <c r="H5" s="210"/>
      <c r="I5" s="213"/>
      <c r="J5" s="2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215" t="s">
        <v>16</v>
      </c>
      <c r="G6" s="217"/>
      <c r="H6" s="218"/>
      <c r="I6" s="218"/>
      <c r="J6" s="2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216"/>
      <c r="G7" s="220"/>
      <c r="H7" s="221"/>
      <c r="I7" s="221"/>
      <c r="J7" s="2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223" t="s">
        <v>21</v>
      </c>
      <c r="G8" s="224"/>
      <c r="H8" s="225"/>
      <c r="I8" s="225"/>
      <c r="J8" s="22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216"/>
      <c r="G9" s="227"/>
      <c r="H9" s="228"/>
      <c r="I9" s="228"/>
      <c r="J9" s="22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215" t="s">
        <v>26</v>
      </c>
      <c r="G10" s="230"/>
      <c r="H10" s="231"/>
      <c r="I10" s="231"/>
      <c r="J10" s="232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216"/>
      <c r="G11" s="227"/>
      <c r="H11" s="228"/>
      <c r="I11" s="228"/>
      <c r="J11" s="22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233" t="s">
        <v>33</v>
      </c>
      <c r="G12" s="234"/>
      <c r="H12" s="234"/>
      <c r="I12" s="234"/>
      <c r="J12" s="23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236" t="s">
        <v>36</v>
      </c>
      <c r="G13" s="20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94" t="s">
        <v>39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99" t="s">
        <v>40</v>
      </c>
      <c r="G15" s="200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1"/>
      <c r="I16" s="161"/>
      <c r="J16" s="16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45</v>
      </c>
      <c r="H17" s="172"/>
      <c r="I17" s="172"/>
      <c r="J17" s="17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47</v>
      </c>
      <c r="H18" s="172"/>
      <c r="I18" s="172"/>
      <c r="J18" s="17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50</v>
      </c>
      <c r="H19" s="173"/>
      <c r="I19" s="173"/>
      <c r="J19" s="1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120</v>
      </c>
      <c r="H20" s="161"/>
      <c r="I20" s="161"/>
      <c r="J20" s="16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7"/>
      <c r="G22" s="73"/>
      <c r="H22" s="177"/>
      <c r="I22" s="177"/>
      <c r="J22" s="17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8"/>
      <c r="G23" s="79"/>
      <c r="H23" s="178"/>
      <c r="I23" s="147"/>
      <c r="J23" s="14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178"/>
      <c r="I24" s="147"/>
      <c r="J24" s="14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93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08" t="s">
        <v>55</v>
      </c>
      <c r="G29" s="170"/>
      <c r="H29" s="130">
        <f>H15-H16-H17-H18-H19-H20-H22-H23-H24+H26+H27</f>
        <v>0</v>
      </c>
      <c r="I29" s="131"/>
      <c r="J29" s="13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11"/>
      <c r="G30" s="171"/>
      <c r="H30" s="133"/>
      <c r="I30" s="134"/>
      <c r="J30" s="13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58</v>
      </c>
      <c r="B32" s="156"/>
      <c r="C32" s="156"/>
      <c r="D32" s="157"/>
      <c r="F32" s="158" t="s">
        <v>59</v>
      </c>
      <c r="G32" s="159"/>
      <c r="H32" s="159"/>
      <c r="I32" s="159"/>
      <c r="J32" s="16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8" t="s">
        <v>13</v>
      </c>
      <c r="I33" s="159"/>
      <c r="J33" s="16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2"/>
      <c r="I34" s="153"/>
      <c r="J34" s="15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152"/>
      <c r="I35" s="153"/>
      <c r="J35" s="15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152"/>
      <c r="I36" s="153"/>
      <c r="J36" s="15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2"/>
      <c r="I37" s="153"/>
      <c r="J37" s="15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152"/>
      <c r="I38" s="153"/>
      <c r="J38" s="15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152"/>
      <c r="I39" s="153"/>
      <c r="J39" s="15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2"/>
      <c r="I40" s="153"/>
      <c r="J40" s="15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152"/>
      <c r="I41" s="153"/>
      <c r="J41" s="15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152"/>
      <c r="H42" s="153"/>
      <c r="I42" s="153"/>
      <c r="J42" s="15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2" t="s">
        <v>81</v>
      </c>
      <c r="C43" s="11"/>
      <c r="D43" s="12"/>
      <c r="F43" s="59" t="s">
        <v>82</v>
      </c>
      <c r="G43" s="90" t="s">
        <v>83</v>
      </c>
      <c r="H43" s="144" t="s">
        <v>13</v>
      </c>
      <c r="I43" s="145"/>
      <c r="J43" s="146"/>
      <c r="K43" s="21"/>
      <c r="P43" s="4"/>
      <c r="Q43" s="4"/>
      <c r="R43" s="5"/>
    </row>
    <row r="44" spans="1:18" ht="15.75" x14ac:dyDescent="0.25">
      <c r="A44" s="123"/>
      <c r="B44" s="27" t="s">
        <v>66</v>
      </c>
      <c r="C44" s="10"/>
      <c r="D44" s="12">
        <f>C44*120</f>
        <v>0</v>
      </c>
      <c r="F44" s="37"/>
      <c r="G44" s="76"/>
      <c r="H44" s="147"/>
      <c r="I44" s="147"/>
      <c r="J44" s="147"/>
      <c r="K44" s="21"/>
      <c r="P44" s="4"/>
      <c r="Q44" s="4"/>
      <c r="R44" s="5"/>
    </row>
    <row r="45" spans="1:18" ht="15.75" x14ac:dyDescent="0.25">
      <c r="A45" s="123"/>
      <c r="B45" s="27" t="s">
        <v>68</v>
      </c>
      <c r="C45" s="33"/>
      <c r="D45" s="12">
        <f>C45*84</f>
        <v>0</v>
      </c>
      <c r="F45" s="37"/>
      <c r="G45" s="76"/>
      <c r="H45" s="147"/>
      <c r="I45" s="147"/>
      <c r="J45" s="147"/>
      <c r="K45" s="21"/>
      <c r="P45" s="4"/>
      <c r="Q45" s="4"/>
      <c r="R45" s="5"/>
    </row>
    <row r="46" spans="1:18" ht="15.75" x14ac:dyDescent="0.25">
      <c r="A46" s="123"/>
      <c r="B46" s="49" t="s">
        <v>70</v>
      </c>
      <c r="C46" s="81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4"/>
      <c r="B47" s="27"/>
      <c r="C47" s="11"/>
      <c r="D47" s="12"/>
      <c r="F47" s="59"/>
      <c r="G47" s="59"/>
      <c r="H47" s="125"/>
      <c r="I47" s="126"/>
      <c r="J47" s="127"/>
      <c r="K47" s="21"/>
      <c r="P47" s="4"/>
      <c r="Q47" s="4"/>
      <c r="R47" s="5"/>
    </row>
    <row r="48" spans="1:18" ht="15" customHeight="1" x14ac:dyDescent="0.25">
      <c r="A48" s="122" t="s">
        <v>32</v>
      </c>
      <c r="B48" s="27" t="s">
        <v>66</v>
      </c>
      <c r="C48" s="10"/>
      <c r="D48" s="12">
        <f>C48*78</f>
        <v>0</v>
      </c>
      <c r="F48" s="59"/>
      <c r="G48" s="59"/>
      <c r="H48" s="125"/>
      <c r="I48" s="126"/>
      <c r="J48" s="1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3"/>
      <c r="B49" s="29" t="s">
        <v>68</v>
      </c>
      <c r="C49" s="33"/>
      <c r="D49" s="12">
        <f>C49*42</f>
        <v>0</v>
      </c>
      <c r="F49" s="128" t="s">
        <v>86</v>
      </c>
      <c r="G49" s="130">
        <f>H34+H35+H36+H37+H38+H39+H40+H41+G42+H44+H45+H46</f>
        <v>0</v>
      </c>
      <c r="H49" s="131"/>
      <c r="I49" s="131"/>
      <c r="J49" s="13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3"/>
      <c r="B50" s="32" t="s">
        <v>70</v>
      </c>
      <c r="C50" s="11"/>
      <c r="D50" s="12">
        <f>C50*1.5</f>
        <v>0</v>
      </c>
      <c r="F50" s="129"/>
      <c r="G50" s="133"/>
      <c r="H50" s="134"/>
      <c r="I50" s="134"/>
      <c r="J50" s="135"/>
      <c r="P50" s="4"/>
      <c r="Q50" s="4"/>
      <c r="R50" s="5"/>
    </row>
    <row r="51" spans="1:18" ht="15" customHeight="1" x14ac:dyDescent="0.25">
      <c r="A51" s="123"/>
      <c r="B51" s="27"/>
      <c r="C51" s="10"/>
      <c r="D51" s="31"/>
      <c r="F51" s="136" t="s">
        <v>128</v>
      </c>
      <c r="G51" s="138">
        <f>G49-H29</f>
        <v>0</v>
      </c>
      <c r="H51" s="139"/>
      <c r="I51" s="139"/>
      <c r="J51" s="1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3"/>
      <c r="B52" s="29"/>
      <c r="C52" s="33"/>
      <c r="D52" s="45"/>
      <c r="F52" s="137"/>
      <c r="G52" s="141"/>
      <c r="H52" s="142"/>
      <c r="I52" s="142"/>
      <c r="J52" s="1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8" t="s">
        <v>90</v>
      </c>
      <c r="B54" s="109"/>
      <c r="C54" s="110"/>
      <c r="D54" s="114">
        <f>SUM(D34:D53)</f>
        <v>0</v>
      </c>
      <c r="F54" s="21"/>
      <c r="J54" s="34"/>
    </row>
    <row r="55" spans="1:18" x14ac:dyDescent="0.25">
      <c r="A55" s="111"/>
      <c r="B55" s="112"/>
      <c r="C55" s="113"/>
      <c r="D55" s="1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6" t="s">
        <v>91</v>
      </c>
      <c r="B58" s="117"/>
      <c r="C58" s="117"/>
      <c r="D58" s="118"/>
      <c r="F58" s="116" t="s">
        <v>92</v>
      </c>
      <c r="G58" s="117"/>
      <c r="H58" s="117"/>
      <c r="I58" s="117"/>
      <c r="J58" s="118"/>
    </row>
    <row r="59" spans="1:18" x14ac:dyDescent="0.25">
      <c r="A59" s="119"/>
      <c r="B59" s="120"/>
      <c r="C59" s="120"/>
      <c r="D59" s="121"/>
      <c r="F59" s="119"/>
      <c r="G59" s="120"/>
      <c r="H59" s="120"/>
      <c r="I59" s="120"/>
      <c r="J59" s="12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8389-AFAA-48C4-A744-D0F2E5BBB6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4" t="s">
        <v>1</v>
      </c>
      <c r="O1" s="20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205" t="s">
        <v>8</v>
      </c>
      <c r="G4" s="207">
        <v>1</v>
      </c>
      <c r="H4" s="209" t="s">
        <v>9</v>
      </c>
      <c r="I4" s="211">
        <v>46024</v>
      </c>
      <c r="J4" s="2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206"/>
      <c r="G5" s="208"/>
      <c r="H5" s="210"/>
      <c r="I5" s="213"/>
      <c r="J5" s="2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84"/>
      <c r="D6" s="13">
        <f t="shared" ref="D6:D28" si="1">C6*L6</f>
        <v>0</v>
      </c>
      <c r="F6" s="215" t="s">
        <v>16</v>
      </c>
      <c r="G6" s="217" t="s">
        <v>129</v>
      </c>
      <c r="H6" s="218"/>
      <c r="I6" s="218"/>
      <c r="J6" s="2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84"/>
      <c r="D7" s="13">
        <f t="shared" si="1"/>
        <v>0</v>
      </c>
      <c r="F7" s="216"/>
      <c r="G7" s="220"/>
      <c r="H7" s="221"/>
      <c r="I7" s="221"/>
      <c r="J7" s="2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84"/>
      <c r="D8" s="13">
        <f t="shared" si="1"/>
        <v>0</v>
      </c>
      <c r="F8" s="223" t="s">
        <v>21</v>
      </c>
      <c r="G8" s="224" t="s">
        <v>112</v>
      </c>
      <c r="H8" s="225"/>
      <c r="I8" s="225"/>
      <c r="J8" s="2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84"/>
      <c r="D9" s="13">
        <f t="shared" si="1"/>
        <v>0</v>
      </c>
      <c r="F9" s="216"/>
      <c r="G9" s="227"/>
      <c r="H9" s="228"/>
      <c r="I9" s="228"/>
      <c r="J9" s="2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84"/>
      <c r="D10" s="13">
        <f t="shared" si="1"/>
        <v>0</v>
      </c>
      <c r="F10" s="215" t="s">
        <v>26</v>
      </c>
      <c r="G10" s="230" t="s">
        <v>130</v>
      </c>
      <c r="H10" s="231"/>
      <c r="I10" s="231"/>
      <c r="J10" s="232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84"/>
      <c r="D11" s="13">
        <f t="shared" si="1"/>
        <v>0</v>
      </c>
      <c r="F11" s="216"/>
      <c r="G11" s="227"/>
      <c r="H11" s="228"/>
      <c r="I11" s="228"/>
      <c r="J11" s="2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84"/>
      <c r="D12" s="48">
        <f t="shared" si="1"/>
        <v>0</v>
      </c>
      <c r="F12" s="233" t="s">
        <v>33</v>
      </c>
      <c r="G12" s="234"/>
      <c r="H12" s="234"/>
      <c r="I12" s="234"/>
      <c r="J12" s="2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84"/>
      <c r="D13" s="48">
        <f t="shared" si="1"/>
        <v>0</v>
      </c>
      <c r="F13" s="236" t="s">
        <v>36</v>
      </c>
      <c r="G13" s="20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84"/>
      <c r="D14" s="31">
        <f t="shared" si="1"/>
        <v>0</v>
      </c>
      <c r="F14" s="194" t="s">
        <v>39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84"/>
      <c r="D15" s="31">
        <f t="shared" si="1"/>
        <v>0</v>
      </c>
      <c r="F15" s="199" t="s">
        <v>40</v>
      </c>
      <c r="G15" s="200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1"/>
      <c r="I16" s="161"/>
      <c r="J16" s="16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137</v>
      </c>
      <c r="C17" s="84"/>
      <c r="D17" s="48">
        <f t="shared" si="1"/>
        <v>0</v>
      </c>
      <c r="F17" s="56"/>
      <c r="G17" s="66" t="s">
        <v>45</v>
      </c>
      <c r="H17" s="172"/>
      <c r="I17" s="172"/>
      <c r="J17" s="17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2"/>
      <c r="I18" s="172"/>
      <c r="J18" s="17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v>1102</v>
      </c>
      <c r="Q19" s="4"/>
      <c r="R19" s="5">
        <f t="shared" si="0"/>
        <v>0</v>
      </c>
    </row>
    <row r="20" spans="1:18" ht="15.75" x14ac:dyDescent="0.25">
      <c r="A20" s="15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127</v>
      </c>
      <c r="C22" s="84"/>
      <c r="D22" s="48">
        <f t="shared" si="1"/>
        <v>0</v>
      </c>
      <c r="F22" s="77"/>
      <c r="G22" s="73"/>
      <c r="H22" s="177"/>
      <c r="I22" s="177"/>
      <c r="J22" s="17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136</v>
      </c>
      <c r="C26" s="84"/>
      <c r="D26" s="48">
        <f t="shared" si="1"/>
        <v>0</v>
      </c>
      <c r="F26" s="75"/>
      <c r="G26" s="65"/>
      <c r="H26" s="147"/>
      <c r="I26" s="147"/>
      <c r="J26" s="14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110</v>
      </c>
      <c r="C27" s="84"/>
      <c r="D27" s="44">
        <f t="shared" si="1"/>
        <v>0</v>
      </c>
      <c r="F27" s="71"/>
      <c r="G27" s="90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84"/>
      <c r="D28" s="48">
        <f t="shared" si="1"/>
        <v>0</v>
      </c>
      <c r="F28" s="93"/>
      <c r="G28" s="61"/>
      <c r="H28" s="188"/>
      <c r="I28" s="189"/>
      <c r="J28" s="190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08" t="s">
        <v>55</v>
      </c>
      <c r="G29" s="170"/>
      <c r="H29" s="130">
        <f>H15-H16-H17-H18-H19-H20-H22-H23-H24+H26+H27+H28</f>
        <v>0</v>
      </c>
      <c r="I29" s="131"/>
      <c r="J29" s="13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11"/>
      <c r="G30" s="171"/>
      <c r="H30" s="133"/>
      <c r="I30" s="134"/>
      <c r="J30" s="13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58</v>
      </c>
      <c r="B32" s="156"/>
      <c r="C32" s="156"/>
      <c r="D32" s="157"/>
      <c r="F32" s="158" t="s">
        <v>59</v>
      </c>
      <c r="G32" s="159"/>
      <c r="H32" s="159"/>
      <c r="I32" s="159"/>
      <c r="J32" s="16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8" t="s">
        <v>13</v>
      </c>
      <c r="I33" s="159"/>
      <c r="J33" s="16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2">
        <f t="shared" ref="H34:H39" si="2">F34*G34</f>
        <v>0</v>
      </c>
      <c r="I34" s="153"/>
      <c r="J34" s="15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152">
        <f t="shared" si="2"/>
        <v>0</v>
      </c>
      <c r="I35" s="153"/>
      <c r="J35" s="15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152">
        <f t="shared" si="2"/>
        <v>0</v>
      </c>
      <c r="I36" s="153"/>
      <c r="J36" s="15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2">
        <f t="shared" si="2"/>
        <v>0</v>
      </c>
      <c r="I37" s="153"/>
      <c r="J37" s="15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152">
        <f t="shared" si="2"/>
        <v>0</v>
      </c>
      <c r="I38" s="153"/>
      <c r="J38" s="15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152">
        <f t="shared" si="2"/>
        <v>0</v>
      </c>
      <c r="I39" s="153"/>
      <c r="J39" s="15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2"/>
      <c r="I40" s="153"/>
      <c r="J40" s="15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152"/>
      <c r="I41" s="153"/>
      <c r="J41" s="15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152"/>
      <c r="H42" s="153"/>
      <c r="I42" s="153"/>
      <c r="J42" s="15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2" t="s">
        <v>81</v>
      </c>
      <c r="C43" s="11"/>
      <c r="D43" s="12"/>
      <c r="F43" s="59" t="s">
        <v>82</v>
      </c>
      <c r="G43" s="90" t="s">
        <v>83</v>
      </c>
      <c r="H43" s="144" t="s">
        <v>13</v>
      </c>
      <c r="I43" s="145"/>
      <c r="J43" s="14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3"/>
      <c r="B44" s="27" t="s">
        <v>66</v>
      </c>
      <c r="C44" s="10"/>
      <c r="D44" s="12">
        <f>C44*120</f>
        <v>0</v>
      </c>
      <c r="F44" s="37"/>
      <c r="G44" s="62"/>
      <c r="H44" s="147"/>
      <c r="I44" s="147"/>
      <c r="J44" s="147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23"/>
      <c r="B45" s="27" t="s">
        <v>68</v>
      </c>
      <c r="C45" s="33"/>
      <c r="D45" s="12">
        <f>C45*84</f>
        <v>0</v>
      </c>
      <c r="F45" s="37"/>
      <c r="G45" s="62"/>
      <c r="H45" s="147"/>
      <c r="I45" s="147"/>
      <c r="J45" s="147"/>
      <c r="K45" s="21"/>
      <c r="P45" s="4"/>
      <c r="Q45" s="4"/>
      <c r="R45" s="5"/>
    </row>
    <row r="46" spans="1:18" ht="15.75" x14ac:dyDescent="0.25">
      <c r="A46" s="123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4"/>
      <c r="B47" s="27"/>
      <c r="C47" s="11"/>
      <c r="D47" s="12"/>
      <c r="F47" s="59"/>
      <c r="G47" s="59"/>
      <c r="H47" s="125"/>
      <c r="I47" s="126"/>
      <c r="J47" s="127"/>
      <c r="K47" s="21"/>
      <c r="P47" s="4"/>
      <c r="Q47" s="4"/>
      <c r="R47" s="5"/>
    </row>
    <row r="48" spans="1:18" ht="15" customHeight="1" x14ac:dyDescent="0.25">
      <c r="A48" s="122" t="s">
        <v>32</v>
      </c>
      <c r="B48" s="27" t="s">
        <v>66</v>
      </c>
      <c r="C48" s="10"/>
      <c r="D48" s="12">
        <f>C48*78</f>
        <v>0</v>
      </c>
      <c r="F48" s="59"/>
      <c r="G48" s="59"/>
      <c r="H48" s="125"/>
      <c r="I48" s="126"/>
      <c r="J48" s="1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3"/>
      <c r="B49" s="29" t="s">
        <v>68</v>
      </c>
      <c r="C49" s="33"/>
      <c r="D49" s="12">
        <f>C49*42</f>
        <v>0</v>
      </c>
      <c r="F49" s="128" t="s">
        <v>86</v>
      </c>
      <c r="G49" s="130">
        <f>H34+H35+H36+H37+H38+H39+H40+H41+G42+H44+H45+H46</f>
        <v>0</v>
      </c>
      <c r="H49" s="131"/>
      <c r="I49" s="131"/>
      <c r="J49" s="13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3"/>
      <c r="B50" s="32" t="s">
        <v>70</v>
      </c>
      <c r="C50" s="11"/>
      <c r="D50" s="12">
        <f>C50*1.5</f>
        <v>0</v>
      </c>
      <c r="F50" s="129"/>
      <c r="G50" s="133"/>
      <c r="H50" s="134"/>
      <c r="I50" s="134"/>
      <c r="J50" s="135"/>
      <c r="O50" t="s">
        <v>144</v>
      </c>
      <c r="P50" s="4">
        <v>1204</v>
      </c>
      <c r="Q50" s="4"/>
      <c r="R50" s="5"/>
    </row>
    <row r="51" spans="1:18" ht="15" customHeight="1" x14ac:dyDescent="0.25">
      <c r="A51" s="123"/>
      <c r="B51" s="27"/>
      <c r="C51" s="10"/>
      <c r="D51" s="31"/>
      <c r="F51" s="136" t="s">
        <v>131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3"/>
      <c r="B52" s="29"/>
      <c r="C52" s="33"/>
      <c r="D52" s="45"/>
      <c r="F52" s="137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8" t="s">
        <v>90</v>
      </c>
      <c r="B54" s="109"/>
      <c r="C54" s="110"/>
      <c r="D54" s="11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1"/>
      <c r="B55" s="112"/>
      <c r="C55" s="113"/>
      <c r="D55" s="1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16" t="s">
        <v>91</v>
      </c>
      <c r="B58" s="117"/>
      <c r="C58" s="117"/>
      <c r="D58" s="118"/>
      <c r="F58" s="116" t="s">
        <v>92</v>
      </c>
      <c r="G58" s="117"/>
      <c r="H58" s="117"/>
      <c r="I58" s="117"/>
      <c r="J58" s="118"/>
    </row>
    <row r="59" spans="1:18" x14ac:dyDescent="0.25">
      <c r="A59" s="119"/>
      <c r="B59" s="120"/>
      <c r="C59" s="120"/>
      <c r="D59" s="121"/>
      <c r="F59" s="119"/>
      <c r="G59" s="120"/>
      <c r="H59" s="120"/>
      <c r="I59" s="120"/>
      <c r="J59" s="12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57C5-0FED-4EBF-9006-15F5BEE29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4" t="s">
        <v>1</v>
      </c>
      <c r="O1" s="20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205" t="s">
        <v>8</v>
      </c>
      <c r="G4" s="207">
        <v>2</v>
      </c>
      <c r="H4" s="209" t="s">
        <v>9</v>
      </c>
      <c r="I4" s="211">
        <v>46024</v>
      </c>
      <c r="J4" s="2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206"/>
      <c r="G5" s="208"/>
      <c r="H5" s="210"/>
      <c r="I5" s="213"/>
      <c r="J5" s="2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/>
      <c r="D6" s="13">
        <f t="shared" ref="D6:D28" si="1">C6*L6</f>
        <v>0</v>
      </c>
      <c r="F6" s="215" t="s">
        <v>16</v>
      </c>
      <c r="G6" s="217" t="s">
        <v>140</v>
      </c>
      <c r="H6" s="218"/>
      <c r="I6" s="218"/>
      <c r="J6" s="2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/>
      <c r="D7" s="13">
        <f t="shared" si="1"/>
        <v>0</v>
      </c>
      <c r="F7" s="216"/>
      <c r="G7" s="220"/>
      <c r="H7" s="221"/>
      <c r="I7" s="221"/>
      <c r="J7" s="2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223" t="s">
        <v>21</v>
      </c>
      <c r="G8" s="224" t="s">
        <v>114</v>
      </c>
      <c r="H8" s="225"/>
      <c r="I8" s="225"/>
      <c r="J8" s="2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/>
      <c r="D9" s="13">
        <f t="shared" si="1"/>
        <v>0</v>
      </c>
      <c r="F9" s="216"/>
      <c r="G9" s="227"/>
      <c r="H9" s="228"/>
      <c r="I9" s="228"/>
      <c r="J9" s="2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215" t="s">
        <v>26</v>
      </c>
      <c r="G10" s="230" t="s">
        <v>115</v>
      </c>
      <c r="H10" s="231"/>
      <c r="I10" s="231"/>
      <c r="J10" s="232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216"/>
      <c r="G11" s="227"/>
      <c r="H11" s="228"/>
      <c r="I11" s="228"/>
      <c r="J11" s="2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233" t="s">
        <v>33</v>
      </c>
      <c r="G12" s="234"/>
      <c r="H12" s="234"/>
      <c r="I12" s="234"/>
      <c r="J12" s="2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/>
      <c r="D13" s="48">
        <f t="shared" si="1"/>
        <v>0</v>
      </c>
      <c r="F13" s="236" t="s">
        <v>36</v>
      </c>
      <c r="G13" s="20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94" t="s">
        <v>39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99" t="s">
        <v>40</v>
      </c>
      <c r="G15" s="200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1"/>
      <c r="I16" s="161"/>
      <c r="J16" s="16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93</v>
      </c>
      <c r="C17" s="10"/>
      <c r="D17" s="48">
        <f t="shared" si="1"/>
        <v>0</v>
      </c>
      <c r="F17" s="56"/>
      <c r="G17" s="66" t="s">
        <v>45</v>
      </c>
      <c r="H17" s="172"/>
      <c r="I17" s="172"/>
      <c r="J17" s="17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2"/>
      <c r="I18" s="172"/>
      <c r="J18" s="17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7"/>
      <c r="I19" s="247"/>
      <c r="J19" s="24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2"/>
      <c r="G22" s="73"/>
      <c r="H22" s="177"/>
      <c r="I22" s="177"/>
      <c r="J22" s="17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25"/>
      <c r="G23" s="37"/>
      <c r="H23" s="178"/>
      <c r="I23" s="147"/>
      <c r="J23" s="14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123</v>
      </c>
      <c r="C24" s="10"/>
      <c r="D24" s="48">
        <f t="shared" si="1"/>
        <v>0</v>
      </c>
      <c r="F24" s="38"/>
      <c r="G24" s="37"/>
      <c r="H24" s="178"/>
      <c r="I24" s="147"/>
      <c r="J24" s="14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93"/>
      <c r="G28" s="61"/>
      <c r="H28" s="188"/>
      <c r="I28" s="189"/>
      <c r="J28" s="190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08" t="s">
        <v>55</v>
      </c>
      <c r="G29" s="170"/>
      <c r="H29" s="130">
        <f>H15-H16-H17-H18-H19-H20-H22-H23-H24+H26+H27</f>
        <v>0</v>
      </c>
      <c r="I29" s="131"/>
      <c r="J29" s="13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11"/>
      <c r="G30" s="171"/>
      <c r="H30" s="133"/>
      <c r="I30" s="134"/>
      <c r="J30" s="13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58</v>
      </c>
      <c r="B32" s="156"/>
      <c r="C32" s="156"/>
      <c r="D32" s="157"/>
      <c r="F32" s="158" t="s">
        <v>59</v>
      </c>
      <c r="G32" s="159"/>
      <c r="H32" s="159"/>
      <c r="I32" s="159"/>
      <c r="J32" s="16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8" t="s">
        <v>13</v>
      </c>
      <c r="I33" s="159"/>
      <c r="J33" s="16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2">
        <f>F34*G34</f>
        <v>0</v>
      </c>
      <c r="I34" s="153"/>
      <c r="J34" s="15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152">
        <f t="shared" ref="H35:H39" si="2">F35*G35</f>
        <v>0</v>
      </c>
      <c r="I35" s="153"/>
      <c r="J35" s="15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152">
        <f>F36*G36</f>
        <v>0</v>
      </c>
      <c r="I36" s="153"/>
      <c r="J36" s="15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2">
        <f t="shared" si="2"/>
        <v>0</v>
      </c>
      <c r="I37" s="153"/>
      <c r="J37" s="15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152">
        <f t="shared" si="2"/>
        <v>0</v>
      </c>
      <c r="I38" s="153"/>
      <c r="J38" s="15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152">
        <f t="shared" si="2"/>
        <v>0</v>
      </c>
      <c r="I39" s="153"/>
      <c r="J39" s="15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2"/>
      <c r="I40" s="153"/>
      <c r="J40" s="15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152"/>
      <c r="I41" s="153"/>
      <c r="J41" s="15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152"/>
      <c r="H42" s="153"/>
      <c r="I42" s="153"/>
      <c r="J42" s="15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2" t="s">
        <v>81</v>
      </c>
      <c r="C43" s="11"/>
      <c r="D43" s="12"/>
      <c r="F43" s="59" t="s">
        <v>82</v>
      </c>
      <c r="G43" s="90" t="s">
        <v>83</v>
      </c>
      <c r="H43" s="144" t="s">
        <v>13</v>
      </c>
      <c r="I43" s="145"/>
      <c r="J43" s="14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3"/>
      <c r="B44" s="27" t="s">
        <v>66</v>
      </c>
      <c r="C44" s="10"/>
      <c r="D44" s="12">
        <f>C44*120</f>
        <v>0</v>
      </c>
      <c r="F44" s="37"/>
      <c r="G44" s="62"/>
      <c r="H44" s="147"/>
      <c r="I44" s="147"/>
      <c r="J44" s="147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23"/>
      <c r="B45" s="27" t="s">
        <v>68</v>
      </c>
      <c r="C45" s="33"/>
      <c r="D45" s="12">
        <f>C45*84</f>
        <v>0</v>
      </c>
      <c r="F45" s="37"/>
      <c r="G45" s="62"/>
      <c r="H45" s="147"/>
      <c r="I45" s="147"/>
      <c r="J45" s="147"/>
      <c r="K45" s="21"/>
      <c r="P45" s="4"/>
      <c r="Q45" s="4"/>
      <c r="R45" s="5"/>
    </row>
    <row r="46" spans="1:18" ht="15.75" x14ac:dyDescent="0.25">
      <c r="A46" s="123"/>
      <c r="B46" s="49" t="s">
        <v>70</v>
      </c>
      <c r="C46" s="81"/>
      <c r="D46" s="12">
        <f>C46*1.5</f>
        <v>0</v>
      </c>
      <c r="F46" s="37"/>
      <c r="G46" s="91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4"/>
      <c r="B47" s="27"/>
      <c r="C47" s="11"/>
      <c r="D47" s="12"/>
      <c r="F47" s="59"/>
      <c r="G47" s="59"/>
      <c r="H47" s="125"/>
      <c r="I47" s="126"/>
      <c r="J47" s="127"/>
      <c r="K47" s="21"/>
      <c r="P47" s="4"/>
      <c r="Q47" s="4"/>
      <c r="R47" s="5"/>
    </row>
    <row r="48" spans="1:18" ht="15" customHeight="1" x14ac:dyDescent="0.25">
      <c r="A48" s="122" t="s">
        <v>32</v>
      </c>
      <c r="B48" s="27" t="s">
        <v>66</v>
      </c>
      <c r="C48" s="10"/>
      <c r="D48" s="12">
        <f>C48*78</f>
        <v>0</v>
      </c>
      <c r="F48" s="59"/>
      <c r="G48" s="59"/>
      <c r="H48" s="125"/>
      <c r="I48" s="126"/>
      <c r="J48" s="1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3"/>
      <c r="B49" s="29" t="s">
        <v>68</v>
      </c>
      <c r="C49" s="33"/>
      <c r="D49" s="12">
        <f>C49*42</f>
        <v>0</v>
      </c>
      <c r="F49" s="128" t="s">
        <v>86</v>
      </c>
      <c r="G49" s="130">
        <f>H34+H35+H36+H37+H38+H39+H40+H41+G42+H44+H45+H46</f>
        <v>0</v>
      </c>
      <c r="H49" s="131"/>
      <c r="I49" s="131"/>
      <c r="J49" s="13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3"/>
      <c r="B50" s="32" t="s">
        <v>70</v>
      </c>
      <c r="C50" s="11"/>
      <c r="D50" s="12">
        <f>C50*1.5</f>
        <v>0</v>
      </c>
      <c r="F50" s="129"/>
      <c r="G50" s="133"/>
      <c r="H50" s="134"/>
      <c r="I50" s="134"/>
      <c r="J50" s="135"/>
      <c r="O50" t="s">
        <v>144</v>
      </c>
      <c r="P50" s="4">
        <v>1204</v>
      </c>
      <c r="Q50" s="4"/>
      <c r="R50" s="5"/>
    </row>
    <row r="51" spans="1:18" ht="15" customHeight="1" x14ac:dyDescent="0.25">
      <c r="A51" s="123"/>
      <c r="B51" s="27"/>
      <c r="C51" s="10"/>
      <c r="D51" s="31"/>
      <c r="F51" s="136" t="s">
        <v>142</v>
      </c>
      <c r="G51" s="138">
        <f>G49-H29</f>
        <v>0</v>
      </c>
      <c r="H51" s="139"/>
      <c r="I51" s="139"/>
      <c r="J51" s="1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3"/>
      <c r="B52" s="29"/>
      <c r="C52" s="33"/>
      <c r="D52" s="45"/>
      <c r="F52" s="137"/>
      <c r="G52" s="141"/>
      <c r="H52" s="142"/>
      <c r="I52" s="142"/>
      <c r="J52" s="1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8" t="s">
        <v>90</v>
      </c>
      <c r="B54" s="109"/>
      <c r="C54" s="110"/>
      <c r="D54" s="11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1"/>
      <c r="B55" s="112"/>
      <c r="C55" s="113"/>
      <c r="D55" s="1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16" t="s">
        <v>91</v>
      </c>
      <c r="B58" s="117"/>
      <c r="C58" s="117"/>
      <c r="D58" s="118"/>
      <c r="F58" s="116" t="s">
        <v>92</v>
      </c>
      <c r="G58" s="117"/>
      <c r="H58" s="117"/>
      <c r="I58" s="117"/>
      <c r="J58" s="118"/>
    </row>
    <row r="59" spans="1:18" x14ac:dyDescent="0.25">
      <c r="A59" s="119"/>
      <c r="B59" s="120"/>
      <c r="C59" s="120"/>
      <c r="D59" s="121"/>
      <c r="F59" s="119"/>
      <c r="G59" s="120"/>
      <c r="H59" s="120"/>
      <c r="I59" s="120"/>
      <c r="J59" s="12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444B-CD4A-4E72-81CD-52274C4982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4" t="s">
        <v>1</v>
      </c>
      <c r="O1" s="20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205" t="s">
        <v>8</v>
      </c>
      <c r="G4" s="207">
        <v>3</v>
      </c>
      <c r="H4" s="209" t="s">
        <v>9</v>
      </c>
      <c r="I4" s="211">
        <v>46024</v>
      </c>
      <c r="J4" s="2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206"/>
      <c r="G5" s="208"/>
      <c r="H5" s="210"/>
      <c r="I5" s="213"/>
      <c r="J5" s="2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480</v>
      </c>
      <c r="D6" s="13">
        <f t="shared" ref="D6:D28" si="1">C6*L6</f>
        <v>365280</v>
      </c>
      <c r="F6" s="215" t="s">
        <v>16</v>
      </c>
      <c r="G6" s="217" t="s">
        <v>111</v>
      </c>
      <c r="H6" s="218"/>
      <c r="I6" s="218"/>
      <c r="J6" s="2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12</v>
      </c>
      <c r="D7" s="13">
        <f t="shared" si="1"/>
        <v>9372</v>
      </c>
      <c r="F7" s="216"/>
      <c r="G7" s="220"/>
      <c r="H7" s="221"/>
      <c r="I7" s="221"/>
      <c r="J7" s="2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223" t="s">
        <v>21</v>
      </c>
      <c r="G8" s="224" t="s">
        <v>119</v>
      </c>
      <c r="H8" s="225"/>
      <c r="I8" s="225"/>
      <c r="J8" s="2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75</v>
      </c>
      <c r="D9" s="13">
        <f t="shared" si="1"/>
        <v>54975</v>
      </c>
      <c r="F9" s="216"/>
      <c r="G9" s="227"/>
      <c r="H9" s="228"/>
      <c r="I9" s="228"/>
      <c r="J9" s="2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215" t="s">
        <v>26</v>
      </c>
      <c r="G10" s="230" t="s">
        <v>134</v>
      </c>
      <c r="H10" s="231"/>
      <c r="I10" s="231"/>
      <c r="J10" s="232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216"/>
      <c r="G11" s="227"/>
      <c r="H11" s="228"/>
      <c r="I11" s="228"/>
      <c r="J11" s="2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v>6</v>
      </c>
      <c r="D12" s="48">
        <f t="shared" si="1"/>
        <v>5952</v>
      </c>
      <c r="F12" s="233" t="s">
        <v>33</v>
      </c>
      <c r="G12" s="234"/>
      <c r="H12" s="234"/>
      <c r="I12" s="234"/>
      <c r="J12" s="2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4</v>
      </c>
      <c r="D13" s="48">
        <f t="shared" si="1"/>
        <v>1228</v>
      </c>
      <c r="F13" s="236" t="s">
        <v>36</v>
      </c>
      <c r="G13" s="200"/>
      <c r="H13" s="191">
        <f>D29</f>
        <v>443015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18</v>
      </c>
      <c r="D14" s="31">
        <f t="shared" si="1"/>
        <v>198</v>
      </c>
      <c r="F14" s="194" t="s">
        <v>39</v>
      </c>
      <c r="G14" s="195"/>
      <c r="H14" s="196">
        <f>D54</f>
        <v>77991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99" t="s">
        <v>40</v>
      </c>
      <c r="G15" s="200"/>
      <c r="H15" s="201">
        <f>H13-H14</f>
        <v>365024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1">
        <f>1758+600+612</f>
        <v>2970</v>
      </c>
      <c r="I16" s="161"/>
      <c r="J16" s="16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113</v>
      </c>
      <c r="C17" s="10"/>
      <c r="D17" s="48">
        <f t="shared" si="1"/>
        <v>0</v>
      </c>
      <c r="F17" s="56"/>
      <c r="G17" s="66" t="s">
        <v>45</v>
      </c>
      <c r="H17" s="172"/>
      <c r="I17" s="172"/>
      <c r="J17" s="17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2"/>
      <c r="I18" s="172"/>
      <c r="J18" s="17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8"/>
      <c r="I19" s="248"/>
      <c r="J19" s="24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1"/>
      <c r="I20" s="161"/>
      <c r="J20" s="16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>
        <v>8</v>
      </c>
      <c r="D22" s="48">
        <f t="shared" si="1"/>
        <v>5360</v>
      </c>
      <c r="F22" s="77"/>
      <c r="G22" s="73"/>
      <c r="H22" s="177"/>
      <c r="I22" s="177"/>
      <c r="J22" s="17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78"/>
      <c r="G23" s="79"/>
      <c r="H23" s="178"/>
      <c r="I23" s="147"/>
      <c r="J23" s="14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101</v>
      </c>
      <c r="C24" s="10"/>
      <c r="D24" s="48">
        <f t="shared" si="1"/>
        <v>0</v>
      </c>
      <c r="F24" s="38"/>
      <c r="G24" s="37"/>
      <c r="H24" s="178"/>
      <c r="I24" s="147"/>
      <c r="J24" s="14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93"/>
      <c r="G28" s="61"/>
      <c r="H28" s="188"/>
      <c r="I28" s="189"/>
      <c r="J28" s="190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443015</v>
      </c>
      <c r="F29" s="108" t="s">
        <v>55</v>
      </c>
      <c r="G29" s="170"/>
      <c r="H29" s="130">
        <f>H15-H16-H17-H18-H19-H20-H22-H23-H24+H26+H27</f>
        <v>362054</v>
      </c>
      <c r="I29" s="131"/>
      <c r="J29" s="13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11"/>
      <c r="G30" s="171"/>
      <c r="H30" s="133"/>
      <c r="I30" s="134"/>
      <c r="J30" s="13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58</v>
      </c>
      <c r="B32" s="156"/>
      <c r="C32" s="156"/>
      <c r="D32" s="157"/>
      <c r="F32" s="158" t="s">
        <v>59</v>
      </c>
      <c r="G32" s="159"/>
      <c r="H32" s="159"/>
      <c r="I32" s="159"/>
      <c r="J32" s="16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8" t="s">
        <v>13</v>
      </c>
      <c r="I33" s="159"/>
      <c r="J33" s="16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78</v>
      </c>
      <c r="H34" s="152">
        <f>F34*G34</f>
        <v>78000</v>
      </c>
      <c r="I34" s="153"/>
      <c r="J34" s="15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152">
        <f>F35*G35</f>
        <v>43500</v>
      </c>
      <c r="I35" s="153"/>
      <c r="J35" s="15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152">
        <f t="shared" ref="H36:H39" si="2">F36*G36</f>
        <v>0</v>
      </c>
      <c r="I36" s="153"/>
      <c r="J36" s="15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680</v>
      </c>
      <c r="D37" s="12">
        <f>C37*111</f>
        <v>75480</v>
      </c>
      <c r="F37" s="12">
        <v>100</v>
      </c>
      <c r="G37" s="39">
        <v>10</v>
      </c>
      <c r="H37" s="152">
        <f t="shared" si="2"/>
        <v>1000</v>
      </c>
      <c r="I37" s="153"/>
      <c r="J37" s="15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52">
        <f t="shared" si="2"/>
        <v>50</v>
      </c>
      <c r="I38" s="153"/>
      <c r="J38" s="15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21</v>
      </c>
      <c r="D39" s="31">
        <f>C39*4.5</f>
        <v>94.5</v>
      </c>
      <c r="F39" s="12">
        <v>20</v>
      </c>
      <c r="G39" s="37">
        <v>1</v>
      </c>
      <c r="H39" s="152">
        <f t="shared" si="2"/>
        <v>20</v>
      </c>
      <c r="I39" s="153"/>
      <c r="J39" s="15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2"/>
      <c r="I40" s="153"/>
      <c r="J40" s="15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>
        <v>6</v>
      </c>
      <c r="D41" s="12">
        <f>C41*84</f>
        <v>504</v>
      </c>
      <c r="F41" s="12">
        <v>5</v>
      </c>
      <c r="G41" s="42"/>
      <c r="H41" s="152"/>
      <c r="I41" s="153"/>
      <c r="J41" s="15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14</v>
      </c>
      <c r="D42" s="12">
        <f>C42*2.25</f>
        <v>31.5</v>
      </c>
      <c r="F42" s="39" t="s">
        <v>79</v>
      </c>
      <c r="G42" s="152">
        <v>47</v>
      </c>
      <c r="H42" s="153"/>
      <c r="I42" s="153"/>
      <c r="J42" s="15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2" t="s">
        <v>81</v>
      </c>
      <c r="C43" s="11"/>
      <c r="D43" s="12"/>
      <c r="F43" s="59" t="s">
        <v>82</v>
      </c>
      <c r="G43" s="90" t="s">
        <v>83</v>
      </c>
      <c r="H43" s="144" t="s">
        <v>13</v>
      </c>
      <c r="I43" s="145"/>
      <c r="J43" s="14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3"/>
      <c r="B44" s="27" t="s">
        <v>66</v>
      </c>
      <c r="C44" s="10">
        <v>4</v>
      </c>
      <c r="D44" s="12">
        <f>C44*120</f>
        <v>480</v>
      </c>
      <c r="F44" s="37" t="s">
        <v>145</v>
      </c>
      <c r="G44" s="76" t="s">
        <v>146</v>
      </c>
      <c r="H44" s="147">
        <v>54216</v>
      </c>
      <c r="I44" s="147"/>
      <c r="J44" s="147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23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148</v>
      </c>
      <c r="H45" s="147">
        <v>188602</v>
      </c>
      <c r="I45" s="147"/>
      <c r="J45" s="147"/>
      <c r="K45" s="21"/>
      <c r="P45" s="4"/>
      <c r="Q45" s="4"/>
      <c r="R45" s="5"/>
    </row>
    <row r="46" spans="1:18" ht="15.75" x14ac:dyDescent="0.25">
      <c r="A46" s="123"/>
      <c r="B46" s="49" t="s">
        <v>70</v>
      </c>
      <c r="C46" s="81">
        <v>6</v>
      </c>
      <c r="D46" s="12">
        <f>C46*1.5</f>
        <v>9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4"/>
      <c r="B47" s="27"/>
      <c r="C47" s="11"/>
      <c r="D47" s="12"/>
      <c r="F47" s="59"/>
      <c r="G47" s="59"/>
      <c r="H47" s="125"/>
      <c r="I47" s="126"/>
      <c r="J47" s="127"/>
      <c r="K47" s="21"/>
      <c r="P47" s="4"/>
      <c r="Q47" s="4"/>
      <c r="R47" s="5"/>
    </row>
    <row r="48" spans="1:18" ht="15" customHeight="1" x14ac:dyDescent="0.25">
      <c r="A48" s="12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5"/>
      <c r="I48" s="126"/>
      <c r="J48" s="1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3"/>
      <c r="B49" s="29" t="s">
        <v>68</v>
      </c>
      <c r="C49" s="33">
        <v>2</v>
      </c>
      <c r="D49" s="12">
        <f>C49*42</f>
        <v>84</v>
      </c>
      <c r="F49" s="128" t="s">
        <v>86</v>
      </c>
      <c r="G49" s="130">
        <f>H34+H35+H36+H37+H38+H39+H40+H41+G42+H44+H45+H46</f>
        <v>365435</v>
      </c>
      <c r="H49" s="131"/>
      <c r="I49" s="131"/>
      <c r="J49" s="13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3"/>
      <c r="B50" s="32" t="s">
        <v>70</v>
      </c>
      <c r="C50" s="11">
        <v>24</v>
      </c>
      <c r="D50" s="12">
        <f>C50*1.5</f>
        <v>36</v>
      </c>
      <c r="F50" s="129"/>
      <c r="G50" s="133"/>
      <c r="H50" s="134"/>
      <c r="I50" s="134"/>
      <c r="J50" s="135"/>
      <c r="O50" t="s">
        <v>144</v>
      </c>
      <c r="P50" s="4">
        <v>1204</v>
      </c>
      <c r="Q50" s="4"/>
      <c r="R50" s="5"/>
    </row>
    <row r="51" spans="1:18" ht="15" customHeight="1" x14ac:dyDescent="0.25">
      <c r="A51" s="123"/>
      <c r="B51" s="27"/>
      <c r="C51" s="10"/>
      <c r="D51" s="31"/>
      <c r="F51" s="136" t="s">
        <v>149</v>
      </c>
      <c r="G51" s="138">
        <f>G49-H29</f>
        <v>3381</v>
      </c>
      <c r="H51" s="139"/>
      <c r="I51" s="139"/>
      <c r="J51" s="1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3"/>
      <c r="B52" s="29"/>
      <c r="C52" s="33"/>
      <c r="D52" s="45"/>
      <c r="F52" s="137"/>
      <c r="G52" s="141"/>
      <c r="H52" s="142"/>
      <c r="I52" s="142"/>
      <c r="J52" s="1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8" t="s">
        <v>90</v>
      </c>
      <c r="B54" s="109"/>
      <c r="C54" s="110"/>
      <c r="D54" s="114">
        <f>SUM(D34:D53)</f>
        <v>77991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1"/>
      <c r="B55" s="112"/>
      <c r="C55" s="113"/>
      <c r="D55" s="1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6" t="s">
        <v>91</v>
      </c>
      <c r="B58" s="117"/>
      <c r="C58" s="117"/>
      <c r="D58" s="118"/>
      <c r="F58" s="116" t="s">
        <v>92</v>
      </c>
      <c r="G58" s="117"/>
      <c r="H58" s="117"/>
      <c r="I58" s="117"/>
      <c r="J58" s="118"/>
    </row>
    <row r="59" spans="1:18" x14ac:dyDescent="0.25">
      <c r="A59" s="119"/>
      <c r="B59" s="120"/>
      <c r="C59" s="120"/>
      <c r="D59" s="121"/>
      <c r="F59" s="119"/>
      <c r="G59" s="120"/>
      <c r="H59" s="120"/>
      <c r="I59" s="120"/>
      <c r="J59" s="12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06466-6A08-49B7-83C4-E2FBCF77C3D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4" t="s">
        <v>1</v>
      </c>
      <c r="O1" s="20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205" t="s">
        <v>8</v>
      </c>
      <c r="G4" s="207"/>
      <c r="H4" s="209" t="s">
        <v>9</v>
      </c>
      <c r="I4" s="211"/>
      <c r="J4" s="2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206"/>
      <c r="G5" s="208"/>
      <c r="H5" s="210"/>
      <c r="I5" s="213"/>
      <c r="J5" s="2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215" t="s">
        <v>16</v>
      </c>
      <c r="G6" s="217"/>
      <c r="H6" s="218"/>
      <c r="I6" s="218"/>
      <c r="J6" s="2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216"/>
      <c r="G7" s="220"/>
      <c r="H7" s="221"/>
      <c r="I7" s="221"/>
      <c r="J7" s="2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223" t="s">
        <v>21</v>
      </c>
      <c r="G8" s="224"/>
      <c r="H8" s="225"/>
      <c r="I8" s="225"/>
      <c r="J8" s="22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216"/>
      <c r="G9" s="227"/>
      <c r="H9" s="228"/>
      <c r="I9" s="228"/>
      <c r="J9" s="22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215" t="s">
        <v>26</v>
      </c>
      <c r="G10" s="230"/>
      <c r="H10" s="231"/>
      <c r="I10" s="231"/>
      <c r="J10" s="232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216"/>
      <c r="G11" s="227"/>
      <c r="H11" s="228"/>
      <c r="I11" s="228"/>
      <c r="J11" s="22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233" t="s">
        <v>33</v>
      </c>
      <c r="G12" s="234"/>
      <c r="H12" s="234"/>
      <c r="I12" s="234"/>
      <c r="J12" s="23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236" t="s">
        <v>36</v>
      </c>
      <c r="G13" s="20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94" t="s">
        <v>39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99" t="s">
        <v>40</v>
      </c>
      <c r="G15" s="200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1"/>
      <c r="I16" s="161"/>
      <c r="J16" s="16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45</v>
      </c>
      <c r="H17" s="172"/>
      <c r="I17" s="172"/>
      <c r="J17" s="17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47</v>
      </c>
      <c r="H18" s="172"/>
      <c r="I18" s="172"/>
      <c r="J18" s="17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50</v>
      </c>
      <c r="H19" s="173"/>
      <c r="I19" s="173"/>
      <c r="J19" s="1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120</v>
      </c>
      <c r="H20" s="161"/>
      <c r="I20" s="161"/>
      <c r="J20" s="16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7"/>
      <c r="G22" s="73"/>
      <c r="H22" s="177"/>
      <c r="I22" s="177"/>
      <c r="J22" s="17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8"/>
      <c r="G23" s="79"/>
      <c r="H23" s="178"/>
      <c r="I23" s="147"/>
      <c r="J23" s="14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178"/>
      <c r="I24" s="147"/>
      <c r="J24" s="14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93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08" t="s">
        <v>55</v>
      </c>
      <c r="G29" s="170"/>
      <c r="H29" s="130">
        <f>H15-H16-H17-H18-H19-H20-H22-H23-H24+H26+H27</f>
        <v>0</v>
      </c>
      <c r="I29" s="131"/>
      <c r="J29" s="13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11"/>
      <c r="G30" s="171"/>
      <c r="H30" s="133"/>
      <c r="I30" s="134"/>
      <c r="J30" s="13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58</v>
      </c>
      <c r="B32" s="156"/>
      <c r="C32" s="156"/>
      <c r="D32" s="157"/>
      <c r="F32" s="158" t="s">
        <v>59</v>
      </c>
      <c r="G32" s="159"/>
      <c r="H32" s="159"/>
      <c r="I32" s="159"/>
      <c r="J32" s="16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8" t="s">
        <v>13</v>
      </c>
      <c r="I33" s="159"/>
      <c r="J33" s="16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2"/>
      <c r="I34" s="153"/>
      <c r="J34" s="15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152"/>
      <c r="I35" s="153"/>
      <c r="J35" s="15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152"/>
      <c r="I36" s="153"/>
      <c r="J36" s="15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2"/>
      <c r="I37" s="153"/>
      <c r="J37" s="15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152"/>
      <c r="I38" s="153"/>
      <c r="J38" s="15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152"/>
      <c r="I39" s="153"/>
      <c r="J39" s="15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2"/>
      <c r="I40" s="153"/>
      <c r="J40" s="15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152"/>
      <c r="I41" s="153"/>
      <c r="J41" s="15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152"/>
      <c r="H42" s="153"/>
      <c r="I42" s="153"/>
      <c r="J42" s="15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2" t="s">
        <v>81</v>
      </c>
      <c r="C43" s="11"/>
      <c r="D43" s="12"/>
      <c r="F43" s="59" t="s">
        <v>82</v>
      </c>
      <c r="G43" s="90" t="s">
        <v>83</v>
      </c>
      <c r="H43" s="144" t="s">
        <v>13</v>
      </c>
      <c r="I43" s="145"/>
      <c r="J43" s="146"/>
      <c r="K43" s="21"/>
      <c r="P43" s="4"/>
      <c r="Q43" s="4"/>
      <c r="R43" s="5"/>
    </row>
    <row r="44" spans="1:18" ht="15.75" x14ac:dyDescent="0.25">
      <c r="A44" s="123"/>
      <c r="B44" s="27" t="s">
        <v>66</v>
      </c>
      <c r="C44" s="10"/>
      <c r="D44" s="12">
        <f>C44*120</f>
        <v>0</v>
      </c>
      <c r="F44" s="37"/>
      <c r="G44" s="76"/>
      <c r="H44" s="147"/>
      <c r="I44" s="147"/>
      <c r="J44" s="147"/>
      <c r="K44" s="21"/>
      <c r="P44" s="4"/>
      <c r="Q44" s="4"/>
      <c r="R44" s="5"/>
    </row>
    <row r="45" spans="1:18" ht="15.75" x14ac:dyDescent="0.25">
      <c r="A45" s="123"/>
      <c r="B45" s="27" t="s">
        <v>68</v>
      </c>
      <c r="C45" s="33"/>
      <c r="D45" s="12">
        <f>C45*84</f>
        <v>0</v>
      </c>
      <c r="F45" s="37"/>
      <c r="G45" s="76"/>
      <c r="H45" s="147"/>
      <c r="I45" s="147"/>
      <c r="J45" s="147"/>
      <c r="K45" s="21"/>
      <c r="P45" s="4"/>
      <c r="Q45" s="4"/>
      <c r="R45" s="5"/>
    </row>
    <row r="46" spans="1:18" ht="15.75" x14ac:dyDescent="0.25">
      <c r="A46" s="123"/>
      <c r="B46" s="49" t="s">
        <v>70</v>
      </c>
      <c r="C46" s="81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4"/>
      <c r="B47" s="27"/>
      <c r="C47" s="11"/>
      <c r="D47" s="12"/>
      <c r="F47" s="59"/>
      <c r="G47" s="59"/>
      <c r="H47" s="125"/>
      <c r="I47" s="126"/>
      <c r="J47" s="127"/>
      <c r="K47" s="21"/>
      <c r="P47" s="4"/>
      <c r="Q47" s="4"/>
      <c r="R47" s="5"/>
    </row>
    <row r="48" spans="1:18" ht="15" customHeight="1" x14ac:dyDescent="0.25">
      <c r="A48" s="122" t="s">
        <v>32</v>
      </c>
      <c r="B48" s="27" t="s">
        <v>66</v>
      </c>
      <c r="C48" s="10"/>
      <c r="D48" s="12">
        <f>C48*78</f>
        <v>0</v>
      </c>
      <c r="F48" s="59"/>
      <c r="G48" s="59"/>
      <c r="H48" s="125"/>
      <c r="I48" s="126"/>
      <c r="J48" s="1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3"/>
      <c r="B49" s="29" t="s">
        <v>68</v>
      </c>
      <c r="C49" s="33"/>
      <c r="D49" s="12">
        <f>C49*42</f>
        <v>0</v>
      </c>
      <c r="F49" s="128" t="s">
        <v>86</v>
      </c>
      <c r="G49" s="130">
        <f>H34+H35+H36+H37+H38+H39+H40+H41+G42+H44+H45+H46</f>
        <v>0</v>
      </c>
      <c r="H49" s="131"/>
      <c r="I49" s="131"/>
      <c r="J49" s="13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3"/>
      <c r="B50" s="32" t="s">
        <v>70</v>
      </c>
      <c r="C50" s="11"/>
      <c r="D50" s="12">
        <f>C50*1.5</f>
        <v>0</v>
      </c>
      <c r="F50" s="129"/>
      <c r="G50" s="133"/>
      <c r="H50" s="134"/>
      <c r="I50" s="134"/>
      <c r="J50" s="135"/>
      <c r="P50" s="4"/>
      <c r="Q50" s="4"/>
      <c r="R50" s="5"/>
    </row>
    <row r="51" spans="1:18" ht="15" customHeight="1" x14ac:dyDescent="0.25">
      <c r="A51" s="123"/>
      <c r="B51" s="27"/>
      <c r="C51" s="10"/>
      <c r="D51" s="31"/>
      <c r="F51" s="136" t="s">
        <v>128</v>
      </c>
      <c r="G51" s="138">
        <f>G49-H29</f>
        <v>0</v>
      </c>
      <c r="H51" s="139"/>
      <c r="I51" s="139"/>
      <c r="J51" s="1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3"/>
      <c r="B52" s="29"/>
      <c r="C52" s="33"/>
      <c r="D52" s="45"/>
      <c r="F52" s="137"/>
      <c r="G52" s="141"/>
      <c r="H52" s="142"/>
      <c r="I52" s="142"/>
      <c r="J52" s="1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8" t="s">
        <v>90</v>
      </c>
      <c r="B54" s="109"/>
      <c r="C54" s="110"/>
      <c r="D54" s="114">
        <f>SUM(D34:D53)</f>
        <v>0</v>
      </c>
      <c r="F54" s="21"/>
      <c r="J54" s="34"/>
    </row>
    <row r="55" spans="1:18" x14ac:dyDescent="0.25">
      <c r="A55" s="111"/>
      <c r="B55" s="112"/>
      <c r="C55" s="113"/>
      <c r="D55" s="1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6" t="s">
        <v>91</v>
      </c>
      <c r="B58" s="117"/>
      <c r="C58" s="117"/>
      <c r="D58" s="118"/>
      <c r="F58" s="116" t="s">
        <v>92</v>
      </c>
      <c r="G58" s="117"/>
      <c r="H58" s="117"/>
      <c r="I58" s="117"/>
      <c r="J58" s="118"/>
    </row>
    <row r="59" spans="1:18" x14ac:dyDescent="0.25">
      <c r="A59" s="119"/>
      <c r="B59" s="120"/>
      <c r="C59" s="120"/>
      <c r="D59" s="121"/>
      <c r="F59" s="119"/>
      <c r="G59" s="120"/>
      <c r="H59" s="120"/>
      <c r="I59" s="120"/>
      <c r="J59" s="12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9EA96-5FED-46CD-9385-2C27C434BC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4" t="s">
        <v>1</v>
      </c>
      <c r="O1" s="20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205" t="s">
        <v>8</v>
      </c>
      <c r="G4" s="207">
        <v>1</v>
      </c>
      <c r="H4" s="209" t="s">
        <v>9</v>
      </c>
      <c r="I4" s="249">
        <v>46025</v>
      </c>
      <c r="J4" s="25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206"/>
      <c r="G5" s="208"/>
      <c r="H5" s="210"/>
      <c r="I5" s="251"/>
      <c r="J5" s="25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84">
        <v>728</v>
      </c>
      <c r="D6" s="13">
        <f t="shared" ref="D6:D28" si="1">C6*L6</f>
        <v>554008</v>
      </c>
      <c r="F6" s="215" t="s">
        <v>16</v>
      </c>
      <c r="G6" s="217" t="s">
        <v>129</v>
      </c>
      <c r="H6" s="218"/>
      <c r="I6" s="218"/>
      <c r="J6" s="2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84"/>
      <c r="D7" s="13">
        <f t="shared" si="1"/>
        <v>0</v>
      </c>
      <c r="F7" s="216"/>
      <c r="G7" s="220"/>
      <c r="H7" s="221"/>
      <c r="I7" s="221"/>
      <c r="J7" s="2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84">
        <v>60</v>
      </c>
      <c r="D8" s="13">
        <f t="shared" si="1"/>
        <v>65580</v>
      </c>
      <c r="F8" s="223" t="s">
        <v>21</v>
      </c>
      <c r="G8" s="224" t="s">
        <v>112</v>
      </c>
      <c r="H8" s="225"/>
      <c r="I8" s="225"/>
      <c r="J8" s="2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84">
        <v>9</v>
      </c>
      <c r="D9" s="13">
        <f t="shared" si="1"/>
        <v>6597</v>
      </c>
      <c r="F9" s="216"/>
      <c r="G9" s="227"/>
      <c r="H9" s="228"/>
      <c r="I9" s="228"/>
      <c r="J9" s="2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84">
        <v>5</v>
      </c>
      <c r="D10" s="13">
        <f t="shared" si="1"/>
        <v>5160</v>
      </c>
      <c r="F10" s="215" t="s">
        <v>26</v>
      </c>
      <c r="G10" s="230" t="s">
        <v>130</v>
      </c>
      <c r="H10" s="231"/>
      <c r="I10" s="231"/>
      <c r="J10" s="232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84">
        <v>16</v>
      </c>
      <c r="D11" s="13">
        <f t="shared" si="1"/>
        <v>18720</v>
      </c>
      <c r="F11" s="216"/>
      <c r="G11" s="227"/>
      <c r="H11" s="228"/>
      <c r="I11" s="228"/>
      <c r="J11" s="2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84">
        <f>23+3</f>
        <v>26</v>
      </c>
      <c r="D12" s="48">
        <f t="shared" si="1"/>
        <v>25792</v>
      </c>
      <c r="F12" s="233" t="s">
        <v>33</v>
      </c>
      <c r="G12" s="234"/>
      <c r="H12" s="234"/>
      <c r="I12" s="234"/>
      <c r="J12" s="2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84">
        <v>21</v>
      </c>
      <c r="D13" s="48">
        <f t="shared" si="1"/>
        <v>6447</v>
      </c>
      <c r="F13" s="236" t="s">
        <v>36</v>
      </c>
      <c r="G13" s="200"/>
      <c r="H13" s="191">
        <f>D29</f>
        <v>685162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84">
        <v>17</v>
      </c>
      <c r="D14" s="31">
        <f t="shared" si="1"/>
        <v>187</v>
      </c>
      <c r="F14" s="194" t="s">
        <v>39</v>
      </c>
      <c r="G14" s="195"/>
      <c r="H14" s="196">
        <f>D54</f>
        <v>145168.5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84">
        <v>1</v>
      </c>
      <c r="D15" s="31">
        <f t="shared" si="1"/>
        <v>620</v>
      </c>
      <c r="F15" s="199" t="s">
        <v>40</v>
      </c>
      <c r="G15" s="200"/>
      <c r="H15" s="201">
        <f>H13-H14</f>
        <v>539993.5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1">
        <f>2772</f>
        <v>2772</v>
      </c>
      <c r="I16" s="161"/>
      <c r="J16" s="16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137</v>
      </c>
      <c r="C17" s="84"/>
      <c r="D17" s="48">
        <f t="shared" si="1"/>
        <v>0</v>
      </c>
      <c r="F17" s="56"/>
      <c r="G17" s="66" t="s">
        <v>45</v>
      </c>
      <c r="H17" s="172"/>
      <c r="I17" s="172"/>
      <c r="J17" s="17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72"/>
      <c r="I18" s="172"/>
      <c r="J18" s="17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v>1102</v>
      </c>
      <c r="Q19" s="4"/>
      <c r="R19" s="5">
        <f t="shared" si="0"/>
        <v>0</v>
      </c>
    </row>
    <row r="20" spans="1:18" ht="15.75" x14ac:dyDescent="0.25">
      <c r="A20" s="15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127</v>
      </c>
      <c r="C22" s="84"/>
      <c r="D22" s="48">
        <f t="shared" si="1"/>
        <v>0</v>
      </c>
      <c r="F22" s="77"/>
      <c r="G22" s="73"/>
      <c r="H22" s="177"/>
      <c r="I22" s="177"/>
      <c r="J22" s="17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136</v>
      </c>
      <c r="C26" s="84"/>
      <c r="D26" s="48">
        <f t="shared" si="1"/>
        <v>0</v>
      </c>
      <c r="F26" s="75"/>
      <c r="G26" s="65"/>
      <c r="H26" s="147"/>
      <c r="I26" s="147"/>
      <c r="J26" s="14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110</v>
      </c>
      <c r="C27" s="84"/>
      <c r="D27" s="44">
        <f t="shared" si="1"/>
        <v>0</v>
      </c>
      <c r="F27" s="71"/>
      <c r="G27" s="90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84">
        <v>1</v>
      </c>
      <c r="D28" s="48">
        <f t="shared" si="1"/>
        <v>811</v>
      </c>
      <c r="F28" s="93"/>
      <c r="G28" s="61"/>
      <c r="H28" s="188"/>
      <c r="I28" s="189"/>
      <c r="J28" s="190"/>
      <c r="L28" s="7"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685162</v>
      </c>
      <c r="F29" s="108" t="s">
        <v>55</v>
      </c>
      <c r="G29" s="170"/>
      <c r="H29" s="130">
        <f>H15-H16-H17-H18-H19-H20-H22-H23-H24+H26+H27+H28</f>
        <v>537221.5</v>
      </c>
      <c r="I29" s="131"/>
      <c r="J29" s="13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11"/>
      <c r="G30" s="171"/>
      <c r="H30" s="133"/>
      <c r="I30" s="134"/>
      <c r="J30" s="13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58</v>
      </c>
      <c r="B32" s="156"/>
      <c r="C32" s="156"/>
      <c r="D32" s="157"/>
      <c r="F32" s="158" t="s">
        <v>59</v>
      </c>
      <c r="G32" s="159"/>
      <c r="H32" s="159"/>
      <c r="I32" s="159"/>
      <c r="J32" s="16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8" t="s">
        <v>13</v>
      </c>
      <c r="I33" s="159"/>
      <c r="J33" s="16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>
        <v>18</v>
      </c>
      <c r="D34" s="30">
        <f>C34*120</f>
        <v>2160</v>
      </c>
      <c r="F34" s="12">
        <v>1000</v>
      </c>
      <c r="G34" s="40">
        <v>229</v>
      </c>
      <c r="H34" s="152">
        <f t="shared" ref="H34:H39" si="2">F34*G34</f>
        <v>229000</v>
      </c>
      <c r="I34" s="153"/>
      <c r="J34" s="15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52">
        <f t="shared" si="2"/>
        <v>48500</v>
      </c>
      <c r="I35" s="153"/>
      <c r="J35" s="15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152">
        <f t="shared" si="2"/>
        <v>0</v>
      </c>
      <c r="I36" s="153"/>
      <c r="J36" s="15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1154</v>
      </c>
      <c r="D37" s="12">
        <f>C37*111</f>
        <v>128094</v>
      </c>
      <c r="F37" s="12">
        <v>100</v>
      </c>
      <c r="G37" s="39">
        <v>2</v>
      </c>
      <c r="H37" s="152">
        <f t="shared" si="2"/>
        <v>200</v>
      </c>
      <c r="I37" s="153"/>
      <c r="J37" s="15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52">
        <f t="shared" si="2"/>
        <v>0</v>
      </c>
      <c r="I38" s="153"/>
      <c r="J38" s="15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16</v>
      </c>
      <c r="D39" s="31">
        <f>C39*4.5</f>
        <v>72</v>
      </c>
      <c r="F39" s="12">
        <v>20</v>
      </c>
      <c r="G39" s="37">
        <v>1</v>
      </c>
      <c r="H39" s="152">
        <f t="shared" si="2"/>
        <v>20</v>
      </c>
      <c r="I39" s="153"/>
      <c r="J39" s="15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2"/>
      <c r="I40" s="153"/>
      <c r="J40" s="15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2"/>
      <c r="I41" s="153"/>
      <c r="J41" s="15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152"/>
      <c r="H42" s="153"/>
      <c r="I42" s="153"/>
      <c r="J42" s="15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2" t="s">
        <v>81</v>
      </c>
      <c r="C43" s="11"/>
      <c r="D43" s="12"/>
      <c r="F43" s="59" t="s">
        <v>82</v>
      </c>
      <c r="G43" s="90" t="s">
        <v>83</v>
      </c>
      <c r="H43" s="144" t="s">
        <v>13</v>
      </c>
      <c r="I43" s="145"/>
      <c r="J43" s="14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3"/>
      <c r="B44" s="27" t="s">
        <v>66</v>
      </c>
      <c r="C44" s="10">
        <v>107</v>
      </c>
      <c r="D44" s="12">
        <f>C44*120</f>
        <v>12840</v>
      </c>
      <c r="F44" s="37" t="s">
        <v>147</v>
      </c>
      <c r="G44" s="62" t="s">
        <v>151</v>
      </c>
      <c r="H44" s="147">
        <v>258954</v>
      </c>
      <c r="I44" s="147"/>
      <c r="J44" s="14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3"/>
      <c r="B45" s="27" t="s">
        <v>68</v>
      </c>
      <c r="C45" s="33"/>
      <c r="D45" s="12">
        <f>C45*84</f>
        <v>0</v>
      </c>
      <c r="F45" s="37"/>
      <c r="G45" s="62"/>
      <c r="H45" s="147"/>
      <c r="I45" s="147"/>
      <c r="J45" s="147"/>
      <c r="K45" s="21"/>
      <c r="P45" s="4"/>
      <c r="Q45" s="4"/>
      <c r="R45" s="5"/>
    </row>
    <row r="46" spans="1:18" ht="15.75" x14ac:dyDescent="0.25">
      <c r="A46" s="123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4"/>
      <c r="B47" s="27"/>
      <c r="C47" s="11"/>
      <c r="D47" s="12"/>
      <c r="F47" s="59"/>
      <c r="G47" s="59"/>
      <c r="H47" s="125"/>
      <c r="I47" s="126"/>
      <c r="J47" s="127"/>
      <c r="K47" s="21"/>
      <c r="P47" s="4"/>
      <c r="Q47" s="4"/>
      <c r="R47" s="5"/>
    </row>
    <row r="48" spans="1:18" ht="15" customHeight="1" x14ac:dyDescent="0.25">
      <c r="A48" s="122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125"/>
      <c r="I48" s="126"/>
      <c r="J48" s="1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3"/>
      <c r="B49" s="29" t="s">
        <v>68</v>
      </c>
      <c r="C49" s="33">
        <v>1</v>
      </c>
      <c r="D49" s="12">
        <f>C49*42</f>
        <v>42</v>
      </c>
      <c r="F49" s="128" t="s">
        <v>86</v>
      </c>
      <c r="G49" s="130">
        <f>H34+H35+H36+H37+H38+H39+H40+H41+G42+H44+H45+H46</f>
        <v>536674</v>
      </c>
      <c r="H49" s="131"/>
      <c r="I49" s="131"/>
      <c r="J49" s="13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3"/>
      <c r="B50" s="32" t="s">
        <v>70</v>
      </c>
      <c r="C50" s="11">
        <v>25</v>
      </c>
      <c r="D50" s="12">
        <f>C50*1.5</f>
        <v>37.5</v>
      </c>
      <c r="F50" s="129"/>
      <c r="G50" s="133"/>
      <c r="H50" s="134"/>
      <c r="I50" s="134"/>
      <c r="J50" s="135"/>
      <c r="O50" t="s">
        <v>144</v>
      </c>
      <c r="P50" s="4">
        <v>1204</v>
      </c>
      <c r="Q50" s="4"/>
      <c r="R50" s="5"/>
    </row>
    <row r="51" spans="1:18" ht="15" customHeight="1" x14ac:dyDescent="0.25">
      <c r="A51" s="123"/>
      <c r="B51" s="27"/>
      <c r="C51" s="10"/>
      <c r="D51" s="31"/>
      <c r="F51" s="136" t="s">
        <v>131</v>
      </c>
      <c r="G51" s="237">
        <f>G49-H29</f>
        <v>-547.5</v>
      </c>
      <c r="H51" s="238"/>
      <c r="I51" s="238"/>
      <c r="J51" s="2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3"/>
      <c r="B52" s="29"/>
      <c r="C52" s="33"/>
      <c r="D52" s="45"/>
      <c r="F52" s="137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8" t="s">
        <v>90</v>
      </c>
      <c r="B54" s="109"/>
      <c r="C54" s="110"/>
      <c r="D54" s="114">
        <f>SUM(D34:D53)</f>
        <v>145168.5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1"/>
      <c r="B55" s="112"/>
      <c r="C55" s="113"/>
      <c r="D55" s="1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16" t="s">
        <v>91</v>
      </c>
      <c r="B58" s="117"/>
      <c r="C58" s="117"/>
      <c r="D58" s="118"/>
      <c r="F58" s="116" t="s">
        <v>92</v>
      </c>
      <c r="G58" s="117"/>
      <c r="H58" s="117"/>
      <c r="I58" s="117"/>
      <c r="J58" s="118"/>
    </row>
    <row r="59" spans="1:18" x14ac:dyDescent="0.25">
      <c r="A59" s="119"/>
      <c r="B59" s="120"/>
      <c r="C59" s="120"/>
      <c r="D59" s="121"/>
      <c r="F59" s="119"/>
      <c r="G59" s="120"/>
      <c r="H59" s="120"/>
      <c r="I59" s="120"/>
      <c r="J59" s="12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4F4-C6AF-4BD5-A56B-562B7C6DE1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4" t="s">
        <v>1</v>
      </c>
      <c r="O1" s="20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205" t="s">
        <v>8</v>
      </c>
      <c r="G4" s="207">
        <v>2</v>
      </c>
      <c r="H4" s="209" t="s">
        <v>9</v>
      </c>
      <c r="I4" s="249">
        <v>46025</v>
      </c>
      <c r="J4" s="25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206"/>
      <c r="G5" s="208"/>
      <c r="H5" s="210"/>
      <c r="I5" s="251"/>
      <c r="J5" s="25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/>
      <c r="D6" s="13">
        <f t="shared" ref="D6:D28" si="1">C6*L6</f>
        <v>0</v>
      </c>
      <c r="F6" s="215" t="s">
        <v>16</v>
      </c>
      <c r="G6" s="217" t="s">
        <v>140</v>
      </c>
      <c r="H6" s="218"/>
      <c r="I6" s="218"/>
      <c r="J6" s="2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/>
      <c r="D7" s="13">
        <f t="shared" si="1"/>
        <v>0</v>
      </c>
      <c r="F7" s="216"/>
      <c r="G7" s="220"/>
      <c r="H7" s="221"/>
      <c r="I7" s="221"/>
      <c r="J7" s="2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223" t="s">
        <v>21</v>
      </c>
      <c r="G8" s="224" t="s">
        <v>114</v>
      </c>
      <c r="H8" s="225"/>
      <c r="I8" s="225"/>
      <c r="J8" s="2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/>
      <c r="D9" s="13">
        <f t="shared" si="1"/>
        <v>0</v>
      </c>
      <c r="F9" s="216"/>
      <c r="G9" s="227"/>
      <c r="H9" s="228"/>
      <c r="I9" s="228"/>
      <c r="J9" s="2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215" t="s">
        <v>26</v>
      </c>
      <c r="G10" s="230" t="s">
        <v>115</v>
      </c>
      <c r="H10" s="231"/>
      <c r="I10" s="231"/>
      <c r="J10" s="232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216"/>
      <c r="G11" s="227"/>
      <c r="H11" s="228"/>
      <c r="I11" s="228"/>
      <c r="J11" s="2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233" t="s">
        <v>33</v>
      </c>
      <c r="G12" s="234"/>
      <c r="H12" s="234"/>
      <c r="I12" s="234"/>
      <c r="J12" s="2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/>
      <c r="D13" s="48">
        <f t="shared" si="1"/>
        <v>0</v>
      </c>
      <c r="F13" s="236" t="s">
        <v>36</v>
      </c>
      <c r="G13" s="20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94" t="s">
        <v>39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99" t="s">
        <v>40</v>
      </c>
      <c r="G15" s="200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1"/>
      <c r="I16" s="161"/>
      <c r="J16" s="16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93</v>
      </c>
      <c r="C17" s="10"/>
      <c r="D17" s="48">
        <f t="shared" si="1"/>
        <v>0</v>
      </c>
      <c r="F17" s="56"/>
      <c r="G17" s="66" t="s">
        <v>45</v>
      </c>
      <c r="H17" s="172"/>
      <c r="I17" s="172"/>
      <c r="J17" s="17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2"/>
      <c r="I18" s="172"/>
      <c r="J18" s="17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7"/>
      <c r="I19" s="247"/>
      <c r="J19" s="24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2"/>
      <c r="G22" s="73"/>
      <c r="H22" s="177"/>
      <c r="I22" s="177"/>
      <c r="J22" s="17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25"/>
      <c r="G23" s="37"/>
      <c r="H23" s="178"/>
      <c r="I23" s="147"/>
      <c r="J23" s="14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123</v>
      </c>
      <c r="C24" s="10"/>
      <c r="D24" s="48">
        <f t="shared" si="1"/>
        <v>0</v>
      </c>
      <c r="F24" s="38"/>
      <c r="G24" s="37"/>
      <c r="H24" s="178"/>
      <c r="I24" s="147"/>
      <c r="J24" s="14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93"/>
      <c r="G28" s="61"/>
      <c r="H28" s="188"/>
      <c r="I28" s="189"/>
      <c r="J28" s="190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08" t="s">
        <v>55</v>
      </c>
      <c r="G29" s="170"/>
      <c r="H29" s="130">
        <f>H15-H16-H17-H18-H19-H20-H22-H23-H24+H26+H27</f>
        <v>0</v>
      </c>
      <c r="I29" s="131"/>
      <c r="J29" s="13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11"/>
      <c r="G30" s="171"/>
      <c r="H30" s="133"/>
      <c r="I30" s="134"/>
      <c r="J30" s="13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58</v>
      </c>
      <c r="B32" s="156"/>
      <c r="C32" s="156"/>
      <c r="D32" s="157"/>
      <c r="F32" s="158" t="s">
        <v>59</v>
      </c>
      <c r="G32" s="159"/>
      <c r="H32" s="159"/>
      <c r="I32" s="159"/>
      <c r="J32" s="16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8" t="s">
        <v>13</v>
      </c>
      <c r="I33" s="159"/>
      <c r="J33" s="16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2">
        <f>F34*G34</f>
        <v>0</v>
      </c>
      <c r="I34" s="153"/>
      <c r="J34" s="15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152">
        <f t="shared" ref="H35:H39" si="2">F35*G35</f>
        <v>0</v>
      </c>
      <c r="I35" s="153"/>
      <c r="J35" s="15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152">
        <f>F36*G36</f>
        <v>0</v>
      </c>
      <c r="I36" s="153"/>
      <c r="J36" s="15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2">
        <f t="shared" si="2"/>
        <v>0</v>
      </c>
      <c r="I37" s="153"/>
      <c r="J37" s="15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152">
        <f t="shared" si="2"/>
        <v>0</v>
      </c>
      <c r="I38" s="153"/>
      <c r="J38" s="15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152">
        <f t="shared" si="2"/>
        <v>0</v>
      </c>
      <c r="I39" s="153"/>
      <c r="J39" s="15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2"/>
      <c r="I40" s="153"/>
      <c r="J40" s="15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152"/>
      <c r="I41" s="153"/>
      <c r="J41" s="15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152"/>
      <c r="H42" s="153"/>
      <c r="I42" s="153"/>
      <c r="J42" s="15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2" t="s">
        <v>81</v>
      </c>
      <c r="C43" s="11"/>
      <c r="D43" s="12"/>
      <c r="F43" s="59" t="s">
        <v>82</v>
      </c>
      <c r="G43" s="90" t="s">
        <v>83</v>
      </c>
      <c r="H43" s="144" t="s">
        <v>13</v>
      </c>
      <c r="I43" s="145"/>
      <c r="J43" s="14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3"/>
      <c r="B44" s="27" t="s">
        <v>66</v>
      </c>
      <c r="C44" s="10"/>
      <c r="D44" s="12">
        <f>C44*120</f>
        <v>0</v>
      </c>
      <c r="F44" s="37"/>
      <c r="G44" s="62"/>
      <c r="H44" s="147"/>
      <c r="I44" s="147"/>
      <c r="J44" s="147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23"/>
      <c r="B45" s="27" t="s">
        <v>68</v>
      </c>
      <c r="C45" s="33"/>
      <c r="D45" s="12">
        <f>C45*84</f>
        <v>0</v>
      </c>
      <c r="F45" s="37"/>
      <c r="G45" s="62"/>
      <c r="H45" s="147"/>
      <c r="I45" s="147"/>
      <c r="J45" s="147"/>
      <c r="K45" s="21"/>
      <c r="P45" s="4"/>
      <c r="Q45" s="4"/>
      <c r="R45" s="5"/>
    </row>
    <row r="46" spans="1:18" ht="15.75" x14ac:dyDescent="0.25">
      <c r="A46" s="123"/>
      <c r="B46" s="49" t="s">
        <v>70</v>
      </c>
      <c r="C46" s="81"/>
      <c r="D46" s="12">
        <f>C46*1.5</f>
        <v>0</v>
      </c>
      <c r="F46" s="37"/>
      <c r="G46" s="91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4"/>
      <c r="B47" s="27"/>
      <c r="C47" s="11"/>
      <c r="D47" s="12"/>
      <c r="F47" s="59"/>
      <c r="G47" s="59"/>
      <c r="H47" s="125"/>
      <c r="I47" s="126"/>
      <c r="J47" s="127"/>
      <c r="K47" s="21"/>
      <c r="P47" s="4"/>
      <c r="Q47" s="4"/>
      <c r="R47" s="5"/>
    </row>
    <row r="48" spans="1:18" ht="15" customHeight="1" x14ac:dyDescent="0.25">
      <c r="A48" s="122" t="s">
        <v>32</v>
      </c>
      <c r="B48" s="27" t="s">
        <v>66</v>
      </c>
      <c r="C48" s="10"/>
      <c r="D48" s="12">
        <f>C48*78</f>
        <v>0</v>
      </c>
      <c r="F48" s="59"/>
      <c r="G48" s="59"/>
      <c r="H48" s="125"/>
      <c r="I48" s="126"/>
      <c r="J48" s="1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3"/>
      <c r="B49" s="29" t="s">
        <v>68</v>
      </c>
      <c r="C49" s="33"/>
      <c r="D49" s="12">
        <f>C49*42</f>
        <v>0</v>
      </c>
      <c r="F49" s="128" t="s">
        <v>86</v>
      </c>
      <c r="G49" s="130">
        <f>H34+H35+H36+H37+H38+H39+H40+H41+G42+H44+H45+H46</f>
        <v>0</v>
      </c>
      <c r="H49" s="131"/>
      <c r="I49" s="131"/>
      <c r="J49" s="13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3"/>
      <c r="B50" s="32" t="s">
        <v>70</v>
      </c>
      <c r="C50" s="11"/>
      <c r="D50" s="12">
        <f>C50*1.5</f>
        <v>0</v>
      </c>
      <c r="F50" s="129"/>
      <c r="G50" s="133"/>
      <c r="H50" s="134"/>
      <c r="I50" s="134"/>
      <c r="J50" s="135"/>
      <c r="O50" t="s">
        <v>144</v>
      </c>
      <c r="P50" s="4">
        <v>1204</v>
      </c>
      <c r="Q50" s="4"/>
      <c r="R50" s="5"/>
    </row>
    <row r="51" spans="1:18" ht="15" customHeight="1" x14ac:dyDescent="0.25">
      <c r="A51" s="123"/>
      <c r="B51" s="27"/>
      <c r="C51" s="10"/>
      <c r="D51" s="31"/>
      <c r="F51" s="136" t="s">
        <v>142</v>
      </c>
      <c r="G51" s="138">
        <f>G49-H29</f>
        <v>0</v>
      </c>
      <c r="H51" s="139"/>
      <c r="I51" s="139"/>
      <c r="J51" s="1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3"/>
      <c r="B52" s="29"/>
      <c r="C52" s="33"/>
      <c r="D52" s="45"/>
      <c r="F52" s="137"/>
      <c r="G52" s="141"/>
      <c r="H52" s="142"/>
      <c r="I52" s="142"/>
      <c r="J52" s="1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8" t="s">
        <v>90</v>
      </c>
      <c r="B54" s="109"/>
      <c r="C54" s="110"/>
      <c r="D54" s="11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1"/>
      <c r="B55" s="112"/>
      <c r="C55" s="113"/>
      <c r="D55" s="1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16" t="s">
        <v>91</v>
      </c>
      <c r="B58" s="117"/>
      <c r="C58" s="117"/>
      <c r="D58" s="118"/>
      <c r="F58" s="116" t="s">
        <v>92</v>
      </c>
      <c r="G58" s="117"/>
      <c r="H58" s="117"/>
      <c r="I58" s="117"/>
      <c r="J58" s="118"/>
    </row>
    <row r="59" spans="1:18" x14ac:dyDescent="0.25">
      <c r="A59" s="119"/>
      <c r="B59" s="120"/>
      <c r="C59" s="120"/>
      <c r="D59" s="121"/>
      <c r="F59" s="119"/>
      <c r="G59" s="120"/>
      <c r="H59" s="120"/>
      <c r="I59" s="120"/>
      <c r="J59" s="12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3CDB-0E4E-4F8D-9CD8-0FDE441850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4" t="s">
        <v>1</v>
      </c>
      <c r="O1" s="20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205" t="s">
        <v>8</v>
      </c>
      <c r="G4" s="207">
        <v>3</v>
      </c>
      <c r="H4" s="209" t="s">
        <v>9</v>
      </c>
      <c r="I4" s="249">
        <v>46025</v>
      </c>
      <c r="J4" s="25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206"/>
      <c r="G5" s="208"/>
      <c r="H5" s="210"/>
      <c r="I5" s="251"/>
      <c r="J5" s="25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480</v>
      </c>
      <c r="D6" s="13">
        <f t="shared" ref="D6:D28" si="1">C6*L6</f>
        <v>365280</v>
      </c>
      <c r="F6" s="215" t="s">
        <v>16</v>
      </c>
      <c r="G6" s="217" t="s">
        <v>111</v>
      </c>
      <c r="H6" s="218"/>
      <c r="I6" s="218"/>
      <c r="J6" s="2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15</v>
      </c>
      <c r="D7" s="13">
        <f t="shared" si="1"/>
        <v>11715</v>
      </c>
      <c r="F7" s="216"/>
      <c r="G7" s="220"/>
      <c r="H7" s="221"/>
      <c r="I7" s="221"/>
      <c r="J7" s="2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>
        <v>2</v>
      </c>
      <c r="D8" s="13">
        <f t="shared" si="1"/>
        <v>2186</v>
      </c>
      <c r="F8" s="223" t="s">
        <v>21</v>
      </c>
      <c r="G8" s="224" t="s">
        <v>119</v>
      </c>
      <c r="H8" s="225"/>
      <c r="I8" s="225"/>
      <c r="J8" s="2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37</v>
      </c>
      <c r="D9" s="13">
        <f t="shared" si="1"/>
        <v>27121</v>
      </c>
      <c r="F9" s="216"/>
      <c r="G9" s="227"/>
      <c r="H9" s="228"/>
      <c r="I9" s="228"/>
      <c r="J9" s="2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>
        <v>3</v>
      </c>
      <c r="D10" s="13">
        <f t="shared" si="1"/>
        <v>3096</v>
      </c>
      <c r="F10" s="215" t="s">
        <v>26</v>
      </c>
      <c r="G10" s="230" t="s">
        <v>134</v>
      </c>
      <c r="H10" s="231"/>
      <c r="I10" s="231"/>
      <c r="J10" s="232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>
        <v>2</v>
      </c>
      <c r="D11" s="13">
        <f t="shared" si="1"/>
        <v>2340</v>
      </c>
      <c r="F11" s="216"/>
      <c r="G11" s="227"/>
      <c r="H11" s="228"/>
      <c r="I11" s="228"/>
      <c r="J11" s="2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233" t="s">
        <v>33</v>
      </c>
      <c r="G12" s="234"/>
      <c r="H12" s="234"/>
      <c r="I12" s="234"/>
      <c r="J12" s="2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10</v>
      </c>
      <c r="D13" s="48">
        <f t="shared" si="1"/>
        <v>3070</v>
      </c>
      <c r="F13" s="236" t="s">
        <v>36</v>
      </c>
      <c r="G13" s="200"/>
      <c r="H13" s="191">
        <f>D29</f>
        <v>419083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94" t="s">
        <v>39</v>
      </c>
      <c r="G14" s="195"/>
      <c r="H14" s="196">
        <f>D54</f>
        <v>68183.25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>
        <f>1</f>
        <v>1</v>
      </c>
      <c r="D15" s="31">
        <f t="shared" si="1"/>
        <v>620</v>
      </c>
      <c r="F15" s="199" t="s">
        <v>40</v>
      </c>
      <c r="G15" s="200"/>
      <c r="H15" s="201">
        <f>H13-H14</f>
        <v>350899.75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1">
        <f>216*6+140*6</f>
        <v>2136</v>
      </c>
      <c r="I16" s="161"/>
      <c r="J16" s="16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113</v>
      </c>
      <c r="C17" s="10"/>
      <c r="D17" s="48">
        <f t="shared" si="1"/>
        <v>0</v>
      </c>
      <c r="F17" s="56"/>
      <c r="G17" s="66" t="s">
        <v>45</v>
      </c>
      <c r="H17" s="172"/>
      <c r="I17" s="172"/>
      <c r="J17" s="17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>
        <f>4</f>
        <v>4</v>
      </c>
      <c r="D18" s="48">
        <f t="shared" si="1"/>
        <v>2480</v>
      </c>
      <c r="F18" s="56"/>
      <c r="G18" s="66" t="s">
        <v>47</v>
      </c>
      <c r="H18" s="172"/>
      <c r="I18" s="172"/>
      <c r="J18" s="17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8"/>
      <c r="I19" s="248"/>
      <c r="J19" s="24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1"/>
      <c r="I20" s="161"/>
      <c r="J20" s="16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7" t="s">
        <v>154</v>
      </c>
      <c r="G22" s="73">
        <v>8243</v>
      </c>
      <c r="H22" s="177">
        <v>1440</v>
      </c>
      <c r="I22" s="177"/>
      <c r="J22" s="17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95" t="s">
        <v>150</v>
      </c>
      <c r="C23" s="10">
        <v>1</v>
      </c>
      <c r="D23" s="48">
        <f t="shared" si="1"/>
        <v>1175</v>
      </c>
      <c r="F23" s="78"/>
      <c r="G23" s="79"/>
      <c r="H23" s="178"/>
      <c r="I23" s="147"/>
      <c r="J23" s="14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101</v>
      </c>
      <c r="C24" s="10"/>
      <c r="D24" s="48">
        <f t="shared" si="1"/>
        <v>0</v>
      </c>
      <c r="F24" s="38"/>
      <c r="G24" s="37"/>
      <c r="H24" s="178"/>
      <c r="I24" s="147"/>
      <c r="J24" s="14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93"/>
      <c r="G28" s="61"/>
      <c r="H28" s="188"/>
      <c r="I28" s="189"/>
      <c r="J28" s="190"/>
      <c r="L28" s="7">
        <v>820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419083</v>
      </c>
      <c r="F29" s="108" t="s">
        <v>55</v>
      </c>
      <c r="G29" s="170"/>
      <c r="H29" s="130">
        <f>H15-H16-H17-H18-H19-H20-H22-H23-H24+H26+H27</f>
        <v>347323.75</v>
      </c>
      <c r="I29" s="131"/>
      <c r="J29" s="13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11"/>
      <c r="G30" s="171"/>
      <c r="H30" s="133"/>
      <c r="I30" s="134"/>
      <c r="J30" s="13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58</v>
      </c>
      <c r="B32" s="156"/>
      <c r="C32" s="156"/>
      <c r="D32" s="157"/>
      <c r="F32" s="158" t="s">
        <v>59</v>
      </c>
      <c r="G32" s="159"/>
      <c r="H32" s="159"/>
      <c r="I32" s="159"/>
      <c r="J32" s="16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8" t="s">
        <v>13</v>
      </c>
      <c r="I33" s="159"/>
      <c r="J33" s="16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52">
        <f>F34*G34</f>
        <v>133000</v>
      </c>
      <c r="I34" s="153"/>
      <c r="J34" s="15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152">
        <f>F35*G35</f>
        <v>29000</v>
      </c>
      <c r="I35" s="153"/>
      <c r="J35" s="15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152">
        <f t="shared" ref="H36:H39" si="2">F36*G36</f>
        <v>0</v>
      </c>
      <c r="I36" s="153"/>
      <c r="J36" s="15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567</v>
      </c>
      <c r="D37" s="12">
        <f>C37*111</f>
        <v>62937</v>
      </c>
      <c r="F37" s="12">
        <v>100</v>
      </c>
      <c r="G37" s="39"/>
      <c r="H37" s="152">
        <f t="shared" si="2"/>
        <v>0</v>
      </c>
      <c r="I37" s="153"/>
      <c r="J37" s="15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152">
        <f t="shared" si="2"/>
        <v>0</v>
      </c>
      <c r="I38" s="153"/>
      <c r="J38" s="15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2">
        <f t="shared" si="2"/>
        <v>0</v>
      </c>
      <c r="I39" s="153"/>
      <c r="J39" s="15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2"/>
      <c r="I40" s="153"/>
      <c r="J40" s="15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2"/>
      <c r="I41" s="153"/>
      <c r="J41" s="15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2">
        <v>24</v>
      </c>
      <c r="H42" s="153"/>
      <c r="I42" s="153"/>
      <c r="J42" s="15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2" t="s">
        <v>81</v>
      </c>
      <c r="C43" s="11"/>
      <c r="D43" s="12"/>
      <c r="F43" s="59" t="s">
        <v>82</v>
      </c>
      <c r="G43" s="90" t="s">
        <v>83</v>
      </c>
      <c r="H43" s="144" t="s">
        <v>13</v>
      </c>
      <c r="I43" s="145"/>
      <c r="J43" s="14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3"/>
      <c r="B44" s="27" t="s">
        <v>66</v>
      </c>
      <c r="C44" s="10">
        <v>6</v>
      </c>
      <c r="D44" s="12">
        <f>C44*120</f>
        <v>720</v>
      </c>
      <c r="F44" s="37" t="s">
        <v>147</v>
      </c>
      <c r="G44" s="76" t="s">
        <v>152</v>
      </c>
      <c r="H44" s="147">
        <v>139104</v>
      </c>
      <c r="I44" s="147"/>
      <c r="J44" s="147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23"/>
      <c r="B45" s="27" t="s">
        <v>68</v>
      </c>
      <c r="C45" s="33">
        <v>2</v>
      </c>
      <c r="D45" s="12">
        <f>C45*84</f>
        <v>168</v>
      </c>
      <c r="F45" s="37" t="s">
        <v>153</v>
      </c>
      <c r="G45" s="76"/>
      <c r="H45" s="147">
        <v>45689</v>
      </c>
      <c r="I45" s="147"/>
      <c r="J45" s="147"/>
      <c r="K45" s="21"/>
      <c r="P45" s="4"/>
      <c r="Q45" s="4"/>
      <c r="R45" s="5"/>
    </row>
    <row r="46" spans="1:18" ht="15.75" x14ac:dyDescent="0.25">
      <c r="A46" s="123"/>
      <c r="B46" s="49" t="s">
        <v>70</v>
      </c>
      <c r="C46" s="81">
        <v>19</v>
      </c>
      <c r="D46" s="12">
        <f>C46*1.5</f>
        <v>28.5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4"/>
      <c r="B47" s="27"/>
      <c r="C47" s="11"/>
      <c r="D47" s="12"/>
      <c r="F47" s="59"/>
      <c r="G47" s="59"/>
      <c r="H47" s="125"/>
      <c r="I47" s="126"/>
      <c r="J47" s="127"/>
      <c r="K47" s="21"/>
      <c r="P47" s="4"/>
      <c r="Q47" s="4"/>
      <c r="R47" s="5"/>
    </row>
    <row r="48" spans="1:18" ht="15" customHeight="1" x14ac:dyDescent="0.25">
      <c r="A48" s="122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25"/>
      <c r="I48" s="126"/>
      <c r="J48" s="1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3"/>
      <c r="B49" s="29" t="s">
        <v>68</v>
      </c>
      <c r="C49" s="33">
        <v>1</v>
      </c>
      <c r="D49" s="12">
        <f>C49*42</f>
        <v>42</v>
      </c>
      <c r="F49" s="128" t="s">
        <v>86</v>
      </c>
      <c r="G49" s="130">
        <f>H34+H35+H36+H37+H38+H39+H40+H41+G42+H44+H45+H46</f>
        <v>346817</v>
      </c>
      <c r="H49" s="131"/>
      <c r="I49" s="131"/>
      <c r="J49" s="13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3"/>
      <c r="B50" s="32" t="s">
        <v>70</v>
      </c>
      <c r="C50" s="11">
        <v>7</v>
      </c>
      <c r="D50" s="12">
        <f>C50*1.5</f>
        <v>10.5</v>
      </c>
      <c r="F50" s="129"/>
      <c r="G50" s="133"/>
      <c r="H50" s="134"/>
      <c r="I50" s="134"/>
      <c r="J50" s="135"/>
      <c r="O50" t="s">
        <v>144</v>
      </c>
      <c r="P50" s="4">
        <v>1204</v>
      </c>
      <c r="Q50" s="4"/>
      <c r="R50" s="5"/>
    </row>
    <row r="51" spans="1:18" ht="15" customHeight="1" x14ac:dyDescent="0.25">
      <c r="A51" s="123"/>
      <c r="B51" s="27"/>
      <c r="C51" s="10"/>
      <c r="D51" s="31"/>
      <c r="F51" s="136" t="s">
        <v>139</v>
      </c>
      <c r="G51" s="237">
        <f>G49-H29</f>
        <v>-506.75</v>
      </c>
      <c r="H51" s="238"/>
      <c r="I51" s="238"/>
      <c r="J51" s="2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3"/>
      <c r="B52" s="29"/>
      <c r="C52" s="33"/>
      <c r="D52" s="45"/>
      <c r="F52" s="137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8" t="s">
        <v>90</v>
      </c>
      <c r="B54" s="109"/>
      <c r="C54" s="110"/>
      <c r="D54" s="114">
        <f>SUM(D34:D53)</f>
        <v>68183.25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1"/>
      <c r="B55" s="112"/>
      <c r="C55" s="113"/>
      <c r="D55" s="1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6" t="s">
        <v>91</v>
      </c>
      <c r="B58" s="117"/>
      <c r="C58" s="117"/>
      <c r="D58" s="118"/>
      <c r="F58" s="116" t="s">
        <v>92</v>
      </c>
      <c r="G58" s="117"/>
      <c r="H58" s="117"/>
      <c r="I58" s="117"/>
      <c r="J58" s="118"/>
    </row>
    <row r="59" spans="1:18" x14ac:dyDescent="0.25">
      <c r="A59" s="119"/>
      <c r="B59" s="120"/>
      <c r="C59" s="120"/>
      <c r="D59" s="121"/>
      <c r="F59" s="119"/>
      <c r="G59" s="120"/>
      <c r="H59" s="120"/>
      <c r="I59" s="120"/>
      <c r="J59" s="12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200-CFCC-42CF-BDB1-79F1895BAFA4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4" t="s">
        <v>1</v>
      </c>
      <c r="O1" s="20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205" t="s">
        <v>8</v>
      </c>
      <c r="G4" s="207"/>
      <c r="H4" s="209" t="s">
        <v>9</v>
      </c>
      <c r="I4" s="211"/>
      <c r="J4" s="2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206"/>
      <c r="G5" s="208"/>
      <c r="H5" s="210"/>
      <c r="I5" s="213"/>
      <c r="J5" s="2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215" t="s">
        <v>16</v>
      </c>
      <c r="G6" s="217"/>
      <c r="H6" s="218"/>
      <c r="I6" s="218"/>
      <c r="J6" s="2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216"/>
      <c r="G7" s="220"/>
      <c r="H7" s="221"/>
      <c r="I7" s="221"/>
      <c r="J7" s="2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223" t="s">
        <v>21</v>
      </c>
      <c r="G8" s="224"/>
      <c r="H8" s="225"/>
      <c r="I8" s="225"/>
      <c r="J8" s="22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216"/>
      <c r="G9" s="227"/>
      <c r="H9" s="228"/>
      <c r="I9" s="228"/>
      <c r="J9" s="22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215" t="s">
        <v>26</v>
      </c>
      <c r="G10" s="230"/>
      <c r="H10" s="231"/>
      <c r="I10" s="231"/>
      <c r="J10" s="232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216"/>
      <c r="G11" s="227"/>
      <c r="H11" s="228"/>
      <c r="I11" s="228"/>
      <c r="J11" s="22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233" t="s">
        <v>33</v>
      </c>
      <c r="G12" s="234"/>
      <c r="H12" s="234"/>
      <c r="I12" s="234"/>
      <c r="J12" s="23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236" t="s">
        <v>36</v>
      </c>
      <c r="G13" s="20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94" t="s">
        <v>39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99" t="s">
        <v>40</v>
      </c>
      <c r="G15" s="200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1"/>
      <c r="I16" s="161"/>
      <c r="J16" s="16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45</v>
      </c>
      <c r="H17" s="172"/>
      <c r="I17" s="172"/>
      <c r="J17" s="17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47</v>
      </c>
      <c r="H18" s="172"/>
      <c r="I18" s="172"/>
      <c r="J18" s="17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50</v>
      </c>
      <c r="H19" s="173"/>
      <c r="I19" s="173"/>
      <c r="J19" s="1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120</v>
      </c>
      <c r="H20" s="161"/>
      <c r="I20" s="161"/>
      <c r="J20" s="16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7"/>
      <c r="G22" s="73"/>
      <c r="H22" s="177"/>
      <c r="I22" s="177"/>
      <c r="J22" s="17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8"/>
      <c r="G23" s="79"/>
      <c r="H23" s="178"/>
      <c r="I23" s="147"/>
      <c r="J23" s="14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178"/>
      <c r="I24" s="147"/>
      <c r="J24" s="14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93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08" t="s">
        <v>55</v>
      </c>
      <c r="G29" s="170"/>
      <c r="H29" s="130">
        <f>H15-H16-H17-H18-H19-H20-H22-H23-H24+H26+H27</f>
        <v>0</v>
      </c>
      <c r="I29" s="131"/>
      <c r="J29" s="13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11"/>
      <c r="G30" s="171"/>
      <c r="H30" s="133"/>
      <c r="I30" s="134"/>
      <c r="J30" s="13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58</v>
      </c>
      <c r="B32" s="156"/>
      <c r="C32" s="156"/>
      <c r="D32" s="157"/>
      <c r="F32" s="158" t="s">
        <v>59</v>
      </c>
      <c r="G32" s="159"/>
      <c r="H32" s="159"/>
      <c r="I32" s="159"/>
      <c r="J32" s="16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8" t="s">
        <v>13</v>
      </c>
      <c r="I33" s="159"/>
      <c r="J33" s="16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2"/>
      <c r="I34" s="153"/>
      <c r="J34" s="15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152"/>
      <c r="I35" s="153"/>
      <c r="J35" s="15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152"/>
      <c r="I36" s="153"/>
      <c r="J36" s="15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2"/>
      <c r="I37" s="153"/>
      <c r="J37" s="15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152"/>
      <c r="I38" s="153"/>
      <c r="J38" s="15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152"/>
      <c r="I39" s="153"/>
      <c r="J39" s="15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2"/>
      <c r="I40" s="153"/>
      <c r="J40" s="15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152"/>
      <c r="I41" s="153"/>
      <c r="J41" s="15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152"/>
      <c r="H42" s="153"/>
      <c r="I42" s="153"/>
      <c r="J42" s="15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2" t="s">
        <v>81</v>
      </c>
      <c r="C43" s="11"/>
      <c r="D43" s="12"/>
      <c r="F43" s="59" t="s">
        <v>82</v>
      </c>
      <c r="G43" s="90" t="s">
        <v>83</v>
      </c>
      <c r="H43" s="144" t="s">
        <v>13</v>
      </c>
      <c r="I43" s="145"/>
      <c r="J43" s="146"/>
      <c r="K43" s="21"/>
      <c r="P43" s="4"/>
      <c r="Q43" s="4"/>
      <c r="R43" s="5"/>
    </row>
    <row r="44" spans="1:18" ht="15.75" x14ac:dyDescent="0.25">
      <c r="A44" s="123"/>
      <c r="B44" s="27" t="s">
        <v>66</v>
      </c>
      <c r="C44" s="10"/>
      <c r="D44" s="12">
        <f>C44*120</f>
        <v>0</v>
      </c>
      <c r="F44" s="37"/>
      <c r="G44" s="76"/>
      <c r="H44" s="147"/>
      <c r="I44" s="147"/>
      <c r="J44" s="147"/>
      <c r="K44" s="21"/>
      <c r="P44" s="4"/>
      <c r="Q44" s="4"/>
      <c r="R44" s="5"/>
    </row>
    <row r="45" spans="1:18" ht="15.75" x14ac:dyDescent="0.25">
      <c r="A45" s="123"/>
      <c r="B45" s="27" t="s">
        <v>68</v>
      </c>
      <c r="C45" s="33"/>
      <c r="D45" s="12">
        <f>C45*84</f>
        <v>0</v>
      </c>
      <c r="F45" s="37"/>
      <c r="G45" s="76"/>
      <c r="H45" s="147"/>
      <c r="I45" s="147"/>
      <c r="J45" s="147"/>
      <c r="K45" s="21"/>
      <c r="P45" s="4"/>
      <c r="Q45" s="4"/>
      <c r="R45" s="5"/>
    </row>
    <row r="46" spans="1:18" ht="15.75" x14ac:dyDescent="0.25">
      <c r="A46" s="123"/>
      <c r="B46" s="49" t="s">
        <v>70</v>
      </c>
      <c r="C46" s="81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4"/>
      <c r="B47" s="27"/>
      <c r="C47" s="11"/>
      <c r="D47" s="12"/>
      <c r="F47" s="59"/>
      <c r="G47" s="59"/>
      <c r="H47" s="125"/>
      <c r="I47" s="126"/>
      <c r="J47" s="127"/>
      <c r="K47" s="21"/>
      <c r="P47" s="4"/>
      <c r="Q47" s="4"/>
      <c r="R47" s="5"/>
    </row>
    <row r="48" spans="1:18" ht="15" customHeight="1" x14ac:dyDescent="0.25">
      <c r="A48" s="122" t="s">
        <v>32</v>
      </c>
      <c r="B48" s="27" t="s">
        <v>66</v>
      </c>
      <c r="C48" s="10"/>
      <c r="D48" s="12">
        <f>C48*78</f>
        <v>0</v>
      </c>
      <c r="F48" s="59"/>
      <c r="G48" s="59"/>
      <c r="H48" s="125"/>
      <c r="I48" s="126"/>
      <c r="J48" s="1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3"/>
      <c r="B49" s="29" t="s">
        <v>68</v>
      </c>
      <c r="C49" s="33"/>
      <c r="D49" s="12">
        <f>C49*42</f>
        <v>0</v>
      </c>
      <c r="F49" s="128" t="s">
        <v>86</v>
      </c>
      <c r="G49" s="130">
        <f>H34+H35+H36+H37+H38+H39+H40+H41+G42+H44+H45+H46</f>
        <v>0</v>
      </c>
      <c r="H49" s="131"/>
      <c r="I49" s="131"/>
      <c r="J49" s="13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3"/>
      <c r="B50" s="32" t="s">
        <v>70</v>
      </c>
      <c r="C50" s="11"/>
      <c r="D50" s="12">
        <f>C50*1.5</f>
        <v>0</v>
      </c>
      <c r="F50" s="129"/>
      <c r="G50" s="133"/>
      <c r="H50" s="134"/>
      <c r="I50" s="134"/>
      <c r="J50" s="135"/>
      <c r="P50" s="4"/>
      <c r="Q50" s="4"/>
      <c r="R50" s="5"/>
    </row>
    <row r="51" spans="1:18" ht="15" customHeight="1" x14ac:dyDescent="0.25">
      <c r="A51" s="123"/>
      <c r="B51" s="27"/>
      <c r="C51" s="10"/>
      <c r="D51" s="31"/>
      <c r="F51" s="136" t="s">
        <v>128</v>
      </c>
      <c r="G51" s="138">
        <f>G49-H29</f>
        <v>0</v>
      </c>
      <c r="H51" s="139"/>
      <c r="I51" s="139"/>
      <c r="J51" s="1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3"/>
      <c r="B52" s="29"/>
      <c r="C52" s="33"/>
      <c r="D52" s="45"/>
      <c r="F52" s="137"/>
      <c r="G52" s="141"/>
      <c r="H52" s="142"/>
      <c r="I52" s="142"/>
      <c r="J52" s="1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8" t="s">
        <v>90</v>
      </c>
      <c r="B54" s="109"/>
      <c r="C54" s="110"/>
      <c r="D54" s="114">
        <f>SUM(D34:D53)</f>
        <v>0</v>
      </c>
      <c r="F54" s="21"/>
      <c r="J54" s="34"/>
    </row>
    <row r="55" spans="1:18" x14ac:dyDescent="0.25">
      <c r="A55" s="111"/>
      <c r="B55" s="112"/>
      <c r="C55" s="113"/>
      <c r="D55" s="1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6" t="s">
        <v>91</v>
      </c>
      <c r="B58" s="117"/>
      <c r="C58" s="117"/>
      <c r="D58" s="118"/>
      <c r="F58" s="116" t="s">
        <v>92</v>
      </c>
      <c r="G58" s="117"/>
      <c r="H58" s="117"/>
      <c r="I58" s="117"/>
      <c r="J58" s="118"/>
    </row>
    <row r="59" spans="1:18" x14ac:dyDescent="0.25">
      <c r="A59" s="119"/>
      <c r="B59" s="120"/>
      <c r="C59" s="120"/>
      <c r="D59" s="121"/>
      <c r="F59" s="119"/>
      <c r="G59" s="120"/>
      <c r="H59" s="120"/>
      <c r="I59" s="120"/>
      <c r="J59" s="12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8C2B7-E6D8-421C-A10E-78B57F50A6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4" t="s">
        <v>1</v>
      </c>
      <c r="O1" s="20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205" t="s">
        <v>8</v>
      </c>
      <c r="G4" s="207">
        <v>1</v>
      </c>
      <c r="H4" s="209" t="s">
        <v>9</v>
      </c>
      <c r="I4" s="211">
        <v>46027</v>
      </c>
      <c r="J4" s="2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206"/>
      <c r="G5" s="208"/>
      <c r="H5" s="210"/>
      <c r="I5" s="213"/>
      <c r="J5" s="2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84">
        <v>463</v>
      </c>
      <c r="D6" s="13">
        <f t="shared" ref="D6:D28" si="1">C6*L6</f>
        <v>352343</v>
      </c>
      <c r="F6" s="215" t="s">
        <v>16</v>
      </c>
      <c r="G6" s="217" t="s">
        <v>129</v>
      </c>
      <c r="H6" s="218"/>
      <c r="I6" s="218"/>
      <c r="J6" s="2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84">
        <v>7</v>
      </c>
      <c r="D7" s="13">
        <f t="shared" si="1"/>
        <v>5467</v>
      </c>
      <c r="F7" s="216"/>
      <c r="G7" s="220"/>
      <c r="H7" s="221"/>
      <c r="I7" s="221"/>
      <c r="J7" s="2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84">
        <v>2</v>
      </c>
      <c r="D8" s="13">
        <f t="shared" si="1"/>
        <v>2186</v>
      </c>
      <c r="F8" s="223" t="s">
        <v>21</v>
      </c>
      <c r="G8" s="224" t="s">
        <v>112</v>
      </c>
      <c r="H8" s="225"/>
      <c r="I8" s="225"/>
      <c r="J8" s="2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84">
        <f>120-5</f>
        <v>115</v>
      </c>
      <c r="D9" s="13">
        <f t="shared" si="1"/>
        <v>84295</v>
      </c>
      <c r="F9" s="216"/>
      <c r="G9" s="227"/>
      <c r="H9" s="228"/>
      <c r="I9" s="228"/>
      <c r="J9" s="2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84">
        <v>2</v>
      </c>
      <c r="D10" s="13">
        <f t="shared" si="1"/>
        <v>2064</v>
      </c>
      <c r="F10" s="215" t="s">
        <v>26</v>
      </c>
      <c r="G10" s="230" t="s">
        <v>130</v>
      </c>
      <c r="H10" s="231"/>
      <c r="I10" s="231"/>
      <c r="J10" s="232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84">
        <v>2</v>
      </c>
      <c r="D11" s="13">
        <f t="shared" si="1"/>
        <v>2340</v>
      </c>
      <c r="F11" s="216"/>
      <c r="G11" s="227"/>
      <c r="H11" s="228"/>
      <c r="I11" s="228"/>
      <c r="J11" s="2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84">
        <v>2</v>
      </c>
      <c r="D12" s="48">
        <f t="shared" si="1"/>
        <v>1984</v>
      </c>
      <c r="F12" s="233" t="s">
        <v>33</v>
      </c>
      <c r="G12" s="234"/>
      <c r="H12" s="234"/>
      <c r="I12" s="234"/>
      <c r="J12" s="2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84">
        <v>24</v>
      </c>
      <c r="D13" s="48">
        <f t="shared" si="1"/>
        <v>7368</v>
      </c>
      <c r="F13" s="236" t="s">
        <v>36</v>
      </c>
      <c r="G13" s="200"/>
      <c r="H13" s="191">
        <f>D29</f>
        <v>463474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84">
        <v>12</v>
      </c>
      <c r="D14" s="31">
        <f t="shared" si="1"/>
        <v>132</v>
      </c>
      <c r="F14" s="194" t="s">
        <v>39</v>
      </c>
      <c r="G14" s="195"/>
      <c r="H14" s="196">
        <f>D54</f>
        <v>115968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84"/>
      <c r="D15" s="31">
        <f t="shared" si="1"/>
        <v>0</v>
      </c>
      <c r="F15" s="199" t="s">
        <v>40</v>
      </c>
      <c r="G15" s="200"/>
      <c r="H15" s="201">
        <f>H13-H14</f>
        <v>347506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1">
        <f>2592</f>
        <v>2592</v>
      </c>
      <c r="I16" s="161"/>
      <c r="J16" s="16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137</v>
      </c>
      <c r="C17" s="84"/>
      <c r="D17" s="48">
        <f t="shared" si="1"/>
        <v>0</v>
      </c>
      <c r="F17" s="56"/>
      <c r="G17" s="66" t="s">
        <v>45</v>
      </c>
      <c r="H17" s="172"/>
      <c r="I17" s="172"/>
      <c r="J17" s="17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72"/>
      <c r="I18" s="172"/>
      <c r="J18" s="17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v>1102</v>
      </c>
      <c r="Q19" s="4"/>
      <c r="R19" s="5">
        <f t="shared" si="0"/>
        <v>0</v>
      </c>
    </row>
    <row r="20" spans="1:18" ht="15.75" x14ac:dyDescent="0.25">
      <c r="A20" s="15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127</v>
      </c>
      <c r="C22" s="84"/>
      <c r="D22" s="48">
        <f t="shared" si="1"/>
        <v>0</v>
      </c>
      <c r="F22" s="77" t="s">
        <v>159</v>
      </c>
      <c r="G22" s="73">
        <v>8315</v>
      </c>
      <c r="H22" s="177">
        <v>92560</v>
      </c>
      <c r="I22" s="177"/>
      <c r="J22" s="17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136</v>
      </c>
      <c r="C26" s="84"/>
      <c r="D26" s="48">
        <f t="shared" si="1"/>
        <v>0</v>
      </c>
      <c r="F26" s="75" t="s">
        <v>159</v>
      </c>
      <c r="G26" s="65">
        <v>8042</v>
      </c>
      <c r="H26" s="147">
        <v>84449</v>
      </c>
      <c r="I26" s="147"/>
      <c r="J26" s="14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110</v>
      </c>
      <c r="C27" s="84"/>
      <c r="D27" s="44">
        <f t="shared" si="1"/>
        <v>0</v>
      </c>
      <c r="F27" s="71"/>
      <c r="G27" s="90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84">
        <v>5</v>
      </c>
      <c r="D28" s="48">
        <f t="shared" si="1"/>
        <v>4055</v>
      </c>
      <c r="F28" s="93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463474</v>
      </c>
      <c r="F29" s="108" t="s">
        <v>55</v>
      </c>
      <c r="G29" s="170"/>
      <c r="H29" s="130">
        <f>H15-H16-H17-H18-H19-H20-H22-H23-H24+H26+H27+H28</f>
        <v>336803</v>
      </c>
      <c r="I29" s="131"/>
      <c r="J29" s="13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11"/>
      <c r="G30" s="171"/>
      <c r="H30" s="133"/>
      <c r="I30" s="134"/>
      <c r="J30" s="13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58</v>
      </c>
      <c r="B32" s="156"/>
      <c r="C32" s="156"/>
      <c r="D32" s="157"/>
      <c r="F32" s="158" t="s">
        <v>59</v>
      </c>
      <c r="G32" s="159"/>
      <c r="H32" s="159"/>
      <c r="I32" s="159"/>
      <c r="J32" s="16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8" t="s">
        <v>13</v>
      </c>
      <c r="I33" s="159"/>
      <c r="J33" s="16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19</v>
      </c>
      <c r="H34" s="152">
        <f t="shared" ref="H34:H39" si="2">F34*G34</f>
        <v>19000</v>
      </c>
      <c r="I34" s="153"/>
      <c r="J34" s="15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152">
        <f t="shared" si="2"/>
        <v>500</v>
      </c>
      <c r="I35" s="153"/>
      <c r="J35" s="15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>
        <v>11</v>
      </c>
      <c r="D36" s="12">
        <f>C36*1.5</f>
        <v>16.5</v>
      </c>
      <c r="F36" s="12">
        <v>200</v>
      </c>
      <c r="G36" s="37"/>
      <c r="H36" s="152">
        <f t="shared" si="2"/>
        <v>0</v>
      </c>
      <c r="I36" s="153"/>
      <c r="J36" s="15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1013</v>
      </c>
      <c r="D37" s="12">
        <f>C37*111</f>
        <v>112443</v>
      </c>
      <c r="F37" s="12">
        <v>100</v>
      </c>
      <c r="G37" s="39">
        <v>3</v>
      </c>
      <c r="H37" s="152">
        <f t="shared" si="2"/>
        <v>300</v>
      </c>
      <c r="I37" s="153"/>
      <c r="J37" s="15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152">
        <f t="shared" si="2"/>
        <v>100</v>
      </c>
      <c r="I38" s="153"/>
      <c r="J38" s="15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2">
        <f t="shared" si="2"/>
        <v>0</v>
      </c>
      <c r="I39" s="153"/>
      <c r="J39" s="15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2"/>
      <c r="I40" s="153"/>
      <c r="J40" s="15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152"/>
      <c r="I41" s="153"/>
      <c r="J41" s="15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152">
        <v>8</v>
      </c>
      <c r="H42" s="153"/>
      <c r="I42" s="153"/>
      <c r="J42" s="15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2" t="s">
        <v>81</v>
      </c>
      <c r="C43" s="11"/>
      <c r="D43" s="12"/>
      <c r="F43" s="59" t="s">
        <v>82</v>
      </c>
      <c r="G43" s="90" t="s">
        <v>83</v>
      </c>
      <c r="H43" s="144" t="s">
        <v>13</v>
      </c>
      <c r="I43" s="145"/>
      <c r="J43" s="14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3"/>
      <c r="B44" s="27" t="s">
        <v>66</v>
      </c>
      <c r="C44" s="10">
        <v>5</v>
      </c>
      <c r="D44" s="12">
        <f>C44*120</f>
        <v>600</v>
      </c>
      <c r="F44" s="37" t="s">
        <v>147</v>
      </c>
      <c r="G44" s="62" t="s">
        <v>157</v>
      </c>
      <c r="H44" s="147">
        <v>188388</v>
      </c>
      <c r="I44" s="147"/>
      <c r="J44" s="14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3"/>
      <c r="B45" s="27" t="s">
        <v>68</v>
      </c>
      <c r="C45" s="33">
        <v>4</v>
      </c>
      <c r="D45" s="12">
        <f>C45*84</f>
        <v>336</v>
      </c>
      <c r="F45" s="37" t="s">
        <v>156</v>
      </c>
      <c r="G45" s="96" t="s">
        <v>158</v>
      </c>
      <c r="H45" s="147">
        <v>84449</v>
      </c>
      <c r="I45" s="147"/>
      <c r="J45" s="147"/>
      <c r="K45" s="21"/>
      <c r="P45" s="4"/>
      <c r="Q45" s="4"/>
      <c r="R45" s="5"/>
    </row>
    <row r="46" spans="1:18" ht="15.75" x14ac:dyDescent="0.25">
      <c r="A46" s="123"/>
      <c r="B46" s="49" t="s">
        <v>70</v>
      </c>
      <c r="C46" s="81">
        <v>21</v>
      </c>
      <c r="D46" s="12">
        <f>C46*1.5</f>
        <v>31.5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4"/>
      <c r="B47" s="27"/>
      <c r="C47" s="11"/>
      <c r="D47" s="12"/>
      <c r="F47" s="59"/>
      <c r="G47" s="59"/>
      <c r="H47" s="125"/>
      <c r="I47" s="126"/>
      <c r="J47" s="127"/>
      <c r="K47" s="21"/>
      <c r="P47" s="4"/>
      <c r="Q47" s="4"/>
      <c r="R47" s="5"/>
    </row>
    <row r="48" spans="1:18" ht="15" customHeight="1" x14ac:dyDescent="0.25">
      <c r="A48" s="12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25"/>
      <c r="I48" s="126"/>
      <c r="J48" s="1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3"/>
      <c r="B49" s="29" t="s">
        <v>68</v>
      </c>
      <c r="C49" s="33">
        <v>1</v>
      </c>
      <c r="D49" s="12">
        <f>C49*42</f>
        <v>42</v>
      </c>
      <c r="F49" s="128" t="s">
        <v>86</v>
      </c>
      <c r="G49" s="130">
        <f>H34+H35+H36+H37+H38+H39+H40+H41+G42+H44+H45+H46</f>
        <v>292745</v>
      </c>
      <c r="H49" s="131"/>
      <c r="I49" s="131"/>
      <c r="J49" s="13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3"/>
      <c r="B50" s="32" t="s">
        <v>70</v>
      </c>
      <c r="C50" s="11">
        <v>22</v>
      </c>
      <c r="D50" s="12">
        <f>C50*1.5</f>
        <v>33</v>
      </c>
      <c r="F50" s="129"/>
      <c r="G50" s="133"/>
      <c r="H50" s="134"/>
      <c r="I50" s="134"/>
      <c r="J50" s="135"/>
      <c r="O50" t="s">
        <v>144</v>
      </c>
      <c r="P50" s="4">
        <v>1204</v>
      </c>
      <c r="Q50" s="4"/>
      <c r="R50" s="5"/>
    </row>
    <row r="51" spans="1:18" ht="15" customHeight="1" x14ac:dyDescent="0.25">
      <c r="A51" s="123"/>
      <c r="B51" s="27"/>
      <c r="C51" s="10"/>
      <c r="D51" s="31"/>
      <c r="F51" s="136" t="s">
        <v>131</v>
      </c>
      <c r="G51" s="237">
        <f>G49-H29</f>
        <v>-44058</v>
      </c>
      <c r="H51" s="238"/>
      <c r="I51" s="238"/>
      <c r="J51" s="2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3"/>
      <c r="B52" s="29"/>
      <c r="C52" s="33"/>
      <c r="D52" s="45"/>
      <c r="F52" s="137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8" t="s">
        <v>90</v>
      </c>
      <c r="B54" s="109"/>
      <c r="C54" s="110"/>
      <c r="D54" s="114">
        <f>SUM(D34:D53)</f>
        <v>115968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1"/>
      <c r="B55" s="112"/>
      <c r="C55" s="113"/>
      <c r="D55" s="1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16" t="s">
        <v>91</v>
      </c>
      <c r="B58" s="117"/>
      <c r="C58" s="117"/>
      <c r="D58" s="118"/>
      <c r="F58" s="116" t="s">
        <v>92</v>
      </c>
      <c r="G58" s="117"/>
      <c r="H58" s="117"/>
      <c r="I58" s="117"/>
      <c r="J58" s="118"/>
    </row>
    <row r="59" spans="1:18" x14ac:dyDescent="0.25">
      <c r="A59" s="119"/>
      <c r="B59" s="120"/>
      <c r="C59" s="120"/>
      <c r="D59" s="121"/>
      <c r="F59" s="119"/>
      <c r="G59" s="120"/>
      <c r="H59" s="120"/>
      <c r="I59" s="120"/>
      <c r="J59" s="12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4E513-35E2-436E-AD64-FF7682C2A9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4" t="s">
        <v>1</v>
      </c>
      <c r="O1" s="20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205" t="s">
        <v>8</v>
      </c>
      <c r="G4" s="207">
        <v>2</v>
      </c>
      <c r="H4" s="209" t="s">
        <v>9</v>
      </c>
      <c r="I4" s="211">
        <v>46027</v>
      </c>
      <c r="J4" s="2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206"/>
      <c r="G5" s="208"/>
      <c r="H5" s="210"/>
      <c r="I5" s="213"/>
      <c r="J5" s="2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501</v>
      </c>
      <c r="D6" s="13">
        <f t="shared" ref="D6:D28" si="1">C6*L6</f>
        <v>381261</v>
      </c>
      <c r="F6" s="215" t="s">
        <v>16</v>
      </c>
      <c r="G6" s="217" t="s">
        <v>155</v>
      </c>
      <c r="H6" s="218"/>
      <c r="I6" s="218"/>
      <c r="J6" s="2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/>
      <c r="D7" s="13">
        <f t="shared" si="1"/>
        <v>0</v>
      </c>
      <c r="F7" s="216"/>
      <c r="G7" s="220"/>
      <c r="H7" s="221"/>
      <c r="I7" s="221"/>
      <c r="J7" s="2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223" t="s">
        <v>21</v>
      </c>
      <c r="G8" s="224" t="s">
        <v>114</v>
      </c>
      <c r="H8" s="225"/>
      <c r="I8" s="225"/>
      <c r="J8" s="2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8</v>
      </c>
      <c r="D9" s="13">
        <f t="shared" si="1"/>
        <v>5864</v>
      </c>
      <c r="F9" s="216"/>
      <c r="G9" s="227"/>
      <c r="H9" s="228"/>
      <c r="I9" s="228"/>
      <c r="J9" s="2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215" t="s">
        <v>26</v>
      </c>
      <c r="G10" s="230" t="s">
        <v>115</v>
      </c>
      <c r="H10" s="231"/>
      <c r="I10" s="231"/>
      <c r="J10" s="232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216"/>
      <c r="G11" s="227"/>
      <c r="H11" s="228"/>
      <c r="I11" s="228"/>
      <c r="J11" s="2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233" t="s">
        <v>33</v>
      </c>
      <c r="G12" s="234"/>
      <c r="H12" s="234"/>
      <c r="I12" s="234"/>
      <c r="J12" s="2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18</v>
      </c>
      <c r="D13" s="48">
        <f t="shared" si="1"/>
        <v>5526</v>
      </c>
      <c r="F13" s="236" t="s">
        <v>36</v>
      </c>
      <c r="G13" s="200"/>
      <c r="H13" s="191">
        <f>D29</f>
        <v>392761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10</v>
      </c>
      <c r="D14" s="31">
        <f t="shared" si="1"/>
        <v>110</v>
      </c>
      <c r="F14" s="194" t="s">
        <v>39</v>
      </c>
      <c r="G14" s="195"/>
      <c r="H14" s="196">
        <f>D54</f>
        <v>57342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99" t="s">
        <v>40</v>
      </c>
      <c r="G15" s="200"/>
      <c r="H15" s="201">
        <f>H13-H14</f>
        <v>335419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1">
        <f>1296+1284</f>
        <v>2580</v>
      </c>
      <c r="I16" s="161"/>
      <c r="J16" s="16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93</v>
      </c>
      <c r="C17" s="10"/>
      <c r="D17" s="48">
        <f t="shared" si="1"/>
        <v>0</v>
      </c>
      <c r="F17" s="56"/>
      <c r="G17" s="66" t="s">
        <v>45</v>
      </c>
      <c r="H17" s="172"/>
      <c r="I17" s="172"/>
      <c r="J17" s="17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2"/>
      <c r="I18" s="172"/>
      <c r="J18" s="17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7"/>
      <c r="I19" s="247"/>
      <c r="J19" s="24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2"/>
      <c r="G22" s="73"/>
      <c r="H22" s="177"/>
      <c r="I22" s="177"/>
      <c r="J22" s="17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25"/>
      <c r="G23" s="37"/>
      <c r="H23" s="178"/>
      <c r="I23" s="147"/>
      <c r="J23" s="14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123</v>
      </c>
      <c r="C24" s="10"/>
      <c r="D24" s="48">
        <f t="shared" si="1"/>
        <v>0</v>
      </c>
      <c r="F24" s="38"/>
      <c r="G24" s="37"/>
      <c r="H24" s="178"/>
      <c r="I24" s="147"/>
      <c r="J24" s="14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93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392761</v>
      </c>
      <c r="F29" s="108" t="s">
        <v>55</v>
      </c>
      <c r="G29" s="170"/>
      <c r="H29" s="130">
        <f>H15-H16-H17-H18-H19-H20-H22-H23-H24+H26+H27</f>
        <v>332839</v>
      </c>
      <c r="I29" s="131"/>
      <c r="J29" s="13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11"/>
      <c r="G30" s="171"/>
      <c r="H30" s="133"/>
      <c r="I30" s="134"/>
      <c r="J30" s="13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58</v>
      </c>
      <c r="B32" s="156"/>
      <c r="C32" s="156"/>
      <c r="D32" s="157"/>
      <c r="F32" s="158" t="s">
        <v>59</v>
      </c>
      <c r="G32" s="159"/>
      <c r="H32" s="159"/>
      <c r="I32" s="159"/>
      <c r="J32" s="16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8" t="s">
        <v>13</v>
      </c>
      <c r="I33" s="159"/>
      <c r="J33" s="16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186</v>
      </c>
      <c r="H34" s="152">
        <f>F34*G34</f>
        <v>186000</v>
      </c>
      <c r="I34" s="153"/>
      <c r="J34" s="15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52">
        <f t="shared" ref="H35:H39" si="2">F35*G35</f>
        <v>6500</v>
      </c>
      <c r="I35" s="153"/>
      <c r="J35" s="15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152">
        <f>F36*G36</f>
        <v>0</v>
      </c>
      <c r="I36" s="153"/>
      <c r="J36" s="15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3</v>
      </c>
      <c r="H37" s="152">
        <f t="shared" si="2"/>
        <v>300</v>
      </c>
      <c r="I37" s="153"/>
      <c r="J37" s="15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52">
        <f t="shared" si="2"/>
        <v>50</v>
      </c>
      <c r="I38" s="153"/>
      <c r="J38" s="15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152">
        <f t="shared" si="2"/>
        <v>0</v>
      </c>
      <c r="I39" s="153"/>
      <c r="J39" s="15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2"/>
      <c r="I40" s="153"/>
      <c r="J40" s="15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152"/>
      <c r="I41" s="153"/>
      <c r="J41" s="15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152">
        <v>32</v>
      </c>
      <c r="H42" s="153"/>
      <c r="I42" s="153"/>
      <c r="J42" s="15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2" t="s">
        <v>81</v>
      </c>
      <c r="C43" s="11"/>
      <c r="D43" s="12"/>
      <c r="F43" s="59" t="s">
        <v>82</v>
      </c>
      <c r="G43" s="90" t="s">
        <v>83</v>
      </c>
      <c r="H43" s="144" t="s">
        <v>13</v>
      </c>
      <c r="I43" s="145"/>
      <c r="J43" s="14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3"/>
      <c r="B44" s="27" t="s">
        <v>66</v>
      </c>
      <c r="C44" s="10"/>
      <c r="D44" s="12">
        <f>C44*120</f>
        <v>0</v>
      </c>
      <c r="F44" s="37" t="s">
        <v>147</v>
      </c>
      <c r="G44" s="62" t="s">
        <v>160</v>
      </c>
      <c r="H44" s="147">
        <v>139756</v>
      </c>
      <c r="I44" s="147"/>
      <c r="J44" s="14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3"/>
      <c r="B45" s="27" t="s">
        <v>68</v>
      </c>
      <c r="C45" s="33"/>
      <c r="D45" s="12">
        <f>C45*84</f>
        <v>0</v>
      </c>
      <c r="F45" s="37"/>
      <c r="G45" s="62"/>
      <c r="H45" s="147"/>
      <c r="I45" s="147"/>
      <c r="J45" s="147"/>
      <c r="K45" s="21"/>
      <c r="P45" s="4"/>
      <c r="Q45" s="4"/>
      <c r="R45" s="5"/>
    </row>
    <row r="46" spans="1:18" ht="15.75" x14ac:dyDescent="0.25">
      <c r="A46" s="123"/>
      <c r="B46" s="49" t="s">
        <v>70</v>
      </c>
      <c r="C46" s="81"/>
      <c r="D46" s="12">
        <f>C46*1.5</f>
        <v>0</v>
      </c>
      <c r="F46" s="37"/>
      <c r="G46" s="91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4"/>
      <c r="B47" s="27"/>
      <c r="C47" s="11"/>
      <c r="D47" s="12"/>
      <c r="F47" s="59"/>
      <c r="G47" s="59"/>
      <c r="H47" s="125"/>
      <c r="I47" s="126"/>
      <c r="J47" s="127"/>
      <c r="K47" s="21"/>
      <c r="P47" s="4"/>
      <c r="Q47" s="4"/>
      <c r="R47" s="5"/>
    </row>
    <row r="48" spans="1:18" ht="15" customHeight="1" x14ac:dyDescent="0.25">
      <c r="A48" s="122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25"/>
      <c r="I48" s="126"/>
      <c r="J48" s="1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3"/>
      <c r="B49" s="29" t="s">
        <v>68</v>
      </c>
      <c r="C49" s="33">
        <v>6</v>
      </c>
      <c r="D49" s="12">
        <f>C49*42</f>
        <v>252</v>
      </c>
      <c r="F49" s="128" t="s">
        <v>86</v>
      </c>
      <c r="G49" s="130">
        <f>H34+H35+H36+H37+H38+H39+H40+H41+G42+H44+H45+H46</f>
        <v>332638</v>
      </c>
      <c r="H49" s="131"/>
      <c r="I49" s="131"/>
      <c r="J49" s="13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3"/>
      <c r="B50" s="32" t="s">
        <v>70</v>
      </c>
      <c r="C50" s="11">
        <v>30</v>
      </c>
      <c r="D50" s="12">
        <f>C50*1.5</f>
        <v>45</v>
      </c>
      <c r="F50" s="129"/>
      <c r="G50" s="133"/>
      <c r="H50" s="134"/>
      <c r="I50" s="134"/>
      <c r="J50" s="135"/>
      <c r="O50" t="s">
        <v>144</v>
      </c>
      <c r="P50" s="4">
        <v>1204</v>
      </c>
      <c r="Q50" s="4"/>
      <c r="R50" s="5"/>
    </row>
    <row r="51" spans="1:18" ht="15" customHeight="1" x14ac:dyDescent="0.25">
      <c r="A51" s="123"/>
      <c r="B51" s="27"/>
      <c r="C51" s="10"/>
      <c r="D51" s="31"/>
      <c r="F51" s="136" t="s">
        <v>161</v>
      </c>
      <c r="G51" s="237">
        <f>G49-H29</f>
        <v>-201</v>
      </c>
      <c r="H51" s="238"/>
      <c r="I51" s="238"/>
      <c r="J51" s="2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3"/>
      <c r="B52" s="29"/>
      <c r="C52" s="33"/>
      <c r="D52" s="45"/>
      <c r="F52" s="137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8" t="s">
        <v>90</v>
      </c>
      <c r="B54" s="109"/>
      <c r="C54" s="110"/>
      <c r="D54" s="114">
        <f>SUM(D34:D53)</f>
        <v>57342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1"/>
      <c r="B55" s="112"/>
      <c r="C55" s="113"/>
      <c r="D55" s="1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16" t="s">
        <v>91</v>
      </c>
      <c r="B58" s="117"/>
      <c r="C58" s="117"/>
      <c r="D58" s="118"/>
      <c r="F58" s="116" t="s">
        <v>92</v>
      </c>
      <c r="G58" s="117"/>
      <c r="H58" s="117"/>
      <c r="I58" s="117"/>
      <c r="J58" s="118"/>
    </row>
    <row r="59" spans="1:18" x14ac:dyDescent="0.25">
      <c r="A59" s="119"/>
      <c r="B59" s="120"/>
      <c r="C59" s="120"/>
      <c r="D59" s="121"/>
      <c r="F59" s="119"/>
      <c r="G59" s="120"/>
      <c r="H59" s="120"/>
      <c r="I59" s="120"/>
      <c r="J59" s="12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C99D-FE27-483E-A38C-5058B5372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4" t="s">
        <v>1</v>
      </c>
      <c r="O1" s="20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205" t="s">
        <v>8</v>
      </c>
      <c r="G4" s="207">
        <v>3</v>
      </c>
      <c r="H4" s="209" t="s">
        <v>9</v>
      </c>
      <c r="I4" s="211">
        <v>46027</v>
      </c>
      <c r="J4" s="2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206"/>
      <c r="G5" s="208"/>
      <c r="H5" s="210"/>
      <c r="I5" s="213"/>
      <c r="J5" s="2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735</v>
      </c>
      <c r="D6" s="13">
        <f t="shared" ref="D6:D28" si="1">C6*L6</f>
        <v>559335</v>
      </c>
      <c r="F6" s="215" t="s">
        <v>16</v>
      </c>
      <c r="G6" s="217" t="s">
        <v>111</v>
      </c>
      <c r="H6" s="218"/>
      <c r="I6" s="218"/>
      <c r="J6" s="2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4</v>
      </c>
      <c r="D7" s="13">
        <f t="shared" si="1"/>
        <v>3124</v>
      </c>
      <c r="F7" s="216"/>
      <c r="G7" s="220"/>
      <c r="H7" s="221"/>
      <c r="I7" s="221"/>
      <c r="J7" s="2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>
        <v>1</v>
      </c>
      <c r="D8" s="13">
        <f t="shared" si="1"/>
        <v>1093</v>
      </c>
      <c r="F8" s="223" t="s">
        <v>21</v>
      </c>
      <c r="G8" s="224" t="s">
        <v>119</v>
      </c>
      <c r="H8" s="225"/>
      <c r="I8" s="225"/>
      <c r="J8" s="2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114</v>
      </c>
      <c r="D9" s="13">
        <f t="shared" si="1"/>
        <v>83562</v>
      </c>
      <c r="F9" s="216"/>
      <c r="G9" s="227"/>
      <c r="H9" s="228"/>
      <c r="I9" s="228"/>
      <c r="J9" s="2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>
        <v>3</v>
      </c>
      <c r="D10" s="13">
        <f t="shared" si="1"/>
        <v>3096</v>
      </c>
      <c r="F10" s="215" t="s">
        <v>26</v>
      </c>
      <c r="G10" s="230" t="s">
        <v>134</v>
      </c>
      <c r="H10" s="231"/>
      <c r="I10" s="231"/>
      <c r="J10" s="232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>
        <v>2</v>
      </c>
      <c r="D11" s="13">
        <f t="shared" si="1"/>
        <v>2340</v>
      </c>
      <c r="F11" s="216"/>
      <c r="G11" s="227"/>
      <c r="H11" s="228"/>
      <c r="I11" s="228"/>
      <c r="J11" s="2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f>5+1</f>
        <v>6</v>
      </c>
      <c r="D12" s="48">
        <f t="shared" si="1"/>
        <v>5952</v>
      </c>
      <c r="F12" s="233" t="s">
        <v>33</v>
      </c>
      <c r="G12" s="234"/>
      <c r="H12" s="234"/>
      <c r="I12" s="234"/>
      <c r="J12" s="2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22</v>
      </c>
      <c r="D13" s="48">
        <f t="shared" si="1"/>
        <v>6754</v>
      </c>
      <c r="F13" s="236" t="s">
        <v>36</v>
      </c>
      <c r="G13" s="200"/>
      <c r="H13" s="191">
        <f>D29</f>
        <v>667630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12</v>
      </c>
      <c r="D14" s="31">
        <f t="shared" si="1"/>
        <v>132</v>
      </c>
      <c r="F14" s="194" t="s">
        <v>39</v>
      </c>
      <c r="G14" s="195"/>
      <c r="H14" s="196">
        <f>D54</f>
        <v>100451.25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99" t="s">
        <v>40</v>
      </c>
      <c r="G15" s="200"/>
      <c r="H15" s="201">
        <f>H13-H14</f>
        <v>567178.75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1">
        <f>600+1050+456</f>
        <v>2106</v>
      </c>
      <c r="I16" s="161"/>
      <c r="J16" s="16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113</v>
      </c>
      <c r="C17" s="10"/>
      <c r="D17" s="48">
        <f t="shared" si="1"/>
        <v>0</v>
      </c>
      <c r="F17" s="56"/>
      <c r="G17" s="66" t="s">
        <v>45</v>
      </c>
      <c r="H17" s="172"/>
      <c r="I17" s="172"/>
      <c r="J17" s="17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72"/>
      <c r="I18" s="172"/>
      <c r="J18" s="17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8">
        <v>50</v>
      </c>
      <c r="I19" s="248"/>
      <c r="J19" s="24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1"/>
      <c r="I20" s="161"/>
      <c r="J20" s="16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7"/>
      <c r="G22" s="73"/>
      <c r="H22" s="177"/>
      <c r="I22" s="177"/>
      <c r="J22" s="17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78"/>
      <c r="G23" s="79"/>
      <c r="H23" s="178"/>
      <c r="I23" s="147"/>
      <c r="J23" s="14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101</v>
      </c>
      <c r="C24" s="10"/>
      <c r="D24" s="48">
        <f t="shared" si="1"/>
        <v>0</v>
      </c>
      <c r="F24" s="38"/>
      <c r="G24" s="37"/>
      <c r="H24" s="178"/>
      <c r="I24" s="147"/>
      <c r="J24" s="14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>
        <v>2</v>
      </c>
      <c r="D28" s="48">
        <f t="shared" si="1"/>
        <v>1622</v>
      </c>
      <c r="F28" s="93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667630</v>
      </c>
      <c r="F29" s="108" t="s">
        <v>55</v>
      </c>
      <c r="G29" s="170"/>
      <c r="H29" s="130">
        <f>H15-H16-H17-H18-H19-H20-H22-H23-H24+H26+H27</f>
        <v>565022.75</v>
      </c>
      <c r="I29" s="131"/>
      <c r="J29" s="13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11"/>
      <c r="G30" s="171"/>
      <c r="H30" s="133"/>
      <c r="I30" s="134"/>
      <c r="J30" s="13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58</v>
      </c>
      <c r="B32" s="156"/>
      <c r="C32" s="156"/>
      <c r="D32" s="157"/>
      <c r="F32" s="158" t="s">
        <v>59</v>
      </c>
      <c r="G32" s="159"/>
      <c r="H32" s="159"/>
      <c r="I32" s="159"/>
      <c r="J32" s="16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8" t="s">
        <v>13</v>
      </c>
      <c r="I33" s="159"/>
      <c r="J33" s="16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242</v>
      </c>
      <c r="H34" s="152">
        <f>F34*G34</f>
        <v>242000</v>
      </c>
      <c r="I34" s="153"/>
      <c r="J34" s="15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135</v>
      </c>
      <c r="H35" s="152">
        <f>F35*G35</f>
        <v>67500</v>
      </c>
      <c r="I35" s="153"/>
      <c r="J35" s="15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52">
        <f t="shared" ref="H36:H39" si="2">F36*G36</f>
        <v>0</v>
      </c>
      <c r="I36" s="153"/>
      <c r="J36" s="15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853</v>
      </c>
      <c r="D37" s="12">
        <f>C37*111</f>
        <v>94683</v>
      </c>
      <c r="F37" s="12">
        <v>100</v>
      </c>
      <c r="G37" s="39">
        <v>10</v>
      </c>
      <c r="H37" s="152">
        <f t="shared" si="2"/>
        <v>1000</v>
      </c>
      <c r="I37" s="153"/>
      <c r="J37" s="15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152">
        <f t="shared" si="2"/>
        <v>50</v>
      </c>
      <c r="I38" s="153"/>
      <c r="J38" s="15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2">
        <f t="shared" si="2"/>
        <v>0</v>
      </c>
      <c r="I39" s="153"/>
      <c r="J39" s="15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52"/>
      <c r="I40" s="153"/>
      <c r="J40" s="15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152"/>
      <c r="I41" s="153"/>
      <c r="J41" s="15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2">
        <v>58</v>
      </c>
      <c r="H42" s="153"/>
      <c r="I42" s="153"/>
      <c r="J42" s="15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2" t="s">
        <v>81</v>
      </c>
      <c r="C43" s="11"/>
      <c r="D43" s="12"/>
      <c r="F43" s="59" t="s">
        <v>82</v>
      </c>
      <c r="G43" s="90" t="s">
        <v>83</v>
      </c>
      <c r="H43" s="144" t="s">
        <v>13</v>
      </c>
      <c r="I43" s="145"/>
      <c r="J43" s="14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3"/>
      <c r="B44" s="27" t="s">
        <v>66</v>
      </c>
      <c r="C44" s="10">
        <v>8</v>
      </c>
      <c r="D44" s="12">
        <f>C44*120</f>
        <v>960</v>
      </c>
      <c r="F44" s="37" t="s">
        <v>147</v>
      </c>
      <c r="G44" s="76" t="s">
        <v>163</v>
      </c>
      <c r="H44" s="147">
        <v>112763</v>
      </c>
      <c r="I44" s="147"/>
      <c r="J44" s="14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3"/>
      <c r="B45" s="27" t="s">
        <v>68</v>
      </c>
      <c r="C45" s="33">
        <v>3</v>
      </c>
      <c r="D45" s="12">
        <f>C45*84</f>
        <v>252</v>
      </c>
      <c r="F45" s="97" t="s">
        <v>162</v>
      </c>
      <c r="G45" s="76" t="s">
        <v>164</v>
      </c>
      <c r="H45" s="147">
        <v>142785</v>
      </c>
      <c r="I45" s="147"/>
      <c r="J45" s="147"/>
      <c r="K45" s="21"/>
      <c r="P45" s="4"/>
      <c r="Q45" s="4"/>
      <c r="R45" s="5"/>
    </row>
    <row r="46" spans="1:18" ht="15.75" x14ac:dyDescent="0.25">
      <c r="A46" s="123"/>
      <c r="B46" s="49" t="s">
        <v>70</v>
      </c>
      <c r="C46" s="81">
        <v>4</v>
      </c>
      <c r="D46" s="12">
        <f>C46*1.5</f>
        <v>6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4"/>
      <c r="B47" s="27"/>
      <c r="C47" s="11"/>
      <c r="D47" s="12"/>
      <c r="F47" s="59"/>
      <c r="G47" s="59"/>
      <c r="H47" s="125"/>
      <c r="I47" s="126"/>
      <c r="J47" s="127"/>
      <c r="K47" s="21"/>
      <c r="P47" s="4"/>
      <c r="Q47" s="4"/>
      <c r="R47" s="5"/>
    </row>
    <row r="48" spans="1:18" ht="15" customHeight="1" x14ac:dyDescent="0.25">
      <c r="A48" s="122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25"/>
      <c r="I48" s="126"/>
      <c r="J48" s="1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3"/>
      <c r="B49" s="29" t="s">
        <v>68</v>
      </c>
      <c r="C49" s="33">
        <v>12</v>
      </c>
      <c r="D49" s="12">
        <f>C49*42</f>
        <v>504</v>
      </c>
      <c r="F49" s="128" t="s">
        <v>86</v>
      </c>
      <c r="G49" s="130">
        <f>H34+H35+H36+H37+H38+H39+H40+H41+G42+H44+H45+H46</f>
        <v>566156</v>
      </c>
      <c r="H49" s="131"/>
      <c r="I49" s="131"/>
      <c r="J49" s="13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3"/>
      <c r="B50" s="32" t="s">
        <v>70</v>
      </c>
      <c r="C50" s="11">
        <v>15</v>
      </c>
      <c r="D50" s="12">
        <f>C50*1.5</f>
        <v>22.5</v>
      </c>
      <c r="F50" s="129"/>
      <c r="G50" s="133"/>
      <c r="H50" s="134"/>
      <c r="I50" s="134"/>
      <c r="J50" s="135"/>
      <c r="O50" t="s">
        <v>144</v>
      </c>
      <c r="P50" s="4">
        <v>1204</v>
      </c>
      <c r="Q50" s="4"/>
      <c r="R50" s="5"/>
    </row>
    <row r="51" spans="1:18" ht="15" customHeight="1" x14ac:dyDescent="0.25">
      <c r="A51" s="123"/>
      <c r="B51" s="27"/>
      <c r="C51" s="10"/>
      <c r="D51" s="31"/>
      <c r="F51" s="136" t="s">
        <v>149</v>
      </c>
      <c r="G51" s="138">
        <f>G49-H29</f>
        <v>1133.25</v>
      </c>
      <c r="H51" s="139"/>
      <c r="I51" s="139"/>
      <c r="J51" s="1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3"/>
      <c r="B52" s="29"/>
      <c r="C52" s="33"/>
      <c r="D52" s="45"/>
      <c r="F52" s="137"/>
      <c r="G52" s="141"/>
      <c r="H52" s="142"/>
      <c r="I52" s="142"/>
      <c r="J52" s="1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8" t="s">
        <v>90</v>
      </c>
      <c r="B54" s="109"/>
      <c r="C54" s="110"/>
      <c r="D54" s="114">
        <f>SUM(D34:D53)</f>
        <v>100451.25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1"/>
      <c r="B55" s="112"/>
      <c r="C55" s="113"/>
      <c r="D55" s="1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6" t="s">
        <v>91</v>
      </c>
      <c r="B58" s="117"/>
      <c r="C58" s="117"/>
      <c r="D58" s="118"/>
      <c r="F58" s="116" t="s">
        <v>92</v>
      </c>
      <c r="G58" s="117"/>
      <c r="H58" s="117"/>
      <c r="I58" s="117"/>
      <c r="J58" s="118"/>
    </row>
    <row r="59" spans="1:18" x14ac:dyDescent="0.25">
      <c r="A59" s="119"/>
      <c r="B59" s="120"/>
      <c r="C59" s="120"/>
      <c r="D59" s="121"/>
      <c r="F59" s="119"/>
      <c r="G59" s="120"/>
      <c r="H59" s="120"/>
      <c r="I59" s="120"/>
      <c r="J59" s="12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F7F-3EE5-4E6C-9A10-7EFD9C0D88F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4" t="s">
        <v>1</v>
      </c>
      <c r="O1" s="20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205" t="s">
        <v>8</v>
      </c>
      <c r="G4" s="207"/>
      <c r="H4" s="209" t="s">
        <v>9</v>
      </c>
      <c r="I4" s="211"/>
      <c r="J4" s="2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206"/>
      <c r="G5" s="208"/>
      <c r="H5" s="210"/>
      <c r="I5" s="213"/>
      <c r="J5" s="2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215" t="s">
        <v>16</v>
      </c>
      <c r="G6" s="217"/>
      <c r="H6" s="218"/>
      <c r="I6" s="218"/>
      <c r="J6" s="2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216"/>
      <c r="G7" s="220"/>
      <c r="H7" s="221"/>
      <c r="I7" s="221"/>
      <c r="J7" s="2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223" t="s">
        <v>21</v>
      </c>
      <c r="G8" s="224"/>
      <c r="H8" s="225"/>
      <c r="I8" s="225"/>
      <c r="J8" s="22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216"/>
      <c r="G9" s="227"/>
      <c r="H9" s="228"/>
      <c r="I9" s="228"/>
      <c r="J9" s="22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215" t="s">
        <v>26</v>
      </c>
      <c r="G10" s="230"/>
      <c r="H10" s="231"/>
      <c r="I10" s="231"/>
      <c r="J10" s="232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216"/>
      <c r="G11" s="227"/>
      <c r="H11" s="228"/>
      <c r="I11" s="228"/>
      <c r="J11" s="22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233" t="s">
        <v>33</v>
      </c>
      <c r="G12" s="234"/>
      <c r="H12" s="234"/>
      <c r="I12" s="234"/>
      <c r="J12" s="23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236" t="s">
        <v>36</v>
      </c>
      <c r="G13" s="20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94" t="s">
        <v>39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99" t="s">
        <v>40</v>
      </c>
      <c r="G15" s="200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1"/>
      <c r="I16" s="161"/>
      <c r="J16" s="16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45</v>
      </c>
      <c r="H17" s="172"/>
      <c r="I17" s="172"/>
      <c r="J17" s="17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47</v>
      </c>
      <c r="H18" s="172"/>
      <c r="I18" s="172"/>
      <c r="J18" s="17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50</v>
      </c>
      <c r="H19" s="173"/>
      <c r="I19" s="173"/>
      <c r="J19" s="1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120</v>
      </c>
      <c r="H20" s="161"/>
      <c r="I20" s="161"/>
      <c r="J20" s="16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7"/>
      <c r="G22" s="73"/>
      <c r="H22" s="177"/>
      <c r="I22" s="177"/>
      <c r="J22" s="17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8"/>
      <c r="G23" s="79"/>
      <c r="H23" s="178"/>
      <c r="I23" s="147"/>
      <c r="J23" s="14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178"/>
      <c r="I24" s="147"/>
      <c r="J24" s="14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93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08" t="s">
        <v>55</v>
      </c>
      <c r="G29" s="170"/>
      <c r="H29" s="130">
        <f>H15-H16-H17-H18-H19-H20-H22-H23-H24+H26+H27</f>
        <v>0</v>
      </c>
      <c r="I29" s="131"/>
      <c r="J29" s="13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11"/>
      <c r="G30" s="171"/>
      <c r="H30" s="133"/>
      <c r="I30" s="134"/>
      <c r="J30" s="13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58</v>
      </c>
      <c r="B32" s="156"/>
      <c r="C32" s="156"/>
      <c r="D32" s="157"/>
      <c r="F32" s="158" t="s">
        <v>59</v>
      </c>
      <c r="G32" s="159"/>
      <c r="H32" s="159"/>
      <c r="I32" s="159"/>
      <c r="J32" s="16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8" t="s">
        <v>13</v>
      </c>
      <c r="I33" s="159"/>
      <c r="J33" s="16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2"/>
      <c r="I34" s="153"/>
      <c r="J34" s="15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152"/>
      <c r="I35" s="153"/>
      <c r="J35" s="15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152"/>
      <c r="I36" s="153"/>
      <c r="J36" s="15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2"/>
      <c r="I37" s="153"/>
      <c r="J37" s="15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152"/>
      <c r="I38" s="153"/>
      <c r="J38" s="15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152"/>
      <c r="I39" s="153"/>
      <c r="J39" s="15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2"/>
      <c r="I40" s="153"/>
      <c r="J40" s="15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152"/>
      <c r="I41" s="153"/>
      <c r="J41" s="15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152"/>
      <c r="H42" s="153"/>
      <c r="I42" s="153"/>
      <c r="J42" s="15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2" t="s">
        <v>81</v>
      </c>
      <c r="C43" s="11"/>
      <c r="D43" s="12"/>
      <c r="F43" s="59" t="s">
        <v>82</v>
      </c>
      <c r="G43" s="90" t="s">
        <v>83</v>
      </c>
      <c r="H43" s="144" t="s">
        <v>13</v>
      </c>
      <c r="I43" s="145"/>
      <c r="J43" s="146"/>
      <c r="K43" s="21"/>
      <c r="P43" s="4"/>
      <c r="Q43" s="4"/>
      <c r="R43" s="5"/>
    </row>
    <row r="44" spans="1:18" ht="15.75" x14ac:dyDescent="0.25">
      <c r="A44" s="123"/>
      <c r="B44" s="27" t="s">
        <v>66</v>
      </c>
      <c r="C44" s="10"/>
      <c r="D44" s="12">
        <f>C44*120</f>
        <v>0</v>
      </c>
      <c r="F44" s="37"/>
      <c r="G44" s="76"/>
      <c r="H44" s="147"/>
      <c r="I44" s="147"/>
      <c r="J44" s="147"/>
      <c r="K44" s="21"/>
      <c r="P44" s="4"/>
      <c r="Q44" s="4"/>
      <c r="R44" s="5"/>
    </row>
    <row r="45" spans="1:18" ht="15.75" x14ac:dyDescent="0.25">
      <c r="A45" s="123"/>
      <c r="B45" s="27" t="s">
        <v>68</v>
      </c>
      <c r="C45" s="33"/>
      <c r="D45" s="12">
        <f>C45*84</f>
        <v>0</v>
      </c>
      <c r="F45" s="37"/>
      <c r="G45" s="76"/>
      <c r="H45" s="147"/>
      <c r="I45" s="147"/>
      <c r="J45" s="147"/>
      <c r="K45" s="21"/>
      <c r="P45" s="4"/>
      <c r="Q45" s="4"/>
      <c r="R45" s="5"/>
    </row>
    <row r="46" spans="1:18" ht="15.75" x14ac:dyDescent="0.25">
      <c r="A46" s="123"/>
      <c r="B46" s="49" t="s">
        <v>70</v>
      </c>
      <c r="C46" s="81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4"/>
      <c r="B47" s="27"/>
      <c r="C47" s="11"/>
      <c r="D47" s="12"/>
      <c r="F47" s="59"/>
      <c r="G47" s="59"/>
      <c r="H47" s="125"/>
      <c r="I47" s="126"/>
      <c r="J47" s="127"/>
      <c r="K47" s="21"/>
      <c r="P47" s="4"/>
      <c r="Q47" s="4"/>
      <c r="R47" s="5"/>
    </row>
    <row r="48" spans="1:18" ht="15" customHeight="1" x14ac:dyDescent="0.25">
      <c r="A48" s="122" t="s">
        <v>32</v>
      </c>
      <c r="B48" s="27" t="s">
        <v>66</v>
      </c>
      <c r="C48" s="10"/>
      <c r="D48" s="12">
        <f>C48*78</f>
        <v>0</v>
      </c>
      <c r="F48" s="59"/>
      <c r="G48" s="59"/>
      <c r="H48" s="125"/>
      <c r="I48" s="126"/>
      <c r="J48" s="1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3"/>
      <c r="B49" s="29" t="s">
        <v>68</v>
      </c>
      <c r="C49" s="33"/>
      <c r="D49" s="12">
        <f>C49*42</f>
        <v>0</v>
      </c>
      <c r="F49" s="128" t="s">
        <v>86</v>
      </c>
      <c r="G49" s="130">
        <f>H34+H35+H36+H37+H38+H39+H40+H41+G42+H44+H45+H46</f>
        <v>0</v>
      </c>
      <c r="H49" s="131"/>
      <c r="I49" s="131"/>
      <c r="J49" s="13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3"/>
      <c r="B50" s="32" t="s">
        <v>70</v>
      </c>
      <c r="C50" s="11"/>
      <c r="D50" s="12">
        <f>C50*1.5</f>
        <v>0</v>
      </c>
      <c r="F50" s="129"/>
      <c r="G50" s="133"/>
      <c r="H50" s="134"/>
      <c r="I50" s="134"/>
      <c r="J50" s="135"/>
      <c r="P50" s="4"/>
      <c r="Q50" s="4"/>
      <c r="R50" s="5"/>
    </row>
    <row r="51" spans="1:18" ht="15" customHeight="1" x14ac:dyDescent="0.25">
      <c r="A51" s="123"/>
      <c r="B51" s="27"/>
      <c r="C51" s="10"/>
      <c r="D51" s="31"/>
      <c r="F51" s="136" t="s">
        <v>128</v>
      </c>
      <c r="G51" s="138">
        <f>G49-H29</f>
        <v>0</v>
      </c>
      <c r="H51" s="139"/>
      <c r="I51" s="139"/>
      <c r="J51" s="1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3"/>
      <c r="B52" s="29"/>
      <c r="C52" s="33"/>
      <c r="D52" s="45"/>
      <c r="F52" s="137"/>
      <c r="G52" s="141"/>
      <c r="H52" s="142"/>
      <c r="I52" s="142"/>
      <c r="J52" s="1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8" t="s">
        <v>90</v>
      </c>
      <c r="B54" s="109"/>
      <c r="C54" s="110"/>
      <c r="D54" s="114">
        <f>SUM(D34:D53)</f>
        <v>0</v>
      </c>
      <c r="F54" s="21"/>
      <c r="J54" s="34"/>
    </row>
    <row r="55" spans="1:18" x14ac:dyDescent="0.25">
      <c r="A55" s="111"/>
      <c r="B55" s="112"/>
      <c r="C55" s="113"/>
      <c r="D55" s="1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6" t="s">
        <v>91</v>
      </c>
      <c r="B58" s="117"/>
      <c r="C58" s="117"/>
      <c r="D58" s="118"/>
      <c r="F58" s="116" t="s">
        <v>92</v>
      </c>
      <c r="G58" s="117"/>
      <c r="H58" s="117"/>
      <c r="I58" s="117"/>
      <c r="J58" s="118"/>
    </row>
    <row r="59" spans="1:18" x14ac:dyDescent="0.25">
      <c r="A59" s="119"/>
      <c r="B59" s="120"/>
      <c r="C59" s="120"/>
      <c r="D59" s="121"/>
      <c r="F59" s="119"/>
      <c r="G59" s="120"/>
      <c r="H59" s="120"/>
      <c r="I59" s="120"/>
      <c r="J59" s="12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35C8-4A98-49E5-AB0F-A1AB14D62548}">
  <dimension ref="A1:R59"/>
  <sheetViews>
    <sheetView zoomScaleNormal="100" zoomScaleSheetLayoutView="85" workbookViewId="0">
      <selection activeCell="L25" sqref="L2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4" t="s">
        <v>1</v>
      </c>
      <c r="O1" s="20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205" t="s">
        <v>8</v>
      </c>
      <c r="G4" s="207">
        <v>1</v>
      </c>
      <c r="H4" s="209" t="s">
        <v>9</v>
      </c>
      <c r="I4" s="211">
        <v>46028</v>
      </c>
      <c r="J4" s="2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206"/>
      <c r="G5" s="208"/>
      <c r="H5" s="210"/>
      <c r="I5" s="213"/>
      <c r="J5" s="2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84">
        <v>633</v>
      </c>
      <c r="D6" s="13">
        <f t="shared" ref="D6:D28" si="1">C6*L6</f>
        <v>481713</v>
      </c>
      <c r="F6" s="215" t="s">
        <v>16</v>
      </c>
      <c r="G6" s="217" t="s">
        <v>129</v>
      </c>
      <c r="H6" s="218"/>
      <c r="I6" s="218"/>
      <c r="J6" s="2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84">
        <v>2</v>
      </c>
      <c r="D7" s="13">
        <f t="shared" si="1"/>
        <v>1562</v>
      </c>
      <c r="F7" s="216"/>
      <c r="G7" s="220"/>
      <c r="H7" s="221"/>
      <c r="I7" s="221"/>
      <c r="J7" s="2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84">
        <v>1</v>
      </c>
      <c r="D8" s="13">
        <f t="shared" si="1"/>
        <v>1093</v>
      </c>
      <c r="F8" s="223" t="s">
        <v>21</v>
      </c>
      <c r="G8" s="224" t="s">
        <v>112</v>
      </c>
      <c r="H8" s="225"/>
      <c r="I8" s="225"/>
      <c r="J8" s="2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84">
        <v>27</v>
      </c>
      <c r="D9" s="13">
        <f t="shared" si="1"/>
        <v>19791</v>
      </c>
      <c r="F9" s="216"/>
      <c r="G9" s="227"/>
      <c r="H9" s="228"/>
      <c r="I9" s="228"/>
      <c r="J9" s="2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84">
        <v>1</v>
      </c>
      <c r="D10" s="13">
        <f t="shared" si="1"/>
        <v>1032</v>
      </c>
      <c r="F10" s="215" t="s">
        <v>26</v>
      </c>
      <c r="G10" s="230" t="s">
        <v>130</v>
      </c>
      <c r="H10" s="231"/>
      <c r="I10" s="231"/>
      <c r="J10" s="232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84"/>
      <c r="D11" s="13">
        <f t="shared" si="1"/>
        <v>0</v>
      </c>
      <c r="F11" s="216"/>
      <c r="G11" s="227"/>
      <c r="H11" s="228"/>
      <c r="I11" s="228"/>
      <c r="J11" s="2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84">
        <v>1</v>
      </c>
      <c r="D12" s="48">
        <f t="shared" si="1"/>
        <v>992</v>
      </c>
      <c r="F12" s="233" t="s">
        <v>33</v>
      </c>
      <c r="G12" s="234"/>
      <c r="H12" s="234"/>
      <c r="I12" s="234"/>
      <c r="J12" s="2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84">
        <v>9</v>
      </c>
      <c r="D13" s="48">
        <f t="shared" si="1"/>
        <v>2763</v>
      </c>
      <c r="F13" s="236" t="s">
        <v>36</v>
      </c>
      <c r="G13" s="200"/>
      <c r="H13" s="191">
        <f>D29</f>
        <v>509943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84"/>
      <c r="D14" s="31">
        <f t="shared" si="1"/>
        <v>0</v>
      </c>
      <c r="F14" s="194" t="s">
        <v>39</v>
      </c>
      <c r="G14" s="195"/>
      <c r="H14" s="196">
        <f>D54</f>
        <v>74673.75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84"/>
      <c r="D15" s="31">
        <f t="shared" si="1"/>
        <v>0</v>
      </c>
      <c r="F15" s="199" t="s">
        <v>40</v>
      </c>
      <c r="G15" s="200"/>
      <c r="H15" s="201">
        <f>H13-H14</f>
        <v>435269.25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1"/>
      <c r="I16" s="161"/>
      <c r="J16" s="16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137</v>
      </c>
      <c r="C17" s="84"/>
      <c r="D17" s="48">
        <f t="shared" si="1"/>
        <v>0</v>
      </c>
      <c r="F17" s="56"/>
      <c r="G17" s="66" t="s">
        <v>45</v>
      </c>
      <c r="H17" s="172"/>
      <c r="I17" s="172"/>
      <c r="J17" s="17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2"/>
      <c r="I18" s="172"/>
      <c r="J18" s="17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v>1102</v>
      </c>
      <c r="Q19" s="4"/>
      <c r="R19" s="5">
        <f t="shared" si="0"/>
        <v>0</v>
      </c>
    </row>
    <row r="20" spans="1:18" ht="15.75" x14ac:dyDescent="0.25">
      <c r="A20" s="15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127</v>
      </c>
      <c r="C22" s="84"/>
      <c r="D22" s="48">
        <f t="shared" si="1"/>
        <v>0</v>
      </c>
      <c r="F22" s="77"/>
      <c r="G22" s="73"/>
      <c r="H22" s="177"/>
      <c r="I22" s="177"/>
      <c r="J22" s="17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169</v>
      </c>
      <c r="C23" s="84">
        <v>12</v>
      </c>
      <c r="D23" s="48">
        <f t="shared" si="1"/>
        <v>454</v>
      </c>
      <c r="F23" s="77"/>
      <c r="G23" s="79"/>
      <c r="H23" s="243"/>
      <c r="I23" s="244"/>
      <c r="J23" s="244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136</v>
      </c>
      <c r="C26" s="84"/>
      <c r="D26" s="48">
        <f t="shared" si="1"/>
        <v>0</v>
      </c>
      <c r="F26" s="75"/>
      <c r="G26" s="65"/>
      <c r="H26" s="147"/>
      <c r="I26" s="147"/>
      <c r="J26" s="14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110</v>
      </c>
      <c r="C27" s="84"/>
      <c r="D27" s="44">
        <f t="shared" si="1"/>
        <v>0</v>
      </c>
      <c r="F27" s="71"/>
      <c r="G27" s="90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84"/>
      <c r="D28" s="48">
        <f t="shared" si="1"/>
        <v>0</v>
      </c>
      <c r="F28" s="93"/>
      <c r="G28" s="61"/>
      <c r="H28" s="188"/>
      <c r="I28" s="189"/>
      <c r="J28" s="190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509943</v>
      </c>
      <c r="F29" s="108" t="s">
        <v>55</v>
      </c>
      <c r="G29" s="170"/>
      <c r="H29" s="130">
        <f>H15-H16-H17-H18-H19-H20-H22-H23-H24+H26+H27+H28</f>
        <v>435269.25</v>
      </c>
      <c r="I29" s="131"/>
      <c r="J29" s="13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11"/>
      <c r="G30" s="171"/>
      <c r="H30" s="133"/>
      <c r="I30" s="134"/>
      <c r="J30" s="13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58</v>
      </c>
      <c r="B32" s="156"/>
      <c r="C32" s="156"/>
      <c r="D32" s="157"/>
      <c r="F32" s="158" t="s">
        <v>59</v>
      </c>
      <c r="G32" s="159"/>
      <c r="H32" s="159"/>
      <c r="I32" s="159"/>
      <c r="J32" s="16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8" t="s">
        <v>13</v>
      </c>
      <c r="I33" s="159"/>
      <c r="J33" s="16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225</v>
      </c>
      <c r="H34" s="152">
        <f t="shared" ref="H34:H39" si="2">F34*G34</f>
        <v>225000</v>
      </c>
      <c r="I34" s="153"/>
      <c r="J34" s="15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300</v>
      </c>
      <c r="H35" s="152">
        <f t="shared" si="2"/>
        <v>150000</v>
      </c>
      <c r="I35" s="153"/>
      <c r="J35" s="15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2">
        <f t="shared" si="2"/>
        <v>200</v>
      </c>
      <c r="I36" s="153"/>
      <c r="J36" s="15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641</v>
      </c>
      <c r="D37" s="12">
        <f>C37*111</f>
        <v>71151</v>
      </c>
      <c r="F37" s="12">
        <v>100</v>
      </c>
      <c r="G37" s="39">
        <v>36</v>
      </c>
      <c r="H37" s="152">
        <f t="shared" si="2"/>
        <v>3600</v>
      </c>
      <c r="I37" s="153"/>
      <c r="J37" s="15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10</v>
      </c>
      <c r="H38" s="152">
        <f t="shared" si="2"/>
        <v>500</v>
      </c>
      <c r="I38" s="153"/>
      <c r="J38" s="15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152">
        <f t="shared" si="2"/>
        <v>20</v>
      </c>
      <c r="I39" s="153"/>
      <c r="J39" s="15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52"/>
      <c r="I40" s="153"/>
      <c r="J40" s="15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2"/>
      <c r="I41" s="153"/>
      <c r="J41" s="15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2">
        <v>72</v>
      </c>
      <c r="H42" s="153"/>
      <c r="I42" s="153"/>
      <c r="J42" s="15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2" t="s">
        <v>81</v>
      </c>
      <c r="C43" s="11"/>
      <c r="D43" s="12"/>
      <c r="F43" s="59" t="s">
        <v>82</v>
      </c>
      <c r="G43" s="90" t="s">
        <v>83</v>
      </c>
      <c r="H43" s="144" t="s">
        <v>13</v>
      </c>
      <c r="I43" s="145"/>
      <c r="J43" s="14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3"/>
      <c r="B44" s="27" t="s">
        <v>66</v>
      </c>
      <c r="C44" s="10">
        <v>3</v>
      </c>
      <c r="D44" s="12">
        <f>C44*120</f>
        <v>360</v>
      </c>
      <c r="F44" s="37" t="s">
        <v>153</v>
      </c>
      <c r="G44" s="62"/>
      <c r="H44" s="147">
        <v>56000</v>
      </c>
      <c r="I44" s="147"/>
      <c r="J44" s="147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23"/>
      <c r="B45" s="27" t="s">
        <v>68</v>
      </c>
      <c r="C45" s="33">
        <v>1</v>
      </c>
      <c r="D45" s="12">
        <f>C45*84</f>
        <v>84</v>
      </c>
      <c r="F45" s="37"/>
      <c r="G45" s="62"/>
      <c r="H45" s="147"/>
      <c r="I45" s="147"/>
      <c r="J45" s="147"/>
      <c r="K45" s="21"/>
      <c r="P45" s="4"/>
      <c r="Q45" s="4"/>
      <c r="R45" s="5"/>
    </row>
    <row r="46" spans="1:18" ht="15.75" x14ac:dyDescent="0.25">
      <c r="A46" s="123"/>
      <c r="B46" s="49" t="s">
        <v>70</v>
      </c>
      <c r="C46" s="81">
        <v>3</v>
      </c>
      <c r="D46" s="12">
        <f>C46*1.5</f>
        <v>4.5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4"/>
      <c r="B47" s="27"/>
      <c r="C47" s="11"/>
      <c r="D47" s="12"/>
      <c r="F47" s="59"/>
      <c r="G47" s="59"/>
      <c r="H47" s="125"/>
      <c r="I47" s="126"/>
      <c r="J47" s="127"/>
      <c r="K47" s="21"/>
      <c r="P47" s="4"/>
      <c r="Q47" s="4"/>
      <c r="R47" s="5"/>
    </row>
    <row r="48" spans="1:18" ht="15" customHeight="1" x14ac:dyDescent="0.25">
      <c r="A48" s="12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25"/>
      <c r="I48" s="126"/>
      <c r="J48" s="1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3"/>
      <c r="B49" s="29" t="s">
        <v>68</v>
      </c>
      <c r="C49" s="33"/>
      <c r="D49" s="12">
        <f>C49*42</f>
        <v>0</v>
      </c>
      <c r="F49" s="128" t="s">
        <v>86</v>
      </c>
      <c r="G49" s="130">
        <f>H34+H35+H36+H37+H38+H39+H40+H41+G42+H44+H45+H46</f>
        <v>435392</v>
      </c>
      <c r="H49" s="131"/>
      <c r="I49" s="131"/>
      <c r="J49" s="13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3"/>
      <c r="B50" s="32" t="s">
        <v>70</v>
      </c>
      <c r="C50" s="11">
        <v>22</v>
      </c>
      <c r="D50" s="12">
        <f>C50*1.5</f>
        <v>33</v>
      </c>
      <c r="F50" s="129"/>
      <c r="G50" s="133"/>
      <c r="H50" s="134"/>
      <c r="I50" s="134"/>
      <c r="J50" s="135"/>
      <c r="O50" t="s">
        <v>144</v>
      </c>
      <c r="P50" s="4">
        <v>1204</v>
      </c>
      <c r="Q50" s="4"/>
      <c r="R50" s="5"/>
    </row>
    <row r="51" spans="1:18" ht="15" customHeight="1" x14ac:dyDescent="0.25">
      <c r="A51" s="123"/>
      <c r="B51" s="27"/>
      <c r="C51" s="10"/>
      <c r="D51" s="31"/>
      <c r="F51" s="136" t="s">
        <v>149</v>
      </c>
      <c r="G51" s="138">
        <f>G49-H29</f>
        <v>122.75</v>
      </c>
      <c r="H51" s="139"/>
      <c r="I51" s="139"/>
      <c r="J51" s="1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3"/>
      <c r="B52" s="29"/>
      <c r="C52" s="33"/>
      <c r="D52" s="45"/>
      <c r="F52" s="137"/>
      <c r="G52" s="141"/>
      <c r="H52" s="142"/>
      <c r="I52" s="142"/>
      <c r="J52" s="1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8" t="s">
        <v>90</v>
      </c>
      <c r="B54" s="109"/>
      <c r="C54" s="110"/>
      <c r="D54" s="114">
        <f>SUM(D34:D53)</f>
        <v>74673.75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1"/>
      <c r="B55" s="112"/>
      <c r="C55" s="113"/>
      <c r="D55" s="1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16" t="s">
        <v>91</v>
      </c>
      <c r="B58" s="117"/>
      <c r="C58" s="117"/>
      <c r="D58" s="118"/>
      <c r="F58" s="116" t="s">
        <v>92</v>
      </c>
      <c r="G58" s="117"/>
      <c r="H58" s="117"/>
      <c r="I58" s="117"/>
      <c r="J58" s="118"/>
    </row>
    <row r="59" spans="1:18" x14ac:dyDescent="0.25">
      <c r="A59" s="119"/>
      <c r="B59" s="120"/>
      <c r="C59" s="120"/>
      <c r="D59" s="121"/>
      <c r="F59" s="119"/>
      <c r="G59" s="120"/>
      <c r="H59" s="120"/>
      <c r="I59" s="120"/>
      <c r="J59" s="12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5D703-BF79-43EA-99D6-F42943139D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4" t="s">
        <v>1</v>
      </c>
      <c r="O1" s="20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205" t="s">
        <v>8</v>
      </c>
      <c r="G4" s="207">
        <v>2</v>
      </c>
      <c r="H4" s="209" t="s">
        <v>9</v>
      </c>
      <c r="I4" s="211">
        <v>46028</v>
      </c>
      <c r="J4" s="2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206"/>
      <c r="G5" s="208"/>
      <c r="H5" s="210"/>
      <c r="I5" s="213"/>
      <c r="J5" s="2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581</v>
      </c>
      <c r="D6" s="13">
        <f t="shared" ref="D6:D28" si="1">C6*L6</f>
        <v>442141</v>
      </c>
      <c r="F6" s="215" t="s">
        <v>16</v>
      </c>
      <c r="G6" s="217" t="s">
        <v>140</v>
      </c>
      <c r="H6" s="218"/>
      <c r="I6" s="218"/>
      <c r="J6" s="2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3</v>
      </c>
      <c r="D7" s="13">
        <f t="shared" si="1"/>
        <v>2343</v>
      </c>
      <c r="F7" s="216"/>
      <c r="G7" s="220"/>
      <c r="H7" s="221"/>
      <c r="I7" s="221"/>
      <c r="J7" s="2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223" t="s">
        <v>21</v>
      </c>
      <c r="G8" s="224" t="s">
        <v>114</v>
      </c>
      <c r="H8" s="225"/>
      <c r="I8" s="225"/>
      <c r="J8" s="2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41</v>
      </c>
      <c r="D9" s="13">
        <f t="shared" si="1"/>
        <v>30053</v>
      </c>
      <c r="F9" s="216"/>
      <c r="G9" s="227"/>
      <c r="H9" s="228"/>
      <c r="I9" s="228"/>
      <c r="J9" s="2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215" t="s">
        <v>26</v>
      </c>
      <c r="G10" s="230" t="s">
        <v>115</v>
      </c>
      <c r="H10" s="231"/>
      <c r="I10" s="231"/>
      <c r="J10" s="232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216"/>
      <c r="G11" s="227"/>
      <c r="H11" s="228"/>
      <c r="I11" s="228"/>
      <c r="J11" s="2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v>2</v>
      </c>
      <c r="D12" s="48">
        <f t="shared" si="1"/>
        <v>1984</v>
      </c>
      <c r="F12" s="233" t="s">
        <v>33</v>
      </c>
      <c r="G12" s="234"/>
      <c r="H12" s="234"/>
      <c r="I12" s="234"/>
      <c r="J12" s="2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17</v>
      </c>
      <c r="D13" s="48">
        <f t="shared" si="1"/>
        <v>5219</v>
      </c>
      <c r="F13" s="236" t="s">
        <v>36</v>
      </c>
      <c r="G13" s="200"/>
      <c r="H13" s="191">
        <f>D29</f>
        <v>486638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1</v>
      </c>
      <c r="D14" s="31">
        <f t="shared" si="1"/>
        <v>11</v>
      </c>
      <c r="F14" s="194" t="s">
        <v>39</v>
      </c>
      <c r="G14" s="195"/>
      <c r="H14" s="196">
        <f>D54</f>
        <v>85668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>
        <v>1</v>
      </c>
      <c r="D15" s="31">
        <f t="shared" si="1"/>
        <v>620</v>
      </c>
      <c r="F15" s="199" t="s">
        <v>40</v>
      </c>
      <c r="G15" s="200"/>
      <c r="H15" s="201">
        <f>H13-H14</f>
        <v>400970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1">
        <f>324*6+201*6</f>
        <v>3150</v>
      </c>
      <c r="I16" s="161"/>
      <c r="J16" s="16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93</v>
      </c>
      <c r="C17" s="10"/>
      <c r="D17" s="48">
        <f t="shared" si="1"/>
        <v>0</v>
      </c>
      <c r="F17" s="56"/>
      <c r="G17" s="66" t="s">
        <v>45</v>
      </c>
      <c r="H17" s="172"/>
      <c r="I17" s="172"/>
      <c r="J17" s="17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2"/>
      <c r="I18" s="172"/>
      <c r="J18" s="17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7"/>
      <c r="I19" s="247"/>
      <c r="J19" s="24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135</v>
      </c>
      <c r="C21" s="10">
        <f>3+1</f>
        <v>4</v>
      </c>
      <c r="D21" s="48">
        <f t="shared" si="1"/>
        <v>2600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2" t="s">
        <v>166</v>
      </c>
      <c r="G22" s="73">
        <v>8133</v>
      </c>
      <c r="H22" s="177">
        <v>131647</v>
      </c>
      <c r="I22" s="177"/>
      <c r="J22" s="17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25"/>
      <c r="G23" s="37"/>
      <c r="H23" s="178"/>
      <c r="I23" s="147"/>
      <c r="J23" s="14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101</v>
      </c>
      <c r="C24" s="10">
        <v>1</v>
      </c>
      <c r="D24" s="48">
        <f t="shared" si="1"/>
        <v>1667</v>
      </c>
      <c r="F24" s="38"/>
      <c r="G24" s="37"/>
      <c r="H24" s="178"/>
      <c r="I24" s="147"/>
      <c r="J24" s="14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93"/>
      <c r="G28" s="61"/>
      <c r="H28" s="188"/>
      <c r="I28" s="189"/>
      <c r="J28" s="190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486638</v>
      </c>
      <c r="F29" s="108" t="s">
        <v>55</v>
      </c>
      <c r="G29" s="170"/>
      <c r="H29" s="130">
        <f>H15-H16-H17-H18-H19-H20-H22-H23-H24+H26+H27</f>
        <v>266173</v>
      </c>
      <c r="I29" s="131"/>
      <c r="J29" s="13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11"/>
      <c r="G30" s="171"/>
      <c r="H30" s="133"/>
      <c r="I30" s="134"/>
      <c r="J30" s="13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58</v>
      </c>
      <c r="B32" s="156"/>
      <c r="C32" s="156"/>
      <c r="D32" s="157"/>
      <c r="F32" s="158" t="s">
        <v>59</v>
      </c>
      <c r="G32" s="159"/>
      <c r="H32" s="159"/>
      <c r="I32" s="159"/>
      <c r="J32" s="16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8" t="s">
        <v>13</v>
      </c>
      <c r="I33" s="159"/>
      <c r="J33" s="16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39</v>
      </c>
      <c r="H34" s="152">
        <f>F34*G34</f>
        <v>39000</v>
      </c>
      <c r="I34" s="153"/>
      <c r="J34" s="15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152">
        <f t="shared" ref="H35:H37" si="2">F35*G35</f>
        <v>22500</v>
      </c>
      <c r="I35" s="153"/>
      <c r="J35" s="15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2">
        <f>F36*G36</f>
        <v>200</v>
      </c>
      <c r="I36" s="153"/>
      <c r="J36" s="15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758</v>
      </c>
      <c r="D37" s="12">
        <f>C37*111</f>
        <v>84138</v>
      </c>
      <c r="F37" s="12">
        <v>100</v>
      </c>
      <c r="G37" s="39">
        <v>40</v>
      </c>
      <c r="H37" s="152">
        <f t="shared" si="2"/>
        <v>4000</v>
      </c>
      <c r="I37" s="153"/>
      <c r="J37" s="15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152">
        <f t="shared" ref="H38:H39" si="3">F38*G38</f>
        <v>300</v>
      </c>
      <c r="I38" s="153"/>
      <c r="J38" s="15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52">
        <f t="shared" si="3"/>
        <v>20</v>
      </c>
      <c r="I39" s="153"/>
      <c r="J39" s="15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2"/>
      <c r="I40" s="153"/>
      <c r="J40" s="15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2"/>
      <c r="I41" s="153"/>
      <c r="J41" s="15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2</v>
      </c>
      <c r="D42" s="12">
        <f>C42*2.25</f>
        <v>4.5</v>
      </c>
      <c r="F42" s="39" t="s">
        <v>79</v>
      </c>
      <c r="G42" s="152">
        <v>18</v>
      </c>
      <c r="H42" s="153"/>
      <c r="I42" s="153"/>
      <c r="J42" s="15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2" t="s">
        <v>81</v>
      </c>
      <c r="C43" s="11"/>
      <c r="D43" s="12"/>
      <c r="F43" s="59" t="s">
        <v>82</v>
      </c>
      <c r="G43" s="90" t="s">
        <v>83</v>
      </c>
      <c r="H43" s="144" t="s">
        <v>13</v>
      </c>
      <c r="I43" s="145"/>
      <c r="J43" s="14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3"/>
      <c r="B44" s="27" t="s">
        <v>66</v>
      </c>
      <c r="C44" s="10">
        <v>3</v>
      </c>
      <c r="D44" s="12">
        <f>C44*120</f>
        <v>360</v>
      </c>
      <c r="F44" s="37" t="s">
        <v>147</v>
      </c>
      <c r="G44" s="62" t="s">
        <v>165</v>
      </c>
      <c r="H44" s="147">
        <v>198198</v>
      </c>
      <c r="I44" s="147"/>
      <c r="J44" s="147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23"/>
      <c r="B45" s="27" t="s">
        <v>68</v>
      </c>
      <c r="C45" s="33"/>
      <c r="D45" s="12">
        <f>C45*84</f>
        <v>0</v>
      </c>
      <c r="F45" s="37"/>
      <c r="G45" s="62"/>
      <c r="H45" s="147"/>
      <c r="I45" s="147"/>
      <c r="J45" s="147"/>
      <c r="K45" s="21"/>
      <c r="P45" s="4"/>
      <c r="Q45" s="4"/>
      <c r="R45" s="5"/>
    </row>
    <row r="46" spans="1:18" ht="15.75" x14ac:dyDescent="0.25">
      <c r="A46" s="123"/>
      <c r="B46" s="49" t="s">
        <v>70</v>
      </c>
      <c r="C46" s="81">
        <v>24</v>
      </c>
      <c r="D46" s="12">
        <f>C46*1.5</f>
        <v>36</v>
      </c>
      <c r="F46" s="37"/>
      <c r="G46" s="91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4"/>
      <c r="B47" s="27"/>
      <c r="C47" s="11"/>
      <c r="D47" s="12"/>
      <c r="F47" s="59"/>
      <c r="G47" s="59"/>
      <c r="H47" s="125"/>
      <c r="I47" s="126"/>
      <c r="J47" s="127"/>
      <c r="K47" s="21"/>
      <c r="P47" s="4"/>
      <c r="Q47" s="4"/>
      <c r="R47" s="5"/>
    </row>
    <row r="48" spans="1:18" ht="15" customHeight="1" x14ac:dyDescent="0.25">
      <c r="A48" s="122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25"/>
      <c r="I48" s="126"/>
      <c r="J48" s="1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3"/>
      <c r="B49" s="29" t="s">
        <v>68</v>
      </c>
      <c r="C49" s="33">
        <v>2</v>
      </c>
      <c r="D49" s="12">
        <f>C49*42</f>
        <v>84</v>
      </c>
      <c r="F49" s="128" t="s">
        <v>86</v>
      </c>
      <c r="G49" s="130">
        <f>H34+H35+H36+H37+H38+H39+H40+H41+G42+H44+H45+H46</f>
        <v>264236</v>
      </c>
      <c r="H49" s="131"/>
      <c r="I49" s="131"/>
      <c r="J49" s="13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3"/>
      <c r="B50" s="32" t="s">
        <v>70</v>
      </c>
      <c r="C50" s="11">
        <v>21</v>
      </c>
      <c r="D50" s="12">
        <f>C50*1.5</f>
        <v>31.5</v>
      </c>
      <c r="F50" s="129"/>
      <c r="G50" s="133"/>
      <c r="H50" s="134"/>
      <c r="I50" s="134"/>
      <c r="J50" s="135"/>
      <c r="O50" t="s">
        <v>144</v>
      </c>
      <c r="P50" s="4">
        <v>1204</v>
      </c>
      <c r="Q50" s="4"/>
      <c r="R50" s="5"/>
    </row>
    <row r="51" spans="1:18" ht="15" customHeight="1" x14ac:dyDescent="0.25">
      <c r="A51" s="123"/>
      <c r="B51" s="27"/>
      <c r="C51" s="10"/>
      <c r="D51" s="31"/>
      <c r="F51" s="136" t="s">
        <v>161</v>
      </c>
      <c r="G51" s="237">
        <f>G49-H29</f>
        <v>-1937</v>
      </c>
      <c r="H51" s="238"/>
      <c r="I51" s="238"/>
      <c r="J51" s="2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3"/>
      <c r="B52" s="29"/>
      <c r="C52" s="33"/>
      <c r="D52" s="45"/>
      <c r="F52" s="137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8" t="s">
        <v>90</v>
      </c>
      <c r="B54" s="109"/>
      <c r="C54" s="110"/>
      <c r="D54" s="114">
        <f>SUM(D34:D53)</f>
        <v>85668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1"/>
      <c r="B55" s="112"/>
      <c r="C55" s="113"/>
      <c r="D55" s="1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16" t="s">
        <v>91</v>
      </c>
      <c r="B58" s="117"/>
      <c r="C58" s="117"/>
      <c r="D58" s="118"/>
      <c r="F58" s="116" t="s">
        <v>92</v>
      </c>
      <c r="G58" s="117"/>
      <c r="H58" s="117"/>
      <c r="I58" s="117"/>
      <c r="J58" s="118"/>
    </row>
    <row r="59" spans="1:18" x14ac:dyDescent="0.25">
      <c r="A59" s="119"/>
      <c r="B59" s="120"/>
      <c r="C59" s="120"/>
      <c r="D59" s="121"/>
      <c r="F59" s="119"/>
      <c r="G59" s="120"/>
      <c r="H59" s="120"/>
      <c r="I59" s="120"/>
      <c r="J59" s="12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146DD-CFF6-4F84-82C8-DDA2C84A40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4" t="s">
        <v>1</v>
      </c>
      <c r="O1" s="20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205" t="s">
        <v>8</v>
      </c>
      <c r="G4" s="207">
        <v>3</v>
      </c>
      <c r="H4" s="209" t="s">
        <v>9</v>
      </c>
      <c r="I4" s="211">
        <v>46028</v>
      </c>
      <c r="J4" s="2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206"/>
      <c r="G5" s="208"/>
      <c r="H5" s="210"/>
      <c r="I5" s="213"/>
      <c r="J5" s="2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f>614-273</f>
        <v>341</v>
      </c>
      <c r="D6" s="13">
        <f t="shared" ref="D6:D28" si="1">C6*L6</f>
        <v>259501</v>
      </c>
      <c r="F6" s="215" t="s">
        <v>16</v>
      </c>
      <c r="G6" s="217" t="s">
        <v>111</v>
      </c>
      <c r="H6" s="218"/>
      <c r="I6" s="218"/>
      <c r="J6" s="2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1</v>
      </c>
      <c r="D7" s="13">
        <f t="shared" si="1"/>
        <v>781</v>
      </c>
      <c r="F7" s="216"/>
      <c r="G7" s="220"/>
      <c r="H7" s="221"/>
      <c r="I7" s="221"/>
      <c r="J7" s="2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223" t="s">
        <v>21</v>
      </c>
      <c r="G8" s="224" t="s">
        <v>119</v>
      </c>
      <c r="H8" s="225"/>
      <c r="I8" s="225"/>
      <c r="J8" s="2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13</v>
      </c>
      <c r="D9" s="13">
        <f t="shared" si="1"/>
        <v>9529</v>
      </c>
      <c r="F9" s="216"/>
      <c r="G9" s="227"/>
      <c r="H9" s="228"/>
      <c r="I9" s="228"/>
      <c r="J9" s="2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215" t="s">
        <v>26</v>
      </c>
      <c r="G10" s="230" t="s">
        <v>134</v>
      </c>
      <c r="H10" s="231"/>
      <c r="I10" s="231"/>
      <c r="J10" s="232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216"/>
      <c r="G11" s="227"/>
      <c r="H11" s="228"/>
      <c r="I11" s="228"/>
      <c r="J11" s="2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v>3</v>
      </c>
      <c r="D12" s="48">
        <f t="shared" si="1"/>
        <v>2976</v>
      </c>
      <c r="F12" s="233" t="s">
        <v>33</v>
      </c>
      <c r="G12" s="234"/>
      <c r="H12" s="234"/>
      <c r="I12" s="234"/>
      <c r="J12" s="2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2</v>
      </c>
      <c r="D13" s="48">
        <f t="shared" si="1"/>
        <v>614</v>
      </c>
      <c r="F13" s="236" t="s">
        <v>36</v>
      </c>
      <c r="G13" s="200"/>
      <c r="H13" s="191">
        <f>D29</f>
        <v>275314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8</v>
      </c>
      <c r="D14" s="31">
        <f t="shared" si="1"/>
        <v>88</v>
      </c>
      <c r="F14" s="194" t="s">
        <v>39</v>
      </c>
      <c r="G14" s="195"/>
      <c r="H14" s="196">
        <f>D54</f>
        <v>52389.75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99" t="s">
        <v>40</v>
      </c>
      <c r="G15" s="200"/>
      <c r="H15" s="201">
        <f>H13-H14</f>
        <v>222924.25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1">
        <f>268*6+51*6</f>
        <v>1914</v>
      </c>
      <c r="I16" s="161"/>
      <c r="J16" s="16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113</v>
      </c>
      <c r="C17" s="10"/>
      <c r="D17" s="48">
        <f t="shared" si="1"/>
        <v>0</v>
      </c>
      <c r="F17" s="56"/>
      <c r="G17" s="66" t="s">
        <v>45</v>
      </c>
      <c r="H17" s="172"/>
      <c r="I17" s="172"/>
      <c r="J17" s="17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2"/>
      <c r="I18" s="172"/>
      <c r="J18" s="17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8"/>
      <c r="I19" s="248"/>
      <c r="J19" s="24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1"/>
      <c r="I20" s="161"/>
      <c r="J20" s="16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7" t="s">
        <v>167</v>
      </c>
      <c r="G22" s="73">
        <v>7798</v>
      </c>
      <c r="H22" s="177">
        <v>173644</v>
      </c>
      <c r="I22" s="177"/>
      <c r="J22" s="17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>
        <v>1</v>
      </c>
      <c r="D23" s="48">
        <f t="shared" si="1"/>
        <v>1175</v>
      </c>
      <c r="F23" s="78"/>
      <c r="G23" s="79"/>
      <c r="H23" s="178"/>
      <c r="I23" s="147"/>
      <c r="J23" s="14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101</v>
      </c>
      <c r="C24" s="10"/>
      <c r="D24" s="48">
        <f t="shared" si="1"/>
        <v>0</v>
      </c>
      <c r="F24" s="38"/>
      <c r="G24" s="37"/>
      <c r="H24" s="178"/>
      <c r="I24" s="147"/>
      <c r="J24" s="14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93"/>
      <c r="G28" s="61"/>
      <c r="H28" s="188"/>
      <c r="I28" s="189"/>
      <c r="J28" s="190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275314</v>
      </c>
      <c r="F29" s="108" t="s">
        <v>55</v>
      </c>
      <c r="G29" s="170"/>
      <c r="H29" s="130">
        <f>H15-H16-H17-H18-H19-H20-H22-H23-H24+H26+H27</f>
        <v>47366.25</v>
      </c>
      <c r="I29" s="131"/>
      <c r="J29" s="13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11"/>
      <c r="G30" s="171"/>
      <c r="H30" s="133"/>
      <c r="I30" s="134"/>
      <c r="J30" s="13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58</v>
      </c>
      <c r="B32" s="156"/>
      <c r="C32" s="156"/>
      <c r="D32" s="157"/>
      <c r="F32" s="158" t="s">
        <v>59</v>
      </c>
      <c r="G32" s="159"/>
      <c r="H32" s="159"/>
      <c r="I32" s="159"/>
      <c r="J32" s="16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8" t="s">
        <v>13</v>
      </c>
      <c r="I33" s="159"/>
      <c r="J33" s="16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26</v>
      </c>
      <c r="H34" s="152">
        <f>F34*G34</f>
        <v>26000</v>
      </c>
      <c r="I34" s="153"/>
      <c r="J34" s="15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152">
        <f>F35*G35</f>
        <v>17500</v>
      </c>
      <c r="I35" s="153"/>
      <c r="J35" s="15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152">
        <f t="shared" ref="H36:H39" si="2">F36*G36</f>
        <v>200</v>
      </c>
      <c r="I36" s="153"/>
      <c r="J36" s="15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>
        <v>34</v>
      </c>
      <c r="H37" s="152">
        <f t="shared" si="2"/>
        <v>3400</v>
      </c>
      <c r="I37" s="153"/>
      <c r="J37" s="15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52">
        <f t="shared" si="2"/>
        <v>0</v>
      </c>
      <c r="I38" s="153"/>
      <c r="J38" s="15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2">
        <f t="shared" si="2"/>
        <v>0</v>
      </c>
      <c r="I39" s="153"/>
      <c r="J39" s="15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152"/>
      <c r="I40" s="153"/>
      <c r="J40" s="15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2"/>
      <c r="I41" s="153"/>
      <c r="J41" s="15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2">
        <v>142</v>
      </c>
      <c r="H42" s="153"/>
      <c r="I42" s="153"/>
      <c r="J42" s="15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2" t="s">
        <v>81</v>
      </c>
      <c r="C43" s="11"/>
      <c r="D43" s="12"/>
      <c r="F43" s="59" t="s">
        <v>82</v>
      </c>
      <c r="G43" s="90" t="s">
        <v>83</v>
      </c>
      <c r="H43" s="144" t="s">
        <v>13</v>
      </c>
      <c r="I43" s="145"/>
      <c r="J43" s="14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3"/>
      <c r="B44" s="27" t="s">
        <v>66</v>
      </c>
      <c r="C44" s="10">
        <v>2</v>
      </c>
      <c r="D44" s="12">
        <f>C44*120</f>
        <v>240</v>
      </c>
      <c r="F44" s="37"/>
      <c r="G44" s="76"/>
      <c r="H44" s="147"/>
      <c r="I44" s="147"/>
      <c r="J44" s="147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23"/>
      <c r="B45" s="27" t="s">
        <v>68</v>
      </c>
      <c r="C45" s="33"/>
      <c r="D45" s="12">
        <f>C45*84</f>
        <v>0</v>
      </c>
      <c r="F45" s="37"/>
      <c r="G45" s="76"/>
      <c r="H45" s="147"/>
      <c r="I45" s="147"/>
      <c r="J45" s="147"/>
      <c r="K45" s="21"/>
      <c r="P45" s="4"/>
      <c r="Q45" s="4"/>
      <c r="R45" s="5"/>
    </row>
    <row r="46" spans="1:18" ht="15.75" x14ac:dyDescent="0.25">
      <c r="A46" s="123"/>
      <c r="B46" s="49" t="s">
        <v>70</v>
      </c>
      <c r="C46" s="81">
        <v>7</v>
      </c>
      <c r="D46" s="12">
        <f>C46*1.5</f>
        <v>10.5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4"/>
      <c r="B47" s="27"/>
      <c r="C47" s="11"/>
      <c r="D47" s="12"/>
      <c r="F47" s="59"/>
      <c r="G47" s="59"/>
      <c r="H47" s="125"/>
      <c r="I47" s="126"/>
      <c r="J47" s="127"/>
      <c r="K47" s="21"/>
      <c r="P47" s="4"/>
      <c r="Q47" s="4"/>
      <c r="R47" s="5"/>
    </row>
    <row r="48" spans="1:18" ht="15" customHeight="1" x14ac:dyDescent="0.25">
      <c r="A48" s="122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25"/>
      <c r="I48" s="126"/>
      <c r="J48" s="1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3"/>
      <c r="B49" s="29" t="s">
        <v>68</v>
      </c>
      <c r="C49" s="33">
        <v>1</v>
      </c>
      <c r="D49" s="12">
        <f>C49*42</f>
        <v>42</v>
      </c>
      <c r="F49" s="128" t="s">
        <v>86</v>
      </c>
      <c r="G49" s="130">
        <f>H34+H35+H36+H37+H38+H39+H40+H41+G42+H44+H45+H46</f>
        <v>47242</v>
      </c>
      <c r="H49" s="131"/>
      <c r="I49" s="131"/>
      <c r="J49" s="13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3"/>
      <c r="B50" s="32" t="s">
        <v>70</v>
      </c>
      <c r="C50" s="11">
        <v>16</v>
      </c>
      <c r="D50" s="12">
        <f>C50*1.5</f>
        <v>24</v>
      </c>
      <c r="F50" s="129"/>
      <c r="G50" s="133"/>
      <c r="H50" s="134"/>
      <c r="I50" s="134"/>
      <c r="J50" s="135"/>
      <c r="O50" t="s">
        <v>144</v>
      </c>
      <c r="P50" s="4">
        <v>1204</v>
      </c>
      <c r="Q50" s="4"/>
      <c r="R50" s="5"/>
    </row>
    <row r="51" spans="1:18" ht="15" customHeight="1" x14ac:dyDescent="0.25">
      <c r="A51" s="123"/>
      <c r="B51" s="27"/>
      <c r="C51" s="10"/>
      <c r="D51" s="31"/>
      <c r="F51" s="136" t="s">
        <v>139</v>
      </c>
      <c r="G51" s="237">
        <f>G49-H29</f>
        <v>-124.25</v>
      </c>
      <c r="H51" s="238"/>
      <c r="I51" s="238"/>
      <c r="J51" s="2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3"/>
      <c r="B52" s="29"/>
      <c r="C52" s="33"/>
      <c r="D52" s="45"/>
      <c r="F52" s="137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8" t="s">
        <v>90</v>
      </c>
      <c r="B54" s="109"/>
      <c r="C54" s="110"/>
      <c r="D54" s="114">
        <f>SUM(D34:D53)</f>
        <v>52389.75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1"/>
      <c r="B55" s="112"/>
      <c r="C55" s="113"/>
      <c r="D55" s="1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6" t="s">
        <v>91</v>
      </c>
      <c r="B58" s="117"/>
      <c r="C58" s="117"/>
      <c r="D58" s="118"/>
      <c r="F58" s="116" t="s">
        <v>92</v>
      </c>
      <c r="G58" s="117"/>
      <c r="H58" s="117"/>
      <c r="I58" s="117"/>
      <c r="J58" s="118"/>
    </row>
    <row r="59" spans="1:18" x14ac:dyDescent="0.25">
      <c r="A59" s="119"/>
      <c r="B59" s="120"/>
      <c r="C59" s="120"/>
      <c r="D59" s="121"/>
      <c r="F59" s="119"/>
      <c r="G59" s="120"/>
      <c r="H59" s="120"/>
      <c r="I59" s="120"/>
      <c r="J59" s="12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17D0-404F-49AF-B1D2-8044EFB5C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4" t="s">
        <v>1</v>
      </c>
      <c r="O1" s="20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205" t="s">
        <v>8</v>
      </c>
      <c r="G4" s="207"/>
      <c r="H4" s="209" t="s">
        <v>9</v>
      </c>
      <c r="I4" s="211"/>
      <c r="J4" s="2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206"/>
      <c r="G5" s="208"/>
      <c r="H5" s="210"/>
      <c r="I5" s="213"/>
      <c r="J5" s="2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215" t="s">
        <v>16</v>
      </c>
      <c r="G6" s="217"/>
      <c r="H6" s="218"/>
      <c r="I6" s="218"/>
      <c r="J6" s="2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216"/>
      <c r="G7" s="220"/>
      <c r="H7" s="221"/>
      <c r="I7" s="221"/>
      <c r="J7" s="2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223" t="s">
        <v>21</v>
      </c>
      <c r="G8" s="224"/>
      <c r="H8" s="225"/>
      <c r="I8" s="225"/>
      <c r="J8" s="22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216"/>
      <c r="G9" s="227"/>
      <c r="H9" s="228"/>
      <c r="I9" s="228"/>
      <c r="J9" s="22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215" t="s">
        <v>26</v>
      </c>
      <c r="G10" s="230"/>
      <c r="H10" s="231"/>
      <c r="I10" s="231"/>
      <c r="J10" s="232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216"/>
      <c r="G11" s="227"/>
      <c r="H11" s="228"/>
      <c r="I11" s="228"/>
      <c r="J11" s="22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233" t="s">
        <v>33</v>
      </c>
      <c r="G12" s="234"/>
      <c r="H12" s="234"/>
      <c r="I12" s="234"/>
      <c r="J12" s="23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236" t="s">
        <v>36</v>
      </c>
      <c r="G13" s="20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94" t="s">
        <v>39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99" t="s">
        <v>40</v>
      </c>
      <c r="G15" s="200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1"/>
      <c r="I16" s="161"/>
      <c r="J16" s="16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45</v>
      </c>
      <c r="H17" s="172"/>
      <c r="I17" s="172"/>
      <c r="J17" s="17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47</v>
      </c>
      <c r="H18" s="172"/>
      <c r="I18" s="172"/>
      <c r="J18" s="17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50</v>
      </c>
      <c r="H19" s="173"/>
      <c r="I19" s="173"/>
      <c r="J19" s="1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120</v>
      </c>
      <c r="H20" s="161"/>
      <c r="I20" s="161"/>
      <c r="J20" s="16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7"/>
      <c r="G22" s="73"/>
      <c r="H22" s="177"/>
      <c r="I22" s="177"/>
      <c r="J22" s="17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8"/>
      <c r="G23" s="79"/>
      <c r="H23" s="178"/>
      <c r="I23" s="147"/>
      <c r="J23" s="14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178"/>
      <c r="I24" s="147"/>
      <c r="J24" s="14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93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08" t="s">
        <v>55</v>
      </c>
      <c r="G29" s="170"/>
      <c r="H29" s="130">
        <f>H15-H16-H17-H18-H19-H20-H22-H23-H24+H26+H27</f>
        <v>0</v>
      </c>
      <c r="I29" s="131"/>
      <c r="J29" s="13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11"/>
      <c r="G30" s="171"/>
      <c r="H30" s="133"/>
      <c r="I30" s="134"/>
      <c r="J30" s="13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58</v>
      </c>
      <c r="B32" s="156"/>
      <c r="C32" s="156"/>
      <c r="D32" s="157"/>
      <c r="F32" s="158" t="s">
        <v>59</v>
      </c>
      <c r="G32" s="159"/>
      <c r="H32" s="159"/>
      <c r="I32" s="159"/>
      <c r="J32" s="16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8" t="s">
        <v>13</v>
      </c>
      <c r="I33" s="159"/>
      <c r="J33" s="16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2"/>
      <c r="I34" s="153"/>
      <c r="J34" s="15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152"/>
      <c r="I35" s="153"/>
      <c r="J35" s="15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152"/>
      <c r="I36" s="153"/>
      <c r="J36" s="15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2"/>
      <c r="I37" s="153"/>
      <c r="J37" s="15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152"/>
      <c r="I38" s="153"/>
      <c r="J38" s="15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152"/>
      <c r="I39" s="153"/>
      <c r="J39" s="15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2"/>
      <c r="I40" s="153"/>
      <c r="J40" s="15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152"/>
      <c r="I41" s="153"/>
      <c r="J41" s="15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152"/>
      <c r="H42" s="153"/>
      <c r="I42" s="153"/>
      <c r="J42" s="15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2" t="s">
        <v>81</v>
      </c>
      <c r="C43" s="11"/>
      <c r="D43" s="12"/>
      <c r="F43" s="59" t="s">
        <v>82</v>
      </c>
      <c r="G43" s="90" t="s">
        <v>83</v>
      </c>
      <c r="H43" s="144" t="s">
        <v>13</v>
      </c>
      <c r="I43" s="145"/>
      <c r="J43" s="146"/>
      <c r="K43" s="21"/>
      <c r="P43" s="4"/>
      <c r="Q43" s="4"/>
      <c r="R43" s="5"/>
    </row>
    <row r="44" spans="1:18" ht="15.75" x14ac:dyDescent="0.25">
      <c r="A44" s="123"/>
      <c r="B44" s="27" t="s">
        <v>66</v>
      </c>
      <c r="C44" s="10"/>
      <c r="D44" s="12">
        <f>C44*120</f>
        <v>0</v>
      </c>
      <c r="F44" s="37"/>
      <c r="G44" s="76"/>
      <c r="H44" s="147"/>
      <c r="I44" s="147"/>
      <c r="J44" s="147"/>
      <c r="K44" s="21"/>
      <c r="P44" s="4"/>
      <c r="Q44" s="4"/>
      <c r="R44" s="5"/>
    </row>
    <row r="45" spans="1:18" ht="15.75" x14ac:dyDescent="0.25">
      <c r="A45" s="123"/>
      <c r="B45" s="27" t="s">
        <v>68</v>
      </c>
      <c r="C45" s="33"/>
      <c r="D45" s="12">
        <f>C45*84</f>
        <v>0</v>
      </c>
      <c r="F45" s="37"/>
      <c r="G45" s="76"/>
      <c r="H45" s="147"/>
      <c r="I45" s="147"/>
      <c r="J45" s="147"/>
      <c r="K45" s="21"/>
      <c r="P45" s="4"/>
      <c r="Q45" s="4"/>
      <c r="R45" s="5"/>
    </row>
    <row r="46" spans="1:18" ht="15.75" x14ac:dyDescent="0.25">
      <c r="A46" s="123"/>
      <c r="B46" s="49" t="s">
        <v>70</v>
      </c>
      <c r="C46" s="81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4"/>
      <c r="B47" s="27"/>
      <c r="C47" s="11"/>
      <c r="D47" s="12"/>
      <c r="F47" s="59"/>
      <c r="G47" s="59"/>
      <c r="H47" s="125"/>
      <c r="I47" s="126"/>
      <c r="J47" s="127"/>
      <c r="K47" s="21"/>
      <c r="P47" s="4"/>
      <c r="Q47" s="4"/>
      <c r="R47" s="5"/>
    </row>
    <row r="48" spans="1:18" ht="15" customHeight="1" x14ac:dyDescent="0.25">
      <c r="A48" s="122" t="s">
        <v>32</v>
      </c>
      <c r="B48" s="27" t="s">
        <v>66</v>
      </c>
      <c r="C48" s="10"/>
      <c r="D48" s="12">
        <f>C48*78</f>
        <v>0</v>
      </c>
      <c r="F48" s="59"/>
      <c r="G48" s="59"/>
      <c r="H48" s="125"/>
      <c r="I48" s="126"/>
      <c r="J48" s="1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3"/>
      <c r="B49" s="29" t="s">
        <v>68</v>
      </c>
      <c r="C49" s="33"/>
      <c r="D49" s="12">
        <f>C49*42</f>
        <v>0</v>
      </c>
      <c r="F49" s="128" t="s">
        <v>86</v>
      </c>
      <c r="G49" s="130">
        <f>H34+H35+H36+H37+H38+H39+H40+H41+G42+H44+H45+H46</f>
        <v>0</v>
      </c>
      <c r="H49" s="131"/>
      <c r="I49" s="131"/>
      <c r="J49" s="13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3"/>
      <c r="B50" s="32" t="s">
        <v>70</v>
      </c>
      <c r="C50" s="11"/>
      <c r="D50" s="12">
        <f>C50*1.5</f>
        <v>0</v>
      </c>
      <c r="F50" s="129"/>
      <c r="G50" s="133"/>
      <c r="H50" s="134"/>
      <c r="I50" s="134"/>
      <c r="J50" s="135"/>
      <c r="P50" s="4"/>
      <c r="Q50" s="4"/>
      <c r="R50" s="5"/>
    </row>
    <row r="51" spans="1:18" ht="15" customHeight="1" x14ac:dyDescent="0.25">
      <c r="A51" s="123"/>
      <c r="B51" s="27"/>
      <c r="C51" s="10"/>
      <c r="D51" s="31"/>
      <c r="F51" s="136" t="s">
        <v>128</v>
      </c>
      <c r="G51" s="138">
        <f>G49-H29</f>
        <v>0</v>
      </c>
      <c r="H51" s="139"/>
      <c r="I51" s="139"/>
      <c r="J51" s="1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3"/>
      <c r="B52" s="29"/>
      <c r="C52" s="33"/>
      <c r="D52" s="45"/>
      <c r="F52" s="137"/>
      <c r="G52" s="141"/>
      <c r="H52" s="142"/>
      <c r="I52" s="142"/>
      <c r="J52" s="1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8" t="s">
        <v>90</v>
      </c>
      <c r="B54" s="109"/>
      <c r="C54" s="110"/>
      <c r="D54" s="114">
        <f>SUM(D34:D53)</f>
        <v>0</v>
      </c>
      <c r="F54" s="21"/>
      <c r="J54" s="34"/>
    </row>
    <row r="55" spans="1:18" x14ac:dyDescent="0.25">
      <c r="A55" s="111"/>
      <c r="B55" s="112"/>
      <c r="C55" s="113"/>
      <c r="D55" s="1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6" t="s">
        <v>91</v>
      </c>
      <c r="B58" s="117"/>
      <c r="C58" s="117"/>
      <c r="D58" s="118"/>
      <c r="F58" s="116" t="s">
        <v>92</v>
      </c>
      <c r="G58" s="117"/>
      <c r="H58" s="117"/>
      <c r="I58" s="117"/>
      <c r="J58" s="118"/>
    </row>
    <row r="59" spans="1:18" x14ac:dyDescent="0.25">
      <c r="A59" s="119"/>
      <c r="B59" s="120"/>
      <c r="C59" s="120"/>
      <c r="D59" s="121"/>
      <c r="F59" s="119"/>
      <c r="G59" s="120"/>
      <c r="H59" s="120"/>
      <c r="I59" s="120"/>
      <c r="J59" s="12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F9B40-1E74-404F-A7FA-39AAF57DE09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4" t="s">
        <v>1</v>
      </c>
      <c r="O1" s="20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205" t="s">
        <v>8</v>
      </c>
      <c r="G4" s="207">
        <v>1</v>
      </c>
      <c r="H4" s="209" t="s">
        <v>9</v>
      </c>
      <c r="I4" s="211">
        <v>46029</v>
      </c>
      <c r="J4" s="2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206"/>
      <c r="G5" s="208"/>
      <c r="H5" s="210"/>
      <c r="I5" s="213"/>
      <c r="J5" s="2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84">
        <v>523</v>
      </c>
      <c r="D6" s="13">
        <f t="shared" ref="D6:D28" si="1">C6*L6</f>
        <v>398003</v>
      </c>
      <c r="F6" s="215" t="s">
        <v>16</v>
      </c>
      <c r="G6" s="217" t="s">
        <v>129</v>
      </c>
      <c r="H6" s="218"/>
      <c r="I6" s="218"/>
      <c r="J6" s="2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84">
        <v>2</v>
      </c>
      <c r="D7" s="13">
        <f t="shared" si="1"/>
        <v>1562</v>
      </c>
      <c r="F7" s="216"/>
      <c r="G7" s="220"/>
      <c r="H7" s="221"/>
      <c r="I7" s="221"/>
      <c r="J7" s="2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84">
        <v>2</v>
      </c>
      <c r="D8" s="13">
        <f t="shared" si="1"/>
        <v>2186</v>
      </c>
      <c r="F8" s="223" t="s">
        <v>21</v>
      </c>
      <c r="G8" s="224" t="s">
        <v>112</v>
      </c>
      <c r="H8" s="225"/>
      <c r="I8" s="225"/>
      <c r="J8" s="2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84">
        <v>10</v>
      </c>
      <c r="D9" s="13">
        <f t="shared" si="1"/>
        <v>7330</v>
      </c>
      <c r="F9" s="216"/>
      <c r="G9" s="227"/>
      <c r="H9" s="228"/>
      <c r="I9" s="228"/>
      <c r="J9" s="2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84"/>
      <c r="D10" s="13">
        <f t="shared" si="1"/>
        <v>0</v>
      </c>
      <c r="F10" s="215" t="s">
        <v>26</v>
      </c>
      <c r="G10" s="230" t="s">
        <v>130</v>
      </c>
      <c r="H10" s="231"/>
      <c r="I10" s="231"/>
      <c r="J10" s="232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84"/>
      <c r="D11" s="13">
        <f t="shared" si="1"/>
        <v>0</v>
      </c>
      <c r="F11" s="216"/>
      <c r="G11" s="227"/>
      <c r="H11" s="228"/>
      <c r="I11" s="228"/>
      <c r="J11" s="2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84"/>
      <c r="D12" s="48">
        <f t="shared" si="1"/>
        <v>0</v>
      </c>
      <c r="F12" s="233" t="s">
        <v>33</v>
      </c>
      <c r="G12" s="234"/>
      <c r="H12" s="234"/>
      <c r="I12" s="234"/>
      <c r="J12" s="2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84">
        <v>13</v>
      </c>
      <c r="D13" s="48">
        <f t="shared" si="1"/>
        <v>3991</v>
      </c>
      <c r="F13" s="236" t="s">
        <v>36</v>
      </c>
      <c r="G13" s="200"/>
      <c r="H13" s="191">
        <f>D29</f>
        <v>416738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84">
        <v>3</v>
      </c>
      <c r="D14" s="31">
        <f t="shared" si="1"/>
        <v>33</v>
      </c>
      <c r="F14" s="194" t="s">
        <v>39</v>
      </c>
      <c r="G14" s="195"/>
      <c r="H14" s="196">
        <f>D54</f>
        <v>113626.5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84"/>
      <c r="D15" s="31">
        <f t="shared" si="1"/>
        <v>0</v>
      </c>
      <c r="F15" s="199" t="s">
        <v>40</v>
      </c>
      <c r="G15" s="200"/>
      <c r="H15" s="201">
        <f>H13-H14</f>
        <v>303111.5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1">
        <f>2586</f>
        <v>2586</v>
      </c>
      <c r="I16" s="161"/>
      <c r="J16" s="16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137</v>
      </c>
      <c r="C17" s="84"/>
      <c r="D17" s="48">
        <f t="shared" si="1"/>
        <v>0</v>
      </c>
      <c r="F17" s="56"/>
      <c r="G17" s="66" t="s">
        <v>45</v>
      </c>
      <c r="H17" s="172"/>
      <c r="I17" s="172"/>
      <c r="J17" s="17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2"/>
      <c r="I18" s="172"/>
      <c r="J18" s="17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v>1102</v>
      </c>
      <c r="Q19" s="4"/>
      <c r="R19" s="5">
        <f t="shared" si="0"/>
        <v>0</v>
      </c>
    </row>
    <row r="20" spans="1:18" ht="15.75" x14ac:dyDescent="0.25">
      <c r="A20" s="150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127</v>
      </c>
      <c r="C22" s="84"/>
      <c r="D22" s="48">
        <f t="shared" si="1"/>
        <v>0</v>
      </c>
      <c r="F22" s="77"/>
      <c r="G22" s="73"/>
      <c r="H22" s="177"/>
      <c r="I22" s="177"/>
      <c r="J22" s="17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169</v>
      </c>
      <c r="C23" s="84">
        <v>12</v>
      </c>
      <c r="D23" s="48">
        <f t="shared" si="1"/>
        <v>454</v>
      </c>
      <c r="F23" s="77"/>
      <c r="G23" s="79"/>
      <c r="H23" s="243"/>
      <c r="I23" s="244"/>
      <c r="J23" s="244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136</v>
      </c>
      <c r="C26" s="84"/>
      <c r="D26" s="48">
        <f t="shared" si="1"/>
        <v>0</v>
      </c>
      <c r="F26" s="75"/>
      <c r="G26" s="65"/>
      <c r="H26" s="147"/>
      <c r="I26" s="147"/>
      <c r="J26" s="14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110</v>
      </c>
      <c r="C27" s="84"/>
      <c r="D27" s="44">
        <f t="shared" si="1"/>
        <v>0</v>
      </c>
      <c r="F27" s="71"/>
      <c r="G27" s="90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84">
        <v>1</v>
      </c>
      <c r="D28" s="48">
        <f t="shared" si="1"/>
        <v>811</v>
      </c>
      <c r="F28" s="93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416738</v>
      </c>
      <c r="F29" s="108" t="s">
        <v>55</v>
      </c>
      <c r="G29" s="170"/>
      <c r="H29" s="130">
        <f>H15-H16-H17-H18-H19-H20-H22-H23-H24+H26+H27+H28</f>
        <v>300525.5</v>
      </c>
      <c r="I29" s="131"/>
      <c r="J29" s="13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11"/>
      <c r="G30" s="171"/>
      <c r="H30" s="133"/>
      <c r="I30" s="134"/>
      <c r="J30" s="13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58</v>
      </c>
      <c r="B32" s="156"/>
      <c r="C32" s="156"/>
      <c r="D32" s="157"/>
      <c r="F32" s="158" t="s">
        <v>59</v>
      </c>
      <c r="G32" s="159"/>
      <c r="H32" s="159"/>
      <c r="I32" s="159"/>
      <c r="J32" s="16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8" t="s">
        <v>13</v>
      </c>
      <c r="I33" s="159"/>
      <c r="J33" s="16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51</v>
      </c>
      <c r="H34" s="152">
        <f t="shared" ref="H34:H39" si="2">F34*G34</f>
        <v>51000</v>
      </c>
      <c r="I34" s="153"/>
      <c r="J34" s="15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20</v>
      </c>
      <c r="H35" s="152">
        <f t="shared" si="2"/>
        <v>10000</v>
      </c>
      <c r="I35" s="153"/>
      <c r="J35" s="15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152">
        <f t="shared" si="2"/>
        <v>0</v>
      </c>
      <c r="I36" s="153"/>
      <c r="J36" s="15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1005</v>
      </c>
      <c r="D37" s="12">
        <f>C37*111</f>
        <v>111555</v>
      </c>
      <c r="F37" s="12">
        <v>100</v>
      </c>
      <c r="G37" s="39">
        <v>41</v>
      </c>
      <c r="H37" s="152">
        <f t="shared" si="2"/>
        <v>4100</v>
      </c>
      <c r="I37" s="153"/>
      <c r="J37" s="15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15</v>
      </c>
      <c r="H38" s="152">
        <f t="shared" si="2"/>
        <v>750</v>
      </c>
      <c r="I38" s="153"/>
      <c r="J38" s="15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2">
        <f t="shared" si="2"/>
        <v>0</v>
      </c>
      <c r="I39" s="153"/>
      <c r="J39" s="15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2"/>
      <c r="I40" s="153"/>
      <c r="J40" s="15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2"/>
      <c r="I41" s="153"/>
      <c r="J41" s="15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30</v>
      </c>
      <c r="D42" s="12">
        <f>C42*2.25</f>
        <v>67.5</v>
      </c>
      <c r="F42" s="39" t="s">
        <v>79</v>
      </c>
      <c r="G42" s="152"/>
      <c r="H42" s="153"/>
      <c r="I42" s="153"/>
      <c r="J42" s="15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2" t="s">
        <v>81</v>
      </c>
      <c r="C43" s="11"/>
      <c r="D43" s="12"/>
      <c r="F43" s="59" t="s">
        <v>82</v>
      </c>
      <c r="G43" s="90" t="s">
        <v>83</v>
      </c>
      <c r="H43" s="144" t="s">
        <v>13</v>
      </c>
      <c r="I43" s="145"/>
      <c r="J43" s="14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3"/>
      <c r="B44" s="27" t="s">
        <v>66</v>
      </c>
      <c r="C44" s="10"/>
      <c r="D44" s="12">
        <f>C44*120</f>
        <v>0</v>
      </c>
      <c r="F44" s="37" t="s">
        <v>147</v>
      </c>
      <c r="G44" s="62" t="s">
        <v>170</v>
      </c>
      <c r="H44" s="147">
        <v>234325</v>
      </c>
      <c r="I44" s="147"/>
      <c r="J44" s="14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3"/>
      <c r="B45" s="27" t="s">
        <v>68</v>
      </c>
      <c r="C45" s="33">
        <v>1</v>
      </c>
      <c r="D45" s="12">
        <f>C45*84</f>
        <v>84</v>
      </c>
      <c r="F45" s="37"/>
      <c r="G45" s="62"/>
      <c r="H45" s="147"/>
      <c r="I45" s="147"/>
      <c r="J45" s="147"/>
      <c r="K45" s="21"/>
      <c r="P45" s="4"/>
      <c r="Q45" s="4"/>
      <c r="R45" s="5"/>
    </row>
    <row r="46" spans="1:18" ht="15.75" x14ac:dyDescent="0.25">
      <c r="A46" s="123"/>
      <c r="B46" s="49" t="s">
        <v>70</v>
      </c>
      <c r="C46" s="81">
        <v>34</v>
      </c>
      <c r="D46" s="12">
        <f>C46*1.5</f>
        <v>51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4"/>
      <c r="B47" s="27"/>
      <c r="C47" s="11"/>
      <c r="D47" s="12"/>
      <c r="F47" s="59"/>
      <c r="G47" s="59"/>
      <c r="H47" s="125"/>
      <c r="I47" s="126"/>
      <c r="J47" s="127"/>
      <c r="K47" s="21"/>
      <c r="P47" s="4"/>
      <c r="Q47" s="4"/>
      <c r="R47" s="5"/>
    </row>
    <row r="48" spans="1:18" ht="15" customHeight="1" x14ac:dyDescent="0.25">
      <c r="A48" s="122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25"/>
      <c r="I48" s="126"/>
      <c r="J48" s="1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3"/>
      <c r="B49" s="29" t="s">
        <v>68</v>
      </c>
      <c r="C49" s="33"/>
      <c r="D49" s="12">
        <f>C49*42</f>
        <v>0</v>
      </c>
      <c r="F49" s="128" t="s">
        <v>86</v>
      </c>
      <c r="G49" s="130">
        <f>H34+H35+H36+H37+H38+H39+H40+H41+G42+H44+H45+H46</f>
        <v>300175</v>
      </c>
      <c r="H49" s="131"/>
      <c r="I49" s="131"/>
      <c r="J49" s="13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3"/>
      <c r="B50" s="32" t="s">
        <v>70</v>
      </c>
      <c r="C50" s="11">
        <v>10</v>
      </c>
      <c r="D50" s="12">
        <f>C50*1.5</f>
        <v>15</v>
      </c>
      <c r="F50" s="129"/>
      <c r="G50" s="133"/>
      <c r="H50" s="134"/>
      <c r="I50" s="134"/>
      <c r="J50" s="135"/>
      <c r="O50" t="s">
        <v>144</v>
      </c>
      <c r="P50" s="4">
        <v>1204</v>
      </c>
      <c r="Q50" s="4"/>
      <c r="R50" s="5"/>
    </row>
    <row r="51" spans="1:18" ht="15" customHeight="1" x14ac:dyDescent="0.25">
      <c r="A51" s="123"/>
      <c r="B51" s="27"/>
      <c r="C51" s="10"/>
      <c r="D51" s="31"/>
      <c r="F51" s="136" t="s">
        <v>131</v>
      </c>
      <c r="G51" s="237">
        <f>G49-H29</f>
        <v>-350.5</v>
      </c>
      <c r="H51" s="238"/>
      <c r="I51" s="238"/>
      <c r="J51" s="2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3"/>
      <c r="B52" s="29"/>
      <c r="C52" s="33"/>
      <c r="D52" s="45"/>
      <c r="F52" s="137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8" t="s">
        <v>90</v>
      </c>
      <c r="B54" s="109"/>
      <c r="C54" s="110"/>
      <c r="D54" s="114">
        <f>SUM(D34:D53)</f>
        <v>113626.5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1"/>
      <c r="B55" s="112"/>
      <c r="C55" s="113"/>
      <c r="D55" s="1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16" t="s">
        <v>91</v>
      </c>
      <c r="B58" s="117"/>
      <c r="C58" s="117"/>
      <c r="D58" s="118"/>
      <c r="F58" s="116" t="s">
        <v>92</v>
      </c>
      <c r="G58" s="117"/>
      <c r="H58" s="117"/>
      <c r="I58" s="117"/>
      <c r="J58" s="118"/>
    </row>
    <row r="59" spans="1:18" x14ac:dyDescent="0.25">
      <c r="A59" s="119"/>
      <c r="B59" s="120"/>
      <c r="C59" s="120"/>
      <c r="D59" s="121"/>
      <c r="F59" s="119"/>
      <c r="G59" s="120"/>
      <c r="H59" s="120"/>
      <c r="I59" s="120"/>
      <c r="J59" s="12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ED1DB-0449-492C-A8C7-2F65547D42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4" t="s">
        <v>1</v>
      </c>
      <c r="O1" s="20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205" t="s">
        <v>8</v>
      </c>
      <c r="G4" s="207">
        <v>2</v>
      </c>
      <c r="H4" s="209" t="s">
        <v>9</v>
      </c>
      <c r="I4" s="211">
        <v>46029</v>
      </c>
      <c r="J4" s="2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206"/>
      <c r="G5" s="208"/>
      <c r="H5" s="210"/>
      <c r="I5" s="213"/>
      <c r="J5" s="2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450</v>
      </c>
      <c r="D6" s="13">
        <f t="shared" ref="D6:D28" si="1">C6*L6</f>
        <v>342450</v>
      </c>
      <c r="F6" s="215" t="s">
        <v>16</v>
      </c>
      <c r="G6" s="217" t="s">
        <v>140</v>
      </c>
      <c r="H6" s="218"/>
      <c r="I6" s="218"/>
      <c r="J6" s="2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/>
      <c r="D7" s="13">
        <f t="shared" si="1"/>
        <v>0</v>
      </c>
      <c r="F7" s="216"/>
      <c r="G7" s="220"/>
      <c r="H7" s="221"/>
      <c r="I7" s="221"/>
      <c r="J7" s="2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223" t="s">
        <v>21</v>
      </c>
      <c r="G8" s="224" t="s">
        <v>114</v>
      </c>
      <c r="H8" s="225"/>
      <c r="I8" s="225"/>
      <c r="J8" s="2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20</v>
      </c>
      <c r="D9" s="13">
        <f t="shared" si="1"/>
        <v>14660</v>
      </c>
      <c r="F9" s="216"/>
      <c r="G9" s="227"/>
      <c r="H9" s="228"/>
      <c r="I9" s="228"/>
      <c r="J9" s="2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215" t="s">
        <v>26</v>
      </c>
      <c r="G10" s="230" t="s">
        <v>115</v>
      </c>
      <c r="H10" s="231"/>
      <c r="I10" s="231"/>
      <c r="J10" s="232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216"/>
      <c r="G11" s="227"/>
      <c r="H11" s="228"/>
      <c r="I11" s="228"/>
      <c r="J11" s="2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233" t="s">
        <v>33</v>
      </c>
      <c r="G12" s="234"/>
      <c r="H12" s="234"/>
      <c r="I12" s="234"/>
      <c r="J12" s="2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15</v>
      </c>
      <c r="D13" s="48">
        <f t="shared" si="1"/>
        <v>4605</v>
      </c>
      <c r="F13" s="236" t="s">
        <v>36</v>
      </c>
      <c r="G13" s="200"/>
      <c r="H13" s="191">
        <f>D29</f>
        <v>364269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11</v>
      </c>
      <c r="D14" s="31">
        <f t="shared" si="1"/>
        <v>121</v>
      </c>
      <c r="F14" s="194" t="s">
        <v>39</v>
      </c>
      <c r="G14" s="195"/>
      <c r="H14" s="196">
        <f>D54</f>
        <v>53587.5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99" t="s">
        <v>40</v>
      </c>
      <c r="G15" s="200"/>
      <c r="H15" s="201">
        <f>H13-H14</f>
        <v>310681.5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1">
        <f>2064</f>
        <v>2064</v>
      </c>
      <c r="I16" s="161"/>
      <c r="J16" s="16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93</v>
      </c>
      <c r="C17" s="10"/>
      <c r="D17" s="48">
        <f t="shared" si="1"/>
        <v>0</v>
      </c>
      <c r="F17" s="56"/>
      <c r="G17" s="66" t="s">
        <v>45</v>
      </c>
      <c r="H17" s="172"/>
      <c r="I17" s="172"/>
      <c r="J17" s="17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2"/>
      <c r="I18" s="172"/>
      <c r="J18" s="17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7"/>
      <c r="I19" s="247"/>
      <c r="J19" s="24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2"/>
      <c r="G22" s="73"/>
      <c r="H22" s="177"/>
      <c r="I22" s="177"/>
      <c r="J22" s="17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25"/>
      <c r="G23" s="37"/>
      <c r="H23" s="178"/>
      <c r="I23" s="147"/>
      <c r="J23" s="14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123</v>
      </c>
      <c r="C24" s="10"/>
      <c r="D24" s="48">
        <f t="shared" si="1"/>
        <v>0</v>
      </c>
      <c r="F24" s="38"/>
      <c r="G24" s="37"/>
      <c r="H24" s="178"/>
      <c r="I24" s="147"/>
      <c r="J24" s="14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 t="s">
        <v>166</v>
      </c>
      <c r="G26" s="59">
        <v>8133</v>
      </c>
      <c r="H26" s="182">
        <v>131647</v>
      </c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>
        <v>3</v>
      </c>
      <c r="D28" s="48">
        <f t="shared" si="1"/>
        <v>2433</v>
      </c>
      <c r="F28" s="93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364269</v>
      </c>
      <c r="F29" s="108" t="s">
        <v>55</v>
      </c>
      <c r="G29" s="170"/>
      <c r="H29" s="130">
        <f>H15-H16-H17-H18-H19-H20-H22-H23-H24+H26+H27</f>
        <v>440264.5</v>
      </c>
      <c r="I29" s="131"/>
      <c r="J29" s="13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11"/>
      <c r="G30" s="171"/>
      <c r="H30" s="133"/>
      <c r="I30" s="134"/>
      <c r="J30" s="13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58</v>
      </c>
      <c r="B32" s="156"/>
      <c r="C32" s="156"/>
      <c r="D32" s="157"/>
      <c r="F32" s="158" t="s">
        <v>59</v>
      </c>
      <c r="G32" s="159"/>
      <c r="H32" s="159"/>
      <c r="I32" s="159"/>
      <c r="J32" s="16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8" t="s">
        <v>13</v>
      </c>
      <c r="I33" s="159"/>
      <c r="J33" s="16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243</v>
      </c>
      <c r="H34" s="152">
        <f>F34*G34</f>
        <v>243000</v>
      </c>
      <c r="I34" s="153"/>
      <c r="J34" s="15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101</v>
      </c>
      <c r="H35" s="152">
        <f t="shared" ref="H35:H39" si="2">F35*G35</f>
        <v>50500</v>
      </c>
      <c r="I35" s="153"/>
      <c r="J35" s="15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152">
        <f>F36*G36</f>
        <v>0</v>
      </c>
      <c r="I36" s="153"/>
      <c r="J36" s="15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128</v>
      </c>
      <c r="H37" s="152">
        <f t="shared" si="2"/>
        <v>12800</v>
      </c>
      <c r="I37" s="153"/>
      <c r="J37" s="15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46</v>
      </c>
      <c r="H38" s="152">
        <f t="shared" si="2"/>
        <v>2300</v>
      </c>
      <c r="I38" s="153"/>
      <c r="J38" s="15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2">
        <f t="shared" si="2"/>
        <v>0</v>
      </c>
      <c r="I39" s="153"/>
      <c r="J39" s="15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2"/>
      <c r="I40" s="153"/>
      <c r="J40" s="15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152"/>
      <c r="I41" s="153"/>
      <c r="J41" s="15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152">
        <v>71</v>
      </c>
      <c r="H42" s="153"/>
      <c r="I42" s="153"/>
      <c r="J42" s="15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2" t="s">
        <v>81</v>
      </c>
      <c r="C43" s="11"/>
      <c r="D43" s="12"/>
      <c r="F43" s="59" t="s">
        <v>82</v>
      </c>
      <c r="G43" s="90" t="s">
        <v>83</v>
      </c>
      <c r="H43" s="144" t="s">
        <v>13</v>
      </c>
      <c r="I43" s="145"/>
      <c r="J43" s="14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3"/>
      <c r="B44" s="27" t="s">
        <v>66</v>
      </c>
      <c r="C44" s="10"/>
      <c r="D44" s="12">
        <f>C44*120</f>
        <v>0</v>
      </c>
      <c r="F44" s="37" t="s">
        <v>147</v>
      </c>
      <c r="G44" s="62" t="s">
        <v>171</v>
      </c>
      <c r="H44" s="147">
        <v>131647</v>
      </c>
      <c r="I44" s="147"/>
      <c r="J44" s="14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3"/>
      <c r="B45" s="27" t="s">
        <v>68</v>
      </c>
      <c r="C45" s="33"/>
      <c r="D45" s="12">
        <f>C45*84</f>
        <v>0</v>
      </c>
      <c r="F45" s="37"/>
      <c r="G45" s="62"/>
      <c r="H45" s="147"/>
      <c r="I45" s="147"/>
      <c r="J45" s="147"/>
      <c r="K45" s="21"/>
      <c r="P45" s="4"/>
      <c r="Q45" s="4"/>
      <c r="R45" s="5"/>
    </row>
    <row r="46" spans="1:18" ht="15.75" x14ac:dyDescent="0.25">
      <c r="A46" s="123"/>
      <c r="B46" s="49" t="s">
        <v>70</v>
      </c>
      <c r="C46" s="81"/>
      <c r="D46" s="12">
        <f>C46*1.5</f>
        <v>0</v>
      </c>
      <c r="F46" s="37"/>
      <c r="G46" s="91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4"/>
      <c r="B47" s="27"/>
      <c r="C47" s="11"/>
      <c r="D47" s="12"/>
      <c r="F47" s="59"/>
      <c r="G47" s="59"/>
      <c r="H47" s="125"/>
      <c r="I47" s="126"/>
      <c r="J47" s="127"/>
      <c r="K47" s="21"/>
      <c r="P47" s="4"/>
      <c r="Q47" s="4"/>
      <c r="R47" s="5"/>
    </row>
    <row r="48" spans="1:18" ht="15" customHeight="1" x14ac:dyDescent="0.25">
      <c r="A48" s="122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25"/>
      <c r="I48" s="126"/>
      <c r="J48" s="1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3"/>
      <c r="B49" s="29" t="s">
        <v>68</v>
      </c>
      <c r="C49" s="33">
        <v>9</v>
      </c>
      <c r="D49" s="12">
        <f>C49*42</f>
        <v>378</v>
      </c>
      <c r="F49" s="128" t="s">
        <v>86</v>
      </c>
      <c r="G49" s="130">
        <f>H34+H35+H36+H37+H38+H39+H40+H41+G42+H44+H45+H46</f>
        <v>440318</v>
      </c>
      <c r="H49" s="131"/>
      <c r="I49" s="131"/>
      <c r="J49" s="13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3"/>
      <c r="B50" s="32" t="s">
        <v>70</v>
      </c>
      <c r="C50" s="11">
        <v>15</v>
      </c>
      <c r="D50" s="12">
        <f>C50*1.5</f>
        <v>22.5</v>
      </c>
      <c r="F50" s="129"/>
      <c r="G50" s="133"/>
      <c r="H50" s="134"/>
      <c r="I50" s="134"/>
      <c r="J50" s="135"/>
      <c r="O50" t="s">
        <v>144</v>
      </c>
      <c r="P50" s="4">
        <v>1204</v>
      </c>
      <c r="Q50" s="4"/>
      <c r="R50" s="5"/>
    </row>
    <row r="51" spans="1:18" ht="15" customHeight="1" x14ac:dyDescent="0.25">
      <c r="A51" s="123"/>
      <c r="B51" s="27"/>
      <c r="C51" s="10"/>
      <c r="D51" s="31"/>
      <c r="F51" s="136" t="s">
        <v>142</v>
      </c>
      <c r="G51" s="138">
        <f>G49-H29</f>
        <v>53.5</v>
      </c>
      <c r="H51" s="139"/>
      <c r="I51" s="139"/>
      <c r="J51" s="1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3"/>
      <c r="B52" s="29"/>
      <c r="C52" s="33"/>
      <c r="D52" s="45"/>
      <c r="F52" s="137"/>
      <c r="G52" s="141"/>
      <c r="H52" s="142"/>
      <c r="I52" s="142"/>
      <c r="J52" s="1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8" t="s">
        <v>90</v>
      </c>
      <c r="B54" s="109"/>
      <c r="C54" s="110"/>
      <c r="D54" s="114">
        <f>SUM(D34:D53)</f>
        <v>53587.5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1"/>
      <c r="B55" s="112"/>
      <c r="C55" s="113"/>
      <c r="D55" s="1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16" t="s">
        <v>91</v>
      </c>
      <c r="B58" s="117"/>
      <c r="C58" s="117"/>
      <c r="D58" s="118"/>
      <c r="F58" s="116" t="s">
        <v>92</v>
      </c>
      <c r="G58" s="117"/>
      <c r="H58" s="117"/>
      <c r="I58" s="117"/>
      <c r="J58" s="118"/>
    </row>
    <row r="59" spans="1:18" x14ac:dyDescent="0.25">
      <c r="A59" s="119"/>
      <c r="B59" s="120"/>
      <c r="C59" s="120"/>
      <c r="D59" s="121"/>
      <c r="F59" s="119"/>
      <c r="G59" s="120"/>
      <c r="H59" s="120"/>
      <c r="I59" s="120"/>
      <c r="J59" s="12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B1D7E-AC3B-4A1A-9DF9-F2224DED70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4" t="s">
        <v>1</v>
      </c>
      <c r="O1" s="204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205" t="s">
        <v>8</v>
      </c>
      <c r="G4" s="207" t="s">
        <v>179</v>
      </c>
      <c r="H4" s="209" t="s">
        <v>9</v>
      </c>
      <c r="I4" s="211">
        <v>46029</v>
      </c>
      <c r="J4" s="2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206"/>
      <c r="G5" s="208"/>
      <c r="H5" s="210"/>
      <c r="I5" s="213"/>
      <c r="J5" s="2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/>
      <c r="D6" s="13">
        <f t="shared" ref="D6:D28" si="1">C6*L6</f>
        <v>0</v>
      </c>
      <c r="F6" s="215" t="s">
        <v>16</v>
      </c>
      <c r="G6" s="217" t="s">
        <v>178</v>
      </c>
      <c r="H6" s="218"/>
      <c r="I6" s="218"/>
      <c r="J6" s="2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/>
      <c r="D7" s="13">
        <f t="shared" si="1"/>
        <v>0</v>
      </c>
      <c r="F7" s="216"/>
      <c r="G7" s="220"/>
      <c r="H7" s="221"/>
      <c r="I7" s="221"/>
      <c r="J7" s="2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223" t="s">
        <v>21</v>
      </c>
      <c r="G8" s="224"/>
      <c r="H8" s="225"/>
      <c r="I8" s="225"/>
      <c r="J8" s="2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/>
      <c r="D9" s="13">
        <f t="shared" si="1"/>
        <v>0</v>
      </c>
      <c r="F9" s="216"/>
      <c r="G9" s="227"/>
      <c r="H9" s="228"/>
      <c r="I9" s="228"/>
      <c r="J9" s="2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215" t="s">
        <v>26</v>
      </c>
      <c r="G10" s="230"/>
      <c r="H10" s="231"/>
      <c r="I10" s="231"/>
      <c r="J10" s="232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216"/>
      <c r="G11" s="227"/>
      <c r="H11" s="228"/>
      <c r="I11" s="228"/>
      <c r="J11" s="2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233" t="s">
        <v>33</v>
      </c>
      <c r="G12" s="234"/>
      <c r="H12" s="234"/>
      <c r="I12" s="234"/>
      <c r="J12" s="2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/>
      <c r="D13" s="48">
        <f t="shared" si="1"/>
        <v>0</v>
      </c>
      <c r="F13" s="236" t="s">
        <v>36</v>
      </c>
      <c r="G13" s="20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94" t="s">
        <v>39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99" t="s">
        <v>40</v>
      </c>
      <c r="G15" s="200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1"/>
      <c r="I16" s="161"/>
      <c r="J16" s="16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93</v>
      </c>
      <c r="C17" s="10"/>
      <c r="D17" s="48">
        <f t="shared" si="1"/>
        <v>0</v>
      </c>
      <c r="F17" s="56"/>
      <c r="G17" s="66" t="s">
        <v>45</v>
      </c>
      <c r="H17" s="172"/>
      <c r="I17" s="172"/>
      <c r="J17" s="17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2"/>
      <c r="I18" s="172"/>
      <c r="J18" s="17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7"/>
      <c r="I19" s="247"/>
      <c r="J19" s="24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2"/>
      <c r="G22" s="73"/>
      <c r="H22" s="177"/>
      <c r="I22" s="177"/>
      <c r="J22" s="17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25"/>
      <c r="G23" s="37"/>
      <c r="H23" s="178"/>
      <c r="I23" s="147"/>
      <c r="J23" s="14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123</v>
      </c>
      <c r="C24" s="10"/>
      <c r="D24" s="48">
        <f t="shared" si="1"/>
        <v>0</v>
      </c>
      <c r="F24" s="38"/>
      <c r="G24" s="37"/>
      <c r="H24" s="178"/>
      <c r="I24" s="147"/>
      <c r="J24" s="14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 t="s">
        <v>174</v>
      </c>
      <c r="G26" s="59">
        <v>8269</v>
      </c>
      <c r="H26" s="182">
        <v>7281</v>
      </c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102" t="s">
        <v>175</v>
      </c>
      <c r="G27" s="59">
        <v>8269</v>
      </c>
      <c r="H27" s="182">
        <v>1000</v>
      </c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102" t="s">
        <v>176</v>
      </c>
      <c r="G28" s="59">
        <v>8269</v>
      </c>
      <c r="H28" s="182">
        <v>3130</v>
      </c>
      <c r="I28" s="183"/>
      <c r="J28" s="18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08" t="s">
        <v>55</v>
      </c>
      <c r="G29" s="170"/>
      <c r="H29" s="130">
        <f>H15-H16-H17-H18-H19-H20-H22-H23-H24+H26+H27+H28</f>
        <v>11411</v>
      </c>
      <c r="I29" s="131"/>
      <c r="J29" s="13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11"/>
      <c r="G30" s="171"/>
      <c r="H30" s="133"/>
      <c r="I30" s="134"/>
      <c r="J30" s="13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58</v>
      </c>
      <c r="B32" s="156"/>
      <c r="C32" s="156"/>
      <c r="D32" s="157"/>
      <c r="F32" s="158" t="s">
        <v>59</v>
      </c>
      <c r="G32" s="159"/>
      <c r="H32" s="159"/>
      <c r="I32" s="159"/>
      <c r="J32" s="16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9" t="s">
        <v>63</v>
      </c>
      <c r="H33" s="158" t="s">
        <v>13</v>
      </c>
      <c r="I33" s="159"/>
      <c r="J33" s="16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2">
        <f>F34*G34</f>
        <v>0</v>
      </c>
      <c r="I34" s="153"/>
      <c r="J34" s="15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152">
        <f t="shared" ref="H35:H39" si="2">F35*G35</f>
        <v>0</v>
      </c>
      <c r="I35" s="153"/>
      <c r="J35" s="15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152">
        <f>F36*G36</f>
        <v>0</v>
      </c>
      <c r="I36" s="153"/>
      <c r="J36" s="15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2">
        <f t="shared" si="2"/>
        <v>0</v>
      </c>
      <c r="I37" s="153"/>
      <c r="J37" s="15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152">
        <f t="shared" si="2"/>
        <v>0</v>
      </c>
      <c r="I38" s="153"/>
      <c r="J38" s="15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152">
        <f t="shared" si="2"/>
        <v>0</v>
      </c>
      <c r="I39" s="153"/>
      <c r="J39" s="15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2"/>
      <c r="I40" s="153"/>
      <c r="J40" s="15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152"/>
      <c r="I41" s="153"/>
      <c r="J41" s="15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152"/>
      <c r="H42" s="153"/>
      <c r="I42" s="153"/>
      <c r="J42" s="15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2" t="s">
        <v>81</v>
      </c>
      <c r="C43" s="11"/>
      <c r="D43" s="12"/>
      <c r="F43" s="59" t="s">
        <v>82</v>
      </c>
      <c r="G43" s="101" t="s">
        <v>83</v>
      </c>
      <c r="H43" s="144" t="s">
        <v>13</v>
      </c>
      <c r="I43" s="145"/>
      <c r="J43" s="14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3"/>
      <c r="B44" s="27" t="s">
        <v>66</v>
      </c>
      <c r="C44" s="10"/>
      <c r="D44" s="12">
        <f>C44*120</f>
        <v>0</v>
      </c>
      <c r="F44" s="37" t="s">
        <v>153</v>
      </c>
      <c r="G44" s="62"/>
      <c r="H44" s="147">
        <v>11411</v>
      </c>
      <c r="I44" s="147"/>
      <c r="J44" s="14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3"/>
      <c r="B45" s="27" t="s">
        <v>68</v>
      </c>
      <c r="C45" s="33"/>
      <c r="D45" s="12">
        <f>C45*84</f>
        <v>0</v>
      </c>
      <c r="F45" s="37"/>
      <c r="G45" s="62"/>
      <c r="H45" s="147"/>
      <c r="I45" s="147"/>
      <c r="J45" s="147"/>
      <c r="K45" s="21"/>
      <c r="P45" s="4"/>
      <c r="Q45" s="4"/>
      <c r="R45" s="5"/>
    </row>
    <row r="46" spans="1:18" ht="15.75" x14ac:dyDescent="0.25">
      <c r="A46" s="123"/>
      <c r="B46" s="49" t="s">
        <v>70</v>
      </c>
      <c r="C46" s="81"/>
      <c r="D46" s="12">
        <f>C46*1.5</f>
        <v>0</v>
      </c>
      <c r="F46" s="37"/>
      <c r="G46" s="100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4"/>
      <c r="B47" s="27"/>
      <c r="C47" s="11"/>
      <c r="D47" s="12"/>
      <c r="F47" s="59"/>
      <c r="G47" s="59"/>
      <c r="H47" s="125"/>
      <c r="I47" s="126"/>
      <c r="J47" s="127"/>
      <c r="K47" s="21"/>
      <c r="P47" s="4"/>
      <c r="Q47" s="4"/>
      <c r="R47" s="5"/>
    </row>
    <row r="48" spans="1:18" ht="15" customHeight="1" x14ac:dyDescent="0.25">
      <c r="A48" s="122" t="s">
        <v>32</v>
      </c>
      <c r="B48" s="27" t="s">
        <v>66</v>
      </c>
      <c r="C48" s="10"/>
      <c r="D48" s="12">
        <f>C48*78</f>
        <v>0</v>
      </c>
      <c r="F48" s="59"/>
      <c r="G48" s="59"/>
      <c r="H48" s="125"/>
      <c r="I48" s="126"/>
      <c r="J48" s="1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3"/>
      <c r="B49" s="29" t="s">
        <v>68</v>
      </c>
      <c r="C49" s="33"/>
      <c r="D49" s="12">
        <f>C49*42</f>
        <v>0</v>
      </c>
      <c r="F49" s="128" t="s">
        <v>86</v>
      </c>
      <c r="G49" s="130">
        <f>H34+H35+H36+H37+H38+H39+H40+H41+G42+H44+H45+H46</f>
        <v>11411</v>
      </c>
      <c r="H49" s="131"/>
      <c r="I49" s="131"/>
      <c r="J49" s="13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3"/>
      <c r="B50" s="32" t="s">
        <v>70</v>
      </c>
      <c r="C50" s="11"/>
      <c r="D50" s="12">
        <f>C50*1.5</f>
        <v>0</v>
      </c>
      <c r="F50" s="129"/>
      <c r="G50" s="133"/>
      <c r="H50" s="134"/>
      <c r="I50" s="134"/>
      <c r="J50" s="135"/>
      <c r="O50" t="s">
        <v>144</v>
      </c>
      <c r="P50" s="4">
        <v>1204</v>
      </c>
      <c r="Q50" s="4"/>
      <c r="R50" s="5"/>
    </row>
    <row r="51" spans="1:18" ht="15" customHeight="1" x14ac:dyDescent="0.25">
      <c r="A51" s="123"/>
      <c r="B51" s="27"/>
      <c r="C51" s="10"/>
      <c r="D51" s="31"/>
      <c r="F51" s="136" t="s">
        <v>177</v>
      </c>
      <c r="G51" s="138">
        <f>G49-H29</f>
        <v>0</v>
      </c>
      <c r="H51" s="139"/>
      <c r="I51" s="139"/>
      <c r="J51" s="1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3"/>
      <c r="B52" s="29"/>
      <c r="C52" s="33"/>
      <c r="D52" s="45"/>
      <c r="F52" s="137"/>
      <c r="G52" s="141"/>
      <c r="H52" s="142"/>
      <c r="I52" s="142"/>
      <c r="J52" s="1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8" t="s">
        <v>90</v>
      </c>
      <c r="B54" s="109"/>
      <c r="C54" s="110"/>
      <c r="D54" s="11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1"/>
      <c r="B55" s="112"/>
      <c r="C55" s="113"/>
      <c r="D55" s="1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116" t="s">
        <v>91</v>
      </c>
      <c r="B58" s="117"/>
      <c r="C58" s="117"/>
      <c r="D58" s="118"/>
      <c r="F58" s="116" t="s">
        <v>92</v>
      </c>
      <c r="G58" s="117"/>
      <c r="H58" s="117"/>
      <c r="I58" s="117"/>
      <c r="J58" s="118"/>
    </row>
    <row r="59" spans="1:18" x14ac:dyDescent="0.25">
      <c r="A59" s="119"/>
      <c r="B59" s="120"/>
      <c r="C59" s="120"/>
      <c r="D59" s="121"/>
      <c r="F59" s="119"/>
      <c r="G59" s="120"/>
      <c r="H59" s="120"/>
      <c r="I59" s="120"/>
      <c r="J59" s="1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1D6E1-A235-427E-8635-9ADA7BD0B7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4" t="s">
        <v>1</v>
      </c>
      <c r="O1" s="20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205" t="s">
        <v>8</v>
      </c>
      <c r="G4" s="207">
        <v>3</v>
      </c>
      <c r="H4" s="209" t="s">
        <v>9</v>
      </c>
      <c r="I4" s="211">
        <v>46029</v>
      </c>
      <c r="J4" s="2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206"/>
      <c r="G5" s="208"/>
      <c r="H5" s="210"/>
      <c r="I5" s="213"/>
      <c r="J5" s="2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380</v>
      </c>
      <c r="D6" s="13">
        <f t="shared" ref="D6:D28" si="1">C6*L6</f>
        <v>289180</v>
      </c>
      <c r="F6" s="215" t="s">
        <v>16</v>
      </c>
      <c r="G6" s="217" t="s">
        <v>111</v>
      </c>
      <c r="H6" s="218"/>
      <c r="I6" s="218"/>
      <c r="J6" s="2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19</v>
      </c>
      <c r="D7" s="13">
        <f t="shared" si="1"/>
        <v>14839</v>
      </c>
      <c r="F7" s="216"/>
      <c r="G7" s="220"/>
      <c r="H7" s="221"/>
      <c r="I7" s="221"/>
      <c r="J7" s="2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>
        <v>2</v>
      </c>
      <c r="D8" s="13">
        <f t="shared" si="1"/>
        <v>2186</v>
      </c>
      <c r="F8" s="223" t="s">
        <v>21</v>
      </c>
      <c r="G8" s="224" t="s">
        <v>119</v>
      </c>
      <c r="H8" s="225"/>
      <c r="I8" s="225"/>
      <c r="J8" s="2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84</v>
      </c>
      <c r="D9" s="13">
        <f t="shared" si="1"/>
        <v>61572</v>
      </c>
      <c r="F9" s="216"/>
      <c r="G9" s="227"/>
      <c r="H9" s="228"/>
      <c r="I9" s="228"/>
      <c r="J9" s="2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>
        <v>1</v>
      </c>
      <c r="D10" s="13">
        <f t="shared" si="1"/>
        <v>1032</v>
      </c>
      <c r="F10" s="215" t="s">
        <v>26</v>
      </c>
      <c r="G10" s="230" t="s">
        <v>134</v>
      </c>
      <c r="H10" s="231"/>
      <c r="I10" s="231"/>
      <c r="J10" s="232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216"/>
      <c r="G11" s="227"/>
      <c r="H11" s="228"/>
      <c r="I11" s="228"/>
      <c r="J11" s="2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f>3+1</f>
        <v>4</v>
      </c>
      <c r="D12" s="48">
        <f t="shared" si="1"/>
        <v>3968</v>
      </c>
      <c r="F12" s="233" t="s">
        <v>33</v>
      </c>
      <c r="G12" s="234"/>
      <c r="H12" s="234"/>
      <c r="I12" s="234"/>
      <c r="J12" s="2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14</v>
      </c>
      <c r="D13" s="48">
        <f t="shared" si="1"/>
        <v>4298</v>
      </c>
      <c r="F13" s="236" t="s">
        <v>36</v>
      </c>
      <c r="G13" s="200"/>
      <c r="H13" s="191">
        <f>D29</f>
        <v>383641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6</v>
      </c>
      <c r="D14" s="31">
        <f t="shared" si="1"/>
        <v>66</v>
      </c>
      <c r="F14" s="194" t="s">
        <v>39</v>
      </c>
      <c r="G14" s="195"/>
      <c r="H14" s="196">
        <f>D54</f>
        <v>52228.5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99" t="s">
        <v>40</v>
      </c>
      <c r="G15" s="200"/>
      <c r="H15" s="201">
        <f>H13-H14</f>
        <v>331412.5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1">
        <v>1248</v>
      </c>
      <c r="I16" s="161"/>
      <c r="J16" s="16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113</v>
      </c>
      <c r="C17" s="10"/>
      <c r="D17" s="48">
        <f t="shared" si="1"/>
        <v>0</v>
      </c>
      <c r="F17" s="56"/>
      <c r="G17" s="66" t="s">
        <v>45</v>
      </c>
      <c r="H17" s="172"/>
      <c r="I17" s="172"/>
      <c r="J17" s="17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2"/>
      <c r="I18" s="172"/>
      <c r="J18" s="17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8">
        <v>50</v>
      </c>
      <c r="I19" s="248"/>
      <c r="J19" s="24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1"/>
      <c r="I20" s="161"/>
      <c r="J20" s="16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135</v>
      </c>
      <c r="C21" s="10">
        <f>5+5</f>
        <v>10</v>
      </c>
      <c r="D21" s="48">
        <f t="shared" si="1"/>
        <v>6500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7"/>
      <c r="G22" s="73"/>
      <c r="H22" s="177"/>
      <c r="I22" s="177"/>
      <c r="J22" s="17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78"/>
      <c r="G23" s="79"/>
      <c r="H23" s="178"/>
      <c r="I23" s="147"/>
      <c r="J23" s="14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101</v>
      </c>
      <c r="C24" s="10"/>
      <c r="D24" s="48">
        <f t="shared" si="1"/>
        <v>0</v>
      </c>
      <c r="F24" s="38"/>
      <c r="G24" s="37"/>
      <c r="H24" s="178"/>
      <c r="I24" s="147"/>
      <c r="J24" s="14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 t="s">
        <v>167</v>
      </c>
      <c r="G26" s="59">
        <v>7798</v>
      </c>
      <c r="H26" s="182">
        <v>173644</v>
      </c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93"/>
      <c r="G28" s="61"/>
      <c r="H28" s="188"/>
      <c r="I28" s="189"/>
      <c r="J28" s="190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383641</v>
      </c>
      <c r="F29" s="108" t="s">
        <v>55</v>
      </c>
      <c r="G29" s="170"/>
      <c r="H29" s="130">
        <f>H15-H16-H17-H18-H19-H20-H22-H23-H24+H26+H27</f>
        <v>503758.5</v>
      </c>
      <c r="I29" s="131"/>
      <c r="J29" s="13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11"/>
      <c r="G30" s="171"/>
      <c r="H30" s="133"/>
      <c r="I30" s="134"/>
      <c r="J30" s="13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58</v>
      </c>
      <c r="B32" s="156"/>
      <c r="C32" s="156"/>
      <c r="D32" s="157"/>
      <c r="F32" s="158" t="s">
        <v>59</v>
      </c>
      <c r="G32" s="159"/>
      <c r="H32" s="159"/>
      <c r="I32" s="159"/>
      <c r="J32" s="16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8" t="s">
        <v>13</v>
      </c>
      <c r="I33" s="159"/>
      <c r="J33" s="16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152">
        <f>F34*G34</f>
        <v>148000</v>
      </c>
      <c r="I34" s="153"/>
      <c r="J34" s="15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52">
        <f>F35*G35</f>
        <v>10000</v>
      </c>
      <c r="I35" s="153"/>
      <c r="J35" s="15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52">
        <f t="shared" ref="H36:H39" si="2">F36*G36</f>
        <v>600</v>
      </c>
      <c r="I36" s="153"/>
      <c r="J36" s="15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151</v>
      </c>
      <c r="H37" s="152">
        <f t="shared" si="2"/>
        <v>15100</v>
      </c>
      <c r="I37" s="153"/>
      <c r="J37" s="15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335</v>
      </c>
      <c r="H38" s="152">
        <f t="shared" si="2"/>
        <v>16750</v>
      </c>
      <c r="I38" s="153"/>
      <c r="J38" s="15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2">
        <f t="shared" si="2"/>
        <v>0</v>
      </c>
      <c r="I39" s="153"/>
      <c r="J39" s="15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52"/>
      <c r="I40" s="153"/>
      <c r="J40" s="15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152"/>
      <c r="I41" s="153"/>
      <c r="J41" s="15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4</v>
      </c>
      <c r="D42" s="12">
        <f>C42*2.25</f>
        <v>9</v>
      </c>
      <c r="F42" s="39" t="s">
        <v>79</v>
      </c>
      <c r="G42" s="152">
        <v>175</v>
      </c>
      <c r="H42" s="153"/>
      <c r="I42" s="153"/>
      <c r="J42" s="15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2" t="s">
        <v>81</v>
      </c>
      <c r="C43" s="11"/>
      <c r="D43" s="12"/>
      <c r="F43" s="59" t="s">
        <v>82</v>
      </c>
      <c r="G43" s="90" t="s">
        <v>83</v>
      </c>
      <c r="H43" s="144" t="s">
        <v>13</v>
      </c>
      <c r="I43" s="145"/>
      <c r="J43" s="14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3"/>
      <c r="B44" s="27" t="s">
        <v>66</v>
      </c>
      <c r="C44" s="10">
        <v>5</v>
      </c>
      <c r="D44" s="12">
        <f>C44*120</f>
        <v>600</v>
      </c>
      <c r="F44" s="37" t="s">
        <v>147</v>
      </c>
      <c r="G44" s="76" t="s">
        <v>172</v>
      </c>
      <c r="H44" s="147">
        <v>139318</v>
      </c>
      <c r="I44" s="147"/>
      <c r="J44" s="147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23"/>
      <c r="B45" s="27" t="s">
        <v>68</v>
      </c>
      <c r="C45" s="33">
        <v>2</v>
      </c>
      <c r="D45" s="12">
        <f>C45*84</f>
        <v>168</v>
      </c>
      <c r="F45" s="37" t="s">
        <v>147</v>
      </c>
      <c r="G45" s="76" t="s">
        <v>173</v>
      </c>
      <c r="H45" s="147">
        <v>173644</v>
      </c>
      <c r="I45" s="147"/>
      <c r="J45" s="147"/>
      <c r="K45" s="21"/>
      <c r="P45" s="4"/>
      <c r="Q45" s="4"/>
      <c r="R45" s="5"/>
    </row>
    <row r="46" spans="1:18" ht="15.75" x14ac:dyDescent="0.25">
      <c r="A46" s="123"/>
      <c r="B46" s="49" t="s">
        <v>70</v>
      </c>
      <c r="C46" s="81">
        <v>9</v>
      </c>
      <c r="D46" s="12">
        <f>C46*1.5</f>
        <v>13.5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4"/>
      <c r="B47" s="27"/>
      <c r="C47" s="11"/>
      <c r="D47" s="12"/>
      <c r="F47" s="59"/>
      <c r="G47" s="59"/>
      <c r="H47" s="125"/>
      <c r="I47" s="126"/>
      <c r="J47" s="127"/>
      <c r="K47" s="21"/>
      <c r="P47" s="4"/>
      <c r="Q47" s="4"/>
      <c r="R47" s="5"/>
    </row>
    <row r="48" spans="1:18" ht="15" customHeight="1" x14ac:dyDescent="0.25">
      <c r="A48" s="122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25"/>
      <c r="I48" s="126"/>
      <c r="J48" s="1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3"/>
      <c r="B49" s="29" t="s">
        <v>68</v>
      </c>
      <c r="C49" s="33">
        <v>5</v>
      </c>
      <c r="D49" s="12">
        <f>C49*42</f>
        <v>210</v>
      </c>
      <c r="F49" s="128" t="s">
        <v>86</v>
      </c>
      <c r="G49" s="130">
        <f>H34+H35+H36+H37+H38+H39+H40+H41+G42+H44+H45+H46</f>
        <v>503587</v>
      </c>
      <c r="H49" s="131"/>
      <c r="I49" s="131"/>
      <c r="J49" s="13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3"/>
      <c r="B50" s="32" t="s">
        <v>70</v>
      </c>
      <c r="C50" s="11">
        <v>18</v>
      </c>
      <c r="D50" s="12">
        <f>C50*1.5</f>
        <v>27</v>
      </c>
      <c r="F50" s="129"/>
      <c r="G50" s="133"/>
      <c r="H50" s="134"/>
      <c r="I50" s="134"/>
      <c r="J50" s="135"/>
      <c r="O50" t="s">
        <v>144</v>
      </c>
      <c r="P50" s="4">
        <v>1204</v>
      </c>
      <c r="Q50" s="4"/>
      <c r="R50" s="5"/>
    </row>
    <row r="51" spans="1:18" ht="15" customHeight="1" x14ac:dyDescent="0.25">
      <c r="A51" s="123"/>
      <c r="B51" s="27"/>
      <c r="C51" s="10"/>
      <c r="D51" s="31"/>
      <c r="F51" s="136" t="s">
        <v>139</v>
      </c>
      <c r="G51" s="237">
        <f>G49-H29</f>
        <v>-171.5</v>
      </c>
      <c r="H51" s="238"/>
      <c r="I51" s="238"/>
      <c r="J51" s="2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3"/>
      <c r="B52" s="29"/>
      <c r="C52" s="33"/>
      <c r="D52" s="45"/>
      <c r="F52" s="137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8" t="s">
        <v>90</v>
      </c>
      <c r="B54" s="109"/>
      <c r="C54" s="110"/>
      <c r="D54" s="114">
        <f>SUM(D34:D53)</f>
        <v>52228.5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1"/>
      <c r="B55" s="112"/>
      <c r="C55" s="113"/>
      <c r="D55" s="1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6" t="s">
        <v>91</v>
      </c>
      <c r="B58" s="117"/>
      <c r="C58" s="117"/>
      <c r="D58" s="118"/>
      <c r="F58" s="116" t="s">
        <v>92</v>
      </c>
      <c r="G58" s="117"/>
      <c r="H58" s="117"/>
      <c r="I58" s="117"/>
      <c r="J58" s="118"/>
    </row>
    <row r="59" spans="1:18" x14ac:dyDescent="0.25">
      <c r="A59" s="119"/>
      <c r="B59" s="120"/>
      <c r="C59" s="120"/>
      <c r="D59" s="121"/>
      <c r="F59" s="119"/>
      <c r="G59" s="120"/>
      <c r="H59" s="120"/>
      <c r="I59" s="120"/>
      <c r="J59" s="12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7782-9F68-4B75-8208-605F1C60D1A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4" t="s">
        <v>1</v>
      </c>
      <c r="O1" s="20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205" t="s">
        <v>8</v>
      </c>
      <c r="G4" s="207"/>
      <c r="H4" s="209" t="s">
        <v>9</v>
      </c>
      <c r="I4" s="211"/>
      <c r="J4" s="2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206"/>
      <c r="G5" s="208"/>
      <c r="H5" s="210"/>
      <c r="I5" s="213"/>
      <c r="J5" s="2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215" t="s">
        <v>16</v>
      </c>
      <c r="G6" s="217"/>
      <c r="H6" s="218"/>
      <c r="I6" s="218"/>
      <c r="J6" s="2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216"/>
      <c r="G7" s="220"/>
      <c r="H7" s="221"/>
      <c r="I7" s="221"/>
      <c r="J7" s="2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223" t="s">
        <v>21</v>
      </c>
      <c r="G8" s="224"/>
      <c r="H8" s="225"/>
      <c r="I8" s="225"/>
      <c r="J8" s="22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216"/>
      <c r="G9" s="227"/>
      <c r="H9" s="228"/>
      <c r="I9" s="228"/>
      <c r="J9" s="22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215" t="s">
        <v>26</v>
      </c>
      <c r="G10" s="230"/>
      <c r="H10" s="231"/>
      <c r="I10" s="231"/>
      <c r="J10" s="232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216"/>
      <c r="G11" s="227"/>
      <c r="H11" s="228"/>
      <c r="I11" s="228"/>
      <c r="J11" s="22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233" t="s">
        <v>33</v>
      </c>
      <c r="G12" s="234"/>
      <c r="H12" s="234"/>
      <c r="I12" s="234"/>
      <c r="J12" s="23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236" t="s">
        <v>36</v>
      </c>
      <c r="G13" s="20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94" t="s">
        <v>39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99" t="s">
        <v>40</v>
      </c>
      <c r="G15" s="200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1"/>
      <c r="I16" s="161"/>
      <c r="J16" s="16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45</v>
      </c>
      <c r="H17" s="172"/>
      <c r="I17" s="172"/>
      <c r="J17" s="17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47</v>
      </c>
      <c r="H18" s="172"/>
      <c r="I18" s="172"/>
      <c r="J18" s="17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50</v>
      </c>
      <c r="H19" s="173"/>
      <c r="I19" s="173"/>
      <c r="J19" s="1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120</v>
      </c>
      <c r="H20" s="161"/>
      <c r="I20" s="161"/>
      <c r="J20" s="16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7"/>
      <c r="G22" s="73"/>
      <c r="H22" s="177"/>
      <c r="I22" s="177"/>
      <c r="J22" s="17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8"/>
      <c r="G23" s="79"/>
      <c r="H23" s="178"/>
      <c r="I23" s="147"/>
      <c r="J23" s="14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178"/>
      <c r="I24" s="147"/>
      <c r="J24" s="14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93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08" t="s">
        <v>55</v>
      </c>
      <c r="G29" s="170"/>
      <c r="H29" s="130">
        <f>H15-H16-H17-H18-H19-H20-H22-H23-H24+H26+H27</f>
        <v>0</v>
      </c>
      <c r="I29" s="131"/>
      <c r="J29" s="13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11"/>
      <c r="G30" s="171"/>
      <c r="H30" s="133"/>
      <c r="I30" s="134"/>
      <c r="J30" s="13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58</v>
      </c>
      <c r="B32" s="156"/>
      <c r="C32" s="156"/>
      <c r="D32" s="157"/>
      <c r="F32" s="158" t="s">
        <v>59</v>
      </c>
      <c r="G32" s="159"/>
      <c r="H32" s="159"/>
      <c r="I32" s="159"/>
      <c r="J32" s="16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8" t="s">
        <v>13</v>
      </c>
      <c r="I33" s="159"/>
      <c r="J33" s="16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2"/>
      <c r="I34" s="153"/>
      <c r="J34" s="15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152"/>
      <c r="I35" s="153"/>
      <c r="J35" s="15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152"/>
      <c r="I36" s="153"/>
      <c r="J36" s="15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2"/>
      <c r="I37" s="153"/>
      <c r="J37" s="15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152"/>
      <c r="I38" s="153"/>
      <c r="J38" s="15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152"/>
      <c r="I39" s="153"/>
      <c r="J39" s="15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2"/>
      <c r="I40" s="153"/>
      <c r="J40" s="15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152"/>
      <c r="I41" s="153"/>
      <c r="J41" s="15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152"/>
      <c r="H42" s="153"/>
      <c r="I42" s="153"/>
      <c r="J42" s="15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2" t="s">
        <v>81</v>
      </c>
      <c r="C43" s="11"/>
      <c r="D43" s="12"/>
      <c r="F43" s="59" t="s">
        <v>82</v>
      </c>
      <c r="G43" s="90" t="s">
        <v>83</v>
      </c>
      <c r="H43" s="144" t="s">
        <v>13</v>
      </c>
      <c r="I43" s="145"/>
      <c r="J43" s="146"/>
      <c r="K43" s="21"/>
      <c r="P43" s="4"/>
      <c r="Q43" s="4"/>
      <c r="R43" s="5"/>
    </row>
    <row r="44" spans="1:18" ht="15.75" x14ac:dyDescent="0.25">
      <c r="A44" s="123"/>
      <c r="B44" s="27" t="s">
        <v>66</v>
      </c>
      <c r="C44" s="10"/>
      <c r="D44" s="12">
        <f>C44*120</f>
        <v>0</v>
      </c>
      <c r="F44" s="37"/>
      <c r="G44" s="76"/>
      <c r="H44" s="147"/>
      <c r="I44" s="147"/>
      <c r="J44" s="147"/>
      <c r="K44" s="21"/>
      <c r="P44" s="4"/>
      <c r="Q44" s="4"/>
      <c r="R44" s="5"/>
    </row>
    <row r="45" spans="1:18" ht="15.75" x14ac:dyDescent="0.25">
      <c r="A45" s="123"/>
      <c r="B45" s="27" t="s">
        <v>68</v>
      </c>
      <c r="C45" s="33"/>
      <c r="D45" s="12">
        <f>C45*84</f>
        <v>0</v>
      </c>
      <c r="F45" s="37"/>
      <c r="G45" s="76"/>
      <c r="H45" s="147"/>
      <c r="I45" s="147"/>
      <c r="J45" s="147"/>
      <c r="K45" s="21"/>
      <c r="P45" s="4"/>
      <c r="Q45" s="4"/>
      <c r="R45" s="5"/>
    </row>
    <row r="46" spans="1:18" ht="15.75" x14ac:dyDescent="0.25">
      <c r="A46" s="123"/>
      <c r="B46" s="49" t="s">
        <v>70</v>
      </c>
      <c r="C46" s="81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4"/>
      <c r="B47" s="27"/>
      <c r="C47" s="11"/>
      <c r="D47" s="12"/>
      <c r="F47" s="59"/>
      <c r="G47" s="59"/>
      <c r="H47" s="125"/>
      <c r="I47" s="126"/>
      <c r="J47" s="127"/>
      <c r="K47" s="21"/>
      <c r="P47" s="4"/>
      <c r="Q47" s="4"/>
      <c r="R47" s="5"/>
    </row>
    <row r="48" spans="1:18" ht="15" customHeight="1" x14ac:dyDescent="0.25">
      <c r="A48" s="122" t="s">
        <v>32</v>
      </c>
      <c r="B48" s="27" t="s">
        <v>66</v>
      </c>
      <c r="C48" s="10"/>
      <c r="D48" s="12">
        <f>C48*78</f>
        <v>0</v>
      </c>
      <c r="F48" s="59"/>
      <c r="G48" s="59"/>
      <c r="H48" s="125"/>
      <c r="I48" s="126"/>
      <c r="J48" s="1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3"/>
      <c r="B49" s="29" t="s">
        <v>68</v>
      </c>
      <c r="C49" s="33"/>
      <c r="D49" s="12">
        <f>C49*42</f>
        <v>0</v>
      </c>
      <c r="F49" s="128" t="s">
        <v>86</v>
      </c>
      <c r="G49" s="130">
        <f>H34+H35+H36+H37+H38+H39+H40+H41+G42+H44+H45+H46</f>
        <v>0</v>
      </c>
      <c r="H49" s="131"/>
      <c r="I49" s="131"/>
      <c r="J49" s="13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3"/>
      <c r="B50" s="32" t="s">
        <v>70</v>
      </c>
      <c r="C50" s="11"/>
      <c r="D50" s="12">
        <f>C50*1.5</f>
        <v>0</v>
      </c>
      <c r="F50" s="129"/>
      <c r="G50" s="133"/>
      <c r="H50" s="134"/>
      <c r="I50" s="134"/>
      <c r="J50" s="135"/>
      <c r="P50" s="4"/>
      <c r="Q50" s="4"/>
      <c r="R50" s="5"/>
    </row>
    <row r="51" spans="1:18" ht="15" customHeight="1" x14ac:dyDescent="0.25">
      <c r="A51" s="123"/>
      <c r="B51" s="27"/>
      <c r="C51" s="10"/>
      <c r="D51" s="31"/>
      <c r="F51" s="136" t="s">
        <v>128</v>
      </c>
      <c r="G51" s="138">
        <f>G49-H29</f>
        <v>0</v>
      </c>
      <c r="H51" s="139"/>
      <c r="I51" s="139"/>
      <c r="J51" s="1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3"/>
      <c r="B52" s="29"/>
      <c r="C52" s="33"/>
      <c r="D52" s="45"/>
      <c r="F52" s="137"/>
      <c r="G52" s="141"/>
      <c r="H52" s="142"/>
      <c r="I52" s="142"/>
      <c r="J52" s="1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8" t="s">
        <v>90</v>
      </c>
      <c r="B54" s="109"/>
      <c r="C54" s="110"/>
      <c r="D54" s="114">
        <f>SUM(D34:D53)</f>
        <v>0</v>
      </c>
      <c r="F54" s="21"/>
      <c r="J54" s="34"/>
    </row>
    <row r="55" spans="1:18" x14ac:dyDescent="0.25">
      <c r="A55" s="111"/>
      <c r="B55" s="112"/>
      <c r="C55" s="113"/>
      <c r="D55" s="1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6" t="s">
        <v>91</v>
      </c>
      <c r="B58" s="117"/>
      <c r="C58" s="117"/>
      <c r="D58" s="118"/>
      <c r="F58" s="116" t="s">
        <v>92</v>
      </c>
      <c r="G58" s="117"/>
      <c r="H58" s="117"/>
      <c r="I58" s="117"/>
      <c r="J58" s="118"/>
    </row>
    <row r="59" spans="1:18" x14ac:dyDescent="0.25">
      <c r="A59" s="119"/>
      <c r="B59" s="120"/>
      <c r="C59" s="120"/>
      <c r="D59" s="121"/>
      <c r="F59" s="119"/>
      <c r="G59" s="120"/>
      <c r="H59" s="120"/>
      <c r="I59" s="120"/>
      <c r="J59" s="12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C857-BA52-4829-8B51-359EC0CFBA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4" t="s">
        <v>1</v>
      </c>
      <c r="O1" s="20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205" t="s">
        <v>8</v>
      </c>
      <c r="G4" s="207">
        <v>1</v>
      </c>
      <c r="H4" s="209" t="s">
        <v>9</v>
      </c>
      <c r="I4" s="211">
        <v>46030</v>
      </c>
      <c r="J4" s="2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206"/>
      <c r="G5" s="208"/>
      <c r="H5" s="210"/>
      <c r="I5" s="213"/>
      <c r="J5" s="2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84">
        <v>707</v>
      </c>
      <c r="D6" s="13">
        <f t="shared" ref="D6:D28" si="1">C6*L6</f>
        <v>538027</v>
      </c>
      <c r="F6" s="215" t="s">
        <v>16</v>
      </c>
      <c r="G6" s="217" t="s">
        <v>129</v>
      </c>
      <c r="H6" s="218"/>
      <c r="I6" s="218"/>
      <c r="J6" s="2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84"/>
      <c r="D7" s="13">
        <f t="shared" si="1"/>
        <v>0</v>
      </c>
      <c r="F7" s="216"/>
      <c r="G7" s="220"/>
      <c r="H7" s="221"/>
      <c r="I7" s="221"/>
      <c r="J7" s="2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84"/>
      <c r="D8" s="13">
        <f t="shared" si="1"/>
        <v>0</v>
      </c>
      <c r="F8" s="223" t="s">
        <v>21</v>
      </c>
      <c r="G8" s="224" t="s">
        <v>112</v>
      </c>
      <c r="H8" s="225"/>
      <c r="I8" s="225"/>
      <c r="J8" s="2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84">
        <v>10</v>
      </c>
      <c r="D9" s="13">
        <f t="shared" si="1"/>
        <v>7330</v>
      </c>
      <c r="F9" s="216"/>
      <c r="G9" s="227"/>
      <c r="H9" s="228"/>
      <c r="I9" s="228"/>
      <c r="J9" s="2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84"/>
      <c r="D10" s="13">
        <f t="shared" si="1"/>
        <v>0</v>
      </c>
      <c r="F10" s="215" t="s">
        <v>26</v>
      </c>
      <c r="G10" s="230" t="s">
        <v>130</v>
      </c>
      <c r="H10" s="231"/>
      <c r="I10" s="231"/>
      <c r="J10" s="232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84"/>
      <c r="D11" s="13">
        <f t="shared" si="1"/>
        <v>0</v>
      </c>
      <c r="F11" s="216"/>
      <c r="G11" s="227"/>
      <c r="H11" s="228"/>
      <c r="I11" s="228"/>
      <c r="J11" s="2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84"/>
      <c r="D12" s="48">
        <f t="shared" si="1"/>
        <v>0</v>
      </c>
      <c r="F12" s="233" t="s">
        <v>33</v>
      </c>
      <c r="G12" s="234"/>
      <c r="H12" s="234"/>
      <c r="I12" s="234"/>
      <c r="J12" s="2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84">
        <v>26</v>
      </c>
      <c r="D13" s="48">
        <f t="shared" si="1"/>
        <v>7982</v>
      </c>
      <c r="F13" s="236" t="s">
        <v>36</v>
      </c>
      <c r="G13" s="200"/>
      <c r="H13" s="191">
        <f>D29</f>
        <v>555289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84"/>
      <c r="D14" s="31">
        <f t="shared" si="1"/>
        <v>0</v>
      </c>
      <c r="F14" s="194" t="s">
        <v>39</v>
      </c>
      <c r="G14" s="195"/>
      <c r="H14" s="196">
        <f>D54</f>
        <v>79440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84"/>
      <c r="D15" s="31">
        <f t="shared" si="1"/>
        <v>0</v>
      </c>
      <c r="F15" s="199" t="s">
        <v>40</v>
      </c>
      <c r="G15" s="200"/>
      <c r="H15" s="201">
        <f>H13-H14</f>
        <v>475849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1">
        <f>3882</f>
        <v>3882</v>
      </c>
      <c r="I16" s="161"/>
      <c r="J16" s="16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137</v>
      </c>
      <c r="C17" s="84"/>
      <c r="D17" s="48">
        <f t="shared" si="1"/>
        <v>0</v>
      </c>
      <c r="F17" s="56"/>
      <c r="G17" s="66" t="s">
        <v>45</v>
      </c>
      <c r="H17" s="172"/>
      <c r="I17" s="172"/>
      <c r="J17" s="17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2"/>
      <c r="I18" s="172"/>
      <c r="J18" s="17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v>1102</v>
      </c>
      <c r="Q19" s="4"/>
      <c r="R19" s="5">
        <f t="shared" si="0"/>
        <v>0</v>
      </c>
    </row>
    <row r="20" spans="1:18" ht="15.75" x14ac:dyDescent="0.25">
      <c r="A20" s="15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135</v>
      </c>
      <c r="C21" s="84">
        <v>3</v>
      </c>
      <c r="D21" s="48">
        <f t="shared" si="1"/>
        <v>1950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127</v>
      </c>
      <c r="C22" s="84"/>
      <c r="D22" s="48">
        <f t="shared" si="1"/>
        <v>0</v>
      </c>
      <c r="F22" s="77"/>
      <c r="G22" s="73"/>
      <c r="H22" s="177"/>
      <c r="I22" s="177"/>
      <c r="J22" s="17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136</v>
      </c>
      <c r="C26" s="84"/>
      <c r="D26" s="48">
        <f t="shared" si="1"/>
        <v>0</v>
      </c>
      <c r="F26" s="75"/>
      <c r="G26" s="65"/>
      <c r="H26" s="147"/>
      <c r="I26" s="147"/>
      <c r="J26" s="14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110</v>
      </c>
      <c r="C27" s="84"/>
      <c r="D27" s="44">
        <f t="shared" si="1"/>
        <v>0</v>
      </c>
      <c r="F27" s="71"/>
      <c r="G27" s="90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84"/>
      <c r="D28" s="48">
        <f t="shared" si="1"/>
        <v>0</v>
      </c>
      <c r="F28" s="93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555289</v>
      </c>
      <c r="F29" s="108" t="s">
        <v>55</v>
      </c>
      <c r="G29" s="170"/>
      <c r="H29" s="130">
        <f>H15-H16-H17-H18-H19-H20-H22-H23-H24+H26+H27+H28</f>
        <v>471967</v>
      </c>
      <c r="I29" s="131"/>
      <c r="J29" s="13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11"/>
      <c r="G30" s="171"/>
      <c r="H30" s="133"/>
      <c r="I30" s="134"/>
      <c r="J30" s="13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58</v>
      </c>
      <c r="B32" s="156"/>
      <c r="C32" s="156"/>
      <c r="D32" s="157"/>
      <c r="F32" s="158" t="s">
        <v>59</v>
      </c>
      <c r="G32" s="159"/>
      <c r="H32" s="159"/>
      <c r="I32" s="159"/>
      <c r="J32" s="16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8" t="s">
        <v>13</v>
      </c>
      <c r="I33" s="159"/>
      <c r="J33" s="16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262</v>
      </c>
      <c r="H34" s="152">
        <f t="shared" ref="H34:H39" si="2">F34*G34</f>
        <v>262000</v>
      </c>
      <c r="I34" s="153"/>
      <c r="J34" s="15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402</v>
      </c>
      <c r="H35" s="152">
        <f t="shared" si="2"/>
        <v>201000</v>
      </c>
      <c r="I35" s="153"/>
      <c r="J35" s="15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52">
        <f t="shared" si="2"/>
        <v>600</v>
      </c>
      <c r="I36" s="153"/>
      <c r="J36" s="15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694</v>
      </c>
      <c r="D37" s="12">
        <f>C37*111</f>
        <v>77034</v>
      </c>
      <c r="F37" s="12">
        <v>100</v>
      </c>
      <c r="G37" s="39">
        <v>68</v>
      </c>
      <c r="H37" s="152">
        <f t="shared" si="2"/>
        <v>6800</v>
      </c>
      <c r="I37" s="153"/>
      <c r="J37" s="15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2</v>
      </c>
      <c r="H38" s="152">
        <f t="shared" si="2"/>
        <v>100</v>
      </c>
      <c r="I38" s="153"/>
      <c r="J38" s="15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152">
        <f t="shared" si="2"/>
        <v>0</v>
      </c>
      <c r="I39" s="153"/>
      <c r="J39" s="15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2"/>
      <c r="I40" s="153"/>
      <c r="J40" s="15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152"/>
      <c r="I41" s="153"/>
      <c r="J41" s="15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152">
        <v>8</v>
      </c>
      <c r="H42" s="153"/>
      <c r="I42" s="153"/>
      <c r="J42" s="15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2" t="s">
        <v>81</v>
      </c>
      <c r="C43" s="11"/>
      <c r="D43" s="12"/>
      <c r="F43" s="59" t="s">
        <v>82</v>
      </c>
      <c r="G43" s="90" t="s">
        <v>83</v>
      </c>
      <c r="H43" s="144" t="s">
        <v>13</v>
      </c>
      <c r="I43" s="145"/>
      <c r="J43" s="14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3"/>
      <c r="B44" s="27" t="s">
        <v>66</v>
      </c>
      <c r="C44" s="10">
        <v>2</v>
      </c>
      <c r="D44" s="12">
        <f>C44*120</f>
        <v>240</v>
      </c>
      <c r="F44" s="37"/>
      <c r="G44" s="62"/>
      <c r="H44" s="147"/>
      <c r="I44" s="147"/>
      <c r="J44" s="14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3"/>
      <c r="B45" s="27" t="s">
        <v>68</v>
      </c>
      <c r="C45" s="33"/>
      <c r="D45" s="12">
        <f>C45*84</f>
        <v>0</v>
      </c>
      <c r="F45" s="37"/>
      <c r="G45" s="62"/>
      <c r="H45" s="147"/>
      <c r="I45" s="147"/>
      <c r="J45" s="147"/>
      <c r="K45" s="21"/>
      <c r="P45" s="4"/>
      <c r="Q45" s="4"/>
      <c r="R45" s="5"/>
    </row>
    <row r="46" spans="1:18" ht="15.75" x14ac:dyDescent="0.25">
      <c r="A46" s="123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4"/>
      <c r="B47" s="27"/>
      <c r="C47" s="11"/>
      <c r="D47" s="12"/>
      <c r="F47" s="59"/>
      <c r="G47" s="59"/>
      <c r="H47" s="125"/>
      <c r="I47" s="126"/>
      <c r="J47" s="127"/>
      <c r="K47" s="21"/>
      <c r="P47" s="4"/>
      <c r="Q47" s="4"/>
      <c r="R47" s="5"/>
    </row>
    <row r="48" spans="1:18" ht="15" customHeight="1" x14ac:dyDescent="0.25">
      <c r="A48" s="12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5"/>
      <c r="I48" s="126"/>
      <c r="J48" s="1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3"/>
      <c r="B49" s="29" t="s">
        <v>68</v>
      </c>
      <c r="C49" s="33">
        <v>16</v>
      </c>
      <c r="D49" s="12">
        <f>C49*42</f>
        <v>672</v>
      </c>
      <c r="F49" s="128" t="s">
        <v>86</v>
      </c>
      <c r="G49" s="130">
        <f>H34+H35+H36+H37+H38+H39+H40+H41+G42+H44+H45+H46</f>
        <v>470508</v>
      </c>
      <c r="H49" s="131"/>
      <c r="I49" s="131"/>
      <c r="J49" s="13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3"/>
      <c r="B50" s="32" t="s">
        <v>70</v>
      </c>
      <c r="C50" s="11"/>
      <c r="D50" s="12">
        <f>C50*1.5</f>
        <v>0</v>
      </c>
      <c r="F50" s="129"/>
      <c r="G50" s="133"/>
      <c r="H50" s="134"/>
      <c r="I50" s="134"/>
      <c r="J50" s="135"/>
      <c r="O50" t="s">
        <v>144</v>
      </c>
      <c r="P50" s="4">
        <v>1204</v>
      </c>
      <c r="Q50" s="4"/>
      <c r="R50" s="5"/>
    </row>
    <row r="51" spans="1:18" ht="15" customHeight="1" x14ac:dyDescent="0.25">
      <c r="A51" s="123"/>
      <c r="B51" s="27"/>
      <c r="C51" s="10"/>
      <c r="D51" s="31"/>
      <c r="F51" s="136" t="s">
        <v>131</v>
      </c>
      <c r="G51" s="237">
        <f>G49-H29</f>
        <v>-1459</v>
      </c>
      <c r="H51" s="238"/>
      <c r="I51" s="238"/>
      <c r="J51" s="2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3"/>
      <c r="B52" s="29"/>
      <c r="C52" s="33"/>
      <c r="D52" s="45"/>
      <c r="F52" s="137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8" t="s">
        <v>90</v>
      </c>
      <c r="B54" s="109"/>
      <c r="C54" s="110"/>
      <c r="D54" s="114">
        <f>SUM(D34:D53)</f>
        <v>79440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1"/>
      <c r="B55" s="112"/>
      <c r="C55" s="113"/>
      <c r="D55" s="1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16" t="s">
        <v>91</v>
      </c>
      <c r="B58" s="117"/>
      <c r="C58" s="117"/>
      <c r="D58" s="118"/>
      <c r="F58" s="116" t="s">
        <v>92</v>
      </c>
      <c r="G58" s="117"/>
      <c r="H58" s="117"/>
      <c r="I58" s="117"/>
      <c r="J58" s="118"/>
    </row>
    <row r="59" spans="1:18" x14ac:dyDescent="0.25">
      <c r="A59" s="119"/>
      <c r="B59" s="120"/>
      <c r="C59" s="120"/>
      <c r="D59" s="121"/>
      <c r="F59" s="119"/>
      <c r="G59" s="120"/>
      <c r="H59" s="120"/>
      <c r="I59" s="120"/>
      <c r="J59" s="12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AF4C-799B-4CCC-867A-64D1685E74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4" t="s">
        <v>1</v>
      </c>
      <c r="O1" s="20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205" t="s">
        <v>8</v>
      </c>
      <c r="G4" s="207">
        <v>2</v>
      </c>
      <c r="H4" s="209" t="s">
        <v>9</v>
      </c>
      <c r="I4" s="211">
        <v>46030</v>
      </c>
      <c r="J4" s="2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206"/>
      <c r="G5" s="208"/>
      <c r="H5" s="210"/>
      <c r="I5" s="213"/>
      <c r="J5" s="2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314</v>
      </c>
      <c r="D6" s="13">
        <f t="shared" ref="D6:D28" si="1">C6*L6</f>
        <v>238954</v>
      </c>
      <c r="F6" s="215" t="s">
        <v>16</v>
      </c>
      <c r="G6" s="217" t="s">
        <v>140</v>
      </c>
      <c r="H6" s="218"/>
      <c r="I6" s="218"/>
      <c r="J6" s="2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5</v>
      </c>
      <c r="D7" s="13">
        <f t="shared" si="1"/>
        <v>3905</v>
      </c>
      <c r="F7" s="216"/>
      <c r="G7" s="220"/>
      <c r="H7" s="221"/>
      <c r="I7" s="221"/>
      <c r="J7" s="2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223" t="s">
        <v>21</v>
      </c>
      <c r="G8" s="224" t="s">
        <v>114</v>
      </c>
      <c r="H8" s="225"/>
      <c r="I8" s="225"/>
      <c r="J8" s="2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19</v>
      </c>
      <c r="D9" s="13">
        <f t="shared" si="1"/>
        <v>13927</v>
      </c>
      <c r="F9" s="216"/>
      <c r="G9" s="227"/>
      <c r="H9" s="228"/>
      <c r="I9" s="228"/>
      <c r="J9" s="2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>
        <v>1</v>
      </c>
      <c r="D10" s="13">
        <f t="shared" si="1"/>
        <v>1032</v>
      </c>
      <c r="F10" s="215" t="s">
        <v>26</v>
      </c>
      <c r="G10" s="230" t="s">
        <v>115</v>
      </c>
      <c r="H10" s="231"/>
      <c r="I10" s="231"/>
      <c r="J10" s="232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216"/>
      <c r="G11" s="227"/>
      <c r="H11" s="228"/>
      <c r="I11" s="228"/>
      <c r="J11" s="2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f>2+1+1</f>
        <v>4</v>
      </c>
      <c r="D12" s="48">
        <f t="shared" si="1"/>
        <v>3968</v>
      </c>
      <c r="F12" s="233" t="s">
        <v>33</v>
      </c>
      <c r="G12" s="234"/>
      <c r="H12" s="234"/>
      <c r="I12" s="234"/>
      <c r="J12" s="2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7</v>
      </c>
      <c r="D13" s="48">
        <f t="shared" si="1"/>
        <v>2149</v>
      </c>
      <c r="F13" s="236" t="s">
        <v>36</v>
      </c>
      <c r="G13" s="200"/>
      <c r="H13" s="191">
        <f>D29</f>
        <v>263957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2</v>
      </c>
      <c r="D14" s="31">
        <f t="shared" si="1"/>
        <v>22</v>
      </c>
      <c r="F14" s="194" t="s">
        <v>39</v>
      </c>
      <c r="G14" s="195"/>
      <c r="H14" s="196">
        <f>D54</f>
        <v>52866.75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99" t="s">
        <v>40</v>
      </c>
      <c r="G15" s="200"/>
      <c r="H15" s="201">
        <f>H13-H14</f>
        <v>211090.25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1"/>
      <c r="I16" s="161"/>
      <c r="J16" s="16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93</v>
      </c>
      <c r="C17" s="10"/>
      <c r="D17" s="48">
        <f t="shared" si="1"/>
        <v>0</v>
      </c>
      <c r="F17" s="56"/>
      <c r="G17" s="66" t="s">
        <v>45</v>
      </c>
      <c r="H17" s="172"/>
      <c r="I17" s="172"/>
      <c r="J17" s="17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2"/>
      <c r="I18" s="172"/>
      <c r="J18" s="17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7"/>
      <c r="I19" s="247"/>
      <c r="J19" s="24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2"/>
      <c r="G22" s="73"/>
      <c r="H22" s="177"/>
      <c r="I22" s="177"/>
      <c r="J22" s="17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25"/>
      <c r="G23" s="37"/>
      <c r="H23" s="178"/>
      <c r="I23" s="147"/>
      <c r="J23" s="14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123</v>
      </c>
      <c r="C24" s="10"/>
      <c r="D24" s="48">
        <f t="shared" si="1"/>
        <v>0</v>
      </c>
      <c r="F24" s="38"/>
      <c r="G24" s="37"/>
      <c r="H24" s="178"/>
      <c r="I24" s="147"/>
      <c r="J24" s="14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93"/>
      <c r="G28" s="61"/>
      <c r="H28" s="188"/>
      <c r="I28" s="189"/>
      <c r="J28" s="190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263957</v>
      </c>
      <c r="F29" s="108" t="s">
        <v>55</v>
      </c>
      <c r="G29" s="170"/>
      <c r="H29" s="130">
        <f>H15-H16-H17-H18-H19-H20-H22-H23-H24+H26+H27</f>
        <v>211090.25</v>
      </c>
      <c r="I29" s="131"/>
      <c r="J29" s="13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11"/>
      <c r="G30" s="171"/>
      <c r="H30" s="133"/>
      <c r="I30" s="134"/>
      <c r="J30" s="13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58</v>
      </c>
      <c r="B32" s="156"/>
      <c r="C32" s="156"/>
      <c r="D32" s="157"/>
      <c r="F32" s="158" t="s">
        <v>59</v>
      </c>
      <c r="G32" s="159"/>
      <c r="H32" s="159"/>
      <c r="I32" s="159"/>
      <c r="J32" s="16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8" t="s">
        <v>13</v>
      </c>
      <c r="I33" s="159"/>
      <c r="J33" s="16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199</v>
      </c>
      <c r="H34" s="152">
        <f>F34*G34</f>
        <v>199000</v>
      </c>
      <c r="I34" s="153"/>
      <c r="J34" s="15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52">
        <f t="shared" ref="H35:H39" si="2">F35*G35</f>
        <v>500</v>
      </c>
      <c r="I35" s="153"/>
      <c r="J35" s="15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152">
        <f>F36*G36</f>
        <v>0</v>
      </c>
      <c r="I36" s="153"/>
      <c r="J36" s="15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56</v>
      </c>
      <c r="H37" s="152">
        <f t="shared" si="2"/>
        <v>5600</v>
      </c>
      <c r="I37" s="153"/>
      <c r="J37" s="15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52">
        <f t="shared" si="2"/>
        <v>50</v>
      </c>
      <c r="I38" s="153"/>
      <c r="J38" s="15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152">
        <f t="shared" si="2"/>
        <v>0</v>
      </c>
      <c r="I39" s="153"/>
      <c r="J39" s="15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2"/>
      <c r="I40" s="153"/>
      <c r="J40" s="15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2"/>
      <c r="I41" s="153"/>
      <c r="J41" s="15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1</v>
      </c>
      <c r="D42" s="12">
        <f>C42*2.25</f>
        <v>2.25</v>
      </c>
      <c r="F42" s="39" t="s">
        <v>79</v>
      </c>
      <c r="G42" s="152">
        <v>10004</v>
      </c>
      <c r="H42" s="153"/>
      <c r="I42" s="153"/>
      <c r="J42" s="15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2" t="s">
        <v>81</v>
      </c>
      <c r="C43" s="11"/>
      <c r="D43" s="12"/>
      <c r="F43" s="59" t="s">
        <v>82</v>
      </c>
      <c r="G43" s="90" t="s">
        <v>83</v>
      </c>
      <c r="H43" s="144" t="s">
        <v>13</v>
      </c>
      <c r="I43" s="145"/>
      <c r="J43" s="14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3"/>
      <c r="B44" s="27" t="s">
        <v>66</v>
      </c>
      <c r="C44" s="10">
        <v>2</v>
      </c>
      <c r="D44" s="12">
        <f>C44*120</f>
        <v>240</v>
      </c>
      <c r="F44" s="37"/>
      <c r="G44" s="62"/>
      <c r="H44" s="147"/>
      <c r="I44" s="147"/>
      <c r="J44" s="147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23"/>
      <c r="B45" s="27" t="s">
        <v>68</v>
      </c>
      <c r="C45" s="33">
        <v>1</v>
      </c>
      <c r="D45" s="12">
        <f>C45*84</f>
        <v>84</v>
      </c>
      <c r="F45" s="37"/>
      <c r="G45" s="62"/>
      <c r="H45" s="147"/>
      <c r="I45" s="147"/>
      <c r="J45" s="147"/>
      <c r="K45" s="21"/>
      <c r="P45" s="4"/>
      <c r="Q45" s="4"/>
      <c r="R45" s="5"/>
    </row>
    <row r="46" spans="1:18" ht="15.75" x14ac:dyDescent="0.25">
      <c r="A46" s="123"/>
      <c r="B46" s="49" t="s">
        <v>70</v>
      </c>
      <c r="C46" s="81">
        <v>22</v>
      </c>
      <c r="D46" s="12">
        <f>C46*1.5</f>
        <v>33</v>
      </c>
      <c r="F46" s="37"/>
      <c r="G46" s="91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4"/>
      <c r="B47" s="27"/>
      <c r="C47" s="11"/>
      <c r="D47" s="12"/>
      <c r="F47" s="59"/>
      <c r="G47" s="59"/>
      <c r="H47" s="125"/>
      <c r="I47" s="126"/>
      <c r="J47" s="127"/>
      <c r="K47" s="21"/>
      <c r="P47" s="4"/>
      <c r="Q47" s="4"/>
      <c r="R47" s="5"/>
    </row>
    <row r="48" spans="1:18" ht="15" customHeight="1" x14ac:dyDescent="0.25">
      <c r="A48" s="122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25"/>
      <c r="I48" s="126"/>
      <c r="J48" s="1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3"/>
      <c r="B49" s="29" t="s">
        <v>68</v>
      </c>
      <c r="C49" s="33">
        <v>3</v>
      </c>
      <c r="D49" s="12">
        <f>C49*42</f>
        <v>126</v>
      </c>
      <c r="F49" s="128" t="s">
        <v>86</v>
      </c>
      <c r="G49" s="130">
        <f>H34+H35+H36+H37+H38+H39+H40+H41+G42+H44+H45+H46</f>
        <v>215154</v>
      </c>
      <c r="H49" s="131"/>
      <c r="I49" s="131"/>
      <c r="J49" s="13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3"/>
      <c r="B50" s="32" t="s">
        <v>70</v>
      </c>
      <c r="C50" s="11">
        <v>36</v>
      </c>
      <c r="D50" s="12">
        <f>C50*1.5</f>
        <v>54</v>
      </c>
      <c r="F50" s="129"/>
      <c r="G50" s="133"/>
      <c r="H50" s="134"/>
      <c r="I50" s="134"/>
      <c r="J50" s="135"/>
      <c r="O50" t="s">
        <v>144</v>
      </c>
      <c r="P50" s="4">
        <v>1204</v>
      </c>
      <c r="Q50" s="4"/>
      <c r="R50" s="5"/>
    </row>
    <row r="51" spans="1:18" ht="15" customHeight="1" x14ac:dyDescent="0.25">
      <c r="A51" s="123"/>
      <c r="B51" s="27"/>
      <c r="C51" s="10"/>
      <c r="D51" s="31"/>
      <c r="F51" s="136" t="s">
        <v>142</v>
      </c>
      <c r="G51" s="138">
        <f>G49-H29</f>
        <v>4063.75</v>
      </c>
      <c r="H51" s="139"/>
      <c r="I51" s="139"/>
      <c r="J51" s="1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3"/>
      <c r="B52" s="29"/>
      <c r="C52" s="33"/>
      <c r="D52" s="45"/>
      <c r="F52" s="137"/>
      <c r="G52" s="141"/>
      <c r="H52" s="142"/>
      <c r="I52" s="142"/>
      <c r="J52" s="1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8" t="s">
        <v>90</v>
      </c>
      <c r="B54" s="109"/>
      <c r="C54" s="110"/>
      <c r="D54" s="114">
        <f>SUM(D34:D53)</f>
        <v>52866.75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1"/>
      <c r="B55" s="112"/>
      <c r="C55" s="113"/>
      <c r="D55" s="1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16" t="s">
        <v>91</v>
      </c>
      <c r="B58" s="117"/>
      <c r="C58" s="117"/>
      <c r="D58" s="118"/>
      <c r="F58" s="116" t="s">
        <v>92</v>
      </c>
      <c r="G58" s="117"/>
      <c r="H58" s="117"/>
      <c r="I58" s="117"/>
      <c r="J58" s="118"/>
    </row>
    <row r="59" spans="1:18" x14ac:dyDescent="0.25">
      <c r="A59" s="119"/>
      <c r="B59" s="120"/>
      <c r="C59" s="120"/>
      <c r="D59" s="121"/>
      <c r="F59" s="119"/>
      <c r="G59" s="120"/>
      <c r="H59" s="120"/>
      <c r="I59" s="120"/>
      <c r="J59" s="12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9605-2183-4C17-95EE-4E0761910F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4" t="s">
        <v>1</v>
      </c>
      <c r="O1" s="20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205" t="s">
        <v>8</v>
      </c>
      <c r="G4" s="207">
        <v>3</v>
      </c>
      <c r="H4" s="209" t="s">
        <v>9</v>
      </c>
      <c r="I4" s="211">
        <v>46030</v>
      </c>
      <c r="J4" s="2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206"/>
      <c r="G5" s="208"/>
      <c r="H5" s="210"/>
      <c r="I5" s="213"/>
      <c r="J5" s="2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529</v>
      </c>
      <c r="D6" s="13">
        <f t="shared" ref="D6:D28" si="1">C6*L6</f>
        <v>402569</v>
      </c>
      <c r="F6" s="215" t="s">
        <v>16</v>
      </c>
      <c r="G6" s="217" t="s">
        <v>111</v>
      </c>
      <c r="H6" s="218"/>
      <c r="I6" s="218"/>
      <c r="J6" s="2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15</v>
      </c>
      <c r="D7" s="13">
        <f t="shared" si="1"/>
        <v>11715</v>
      </c>
      <c r="F7" s="216"/>
      <c r="G7" s="220"/>
      <c r="H7" s="221"/>
      <c r="I7" s="221"/>
      <c r="J7" s="2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>
        <v>2</v>
      </c>
      <c r="D8" s="13">
        <f t="shared" si="1"/>
        <v>2186</v>
      </c>
      <c r="F8" s="223" t="s">
        <v>21</v>
      </c>
      <c r="G8" s="224" t="s">
        <v>119</v>
      </c>
      <c r="H8" s="225"/>
      <c r="I8" s="225"/>
      <c r="J8" s="2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/>
      <c r="D9" s="13">
        <f t="shared" si="1"/>
        <v>0</v>
      </c>
      <c r="F9" s="216"/>
      <c r="G9" s="227"/>
      <c r="H9" s="228"/>
      <c r="I9" s="228"/>
      <c r="J9" s="2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>
        <v>3</v>
      </c>
      <c r="D10" s="13">
        <f t="shared" si="1"/>
        <v>3096</v>
      </c>
      <c r="F10" s="215" t="s">
        <v>26</v>
      </c>
      <c r="G10" s="230" t="s">
        <v>134</v>
      </c>
      <c r="H10" s="231"/>
      <c r="I10" s="231"/>
      <c r="J10" s="232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>
        <v>2</v>
      </c>
      <c r="D11" s="13">
        <f t="shared" si="1"/>
        <v>2340</v>
      </c>
      <c r="F11" s="216"/>
      <c r="G11" s="227"/>
      <c r="H11" s="228"/>
      <c r="I11" s="228"/>
      <c r="J11" s="2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f>8+1+1</f>
        <v>10</v>
      </c>
      <c r="D12" s="48">
        <f t="shared" si="1"/>
        <v>9920</v>
      </c>
      <c r="F12" s="233" t="s">
        <v>33</v>
      </c>
      <c r="G12" s="234"/>
      <c r="H12" s="234"/>
      <c r="I12" s="234"/>
      <c r="J12" s="2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5</v>
      </c>
      <c r="D13" s="48">
        <f t="shared" si="1"/>
        <v>1535</v>
      </c>
      <c r="F13" s="236" t="s">
        <v>36</v>
      </c>
      <c r="G13" s="200"/>
      <c r="H13" s="191">
        <f>D29</f>
        <v>434667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6</v>
      </c>
      <c r="D14" s="31">
        <f t="shared" si="1"/>
        <v>66</v>
      </c>
      <c r="F14" s="194" t="s">
        <v>39</v>
      </c>
      <c r="G14" s="195"/>
      <c r="H14" s="196">
        <f>D54</f>
        <v>66066.75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>
        <v>2</v>
      </c>
      <c r="D15" s="31">
        <f t="shared" si="1"/>
        <v>1240</v>
      </c>
      <c r="F15" s="199" t="s">
        <v>40</v>
      </c>
      <c r="G15" s="200"/>
      <c r="H15" s="201">
        <f>H13-H14</f>
        <v>368600.25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1">
        <f>2772+330</f>
        <v>3102</v>
      </c>
      <c r="I16" s="161"/>
      <c r="J16" s="16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113</v>
      </c>
      <c r="C17" s="10"/>
      <c r="D17" s="48">
        <f t="shared" si="1"/>
        <v>0</v>
      </c>
      <c r="F17" s="56"/>
      <c r="G17" s="66" t="s">
        <v>45</v>
      </c>
      <c r="H17" s="172"/>
      <c r="I17" s="172"/>
      <c r="J17" s="17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2"/>
      <c r="I18" s="172"/>
      <c r="J18" s="17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8"/>
      <c r="I19" s="248"/>
      <c r="J19" s="24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1"/>
      <c r="I20" s="161"/>
      <c r="J20" s="16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7"/>
      <c r="G22" s="73"/>
      <c r="H22" s="177"/>
      <c r="I22" s="177"/>
      <c r="J22" s="17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78"/>
      <c r="G23" s="79"/>
      <c r="H23" s="178"/>
      <c r="I23" s="147"/>
      <c r="J23" s="14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101</v>
      </c>
      <c r="C24" s="10"/>
      <c r="D24" s="48">
        <f t="shared" si="1"/>
        <v>0</v>
      </c>
      <c r="F24" s="38"/>
      <c r="G24" s="37"/>
      <c r="H24" s="178"/>
      <c r="I24" s="147"/>
      <c r="J24" s="14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93"/>
      <c r="G28" s="61"/>
      <c r="H28" s="188"/>
      <c r="I28" s="189"/>
      <c r="J28" s="190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434667</v>
      </c>
      <c r="F29" s="108" t="s">
        <v>55</v>
      </c>
      <c r="G29" s="170"/>
      <c r="H29" s="130">
        <f>H15-H16-H17-H18-H19-H20-H22-H23-H24+H26+H27</f>
        <v>365498.25</v>
      </c>
      <c r="I29" s="131"/>
      <c r="J29" s="13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11"/>
      <c r="G30" s="171"/>
      <c r="H30" s="133"/>
      <c r="I30" s="134"/>
      <c r="J30" s="13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58</v>
      </c>
      <c r="B32" s="156"/>
      <c r="C32" s="156"/>
      <c r="D32" s="157"/>
      <c r="F32" s="158" t="s">
        <v>59</v>
      </c>
      <c r="G32" s="159"/>
      <c r="H32" s="159"/>
      <c r="I32" s="159"/>
      <c r="J32" s="16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8" t="s">
        <v>13</v>
      </c>
      <c r="I33" s="159"/>
      <c r="J33" s="16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52">
        <f>F34*G34</f>
        <v>41000</v>
      </c>
      <c r="I34" s="153"/>
      <c r="J34" s="15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52">
        <f>F35*G35</f>
        <v>15000</v>
      </c>
      <c r="I35" s="153"/>
      <c r="J35" s="15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2">
        <f t="shared" ref="H36:H39" si="2">F36*G36</f>
        <v>200</v>
      </c>
      <c r="I36" s="153"/>
      <c r="J36" s="15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550</v>
      </c>
      <c r="D37" s="12">
        <f>C37*111</f>
        <v>61050</v>
      </c>
      <c r="F37" s="12">
        <v>100</v>
      </c>
      <c r="G37" s="39">
        <v>73</v>
      </c>
      <c r="H37" s="152">
        <f t="shared" si="2"/>
        <v>7300</v>
      </c>
      <c r="I37" s="153"/>
      <c r="J37" s="15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2</v>
      </c>
      <c r="H38" s="152">
        <f t="shared" si="2"/>
        <v>100</v>
      </c>
      <c r="I38" s="153"/>
      <c r="J38" s="15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52">
        <f t="shared" si="2"/>
        <v>20</v>
      </c>
      <c r="I39" s="153"/>
      <c r="J39" s="15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52"/>
      <c r="I40" s="153"/>
      <c r="J40" s="15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152"/>
      <c r="I41" s="153"/>
      <c r="J41" s="15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3</v>
      </c>
      <c r="D42" s="12">
        <f>C42*2.25</f>
        <v>6.75</v>
      </c>
      <c r="F42" s="39" t="s">
        <v>79</v>
      </c>
      <c r="G42" s="152">
        <v>165</v>
      </c>
      <c r="H42" s="153"/>
      <c r="I42" s="153"/>
      <c r="J42" s="15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2" t="s">
        <v>81</v>
      </c>
      <c r="C43" s="11"/>
      <c r="D43" s="12"/>
      <c r="F43" s="59" t="s">
        <v>82</v>
      </c>
      <c r="G43" s="90" t="s">
        <v>83</v>
      </c>
      <c r="H43" s="144" t="s">
        <v>13</v>
      </c>
      <c r="I43" s="145"/>
      <c r="J43" s="14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3"/>
      <c r="B44" s="27" t="s">
        <v>66</v>
      </c>
      <c r="C44" s="10">
        <v>21</v>
      </c>
      <c r="D44" s="12">
        <f>C44*120</f>
        <v>2520</v>
      </c>
      <c r="F44" s="37" t="s">
        <v>181</v>
      </c>
      <c r="G44" s="76" t="s">
        <v>182</v>
      </c>
      <c r="H44" s="147">
        <v>301634</v>
      </c>
      <c r="I44" s="147"/>
      <c r="J44" s="147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23"/>
      <c r="B45" s="27" t="s">
        <v>68</v>
      </c>
      <c r="C45" s="33">
        <v>1</v>
      </c>
      <c r="D45" s="12">
        <f>C45*84</f>
        <v>84</v>
      </c>
      <c r="F45" s="37"/>
      <c r="G45" s="76"/>
      <c r="H45" s="147"/>
      <c r="I45" s="147"/>
      <c r="J45" s="147"/>
      <c r="K45" s="21"/>
      <c r="P45" s="4"/>
      <c r="Q45" s="4"/>
      <c r="R45" s="5"/>
    </row>
    <row r="46" spans="1:18" ht="15.75" x14ac:dyDescent="0.25">
      <c r="A46" s="123"/>
      <c r="B46" s="49" t="s">
        <v>70</v>
      </c>
      <c r="C46" s="81">
        <v>4</v>
      </c>
      <c r="D46" s="12">
        <f>C46*1.5</f>
        <v>6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4"/>
      <c r="B47" s="27"/>
      <c r="C47" s="11"/>
      <c r="D47" s="12"/>
      <c r="F47" s="59"/>
      <c r="G47" s="59"/>
      <c r="H47" s="125"/>
      <c r="I47" s="126"/>
      <c r="J47" s="127"/>
      <c r="K47" s="21"/>
      <c r="P47" s="4"/>
      <c r="Q47" s="4"/>
      <c r="R47" s="5"/>
    </row>
    <row r="48" spans="1:18" ht="15" customHeight="1" x14ac:dyDescent="0.25">
      <c r="A48" s="12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5"/>
      <c r="I48" s="126"/>
      <c r="J48" s="1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3"/>
      <c r="B49" s="29" t="s">
        <v>68</v>
      </c>
      <c r="C49" s="33">
        <v>1</v>
      </c>
      <c r="D49" s="12">
        <f>C49*42</f>
        <v>42</v>
      </c>
      <c r="F49" s="128" t="s">
        <v>86</v>
      </c>
      <c r="G49" s="130">
        <f>H34+H35+H36+H37+H38+H39+H40+H41+G42+H44+H45+H46</f>
        <v>365419</v>
      </c>
      <c r="H49" s="131"/>
      <c r="I49" s="131"/>
      <c r="J49" s="13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3"/>
      <c r="B50" s="32" t="s">
        <v>70</v>
      </c>
      <c r="C50" s="11">
        <v>1</v>
      </c>
      <c r="D50" s="12">
        <f>C50*1.5</f>
        <v>1.5</v>
      </c>
      <c r="F50" s="129"/>
      <c r="G50" s="133"/>
      <c r="H50" s="134"/>
      <c r="I50" s="134"/>
      <c r="J50" s="135"/>
      <c r="O50" t="s">
        <v>144</v>
      </c>
      <c r="P50" s="4">
        <v>1204</v>
      </c>
      <c r="Q50" s="4"/>
      <c r="R50" s="5"/>
    </row>
    <row r="51" spans="1:18" ht="15" customHeight="1" x14ac:dyDescent="0.25">
      <c r="A51" s="123"/>
      <c r="B51" s="27"/>
      <c r="C51" s="10"/>
      <c r="D51" s="31"/>
      <c r="F51" s="136" t="s">
        <v>139</v>
      </c>
      <c r="G51" s="237">
        <f>G49-H29</f>
        <v>-79.25</v>
      </c>
      <c r="H51" s="238"/>
      <c r="I51" s="238"/>
      <c r="J51" s="2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3"/>
      <c r="B52" s="29"/>
      <c r="C52" s="33"/>
      <c r="D52" s="45"/>
      <c r="F52" s="137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8" t="s">
        <v>90</v>
      </c>
      <c r="B54" s="109"/>
      <c r="C54" s="110"/>
      <c r="D54" s="114">
        <f>SUM(D34:D53)</f>
        <v>66066.75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1"/>
      <c r="B55" s="112"/>
      <c r="C55" s="113"/>
      <c r="D55" s="1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6" t="s">
        <v>91</v>
      </c>
      <c r="B58" s="117"/>
      <c r="C58" s="117"/>
      <c r="D58" s="118"/>
      <c r="F58" s="116" t="s">
        <v>92</v>
      </c>
      <c r="G58" s="117"/>
      <c r="H58" s="117"/>
      <c r="I58" s="117"/>
      <c r="J58" s="118"/>
    </row>
    <row r="59" spans="1:18" x14ac:dyDescent="0.25">
      <c r="A59" s="119"/>
      <c r="B59" s="120"/>
      <c r="C59" s="120"/>
      <c r="D59" s="121"/>
      <c r="F59" s="119"/>
      <c r="G59" s="120"/>
      <c r="H59" s="120"/>
      <c r="I59" s="120"/>
      <c r="J59" s="12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BD6E-7FB6-4412-BEFB-0E21667F6E42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4" t="s">
        <v>1</v>
      </c>
      <c r="O1" s="20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205" t="s">
        <v>8</v>
      </c>
      <c r="G4" s="207"/>
      <c r="H4" s="209" t="s">
        <v>9</v>
      </c>
      <c r="I4" s="211"/>
      <c r="J4" s="2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206"/>
      <c r="G5" s="208"/>
      <c r="H5" s="210"/>
      <c r="I5" s="213"/>
      <c r="J5" s="2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215" t="s">
        <v>16</v>
      </c>
      <c r="G6" s="217"/>
      <c r="H6" s="218"/>
      <c r="I6" s="218"/>
      <c r="J6" s="2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216"/>
      <c r="G7" s="220"/>
      <c r="H7" s="221"/>
      <c r="I7" s="221"/>
      <c r="J7" s="2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223" t="s">
        <v>21</v>
      </c>
      <c r="G8" s="224"/>
      <c r="H8" s="225"/>
      <c r="I8" s="225"/>
      <c r="J8" s="22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216"/>
      <c r="G9" s="227"/>
      <c r="H9" s="228"/>
      <c r="I9" s="228"/>
      <c r="J9" s="22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215" t="s">
        <v>26</v>
      </c>
      <c r="G10" s="230"/>
      <c r="H10" s="231"/>
      <c r="I10" s="231"/>
      <c r="J10" s="232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216"/>
      <c r="G11" s="227"/>
      <c r="H11" s="228"/>
      <c r="I11" s="228"/>
      <c r="J11" s="22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233" t="s">
        <v>33</v>
      </c>
      <c r="G12" s="234"/>
      <c r="H12" s="234"/>
      <c r="I12" s="234"/>
      <c r="J12" s="23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236" t="s">
        <v>36</v>
      </c>
      <c r="G13" s="20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94" t="s">
        <v>39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99" t="s">
        <v>40</v>
      </c>
      <c r="G15" s="200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1"/>
      <c r="I16" s="161"/>
      <c r="J16" s="16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45</v>
      </c>
      <c r="H17" s="172"/>
      <c r="I17" s="172"/>
      <c r="J17" s="17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47</v>
      </c>
      <c r="H18" s="172"/>
      <c r="I18" s="172"/>
      <c r="J18" s="17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50</v>
      </c>
      <c r="H19" s="173"/>
      <c r="I19" s="173"/>
      <c r="J19" s="1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120</v>
      </c>
      <c r="H20" s="161"/>
      <c r="I20" s="161"/>
      <c r="J20" s="16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7"/>
      <c r="G22" s="73"/>
      <c r="H22" s="177"/>
      <c r="I22" s="177"/>
      <c r="J22" s="17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8"/>
      <c r="G23" s="79"/>
      <c r="H23" s="178"/>
      <c r="I23" s="147"/>
      <c r="J23" s="14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178"/>
      <c r="I24" s="147"/>
      <c r="J24" s="14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93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08" t="s">
        <v>55</v>
      </c>
      <c r="G29" s="170"/>
      <c r="H29" s="130">
        <f>H15-H16-H17-H18-H19-H20-H22-H23-H24+H26+H27</f>
        <v>0</v>
      </c>
      <c r="I29" s="131"/>
      <c r="J29" s="13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11"/>
      <c r="G30" s="171"/>
      <c r="H30" s="133"/>
      <c r="I30" s="134"/>
      <c r="J30" s="13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58</v>
      </c>
      <c r="B32" s="156"/>
      <c r="C32" s="156"/>
      <c r="D32" s="157"/>
      <c r="F32" s="158" t="s">
        <v>59</v>
      </c>
      <c r="G32" s="159"/>
      <c r="H32" s="159"/>
      <c r="I32" s="159"/>
      <c r="J32" s="16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8" t="s">
        <v>13</v>
      </c>
      <c r="I33" s="159"/>
      <c r="J33" s="16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2"/>
      <c r="I34" s="153"/>
      <c r="J34" s="15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152"/>
      <c r="I35" s="153"/>
      <c r="J35" s="15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152"/>
      <c r="I36" s="153"/>
      <c r="J36" s="15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2"/>
      <c r="I37" s="153"/>
      <c r="J37" s="15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152"/>
      <c r="I38" s="153"/>
      <c r="J38" s="15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152"/>
      <c r="I39" s="153"/>
      <c r="J39" s="15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2"/>
      <c r="I40" s="153"/>
      <c r="J40" s="15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152"/>
      <c r="I41" s="153"/>
      <c r="J41" s="15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152"/>
      <c r="H42" s="153"/>
      <c r="I42" s="153"/>
      <c r="J42" s="15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2" t="s">
        <v>81</v>
      </c>
      <c r="C43" s="11"/>
      <c r="D43" s="12"/>
      <c r="F43" s="59" t="s">
        <v>82</v>
      </c>
      <c r="G43" s="90" t="s">
        <v>83</v>
      </c>
      <c r="H43" s="144" t="s">
        <v>13</v>
      </c>
      <c r="I43" s="145"/>
      <c r="J43" s="146"/>
      <c r="K43" s="21"/>
      <c r="P43" s="4"/>
      <c r="Q43" s="4"/>
      <c r="R43" s="5"/>
    </row>
    <row r="44" spans="1:18" ht="15.75" x14ac:dyDescent="0.25">
      <c r="A44" s="123"/>
      <c r="B44" s="27" t="s">
        <v>66</v>
      </c>
      <c r="C44" s="10"/>
      <c r="D44" s="12">
        <f>C44*120</f>
        <v>0</v>
      </c>
      <c r="F44" s="37"/>
      <c r="G44" s="76"/>
      <c r="H44" s="147"/>
      <c r="I44" s="147"/>
      <c r="J44" s="147"/>
      <c r="K44" s="21"/>
      <c r="P44" s="4"/>
      <c r="Q44" s="4"/>
      <c r="R44" s="5"/>
    </row>
    <row r="45" spans="1:18" ht="15.75" x14ac:dyDescent="0.25">
      <c r="A45" s="123"/>
      <c r="B45" s="27" t="s">
        <v>68</v>
      </c>
      <c r="C45" s="33"/>
      <c r="D45" s="12">
        <f>C45*84</f>
        <v>0</v>
      </c>
      <c r="F45" s="37"/>
      <c r="G45" s="76"/>
      <c r="H45" s="147"/>
      <c r="I45" s="147"/>
      <c r="J45" s="147"/>
      <c r="K45" s="21"/>
      <c r="P45" s="4"/>
      <c r="Q45" s="4"/>
      <c r="R45" s="5"/>
    </row>
    <row r="46" spans="1:18" ht="15.75" x14ac:dyDescent="0.25">
      <c r="A46" s="123"/>
      <c r="B46" s="49" t="s">
        <v>70</v>
      </c>
      <c r="C46" s="81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4"/>
      <c r="B47" s="27"/>
      <c r="C47" s="11"/>
      <c r="D47" s="12"/>
      <c r="F47" s="59"/>
      <c r="G47" s="59"/>
      <c r="H47" s="125"/>
      <c r="I47" s="126"/>
      <c r="J47" s="127"/>
      <c r="K47" s="21"/>
      <c r="P47" s="4"/>
      <c r="Q47" s="4"/>
      <c r="R47" s="5"/>
    </row>
    <row r="48" spans="1:18" ht="15" customHeight="1" x14ac:dyDescent="0.25">
      <c r="A48" s="122" t="s">
        <v>32</v>
      </c>
      <c r="B48" s="27" t="s">
        <v>66</v>
      </c>
      <c r="C48" s="10"/>
      <c r="D48" s="12">
        <f>C48*78</f>
        <v>0</v>
      </c>
      <c r="F48" s="59"/>
      <c r="G48" s="59"/>
      <c r="H48" s="125"/>
      <c r="I48" s="126"/>
      <c r="J48" s="1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3"/>
      <c r="B49" s="29" t="s">
        <v>68</v>
      </c>
      <c r="C49" s="33"/>
      <c r="D49" s="12">
        <f>C49*42</f>
        <v>0</v>
      </c>
      <c r="F49" s="128" t="s">
        <v>86</v>
      </c>
      <c r="G49" s="130">
        <f>H34+H35+H36+H37+H38+H39+H40+H41+G42+H44+H45+H46</f>
        <v>0</v>
      </c>
      <c r="H49" s="131"/>
      <c r="I49" s="131"/>
      <c r="J49" s="13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3"/>
      <c r="B50" s="32" t="s">
        <v>70</v>
      </c>
      <c r="C50" s="11"/>
      <c r="D50" s="12">
        <f>C50*1.5</f>
        <v>0</v>
      </c>
      <c r="F50" s="129"/>
      <c r="G50" s="133"/>
      <c r="H50" s="134"/>
      <c r="I50" s="134"/>
      <c r="J50" s="135"/>
      <c r="P50" s="4"/>
      <c r="Q50" s="4"/>
      <c r="R50" s="5"/>
    </row>
    <row r="51" spans="1:18" ht="15" customHeight="1" x14ac:dyDescent="0.25">
      <c r="A51" s="123"/>
      <c r="B51" s="27"/>
      <c r="C51" s="10"/>
      <c r="D51" s="31"/>
      <c r="F51" s="136" t="s">
        <v>128</v>
      </c>
      <c r="G51" s="138">
        <f>G49-H29</f>
        <v>0</v>
      </c>
      <c r="H51" s="139"/>
      <c r="I51" s="139"/>
      <c r="J51" s="1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3"/>
      <c r="B52" s="29"/>
      <c r="C52" s="33"/>
      <c r="D52" s="45"/>
      <c r="F52" s="137"/>
      <c r="G52" s="141"/>
      <c r="H52" s="142"/>
      <c r="I52" s="142"/>
      <c r="J52" s="1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8" t="s">
        <v>90</v>
      </c>
      <c r="B54" s="109"/>
      <c r="C54" s="110"/>
      <c r="D54" s="114">
        <f>SUM(D34:D53)</f>
        <v>0</v>
      </c>
      <c r="F54" s="21"/>
      <c r="J54" s="34"/>
    </row>
    <row r="55" spans="1:18" x14ac:dyDescent="0.25">
      <c r="A55" s="111"/>
      <c r="B55" s="112"/>
      <c r="C55" s="113"/>
      <c r="D55" s="1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6" t="s">
        <v>91</v>
      </c>
      <c r="B58" s="117"/>
      <c r="C58" s="117"/>
      <c r="D58" s="118"/>
      <c r="F58" s="116" t="s">
        <v>92</v>
      </c>
      <c r="G58" s="117"/>
      <c r="H58" s="117"/>
      <c r="I58" s="117"/>
      <c r="J58" s="118"/>
    </row>
    <row r="59" spans="1:18" x14ac:dyDescent="0.25">
      <c r="A59" s="119"/>
      <c r="B59" s="120"/>
      <c r="C59" s="120"/>
      <c r="D59" s="121"/>
      <c r="F59" s="119"/>
      <c r="G59" s="120"/>
      <c r="H59" s="120"/>
      <c r="I59" s="120"/>
      <c r="J59" s="12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24E1-A897-47E6-A4FF-FF94A239BF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4" t="s">
        <v>1</v>
      </c>
      <c r="O1" s="20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205" t="s">
        <v>8</v>
      </c>
      <c r="G4" s="207">
        <v>1</v>
      </c>
      <c r="H4" s="209" t="s">
        <v>9</v>
      </c>
      <c r="I4" s="211">
        <v>46031</v>
      </c>
      <c r="J4" s="2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206"/>
      <c r="G5" s="208"/>
      <c r="H5" s="210"/>
      <c r="I5" s="213"/>
      <c r="J5" s="2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84">
        <v>647</v>
      </c>
      <c r="D6" s="13">
        <f t="shared" ref="D6:D28" si="1">C6*L6</f>
        <v>492367</v>
      </c>
      <c r="F6" s="215" t="s">
        <v>16</v>
      </c>
      <c r="G6" s="217" t="s">
        <v>129</v>
      </c>
      <c r="H6" s="218"/>
      <c r="I6" s="218"/>
      <c r="J6" s="2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84"/>
      <c r="D7" s="13">
        <f t="shared" si="1"/>
        <v>0</v>
      </c>
      <c r="F7" s="216"/>
      <c r="G7" s="220"/>
      <c r="H7" s="221"/>
      <c r="I7" s="221"/>
      <c r="J7" s="2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84"/>
      <c r="D8" s="13">
        <f t="shared" si="1"/>
        <v>0</v>
      </c>
      <c r="F8" s="223" t="s">
        <v>21</v>
      </c>
      <c r="G8" s="224" t="s">
        <v>112</v>
      </c>
      <c r="H8" s="225"/>
      <c r="I8" s="225"/>
      <c r="J8" s="2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84"/>
      <c r="D9" s="13">
        <f t="shared" si="1"/>
        <v>0</v>
      </c>
      <c r="F9" s="216"/>
      <c r="G9" s="227"/>
      <c r="H9" s="228"/>
      <c r="I9" s="228"/>
      <c r="J9" s="2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84"/>
      <c r="D10" s="13">
        <f t="shared" si="1"/>
        <v>0</v>
      </c>
      <c r="F10" s="215" t="s">
        <v>26</v>
      </c>
      <c r="G10" s="230" t="s">
        <v>130</v>
      </c>
      <c r="H10" s="231"/>
      <c r="I10" s="231"/>
      <c r="J10" s="232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84"/>
      <c r="D11" s="13">
        <f t="shared" si="1"/>
        <v>0</v>
      </c>
      <c r="F11" s="216"/>
      <c r="G11" s="227"/>
      <c r="H11" s="228"/>
      <c r="I11" s="228"/>
      <c r="J11" s="2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84"/>
      <c r="D12" s="48">
        <f t="shared" si="1"/>
        <v>0</v>
      </c>
      <c r="F12" s="233" t="s">
        <v>33</v>
      </c>
      <c r="G12" s="234"/>
      <c r="H12" s="234"/>
      <c r="I12" s="234"/>
      <c r="J12" s="2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84">
        <v>20</v>
      </c>
      <c r="D13" s="48">
        <f t="shared" si="1"/>
        <v>6140</v>
      </c>
      <c r="F13" s="236" t="s">
        <v>36</v>
      </c>
      <c r="G13" s="200"/>
      <c r="H13" s="191">
        <f>D29</f>
        <v>498507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84"/>
      <c r="D14" s="31">
        <f t="shared" si="1"/>
        <v>0</v>
      </c>
      <c r="F14" s="194" t="s">
        <v>39</v>
      </c>
      <c r="G14" s="195"/>
      <c r="H14" s="196">
        <f>D54</f>
        <v>99282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84"/>
      <c r="D15" s="31">
        <f t="shared" si="1"/>
        <v>0</v>
      </c>
      <c r="F15" s="199" t="s">
        <v>40</v>
      </c>
      <c r="G15" s="200"/>
      <c r="H15" s="201">
        <f>H13-H14</f>
        <v>399225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1">
        <v>3882</v>
      </c>
      <c r="I16" s="161"/>
      <c r="J16" s="16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137</v>
      </c>
      <c r="C17" s="84"/>
      <c r="D17" s="48">
        <f t="shared" si="1"/>
        <v>0</v>
      </c>
      <c r="F17" s="56"/>
      <c r="G17" s="66" t="s">
        <v>45</v>
      </c>
      <c r="H17" s="172"/>
      <c r="I17" s="172"/>
      <c r="J17" s="17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2"/>
      <c r="I18" s="172"/>
      <c r="J18" s="17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v>1102</v>
      </c>
      <c r="Q19" s="4"/>
      <c r="R19" s="5">
        <f t="shared" si="0"/>
        <v>0</v>
      </c>
    </row>
    <row r="20" spans="1:18" ht="15.75" x14ac:dyDescent="0.25">
      <c r="A20" s="15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127</v>
      </c>
      <c r="C22" s="84"/>
      <c r="D22" s="48">
        <f t="shared" si="1"/>
        <v>0</v>
      </c>
      <c r="F22" s="77"/>
      <c r="G22" s="73"/>
      <c r="H22" s="177"/>
      <c r="I22" s="177"/>
      <c r="J22" s="17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136</v>
      </c>
      <c r="C26" s="84"/>
      <c r="D26" s="48">
        <f t="shared" si="1"/>
        <v>0</v>
      </c>
      <c r="F26" s="75"/>
      <c r="G26" s="65"/>
      <c r="H26" s="147"/>
      <c r="I26" s="147"/>
      <c r="J26" s="14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110</v>
      </c>
      <c r="C27" s="84"/>
      <c r="D27" s="44">
        <f t="shared" si="1"/>
        <v>0</v>
      </c>
      <c r="F27" s="71"/>
      <c r="G27" s="90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84"/>
      <c r="D28" s="48">
        <f t="shared" si="1"/>
        <v>0</v>
      </c>
      <c r="F28" s="93"/>
      <c r="G28" s="61"/>
      <c r="H28" s="188"/>
      <c r="I28" s="189"/>
      <c r="J28" s="190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498507</v>
      </c>
      <c r="F29" s="108" t="s">
        <v>55</v>
      </c>
      <c r="G29" s="170"/>
      <c r="H29" s="130">
        <f>H15-H16-H17-H18-H19-H20-H22-H23-H24+H26+H27+H28</f>
        <v>395343</v>
      </c>
      <c r="I29" s="131"/>
      <c r="J29" s="13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11"/>
      <c r="G30" s="171"/>
      <c r="H30" s="133"/>
      <c r="I30" s="134"/>
      <c r="J30" s="13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58</v>
      </c>
      <c r="B32" s="156"/>
      <c r="C32" s="156"/>
      <c r="D32" s="157"/>
      <c r="F32" s="158" t="s">
        <v>59</v>
      </c>
      <c r="G32" s="159"/>
      <c r="H32" s="159"/>
      <c r="I32" s="159"/>
      <c r="J32" s="16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8" t="s">
        <v>13</v>
      </c>
      <c r="I33" s="159"/>
      <c r="J33" s="16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395</v>
      </c>
      <c r="H34" s="152">
        <f t="shared" ref="H34:H39" si="2">F34*G34</f>
        <v>395000</v>
      </c>
      <c r="I34" s="153"/>
      <c r="J34" s="15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152">
        <f t="shared" si="2"/>
        <v>0</v>
      </c>
      <c r="I35" s="153"/>
      <c r="J35" s="15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152">
        <f t="shared" si="2"/>
        <v>0</v>
      </c>
      <c r="I36" s="153"/>
      <c r="J36" s="15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864</v>
      </c>
      <c r="D37" s="12">
        <f>C37*111</f>
        <v>95904</v>
      </c>
      <c r="F37" s="12">
        <v>100</v>
      </c>
      <c r="G37" s="39">
        <v>3</v>
      </c>
      <c r="H37" s="152">
        <f t="shared" si="2"/>
        <v>300</v>
      </c>
      <c r="I37" s="153"/>
      <c r="J37" s="15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152">
        <f t="shared" si="2"/>
        <v>0</v>
      </c>
      <c r="I38" s="153"/>
      <c r="J38" s="15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152">
        <f t="shared" si="2"/>
        <v>0</v>
      </c>
      <c r="I39" s="153"/>
      <c r="J39" s="15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2"/>
      <c r="I40" s="153"/>
      <c r="J40" s="15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152"/>
      <c r="I41" s="153"/>
      <c r="J41" s="15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152">
        <v>13</v>
      </c>
      <c r="H42" s="153"/>
      <c r="I42" s="153"/>
      <c r="J42" s="15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2" t="s">
        <v>81</v>
      </c>
      <c r="C43" s="11"/>
      <c r="D43" s="12"/>
      <c r="F43" s="59" t="s">
        <v>82</v>
      </c>
      <c r="G43" s="90" t="s">
        <v>83</v>
      </c>
      <c r="H43" s="144" t="s">
        <v>13</v>
      </c>
      <c r="I43" s="145"/>
      <c r="J43" s="14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3"/>
      <c r="B44" s="27" t="s">
        <v>66</v>
      </c>
      <c r="C44" s="10"/>
      <c r="D44" s="12">
        <f>C44*120</f>
        <v>0</v>
      </c>
      <c r="F44" s="37"/>
      <c r="G44" s="62"/>
      <c r="H44" s="147"/>
      <c r="I44" s="147"/>
      <c r="J44" s="147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23"/>
      <c r="B45" s="27" t="s">
        <v>68</v>
      </c>
      <c r="C45" s="33"/>
      <c r="D45" s="12">
        <f>C45*84</f>
        <v>0</v>
      </c>
      <c r="F45" s="37"/>
      <c r="G45" s="62"/>
      <c r="H45" s="147"/>
      <c r="I45" s="147"/>
      <c r="J45" s="147"/>
      <c r="K45" s="21"/>
      <c r="P45" s="4"/>
      <c r="Q45" s="4"/>
      <c r="R45" s="5"/>
    </row>
    <row r="46" spans="1:18" ht="15.75" x14ac:dyDescent="0.25">
      <c r="A46" s="123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4"/>
      <c r="B47" s="27"/>
      <c r="C47" s="11"/>
      <c r="D47" s="12"/>
      <c r="F47" s="59"/>
      <c r="G47" s="59"/>
      <c r="H47" s="125"/>
      <c r="I47" s="126"/>
      <c r="J47" s="127"/>
      <c r="K47" s="21"/>
      <c r="P47" s="4"/>
      <c r="Q47" s="4"/>
      <c r="R47" s="5"/>
    </row>
    <row r="48" spans="1:18" ht="15" customHeight="1" x14ac:dyDescent="0.25">
      <c r="A48" s="122" t="s">
        <v>32</v>
      </c>
      <c r="B48" s="27" t="s">
        <v>66</v>
      </c>
      <c r="C48" s="10">
        <v>25</v>
      </c>
      <c r="D48" s="12">
        <f>C48*78</f>
        <v>1950</v>
      </c>
      <c r="F48" s="59"/>
      <c r="G48" s="59"/>
      <c r="H48" s="125"/>
      <c r="I48" s="126"/>
      <c r="J48" s="1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3"/>
      <c r="B49" s="29" t="s">
        <v>68</v>
      </c>
      <c r="C49" s="33">
        <v>34</v>
      </c>
      <c r="D49" s="12">
        <f>C49*42</f>
        <v>1428</v>
      </c>
      <c r="F49" s="128" t="s">
        <v>86</v>
      </c>
      <c r="G49" s="130">
        <f>H34+H35+H36+H37+H38+H39+H40+H41+G42+H44+H45+H46</f>
        <v>395313</v>
      </c>
      <c r="H49" s="131"/>
      <c r="I49" s="131"/>
      <c r="J49" s="13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3"/>
      <c r="B50" s="32" t="s">
        <v>70</v>
      </c>
      <c r="C50" s="11"/>
      <c r="D50" s="12">
        <f>C50*1.5</f>
        <v>0</v>
      </c>
      <c r="F50" s="129"/>
      <c r="G50" s="133"/>
      <c r="H50" s="134"/>
      <c r="I50" s="134"/>
      <c r="J50" s="135"/>
      <c r="O50" t="s">
        <v>144</v>
      </c>
      <c r="P50" s="4">
        <v>1204</v>
      </c>
      <c r="Q50" s="4"/>
      <c r="R50" s="5"/>
    </row>
    <row r="51" spans="1:18" ht="15" customHeight="1" x14ac:dyDescent="0.25">
      <c r="A51" s="123"/>
      <c r="B51" s="27"/>
      <c r="C51" s="10"/>
      <c r="D51" s="31"/>
      <c r="F51" s="136" t="s">
        <v>131</v>
      </c>
      <c r="G51" s="237">
        <f>G49-H29</f>
        <v>-30</v>
      </c>
      <c r="H51" s="238"/>
      <c r="I51" s="238"/>
      <c r="J51" s="2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3"/>
      <c r="B52" s="29"/>
      <c r="C52" s="33"/>
      <c r="D52" s="45"/>
      <c r="F52" s="137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8" t="s">
        <v>90</v>
      </c>
      <c r="B54" s="109"/>
      <c r="C54" s="110"/>
      <c r="D54" s="114">
        <f>SUM(D34:D53)</f>
        <v>99282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1"/>
      <c r="B55" s="112"/>
      <c r="C55" s="113"/>
      <c r="D55" s="1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16" t="s">
        <v>91</v>
      </c>
      <c r="B58" s="117"/>
      <c r="C58" s="117"/>
      <c r="D58" s="118"/>
      <c r="F58" s="116" t="s">
        <v>92</v>
      </c>
      <c r="G58" s="117"/>
      <c r="H58" s="117"/>
      <c r="I58" s="117"/>
      <c r="J58" s="118"/>
    </row>
    <row r="59" spans="1:18" x14ac:dyDescent="0.25">
      <c r="A59" s="119"/>
      <c r="B59" s="120"/>
      <c r="C59" s="120"/>
      <c r="D59" s="121"/>
      <c r="F59" s="119"/>
      <c r="G59" s="120"/>
      <c r="H59" s="120"/>
      <c r="I59" s="120"/>
      <c r="J59" s="12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61630-3EB8-4211-A7C1-B833962E79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4" t="s">
        <v>1</v>
      </c>
      <c r="O1" s="20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205" t="s">
        <v>8</v>
      </c>
      <c r="G4" s="207">
        <v>2</v>
      </c>
      <c r="H4" s="209" t="s">
        <v>9</v>
      </c>
      <c r="I4" s="211">
        <v>46031</v>
      </c>
      <c r="J4" s="2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206"/>
      <c r="G5" s="208"/>
      <c r="H5" s="210"/>
      <c r="I5" s="213"/>
      <c r="J5" s="2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317</v>
      </c>
      <c r="D6" s="13">
        <f t="shared" ref="D6:D28" si="1">C6*L6</f>
        <v>241237</v>
      </c>
      <c r="F6" s="215" t="s">
        <v>16</v>
      </c>
      <c r="G6" s="217" t="s">
        <v>140</v>
      </c>
      <c r="H6" s="218"/>
      <c r="I6" s="218"/>
      <c r="J6" s="2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9</v>
      </c>
      <c r="D7" s="13">
        <f t="shared" si="1"/>
        <v>7029</v>
      </c>
      <c r="F7" s="216"/>
      <c r="G7" s="220"/>
      <c r="H7" s="221"/>
      <c r="I7" s="221"/>
      <c r="J7" s="2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223" t="s">
        <v>21</v>
      </c>
      <c r="G8" s="224" t="s">
        <v>114</v>
      </c>
      <c r="H8" s="225"/>
      <c r="I8" s="225"/>
      <c r="J8" s="2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23</v>
      </c>
      <c r="D9" s="13">
        <f t="shared" si="1"/>
        <v>16859</v>
      </c>
      <c r="F9" s="216"/>
      <c r="G9" s="227"/>
      <c r="H9" s="228"/>
      <c r="I9" s="228"/>
      <c r="J9" s="2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215" t="s">
        <v>26</v>
      </c>
      <c r="G10" s="230" t="s">
        <v>115</v>
      </c>
      <c r="H10" s="231"/>
      <c r="I10" s="231"/>
      <c r="J10" s="232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>
        <v>1</v>
      </c>
      <c r="D11" s="13">
        <f t="shared" si="1"/>
        <v>1170</v>
      </c>
      <c r="F11" s="216"/>
      <c r="G11" s="227"/>
      <c r="H11" s="228"/>
      <c r="I11" s="228"/>
      <c r="J11" s="2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f>1+1</f>
        <v>2</v>
      </c>
      <c r="D12" s="48">
        <f t="shared" si="1"/>
        <v>1984</v>
      </c>
      <c r="F12" s="233" t="s">
        <v>33</v>
      </c>
      <c r="G12" s="234"/>
      <c r="H12" s="234"/>
      <c r="I12" s="234"/>
      <c r="J12" s="2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10</v>
      </c>
      <c r="D13" s="48">
        <f t="shared" si="1"/>
        <v>3070</v>
      </c>
      <c r="F13" s="236" t="s">
        <v>36</v>
      </c>
      <c r="G13" s="200"/>
      <c r="H13" s="191">
        <f>D29</f>
        <v>273073.33333333331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22</v>
      </c>
      <c r="D14" s="31">
        <f t="shared" si="1"/>
        <v>242</v>
      </c>
      <c r="F14" s="194" t="s">
        <v>39</v>
      </c>
      <c r="G14" s="195"/>
      <c r="H14" s="196">
        <f>D54</f>
        <v>45388.5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>
        <v>2</v>
      </c>
      <c r="D15" s="31">
        <f t="shared" si="1"/>
        <v>1240</v>
      </c>
      <c r="F15" s="199" t="s">
        <v>40</v>
      </c>
      <c r="G15" s="200"/>
      <c r="H15" s="201">
        <f>H13-H14</f>
        <v>227684.83333333331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1">
        <v>1074</v>
      </c>
      <c r="I16" s="161"/>
      <c r="J16" s="16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93</v>
      </c>
      <c r="C17" s="10"/>
      <c r="D17" s="48">
        <f t="shared" si="1"/>
        <v>0</v>
      </c>
      <c r="F17" s="56"/>
      <c r="G17" s="66" t="s">
        <v>45</v>
      </c>
      <c r="H17" s="172"/>
      <c r="I17" s="172"/>
      <c r="J17" s="17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2"/>
      <c r="I18" s="172"/>
      <c r="J18" s="17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7"/>
      <c r="I19" s="247"/>
      <c r="J19" s="24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2"/>
      <c r="G22" s="73"/>
      <c r="H22" s="177"/>
      <c r="I22" s="177"/>
      <c r="J22" s="17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25"/>
      <c r="G23" s="37"/>
      <c r="H23" s="178"/>
      <c r="I23" s="147"/>
      <c r="J23" s="14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123</v>
      </c>
      <c r="C24" s="10"/>
      <c r="D24" s="48">
        <f t="shared" si="1"/>
        <v>0</v>
      </c>
      <c r="F24" s="38"/>
      <c r="G24" s="37"/>
      <c r="H24" s="178"/>
      <c r="I24" s="147"/>
      <c r="J24" s="14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124</v>
      </c>
      <c r="C25" s="10">
        <v>2</v>
      </c>
      <c r="D25" s="48">
        <f t="shared" si="1"/>
        <v>242.33333333333334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93"/>
      <c r="G28" s="61"/>
      <c r="H28" s="188"/>
      <c r="I28" s="189"/>
      <c r="J28" s="190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273073.33333333331</v>
      </c>
      <c r="F29" s="108" t="s">
        <v>55</v>
      </c>
      <c r="G29" s="170"/>
      <c r="H29" s="130">
        <f>H15-H16-H17-H18-H19-H20-H22-H23-H24+H26+H27</f>
        <v>226610.83333333331</v>
      </c>
      <c r="I29" s="131"/>
      <c r="J29" s="13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11"/>
      <c r="G30" s="171"/>
      <c r="H30" s="133"/>
      <c r="I30" s="134"/>
      <c r="J30" s="13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58</v>
      </c>
      <c r="B32" s="156"/>
      <c r="C32" s="156"/>
      <c r="D32" s="157"/>
      <c r="F32" s="158" t="s">
        <v>59</v>
      </c>
      <c r="G32" s="159"/>
      <c r="H32" s="159"/>
      <c r="I32" s="159"/>
      <c r="J32" s="16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8" t="s">
        <v>13</v>
      </c>
      <c r="I33" s="159"/>
      <c r="J33" s="16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152">
        <f>F34*G34</f>
        <v>148000</v>
      </c>
      <c r="I34" s="153"/>
      <c r="J34" s="15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147</v>
      </c>
      <c r="H35" s="152">
        <f t="shared" ref="H35:H39" si="2">F35*G35</f>
        <v>73500</v>
      </c>
      <c r="I35" s="153"/>
      <c r="J35" s="15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3</v>
      </c>
      <c r="H36" s="152">
        <f>F36*G36</f>
        <v>600</v>
      </c>
      <c r="I36" s="153"/>
      <c r="J36" s="15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394</v>
      </c>
      <c r="D37" s="12">
        <f>C37*111</f>
        <v>43734</v>
      </c>
      <c r="F37" s="12">
        <v>100</v>
      </c>
      <c r="G37" s="39">
        <v>29</v>
      </c>
      <c r="H37" s="152">
        <f t="shared" si="2"/>
        <v>2900</v>
      </c>
      <c r="I37" s="153"/>
      <c r="J37" s="15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52">
        <f t="shared" si="2"/>
        <v>50</v>
      </c>
      <c r="I38" s="153"/>
      <c r="J38" s="15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2">
        <f t="shared" si="2"/>
        <v>0</v>
      </c>
      <c r="I39" s="153"/>
      <c r="J39" s="15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52"/>
      <c r="I40" s="153"/>
      <c r="J40" s="15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2"/>
      <c r="I41" s="153"/>
      <c r="J41" s="15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152"/>
      <c r="H42" s="153"/>
      <c r="I42" s="153"/>
      <c r="J42" s="15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2" t="s">
        <v>81</v>
      </c>
      <c r="C43" s="11"/>
      <c r="D43" s="12"/>
      <c r="F43" s="59" t="s">
        <v>82</v>
      </c>
      <c r="G43" s="90" t="s">
        <v>83</v>
      </c>
      <c r="H43" s="144" t="s">
        <v>13</v>
      </c>
      <c r="I43" s="145"/>
      <c r="J43" s="14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3"/>
      <c r="B44" s="27" t="s">
        <v>66</v>
      </c>
      <c r="C44" s="10">
        <v>1</v>
      </c>
      <c r="D44" s="12">
        <f>C44*120</f>
        <v>120</v>
      </c>
      <c r="F44" s="37"/>
      <c r="G44" s="62"/>
      <c r="H44" s="147"/>
      <c r="I44" s="147"/>
      <c r="J44" s="147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23"/>
      <c r="B45" s="27" t="s">
        <v>68</v>
      </c>
      <c r="C45" s="33">
        <v>2</v>
      </c>
      <c r="D45" s="12">
        <f>C45*84</f>
        <v>168</v>
      </c>
      <c r="F45" s="37"/>
      <c r="G45" s="62"/>
      <c r="H45" s="147"/>
      <c r="I45" s="147"/>
      <c r="J45" s="147"/>
      <c r="K45" s="21"/>
      <c r="P45" s="4"/>
      <c r="Q45" s="4"/>
      <c r="R45" s="5"/>
    </row>
    <row r="46" spans="1:18" ht="15.75" x14ac:dyDescent="0.25">
      <c r="A46" s="123"/>
      <c r="B46" s="49" t="s">
        <v>70</v>
      </c>
      <c r="C46" s="81">
        <v>3</v>
      </c>
      <c r="D46" s="12">
        <f>C46*1.5</f>
        <v>4.5</v>
      </c>
      <c r="F46" s="37"/>
      <c r="G46" s="91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4"/>
      <c r="B47" s="27"/>
      <c r="C47" s="11"/>
      <c r="D47" s="12"/>
      <c r="F47" s="59"/>
      <c r="G47" s="59"/>
      <c r="H47" s="125"/>
      <c r="I47" s="126"/>
      <c r="J47" s="127"/>
      <c r="K47" s="21"/>
      <c r="P47" s="4"/>
      <c r="Q47" s="4"/>
      <c r="R47" s="5"/>
    </row>
    <row r="48" spans="1:18" ht="15" customHeight="1" x14ac:dyDescent="0.25">
      <c r="A48" s="122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25"/>
      <c r="I48" s="126"/>
      <c r="J48" s="1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3"/>
      <c r="B49" s="29" t="s">
        <v>68</v>
      </c>
      <c r="C49" s="33">
        <v>8</v>
      </c>
      <c r="D49" s="12">
        <f>C49*42</f>
        <v>336</v>
      </c>
      <c r="F49" s="128" t="s">
        <v>86</v>
      </c>
      <c r="G49" s="130">
        <f>H34+H35+H36+H37+H38+H39+H40+H41+G42+H44+H45+H46</f>
        <v>225050</v>
      </c>
      <c r="H49" s="131"/>
      <c r="I49" s="131"/>
      <c r="J49" s="13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3"/>
      <c r="B50" s="32" t="s">
        <v>70</v>
      </c>
      <c r="C50" s="11">
        <v>20</v>
      </c>
      <c r="D50" s="12">
        <f>C50*1.5</f>
        <v>30</v>
      </c>
      <c r="F50" s="129"/>
      <c r="G50" s="133"/>
      <c r="H50" s="134"/>
      <c r="I50" s="134"/>
      <c r="J50" s="135"/>
      <c r="O50" t="s">
        <v>144</v>
      </c>
      <c r="P50" s="4">
        <v>1204</v>
      </c>
      <c r="Q50" s="4"/>
      <c r="R50" s="5"/>
    </row>
    <row r="51" spans="1:18" ht="15" customHeight="1" x14ac:dyDescent="0.25">
      <c r="A51" s="123"/>
      <c r="B51" s="27"/>
      <c r="C51" s="10"/>
      <c r="D51" s="31"/>
      <c r="F51" s="136" t="s">
        <v>161</v>
      </c>
      <c r="G51" s="237">
        <f>G49-H29</f>
        <v>-1560.8333333333139</v>
      </c>
      <c r="H51" s="238"/>
      <c r="I51" s="238"/>
      <c r="J51" s="2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3"/>
      <c r="B52" s="29"/>
      <c r="C52" s="33"/>
      <c r="D52" s="45"/>
      <c r="F52" s="137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8" t="s">
        <v>90</v>
      </c>
      <c r="B54" s="109"/>
      <c r="C54" s="110"/>
      <c r="D54" s="114">
        <f>SUM(D34:D53)</f>
        <v>45388.5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1"/>
      <c r="B55" s="112"/>
      <c r="C55" s="113"/>
      <c r="D55" s="1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16" t="s">
        <v>91</v>
      </c>
      <c r="B58" s="117"/>
      <c r="C58" s="117"/>
      <c r="D58" s="118"/>
      <c r="F58" s="116" t="s">
        <v>92</v>
      </c>
      <c r="G58" s="117"/>
      <c r="H58" s="117"/>
      <c r="I58" s="117"/>
      <c r="J58" s="118"/>
    </row>
    <row r="59" spans="1:18" x14ac:dyDescent="0.25">
      <c r="A59" s="119"/>
      <c r="B59" s="120"/>
      <c r="C59" s="120"/>
      <c r="D59" s="121"/>
      <c r="F59" s="119"/>
      <c r="G59" s="120"/>
      <c r="H59" s="120"/>
      <c r="I59" s="120"/>
      <c r="J59" s="12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F3F1-5256-4795-A607-ECE807DB6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4" t="s">
        <v>1</v>
      </c>
      <c r="O1" s="20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205" t="s">
        <v>8</v>
      </c>
      <c r="G4" s="207">
        <v>3</v>
      </c>
      <c r="H4" s="209" t="s">
        <v>9</v>
      </c>
      <c r="I4" s="211">
        <v>46031</v>
      </c>
      <c r="J4" s="2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206"/>
      <c r="G5" s="208"/>
      <c r="H5" s="210"/>
      <c r="I5" s="213"/>
      <c r="J5" s="2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344</v>
      </c>
      <c r="D6" s="13">
        <f t="shared" ref="D6:D28" si="1">C6*L6</f>
        <v>261784</v>
      </c>
      <c r="F6" s="215" t="s">
        <v>16</v>
      </c>
      <c r="G6" s="217" t="s">
        <v>111</v>
      </c>
      <c r="H6" s="218"/>
      <c r="I6" s="218"/>
      <c r="J6" s="2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12</v>
      </c>
      <c r="D7" s="13">
        <f t="shared" si="1"/>
        <v>9372</v>
      </c>
      <c r="F7" s="216"/>
      <c r="G7" s="220"/>
      <c r="H7" s="221"/>
      <c r="I7" s="221"/>
      <c r="J7" s="2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223" t="s">
        <v>21</v>
      </c>
      <c r="G8" s="224" t="s">
        <v>119</v>
      </c>
      <c r="H8" s="225"/>
      <c r="I8" s="225"/>
      <c r="J8" s="2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78</v>
      </c>
      <c r="D9" s="13">
        <f t="shared" si="1"/>
        <v>57174</v>
      </c>
      <c r="F9" s="216"/>
      <c r="G9" s="227"/>
      <c r="H9" s="228"/>
      <c r="I9" s="228"/>
      <c r="J9" s="2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>
        <v>1</v>
      </c>
      <c r="D10" s="13">
        <f t="shared" si="1"/>
        <v>1032</v>
      </c>
      <c r="F10" s="215" t="s">
        <v>26</v>
      </c>
      <c r="G10" s="230" t="s">
        <v>134</v>
      </c>
      <c r="H10" s="231"/>
      <c r="I10" s="231"/>
      <c r="J10" s="232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216"/>
      <c r="G11" s="227"/>
      <c r="H11" s="228"/>
      <c r="I11" s="228"/>
      <c r="J11" s="2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f>4+1+1</f>
        <v>6</v>
      </c>
      <c r="D12" s="48">
        <f t="shared" si="1"/>
        <v>5952</v>
      </c>
      <c r="F12" s="233" t="s">
        <v>33</v>
      </c>
      <c r="G12" s="234"/>
      <c r="H12" s="234"/>
      <c r="I12" s="234"/>
      <c r="J12" s="2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10</v>
      </c>
      <c r="D13" s="48">
        <f t="shared" si="1"/>
        <v>3070</v>
      </c>
      <c r="F13" s="236" t="s">
        <v>36</v>
      </c>
      <c r="G13" s="200"/>
      <c r="H13" s="191">
        <f>D29</f>
        <v>341782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14</v>
      </c>
      <c r="D14" s="31">
        <f t="shared" si="1"/>
        <v>154</v>
      </c>
      <c r="F14" s="194" t="s">
        <v>39</v>
      </c>
      <c r="G14" s="195"/>
      <c r="H14" s="196">
        <f>D54</f>
        <v>52036.5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99" t="s">
        <v>40</v>
      </c>
      <c r="G15" s="200"/>
      <c r="H15" s="201">
        <f>H13-H14</f>
        <v>289745.5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1">
        <f>684+672</f>
        <v>1356</v>
      </c>
      <c r="I16" s="161"/>
      <c r="J16" s="16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113</v>
      </c>
      <c r="C17" s="10"/>
      <c r="D17" s="48">
        <f t="shared" si="1"/>
        <v>0</v>
      </c>
      <c r="F17" s="56"/>
      <c r="G17" s="66" t="s">
        <v>45</v>
      </c>
      <c r="H17" s="172"/>
      <c r="I17" s="172"/>
      <c r="J17" s="17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2"/>
      <c r="I18" s="172"/>
      <c r="J18" s="17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8"/>
      <c r="I19" s="248"/>
      <c r="J19" s="24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1"/>
      <c r="I20" s="161"/>
      <c r="J20" s="16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7"/>
      <c r="G22" s="73"/>
      <c r="H22" s="177"/>
      <c r="I22" s="177"/>
      <c r="J22" s="17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78"/>
      <c r="G23" s="79"/>
      <c r="H23" s="178"/>
      <c r="I23" s="147"/>
      <c r="J23" s="14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101</v>
      </c>
      <c r="C24" s="10"/>
      <c r="D24" s="48">
        <f t="shared" si="1"/>
        <v>0</v>
      </c>
      <c r="F24" s="38"/>
      <c r="G24" s="37"/>
      <c r="H24" s="178"/>
      <c r="I24" s="147"/>
      <c r="J24" s="14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>
        <v>4</v>
      </c>
      <c r="D28" s="48">
        <f t="shared" si="1"/>
        <v>3244</v>
      </c>
      <c r="F28" s="93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341782</v>
      </c>
      <c r="F29" s="108" t="s">
        <v>55</v>
      </c>
      <c r="G29" s="170"/>
      <c r="H29" s="130">
        <f>H15-H16-H17-H18-H19-H20-H22-H23-H24+H26+H27</f>
        <v>288389.5</v>
      </c>
      <c r="I29" s="131"/>
      <c r="J29" s="13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11"/>
      <c r="G30" s="171"/>
      <c r="H30" s="133"/>
      <c r="I30" s="134"/>
      <c r="J30" s="13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58</v>
      </c>
      <c r="B32" s="156"/>
      <c r="C32" s="156"/>
      <c r="D32" s="157"/>
      <c r="F32" s="158" t="s">
        <v>59</v>
      </c>
      <c r="G32" s="159"/>
      <c r="H32" s="159"/>
      <c r="I32" s="159"/>
      <c r="J32" s="16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8" t="s">
        <v>13</v>
      </c>
      <c r="I33" s="159"/>
      <c r="J33" s="16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83</v>
      </c>
      <c r="H34" s="152">
        <f>F34*G34</f>
        <v>83000</v>
      </c>
      <c r="I34" s="153"/>
      <c r="J34" s="15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152">
        <f>F35*G35</f>
        <v>25000</v>
      </c>
      <c r="I35" s="153"/>
      <c r="J35" s="15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6</v>
      </c>
      <c r="H36" s="152">
        <f t="shared" ref="H36:H39" si="2">F36*G36</f>
        <v>1200</v>
      </c>
      <c r="I36" s="153"/>
      <c r="J36" s="15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452</v>
      </c>
      <c r="D37" s="12">
        <f>C37*111</f>
        <v>50172</v>
      </c>
      <c r="F37" s="12">
        <v>100</v>
      </c>
      <c r="G37" s="39">
        <v>171</v>
      </c>
      <c r="H37" s="152">
        <f t="shared" si="2"/>
        <v>17100</v>
      </c>
      <c r="I37" s="153"/>
      <c r="J37" s="15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49</v>
      </c>
      <c r="H38" s="152">
        <f t="shared" si="2"/>
        <v>2450</v>
      </c>
      <c r="I38" s="153"/>
      <c r="J38" s="15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3</v>
      </c>
      <c r="H39" s="152">
        <f t="shared" si="2"/>
        <v>60</v>
      </c>
      <c r="I39" s="153"/>
      <c r="J39" s="15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2"/>
      <c r="I40" s="153"/>
      <c r="J40" s="15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152"/>
      <c r="I41" s="153"/>
      <c r="J41" s="15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4</v>
      </c>
      <c r="D42" s="12">
        <f>C42*2.25</f>
        <v>9</v>
      </c>
      <c r="F42" s="39" t="s">
        <v>79</v>
      </c>
      <c r="G42" s="152">
        <v>16</v>
      </c>
      <c r="H42" s="153"/>
      <c r="I42" s="153"/>
      <c r="J42" s="15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2" t="s">
        <v>81</v>
      </c>
      <c r="C43" s="11"/>
      <c r="D43" s="12"/>
      <c r="F43" s="59" t="s">
        <v>82</v>
      </c>
      <c r="G43" s="90" t="s">
        <v>83</v>
      </c>
      <c r="H43" s="144" t="s">
        <v>13</v>
      </c>
      <c r="I43" s="145"/>
      <c r="J43" s="14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3"/>
      <c r="B44" s="27" t="s">
        <v>66</v>
      </c>
      <c r="C44" s="10">
        <v>5</v>
      </c>
      <c r="D44" s="12">
        <f>C44*120</f>
        <v>600</v>
      </c>
      <c r="F44" s="37" t="s">
        <v>183</v>
      </c>
      <c r="G44" s="76" t="s">
        <v>184</v>
      </c>
      <c r="H44" s="147">
        <v>84877</v>
      </c>
      <c r="I44" s="147"/>
      <c r="J44" s="14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3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185</v>
      </c>
      <c r="H45" s="147">
        <v>74828</v>
      </c>
      <c r="I45" s="147"/>
      <c r="J45" s="147"/>
      <c r="K45" s="21"/>
      <c r="P45" s="4"/>
      <c r="Q45" s="4"/>
      <c r="R45" s="5"/>
    </row>
    <row r="46" spans="1:18" ht="15.75" x14ac:dyDescent="0.25">
      <c r="A46" s="123"/>
      <c r="B46" s="49" t="s">
        <v>70</v>
      </c>
      <c r="C46" s="81">
        <v>12</v>
      </c>
      <c r="D46" s="12">
        <f>C46*1.5</f>
        <v>18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4"/>
      <c r="B47" s="27"/>
      <c r="C47" s="11"/>
      <c r="D47" s="12"/>
      <c r="F47" s="59"/>
      <c r="G47" s="59"/>
      <c r="H47" s="125"/>
      <c r="I47" s="126"/>
      <c r="J47" s="127"/>
      <c r="K47" s="21"/>
      <c r="P47" s="4"/>
      <c r="Q47" s="4"/>
      <c r="R47" s="5"/>
    </row>
    <row r="48" spans="1:18" ht="15" customHeight="1" x14ac:dyDescent="0.25">
      <c r="A48" s="12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25"/>
      <c r="I48" s="126"/>
      <c r="J48" s="1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3"/>
      <c r="B49" s="29" t="s">
        <v>68</v>
      </c>
      <c r="C49" s="33">
        <v>8</v>
      </c>
      <c r="D49" s="12">
        <f>C49*42</f>
        <v>336</v>
      </c>
      <c r="F49" s="128" t="s">
        <v>86</v>
      </c>
      <c r="G49" s="130">
        <f>H34+H35+H36+H37+H38+H39+H40+H41+G42+H44+H45+H46</f>
        <v>288531</v>
      </c>
      <c r="H49" s="131"/>
      <c r="I49" s="131"/>
      <c r="J49" s="13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3"/>
      <c r="B50" s="32" t="s">
        <v>70</v>
      </c>
      <c r="C50" s="11">
        <v>8</v>
      </c>
      <c r="D50" s="12">
        <f>C50*1.5</f>
        <v>12</v>
      </c>
      <c r="F50" s="129"/>
      <c r="G50" s="133"/>
      <c r="H50" s="134"/>
      <c r="I50" s="134"/>
      <c r="J50" s="135"/>
      <c r="O50" t="s">
        <v>144</v>
      </c>
      <c r="P50" s="4">
        <v>1204</v>
      </c>
      <c r="Q50" s="4"/>
      <c r="R50" s="5"/>
    </row>
    <row r="51" spans="1:18" ht="15" customHeight="1" x14ac:dyDescent="0.25">
      <c r="A51" s="123"/>
      <c r="B51" s="27"/>
      <c r="C51" s="10"/>
      <c r="D51" s="31"/>
      <c r="F51" s="136" t="s">
        <v>149</v>
      </c>
      <c r="G51" s="138">
        <f>G49-H29</f>
        <v>141.5</v>
      </c>
      <c r="H51" s="139"/>
      <c r="I51" s="139"/>
      <c r="J51" s="1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3"/>
      <c r="B52" s="29"/>
      <c r="C52" s="33"/>
      <c r="D52" s="45"/>
      <c r="F52" s="137"/>
      <c r="G52" s="141"/>
      <c r="H52" s="142"/>
      <c r="I52" s="142"/>
      <c r="J52" s="1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8" t="s">
        <v>90</v>
      </c>
      <c r="B54" s="109"/>
      <c r="C54" s="110"/>
      <c r="D54" s="114">
        <f>SUM(D34:D53)</f>
        <v>52036.5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1"/>
      <c r="B55" s="112"/>
      <c r="C55" s="113"/>
      <c r="D55" s="1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6" t="s">
        <v>91</v>
      </c>
      <c r="B58" s="117"/>
      <c r="C58" s="117"/>
      <c r="D58" s="118"/>
      <c r="F58" s="116" t="s">
        <v>92</v>
      </c>
      <c r="G58" s="117"/>
      <c r="H58" s="117"/>
      <c r="I58" s="117"/>
      <c r="J58" s="118"/>
    </row>
    <row r="59" spans="1:18" x14ac:dyDescent="0.25">
      <c r="A59" s="119"/>
      <c r="B59" s="120"/>
      <c r="C59" s="120"/>
      <c r="D59" s="121"/>
      <c r="F59" s="119"/>
      <c r="G59" s="120"/>
      <c r="H59" s="120"/>
      <c r="I59" s="120"/>
      <c r="J59" s="12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4D5C-15B7-4FF1-AB19-8AEC2ECEED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4" t="s">
        <v>1</v>
      </c>
      <c r="O1" s="20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205" t="s">
        <v>8</v>
      </c>
      <c r="G4" s="207"/>
      <c r="H4" s="209" t="s">
        <v>9</v>
      </c>
      <c r="I4" s="211"/>
      <c r="J4" s="2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206"/>
      <c r="G5" s="208"/>
      <c r="H5" s="210"/>
      <c r="I5" s="213"/>
      <c r="J5" s="2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215" t="s">
        <v>16</v>
      </c>
      <c r="G6" s="217"/>
      <c r="H6" s="218"/>
      <c r="I6" s="218"/>
      <c r="J6" s="2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216"/>
      <c r="G7" s="220"/>
      <c r="H7" s="221"/>
      <c r="I7" s="221"/>
      <c r="J7" s="2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223" t="s">
        <v>21</v>
      </c>
      <c r="G8" s="224"/>
      <c r="H8" s="225"/>
      <c r="I8" s="225"/>
      <c r="J8" s="22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216"/>
      <c r="G9" s="227"/>
      <c r="H9" s="228"/>
      <c r="I9" s="228"/>
      <c r="J9" s="22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215" t="s">
        <v>26</v>
      </c>
      <c r="G10" s="230"/>
      <c r="H10" s="231"/>
      <c r="I10" s="231"/>
      <c r="J10" s="232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216"/>
      <c r="G11" s="227"/>
      <c r="H11" s="228"/>
      <c r="I11" s="228"/>
      <c r="J11" s="22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233" t="s">
        <v>33</v>
      </c>
      <c r="G12" s="234"/>
      <c r="H12" s="234"/>
      <c r="I12" s="234"/>
      <c r="J12" s="23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236" t="s">
        <v>36</v>
      </c>
      <c r="G13" s="20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94" t="s">
        <v>39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99" t="s">
        <v>40</v>
      </c>
      <c r="G15" s="200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1"/>
      <c r="I16" s="161"/>
      <c r="J16" s="16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45</v>
      </c>
      <c r="H17" s="172"/>
      <c r="I17" s="172"/>
      <c r="J17" s="17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47</v>
      </c>
      <c r="H18" s="172"/>
      <c r="I18" s="172"/>
      <c r="J18" s="17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50</v>
      </c>
      <c r="H19" s="173"/>
      <c r="I19" s="173"/>
      <c r="J19" s="1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120</v>
      </c>
      <c r="H20" s="161"/>
      <c r="I20" s="161"/>
      <c r="J20" s="16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7"/>
      <c r="G22" s="73"/>
      <c r="H22" s="177"/>
      <c r="I22" s="177"/>
      <c r="J22" s="17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8"/>
      <c r="G23" s="79"/>
      <c r="H23" s="178"/>
      <c r="I23" s="147"/>
      <c r="J23" s="14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178"/>
      <c r="I24" s="147"/>
      <c r="J24" s="14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93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08" t="s">
        <v>55</v>
      </c>
      <c r="G29" s="170"/>
      <c r="H29" s="130">
        <f>H15-H16-H17-H18-H19-H20-H22-H23-H24+H26+H27</f>
        <v>0</v>
      </c>
      <c r="I29" s="131"/>
      <c r="J29" s="13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11"/>
      <c r="G30" s="171"/>
      <c r="H30" s="133"/>
      <c r="I30" s="134"/>
      <c r="J30" s="13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58</v>
      </c>
      <c r="B32" s="156"/>
      <c r="C32" s="156"/>
      <c r="D32" s="157"/>
      <c r="F32" s="158" t="s">
        <v>59</v>
      </c>
      <c r="G32" s="159"/>
      <c r="H32" s="159"/>
      <c r="I32" s="159"/>
      <c r="J32" s="16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8" t="s">
        <v>13</v>
      </c>
      <c r="I33" s="159"/>
      <c r="J33" s="16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2"/>
      <c r="I34" s="153"/>
      <c r="J34" s="15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152"/>
      <c r="I35" s="153"/>
      <c r="J35" s="15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152"/>
      <c r="I36" s="153"/>
      <c r="J36" s="15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2"/>
      <c r="I37" s="153"/>
      <c r="J37" s="15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152"/>
      <c r="I38" s="153"/>
      <c r="J38" s="15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152"/>
      <c r="I39" s="153"/>
      <c r="J39" s="15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2"/>
      <c r="I40" s="153"/>
      <c r="J40" s="15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152"/>
      <c r="I41" s="153"/>
      <c r="J41" s="15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152"/>
      <c r="H42" s="153"/>
      <c r="I42" s="153"/>
      <c r="J42" s="15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2" t="s">
        <v>81</v>
      </c>
      <c r="C43" s="11"/>
      <c r="D43" s="12"/>
      <c r="F43" s="59" t="s">
        <v>82</v>
      </c>
      <c r="G43" s="90" t="s">
        <v>83</v>
      </c>
      <c r="H43" s="144" t="s">
        <v>13</v>
      </c>
      <c r="I43" s="145"/>
      <c r="J43" s="146"/>
      <c r="K43" s="21"/>
      <c r="P43" s="4"/>
      <c r="Q43" s="4"/>
      <c r="R43" s="5"/>
    </row>
    <row r="44" spans="1:18" ht="15.75" x14ac:dyDescent="0.25">
      <c r="A44" s="123"/>
      <c r="B44" s="27" t="s">
        <v>66</v>
      </c>
      <c r="C44" s="10"/>
      <c r="D44" s="12">
        <f>C44*120</f>
        <v>0</v>
      </c>
      <c r="F44" s="37"/>
      <c r="G44" s="76"/>
      <c r="H44" s="147"/>
      <c r="I44" s="147"/>
      <c r="J44" s="147"/>
      <c r="K44" s="21"/>
      <c r="P44" s="4"/>
      <c r="Q44" s="4"/>
      <c r="R44" s="5"/>
    </row>
    <row r="45" spans="1:18" ht="15.75" x14ac:dyDescent="0.25">
      <c r="A45" s="123"/>
      <c r="B45" s="27" t="s">
        <v>68</v>
      </c>
      <c r="C45" s="33"/>
      <c r="D45" s="12">
        <f>C45*84</f>
        <v>0</v>
      </c>
      <c r="F45" s="37"/>
      <c r="G45" s="76"/>
      <c r="H45" s="147"/>
      <c r="I45" s="147"/>
      <c r="J45" s="147"/>
      <c r="K45" s="21"/>
      <c r="P45" s="4"/>
      <c r="Q45" s="4"/>
      <c r="R45" s="5"/>
    </row>
    <row r="46" spans="1:18" ht="15.75" x14ac:dyDescent="0.25">
      <c r="A46" s="123"/>
      <c r="B46" s="49" t="s">
        <v>70</v>
      </c>
      <c r="C46" s="81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4"/>
      <c r="B47" s="27"/>
      <c r="C47" s="11"/>
      <c r="D47" s="12"/>
      <c r="F47" s="59"/>
      <c r="G47" s="59"/>
      <c r="H47" s="125"/>
      <c r="I47" s="126"/>
      <c r="J47" s="127"/>
      <c r="K47" s="21"/>
      <c r="P47" s="4"/>
      <c r="Q47" s="4"/>
      <c r="R47" s="5"/>
    </row>
    <row r="48" spans="1:18" ht="15" customHeight="1" x14ac:dyDescent="0.25">
      <c r="A48" s="122" t="s">
        <v>32</v>
      </c>
      <c r="B48" s="27" t="s">
        <v>66</v>
      </c>
      <c r="C48" s="10"/>
      <c r="D48" s="12">
        <f>C48*78</f>
        <v>0</v>
      </c>
      <c r="F48" s="59"/>
      <c r="G48" s="59"/>
      <c r="H48" s="125"/>
      <c r="I48" s="126"/>
      <c r="J48" s="1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3"/>
      <c r="B49" s="29" t="s">
        <v>68</v>
      </c>
      <c r="C49" s="33"/>
      <c r="D49" s="12">
        <f>C49*42</f>
        <v>0</v>
      </c>
      <c r="F49" s="128" t="s">
        <v>86</v>
      </c>
      <c r="G49" s="130">
        <f>H34+H35+H36+H37+H38+H39+H40+H41+G42+H44+H45+H46</f>
        <v>0</v>
      </c>
      <c r="H49" s="131"/>
      <c r="I49" s="131"/>
      <c r="J49" s="13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3"/>
      <c r="B50" s="32" t="s">
        <v>70</v>
      </c>
      <c r="C50" s="11"/>
      <c r="D50" s="12">
        <f>C50*1.5</f>
        <v>0</v>
      </c>
      <c r="F50" s="129"/>
      <c r="G50" s="133"/>
      <c r="H50" s="134"/>
      <c r="I50" s="134"/>
      <c r="J50" s="135"/>
      <c r="P50" s="4"/>
      <c r="Q50" s="4"/>
      <c r="R50" s="5"/>
    </row>
    <row r="51" spans="1:18" ht="15" customHeight="1" x14ac:dyDescent="0.25">
      <c r="A51" s="123"/>
      <c r="B51" s="27"/>
      <c r="C51" s="10"/>
      <c r="D51" s="31"/>
      <c r="F51" s="136" t="s">
        <v>128</v>
      </c>
      <c r="G51" s="138">
        <f>G49-H29</f>
        <v>0</v>
      </c>
      <c r="H51" s="139"/>
      <c r="I51" s="139"/>
      <c r="J51" s="1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3"/>
      <c r="B52" s="29"/>
      <c r="C52" s="33"/>
      <c r="D52" s="45"/>
      <c r="F52" s="137"/>
      <c r="G52" s="141"/>
      <c r="H52" s="142"/>
      <c r="I52" s="142"/>
      <c r="J52" s="1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8" t="s">
        <v>90</v>
      </c>
      <c r="B54" s="109"/>
      <c r="C54" s="110"/>
      <c r="D54" s="114">
        <f>SUM(D34:D53)</f>
        <v>0</v>
      </c>
      <c r="F54" s="21"/>
      <c r="J54" s="34"/>
    </row>
    <row r="55" spans="1:18" x14ac:dyDescent="0.25">
      <c r="A55" s="111"/>
      <c r="B55" s="112"/>
      <c r="C55" s="113"/>
      <c r="D55" s="1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6" t="s">
        <v>91</v>
      </c>
      <c r="B58" s="117"/>
      <c r="C58" s="117"/>
      <c r="D58" s="118"/>
      <c r="F58" s="116" t="s">
        <v>92</v>
      </c>
      <c r="G58" s="117"/>
      <c r="H58" s="117"/>
      <c r="I58" s="117"/>
      <c r="J58" s="118"/>
    </row>
    <row r="59" spans="1:18" x14ac:dyDescent="0.25">
      <c r="A59" s="119"/>
      <c r="B59" s="120"/>
      <c r="C59" s="120"/>
      <c r="D59" s="121"/>
      <c r="F59" s="119"/>
      <c r="G59" s="120"/>
      <c r="H59" s="120"/>
      <c r="I59" s="120"/>
      <c r="J59" s="12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7569-A1B8-490B-909F-69E0F3766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4" t="s">
        <v>1</v>
      </c>
      <c r="O1" s="20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205" t="s">
        <v>8</v>
      </c>
      <c r="G4" s="207">
        <v>1</v>
      </c>
      <c r="H4" s="209" t="s">
        <v>9</v>
      </c>
      <c r="I4" s="211">
        <v>46032</v>
      </c>
      <c r="J4" s="2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206"/>
      <c r="G5" s="208"/>
      <c r="H5" s="210"/>
      <c r="I5" s="213"/>
      <c r="J5" s="2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84">
        <v>467</v>
      </c>
      <c r="D6" s="13">
        <f t="shared" ref="D6:D28" si="1">C6*L6</f>
        <v>355387</v>
      </c>
      <c r="F6" s="215" t="s">
        <v>16</v>
      </c>
      <c r="G6" s="217" t="s">
        <v>129</v>
      </c>
      <c r="H6" s="218"/>
      <c r="I6" s="218"/>
      <c r="J6" s="2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84">
        <v>3</v>
      </c>
      <c r="D7" s="13">
        <f t="shared" si="1"/>
        <v>2343</v>
      </c>
      <c r="F7" s="216"/>
      <c r="G7" s="220"/>
      <c r="H7" s="221"/>
      <c r="I7" s="221"/>
      <c r="J7" s="2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84">
        <v>70</v>
      </c>
      <c r="D8" s="13">
        <f t="shared" si="1"/>
        <v>76510</v>
      </c>
      <c r="F8" s="223" t="s">
        <v>21</v>
      </c>
      <c r="G8" s="224" t="s">
        <v>112</v>
      </c>
      <c r="H8" s="225"/>
      <c r="I8" s="225"/>
      <c r="J8" s="2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84">
        <v>20</v>
      </c>
      <c r="D9" s="13">
        <f t="shared" si="1"/>
        <v>14660</v>
      </c>
      <c r="F9" s="216"/>
      <c r="G9" s="227"/>
      <c r="H9" s="228"/>
      <c r="I9" s="228"/>
      <c r="J9" s="2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84">
        <v>2</v>
      </c>
      <c r="D10" s="13">
        <f t="shared" si="1"/>
        <v>2064</v>
      </c>
      <c r="F10" s="215" t="s">
        <v>26</v>
      </c>
      <c r="G10" s="230" t="s">
        <v>130</v>
      </c>
      <c r="H10" s="231"/>
      <c r="I10" s="231"/>
      <c r="J10" s="232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84">
        <v>2</v>
      </c>
      <c r="D11" s="13">
        <f t="shared" si="1"/>
        <v>2340</v>
      </c>
      <c r="F11" s="216"/>
      <c r="G11" s="227"/>
      <c r="H11" s="228"/>
      <c r="I11" s="228"/>
      <c r="J11" s="2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84">
        <v>3</v>
      </c>
      <c r="D12" s="48">
        <f t="shared" si="1"/>
        <v>2976</v>
      </c>
      <c r="F12" s="233" t="s">
        <v>33</v>
      </c>
      <c r="G12" s="234"/>
      <c r="H12" s="234"/>
      <c r="I12" s="234"/>
      <c r="J12" s="2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84">
        <v>8</v>
      </c>
      <c r="D13" s="48">
        <f t="shared" si="1"/>
        <v>2456</v>
      </c>
      <c r="F13" s="236" t="s">
        <v>36</v>
      </c>
      <c r="G13" s="200"/>
      <c r="H13" s="191">
        <f>D29</f>
        <v>458758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84">
        <v>2</v>
      </c>
      <c r="D14" s="31">
        <f t="shared" si="1"/>
        <v>22</v>
      </c>
      <c r="F14" s="194" t="s">
        <v>39</v>
      </c>
      <c r="G14" s="195"/>
      <c r="H14" s="196">
        <f>D54</f>
        <v>63504.75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84"/>
      <c r="D15" s="31">
        <f t="shared" si="1"/>
        <v>0</v>
      </c>
      <c r="F15" s="199" t="s">
        <v>40</v>
      </c>
      <c r="G15" s="200"/>
      <c r="H15" s="201">
        <f>H13-H14</f>
        <v>395253.25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1"/>
      <c r="I16" s="161"/>
      <c r="J16" s="16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137</v>
      </c>
      <c r="C17" s="84"/>
      <c r="D17" s="48">
        <f t="shared" si="1"/>
        <v>0</v>
      </c>
      <c r="F17" s="56"/>
      <c r="G17" s="66" t="s">
        <v>45</v>
      </c>
      <c r="H17" s="172"/>
      <c r="I17" s="172"/>
      <c r="J17" s="17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2"/>
      <c r="I18" s="172"/>
      <c r="J18" s="17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v>1102</v>
      </c>
      <c r="Q19" s="4"/>
      <c r="R19" s="5">
        <f t="shared" si="0"/>
        <v>0</v>
      </c>
    </row>
    <row r="20" spans="1:18" ht="15.75" x14ac:dyDescent="0.25">
      <c r="A20" s="15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127</v>
      </c>
      <c r="C22" s="84"/>
      <c r="D22" s="48">
        <f t="shared" si="1"/>
        <v>0</v>
      </c>
      <c r="F22" s="77"/>
      <c r="G22" s="73"/>
      <c r="H22" s="177"/>
      <c r="I22" s="177"/>
      <c r="J22" s="17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136</v>
      </c>
      <c r="C26" s="84"/>
      <c r="D26" s="48">
        <f t="shared" si="1"/>
        <v>0</v>
      </c>
      <c r="F26" s="75"/>
      <c r="G26" s="65"/>
      <c r="H26" s="147"/>
      <c r="I26" s="147"/>
      <c r="J26" s="14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110</v>
      </c>
      <c r="C27" s="84"/>
      <c r="D27" s="44">
        <f t="shared" si="1"/>
        <v>0</v>
      </c>
      <c r="F27" s="71"/>
      <c r="G27" s="90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84"/>
      <c r="D28" s="48">
        <f t="shared" si="1"/>
        <v>0</v>
      </c>
      <c r="F28" s="93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458758</v>
      </c>
      <c r="F29" s="108" t="s">
        <v>55</v>
      </c>
      <c r="G29" s="170"/>
      <c r="H29" s="130">
        <f>H15-H16-H17-H18-H19-H20-H22-H23-H24+H26+H27+H28</f>
        <v>395253.25</v>
      </c>
      <c r="I29" s="131"/>
      <c r="J29" s="13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11"/>
      <c r="G30" s="171"/>
      <c r="H30" s="133"/>
      <c r="I30" s="134"/>
      <c r="J30" s="13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58</v>
      </c>
      <c r="B32" s="156"/>
      <c r="C32" s="156"/>
      <c r="D32" s="157"/>
      <c r="F32" s="158" t="s">
        <v>59</v>
      </c>
      <c r="G32" s="159"/>
      <c r="H32" s="159"/>
      <c r="I32" s="159"/>
      <c r="J32" s="16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8" t="s">
        <v>13</v>
      </c>
      <c r="I33" s="159"/>
      <c r="J33" s="16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40">
        <v>233</v>
      </c>
      <c r="H34" s="152">
        <f t="shared" ref="H34:H39" si="2">F34*G34</f>
        <v>233000</v>
      </c>
      <c r="I34" s="153"/>
      <c r="J34" s="15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71</v>
      </c>
      <c r="H35" s="152">
        <f t="shared" si="2"/>
        <v>35500</v>
      </c>
      <c r="I35" s="153"/>
      <c r="J35" s="15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52">
        <f t="shared" si="2"/>
        <v>400</v>
      </c>
      <c r="I36" s="153"/>
      <c r="J36" s="15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49</v>
      </c>
      <c r="H37" s="152">
        <f t="shared" si="2"/>
        <v>4900</v>
      </c>
      <c r="I37" s="153"/>
      <c r="J37" s="15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152">
        <f t="shared" si="2"/>
        <v>750</v>
      </c>
      <c r="I38" s="153"/>
      <c r="J38" s="15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152">
        <f t="shared" si="2"/>
        <v>20</v>
      </c>
      <c r="I39" s="153"/>
      <c r="J39" s="15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2"/>
      <c r="I40" s="153"/>
      <c r="J40" s="15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>
        <v>10</v>
      </c>
      <c r="D41" s="12">
        <f>C41*84</f>
        <v>840</v>
      </c>
      <c r="F41" s="12">
        <v>5</v>
      </c>
      <c r="G41" s="42"/>
      <c r="H41" s="152"/>
      <c r="I41" s="153"/>
      <c r="J41" s="15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2">
        <v>62</v>
      </c>
      <c r="H42" s="153"/>
      <c r="I42" s="153"/>
      <c r="J42" s="15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2" t="s">
        <v>81</v>
      </c>
      <c r="C43" s="11"/>
      <c r="D43" s="12"/>
      <c r="F43" s="59" t="s">
        <v>82</v>
      </c>
      <c r="G43" s="90" t="s">
        <v>83</v>
      </c>
      <c r="H43" s="144" t="s">
        <v>13</v>
      </c>
      <c r="I43" s="145"/>
      <c r="J43" s="14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3"/>
      <c r="B44" s="27" t="s">
        <v>66</v>
      </c>
      <c r="C44" s="10">
        <v>71</v>
      </c>
      <c r="D44" s="12">
        <f>C44*120</f>
        <v>8520</v>
      </c>
      <c r="F44" s="37" t="s">
        <v>186</v>
      </c>
      <c r="G44" s="62" t="s">
        <v>187</v>
      </c>
      <c r="H44" s="147">
        <v>73477</v>
      </c>
      <c r="I44" s="147"/>
      <c r="J44" s="14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3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147">
        <v>20198</v>
      </c>
      <c r="I45" s="147"/>
      <c r="J45" s="147"/>
      <c r="K45" s="21"/>
      <c r="P45" s="4"/>
      <c r="Q45" s="4"/>
      <c r="R45" s="5"/>
    </row>
    <row r="46" spans="1:18" ht="15.75" x14ac:dyDescent="0.25">
      <c r="A46" s="123"/>
      <c r="B46" s="49" t="s">
        <v>70</v>
      </c>
      <c r="C46" s="81">
        <v>9</v>
      </c>
      <c r="D46" s="12">
        <f>C46*1.5</f>
        <v>13.5</v>
      </c>
      <c r="F46" s="37" t="s">
        <v>153</v>
      </c>
      <c r="G46" s="62"/>
      <c r="H46" s="147">
        <v>27000</v>
      </c>
      <c r="I46" s="147"/>
      <c r="J46" s="147"/>
      <c r="K46" s="21"/>
      <c r="P46" s="4"/>
      <c r="Q46" s="4"/>
      <c r="R46" s="5"/>
    </row>
    <row r="47" spans="1:18" ht="15.75" x14ac:dyDescent="0.25">
      <c r="A47" s="124"/>
      <c r="B47" s="27"/>
      <c r="C47" s="11"/>
      <c r="D47" s="12"/>
      <c r="F47" s="59"/>
      <c r="G47" s="59"/>
      <c r="H47" s="125"/>
      <c r="I47" s="126"/>
      <c r="J47" s="127"/>
      <c r="K47" s="21"/>
      <c r="P47" s="4"/>
      <c r="Q47" s="4"/>
      <c r="R47" s="5"/>
    </row>
    <row r="48" spans="1:18" ht="15" customHeight="1" x14ac:dyDescent="0.25">
      <c r="A48" s="122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25"/>
      <c r="I48" s="126"/>
      <c r="J48" s="1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3"/>
      <c r="B49" s="29" t="s">
        <v>68</v>
      </c>
      <c r="C49" s="33">
        <v>1</v>
      </c>
      <c r="D49" s="12">
        <f>C49*42</f>
        <v>42</v>
      </c>
      <c r="F49" s="128" t="s">
        <v>86</v>
      </c>
      <c r="G49" s="130">
        <f>H34+H35+H36+H37+H38+H39+H40+H41+G42+H44+H45+H46</f>
        <v>395307</v>
      </c>
      <c r="H49" s="131"/>
      <c r="I49" s="131"/>
      <c r="J49" s="13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3"/>
      <c r="B50" s="32" t="s">
        <v>70</v>
      </c>
      <c r="C50" s="11">
        <v>14</v>
      </c>
      <c r="D50" s="12">
        <f>C50*1.5</f>
        <v>21</v>
      </c>
      <c r="F50" s="129"/>
      <c r="G50" s="133"/>
      <c r="H50" s="134"/>
      <c r="I50" s="134"/>
      <c r="J50" s="135"/>
      <c r="O50" t="s">
        <v>144</v>
      </c>
      <c r="P50" s="4">
        <v>1204</v>
      </c>
      <c r="Q50" s="4"/>
      <c r="R50" s="5"/>
    </row>
    <row r="51" spans="1:18" ht="15" customHeight="1" x14ac:dyDescent="0.25">
      <c r="A51" s="123"/>
      <c r="B51" s="27"/>
      <c r="C51" s="10"/>
      <c r="D51" s="31"/>
      <c r="F51" s="136" t="s">
        <v>149</v>
      </c>
      <c r="G51" s="138">
        <f>G49-H29</f>
        <v>53.75</v>
      </c>
      <c r="H51" s="139"/>
      <c r="I51" s="139"/>
      <c r="J51" s="1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3"/>
      <c r="B52" s="29"/>
      <c r="C52" s="33"/>
      <c r="D52" s="45"/>
      <c r="F52" s="137"/>
      <c r="G52" s="141"/>
      <c r="H52" s="142"/>
      <c r="I52" s="142"/>
      <c r="J52" s="1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8" t="s">
        <v>90</v>
      </c>
      <c r="B54" s="109"/>
      <c r="C54" s="110"/>
      <c r="D54" s="114">
        <f>SUM(D34:D53)</f>
        <v>63504.75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1"/>
      <c r="B55" s="112"/>
      <c r="C55" s="113"/>
      <c r="D55" s="1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16" t="s">
        <v>91</v>
      </c>
      <c r="B58" s="117"/>
      <c r="C58" s="117"/>
      <c r="D58" s="118"/>
      <c r="F58" s="116" t="s">
        <v>92</v>
      </c>
      <c r="G58" s="117"/>
      <c r="H58" s="117"/>
      <c r="I58" s="117"/>
      <c r="J58" s="118"/>
    </row>
    <row r="59" spans="1:18" x14ac:dyDescent="0.25">
      <c r="A59" s="119"/>
      <c r="B59" s="120"/>
      <c r="C59" s="120"/>
      <c r="D59" s="121"/>
      <c r="F59" s="119"/>
      <c r="G59" s="120"/>
      <c r="H59" s="120"/>
      <c r="I59" s="120"/>
      <c r="J59" s="12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891E-ED09-443C-A190-A5FAC5B035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4" t="s">
        <v>1</v>
      </c>
      <c r="O1" s="20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205" t="s">
        <v>8</v>
      </c>
      <c r="G4" s="207">
        <v>2</v>
      </c>
      <c r="H4" s="209" t="s">
        <v>9</v>
      </c>
      <c r="I4" s="211">
        <v>46032</v>
      </c>
      <c r="J4" s="2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206"/>
      <c r="G5" s="208"/>
      <c r="H5" s="210"/>
      <c r="I5" s="213"/>
      <c r="J5" s="2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264</v>
      </c>
      <c r="D6" s="13">
        <f t="shared" ref="D6:D28" si="1">C6*L6</f>
        <v>200904</v>
      </c>
      <c r="F6" s="215" t="s">
        <v>16</v>
      </c>
      <c r="G6" s="217" t="s">
        <v>140</v>
      </c>
      <c r="H6" s="218"/>
      <c r="I6" s="218"/>
      <c r="J6" s="2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19</v>
      </c>
      <c r="D7" s="13">
        <f t="shared" si="1"/>
        <v>14839</v>
      </c>
      <c r="F7" s="216"/>
      <c r="G7" s="220"/>
      <c r="H7" s="221"/>
      <c r="I7" s="221"/>
      <c r="J7" s="2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223" t="s">
        <v>21</v>
      </c>
      <c r="G8" s="224" t="s">
        <v>114</v>
      </c>
      <c r="H8" s="225"/>
      <c r="I8" s="225"/>
      <c r="J8" s="2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37</v>
      </c>
      <c r="D9" s="13">
        <f t="shared" si="1"/>
        <v>27121</v>
      </c>
      <c r="F9" s="216"/>
      <c r="G9" s="227"/>
      <c r="H9" s="228"/>
      <c r="I9" s="228"/>
      <c r="J9" s="2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215" t="s">
        <v>26</v>
      </c>
      <c r="G10" s="230" t="s">
        <v>115</v>
      </c>
      <c r="H10" s="231"/>
      <c r="I10" s="231"/>
      <c r="J10" s="232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216"/>
      <c r="G11" s="227"/>
      <c r="H11" s="228"/>
      <c r="I11" s="228"/>
      <c r="J11" s="2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v>2</v>
      </c>
      <c r="D12" s="48">
        <f t="shared" si="1"/>
        <v>1984</v>
      </c>
      <c r="F12" s="233" t="s">
        <v>33</v>
      </c>
      <c r="G12" s="234"/>
      <c r="H12" s="234"/>
      <c r="I12" s="234"/>
      <c r="J12" s="2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9</v>
      </c>
      <c r="D13" s="48">
        <f t="shared" si="1"/>
        <v>2763</v>
      </c>
      <c r="F13" s="236" t="s">
        <v>36</v>
      </c>
      <c r="G13" s="200"/>
      <c r="H13" s="191">
        <f>D29</f>
        <v>250831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23</v>
      </c>
      <c r="D14" s="31">
        <f t="shared" si="1"/>
        <v>253</v>
      </c>
      <c r="F14" s="194" t="s">
        <v>39</v>
      </c>
      <c r="G14" s="195"/>
      <c r="H14" s="196">
        <f>D54</f>
        <v>44389.5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99" t="s">
        <v>40</v>
      </c>
      <c r="G15" s="200"/>
      <c r="H15" s="201">
        <f>H13-H14</f>
        <v>206441.5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1">
        <v>1176</v>
      </c>
      <c r="I16" s="161"/>
      <c r="J16" s="16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93</v>
      </c>
      <c r="C17" s="10"/>
      <c r="D17" s="48">
        <f t="shared" si="1"/>
        <v>0</v>
      </c>
      <c r="F17" s="56"/>
      <c r="G17" s="66" t="s">
        <v>45</v>
      </c>
      <c r="H17" s="172"/>
      <c r="I17" s="172"/>
      <c r="J17" s="17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2"/>
      <c r="I18" s="172"/>
      <c r="J18" s="17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7"/>
      <c r="I19" s="247"/>
      <c r="J19" s="24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101</v>
      </c>
      <c r="C22" s="10">
        <v>1</v>
      </c>
      <c r="D22" s="48">
        <f t="shared" si="1"/>
        <v>1667</v>
      </c>
      <c r="F22" s="72"/>
      <c r="G22" s="73"/>
      <c r="H22" s="177"/>
      <c r="I22" s="177"/>
      <c r="J22" s="177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25"/>
      <c r="G23" s="37"/>
      <c r="H23" s="178"/>
      <c r="I23" s="147"/>
      <c r="J23" s="14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123</v>
      </c>
      <c r="C24" s="10"/>
      <c r="D24" s="48">
        <f t="shared" si="1"/>
        <v>0</v>
      </c>
      <c r="F24" s="38"/>
      <c r="G24" s="37"/>
      <c r="H24" s="178"/>
      <c r="I24" s="147"/>
      <c r="J24" s="14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93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250831</v>
      </c>
      <c r="F29" s="108" t="s">
        <v>55</v>
      </c>
      <c r="G29" s="170"/>
      <c r="H29" s="130">
        <f>H15-H16-H17-H18-H19-H20-H22-H23-H24+H26+H27</f>
        <v>205265.5</v>
      </c>
      <c r="I29" s="131"/>
      <c r="J29" s="13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11"/>
      <c r="G30" s="171"/>
      <c r="H30" s="133"/>
      <c r="I30" s="134"/>
      <c r="J30" s="13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58</v>
      </c>
      <c r="B32" s="156"/>
      <c r="C32" s="156"/>
      <c r="D32" s="157"/>
      <c r="F32" s="158" t="s">
        <v>59</v>
      </c>
      <c r="G32" s="159"/>
      <c r="H32" s="159"/>
      <c r="I32" s="159"/>
      <c r="J32" s="16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8" t="s">
        <v>13</v>
      </c>
      <c r="I33" s="159"/>
      <c r="J33" s="16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49</v>
      </c>
      <c r="H34" s="152">
        <f>F34*G34</f>
        <v>49000</v>
      </c>
      <c r="I34" s="153"/>
      <c r="J34" s="15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52">
        <f t="shared" ref="H35:H39" si="2">F35*G35</f>
        <v>16000</v>
      </c>
      <c r="I35" s="153"/>
      <c r="J35" s="15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4</v>
      </c>
      <c r="H36" s="152">
        <f>F36*G36</f>
        <v>800</v>
      </c>
      <c r="I36" s="153"/>
      <c r="J36" s="15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370</v>
      </c>
      <c r="D37" s="12">
        <f>C37*111</f>
        <v>41070</v>
      </c>
      <c r="F37" s="12">
        <v>100</v>
      </c>
      <c r="G37" s="39">
        <v>142</v>
      </c>
      <c r="H37" s="152">
        <f t="shared" si="2"/>
        <v>14200</v>
      </c>
      <c r="I37" s="153"/>
      <c r="J37" s="15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13</v>
      </c>
      <c r="H38" s="152">
        <f t="shared" si="2"/>
        <v>650</v>
      </c>
      <c r="I38" s="153"/>
      <c r="J38" s="15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52">
        <f t="shared" si="2"/>
        <v>20</v>
      </c>
      <c r="I39" s="153"/>
      <c r="J39" s="15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152"/>
      <c r="I40" s="153"/>
      <c r="J40" s="15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2"/>
      <c r="I41" s="153"/>
      <c r="J41" s="15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16</v>
      </c>
      <c r="D42" s="12">
        <f>C42*2.25</f>
        <v>36</v>
      </c>
      <c r="F42" s="39" t="s">
        <v>79</v>
      </c>
      <c r="G42" s="152">
        <v>34</v>
      </c>
      <c r="H42" s="153"/>
      <c r="I42" s="153"/>
      <c r="J42" s="15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2" t="s">
        <v>81</v>
      </c>
      <c r="C43" s="11"/>
      <c r="D43" s="12"/>
      <c r="F43" s="59" t="s">
        <v>82</v>
      </c>
      <c r="G43" s="90" t="s">
        <v>83</v>
      </c>
      <c r="H43" s="144" t="s">
        <v>13</v>
      </c>
      <c r="I43" s="145"/>
      <c r="J43" s="14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3"/>
      <c r="B44" s="27" t="s">
        <v>66</v>
      </c>
      <c r="C44" s="10">
        <v>2</v>
      </c>
      <c r="D44" s="12">
        <f>C44*120</f>
        <v>240</v>
      </c>
      <c r="F44" s="37" t="s">
        <v>147</v>
      </c>
      <c r="G44" s="62" t="s">
        <v>188</v>
      </c>
      <c r="H44" s="147">
        <v>124746</v>
      </c>
      <c r="I44" s="147"/>
      <c r="J44" s="14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3"/>
      <c r="B45" s="27" t="s">
        <v>68</v>
      </c>
      <c r="C45" s="33"/>
      <c r="D45" s="12">
        <f>C45*84</f>
        <v>0</v>
      </c>
      <c r="F45" s="37"/>
      <c r="G45" s="62"/>
      <c r="H45" s="147"/>
      <c r="I45" s="147"/>
      <c r="J45" s="147"/>
      <c r="K45" s="21"/>
      <c r="P45" s="4"/>
      <c r="Q45" s="4"/>
      <c r="R45" s="5"/>
    </row>
    <row r="46" spans="1:18" ht="15.75" x14ac:dyDescent="0.25">
      <c r="A46" s="123"/>
      <c r="B46" s="49" t="s">
        <v>70</v>
      </c>
      <c r="C46" s="81">
        <v>2</v>
      </c>
      <c r="D46" s="12">
        <f>C46*1.5</f>
        <v>3</v>
      </c>
      <c r="F46" s="37"/>
      <c r="G46" s="91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4"/>
      <c r="B47" s="27"/>
      <c r="C47" s="11"/>
      <c r="D47" s="12"/>
      <c r="F47" s="59"/>
      <c r="G47" s="59"/>
      <c r="H47" s="125"/>
      <c r="I47" s="126"/>
      <c r="J47" s="127"/>
      <c r="K47" s="21"/>
      <c r="P47" s="4"/>
      <c r="Q47" s="4"/>
      <c r="R47" s="5"/>
    </row>
    <row r="48" spans="1:18" ht="15" customHeight="1" x14ac:dyDescent="0.25">
      <c r="A48" s="12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5"/>
      <c r="I48" s="126"/>
      <c r="J48" s="1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3"/>
      <c r="B49" s="29" t="s">
        <v>68</v>
      </c>
      <c r="C49" s="33">
        <v>1</v>
      </c>
      <c r="D49" s="12">
        <f>C49*42</f>
        <v>42</v>
      </c>
      <c r="F49" s="128" t="s">
        <v>86</v>
      </c>
      <c r="G49" s="130">
        <f>H34+H35+H36+H37+H38+H39+H40+H41+G42+H44+H45+H46</f>
        <v>205450</v>
      </c>
      <c r="H49" s="131"/>
      <c r="I49" s="131"/>
      <c r="J49" s="13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3"/>
      <c r="B50" s="32" t="s">
        <v>70</v>
      </c>
      <c r="C50" s="11">
        <v>17</v>
      </c>
      <c r="D50" s="12">
        <f>C50*1.5</f>
        <v>25.5</v>
      </c>
      <c r="F50" s="129"/>
      <c r="G50" s="133"/>
      <c r="H50" s="134"/>
      <c r="I50" s="134"/>
      <c r="J50" s="135"/>
      <c r="O50" t="s">
        <v>144</v>
      </c>
      <c r="P50" s="4">
        <v>1204</v>
      </c>
      <c r="Q50" s="4"/>
      <c r="R50" s="5"/>
    </row>
    <row r="51" spans="1:18" ht="15" customHeight="1" x14ac:dyDescent="0.25">
      <c r="A51" s="123"/>
      <c r="B51" s="27"/>
      <c r="C51" s="10"/>
      <c r="D51" s="31"/>
      <c r="F51" s="136" t="s">
        <v>142</v>
      </c>
      <c r="G51" s="138">
        <f>G49-H29</f>
        <v>184.5</v>
      </c>
      <c r="H51" s="139"/>
      <c r="I51" s="139"/>
      <c r="J51" s="1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3"/>
      <c r="B52" s="29"/>
      <c r="C52" s="33"/>
      <c r="D52" s="45"/>
      <c r="F52" s="137"/>
      <c r="G52" s="141"/>
      <c r="H52" s="142"/>
      <c r="I52" s="142"/>
      <c r="J52" s="1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8" t="s">
        <v>90</v>
      </c>
      <c r="B54" s="109"/>
      <c r="C54" s="110"/>
      <c r="D54" s="114">
        <f>SUM(D34:D53)</f>
        <v>44389.5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1"/>
      <c r="B55" s="112"/>
      <c r="C55" s="113"/>
      <c r="D55" s="1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16" t="s">
        <v>91</v>
      </c>
      <c r="B58" s="117"/>
      <c r="C58" s="117"/>
      <c r="D58" s="118"/>
      <c r="F58" s="116" t="s">
        <v>92</v>
      </c>
      <c r="G58" s="117"/>
      <c r="H58" s="117"/>
      <c r="I58" s="117"/>
      <c r="J58" s="118"/>
    </row>
    <row r="59" spans="1:18" x14ac:dyDescent="0.25">
      <c r="A59" s="119"/>
      <c r="B59" s="120"/>
      <c r="C59" s="120"/>
      <c r="D59" s="121"/>
      <c r="F59" s="119"/>
      <c r="G59" s="120"/>
      <c r="H59" s="120"/>
      <c r="I59" s="120"/>
      <c r="J59" s="12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CCB8-C46D-4AEA-A1A7-C9ADADAE7C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4" t="s">
        <v>1</v>
      </c>
      <c r="O1" s="20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205" t="s">
        <v>8</v>
      </c>
      <c r="G4" s="207">
        <v>3</v>
      </c>
      <c r="H4" s="209" t="s">
        <v>9</v>
      </c>
      <c r="I4" s="211">
        <v>46032</v>
      </c>
      <c r="J4" s="2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206"/>
      <c r="G5" s="208"/>
      <c r="H5" s="210"/>
      <c r="I5" s="213"/>
      <c r="J5" s="2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394</v>
      </c>
      <c r="D6" s="13">
        <f t="shared" ref="D6:D28" si="1">C6*L6</f>
        <v>299834</v>
      </c>
      <c r="F6" s="215" t="s">
        <v>16</v>
      </c>
      <c r="G6" s="217" t="s">
        <v>111</v>
      </c>
      <c r="H6" s="218"/>
      <c r="I6" s="218"/>
      <c r="J6" s="2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3</v>
      </c>
      <c r="D7" s="13">
        <f t="shared" si="1"/>
        <v>2343</v>
      </c>
      <c r="F7" s="216"/>
      <c r="G7" s="220"/>
      <c r="H7" s="221"/>
      <c r="I7" s="221"/>
      <c r="J7" s="2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223" t="s">
        <v>21</v>
      </c>
      <c r="G8" s="224" t="s">
        <v>119</v>
      </c>
      <c r="H8" s="225"/>
      <c r="I8" s="225"/>
      <c r="J8" s="2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11</v>
      </c>
      <c r="D9" s="13">
        <f t="shared" si="1"/>
        <v>8063</v>
      </c>
      <c r="F9" s="216"/>
      <c r="G9" s="227"/>
      <c r="H9" s="228"/>
      <c r="I9" s="228"/>
      <c r="J9" s="2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>
        <v>2</v>
      </c>
      <c r="D10" s="13">
        <f t="shared" si="1"/>
        <v>2064</v>
      </c>
      <c r="F10" s="215" t="s">
        <v>26</v>
      </c>
      <c r="G10" s="230" t="s">
        <v>134</v>
      </c>
      <c r="H10" s="231"/>
      <c r="I10" s="231"/>
      <c r="J10" s="232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216"/>
      <c r="G11" s="227"/>
      <c r="H11" s="228"/>
      <c r="I11" s="228"/>
      <c r="J11" s="2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v>2</v>
      </c>
      <c r="D12" s="48">
        <f t="shared" si="1"/>
        <v>1984</v>
      </c>
      <c r="F12" s="233" t="s">
        <v>33</v>
      </c>
      <c r="G12" s="234"/>
      <c r="H12" s="234"/>
      <c r="I12" s="234"/>
      <c r="J12" s="2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6</v>
      </c>
      <c r="D13" s="48">
        <f t="shared" si="1"/>
        <v>1842</v>
      </c>
      <c r="F13" s="236" t="s">
        <v>36</v>
      </c>
      <c r="G13" s="200"/>
      <c r="H13" s="191">
        <f>D29</f>
        <v>317305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94" t="s">
        <v>39</v>
      </c>
      <c r="G14" s="195"/>
      <c r="H14" s="196">
        <f>D54</f>
        <v>75464.25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99" t="s">
        <v>40</v>
      </c>
      <c r="G15" s="200"/>
      <c r="H15" s="201">
        <f>H13-H14</f>
        <v>241840.75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1">
        <f>342+1296+666</f>
        <v>2304</v>
      </c>
      <c r="I16" s="161"/>
      <c r="J16" s="16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113</v>
      </c>
      <c r="C17" s="10"/>
      <c r="D17" s="48">
        <f t="shared" si="1"/>
        <v>0</v>
      </c>
      <c r="F17" s="56"/>
      <c r="G17" s="66" t="s">
        <v>45</v>
      </c>
      <c r="H17" s="172"/>
      <c r="I17" s="172"/>
      <c r="J17" s="17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2"/>
      <c r="I18" s="172"/>
      <c r="J18" s="17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8"/>
      <c r="I19" s="248"/>
      <c r="J19" s="24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1"/>
      <c r="I20" s="161"/>
      <c r="J20" s="16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7"/>
      <c r="G22" s="73"/>
      <c r="H22" s="177"/>
      <c r="I22" s="177"/>
      <c r="J22" s="17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95" t="s">
        <v>150</v>
      </c>
      <c r="C23" s="10">
        <v>1</v>
      </c>
      <c r="D23" s="48">
        <f t="shared" si="1"/>
        <v>1175</v>
      </c>
      <c r="F23" s="78"/>
      <c r="G23" s="79"/>
      <c r="H23" s="178"/>
      <c r="I23" s="147"/>
      <c r="J23" s="14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101</v>
      </c>
      <c r="C24" s="10"/>
      <c r="D24" s="48">
        <f t="shared" si="1"/>
        <v>0</v>
      </c>
      <c r="F24" s="38"/>
      <c r="G24" s="37"/>
      <c r="H24" s="178"/>
      <c r="I24" s="147"/>
      <c r="J24" s="14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93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317305</v>
      </c>
      <c r="F29" s="108" t="s">
        <v>55</v>
      </c>
      <c r="G29" s="170"/>
      <c r="H29" s="130">
        <f>H15-H16-H17-H18-H19-H20-H22-H23-H24+H26+H27</f>
        <v>239536.75</v>
      </c>
      <c r="I29" s="131"/>
      <c r="J29" s="13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11"/>
      <c r="G30" s="171"/>
      <c r="H30" s="133"/>
      <c r="I30" s="134"/>
      <c r="J30" s="13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58</v>
      </c>
      <c r="B32" s="156"/>
      <c r="C32" s="156"/>
      <c r="D32" s="157"/>
      <c r="F32" s="158" t="s">
        <v>59</v>
      </c>
      <c r="G32" s="159"/>
      <c r="H32" s="159"/>
      <c r="I32" s="159"/>
      <c r="J32" s="16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8" t="s">
        <v>13</v>
      </c>
      <c r="I33" s="159"/>
      <c r="J33" s="16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51</v>
      </c>
      <c r="H34" s="152">
        <f>F34*G34</f>
        <v>51000</v>
      </c>
      <c r="I34" s="153"/>
      <c r="J34" s="15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10</v>
      </c>
      <c r="H35" s="152">
        <f>F35*G35</f>
        <v>5000</v>
      </c>
      <c r="I35" s="153"/>
      <c r="J35" s="15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152">
        <f t="shared" ref="H36:H39" si="2">F36*G36</f>
        <v>0</v>
      </c>
      <c r="I36" s="153"/>
      <c r="J36" s="15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627</v>
      </c>
      <c r="D37" s="12">
        <f>C37*111</f>
        <v>69597</v>
      </c>
      <c r="F37" s="12">
        <v>100</v>
      </c>
      <c r="G37" s="39">
        <v>1</v>
      </c>
      <c r="H37" s="152">
        <f t="shared" si="2"/>
        <v>100</v>
      </c>
      <c r="I37" s="153"/>
      <c r="J37" s="15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48</v>
      </c>
      <c r="D38" s="12">
        <f>C38*84</f>
        <v>4032</v>
      </c>
      <c r="F38" s="30">
        <v>50</v>
      </c>
      <c r="G38" s="39">
        <v>2</v>
      </c>
      <c r="H38" s="152">
        <f t="shared" si="2"/>
        <v>100</v>
      </c>
      <c r="I38" s="153"/>
      <c r="J38" s="15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52">
        <f t="shared" si="2"/>
        <v>40</v>
      </c>
      <c r="I39" s="153"/>
      <c r="J39" s="15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2"/>
      <c r="I40" s="153"/>
      <c r="J40" s="15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2"/>
      <c r="I41" s="153"/>
      <c r="J41" s="15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2">
        <v>38</v>
      </c>
      <c r="H42" s="153"/>
      <c r="I42" s="153"/>
      <c r="J42" s="15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2" t="s">
        <v>81</v>
      </c>
      <c r="C43" s="11"/>
      <c r="D43" s="12"/>
      <c r="F43" s="59" t="s">
        <v>82</v>
      </c>
      <c r="G43" s="90" t="s">
        <v>83</v>
      </c>
      <c r="H43" s="144" t="s">
        <v>13</v>
      </c>
      <c r="I43" s="145"/>
      <c r="J43" s="14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3"/>
      <c r="B44" s="27" t="s">
        <v>66</v>
      </c>
      <c r="C44" s="10">
        <v>1</v>
      </c>
      <c r="D44" s="12">
        <f>C44*120</f>
        <v>120</v>
      </c>
      <c r="F44" s="37" t="s">
        <v>156</v>
      </c>
      <c r="G44" s="76" t="s">
        <v>189</v>
      </c>
      <c r="H44" s="147">
        <v>44070</v>
      </c>
      <c r="I44" s="147"/>
      <c r="J44" s="14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3"/>
      <c r="B45" s="27" t="s">
        <v>68</v>
      </c>
      <c r="C45" s="33"/>
      <c r="D45" s="12">
        <f>C45*84</f>
        <v>0</v>
      </c>
      <c r="F45" s="37" t="s">
        <v>156</v>
      </c>
      <c r="G45" s="76" t="s">
        <v>190</v>
      </c>
      <c r="H45" s="147">
        <v>139104</v>
      </c>
      <c r="I45" s="147"/>
      <c r="J45" s="147"/>
      <c r="K45" s="21"/>
      <c r="P45" s="4"/>
      <c r="Q45" s="4"/>
      <c r="R45" s="5"/>
    </row>
    <row r="46" spans="1:18" ht="15.75" x14ac:dyDescent="0.25">
      <c r="A46" s="123"/>
      <c r="B46" s="49" t="s">
        <v>70</v>
      </c>
      <c r="C46" s="81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4"/>
      <c r="B47" s="27"/>
      <c r="C47" s="11"/>
      <c r="D47" s="12"/>
      <c r="F47" s="59"/>
      <c r="G47" s="59"/>
      <c r="H47" s="125"/>
      <c r="I47" s="126"/>
      <c r="J47" s="127"/>
      <c r="K47" s="21"/>
      <c r="P47" s="4"/>
      <c r="Q47" s="4"/>
      <c r="R47" s="5"/>
    </row>
    <row r="48" spans="1:18" ht="15" customHeight="1" x14ac:dyDescent="0.25">
      <c r="A48" s="122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25"/>
      <c r="I48" s="126"/>
      <c r="J48" s="1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3"/>
      <c r="B49" s="29" t="s">
        <v>68</v>
      </c>
      <c r="C49" s="33">
        <v>16</v>
      </c>
      <c r="D49" s="12">
        <f>C49*42</f>
        <v>672</v>
      </c>
      <c r="F49" s="128" t="s">
        <v>86</v>
      </c>
      <c r="G49" s="130">
        <f>H34+H35+H36+H37+H38+H39+H40+H41+G42+H44+H45+H46</f>
        <v>239452</v>
      </c>
      <c r="H49" s="131"/>
      <c r="I49" s="131"/>
      <c r="J49" s="13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3"/>
      <c r="B50" s="32" t="s">
        <v>70</v>
      </c>
      <c r="C50" s="11"/>
      <c r="D50" s="12">
        <f>C50*1.5</f>
        <v>0</v>
      </c>
      <c r="F50" s="129"/>
      <c r="G50" s="133"/>
      <c r="H50" s="134"/>
      <c r="I50" s="134"/>
      <c r="J50" s="135"/>
      <c r="O50" t="s">
        <v>144</v>
      </c>
      <c r="P50" s="4">
        <v>1204</v>
      </c>
      <c r="Q50" s="4"/>
      <c r="R50" s="5"/>
    </row>
    <row r="51" spans="1:18" ht="15" customHeight="1" x14ac:dyDescent="0.25">
      <c r="A51" s="123"/>
      <c r="B51" s="27"/>
      <c r="C51" s="10"/>
      <c r="D51" s="31"/>
      <c r="F51" s="136" t="s">
        <v>139</v>
      </c>
      <c r="G51" s="237">
        <f>G49-H29</f>
        <v>-84.75</v>
      </c>
      <c r="H51" s="238"/>
      <c r="I51" s="238"/>
      <c r="J51" s="2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3"/>
      <c r="B52" s="29"/>
      <c r="C52" s="33"/>
      <c r="D52" s="45"/>
      <c r="F52" s="137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8" t="s">
        <v>90</v>
      </c>
      <c r="B54" s="109"/>
      <c r="C54" s="110"/>
      <c r="D54" s="114">
        <f>SUM(D34:D53)</f>
        <v>75464.25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1"/>
      <c r="B55" s="112"/>
      <c r="C55" s="113"/>
      <c r="D55" s="1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6" t="s">
        <v>91</v>
      </c>
      <c r="B58" s="117"/>
      <c r="C58" s="117"/>
      <c r="D58" s="118"/>
      <c r="F58" s="116" t="s">
        <v>92</v>
      </c>
      <c r="G58" s="117"/>
      <c r="H58" s="117"/>
      <c r="I58" s="117"/>
      <c r="J58" s="118"/>
    </row>
    <row r="59" spans="1:18" x14ac:dyDescent="0.25">
      <c r="A59" s="119"/>
      <c r="B59" s="120"/>
      <c r="C59" s="120"/>
      <c r="D59" s="121"/>
      <c r="F59" s="119"/>
      <c r="G59" s="120"/>
      <c r="H59" s="120"/>
      <c r="I59" s="120"/>
      <c r="J59" s="12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0FCC-6EB1-4288-BD3B-524B2D0A9838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4" t="s">
        <v>1</v>
      </c>
      <c r="O1" s="20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205" t="s">
        <v>8</v>
      </c>
      <c r="G4" s="207"/>
      <c r="H4" s="209" t="s">
        <v>9</v>
      </c>
      <c r="I4" s="211"/>
      <c r="J4" s="2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206"/>
      <c r="G5" s="208"/>
      <c r="H5" s="210"/>
      <c r="I5" s="213"/>
      <c r="J5" s="2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215" t="s">
        <v>16</v>
      </c>
      <c r="G6" s="217"/>
      <c r="H6" s="218"/>
      <c r="I6" s="218"/>
      <c r="J6" s="2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216"/>
      <c r="G7" s="220"/>
      <c r="H7" s="221"/>
      <c r="I7" s="221"/>
      <c r="J7" s="2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223" t="s">
        <v>21</v>
      </c>
      <c r="G8" s="224"/>
      <c r="H8" s="225"/>
      <c r="I8" s="225"/>
      <c r="J8" s="22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216"/>
      <c r="G9" s="227"/>
      <c r="H9" s="228"/>
      <c r="I9" s="228"/>
      <c r="J9" s="22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215" t="s">
        <v>26</v>
      </c>
      <c r="G10" s="230"/>
      <c r="H10" s="231"/>
      <c r="I10" s="231"/>
      <c r="J10" s="232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216"/>
      <c r="G11" s="227"/>
      <c r="H11" s="228"/>
      <c r="I11" s="228"/>
      <c r="J11" s="22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233" t="s">
        <v>33</v>
      </c>
      <c r="G12" s="234"/>
      <c r="H12" s="234"/>
      <c r="I12" s="234"/>
      <c r="J12" s="23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236" t="s">
        <v>36</v>
      </c>
      <c r="G13" s="20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94" t="s">
        <v>39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99" t="s">
        <v>40</v>
      </c>
      <c r="G15" s="200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1"/>
      <c r="I16" s="161"/>
      <c r="J16" s="16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45</v>
      </c>
      <c r="H17" s="172"/>
      <c r="I17" s="172"/>
      <c r="J17" s="17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47</v>
      </c>
      <c r="H18" s="172"/>
      <c r="I18" s="172"/>
      <c r="J18" s="17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50</v>
      </c>
      <c r="H19" s="173"/>
      <c r="I19" s="173"/>
      <c r="J19" s="1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120</v>
      </c>
      <c r="H20" s="161"/>
      <c r="I20" s="161"/>
      <c r="J20" s="16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7"/>
      <c r="G22" s="73"/>
      <c r="H22" s="177"/>
      <c r="I22" s="177"/>
      <c r="J22" s="17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8"/>
      <c r="G23" s="79"/>
      <c r="H23" s="178"/>
      <c r="I23" s="147"/>
      <c r="J23" s="14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178"/>
      <c r="I24" s="147"/>
      <c r="J24" s="14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93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08" t="s">
        <v>55</v>
      </c>
      <c r="G29" s="170"/>
      <c r="H29" s="130">
        <f>H15-H16-H17-H18-H19-H20-H22-H23-H24+H26+H27</f>
        <v>0</v>
      </c>
      <c r="I29" s="131"/>
      <c r="J29" s="13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11"/>
      <c r="G30" s="171"/>
      <c r="H30" s="133"/>
      <c r="I30" s="134"/>
      <c r="J30" s="13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58</v>
      </c>
      <c r="B32" s="156"/>
      <c r="C32" s="156"/>
      <c r="D32" s="157"/>
      <c r="F32" s="158" t="s">
        <v>59</v>
      </c>
      <c r="G32" s="159"/>
      <c r="H32" s="159"/>
      <c r="I32" s="159"/>
      <c r="J32" s="16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8" t="s">
        <v>13</v>
      </c>
      <c r="I33" s="159"/>
      <c r="J33" s="16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2"/>
      <c r="I34" s="153"/>
      <c r="J34" s="15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152"/>
      <c r="I35" s="153"/>
      <c r="J35" s="15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152"/>
      <c r="I36" s="153"/>
      <c r="J36" s="15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2"/>
      <c r="I37" s="153"/>
      <c r="J37" s="15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152"/>
      <c r="I38" s="153"/>
      <c r="J38" s="15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152"/>
      <c r="I39" s="153"/>
      <c r="J39" s="15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2"/>
      <c r="I40" s="153"/>
      <c r="J40" s="15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152"/>
      <c r="I41" s="153"/>
      <c r="J41" s="15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152"/>
      <c r="H42" s="153"/>
      <c r="I42" s="153"/>
      <c r="J42" s="15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2" t="s">
        <v>81</v>
      </c>
      <c r="C43" s="11"/>
      <c r="D43" s="12"/>
      <c r="F43" s="59" t="s">
        <v>82</v>
      </c>
      <c r="G43" s="90" t="s">
        <v>83</v>
      </c>
      <c r="H43" s="144" t="s">
        <v>13</v>
      </c>
      <c r="I43" s="145"/>
      <c r="J43" s="146"/>
      <c r="K43" s="21"/>
      <c r="P43" s="4"/>
      <c r="Q43" s="4"/>
      <c r="R43" s="5"/>
    </row>
    <row r="44" spans="1:18" ht="15.75" x14ac:dyDescent="0.25">
      <c r="A44" s="123"/>
      <c r="B44" s="27" t="s">
        <v>66</v>
      </c>
      <c r="C44" s="10"/>
      <c r="D44" s="12">
        <f>C44*120</f>
        <v>0</v>
      </c>
      <c r="F44" s="37"/>
      <c r="G44" s="76"/>
      <c r="H44" s="147"/>
      <c r="I44" s="147"/>
      <c r="J44" s="147"/>
      <c r="K44" s="21"/>
      <c r="P44" s="4"/>
      <c r="Q44" s="4"/>
      <c r="R44" s="5"/>
    </row>
    <row r="45" spans="1:18" ht="15.75" x14ac:dyDescent="0.25">
      <c r="A45" s="123"/>
      <c r="B45" s="27" t="s">
        <v>68</v>
      </c>
      <c r="C45" s="33"/>
      <c r="D45" s="12">
        <f>C45*84</f>
        <v>0</v>
      </c>
      <c r="F45" s="37"/>
      <c r="G45" s="76"/>
      <c r="H45" s="147"/>
      <c r="I45" s="147"/>
      <c r="J45" s="147"/>
      <c r="K45" s="21"/>
      <c r="P45" s="4"/>
      <c r="Q45" s="4"/>
      <c r="R45" s="5"/>
    </row>
    <row r="46" spans="1:18" ht="15.75" x14ac:dyDescent="0.25">
      <c r="A46" s="123"/>
      <c r="B46" s="49" t="s">
        <v>70</v>
      </c>
      <c r="C46" s="81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4"/>
      <c r="B47" s="27"/>
      <c r="C47" s="11"/>
      <c r="D47" s="12"/>
      <c r="F47" s="59"/>
      <c r="G47" s="59"/>
      <c r="H47" s="125"/>
      <c r="I47" s="126"/>
      <c r="J47" s="127"/>
      <c r="K47" s="21"/>
      <c r="P47" s="4"/>
      <c r="Q47" s="4"/>
      <c r="R47" s="5"/>
    </row>
    <row r="48" spans="1:18" ht="15" customHeight="1" x14ac:dyDescent="0.25">
      <c r="A48" s="122" t="s">
        <v>32</v>
      </c>
      <c r="B48" s="27" t="s">
        <v>66</v>
      </c>
      <c r="C48" s="10"/>
      <c r="D48" s="12">
        <f>C48*78</f>
        <v>0</v>
      </c>
      <c r="F48" s="59"/>
      <c r="G48" s="59"/>
      <c r="H48" s="125"/>
      <c r="I48" s="126"/>
      <c r="J48" s="1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3"/>
      <c r="B49" s="29" t="s">
        <v>68</v>
      </c>
      <c r="C49" s="33"/>
      <c r="D49" s="12">
        <f>C49*42</f>
        <v>0</v>
      </c>
      <c r="F49" s="128" t="s">
        <v>86</v>
      </c>
      <c r="G49" s="130">
        <f>H34+H35+H36+H37+H38+H39+H40+H41+G42+H44+H45+H46</f>
        <v>0</v>
      </c>
      <c r="H49" s="131"/>
      <c r="I49" s="131"/>
      <c r="J49" s="13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3"/>
      <c r="B50" s="32" t="s">
        <v>70</v>
      </c>
      <c r="C50" s="11"/>
      <c r="D50" s="12">
        <f>C50*1.5</f>
        <v>0</v>
      </c>
      <c r="F50" s="129"/>
      <c r="G50" s="133"/>
      <c r="H50" s="134"/>
      <c r="I50" s="134"/>
      <c r="J50" s="135"/>
      <c r="P50" s="4"/>
      <c r="Q50" s="4"/>
      <c r="R50" s="5"/>
    </row>
    <row r="51" spans="1:18" ht="15" customHeight="1" x14ac:dyDescent="0.25">
      <c r="A51" s="123"/>
      <c r="B51" s="27"/>
      <c r="C51" s="10"/>
      <c r="D51" s="31"/>
      <c r="F51" s="136" t="s">
        <v>128</v>
      </c>
      <c r="G51" s="138">
        <f>G49-H29</f>
        <v>0</v>
      </c>
      <c r="H51" s="139"/>
      <c r="I51" s="139"/>
      <c r="J51" s="1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3"/>
      <c r="B52" s="29"/>
      <c r="C52" s="33"/>
      <c r="D52" s="45"/>
      <c r="F52" s="137"/>
      <c r="G52" s="141"/>
      <c r="H52" s="142"/>
      <c r="I52" s="142"/>
      <c r="J52" s="1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8" t="s">
        <v>90</v>
      </c>
      <c r="B54" s="109"/>
      <c r="C54" s="110"/>
      <c r="D54" s="114">
        <f>SUM(D34:D53)</f>
        <v>0</v>
      </c>
      <c r="F54" s="21"/>
      <c r="J54" s="34"/>
    </row>
    <row r="55" spans="1:18" x14ac:dyDescent="0.25">
      <c r="A55" s="111"/>
      <c r="B55" s="112"/>
      <c r="C55" s="113"/>
      <c r="D55" s="1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6" t="s">
        <v>91</v>
      </c>
      <c r="B58" s="117"/>
      <c r="C58" s="117"/>
      <c r="D58" s="118"/>
      <c r="F58" s="116" t="s">
        <v>92</v>
      </c>
      <c r="G58" s="117"/>
      <c r="H58" s="117"/>
      <c r="I58" s="117"/>
      <c r="J58" s="118"/>
    </row>
    <row r="59" spans="1:18" x14ac:dyDescent="0.25">
      <c r="A59" s="119"/>
      <c r="B59" s="120"/>
      <c r="C59" s="120"/>
      <c r="D59" s="121"/>
      <c r="F59" s="119"/>
      <c r="G59" s="120"/>
      <c r="H59" s="120"/>
      <c r="I59" s="120"/>
      <c r="J59" s="12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7D0D5-9461-4279-AC47-71E0A74AE205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4" t="s">
        <v>1</v>
      </c>
      <c r="O1" s="20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205" t="s">
        <v>8</v>
      </c>
      <c r="G4" s="207">
        <v>1</v>
      </c>
      <c r="H4" s="209" t="s">
        <v>9</v>
      </c>
      <c r="I4" s="211">
        <v>46034</v>
      </c>
      <c r="J4" s="2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206"/>
      <c r="G5" s="208"/>
      <c r="H5" s="210"/>
      <c r="I5" s="213"/>
      <c r="J5" s="2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84">
        <v>233</v>
      </c>
      <c r="D6" s="13">
        <f t="shared" ref="D6:D28" si="1">C6*L6</f>
        <v>177313</v>
      </c>
      <c r="F6" s="215" t="s">
        <v>16</v>
      </c>
      <c r="G6" s="217" t="s">
        <v>129</v>
      </c>
      <c r="H6" s="218"/>
      <c r="I6" s="218"/>
      <c r="J6" s="2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84">
        <v>12</v>
      </c>
      <c r="D7" s="13">
        <f t="shared" si="1"/>
        <v>9372</v>
      </c>
      <c r="F7" s="216"/>
      <c r="G7" s="220"/>
      <c r="H7" s="221"/>
      <c r="I7" s="221"/>
      <c r="J7" s="2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84">
        <v>3</v>
      </c>
      <c r="D8" s="13">
        <f t="shared" si="1"/>
        <v>3279</v>
      </c>
      <c r="F8" s="223" t="s">
        <v>21</v>
      </c>
      <c r="G8" s="224" t="s">
        <v>112</v>
      </c>
      <c r="H8" s="225"/>
      <c r="I8" s="225"/>
      <c r="J8" s="2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84">
        <v>20</v>
      </c>
      <c r="D9" s="13">
        <f t="shared" si="1"/>
        <v>14660</v>
      </c>
      <c r="F9" s="216"/>
      <c r="G9" s="227"/>
      <c r="H9" s="228"/>
      <c r="I9" s="228"/>
      <c r="J9" s="2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84">
        <v>3</v>
      </c>
      <c r="D10" s="13">
        <f t="shared" si="1"/>
        <v>3096</v>
      </c>
      <c r="F10" s="215" t="s">
        <v>26</v>
      </c>
      <c r="G10" s="230" t="s">
        <v>130</v>
      </c>
      <c r="H10" s="231"/>
      <c r="I10" s="231"/>
      <c r="J10" s="232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84">
        <v>3</v>
      </c>
      <c r="D11" s="13">
        <f t="shared" si="1"/>
        <v>3510</v>
      </c>
      <c r="F11" s="216"/>
      <c r="G11" s="227"/>
      <c r="H11" s="228"/>
      <c r="I11" s="228"/>
      <c r="J11" s="2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84">
        <f>4+1</f>
        <v>5</v>
      </c>
      <c r="D12" s="48">
        <f t="shared" si="1"/>
        <v>4960</v>
      </c>
      <c r="F12" s="233" t="s">
        <v>33</v>
      </c>
      <c r="G12" s="234"/>
      <c r="H12" s="234"/>
      <c r="I12" s="234"/>
      <c r="J12" s="2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84">
        <v>7</v>
      </c>
      <c r="D13" s="48">
        <f t="shared" si="1"/>
        <v>2149</v>
      </c>
      <c r="F13" s="236" t="s">
        <v>36</v>
      </c>
      <c r="G13" s="200"/>
      <c r="H13" s="191">
        <f>D29</f>
        <v>228543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84">
        <v>19</v>
      </c>
      <c r="D14" s="31">
        <f t="shared" si="1"/>
        <v>209</v>
      </c>
      <c r="F14" s="194" t="s">
        <v>39</v>
      </c>
      <c r="G14" s="195"/>
      <c r="H14" s="196">
        <f>D54</f>
        <v>28542.75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84"/>
      <c r="D15" s="31">
        <f t="shared" si="1"/>
        <v>0</v>
      </c>
      <c r="F15" s="199" t="s">
        <v>40</v>
      </c>
      <c r="G15" s="200"/>
      <c r="H15" s="201">
        <f>H13-H14</f>
        <v>200000.25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1"/>
      <c r="I16" s="161"/>
      <c r="J16" s="16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137</v>
      </c>
      <c r="C17" s="84"/>
      <c r="D17" s="48">
        <f t="shared" si="1"/>
        <v>0</v>
      </c>
      <c r="F17" s="56"/>
      <c r="G17" s="66" t="s">
        <v>45</v>
      </c>
      <c r="H17" s="172"/>
      <c r="I17" s="172"/>
      <c r="J17" s="17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72"/>
      <c r="I18" s="172"/>
      <c r="J18" s="17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v>1102</v>
      </c>
      <c r="Q19" s="4"/>
      <c r="R19" s="5">
        <f t="shared" si="0"/>
        <v>0</v>
      </c>
    </row>
    <row r="20" spans="1:18" ht="15.75" x14ac:dyDescent="0.25">
      <c r="A20" s="150"/>
      <c r="B20" s="83" t="s">
        <v>125</v>
      </c>
      <c r="C20" s="84">
        <f>1+3</f>
        <v>4</v>
      </c>
      <c r="D20" s="13">
        <f t="shared" si="1"/>
        <v>4700</v>
      </c>
      <c r="F20" s="57"/>
      <c r="G20" s="70" t="s">
        <v>120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127</v>
      </c>
      <c r="C22" s="84"/>
      <c r="D22" s="48">
        <f t="shared" si="1"/>
        <v>0</v>
      </c>
      <c r="F22" s="77" t="s">
        <v>159</v>
      </c>
      <c r="G22" s="73">
        <v>8418</v>
      </c>
      <c r="H22" s="177">
        <v>99507</v>
      </c>
      <c r="I22" s="177"/>
      <c r="J22" s="17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136</v>
      </c>
      <c r="C26" s="84"/>
      <c r="D26" s="48">
        <f t="shared" si="1"/>
        <v>0</v>
      </c>
      <c r="F26" s="75" t="s">
        <v>159</v>
      </c>
      <c r="G26" s="65">
        <v>8315</v>
      </c>
      <c r="H26" s="147">
        <v>92560</v>
      </c>
      <c r="I26" s="147"/>
      <c r="J26" s="14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110</v>
      </c>
      <c r="C27" s="84"/>
      <c r="D27" s="44">
        <f t="shared" si="1"/>
        <v>0</v>
      </c>
      <c r="F27" s="71"/>
      <c r="G27" s="90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84">
        <v>5</v>
      </c>
      <c r="D28" s="48">
        <f t="shared" si="1"/>
        <v>4055</v>
      </c>
      <c r="F28" s="93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228543</v>
      </c>
      <c r="F29" s="108" t="s">
        <v>55</v>
      </c>
      <c r="G29" s="170"/>
      <c r="H29" s="130">
        <f>H15-H16-H17-H18-H19-H20-H22-H23-H24+H26+H27+H28</f>
        <v>193053.25</v>
      </c>
      <c r="I29" s="131"/>
      <c r="J29" s="13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11"/>
      <c r="G30" s="171"/>
      <c r="H30" s="133"/>
      <c r="I30" s="134"/>
      <c r="J30" s="13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58</v>
      </c>
      <c r="B32" s="156"/>
      <c r="C32" s="156"/>
      <c r="D32" s="157"/>
      <c r="F32" s="158" t="s">
        <v>59</v>
      </c>
      <c r="G32" s="159"/>
      <c r="H32" s="159"/>
      <c r="I32" s="159"/>
      <c r="J32" s="16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8" t="s">
        <v>13</v>
      </c>
      <c r="I33" s="159"/>
      <c r="J33" s="16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42</v>
      </c>
      <c r="H34" s="152">
        <f t="shared" ref="H34:H39" si="2">F34*G34</f>
        <v>42000</v>
      </c>
      <c r="I34" s="153"/>
      <c r="J34" s="15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29</v>
      </c>
      <c r="H35" s="152">
        <f t="shared" si="2"/>
        <v>14500</v>
      </c>
      <c r="I35" s="153"/>
      <c r="J35" s="15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>
        <v>36</v>
      </c>
      <c r="D36" s="12">
        <f>C36*1.5</f>
        <v>54</v>
      </c>
      <c r="F36" s="12">
        <v>200</v>
      </c>
      <c r="G36" s="37"/>
      <c r="H36" s="152">
        <f t="shared" si="2"/>
        <v>0</v>
      </c>
      <c r="I36" s="153"/>
      <c r="J36" s="15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6</v>
      </c>
      <c r="H37" s="152">
        <f t="shared" si="2"/>
        <v>600</v>
      </c>
      <c r="I37" s="153"/>
      <c r="J37" s="15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79</v>
      </c>
      <c r="D38" s="12">
        <f>C38*84</f>
        <v>6636</v>
      </c>
      <c r="F38" s="30">
        <v>50</v>
      </c>
      <c r="G38" s="39">
        <v>2</v>
      </c>
      <c r="H38" s="152">
        <f t="shared" si="2"/>
        <v>100</v>
      </c>
      <c r="I38" s="153"/>
      <c r="J38" s="15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2">
        <f t="shared" si="2"/>
        <v>0</v>
      </c>
      <c r="I39" s="153"/>
      <c r="J39" s="15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2"/>
      <c r="I40" s="153"/>
      <c r="J40" s="15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152"/>
      <c r="I41" s="153"/>
      <c r="J41" s="15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2">
        <v>159</v>
      </c>
      <c r="H42" s="153"/>
      <c r="I42" s="153"/>
      <c r="J42" s="15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2" t="s">
        <v>81</v>
      </c>
      <c r="C43" s="11"/>
      <c r="D43" s="12"/>
      <c r="F43" s="59" t="s">
        <v>82</v>
      </c>
      <c r="G43" s="90" t="s">
        <v>83</v>
      </c>
      <c r="H43" s="144" t="s">
        <v>13</v>
      </c>
      <c r="I43" s="145"/>
      <c r="J43" s="14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3"/>
      <c r="B44" s="27" t="s">
        <v>66</v>
      </c>
      <c r="C44" s="10">
        <v>7</v>
      </c>
      <c r="D44" s="12">
        <f>C44*120</f>
        <v>840</v>
      </c>
      <c r="F44" s="37" t="s">
        <v>153</v>
      </c>
      <c r="G44" s="62"/>
      <c r="H44" s="147">
        <v>11432</v>
      </c>
      <c r="I44" s="147"/>
      <c r="J44" s="14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3"/>
      <c r="B45" s="27" t="s">
        <v>68</v>
      </c>
      <c r="C45" s="33">
        <v>6</v>
      </c>
      <c r="D45" s="12">
        <f>C45*84</f>
        <v>504</v>
      </c>
      <c r="F45" s="37" t="s">
        <v>153</v>
      </c>
      <c r="G45" s="62"/>
      <c r="H45" s="147">
        <v>30888</v>
      </c>
      <c r="I45" s="147"/>
      <c r="J45" s="147"/>
      <c r="K45" s="21"/>
      <c r="P45" s="4"/>
      <c r="Q45" s="4"/>
      <c r="R45" s="5"/>
    </row>
    <row r="46" spans="1:18" ht="15.75" x14ac:dyDescent="0.25">
      <c r="A46" s="123"/>
      <c r="B46" s="49" t="s">
        <v>70</v>
      </c>
      <c r="C46" s="81">
        <v>5</v>
      </c>
      <c r="D46" s="12">
        <f>C46*1.5</f>
        <v>7.5</v>
      </c>
      <c r="F46" s="37" t="s">
        <v>156</v>
      </c>
      <c r="G46" s="96" t="s">
        <v>158</v>
      </c>
      <c r="H46" s="147">
        <v>92560</v>
      </c>
      <c r="I46" s="147"/>
      <c r="J46" s="147"/>
      <c r="K46" s="21"/>
      <c r="P46" s="4"/>
      <c r="Q46" s="4"/>
      <c r="R46" s="5"/>
    </row>
    <row r="47" spans="1:18" ht="15.75" x14ac:dyDescent="0.25">
      <c r="A47" s="124"/>
      <c r="B47" s="27"/>
      <c r="C47" s="11"/>
      <c r="D47" s="12"/>
      <c r="F47" s="59"/>
      <c r="G47" s="59"/>
      <c r="H47" s="125"/>
      <c r="I47" s="126"/>
      <c r="J47" s="127"/>
      <c r="K47" s="21"/>
      <c r="P47" s="4"/>
      <c r="Q47" s="4"/>
      <c r="R47" s="5"/>
    </row>
    <row r="48" spans="1:18" ht="15" customHeight="1" x14ac:dyDescent="0.25">
      <c r="A48" s="122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125"/>
      <c r="I48" s="126"/>
      <c r="J48" s="1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3"/>
      <c r="B49" s="29" t="s">
        <v>68</v>
      </c>
      <c r="C49" s="33"/>
      <c r="D49" s="12">
        <f>C49*42</f>
        <v>0</v>
      </c>
      <c r="F49" s="128" t="s">
        <v>86</v>
      </c>
      <c r="G49" s="130">
        <f>H34+H35+H36+H37+H38+H39+H40+H41+G42+H44+H45+H46</f>
        <v>192239</v>
      </c>
      <c r="H49" s="131"/>
      <c r="I49" s="131"/>
      <c r="J49" s="13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3"/>
      <c r="B50" s="32" t="s">
        <v>70</v>
      </c>
      <c r="C50" s="11">
        <v>42</v>
      </c>
      <c r="D50" s="12">
        <f>C50*1.5</f>
        <v>63</v>
      </c>
      <c r="F50" s="129"/>
      <c r="G50" s="133"/>
      <c r="H50" s="134"/>
      <c r="I50" s="134"/>
      <c r="J50" s="135"/>
      <c r="O50" t="s">
        <v>144</v>
      </c>
      <c r="P50" s="4">
        <v>1204</v>
      </c>
      <c r="Q50" s="4"/>
      <c r="R50" s="5"/>
    </row>
    <row r="51" spans="1:18" ht="15" customHeight="1" x14ac:dyDescent="0.25">
      <c r="A51" s="123"/>
      <c r="B51" s="27"/>
      <c r="C51" s="10"/>
      <c r="D51" s="31"/>
      <c r="F51" s="136" t="s">
        <v>131</v>
      </c>
      <c r="G51" s="237">
        <f>G49-H29</f>
        <v>-814.25</v>
      </c>
      <c r="H51" s="238"/>
      <c r="I51" s="238"/>
      <c r="J51" s="2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3"/>
      <c r="B52" s="29"/>
      <c r="C52" s="33"/>
      <c r="D52" s="45"/>
      <c r="F52" s="137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8" t="s">
        <v>90</v>
      </c>
      <c r="B54" s="109"/>
      <c r="C54" s="110"/>
      <c r="D54" s="114">
        <f>SUM(D34:D53)</f>
        <v>28542.75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1"/>
      <c r="B55" s="112"/>
      <c r="C55" s="113"/>
      <c r="D55" s="1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16" t="s">
        <v>91</v>
      </c>
      <c r="B58" s="117"/>
      <c r="C58" s="117"/>
      <c r="D58" s="118"/>
      <c r="F58" s="116" t="s">
        <v>92</v>
      </c>
      <c r="G58" s="117"/>
      <c r="H58" s="117"/>
      <c r="I58" s="117"/>
      <c r="J58" s="118"/>
    </row>
    <row r="59" spans="1:18" x14ac:dyDescent="0.25">
      <c r="A59" s="119"/>
      <c r="B59" s="120"/>
      <c r="C59" s="120"/>
      <c r="D59" s="121"/>
      <c r="F59" s="119"/>
      <c r="G59" s="120"/>
      <c r="H59" s="120"/>
      <c r="I59" s="120"/>
      <c r="J59" s="12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7F3A-5F49-4B3A-8A37-12F5AA06B9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4" t="s">
        <v>1</v>
      </c>
      <c r="O1" s="20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205" t="s">
        <v>8</v>
      </c>
      <c r="G4" s="207">
        <v>2</v>
      </c>
      <c r="H4" s="209" t="s">
        <v>9</v>
      </c>
      <c r="I4" s="211">
        <v>46034</v>
      </c>
      <c r="J4" s="2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206"/>
      <c r="G5" s="208"/>
      <c r="H5" s="210"/>
      <c r="I5" s="213"/>
      <c r="J5" s="2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351</v>
      </c>
      <c r="D6" s="13">
        <f t="shared" ref="D6:D28" si="1">C6*L6</f>
        <v>267111</v>
      </c>
      <c r="F6" s="215" t="s">
        <v>16</v>
      </c>
      <c r="G6" s="217" t="s">
        <v>140</v>
      </c>
      <c r="H6" s="218"/>
      <c r="I6" s="218"/>
      <c r="J6" s="2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11</v>
      </c>
      <c r="D7" s="13">
        <f t="shared" si="1"/>
        <v>8591</v>
      </c>
      <c r="F7" s="216"/>
      <c r="G7" s="220"/>
      <c r="H7" s="221"/>
      <c r="I7" s="221"/>
      <c r="J7" s="2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223" t="s">
        <v>21</v>
      </c>
      <c r="G8" s="224" t="s">
        <v>114</v>
      </c>
      <c r="H8" s="225"/>
      <c r="I8" s="225"/>
      <c r="J8" s="2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110</v>
      </c>
      <c r="D9" s="13">
        <f t="shared" si="1"/>
        <v>80630</v>
      </c>
      <c r="F9" s="216"/>
      <c r="G9" s="227"/>
      <c r="H9" s="228"/>
      <c r="I9" s="228"/>
      <c r="J9" s="2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215" t="s">
        <v>26</v>
      </c>
      <c r="G10" s="230" t="s">
        <v>115</v>
      </c>
      <c r="H10" s="231"/>
      <c r="I10" s="231"/>
      <c r="J10" s="232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216"/>
      <c r="G11" s="227"/>
      <c r="H11" s="228"/>
      <c r="I11" s="228"/>
      <c r="J11" s="2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233" t="s">
        <v>33</v>
      </c>
      <c r="G12" s="234"/>
      <c r="H12" s="234"/>
      <c r="I12" s="234"/>
      <c r="J12" s="2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13</v>
      </c>
      <c r="D13" s="48">
        <f t="shared" si="1"/>
        <v>3991</v>
      </c>
      <c r="F13" s="236" t="s">
        <v>36</v>
      </c>
      <c r="G13" s="200"/>
      <c r="H13" s="191">
        <f>D29</f>
        <v>360378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5</v>
      </c>
      <c r="D14" s="31">
        <f t="shared" si="1"/>
        <v>55</v>
      </c>
      <c r="F14" s="194" t="s">
        <v>39</v>
      </c>
      <c r="G14" s="195"/>
      <c r="H14" s="196">
        <f>D54</f>
        <v>53643.75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99" t="s">
        <v>40</v>
      </c>
      <c r="G15" s="200"/>
      <c r="H15" s="201">
        <f>H13-H14</f>
        <v>306734.25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1">
        <f>2652</f>
        <v>2652</v>
      </c>
      <c r="I16" s="161"/>
      <c r="J16" s="16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93</v>
      </c>
      <c r="C17" s="10"/>
      <c r="D17" s="48">
        <f t="shared" si="1"/>
        <v>0</v>
      </c>
      <c r="F17" s="56"/>
      <c r="G17" s="66" t="s">
        <v>45</v>
      </c>
      <c r="H17" s="172"/>
      <c r="I17" s="172"/>
      <c r="J17" s="17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2"/>
      <c r="I18" s="172"/>
      <c r="J18" s="17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7"/>
      <c r="I19" s="247"/>
      <c r="J19" s="24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2"/>
      <c r="G22" s="73"/>
      <c r="H22" s="177"/>
      <c r="I22" s="177"/>
      <c r="J22" s="17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25"/>
      <c r="G23" s="37"/>
      <c r="H23" s="178"/>
      <c r="I23" s="147"/>
      <c r="J23" s="14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123</v>
      </c>
      <c r="C24" s="10"/>
      <c r="D24" s="48">
        <f t="shared" si="1"/>
        <v>0</v>
      </c>
      <c r="F24" s="38"/>
      <c r="G24" s="37"/>
      <c r="H24" s="178"/>
      <c r="I24" s="147"/>
      <c r="J24" s="14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93"/>
      <c r="G28" s="61"/>
      <c r="H28" s="188"/>
      <c r="I28" s="189"/>
      <c r="J28" s="190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360378</v>
      </c>
      <c r="F29" s="108" t="s">
        <v>55</v>
      </c>
      <c r="G29" s="170"/>
      <c r="H29" s="130">
        <f>H15-H16-H17-H18-H19-H20-H22-H23-H24+H26+H27</f>
        <v>304082.25</v>
      </c>
      <c r="I29" s="131"/>
      <c r="J29" s="13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11"/>
      <c r="G30" s="171"/>
      <c r="H30" s="133"/>
      <c r="I30" s="134"/>
      <c r="J30" s="13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58</v>
      </c>
      <c r="B32" s="156"/>
      <c r="C32" s="156"/>
      <c r="D32" s="157"/>
      <c r="F32" s="158" t="s">
        <v>59</v>
      </c>
      <c r="G32" s="159"/>
      <c r="H32" s="159"/>
      <c r="I32" s="159"/>
      <c r="J32" s="16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8" t="s">
        <v>13</v>
      </c>
      <c r="I33" s="159"/>
      <c r="J33" s="16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152">
        <f>F34*G34</f>
        <v>123000</v>
      </c>
      <c r="I34" s="153"/>
      <c r="J34" s="15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267</v>
      </c>
      <c r="H35" s="152">
        <f t="shared" ref="H35:H39" si="2">F35*G35</f>
        <v>133500</v>
      </c>
      <c r="I35" s="153"/>
      <c r="J35" s="15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2">
        <f>F36*G36</f>
        <v>200</v>
      </c>
      <c r="I36" s="153"/>
      <c r="J36" s="15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471</v>
      </c>
      <c r="D37" s="12">
        <f>C37*111</f>
        <v>52281</v>
      </c>
      <c r="F37" s="12">
        <v>100</v>
      </c>
      <c r="G37" s="39">
        <v>384</v>
      </c>
      <c r="H37" s="152">
        <f t="shared" si="2"/>
        <v>38400</v>
      </c>
      <c r="I37" s="153"/>
      <c r="J37" s="15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177</v>
      </c>
      <c r="H38" s="152">
        <f t="shared" si="2"/>
        <v>8850</v>
      </c>
      <c r="I38" s="153"/>
      <c r="J38" s="15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2">
        <f t="shared" si="2"/>
        <v>0</v>
      </c>
      <c r="I39" s="153"/>
      <c r="J39" s="15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2"/>
      <c r="I40" s="153"/>
      <c r="J40" s="15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152"/>
      <c r="I41" s="153"/>
      <c r="J41" s="15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5</v>
      </c>
      <c r="D42" s="12">
        <f>C42*2.25</f>
        <v>11.25</v>
      </c>
      <c r="F42" s="39" t="s">
        <v>79</v>
      </c>
      <c r="G42" s="152">
        <v>61</v>
      </c>
      <c r="H42" s="153"/>
      <c r="I42" s="153"/>
      <c r="J42" s="15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2" t="s">
        <v>81</v>
      </c>
      <c r="C43" s="11"/>
      <c r="D43" s="12"/>
      <c r="F43" s="59" t="s">
        <v>82</v>
      </c>
      <c r="G43" s="90" t="s">
        <v>83</v>
      </c>
      <c r="H43" s="144" t="s">
        <v>13</v>
      </c>
      <c r="I43" s="145"/>
      <c r="J43" s="14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3"/>
      <c r="B44" s="27" t="s">
        <v>66</v>
      </c>
      <c r="C44" s="10"/>
      <c r="D44" s="12">
        <f>C44*120</f>
        <v>0</v>
      </c>
      <c r="F44" s="37"/>
      <c r="G44" s="62"/>
      <c r="H44" s="147"/>
      <c r="I44" s="147"/>
      <c r="J44" s="147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23"/>
      <c r="B45" s="27" t="s">
        <v>68</v>
      </c>
      <c r="C45" s="33"/>
      <c r="D45" s="12">
        <f>C45*84</f>
        <v>0</v>
      </c>
      <c r="F45" s="37"/>
      <c r="G45" s="62"/>
      <c r="H45" s="147"/>
      <c r="I45" s="147"/>
      <c r="J45" s="147"/>
      <c r="K45" s="21"/>
      <c r="P45" s="4"/>
      <c r="Q45" s="4"/>
      <c r="R45" s="5"/>
    </row>
    <row r="46" spans="1:18" ht="15.75" x14ac:dyDescent="0.25">
      <c r="A46" s="123"/>
      <c r="B46" s="49" t="s">
        <v>70</v>
      </c>
      <c r="C46" s="81">
        <v>6</v>
      </c>
      <c r="D46" s="12">
        <f>C46*1.5</f>
        <v>9</v>
      </c>
      <c r="F46" s="37"/>
      <c r="G46" s="91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4"/>
      <c r="B47" s="27"/>
      <c r="C47" s="11"/>
      <c r="D47" s="12"/>
      <c r="F47" s="59"/>
      <c r="G47" s="59"/>
      <c r="H47" s="125"/>
      <c r="I47" s="126"/>
      <c r="J47" s="127"/>
      <c r="K47" s="21"/>
      <c r="P47" s="4"/>
      <c r="Q47" s="4"/>
      <c r="R47" s="5"/>
    </row>
    <row r="48" spans="1:18" ht="15" customHeight="1" x14ac:dyDescent="0.25">
      <c r="A48" s="122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25"/>
      <c r="I48" s="126"/>
      <c r="J48" s="1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3"/>
      <c r="B49" s="29" t="s">
        <v>68</v>
      </c>
      <c r="C49" s="33">
        <v>2</v>
      </c>
      <c r="D49" s="12">
        <f>C49*42</f>
        <v>84</v>
      </c>
      <c r="F49" s="128" t="s">
        <v>86</v>
      </c>
      <c r="G49" s="130">
        <f>H34+H35+H36+H37+H38+H39+H40+H41+G42+H44+H45+H46</f>
        <v>304011</v>
      </c>
      <c r="H49" s="131"/>
      <c r="I49" s="131"/>
      <c r="J49" s="13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3"/>
      <c r="B50" s="32" t="s">
        <v>70</v>
      </c>
      <c r="C50" s="11">
        <v>17</v>
      </c>
      <c r="D50" s="12">
        <f>C50*1.5</f>
        <v>25.5</v>
      </c>
      <c r="F50" s="129"/>
      <c r="G50" s="133"/>
      <c r="H50" s="134"/>
      <c r="I50" s="134"/>
      <c r="J50" s="135"/>
      <c r="O50" t="s">
        <v>144</v>
      </c>
      <c r="P50" s="4">
        <v>1204</v>
      </c>
      <c r="Q50" s="4"/>
      <c r="R50" s="5"/>
    </row>
    <row r="51" spans="1:18" ht="15" customHeight="1" x14ac:dyDescent="0.25">
      <c r="A51" s="123"/>
      <c r="B51" s="27"/>
      <c r="C51" s="10"/>
      <c r="D51" s="31"/>
      <c r="F51" s="136" t="s">
        <v>161</v>
      </c>
      <c r="G51" s="237">
        <f>G49-H29</f>
        <v>-71.25</v>
      </c>
      <c r="H51" s="238"/>
      <c r="I51" s="238"/>
      <c r="J51" s="2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3"/>
      <c r="B52" s="29"/>
      <c r="C52" s="33"/>
      <c r="D52" s="45"/>
      <c r="F52" s="137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8" t="s">
        <v>90</v>
      </c>
      <c r="B54" s="109"/>
      <c r="C54" s="110"/>
      <c r="D54" s="114">
        <f>SUM(D34:D53)</f>
        <v>53643.75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1"/>
      <c r="B55" s="112"/>
      <c r="C55" s="113"/>
      <c r="D55" s="1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16" t="s">
        <v>91</v>
      </c>
      <c r="B58" s="117"/>
      <c r="C58" s="117"/>
      <c r="D58" s="118"/>
      <c r="F58" s="116" t="s">
        <v>92</v>
      </c>
      <c r="G58" s="117"/>
      <c r="H58" s="117"/>
      <c r="I58" s="117"/>
      <c r="J58" s="118"/>
    </row>
    <row r="59" spans="1:18" x14ac:dyDescent="0.25">
      <c r="A59" s="119"/>
      <c r="B59" s="120"/>
      <c r="C59" s="120"/>
      <c r="D59" s="121"/>
      <c r="F59" s="119"/>
      <c r="G59" s="120"/>
      <c r="H59" s="120"/>
      <c r="I59" s="120"/>
      <c r="J59" s="12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768AE-9C4C-4242-8281-75B8C43306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4" t="s">
        <v>1</v>
      </c>
      <c r="O1" s="20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205" t="s">
        <v>8</v>
      </c>
      <c r="G4" s="207">
        <v>3</v>
      </c>
      <c r="H4" s="209" t="s">
        <v>9</v>
      </c>
      <c r="I4" s="211">
        <v>46034</v>
      </c>
      <c r="J4" s="2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206"/>
      <c r="G5" s="208"/>
      <c r="H5" s="210"/>
      <c r="I5" s="213"/>
      <c r="J5" s="2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>
        <v>437</v>
      </c>
      <c r="D6" s="13">
        <f t="shared" ref="D6:D28" si="1">C6*L6</f>
        <v>332557</v>
      </c>
      <c r="F6" s="215" t="s">
        <v>16</v>
      </c>
      <c r="G6" s="217" t="s">
        <v>111</v>
      </c>
      <c r="H6" s="218"/>
      <c r="I6" s="218"/>
      <c r="J6" s="2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>
        <v>4</v>
      </c>
      <c r="D7" s="13">
        <f t="shared" si="1"/>
        <v>3124</v>
      </c>
      <c r="F7" s="216"/>
      <c r="G7" s="220"/>
      <c r="H7" s="221"/>
      <c r="I7" s="221"/>
      <c r="J7" s="2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223" t="s">
        <v>21</v>
      </c>
      <c r="G8" s="224" t="s">
        <v>119</v>
      </c>
      <c r="H8" s="225"/>
      <c r="I8" s="225"/>
      <c r="J8" s="2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>
        <v>114</v>
      </c>
      <c r="D9" s="13">
        <f t="shared" si="1"/>
        <v>83562</v>
      </c>
      <c r="F9" s="216"/>
      <c r="G9" s="227"/>
      <c r="H9" s="228"/>
      <c r="I9" s="228"/>
      <c r="J9" s="2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215" t="s">
        <v>26</v>
      </c>
      <c r="G10" s="230" t="s">
        <v>134</v>
      </c>
      <c r="H10" s="231"/>
      <c r="I10" s="231"/>
      <c r="J10" s="232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216"/>
      <c r="G11" s="227"/>
      <c r="H11" s="228"/>
      <c r="I11" s="228"/>
      <c r="J11" s="2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>
        <f>4+1</f>
        <v>5</v>
      </c>
      <c r="D12" s="48">
        <f t="shared" si="1"/>
        <v>4960</v>
      </c>
      <c r="F12" s="233" t="s">
        <v>33</v>
      </c>
      <c r="G12" s="234"/>
      <c r="H12" s="234"/>
      <c r="I12" s="234"/>
      <c r="J12" s="2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>
        <v>13</v>
      </c>
      <c r="D13" s="48">
        <f t="shared" si="1"/>
        <v>3991</v>
      </c>
      <c r="F13" s="236" t="s">
        <v>36</v>
      </c>
      <c r="G13" s="200"/>
      <c r="H13" s="191">
        <f>D29</f>
        <v>429225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>
        <v>20</v>
      </c>
      <c r="D14" s="31">
        <f t="shared" si="1"/>
        <v>220</v>
      </c>
      <c r="F14" s="194" t="s">
        <v>39</v>
      </c>
      <c r="G14" s="195"/>
      <c r="H14" s="196">
        <f>D54</f>
        <v>84082.5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99" t="s">
        <v>40</v>
      </c>
      <c r="G15" s="200"/>
      <c r="H15" s="201">
        <f>H13-H14</f>
        <v>345142.5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1">
        <f>1026+312</f>
        <v>1338</v>
      </c>
      <c r="I16" s="161"/>
      <c r="J16" s="16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113</v>
      </c>
      <c r="C17" s="10"/>
      <c r="D17" s="48">
        <f t="shared" si="1"/>
        <v>0</v>
      </c>
      <c r="F17" s="56"/>
      <c r="G17" s="66" t="s">
        <v>45</v>
      </c>
      <c r="H17" s="172"/>
      <c r="I17" s="172"/>
      <c r="J17" s="17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2"/>
      <c r="I18" s="172"/>
      <c r="J18" s="17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8">
        <v>50</v>
      </c>
      <c r="I19" s="248"/>
      <c r="J19" s="24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1"/>
      <c r="I20" s="161"/>
      <c r="J20" s="16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7"/>
      <c r="G22" s="73"/>
      <c r="H22" s="177"/>
      <c r="I22" s="177"/>
      <c r="J22" s="17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78"/>
      <c r="G23" s="79"/>
      <c r="H23" s="178"/>
      <c r="I23" s="147"/>
      <c r="J23" s="14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101</v>
      </c>
      <c r="C24" s="10"/>
      <c r="D24" s="48">
        <f t="shared" si="1"/>
        <v>0</v>
      </c>
      <c r="F24" s="38"/>
      <c r="G24" s="37"/>
      <c r="H24" s="178"/>
      <c r="I24" s="147"/>
      <c r="J24" s="14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>
        <v>1</v>
      </c>
      <c r="D28" s="48">
        <f t="shared" si="1"/>
        <v>811</v>
      </c>
      <c r="F28" s="93"/>
      <c r="G28" s="61"/>
      <c r="H28" s="188"/>
      <c r="I28" s="189"/>
      <c r="J28" s="19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429225</v>
      </c>
      <c r="F29" s="108" t="s">
        <v>55</v>
      </c>
      <c r="G29" s="170"/>
      <c r="H29" s="130">
        <f>H15-H16-H17-H18-H19-H20-H22-H23-H24+H26+H27</f>
        <v>343754.5</v>
      </c>
      <c r="I29" s="131"/>
      <c r="J29" s="13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11"/>
      <c r="G30" s="171"/>
      <c r="H30" s="133"/>
      <c r="I30" s="134"/>
      <c r="J30" s="13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58</v>
      </c>
      <c r="B32" s="156"/>
      <c r="C32" s="156"/>
      <c r="D32" s="157"/>
      <c r="F32" s="158" t="s">
        <v>59</v>
      </c>
      <c r="G32" s="159"/>
      <c r="H32" s="159"/>
      <c r="I32" s="159"/>
      <c r="J32" s="16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8" t="s">
        <v>13</v>
      </c>
      <c r="I33" s="159"/>
      <c r="J33" s="16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66</v>
      </c>
      <c r="H34" s="152">
        <f>F34*G34</f>
        <v>66000</v>
      </c>
      <c r="I34" s="153"/>
      <c r="J34" s="15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152">
        <f>F35*G35</f>
        <v>17500</v>
      </c>
      <c r="I35" s="153"/>
      <c r="J35" s="15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52">
        <f t="shared" ref="H36:H39" si="2">F36*G36</f>
        <v>600</v>
      </c>
      <c r="I36" s="153"/>
      <c r="J36" s="15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706</v>
      </c>
      <c r="D37" s="12">
        <f>C37*111</f>
        <v>78366</v>
      </c>
      <c r="F37" s="12">
        <v>100</v>
      </c>
      <c r="G37" s="39">
        <v>84</v>
      </c>
      <c r="H37" s="152">
        <f t="shared" si="2"/>
        <v>8400</v>
      </c>
      <c r="I37" s="153"/>
      <c r="J37" s="15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37</v>
      </c>
      <c r="D38" s="12">
        <f>C38*84</f>
        <v>3108</v>
      </c>
      <c r="F38" s="30">
        <v>50</v>
      </c>
      <c r="G38" s="39">
        <v>35</v>
      </c>
      <c r="H38" s="152">
        <f t="shared" si="2"/>
        <v>1750</v>
      </c>
      <c r="I38" s="153"/>
      <c r="J38" s="15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152">
        <f t="shared" si="2"/>
        <v>0</v>
      </c>
      <c r="I39" s="153"/>
      <c r="J39" s="15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2"/>
      <c r="I40" s="153"/>
      <c r="J40" s="15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52"/>
      <c r="I41" s="153"/>
      <c r="J41" s="15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8</v>
      </c>
      <c r="D42" s="12">
        <f>C42*2.25</f>
        <v>18</v>
      </c>
      <c r="F42" s="39" t="s">
        <v>79</v>
      </c>
      <c r="G42" s="152"/>
      <c r="H42" s="153"/>
      <c r="I42" s="153"/>
      <c r="J42" s="15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2" t="s">
        <v>81</v>
      </c>
      <c r="C43" s="11"/>
      <c r="D43" s="12"/>
      <c r="F43" s="59" t="s">
        <v>82</v>
      </c>
      <c r="G43" s="90" t="s">
        <v>83</v>
      </c>
      <c r="H43" s="144" t="s">
        <v>13</v>
      </c>
      <c r="I43" s="145"/>
      <c r="J43" s="14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3"/>
      <c r="B44" s="27" t="s">
        <v>66</v>
      </c>
      <c r="C44" s="10">
        <v>2</v>
      </c>
      <c r="D44" s="12">
        <f>C44*120</f>
        <v>240</v>
      </c>
      <c r="F44" s="253" t="s">
        <v>191</v>
      </c>
      <c r="G44" s="76" t="s">
        <v>192</v>
      </c>
      <c r="H44" s="147">
        <v>140724</v>
      </c>
      <c r="I44" s="147"/>
      <c r="J44" s="14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3"/>
      <c r="B45" s="27" t="s">
        <v>68</v>
      </c>
      <c r="C45" s="33">
        <v>3</v>
      </c>
      <c r="D45" s="12">
        <f>C45*84</f>
        <v>252</v>
      </c>
      <c r="F45" s="37" t="s">
        <v>147</v>
      </c>
      <c r="G45" s="76" t="s">
        <v>193</v>
      </c>
      <c r="H45" s="147">
        <v>108088</v>
      </c>
      <c r="I45" s="147"/>
      <c r="J45" s="147"/>
      <c r="K45" s="21"/>
      <c r="P45" s="4"/>
      <c r="Q45" s="4"/>
      <c r="R45" s="5"/>
    </row>
    <row r="46" spans="1:18" ht="15.75" x14ac:dyDescent="0.25">
      <c r="A46" s="123"/>
      <c r="B46" s="49" t="s">
        <v>70</v>
      </c>
      <c r="C46" s="81">
        <v>17</v>
      </c>
      <c r="D46" s="12">
        <f>C46*1.5</f>
        <v>25.5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4"/>
      <c r="B47" s="27"/>
      <c r="C47" s="11"/>
      <c r="D47" s="12"/>
      <c r="F47" s="59"/>
      <c r="G47" s="59"/>
      <c r="H47" s="125"/>
      <c r="I47" s="126"/>
      <c r="J47" s="127"/>
      <c r="K47" s="21"/>
      <c r="P47" s="4"/>
      <c r="Q47" s="4"/>
      <c r="R47" s="5"/>
    </row>
    <row r="48" spans="1:18" ht="15" customHeight="1" x14ac:dyDescent="0.25">
      <c r="A48" s="122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25"/>
      <c r="I48" s="126"/>
      <c r="J48" s="1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3"/>
      <c r="B49" s="29" t="s">
        <v>68</v>
      </c>
      <c r="C49" s="33">
        <v>5</v>
      </c>
      <c r="D49" s="12">
        <f>C49*42</f>
        <v>210</v>
      </c>
      <c r="F49" s="128" t="s">
        <v>86</v>
      </c>
      <c r="G49" s="130">
        <f>H34+H35+H36+H37+H38+H39+H40+H41+G42+H44+H45+H46</f>
        <v>343062</v>
      </c>
      <c r="H49" s="131"/>
      <c r="I49" s="131"/>
      <c r="J49" s="13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3"/>
      <c r="B50" s="32" t="s">
        <v>70</v>
      </c>
      <c r="C50" s="11">
        <v>14</v>
      </c>
      <c r="D50" s="12">
        <f>C50*1.5</f>
        <v>21</v>
      </c>
      <c r="F50" s="129"/>
      <c r="G50" s="133"/>
      <c r="H50" s="134"/>
      <c r="I50" s="134"/>
      <c r="J50" s="135"/>
      <c r="O50" t="s">
        <v>144</v>
      </c>
      <c r="P50" s="4">
        <v>1204</v>
      </c>
      <c r="Q50" s="4"/>
      <c r="R50" s="5"/>
    </row>
    <row r="51" spans="1:18" ht="15" customHeight="1" x14ac:dyDescent="0.25">
      <c r="A51" s="123"/>
      <c r="B51" s="27"/>
      <c r="C51" s="10"/>
      <c r="D51" s="31"/>
      <c r="F51" s="136" t="s">
        <v>139</v>
      </c>
      <c r="G51" s="237">
        <f>G49-H29</f>
        <v>-692.5</v>
      </c>
      <c r="H51" s="238"/>
      <c r="I51" s="238"/>
      <c r="J51" s="2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3"/>
      <c r="B52" s="29"/>
      <c r="C52" s="33"/>
      <c r="D52" s="45"/>
      <c r="F52" s="137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8" t="s">
        <v>90</v>
      </c>
      <c r="B54" s="109"/>
      <c r="C54" s="110"/>
      <c r="D54" s="114">
        <f>SUM(D34:D53)</f>
        <v>84082.5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1"/>
      <c r="B55" s="112"/>
      <c r="C55" s="113"/>
      <c r="D55" s="1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6" t="s">
        <v>91</v>
      </c>
      <c r="B58" s="117"/>
      <c r="C58" s="117"/>
      <c r="D58" s="118"/>
      <c r="F58" s="116" t="s">
        <v>92</v>
      </c>
      <c r="G58" s="117"/>
      <c r="H58" s="117"/>
      <c r="I58" s="117"/>
      <c r="J58" s="118"/>
    </row>
    <row r="59" spans="1:18" x14ac:dyDescent="0.25">
      <c r="A59" s="119"/>
      <c r="B59" s="120"/>
      <c r="C59" s="120"/>
      <c r="D59" s="121"/>
      <c r="F59" s="119"/>
      <c r="G59" s="120"/>
      <c r="H59" s="120"/>
      <c r="I59" s="120"/>
      <c r="J59" s="12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435D0-A781-43B0-BB54-63A5594375B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4" t="s">
        <v>1</v>
      </c>
      <c r="O1" s="204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5" t="s">
        <v>7</v>
      </c>
      <c r="B4" s="156"/>
      <c r="C4" s="156"/>
      <c r="D4" s="157"/>
      <c r="F4" s="205" t="s">
        <v>8</v>
      </c>
      <c r="G4" s="207"/>
      <c r="H4" s="209" t="s">
        <v>9</v>
      </c>
      <c r="I4" s="211"/>
      <c r="J4" s="2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206"/>
      <c r="G5" s="208"/>
      <c r="H5" s="210"/>
      <c r="I5" s="213"/>
      <c r="J5" s="2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0"/>
      <c r="B6" s="16"/>
      <c r="C6" s="10"/>
      <c r="D6" s="13">
        <f t="shared" ref="D6:D28" si="1">C6*L6</f>
        <v>0</v>
      </c>
      <c r="F6" s="215" t="s">
        <v>16</v>
      </c>
      <c r="G6" s="217"/>
      <c r="H6" s="218"/>
      <c r="I6" s="218"/>
      <c r="J6" s="2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0"/>
      <c r="B7" s="16"/>
      <c r="C7" s="10"/>
      <c r="D7" s="13">
        <f t="shared" si="1"/>
        <v>0</v>
      </c>
      <c r="F7" s="216"/>
      <c r="G7" s="220"/>
      <c r="H7" s="221"/>
      <c r="I7" s="221"/>
      <c r="J7" s="2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0"/>
      <c r="B8" s="16"/>
      <c r="C8" s="10"/>
      <c r="D8" s="13">
        <f t="shared" si="1"/>
        <v>0</v>
      </c>
      <c r="F8" s="223" t="s">
        <v>21</v>
      </c>
      <c r="G8" s="224"/>
      <c r="H8" s="225"/>
      <c r="I8" s="225"/>
      <c r="J8" s="22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0"/>
      <c r="B9" s="16"/>
      <c r="C9" s="10"/>
      <c r="D9" s="13">
        <f t="shared" si="1"/>
        <v>0</v>
      </c>
      <c r="F9" s="216"/>
      <c r="G9" s="227"/>
      <c r="H9" s="228"/>
      <c r="I9" s="228"/>
      <c r="J9" s="22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0"/>
      <c r="C10" s="10"/>
      <c r="D10" s="13">
        <f t="shared" si="1"/>
        <v>0</v>
      </c>
      <c r="F10" s="215" t="s">
        <v>26</v>
      </c>
      <c r="G10" s="230"/>
      <c r="H10" s="231"/>
      <c r="I10" s="231"/>
      <c r="J10" s="232"/>
      <c r="K10" s="8"/>
      <c r="L10" s="6">
        <f>R36</f>
        <v>972</v>
      </c>
      <c r="P10" s="4"/>
      <c r="Q10" s="4"/>
      <c r="R10" s="5"/>
    </row>
    <row r="11" spans="1:19" ht="15.75" x14ac:dyDescent="0.25">
      <c r="A11" s="150"/>
      <c r="B11" s="17"/>
      <c r="C11" s="10"/>
      <c r="D11" s="13">
        <f t="shared" si="1"/>
        <v>0</v>
      </c>
      <c r="F11" s="216"/>
      <c r="G11" s="227"/>
      <c r="H11" s="228"/>
      <c r="I11" s="228"/>
      <c r="J11" s="22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0"/>
      <c r="B12" s="17"/>
      <c r="C12" s="10"/>
      <c r="D12" s="48">
        <f t="shared" si="1"/>
        <v>0</v>
      </c>
      <c r="F12" s="233" t="s">
        <v>33</v>
      </c>
      <c r="G12" s="234"/>
      <c r="H12" s="234"/>
      <c r="I12" s="234"/>
      <c r="J12" s="23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0"/>
      <c r="B13" s="17"/>
      <c r="C13" s="10"/>
      <c r="D13" s="48">
        <f t="shared" si="1"/>
        <v>0</v>
      </c>
      <c r="F13" s="236" t="s">
        <v>36</v>
      </c>
      <c r="G13" s="20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0"/>
      <c r="B14" s="14"/>
      <c r="C14" s="10"/>
      <c r="D14" s="31">
        <f t="shared" si="1"/>
        <v>0</v>
      </c>
      <c r="F14" s="194" t="s">
        <v>39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0"/>
      <c r="B15" s="14"/>
      <c r="C15" s="10"/>
      <c r="D15" s="31">
        <f t="shared" si="1"/>
        <v>0</v>
      </c>
      <c r="F15" s="199" t="s">
        <v>40</v>
      </c>
      <c r="G15" s="200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1"/>
      <c r="I16" s="161"/>
      <c r="J16" s="16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C17" s="10"/>
      <c r="D17" s="48">
        <f t="shared" si="1"/>
        <v>0</v>
      </c>
      <c r="F17" s="56"/>
      <c r="G17" s="66" t="s">
        <v>45</v>
      </c>
      <c r="H17" s="172"/>
      <c r="I17" s="172"/>
      <c r="J17" s="17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/>
      <c r="C18" s="10"/>
      <c r="D18" s="48">
        <f t="shared" si="1"/>
        <v>0</v>
      </c>
      <c r="F18" s="56"/>
      <c r="G18" s="66" t="s">
        <v>47</v>
      </c>
      <c r="H18" s="172"/>
      <c r="I18" s="172"/>
      <c r="J18" s="17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/>
      <c r="C19" s="10"/>
      <c r="D19" s="48">
        <f t="shared" si="1"/>
        <v>0</v>
      </c>
      <c r="F19" s="56"/>
      <c r="G19" s="68" t="s">
        <v>50</v>
      </c>
      <c r="H19" s="173"/>
      <c r="I19" s="173"/>
      <c r="J19" s="1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/>
      <c r="C20" s="10"/>
      <c r="D20" s="13">
        <f t="shared" si="1"/>
        <v>0</v>
      </c>
      <c r="F20" s="57"/>
      <c r="G20" s="70" t="s">
        <v>120</v>
      </c>
      <c r="H20" s="161"/>
      <c r="I20" s="161"/>
      <c r="J20" s="16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0"/>
      <c r="B22" s="46"/>
      <c r="C22" s="10"/>
      <c r="D22" s="48">
        <f t="shared" si="1"/>
        <v>0</v>
      </c>
      <c r="F22" s="77"/>
      <c r="G22" s="73"/>
      <c r="H22" s="177"/>
      <c r="I22" s="177"/>
      <c r="J22" s="17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/>
      <c r="C23" s="10"/>
      <c r="D23" s="48">
        <f t="shared" si="1"/>
        <v>0</v>
      </c>
      <c r="F23" s="78"/>
      <c r="G23" s="79"/>
      <c r="H23" s="178"/>
      <c r="I23" s="147"/>
      <c r="J23" s="14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/>
      <c r="C24" s="10"/>
      <c r="D24" s="48">
        <f t="shared" si="1"/>
        <v>0</v>
      </c>
      <c r="F24" s="38"/>
      <c r="G24" s="37"/>
      <c r="H24" s="178"/>
      <c r="I24" s="147"/>
      <c r="J24" s="14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0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/>
      <c r="C28" s="10"/>
      <c r="D28" s="48">
        <f t="shared" si="1"/>
        <v>0</v>
      </c>
      <c r="F28" s="104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08" t="s">
        <v>55</v>
      </c>
      <c r="G29" s="170"/>
      <c r="H29" s="130">
        <f>H15-H16-H17-H18-H19-H20-H22-H23-H24+H26+H27</f>
        <v>0</v>
      </c>
      <c r="I29" s="131"/>
      <c r="J29" s="13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11"/>
      <c r="G30" s="171"/>
      <c r="H30" s="133"/>
      <c r="I30" s="134"/>
      <c r="J30" s="13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5" t="s">
        <v>58</v>
      </c>
      <c r="B32" s="156"/>
      <c r="C32" s="156"/>
      <c r="D32" s="157"/>
      <c r="F32" s="158" t="s">
        <v>59</v>
      </c>
      <c r="G32" s="159"/>
      <c r="H32" s="159"/>
      <c r="I32" s="159"/>
      <c r="J32" s="160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58" t="s">
        <v>13</v>
      </c>
      <c r="I33" s="159"/>
      <c r="J33" s="16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2"/>
      <c r="I34" s="153"/>
      <c r="J34" s="15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152"/>
      <c r="I35" s="153"/>
      <c r="J35" s="15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152"/>
      <c r="I36" s="153"/>
      <c r="J36" s="15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2"/>
      <c r="I37" s="153"/>
      <c r="J37" s="15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152"/>
      <c r="I38" s="153"/>
      <c r="J38" s="15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152"/>
      <c r="I39" s="153"/>
      <c r="J39" s="15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2"/>
      <c r="I40" s="153"/>
      <c r="J40" s="15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152"/>
      <c r="I41" s="153"/>
      <c r="J41" s="15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152"/>
      <c r="H42" s="153"/>
      <c r="I42" s="153"/>
      <c r="J42" s="15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2" t="s">
        <v>81</v>
      </c>
      <c r="C43" s="11"/>
      <c r="D43" s="12"/>
      <c r="F43" s="59" t="s">
        <v>82</v>
      </c>
      <c r="G43" s="107" t="s">
        <v>83</v>
      </c>
      <c r="H43" s="144" t="s">
        <v>13</v>
      </c>
      <c r="I43" s="145"/>
      <c r="J43" s="146"/>
      <c r="K43" s="21"/>
      <c r="P43" s="4"/>
      <c r="Q43" s="4"/>
      <c r="R43" s="5"/>
    </row>
    <row r="44" spans="1:18" ht="15.75" x14ac:dyDescent="0.25">
      <c r="A44" s="123"/>
      <c r="B44" s="27" t="s">
        <v>66</v>
      </c>
      <c r="C44" s="10"/>
      <c r="D44" s="12">
        <f>C44*120</f>
        <v>0</v>
      </c>
      <c r="F44" s="37"/>
      <c r="G44" s="76"/>
      <c r="H44" s="147"/>
      <c r="I44" s="147"/>
      <c r="J44" s="147"/>
      <c r="K44" s="21"/>
      <c r="P44" s="4"/>
      <c r="Q44" s="4"/>
      <c r="R44" s="5"/>
    </row>
    <row r="45" spans="1:18" ht="15.75" x14ac:dyDescent="0.25">
      <c r="A45" s="123"/>
      <c r="B45" s="27" t="s">
        <v>68</v>
      </c>
      <c r="C45" s="33"/>
      <c r="D45" s="12">
        <f>C45*84</f>
        <v>0</v>
      </c>
      <c r="F45" s="37"/>
      <c r="G45" s="76"/>
      <c r="H45" s="147"/>
      <c r="I45" s="147"/>
      <c r="J45" s="147"/>
      <c r="K45" s="21"/>
      <c r="P45" s="4"/>
      <c r="Q45" s="4"/>
      <c r="R45" s="5"/>
    </row>
    <row r="46" spans="1:18" ht="15.75" x14ac:dyDescent="0.25">
      <c r="A46" s="123"/>
      <c r="B46" s="49" t="s">
        <v>70</v>
      </c>
      <c r="C46" s="81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4"/>
      <c r="B47" s="27"/>
      <c r="C47" s="11"/>
      <c r="D47" s="12"/>
      <c r="F47" s="59"/>
      <c r="G47" s="59"/>
      <c r="H47" s="125"/>
      <c r="I47" s="126"/>
      <c r="J47" s="127"/>
      <c r="K47" s="21"/>
      <c r="P47" s="4"/>
      <c r="Q47" s="4"/>
      <c r="R47" s="5"/>
    </row>
    <row r="48" spans="1:18" ht="15" customHeight="1" x14ac:dyDescent="0.25">
      <c r="A48" s="122" t="s">
        <v>32</v>
      </c>
      <c r="B48" s="27" t="s">
        <v>66</v>
      </c>
      <c r="C48" s="10"/>
      <c r="D48" s="12">
        <f>C48*78</f>
        <v>0</v>
      </c>
      <c r="F48" s="59"/>
      <c r="G48" s="59"/>
      <c r="H48" s="125"/>
      <c r="I48" s="126"/>
      <c r="J48" s="1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3"/>
      <c r="B49" s="29" t="s">
        <v>68</v>
      </c>
      <c r="C49" s="33"/>
      <c r="D49" s="12">
        <f>C49*42</f>
        <v>0</v>
      </c>
      <c r="F49" s="128" t="s">
        <v>86</v>
      </c>
      <c r="G49" s="130">
        <f>H34+H35+H36+H37+H38+H39+H40+H41+G42+H44+H45+H46</f>
        <v>0</v>
      </c>
      <c r="H49" s="131"/>
      <c r="I49" s="131"/>
      <c r="J49" s="13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3"/>
      <c r="B50" s="32" t="s">
        <v>70</v>
      </c>
      <c r="C50" s="11"/>
      <c r="D50" s="12">
        <f>C50*1.5</f>
        <v>0</v>
      </c>
      <c r="F50" s="129"/>
      <c r="G50" s="133"/>
      <c r="H50" s="134"/>
      <c r="I50" s="134"/>
      <c r="J50" s="135"/>
      <c r="P50" s="4"/>
      <c r="Q50" s="4"/>
      <c r="R50" s="5"/>
    </row>
    <row r="51" spans="1:18" ht="15" customHeight="1" x14ac:dyDescent="0.25">
      <c r="A51" s="123"/>
      <c r="B51" s="27"/>
      <c r="C51" s="10"/>
      <c r="D51" s="31"/>
      <c r="F51" s="136" t="s">
        <v>128</v>
      </c>
      <c r="G51" s="138">
        <f>G49-H29</f>
        <v>0</v>
      </c>
      <c r="H51" s="139"/>
      <c r="I51" s="139"/>
      <c r="J51" s="1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3"/>
      <c r="B52" s="29"/>
      <c r="C52" s="33"/>
      <c r="D52" s="45"/>
      <c r="F52" s="137"/>
      <c r="G52" s="141"/>
      <c r="H52" s="142"/>
      <c r="I52" s="142"/>
      <c r="J52" s="1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8" t="s">
        <v>90</v>
      </c>
      <c r="B54" s="109"/>
      <c r="C54" s="110"/>
      <c r="D54" s="114">
        <f>SUM(D34:D53)</f>
        <v>0</v>
      </c>
      <c r="F54" s="21"/>
      <c r="J54" s="34"/>
    </row>
    <row r="55" spans="1:18" x14ac:dyDescent="0.25">
      <c r="A55" s="111"/>
      <c r="B55" s="112"/>
      <c r="C55" s="113"/>
      <c r="D55" s="1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6" t="s">
        <v>91</v>
      </c>
      <c r="B58" s="117"/>
      <c r="C58" s="117"/>
      <c r="D58" s="118"/>
      <c r="F58" s="116" t="s">
        <v>92</v>
      </c>
      <c r="G58" s="117"/>
      <c r="H58" s="117"/>
      <c r="I58" s="117"/>
      <c r="J58" s="118"/>
    </row>
    <row r="59" spans="1:18" x14ac:dyDescent="0.25">
      <c r="A59" s="119"/>
      <c r="B59" s="120"/>
      <c r="C59" s="120"/>
      <c r="D59" s="121"/>
      <c r="F59" s="119"/>
      <c r="G59" s="120"/>
      <c r="H59" s="120"/>
      <c r="I59" s="120"/>
      <c r="J59" s="1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AF96F-764A-49BB-A36E-4DC837A8A004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4" t="s">
        <v>1</v>
      </c>
      <c r="O1" s="204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205" t="s">
        <v>8</v>
      </c>
      <c r="G4" s="207">
        <v>1</v>
      </c>
      <c r="H4" s="209" t="s">
        <v>9</v>
      </c>
      <c r="I4" s="211">
        <v>46034</v>
      </c>
      <c r="J4" s="2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206"/>
      <c r="G5" s="208"/>
      <c r="H5" s="210"/>
      <c r="I5" s="213"/>
      <c r="J5" s="2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84">
        <v>233</v>
      </c>
      <c r="D6" s="13">
        <f t="shared" ref="D6:D28" si="1">C6*L6</f>
        <v>177313</v>
      </c>
      <c r="F6" s="215" t="s">
        <v>16</v>
      </c>
      <c r="G6" s="217" t="s">
        <v>129</v>
      </c>
      <c r="H6" s="218"/>
      <c r="I6" s="218"/>
      <c r="J6" s="2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84">
        <v>12</v>
      </c>
      <c r="D7" s="13">
        <f t="shared" si="1"/>
        <v>9372</v>
      </c>
      <c r="F7" s="216"/>
      <c r="G7" s="220"/>
      <c r="H7" s="221"/>
      <c r="I7" s="221"/>
      <c r="J7" s="2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84">
        <v>3</v>
      </c>
      <c r="D8" s="13">
        <f t="shared" si="1"/>
        <v>3279</v>
      </c>
      <c r="F8" s="223" t="s">
        <v>21</v>
      </c>
      <c r="G8" s="224" t="s">
        <v>112</v>
      </c>
      <c r="H8" s="225"/>
      <c r="I8" s="225"/>
      <c r="J8" s="2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84">
        <v>20</v>
      </c>
      <c r="D9" s="13">
        <f t="shared" si="1"/>
        <v>14660</v>
      </c>
      <c r="F9" s="216"/>
      <c r="G9" s="227"/>
      <c r="H9" s="228"/>
      <c r="I9" s="228"/>
      <c r="J9" s="2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84">
        <v>3</v>
      </c>
      <c r="D10" s="13">
        <f t="shared" si="1"/>
        <v>3096</v>
      </c>
      <c r="F10" s="215" t="s">
        <v>26</v>
      </c>
      <c r="G10" s="230" t="s">
        <v>130</v>
      </c>
      <c r="H10" s="231"/>
      <c r="I10" s="231"/>
      <c r="J10" s="232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84">
        <v>3</v>
      </c>
      <c r="D11" s="13">
        <f t="shared" si="1"/>
        <v>3510</v>
      </c>
      <c r="F11" s="216"/>
      <c r="G11" s="227"/>
      <c r="H11" s="228"/>
      <c r="I11" s="228"/>
      <c r="J11" s="2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84">
        <f>4+1</f>
        <v>5</v>
      </c>
      <c r="D12" s="48">
        <f t="shared" si="1"/>
        <v>4960</v>
      </c>
      <c r="F12" s="233" t="s">
        <v>33</v>
      </c>
      <c r="G12" s="234"/>
      <c r="H12" s="234"/>
      <c r="I12" s="234"/>
      <c r="J12" s="2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84">
        <v>7</v>
      </c>
      <c r="D13" s="48">
        <f t="shared" si="1"/>
        <v>2149</v>
      </c>
      <c r="F13" s="236" t="s">
        <v>36</v>
      </c>
      <c r="G13" s="200"/>
      <c r="H13" s="191">
        <f>D29</f>
        <v>228413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84">
        <v>19</v>
      </c>
      <c r="D14" s="31">
        <f t="shared" si="1"/>
        <v>209</v>
      </c>
      <c r="F14" s="194" t="s">
        <v>39</v>
      </c>
      <c r="G14" s="195"/>
      <c r="H14" s="196">
        <f>D54</f>
        <v>28542.75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84"/>
      <c r="D15" s="31">
        <f t="shared" si="1"/>
        <v>0</v>
      </c>
      <c r="F15" s="199" t="s">
        <v>40</v>
      </c>
      <c r="G15" s="200"/>
      <c r="H15" s="201">
        <f>H13-H14</f>
        <v>199870.25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1"/>
      <c r="I16" s="161"/>
      <c r="J16" s="16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137</v>
      </c>
      <c r="C17" s="84"/>
      <c r="D17" s="48">
        <f t="shared" si="1"/>
        <v>0</v>
      </c>
      <c r="F17" s="56"/>
      <c r="G17" s="66" t="s">
        <v>45</v>
      </c>
      <c r="H17" s="172"/>
      <c r="I17" s="172"/>
      <c r="J17" s="17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72"/>
      <c r="I18" s="172"/>
      <c r="J18" s="17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v>1102</v>
      </c>
      <c r="Q19" s="4"/>
      <c r="R19" s="5">
        <f t="shared" si="0"/>
        <v>0</v>
      </c>
    </row>
    <row r="20" spans="1:18" ht="15.75" x14ac:dyDescent="0.25">
      <c r="A20" s="150"/>
      <c r="B20" s="83" t="s">
        <v>125</v>
      </c>
      <c r="C20" s="84">
        <f>1+3</f>
        <v>4</v>
      </c>
      <c r="D20" s="13">
        <f t="shared" si="1"/>
        <v>4700</v>
      </c>
      <c r="F20" s="57"/>
      <c r="G20" s="70" t="s">
        <v>120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127</v>
      </c>
      <c r="C22" s="84"/>
      <c r="D22" s="48">
        <f t="shared" si="1"/>
        <v>0</v>
      </c>
      <c r="F22" s="77"/>
      <c r="G22" s="73"/>
      <c r="H22" s="177"/>
      <c r="I22" s="177"/>
      <c r="J22" s="17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136</v>
      </c>
      <c r="C26" s="84"/>
      <c r="D26" s="48">
        <f t="shared" si="1"/>
        <v>0</v>
      </c>
      <c r="F26" s="75"/>
      <c r="G26" s="65"/>
      <c r="H26" s="147"/>
      <c r="I26" s="147"/>
      <c r="J26" s="14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110</v>
      </c>
      <c r="C27" s="84"/>
      <c r="D27" s="44">
        <f t="shared" si="1"/>
        <v>0</v>
      </c>
      <c r="F27" s="71"/>
      <c r="G27" s="107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84">
        <v>5</v>
      </c>
      <c r="D28" s="48">
        <f t="shared" si="1"/>
        <v>3925</v>
      </c>
      <c r="F28" s="104"/>
      <c r="G28" s="61"/>
      <c r="H28" s="188"/>
      <c r="I28" s="189"/>
      <c r="J28" s="190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228413</v>
      </c>
      <c r="F29" s="108" t="s">
        <v>55</v>
      </c>
      <c r="G29" s="170"/>
      <c r="H29" s="130">
        <f>H15-H16-H17-H18-H19-H20-H22-H23-H24+H26+H27+H28</f>
        <v>199870.25</v>
      </c>
      <c r="I29" s="131"/>
      <c r="J29" s="13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11"/>
      <c r="G30" s="171"/>
      <c r="H30" s="133"/>
      <c r="I30" s="134"/>
      <c r="J30" s="13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58</v>
      </c>
      <c r="B32" s="156"/>
      <c r="C32" s="156"/>
      <c r="D32" s="157"/>
      <c r="F32" s="158" t="s">
        <v>59</v>
      </c>
      <c r="G32" s="159"/>
      <c r="H32" s="159"/>
      <c r="I32" s="159"/>
      <c r="J32" s="16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58" t="s">
        <v>13</v>
      </c>
      <c r="I33" s="159"/>
      <c r="J33" s="16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/>
      <c r="H34" s="152">
        <f t="shared" ref="H34:H39" si="2">F34*G34</f>
        <v>0</v>
      </c>
      <c r="I34" s="153"/>
      <c r="J34" s="15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52">
        <f t="shared" si="2"/>
        <v>0</v>
      </c>
      <c r="I35" s="153"/>
      <c r="J35" s="15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>
        <v>36</v>
      </c>
      <c r="D36" s="12">
        <f>C36*1.5</f>
        <v>54</v>
      </c>
      <c r="F36" s="12">
        <v>200</v>
      </c>
      <c r="G36" s="37"/>
      <c r="H36" s="152">
        <f t="shared" si="2"/>
        <v>0</v>
      </c>
      <c r="I36" s="153"/>
      <c r="J36" s="15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/>
      <c r="H37" s="152">
        <f t="shared" si="2"/>
        <v>0</v>
      </c>
      <c r="I37" s="153"/>
      <c r="J37" s="15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>
        <v>79</v>
      </c>
      <c r="D38" s="12">
        <f>C38*84</f>
        <v>6636</v>
      </c>
      <c r="F38" s="30">
        <v>50</v>
      </c>
      <c r="G38" s="39"/>
      <c r="H38" s="152">
        <f t="shared" si="2"/>
        <v>0</v>
      </c>
      <c r="I38" s="153"/>
      <c r="J38" s="15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2">
        <f t="shared" si="2"/>
        <v>0</v>
      </c>
      <c r="I39" s="153"/>
      <c r="J39" s="15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2"/>
      <c r="I40" s="153"/>
      <c r="J40" s="15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152"/>
      <c r="I41" s="153"/>
      <c r="J41" s="15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2"/>
      <c r="H42" s="153"/>
      <c r="I42" s="153"/>
      <c r="J42" s="15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2" t="s">
        <v>81</v>
      </c>
      <c r="C43" s="11"/>
      <c r="D43" s="12"/>
      <c r="F43" s="59" t="s">
        <v>82</v>
      </c>
      <c r="G43" s="107" t="s">
        <v>83</v>
      </c>
      <c r="H43" s="144" t="s">
        <v>13</v>
      </c>
      <c r="I43" s="145"/>
      <c r="J43" s="14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3"/>
      <c r="B44" s="27" t="s">
        <v>66</v>
      </c>
      <c r="C44" s="10">
        <v>7</v>
      </c>
      <c r="D44" s="12">
        <f>C44*120</f>
        <v>840</v>
      </c>
      <c r="F44" s="37"/>
      <c r="G44" s="62"/>
      <c r="H44" s="147"/>
      <c r="I44" s="147"/>
      <c r="J44" s="147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23"/>
      <c r="B45" s="27" t="s">
        <v>68</v>
      </c>
      <c r="C45" s="33">
        <v>6</v>
      </c>
      <c r="D45" s="12">
        <f>C45*84</f>
        <v>504</v>
      </c>
      <c r="F45" s="37"/>
      <c r="G45" s="62"/>
      <c r="H45" s="147"/>
      <c r="I45" s="147"/>
      <c r="J45" s="147"/>
      <c r="K45" s="21"/>
      <c r="P45" s="4"/>
      <c r="Q45" s="4"/>
      <c r="R45" s="5"/>
    </row>
    <row r="46" spans="1:18" ht="15.75" x14ac:dyDescent="0.25">
      <c r="A46" s="123"/>
      <c r="B46" s="49" t="s">
        <v>70</v>
      </c>
      <c r="C46" s="81">
        <v>5</v>
      </c>
      <c r="D46" s="12">
        <f>C46*1.5</f>
        <v>7.5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4"/>
      <c r="B47" s="27"/>
      <c r="C47" s="11"/>
      <c r="D47" s="12"/>
      <c r="F47" s="59"/>
      <c r="G47" s="59"/>
      <c r="H47" s="125"/>
      <c r="I47" s="126"/>
      <c r="J47" s="127"/>
      <c r="K47" s="21"/>
      <c r="P47" s="4"/>
      <c r="Q47" s="4"/>
      <c r="R47" s="5"/>
    </row>
    <row r="48" spans="1:18" ht="15" customHeight="1" x14ac:dyDescent="0.25">
      <c r="A48" s="122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125"/>
      <c r="I48" s="126"/>
      <c r="J48" s="1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3"/>
      <c r="B49" s="29" t="s">
        <v>68</v>
      </c>
      <c r="C49" s="33"/>
      <c r="D49" s="12">
        <f>C49*42</f>
        <v>0</v>
      </c>
      <c r="F49" s="128" t="s">
        <v>86</v>
      </c>
      <c r="G49" s="130">
        <f>H34+H35+H36+H37+H38+H39+H40+H41+G42+H44+H45+H46</f>
        <v>0</v>
      </c>
      <c r="H49" s="131"/>
      <c r="I49" s="131"/>
      <c r="J49" s="13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3"/>
      <c r="B50" s="32" t="s">
        <v>70</v>
      </c>
      <c r="C50" s="11">
        <v>42</v>
      </c>
      <c r="D50" s="12">
        <f>C50*1.5</f>
        <v>63</v>
      </c>
      <c r="F50" s="129"/>
      <c r="G50" s="133"/>
      <c r="H50" s="134"/>
      <c r="I50" s="134"/>
      <c r="J50" s="135"/>
      <c r="O50" t="s">
        <v>144</v>
      </c>
      <c r="P50" s="4">
        <v>1204</v>
      </c>
      <c r="Q50" s="4"/>
      <c r="R50" s="5"/>
    </row>
    <row r="51" spans="1:18" ht="15" customHeight="1" x14ac:dyDescent="0.25">
      <c r="A51" s="123"/>
      <c r="B51" s="27"/>
      <c r="C51" s="10"/>
      <c r="D51" s="31"/>
      <c r="F51" s="136" t="s">
        <v>131</v>
      </c>
      <c r="G51" s="237">
        <f>G49-H29</f>
        <v>-199870.25</v>
      </c>
      <c r="H51" s="238"/>
      <c r="I51" s="238"/>
      <c r="J51" s="2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3"/>
      <c r="B52" s="29"/>
      <c r="C52" s="33"/>
      <c r="D52" s="45"/>
      <c r="F52" s="137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8" t="s">
        <v>90</v>
      </c>
      <c r="B54" s="109"/>
      <c r="C54" s="110"/>
      <c r="D54" s="114">
        <f>SUM(D34:D53)</f>
        <v>28542.75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1"/>
      <c r="B55" s="112"/>
      <c r="C55" s="113"/>
      <c r="D55" s="1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16" t="s">
        <v>91</v>
      </c>
      <c r="B58" s="117"/>
      <c r="C58" s="117"/>
      <c r="D58" s="118"/>
      <c r="F58" s="116" t="s">
        <v>92</v>
      </c>
      <c r="G58" s="117"/>
      <c r="H58" s="117"/>
      <c r="I58" s="117"/>
      <c r="J58" s="118"/>
    </row>
    <row r="59" spans="1:18" x14ac:dyDescent="0.25">
      <c r="A59" s="119"/>
      <c r="B59" s="120"/>
      <c r="C59" s="120"/>
      <c r="D59" s="121"/>
      <c r="F59" s="119"/>
      <c r="G59" s="120"/>
      <c r="H59" s="120"/>
      <c r="I59" s="120"/>
      <c r="J59" s="1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9F3C-999B-4470-A701-EA35174B52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4" t="s">
        <v>1</v>
      </c>
      <c r="O1" s="204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205" t="s">
        <v>8</v>
      </c>
      <c r="G4" s="207">
        <v>2</v>
      </c>
      <c r="H4" s="209" t="s">
        <v>9</v>
      </c>
      <c r="I4" s="211">
        <v>46034</v>
      </c>
      <c r="J4" s="2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206"/>
      <c r="G5" s="208"/>
      <c r="H5" s="210"/>
      <c r="I5" s="213"/>
      <c r="J5" s="2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/>
      <c r="D6" s="13">
        <f t="shared" ref="D6:D28" si="1">C6*L6</f>
        <v>0</v>
      </c>
      <c r="F6" s="215" t="s">
        <v>16</v>
      </c>
      <c r="G6" s="217" t="s">
        <v>140</v>
      </c>
      <c r="H6" s="218"/>
      <c r="I6" s="218"/>
      <c r="J6" s="2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/>
      <c r="D7" s="13">
        <f t="shared" si="1"/>
        <v>0</v>
      </c>
      <c r="F7" s="216"/>
      <c r="G7" s="220"/>
      <c r="H7" s="221"/>
      <c r="I7" s="221"/>
      <c r="J7" s="2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223" t="s">
        <v>21</v>
      </c>
      <c r="G8" s="224" t="s">
        <v>114</v>
      </c>
      <c r="H8" s="225"/>
      <c r="I8" s="225"/>
      <c r="J8" s="2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/>
      <c r="D9" s="13">
        <f t="shared" si="1"/>
        <v>0</v>
      </c>
      <c r="F9" s="216"/>
      <c r="G9" s="227"/>
      <c r="H9" s="228"/>
      <c r="I9" s="228"/>
      <c r="J9" s="2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215" t="s">
        <v>26</v>
      </c>
      <c r="G10" s="230" t="s">
        <v>115</v>
      </c>
      <c r="H10" s="231"/>
      <c r="I10" s="231"/>
      <c r="J10" s="232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216"/>
      <c r="G11" s="227"/>
      <c r="H11" s="228"/>
      <c r="I11" s="228"/>
      <c r="J11" s="2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233" t="s">
        <v>33</v>
      </c>
      <c r="G12" s="234"/>
      <c r="H12" s="234"/>
      <c r="I12" s="234"/>
      <c r="J12" s="2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/>
      <c r="D13" s="48">
        <f t="shared" si="1"/>
        <v>0</v>
      </c>
      <c r="F13" s="236" t="s">
        <v>36</v>
      </c>
      <c r="G13" s="20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94" t="s">
        <v>39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99" t="s">
        <v>40</v>
      </c>
      <c r="G15" s="200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1"/>
      <c r="I16" s="161"/>
      <c r="J16" s="16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93</v>
      </c>
      <c r="C17" s="10"/>
      <c r="D17" s="48">
        <f t="shared" si="1"/>
        <v>0</v>
      </c>
      <c r="F17" s="56"/>
      <c r="G17" s="66" t="s">
        <v>45</v>
      </c>
      <c r="H17" s="172"/>
      <c r="I17" s="172"/>
      <c r="J17" s="17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2"/>
      <c r="I18" s="172"/>
      <c r="J18" s="17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7"/>
      <c r="I19" s="247"/>
      <c r="J19" s="24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2"/>
      <c r="G22" s="73"/>
      <c r="H22" s="177"/>
      <c r="I22" s="177"/>
      <c r="J22" s="17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25"/>
      <c r="G23" s="37"/>
      <c r="H23" s="178"/>
      <c r="I23" s="147"/>
      <c r="J23" s="14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123</v>
      </c>
      <c r="C24" s="10"/>
      <c r="D24" s="48">
        <f t="shared" si="1"/>
        <v>0</v>
      </c>
      <c r="F24" s="38"/>
      <c r="G24" s="37"/>
      <c r="H24" s="178"/>
      <c r="I24" s="147"/>
      <c r="J24" s="14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104"/>
      <c r="G28" s="61"/>
      <c r="H28" s="188"/>
      <c r="I28" s="189"/>
      <c r="J28" s="190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08" t="s">
        <v>55</v>
      </c>
      <c r="G29" s="170"/>
      <c r="H29" s="130">
        <f>H15-H16-H17-H18-H19-H20-H22-H23-H24+H26+H27</f>
        <v>0</v>
      </c>
      <c r="I29" s="131"/>
      <c r="J29" s="13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11"/>
      <c r="G30" s="171"/>
      <c r="H30" s="133"/>
      <c r="I30" s="134"/>
      <c r="J30" s="13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58</v>
      </c>
      <c r="B32" s="156"/>
      <c r="C32" s="156"/>
      <c r="D32" s="157"/>
      <c r="F32" s="158" t="s">
        <v>59</v>
      </c>
      <c r="G32" s="159"/>
      <c r="H32" s="159"/>
      <c r="I32" s="159"/>
      <c r="J32" s="16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58" t="s">
        <v>13</v>
      </c>
      <c r="I33" s="159"/>
      <c r="J33" s="16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2">
        <f>F34*G34</f>
        <v>0</v>
      </c>
      <c r="I34" s="153"/>
      <c r="J34" s="15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152">
        <f t="shared" ref="H35:H39" si="2">F35*G35</f>
        <v>0</v>
      </c>
      <c r="I35" s="153"/>
      <c r="J35" s="15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152">
        <f>F36*G36</f>
        <v>0</v>
      </c>
      <c r="I36" s="153"/>
      <c r="J36" s="15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2">
        <f t="shared" si="2"/>
        <v>0</v>
      </c>
      <c r="I37" s="153"/>
      <c r="J37" s="15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152">
        <f t="shared" si="2"/>
        <v>0</v>
      </c>
      <c r="I38" s="153"/>
      <c r="J38" s="15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152">
        <f t="shared" si="2"/>
        <v>0</v>
      </c>
      <c r="I39" s="153"/>
      <c r="J39" s="15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2"/>
      <c r="I40" s="153"/>
      <c r="J40" s="15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152"/>
      <c r="I41" s="153"/>
      <c r="J41" s="15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152"/>
      <c r="H42" s="153"/>
      <c r="I42" s="153"/>
      <c r="J42" s="15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2" t="s">
        <v>81</v>
      </c>
      <c r="C43" s="11"/>
      <c r="D43" s="12"/>
      <c r="F43" s="59" t="s">
        <v>82</v>
      </c>
      <c r="G43" s="107" t="s">
        <v>83</v>
      </c>
      <c r="H43" s="144" t="s">
        <v>13</v>
      </c>
      <c r="I43" s="145"/>
      <c r="J43" s="14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3"/>
      <c r="B44" s="27" t="s">
        <v>66</v>
      </c>
      <c r="C44" s="10"/>
      <c r="D44" s="12">
        <f>C44*120</f>
        <v>0</v>
      </c>
      <c r="F44" s="37"/>
      <c r="G44" s="62"/>
      <c r="H44" s="147"/>
      <c r="I44" s="147"/>
      <c r="J44" s="147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23"/>
      <c r="B45" s="27" t="s">
        <v>68</v>
      </c>
      <c r="C45" s="33"/>
      <c r="D45" s="12">
        <f>C45*84</f>
        <v>0</v>
      </c>
      <c r="F45" s="37"/>
      <c r="G45" s="62"/>
      <c r="H45" s="147"/>
      <c r="I45" s="147"/>
      <c r="J45" s="147"/>
      <c r="K45" s="21"/>
      <c r="P45" s="4"/>
      <c r="Q45" s="4"/>
      <c r="R45" s="5"/>
    </row>
    <row r="46" spans="1:18" ht="15.75" x14ac:dyDescent="0.25">
      <c r="A46" s="123"/>
      <c r="B46" s="49" t="s">
        <v>70</v>
      </c>
      <c r="C46" s="81"/>
      <c r="D46" s="12">
        <f>C46*1.5</f>
        <v>0</v>
      </c>
      <c r="F46" s="37"/>
      <c r="G46" s="106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4"/>
      <c r="B47" s="27"/>
      <c r="C47" s="11"/>
      <c r="D47" s="12"/>
      <c r="F47" s="59"/>
      <c r="G47" s="59"/>
      <c r="H47" s="125"/>
      <c r="I47" s="126"/>
      <c r="J47" s="127"/>
      <c r="K47" s="21"/>
      <c r="P47" s="4"/>
      <c r="Q47" s="4"/>
      <c r="R47" s="5"/>
    </row>
    <row r="48" spans="1:18" ht="15" customHeight="1" x14ac:dyDescent="0.25">
      <c r="A48" s="122" t="s">
        <v>32</v>
      </c>
      <c r="B48" s="27" t="s">
        <v>66</v>
      </c>
      <c r="C48" s="10"/>
      <c r="D48" s="12">
        <f>C48*78</f>
        <v>0</v>
      </c>
      <c r="F48" s="59"/>
      <c r="G48" s="59"/>
      <c r="H48" s="125"/>
      <c r="I48" s="126"/>
      <c r="J48" s="1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3"/>
      <c r="B49" s="29" t="s">
        <v>68</v>
      </c>
      <c r="C49" s="33"/>
      <c r="D49" s="12">
        <f>C49*42</f>
        <v>0</v>
      </c>
      <c r="F49" s="128" t="s">
        <v>86</v>
      </c>
      <c r="G49" s="130">
        <f>H34+H35+H36+H37+H38+H39+H40+H41+G42+H44+H45+H46</f>
        <v>0</v>
      </c>
      <c r="H49" s="131"/>
      <c r="I49" s="131"/>
      <c r="J49" s="13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3"/>
      <c r="B50" s="32" t="s">
        <v>70</v>
      </c>
      <c r="C50" s="11"/>
      <c r="D50" s="12">
        <f>C50*1.5</f>
        <v>0</v>
      </c>
      <c r="F50" s="129"/>
      <c r="G50" s="133"/>
      <c r="H50" s="134"/>
      <c r="I50" s="134"/>
      <c r="J50" s="135"/>
      <c r="O50" t="s">
        <v>144</v>
      </c>
      <c r="P50" s="4">
        <v>1204</v>
      </c>
      <c r="Q50" s="4"/>
      <c r="R50" s="5"/>
    </row>
    <row r="51" spans="1:18" ht="15" customHeight="1" x14ac:dyDescent="0.25">
      <c r="A51" s="123"/>
      <c r="B51" s="27"/>
      <c r="C51" s="10"/>
      <c r="D51" s="31"/>
      <c r="F51" s="136" t="s">
        <v>142</v>
      </c>
      <c r="G51" s="138">
        <f>G49-H29</f>
        <v>0</v>
      </c>
      <c r="H51" s="139"/>
      <c r="I51" s="139"/>
      <c r="J51" s="1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3"/>
      <c r="B52" s="29"/>
      <c r="C52" s="33"/>
      <c r="D52" s="45"/>
      <c r="F52" s="137"/>
      <c r="G52" s="141"/>
      <c r="H52" s="142"/>
      <c r="I52" s="142"/>
      <c r="J52" s="1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8" t="s">
        <v>90</v>
      </c>
      <c r="B54" s="109"/>
      <c r="C54" s="110"/>
      <c r="D54" s="11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1"/>
      <c r="B55" s="112"/>
      <c r="C55" s="113"/>
      <c r="D55" s="1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16" t="s">
        <v>91</v>
      </c>
      <c r="B58" s="117"/>
      <c r="C58" s="117"/>
      <c r="D58" s="118"/>
      <c r="F58" s="116" t="s">
        <v>92</v>
      </c>
      <c r="G58" s="117"/>
      <c r="H58" s="117"/>
      <c r="I58" s="117"/>
      <c r="J58" s="118"/>
    </row>
    <row r="59" spans="1:18" x14ac:dyDescent="0.25">
      <c r="A59" s="119"/>
      <c r="B59" s="120"/>
      <c r="C59" s="120"/>
      <c r="D59" s="121"/>
      <c r="F59" s="119"/>
      <c r="G59" s="120"/>
      <c r="H59" s="120"/>
      <c r="I59" s="120"/>
      <c r="J59" s="1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7A12E-9992-4A31-9BCC-46FD40EA0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4" t="s">
        <v>1</v>
      </c>
      <c r="O1" s="204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5" t="s">
        <v>7</v>
      </c>
      <c r="B4" s="156"/>
      <c r="C4" s="156"/>
      <c r="D4" s="157"/>
      <c r="F4" s="205" t="s">
        <v>8</v>
      </c>
      <c r="G4" s="207">
        <v>3</v>
      </c>
      <c r="H4" s="209" t="s">
        <v>9</v>
      </c>
      <c r="I4" s="211">
        <v>46034</v>
      </c>
      <c r="J4" s="21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9" t="s">
        <v>7</v>
      </c>
      <c r="B5" s="15" t="s">
        <v>11</v>
      </c>
      <c r="C5" s="9" t="s">
        <v>12</v>
      </c>
      <c r="D5" s="25" t="s">
        <v>13</v>
      </c>
      <c r="F5" s="206"/>
      <c r="G5" s="208"/>
      <c r="H5" s="210"/>
      <c r="I5" s="213"/>
      <c r="J5" s="21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0"/>
      <c r="B6" s="16" t="s">
        <v>15</v>
      </c>
      <c r="C6" s="10"/>
      <c r="D6" s="13">
        <f t="shared" ref="D6:D28" si="1">C6*L6</f>
        <v>0</v>
      </c>
      <c r="F6" s="215" t="s">
        <v>16</v>
      </c>
      <c r="G6" s="217" t="s">
        <v>111</v>
      </c>
      <c r="H6" s="218"/>
      <c r="I6" s="218"/>
      <c r="J6" s="2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0"/>
      <c r="B7" s="16" t="s">
        <v>18</v>
      </c>
      <c r="C7" s="10"/>
      <c r="D7" s="13">
        <f t="shared" si="1"/>
        <v>0</v>
      </c>
      <c r="F7" s="216"/>
      <c r="G7" s="220"/>
      <c r="H7" s="221"/>
      <c r="I7" s="221"/>
      <c r="J7" s="2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0"/>
      <c r="B8" s="16" t="s">
        <v>20</v>
      </c>
      <c r="C8" s="10"/>
      <c r="D8" s="13">
        <f t="shared" si="1"/>
        <v>0</v>
      </c>
      <c r="F8" s="223" t="s">
        <v>21</v>
      </c>
      <c r="G8" s="224" t="s">
        <v>119</v>
      </c>
      <c r="H8" s="225"/>
      <c r="I8" s="225"/>
      <c r="J8" s="22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0"/>
      <c r="B9" s="16" t="s">
        <v>23</v>
      </c>
      <c r="C9" s="10"/>
      <c r="D9" s="13">
        <f t="shared" si="1"/>
        <v>0</v>
      </c>
      <c r="F9" s="216"/>
      <c r="G9" s="227"/>
      <c r="H9" s="228"/>
      <c r="I9" s="228"/>
      <c r="J9" s="22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0"/>
      <c r="B10" t="s">
        <v>25</v>
      </c>
      <c r="C10" s="10"/>
      <c r="D10" s="13">
        <f t="shared" si="1"/>
        <v>0</v>
      </c>
      <c r="F10" s="215" t="s">
        <v>26</v>
      </c>
      <c r="G10" s="230" t="s">
        <v>134</v>
      </c>
      <c r="H10" s="231"/>
      <c r="I10" s="231"/>
      <c r="J10" s="232"/>
      <c r="K10" s="8"/>
      <c r="L10" s="6">
        <f>R36</f>
        <v>1032</v>
      </c>
      <c r="P10" s="4"/>
      <c r="Q10" s="4"/>
      <c r="R10" s="5"/>
    </row>
    <row r="11" spans="1:18" ht="15.75" x14ac:dyDescent="0.25">
      <c r="A11" s="150"/>
      <c r="B11" s="17" t="s">
        <v>28</v>
      </c>
      <c r="C11" s="10"/>
      <c r="D11" s="13">
        <f t="shared" si="1"/>
        <v>0</v>
      </c>
      <c r="F11" s="216"/>
      <c r="G11" s="227"/>
      <c r="H11" s="228"/>
      <c r="I11" s="228"/>
      <c r="J11" s="22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0"/>
      <c r="B12" s="17" t="s">
        <v>30</v>
      </c>
      <c r="C12" s="10"/>
      <c r="D12" s="48">
        <f t="shared" si="1"/>
        <v>0</v>
      </c>
      <c r="F12" s="233" t="s">
        <v>33</v>
      </c>
      <c r="G12" s="234"/>
      <c r="H12" s="234"/>
      <c r="I12" s="234"/>
      <c r="J12" s="23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0"/>
      <c r="B13" s="17" t="s">
        <v>32</v>
      </c>
      <c r="C13" s="10"/>
      <c r="D13" s="48">
        <f t="shared" si="1"/>
        <v>0</v>
      </c>
      <c r="F13" s="236" t="s">
        <v>36</v>
      </c>
      <c r="G13" s="200"/>
      <c r="H13" s="191">
        <f>D29</f>
        <v>0</v>
      </c>
      <c r="I13" s="192"/>
      <c r="J13" s="19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0"/>
      <c r="B14" s="14" t="s">
        <v>35</v>
      </c>
      <c r="C14" s="10"/>
      <c r="D14" s="31">
        <f t="shared" si="1"/>
        <v>0</v>
      </c>
      <c r="F14" s="194" t="s">
        <v>39</v>
      </c>
      <c r="G14" s="195"/>
      <c r="H14" s="196">
        <f>D54</f>
        <v>0</v>
      </c>
      <c r="I14" s="197"/>
      <c r="J14" s="19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0"/>
      <c r="B15" s="14" t="s">
        <v>38</v>
      </c>
      <c r="C15" s="10"/>
      <c r="D15" s="31">
        <f t="shared" si="1"/>
        <v>0</v>
      </c>
      <c r="F15" s="199" t="s">
        <v>40</v>
      </c>
      <c r="G15" s="200"/>
      <c r="H15" s="201">
        <f>H13-H14</f>
        <v>0</v>
      </c>
      <c r="I15" s="202"/>
      <c r="J15" s="20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1"/>
      <c r="I16" s="161"/>
      <c r="J16" s="16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0"/>
      <c r="B17" t="s">
        <v>113</v>
      </c>
      <c r="C17" s="10"/>
      <c r="D17" s="48">
        <f t="shared" si="1"/>
        <v>0</v>
      </c>
      <c r="F17" s="56"/>
      <c r="G17" s="66" t="s">
        <v>45</v>
      </c>
      <c r="H17" s="172"/>
      <c r="I17" s="172"/>
      <c r="J17" s="17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2"/>
      <c r="I18" s="172"/>
      <c r="J18" s="17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8"/>
      <c r="I19" s="248"/>
      <c r="J19" s="24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1"/>
      <c r="I20" s="161"/>
      <c r="J20" s="16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4" t="s">
        <v>13</v>
      </c>
      <c r="I21" s="175"/>
      <c r="J21" s="17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0"/>
      <c r="B22" s="46" t="s">
        <v>104</v>
      </c>
      <c r="C22" s="10"/>
      <c r="D22" s="48">
        <f t="shared" si="1"/>
        <v>0</v>
      </c>
      <c r="F22" s="77"/>
      <c r="G22" s="73"/>
      <c r="H22" s="177"/>
      <c r="I22" s="177"/>
      <c r="J22" s="17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0"/>
      <c r="B23" s="14" t="s">
        <v>107</v>
      </c>
      <c r="C23" s="10"/>
      <c r="D23" s="48">
        <f t="shared" si="1"/>
        <v>0</v>
      </c>
      <c r="F23" s="78"/>
      <c r="G23" s="79"/>
      <c r="H23" s="178"/>
      <c r="I23" s="147"/>
      <c r="J23" s="14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0"/>
      <c r="B24" s="14" t="s">
        <v>101</v>
      </c>
      <c r="C24" s="10"/>
      <c r="D24" s="48">
        <f t="shared" si="1"/>
        <v>0</v>
      </c>
      <c r="F24" s="38"/>
      <c r="G24" s="37"/>
      <c r="H24" s="178"/>
      <c r="I24" s="147"/>
      <c r="J24" s="14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0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0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1"/>
      <c r="B28" s="46" t="s">
        <v>97</v>
      </c>
      <c r="C28" s="10"/>
      <c r="D28" s="48">
        <f t="shared" si="1"/>
        <v>0</v>
      </c>
      <c r="F28" s="104"/>
      <c r="G28" s="61"/>
      <c r="H28" s="188"/>
      <c r="I28" s="189"/>
      <c r="J28" s="190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2" t="s">
        <v>36</v>
      </c>
      <c r="B29" s="163"/>
      <c r="C29" s="164"/>
      <c r="D29" s="168">
        <f>SUM(D6:D28)</f>
        <v>0</v>
      </c>
      <c r="F29" s="108" t="s">
        <v>55</v>
      </c>
      <c r="G29" s="170"/>
      <c r="H29" s="130">
        <f>H15-H16-H17-H18-H19-H20-H22-H23-H24+H26+H27</f>
        <v>0</v>
      </c>
      <c r="I29" s="131"/>
      <c r="J29" s="13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5"/>
      <c r="B30" s="166"/>
      <c r="C30" s="167"/>
      <c r="D30" s="169"/>
      <c r="F30" s="111"/>
      <c r="G30" s="171"/>
      <c r="H30" s="133"/>
      <c r="I30" s="134"/>
      <c r="J30" s="13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5" t="s">
        <v>58</v>
      </c>
      <c r="B32" s="156"/>
      <c r="C32" s="156"/>
      <c r="D32" s="157"/>
      <c r="F32" s="158" t="s">
        <v>59</v>
      </c>
      <c r="G32" s="159"/>
      <c r="H32" s="159"/>
      <c r="I32" s="159"/>
      <c r="J32" s="160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58" t="s">
        <v>13</v>
      </c>
      <c r="I33" s="159"/>
      <c r="J33" s="160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2">
        <f>F34*G34</f>
        <v>0</v>
      </c>
      <c r="I34" s="153"/>
      <c r="J34" s="15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0"/>
      <c r="B35" s="27" t="s">
        <v>68</v>
      </c>
      <c r="C35" s="52"/>
      <c r="D35" s="30">
        <f>C35*84</f>
        <v>0</v>
      </c>
      <c r="F35" s="58">
        <v>500</v>
      </c>
      <c r="G35" s="41"/>
      <c r="H35" s="152">
        <f>F35*G35</f>
        <v>0</v>
      </c>
      <c r="I35" s="153"/>
      <c r="J35" s="15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1"/>
      <c r="B36" s="26" t="s">
        <v>70</v>
      </c>
      <c r="C36" s="10"/>
      <c r="D36" s="12">
        <f>C36*1.5</f>
        <v>0</v>
      </c>
      <c r="F36" s="12">
        <v>200</v>
      </c>
      <c r="G36" s="37"/>
      <c r="H36" s="152">
        <f t="shared" ref="H36:H39" si="2">F36*G36</f>
        <v>0</v>
      </c>
      <c r="I36" s="153"/>
      <c r="J36" s="15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2">
        <f t="shared" si="2"/>
        <v>0</v>
      </c>
      <c r="I37" s="153"/>
      <c r="J37" s="15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0"/>
      <c r="B38" s="29" t="s">
        <v>68</v>
      </c>
      <c r="C38" s="54"/>
      <c r="D38" s="12">
        <f>C38*84</f>
        <v>0</v>
      </c>
      <c r="F38" s="30">
        <v>50</v>
      </c>
      <c r="G38" s="39"/>
      <c r="H38" s="152">
        <f t="shared" si="2"/>
        <v>0</v>
      </c>
      <c r="I38" s="153"/>
      <c r="J38" s="15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1"/>
      <c r="B39" s="29" t="s">
        <v>70</v>
      </c>
      <c r="C39" s="52"/>
      <c r="D39" s="31">
        <f>C39*4.5</f>
        <v>0</v>
      </c>
      <c r="F39" s="12">
        <v>20</v>
      </c>
      <c r="G39" s="37"/>
      <c r="H39" s="152">
        <f t="shared" si="2"/>
        <v>0</v>
      </c>
      <c r="I39" s="153"/>
      <c r="J39" s="15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2"/>
      <c r="I40" s="153"/>
      <c r="J40" s="15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0"/>
      <c r="B41" s="27" t="s">
        <v>68</v>
      </c>
      <c r="C41" s="10"/>
      <c r="D41" s="12">
        <f>C41*84</f>
        <v>0</v>
      </c>
      <c r="F41" s="12">
        <v>5</v>
      </c>
      <c r="G41" s="42"/>
      <c r="H41" s="152"/>
      <c r="I41" s="153"/>
      <c r="J41" s="15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1"/>
      <c r="B42" s="27" t="s">
        <v>70</v>
      </c>
      <c r="C42" s="11"/>
      <c r="D42" s="12">
        <f>C42*2.25</f>
        <v>0</v>
      </c>
      <c r="F42" s="39" t="s">
        <v>79</v>
      </c>
      <c r="G42" s="152"/>
      <c r="H42" s="153"/>
      <c r="I42" s="153"/>
      <c r="J42" s="15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2" t="s">
        <v>81</v>
      </c>
      <c r="C43" s="11"/>
      <c r="D43" s="12"/>
      <c r="F43" s="59" t="s">
        <v>82</v>
      </c>
      <c r="G43" s="107" t="s">
        <v>83</v>
      </c>
      <c r="H43" s="144" t="s">
        <v>13</v>
      </c>
      <c r="I43" s="145"/>
      <c r="J43" s="14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3"/>
      <c r="B44" s="27" t="s">
        <v>66</v>
      </c>
      <c r="C44" s="10"/>
      <c r="D44" s="12">
        <f>C44*120</f>
        <v>0</v>
      </c>
      <c r="F44" s="37"/>
      <c r="G44" s="76"/>
      <c r="H44" s="147"/>
      <c r="I44" s="147"/>
      <c r="J44" s="147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23"/>
      <c r="B45" s="27" t="s">
        <v>68</v>
      </c>
      <c r="C45" s="33"/>
      <c r="D45" s="12">
        <f>C45*84</f>
        <v>0</v>
      </c>
      <c r="F45" s="37"/>
      <c r="G45" s="76"/>
      <c r="H45" s="147"/>
      <c r="I45" s="147"/>
      <c r="J45" s="147"/>
      <c r="K45" s="21"/>
      <c r="P45" s="4"/>
      <c r="Q45" s="4"/>
      <c r="R45" s="5"/>
    </row>
    <row r="46" spans="1:18" ht="15.75" x14ac:dyDescent="0.25">
      <c r="A46" s="123"/>
      <c r="B46" s="49" t="s">
        <v>70</v>
      </c>
      <c r="C46" s="81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4"/>
      <c r="B47" s="27"/>
      <c r="C47" s="11"/>
      <c r="D47" s="12"/>
      <c r="F47" s="59"/>
      <c r="G47" s="59"/>
      <c r="H47" s="125"/>
      <c r="I47" s="126"/>
      <c r="J47" s="127"/>
      <c r="K47" s="21"/>
      <c r="P47" s="4"/>
      <c r="Q47" s="4"/>
      <c r="R47" s="5"/>
    </row>
    <row r="48" spans="1:18" ht="15" customHeight="1" x14ac:dyDescent="0.25">
      <c r="A48" s="122" t="s">
        <v>32</v>
      </c>
      <c r="B48" s="27" t="s">
        <v>66</v>
      </c>
      <c r="C48" s="10"/>
      <c r="D48" s="12">
        <f>C48*78</f>
        <v>0</v>
      </c>
      <c r="F48" s="59"/>
      <c r="G48" s="59"/>
      <c r="H48" s="125"/>
      <c r="I48" s="126"/>
      <c r="J48" s="1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3"/>
      <c r="B49" s="29" t="s">
        <v>68</v>
      </c>
      <c r="C49" s="33"/>
      <c r="D49" s="12">
        <f>C49*42</f>
        <v>0</v>
      </c>
      <c r="F49" s="128" t="s">
        <v>86</v>
      </c>
      <c r="G49" s="130">
        <f>H34+H35+H36+H37+H38+H39+H40+H41+G42+H44+H45+H46</f>
        <v>0</v>
      </c>
      <c r="H49" s="131"/>
      <c r="I49" s="131"/>
      <c r="J49" s="13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3"/>
      <c r="B50" s="32" t="s">
        <v>70</v>
      </c>
      <c r="C50" s="11"/>
      <c r="D50" s="12">
        <f>C50*1.5</f>
        <v>0</v>
      </c>
      <c r="F50" s="129"/>
      <c r="G50" s="133"/>
      <c r="H50" s="134"/>
      <c r="I50" s="134"/>
      <c r="J50" s="135"/>
      <c r="O50" t="s">
        <v>144</v>
      </c>
      <c r="P50" s="4">
        <v>1204</v>
      </c>
      <c r="Q50" s="4"/>
      <c r="R50" s="5"/>
    </row>
    <row r="51" spans="1:18" ht="15" customHeight="1" x14ac:dyDescent="0.25">
      <c r="A51" s="123"/>
      <c r="B51" s="27"/>
      <c r="C51" s="10"/>
      <c r="D51" s="31"/>
      <c r="F51" s="136" t="s">
        <v>139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3"/>
      <c r="B52" s="29"/>
      <c r="C52" s="33"/>
      <c r="D52" s="45"/>
      <c r="F52" s="137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8" t="s">
        <v>90</v>
      </c>
      <c r="B54" s="109"/>
      <c r="C54" s="110"/>
      <c r="D54" s="11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1"/>
      <c r="B55" s="112"/>
      <c r="C55" s="113"/>
      <c r="D55" s="11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6" t="s">
        <v>91</v>
      </c>
      <c r="B58" s="117"/>
      <c r="C58" s="117"/>
      <c r="D58" s="118"/>
      <c r="F58" s="116" t="s">
        <v>92</v>
      </c>
      <c r="G58" s="117"/>
      <c r="H58" s="117"/>
      <c r="I58" s="117"/>
      <c r="J58" s="118"/>
    </row>
    <row r="59" spans="1:18" x14ac:dyDescent="0.25">
      <c r="A59" s="119"/>
      <c r="B59" s="120"/>
      <c r="C59" s="120"/>
      <c r="D59" s="121"/>
      <c r="F59" s="119"/>
      <c r="G59" s="120"/>
      <c r="H59" s="120"/>
      <c r="I59" s="120"/>
      <c r="J59" s="12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46</vt:i4>
      </vt:variant>
      <vt:variant>
        <vt:lpstr>Named Ranges</vt:lpstr>
      </vt:variant>
      <vt:variant>
        <vt:i4>45</vt:i4>
      </vt:variant>
    </vt:vector>
  </HeadingPairs>
  <TitlesOfParts>
    <vt:vector size="91" baseType="lpstr">
      <vt:lpstr>(January 2025)</vt:lpstr>
      <vt:lpstr>(01)</vt:lpstr>
      <vt:lpstr>01,01 R1</vt:lpstr>
      <vt:lpstr>01,01 R2</vt:lpstr>
      <vt:lpstr>01,01 R3</vt:lpstr>
      <vt:lpstr>(2)</vt:lpstr>
      <vt:lpstr>01,02 R1 NO TRIP</vt:lpstr>
      <vt:lpstr>01,02 R2 NO TRIP</vt:lpstr>
      <vt:lpstr>01,02 R3</vt:lpstr>
      <vt:lpstr>(3)</vt:lpstr>
      <vt:lpstr>01,03 R1</vt:lpstr>
      <vt:lpstr>01,03 R2 NO TRIP</vt:lpstr>
      <vt:lpstr>01,03 R3</vt:lpstr>
      <vt:lpstr>(5)</vt:lpstr>
      <vt:lpstr>01,05 R1</vt:lpstr>
      <vt:lpstr>01,05 R2</vt:lpstr>
      <vt:lpstr>01,05 R3</vt:lpstr>
      <vt:lpstr>(6)</vt:lpstr>
      <vt:lpstr>01,06 R1</vt:lpstr>
      <vt:lpstr>01,06 R2</vt:lpstr>
      <vt:lpstr>01,06 R3</vt:lpstr>
      <vt:lpstr>(7)</vt:lpstr>
      <vt:lpstr>01,07 R1</vt:lpstr>
      <vt:lpstr>01,07 R2</vt:lpstr>
      <vt:lpstr>01,07 R2B</vt:lpstr>
      <vt:lpstr>01,07 R3</vt:lpstr>
      <vt:lpstr>(8)</vt:lpstr>
      <vt:lpstr>01,08 R1</vt:lpstr>
      <vt:lpstr>01,08 R2</vt:lpstr>
      <vt:lpstr>01,08 R3</vt:lpstr>
      <vt:lpstr>(9)</vt:lpstr>
      <vt:lpstr>01,09 R1</vt:lpstr>
      <vt:lpstr>01,09 R2</vt:lpstr>
      <vt:lpstr>01,09 R3</vt:lpstr>
      <vt:lpstr>(10)</vt:lpstr>
      <vt:lpstr>01,10 R1</vt:lpstr>
      <vt:lpstr>01,10 R2</vt:lpstr>
      <vt:lpstr>01,10 R3</vt:lpstr>
      <vt:lpstr>(12)</vt:lpstr>
      <vt:lpstr>01,12 R1</vt:lpstr>
      <vt:lpstr>01,12 R2</vt:lpstr>
      <vt:lpstr>01,12 R3</vt:lpstr>
      <vt:lpstr>(13)</vt:lpstr>
      <vt:lpstr>01,12 R1 (2)</vt:lpstr>
      <vt:lpstr>01,12 R2 (2)</vt:lpstr>
      <vt:lpstr>01,12 R3 (2)</vt:lpstr>
      <vt:lpstr>'(01)'!Print_Area</vt:lpstr>
      <vt:lpstr>'(10)'!Print_Area</vt:lpstr>
      <vt:lpstr>'(12)'!Print_Area</vt:lpstr>
      <vt:lpstr>'(13)'!Print_Area</vt:lpstr>
      <vt:lpstr>'(2)'!Print_Area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'01,01 R1'!Print_Area</vt:lpstr>
      <vt:lpstr>'01,01 R2'!Print_Area</vt:lpstr>
      <vt:lpstr>'01,01 R3'!Print_Area</vt:lpstr>
      <vt:lpstr>'01,02 R1 NO TRIP'!Print_Area</vt:lpstr>
      <vt:lpstr>'01,02 R2 NO TRIP'!Print_Area</vt:lpstr>
      <vt:lpstr>'01,02 R3'!Print_Area</vt:lpstr>
      <vt:lpstr>'01,03 R1'!Print_Area</vt:lpstr>
      <vt:lpstr>'01,03 R2 NO TRIP'!Print_Area</vt:lpstr>
      <vt:lpstr>'01,03 R3'!Print_Area</vt:lpstr>
      <vt:lpstr>'01,05 R1'!Print_Area</vt:lpstr>
      <vt:lpstr>'01,05 R2'!Print_Area</vt:lpstr>
      <vt:lpstr>'01,05 R3'!Print_Area</vt:lpstr>
      <vt:lpstr>'01,06 R1'!Print_Area</vt:lpstr>
      <vt:lpstr>'01,06 R2'!Print_Area</vt:lpstr>
      <vt:lpstr>'01,06 R3'!Print_Area</vt:lpstr>
      <vt:lpstr>'01,07 R1'!Print_Area</vt:lpstr>
      <vt:lpstr>'01,07 R2'!Print_Area</vt:lpstr>
      <vt:lpstr>'01,07 R2B'!Print_Area</vt:lpstr>
      <vt:lpstr>'01,07 R3'!Print_Area</vt:lpstr>
      <vt:lpstr>'01,08 R1'!Print_Area</vt:lpstr>
      <vt:lpstr>'01,08 R2'!Print_Area</vt:lpstr>
      <vt:lpstr>'01,08 R3'!Print_Area</vt:lpstr>
      <vt:lpstr>'01,09 R1'!Print_Area</vt:lpstr>
      <vt:lpstr>'01,09 R2'!Print_Area</vt:lpstr>
      <vt:lpstr>'01,09 R3'!Print_Area</vt:lpstr>
      <vt:lpstr>'01,10 R1'!Print_Area</vt:lpstr>
      <vt:lpstr>'01,10 R2'!Print_Area</vt:lpstr>
      <vt:lpstr>'01,10 R3'!Print_Area</vt:lpstr>
      <vt:lpstr>'01,12 R1'!Print_Area</vt:lpstr>
      <vt:lpstr>'01,12 R1 (2)'!Print_Area</vt:lpstr>
      <vt:lpstr>'01,12 R2'!Print_Area</vt:lpstr>
      <vt:lpstr>'01,12 R2 (2)'!Print_Area</vt:lpstr>
      <vt:lpstr>'01,12 R3'!Print_Area</vt:lpstr>
      <vt:lpstr>'01,12 R3 (2)'!Print_Area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2026-01-13T01:00:05Z</cp:lastPrinted>
  <dcterms:created xsi:type="dcterms:W3CDTF">2024-09-01T23:36:50Z</dcterms:created>
  <dcterms:modified xsi:type="dcterms:W3CDTF">2026-01-13T01:00:13Z</dcterms:modified>
</cp:coreProperties>
</file>