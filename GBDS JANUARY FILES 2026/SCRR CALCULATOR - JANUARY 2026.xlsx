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13671A1-0E3A-4188-A621-FC526BDC70D5}" xr6:coauthVersionLast="45" xr6:coauthVersionMax="47" xr10:uidLastSave="{00000000-0000-0000-0000-000000000000}"/>
  <bookViews>
    <workbookView xWindow="-120" yWindow="-120" windowWidth="29040" windowHeight="15840" firstSheet="13" activeTab="14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G49" i="1664" s="1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D54" i="1664" s="1"/>
  <c r="H14" i="1664" s="1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G49" i="1663" s="1"/>
  <c r="G51" i="1663" s="1"/>
  <c r="D34" i="1663"/>
  <c r="D54" i="1663" s="1"/>
  <c r="H14" i="1663" s="1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D29" i="1663" s="1"/>
  <c r="H13" i="1663" s="1"/>
  <c r="H15" i="1663" s="1"/>
  <c r="H29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G49" i="1662" s="1"/>
  <c r="D34" i="1662"/>
  <c r="D54" i="1662" s="1"/>
  <c r="H14" i="1662" s="1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L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G49" i="1660" s="1"/>
  <c r="D34" i="1660"/>
  <c r="D54" i="1660" s="1"/>
  <c r="H14" i="1660" s="1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29" i="1659" s="1"/>
  <c r="H13" i="1659" s="1"/>
  <c r="H15" i="1659" s="1"/>
  <c r="H29" i="1659" s="1"/>
  <c r="D42" i="1659"/>
  <c r="R41" i="1659"/>
  <c r="D41" i="1659"/>
  <c r="R40" i="1659"/>
  <c r="D40" i="1659"/>
  <c r="R39" i="1659"/>
  <c r="H39" i="1659"/>
  <c r="D39" i="1659"/>
  <c r="R38" i="1659"/>
  <c r="L9" i="1659" s="1"/>
  <c r="D9" i="1659" s="1"/>
  <c r="H38" i="1659"/>
  <c r="D38" i="1659"/>
  <c r="R37" i="1659"/>
  <c r="H37" i="1659"/>
  <c r="D37" i="1659"/>
  <c r="R36" i="1659"/>
  <c r="H36" i="1659"/>
  <c r="G49" i="1659" s="1"/>
  <c r="D36" i="1659"/>
  <c r="R35" i="1659"/>
  <c r="H35" i="1659"/>
  <c r="D35" i="1659"/>
  <c r="R34" i="1659"/>
  <c r="H34" i="1659"/>
  <c r="D34" i="1659"/>
  <c r="D54" i="1659" s="1"/>
  <c r="H14" i="1659" s="1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L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G49" i="1658" s="1"/>
  <c r="D34" i="1658"/>
  <c r="D54" i="1658" s="1"/>
  <c r="H14" i="1658" s="1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L25" i="1658"/>
  <c r="D25" i="1658" s="1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56" l="1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H15" i="1664" s="1"/>
  <c r="H29" i="1664" s="1"/>
  <c r="G51" i="1664" s="1"/>
  <c r="D29" i="1662"/>
  <c r="H13" i="1662" s="1"/>
  <c r="H15" i="1662" s="1"/>
  <c r="H29" i="1662" s="1"/>
  <c r="G51" i="1662"/>
  <c r="D29" i="1661"/>
  <c r="H13" i="1661" s="1"/>
  <c r="H15" i="1661" s="1"/>
  <c r="H29" i="1661" s="1"/>
  <c r="G51" i="1661" s="1"/>
  <c r="D29" i="1660"/>
  <c r="H13" i="1660" s="1"/>
  <c r="H15" i="1660" s="1"/>
  <c r="H29" i="1660" s="1"/>
  <c r="G51" i="1660" s="1"/>
  <c r="G51" i="1659"/>
  <c r="D29" i="1658"/>
  <c r="H13" i="1658" s="1"/>
  <c r="H15" i="1658" s="1"/>
  <c r="H29" i="1658" s="1"/>
  <c r="G51" i="1658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56" l="1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<sst xmlns="http://schemas.openxmlformats.org/spreadsheetml/2006/main" count="5382" uniqueCount="165">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</sst>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5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45658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85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5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45658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5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6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45658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5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46024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46024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46024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480</v>
      </c>
      <c r="D6" s="13">
        <f t="shared" ref="D6:D28" si="1">C6*L6</f>
        <v>365280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75</v>
      </c>
      <c r="D9" s="13">
        <f t="shared" si="1"/>
        <v>54975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6</v>
      </c>
      <c r="D12" s="48">
        <f t="shared" si="1"/>
        <v>5952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4</v>
      </c>
      <c r="D13" s="48">
        <f t="shared" si="1"/>
        <v>1228</v>
      </c>
      <c r="F13" s="135" t="s">
        <v>36</v>
      </c>
      <c r="G13" s="136"/>
      <c r="H13" s="137">
        <f>D29</f>
        <v>443015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18</v>
      </c>
      <c r="D14" s="31">
        <f t="shared" si="1"/>
        <v>198</v>
      </c>
      <c r="F14" s="140" t="s">
        <v>39</v>
      </c>
      <c r="G14" s="141"/>
      <c r="H14" s="142">
        <f>D54</f>
        <v>77991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365024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1758+600+612</f>
        <v>2970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>
        <v>8</v>
      </c>
      <c r="D22" s="48">
        <f t="shared" si="1"/>
        <v>5360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443015</v>
      </c>
      <c r="F29" s="158" t="s">
        <v>55</v>
      </c>
      <c r="G29" s="159"/>
      <c r="H29" s="162">
        <f>H15-H16-H17-H18-H19-H20-H22-H23-H24+H26+H27</f>
        <v>362054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90">
        <f>F34*G34</f>
        <v>78000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90">
        <f>F35*G35</f>
        <v>43500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90">
        <f t="shared" si="2"/>
        <v>1000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90">
        <v>47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4">
        <v>54216</v>
      </c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4">
        <v>188602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</v>
      </c>
      <c r="D46" s="12">
        <f>C46*1.5</f>
        <v>9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</v>
      </c>
      <c r="D49" s="12">
        <f>C49*42</f>
        <v>84</v>
      </c>
      <c r="F49" s="215" t="s">
        <v>86</v>
      </c>
      <c r="G49" s="162">
        <f>H34+H35+H36+H37+H38+H39+H40+H41+G42+H44+H45+H46</f>
        <v>365435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24</v>
      </c>
      <c r="D50" s="12">
        <f>C50*1.5</f>
        <v>36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149</v>
      </c>
      <c r="G51" s="219">
        <f>G49-H29</f>
        <v>3381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L38" sqref="L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237">
        <v>45660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728</v>
      </c>
      <c r="D6" s="13">
        <f t="shared" ref="D6:D28" si="1">C6*L6</f>
        <v>554008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>
        <v>60</v>
      </c>
      <c r="D8" s="13">
        <f t="shared" si="1"/>
        <v>65580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v>9</v>
      </c>
      <c r="D9" s="13">
        <f t="shared" si="1"/>
        <v>6597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>
        <v>5</v>
      </c>
      <c r="D10" s="13">
        <f t="shared" si="1"/>
        <v>5160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>
        <v>16</v>
      </c>
      <c r="D11" s="13">
        <f t="shared" si="1"/>
        <v>18720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>
        <f>23+3</f>
        <v>26</v>
      </c>
      <c r="D12" s="48">
        <f t="shared" si="1"/>
        <v>25792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>
        <v>21</v>
      </c>
      <c r="D13" s="48">
        <f t="shared" si="1"/>
        <v>6447</v>
      </c>
      <c r="F13" s="135" t="s">
        <v>36</v>
      </c>
      <c r="G13" s="136"/>
      <c r="H13" s="137">
        <f>D29</f>
        <v>685162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>
        <v>17</v>
      </c>
      <c r="D14" s="31">
        <f t="shared" si="1"/>
        <v>187</v>
      </c>
      <c r="F14" s="140" t="s">
        <v>39</v>
      </c>
      <c r="G14" s="141"/>
      <c r="H14" s="142">
        <f>D54</f>
        <v>145168.5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>
        <v>1</v>
      </c>
      <c r="D15" s="31">
        <f t="shared" si="1"/>
        <v>620</v>
      </c>
      <c r="F15" s="145" t="s">
        <v>40</v>
      </c>
      <c r="G15" s="136"/>
      <c r="H15" s="146">
        <f>H13-H14</f>
        <v>539993.5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2772</f>
        <v>2772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>
        <v>1</v>
      </c>
      <c r="D28" s="48">
        <f t="shared" si="1"/>
        <v>811</v>
      </c>
      <c r="F28" s="93"/>
      <c r="G28" s="61"/>
      <c r="H28" s="184"/>
      <c r="I28" s="185"/>
      <c r="J28" s="18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685162</v>
      </c>
      <c r="F29" s="158" t="s">
        <v>55</v>
      </c>
      <c r="G29" s="159"/>
      <c r="H29" s="162">
        <f>H15-H16-H17-H18-H19-H20-H22-H23-H24+H26+H27+H28</f>
        <v>537221.5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90">
        <f t="shared" ref="H34:H39" si="2">F34*G34</f>
        <v>229000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0">
        <f t="shared" si="2"/>
        <v>48500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90">
        <f t="shared" si="2"/>
        <v>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4">
        <v>258954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536674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25</v>
      </c>
      <c r="D50" s="12">
        <f>C50*1.5</f>
        <v>37.5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-547.5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480</v>
      </c>
      <c r="D6" s="13">
        <f t="shared" ref="D6:D28" si="1">C6*L6</f>
        <v>365280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2</v>
      </c>
      <c r="D8" s="13">
        <f t="shared" si="1"/>
        <v>2186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37</v>
      </c>
      <c r="D9" s="13">
        <f t="shared" si="1"/>
        <v>27121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3</v>
      </c>
      <c r="D10" s="13">
        <f t="shared" si="1"/>
        <v>3096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419083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68183.25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f>1</f>
        <v>1</v>
      </c>
      <c r="D15" s="31">
        <f t="shared" si="1"/>
        <v>620</v>
      </c>
      <c r="F15" s="145" t="s">
        <v>40</v>
      </c>
      <c r="G15" s="136"/>
      <c r="H15" s="146">
        <f>H13-H14</f>
        <v>350899.75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216*6+140*6</f>
        <v>2136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2">
        <v>1440</v>
      </c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95" t="s">
        <v>150</v>
      </c>
      <c r="C23" s="10">
        <v>1</v>
      </c>
      <c r="D23" s="48">
        <f t="shared" si="1"/>
        <v>1175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419083</v>
      </c>
      <c r="F29" s="158" t="s">
        <v>55</v>
      </c>
      <c r="G29" s="159"/>
      <c r="H29" s="162">
        <f>H15-H16-H17-H18-H19-H20-H22-H23-H24+H26+H27</f>
        <v>347323.75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0">
        <f>F34*G34</f>
        <v>133000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0">
        <f>F35*G35</f>
        <v>29000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24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4">
        <v>139104</v>
      </c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4">
        <v>45689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19</v>
      </c>
      <c r="D46" s="12">
        <f>C46*1.5</f>
        <v>28.5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346817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7</v>
      </c>
      <c r="D50" s="12">
        <f>C50*1.5</f>
        <v>10.5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-506.75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463</v>
      </c>
      <c r="D6" s="13">
        <f t="shared" ref="D6:D28" si="1">C6*L6</f>
        <v>352343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>
        <v>7</v>
      </c>
      <c r="D7" s="13">
        <f t="shared" si="1"/>
        <v>5467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>
        <v>2</v>
      </c>
      <c r="D8" s="13">
        <f t="shared" si="1"/>
        <v>2186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f>120-5</f>
        <v>115</v>
      </c>
      <c r="D9" s="13">
        <f t="shared" si="1"/>
        <v>84295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>
        <v>2</v>
      </c>
      <c r="D10" s="13">
        <f t="shared" si="1"/>
        <v>2064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>
        <v>24</v>
      </c>
      <c r="D13" s="48">
        <f t="shared" si="1"/>
        <v>7368</v>
      </c>
      <c r="F13" s="135" t="s">
        <v>36</v>
      </c>
      <c r="G13" s="136"/>
      <c r="H13" s="137">
        <f>D29</f>
        <v>463474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>
        <v>12</v>
      </c>
      <c r="D14" s="31">
        <f t="shared" si="1"/>
        <v>132</v>
      </c>
      <c r="F14" s="140" t="s">
        <v>39</v>
      </c>
      <c r="G14" s="141"/>
      <c r="H14" s="142">
        <f>D54</f>
        <v>115968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347506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2592</f>
        <v>2592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2">
        <v>92560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4">
        <v>84449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>
        <v>5</v>
      </c>
      <c r="D28" s="48">
        <f t="shared" si="1"/>
        <v>4055</v>
      </c>
      <c r="F28" s="93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463474</v>
      </c>
      <c r="F29" s="158" t="s">
        <v>55</v>
      </c>
      <c r="G29" s="159"/>
      <c r="H29" s="162">
        <f>H15-H16-H17-H18-H19-H20-H22-H23-H24+H26+H27+H28</f>
        <v>336803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90">
        <f t="shared" ref="H34:H39" si="2">F34*G34</f>
        <v>19000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0">
        <f t="shared" si="2"/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90">
        <f t="shared" si="2"/>
        <v>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4">
        <v>188388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4</v>
      </c>
      <c r="D45" s="12">
        <f>C45*84</f>
        <v>336</v>
      </c>
      <c r="F45" s="37" t="s">
        <v>156</v>
      </c>
      <c r="G45" s="241" t="s">
        <v>158</v>
      </c>
      <c r="H45" s="174">
        <v>84449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21</v>
      </c>
      <c r="D46" s="12">
        <f>C46*1.5</f>
        <v>31.5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292745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22</v>
      </c>
      <c r="D50" s="12">
        <f>C50*1.5</f>
        <v>33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-44058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501</v>
      </c>
      <c r="D6" s="13">
        <f t="shared" ref="D6:D28" si="1">C6*L6</f>
        <v>381261</v>
      </c>
      <c r="F6" s="113" t="s">
        <v>16</v>
      </c>
      <c r="G6" s="115" t="s">
        <v>155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8</v>
      </c>
      <c r="D9" s="13">
        <f t="shared" si="1"/>
        <v>5864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18</v>
      </c>
      <c r="D13" s="48">
        <f t="shared" si="1"/>
        <v>5526</v>
      </c>
      <c r="F13" s="135" t="s">
        <v>36</v>
      </c>
      <c r="G13" s="136"/>
      <c r="H13" s="137">
        <f>D29</f>
        <v>392761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10</v>
      </c>
      <c r="D14" s="31">
        <f t="shared" si="1"/>
        <v>110</v>
      </c>
      <c r="F14" s="140" t="s">
        <v>39</v>
      </c>
      <c r="G14" s="141"/>
      <c r="H14" s="142">
        <f>D54</f>
        <v>57342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335419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1296+1284</f>
        <v>2580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392761</v>
      </c>
      <c r="F29" s="158" t="s">
        <v>55</v>
      </c>
      <c r="G29" s="159"/>
      <c r="H29" s="162">
        <f>H15-H16-H17-H18-H19-H20-H22-H23-H24+H26+H27</f>
        <v>332839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90">
        <f>F34*G34</f>
        <v>186000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0">
        <f t="shared" ref="H35:H39" si="2">F35*G35</f>
        <v>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90">
        <f t="shared" si="2"/>
        <v>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32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4">
        <v>139756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6</v>
      </c>
      <c r="D49" s="12">
        <f>C49*42</f>
        <v>252</v>
      </c>
      <c r="F49" s="215" t="s">
        <v>86</v>
      </c>
      <c r="G49" s="162">
        <f>H34+H35+H36+H37+H38+H39+H40+H41+G42+H44+H45+H46</f>
        <v>332638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30</v>
      </c>
      <c r="D50" s="12">
        <f>C50*1.5</f>
        <v>45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161</v>
      </c>
      <c r="G51" s="229">
        <f>G49-H29</f>
        <v>-201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735</v>
      </c>
      <c r="D6" s="13">
        <f t="shared" ref="D6:D28" si="1">C6*L6</f>
        <v>559335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</v>
      </c>
      <c r="D7" s="13">
        <f t="shared" si="1"/>
        <v>3124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114</v>
      </c>
      <c r="D9" s="13">
        <f t="shared" si="1"/>
        <v>83562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3</v>
      </c>
      <c r="D10" s="13">
        <f t="shared" si="1"/>
        <v>3096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5+1</f>
        <v>6</v>
      </c>
      <c r="D12" s="48">
        <f t="shared" si="1"/>
        <v>5952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22</v>
      </c>
      <c r="D13" s="48">
        <f t="shared" si="1"/>
        <v>6754</v>
      </c>
      <c r="F13" s="135" t="s">
        <v>36</v>
      </c>
      <c r="G13" s="136"/>
      <c r="H13" s="137">
        <f>D29</f>
        <v>667630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39</v>
      </c>
      <c r="G14" s="141"/>
      <c r="H14" s="142">
        <f>D54</f>
        <v>100451.25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567178.75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600+1050+456</f>
        <v>2106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2</v>
      </c>
      <c r="D28" s="48">
        <f t="shared" si="1"/>
        <v>1622</v>
      </c>
      <c r="F28" s="93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667630</v>
      </c>
      <c r="F29" s="158" t="s">
        <v>55</v>
      </c>
      <c r="G29" s="159"/>
      <c r="H29" s="162">
        <f>H15-H16-H17-H18-H19-H20-H22-H23-H24+H26+H27</f>
        <v>565022.75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90">
        <f>F34*G34</f>
        <v>242000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90">
        <f>F35*G35</f>
        <v>67500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90">
        <f t="shared" si="2"/>
        <v>1000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0">
        <v>58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4">
        <v>112763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3</v>
      </c>
      <c r="D45" s="12">
        <f>C45*84</f>
        <v>252</v>
      </c>
      <c r="F45" s="242" t="s">
        <v>162</v>
      </c>
      <c r="G45" s="76" t="s">
        <v>164</v>
      </c>
      <c r="H45" s="174">
        <v>142785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4</v>
      </c>
      <c r="D46" s="12">
        <f>C46*1.5</f>
        <v>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12</v>
      </c>
      <c r="D49" s="12">
        <f>C49*42</f>
        <v>504</v>
      </c>
      <c r="F49" s="215" t="s">
        <v>86</v>
      </c>
      <c r="G49" s="162">
        <f>H34+H35+H36+H37+H38+H39+H40+H41+G42+H44+H45+H46</f>
        <v>566156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15</v>
      </c>
      <c r="D50" s="12">
        <f>C50*1.5</f>
        <v>22.5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149</v>
      </c>
      <c r="G51" s="219">
        <f>G49-H29</f>
        <v>1133.25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45669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129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112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130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137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121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136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45669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140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115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1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142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45669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144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2026-01-06T01:19:06Z</cp:lastPrinted>
  <dcterms:created xsi:type="dcterms:W3CDTF">2024-09-01T23:36:50Z</dcterms:created>
  <dcterms:modified xsi:type="dcterms:W3CDTF">2026-01-06T01:19:12Z</dcterms:modified>
</cp:coreProperties>
</file>