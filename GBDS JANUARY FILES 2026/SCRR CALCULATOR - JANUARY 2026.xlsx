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9C006ED-CD36-4BD5-96A9-856E6B54CD4A}" xr6:coauthVersionLast="45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3" sheetId="1664" r:id="rId25"/>
    <sheet name="(8)" sheetId="1665" r:id="rId26"/>
    <sheet name="01,08 R1" sheetId="1666" r:id="rId27"/>
    <sheet name="01,08 R2" sheetId="1667" r:id="rId28"/>
    <sheet name="01,08 R3" sheetId="1668" r:id="rId29"/>
    <sheet name="(9)" sheetId="1669" r:id="rId30"/>
    <sheet name="01,09 R1" sheetId="1670" r:id="rId31"/>
    <sheet name="01,09 R2" sheetId="1671" r:id="rId32"/>
    <sheet name="01,09 R3" sheetId="1672" r:id="rId33"/>
    <sheet name="(10)" sheetId="1673" r:id="rId34"/>
    <sheet name="01,10 R1" sheetId="1674" r:id="rId35"/>
    <sheet name="01,10 R2" sheetId="1675" r:id="rId36"/>
    <sheet name="01,10 R3" sheetId="1676" r:id="rId37"/>
    <sheet name="(12)" sheetId="1677" r:id="rId38"/>
    <sheet name="01,12 R1" sheetId="1678" r:id="rId39"/>
    <sheet name="01,12 R2" sheetId="1679" r:id="rId40"/>
    <sheet name="01,12 R3" sheetId="1680" r:id="rId41"/>
  </sheets>
  <definedNames>
    <definedName name="_xlnm.Print_Area" localSheetId="1">'(01)'!$A$1:$J$60</definedName>
    <definedName name="_xlnm.Print_Area" localSheetId="33">'(10)'!$A$1:$J$60</definedName>
    <definedName name="_xlnm.Print_Area" localSheetId="37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R3'!$A$1:$J$60</definedName>
    <definedName name="_xlnm.Print_Area" localSheetId="26">'01,08 R1'!$A$1:$J$60</definedName>
    <definedName name="_xlnm.Print_Area" localSheetId="27">'01,08 R2'!$A$1:$J$60</definedName>
    <definedName name="_xlnm.Print_Area" localSheetId="28">'01,08 R3'!$A$1:$J$60</definedName>
    <definedName name="_xlnm.Print_Area" localSheetId="30">'01,09 R1'!$A$1:$J$60</definedName>
    <definedName name="_xlnm.Print_Area" localSheetId="31">'01,09 R2'!$A$1:$J$60</definedName>
    <definedName name="_xlnm.Print_Area" localSheetId="32">'01,09 R3'!$A$1:$J$60</definedName>
    <definedName name="_xlnm.Print_Area" localSheetId="34">'01,10 R1'!$A$1:$J$60</definedName>
    <definedName name="_xlnm.Print_Area" localSheetId="35">'01,10 R2'!$A$1:$J$60</definedName>
    <definedName name="_xlnm.Print_Area" localSheetId="36">'01,10 R3'!$A$1:$J$60</definedName>
    <definedName name="_xlnm.Print_Area" localSheetId="38">'01,12 R1'!$A$1:$J$60</definedName>
    <definedName name="_xlnm.Print_Area" localSheetId="39">'01,12 R2'!$A$1:$J$60</definedName>
    <definedName name="_xlnm.Print_Area" localSheetId="40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L25" i="1675"/>
  <c r="D25" i="1675" s="1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D54" i="1672" s="1"/>
  <c r="H14" i="1672" s="1"/>
  <c r="R35" i="1672"/>
  <c r="L19" i="1672" s="1"/>
  <c r="D19" i="1672" s="1"/>
  <c r="H35" i="1672"/>
  <c r="D35" i="1672"/>
  <c r="R34" i="1672"/>
  <c r="H34" i="1672"/>
  <c r="G49" i="1672" s="1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D54" i="1671" s="1"/>
  <c r="H14" i="1671" s="1"/>
  <c r="R35" i="1671"/>
  <c r="L19" i="1671" s="1"/>
  <c r="D19" i="1671" s="1"/>
  <c r="H35" i="1671"/>
  <c r="D35" i="1671"/>
  <c r="R34" i="1671"/>
  <c r="H34" i="1671"/>
  <c r="G49" i="1671" s="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L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D29" i="1671" s="1"/>
  <c r="H13" i="1671" s="1"/>
  <c r="H15" i="1671" s="1"/>
  <c r="H29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G49" i="1670" s="1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G49" i="1668" s="1"/>
  <c r="D36" i="1668"/>
  <c r="R35" i="1668"/>
  <c r="H35" i="1668"/>
  <c r="D35" i="1668"/>
  <c r="R34" i="1668"/>
  <c r="H34" i="1668"/>
  <c r="D34" i="1668"/>
  <c r="D54" i="1668" s="1"/>
  <c r="H14" i="1668" s="1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G49" i="1667" s="1"/>
  <c r="D34" i="1667"/>
  <c r="D54" i="1667" s="1"/>
  <c r="H14" i="1667" s="1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G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D54" i="1666" s="1"/>
  <c r="H14" i="1666" s="1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G49" i="1664" s="1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D54" i="1664" s="1"/>
  <c r="H14" i="1664" s="1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G49" i="1663" s="1"/>
  <c r="G51" i="1663" s="1"/>
  <c r="D34" i="1663"/>
  <c r="D54" i="1663" s="1"/>
  <c r="H14" i="1663" s="1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D29" i="1663" s="1"/>
  <c r="H13" i="1663" s="1"/>
  <c r="H15" i="1663" s="1"/>
  <c r="H29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G49" i="1662" s="1"/>
  <c r="D34" i="1662"/>
  <c r="D54" i="1662" s="1"/>
  <c r="H14" i="1662" s="1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L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G49" i="1660" s="1"/>
  <c r="D34" i="1660"/>
  <c r="D54" i="1660" s="1"/>
  <c r="H14" i="1660" s="1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29" i="1659" s="1"/>
  <c r="H13" i="1659" s="1"/>
  <c r="H15" i="1659" s="1"/>
  <c r="H29" i="1659" s="1"/>
  <c r="D42" i="1659"/>
  <c r="R41" i="1659"/>
  <c r="D41" i="1659"/>
  <c r="R40" i="1659"/>
  <c r="D40" i="1659"/>
  <c r="R39" i="1659"/>
  <c r="H39" i="1659"/>
  <c r="D39" i="1659"/>
  <c r="R38" i="1659"/>
  <c r="L9" i="1659" s="1"/>
  <c r="D9" i="1659" s="1"/>
  <c r="H38" i="1659"/>
  <c r="D38" i="1659"/>
  <c r="R37" i="1659"/>
  <c r="H37" i="1659"/>
  <c r="D37" i="1659"/>
  <c r="R36" i="1659"/>
  <c r="H36" i="1659"/>
  <c r="G49" i="1659" s="1"/>
  <c r="D36" i="1659"/>
  <c r="R35" i="1659"/>
  <c r="H35" i="1659"/>
  <c r="D35" i="1659"/>
  <c r="R34" i="1659"/>
  <c r="H34" i="1659"/>
  <c r="D34" i="1659"/>
  <c r="D54" i="1659" s="1"/>
  <c r="H14" i="1659" s="1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L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G49" i="1658" s="1"/>
  <c r="D34" i="1658"/>
  <c r="D54" i="1658" s="1"/>
  <c r="H14" i="1658" s="1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L25" i="1658"/>
  <c r="D25" i="1658" s="1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G49" i="1656" s="1"/>
  <c r="D35" i="1656"/>
  <c r="R34" i="1656"/>
  <c r="H34" i="1656"/>
  <c r="D34" i="1656"/>
  <c r="D54" i="1656" s="1"/>
  <c r="H14" i="1656" s="1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D29" i="1656" s="1"/>
  <c r="H13" i="1656" s="1"/>
  <c r="H15" i="1656" s="1"/>
  <c r="H29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G49" i="1655" s="1"/>
  <c r="D34" i="1655"/>
  <c r="D54" i="1655" s="1"/>
  <c r="H14" i="1655" s="1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G49" i="1654" s="1"/>
  <c r="D34" i="1654"/>
  <c r="D54" i="1654" s="1"/>
  <c r="H14" i="1654" s="1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D54" i="1652" s="1"/>
  <c r="H14" i="1652" s="1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29" i="1650" s="1"/>
  <c r="H13" i="1650" s="1"/>
  <c r="D42" i="1650"/>
  <c r="R41" i="1650"/>
  <c r="L7" i="1650" s="1"/>
  <c r="D7" i="1650" s="1"/>
  <c r="D41" i="1650"/>
  <c r="D54" i="1650" s="1"/>
  <c r="H14" i="1650" s="1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48" l="1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/>
  <c r="G51" i="1674"/>
  <c r="G51" i="1673"/>
  <c r="D29" i="1672"/>
  <c r="H13" i="1672" s="1"/>
  <c r="H15" i="1672" s="1"/>
  <c r="H29" i="1672" s="1"/>
  <c r="G51" i="1672" s="1"/>
  <c r="G51" i="167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H15" i="1668" s="1"/>
  <c r="H29" i="1668" s="1"/>
  <c r="G51" i="1668" s="1"/>
  <c r="D29" i="1667"/>
  <c r="H13" i="1667" s="1"/>
  <c r="H15" i="1667" s="1"/>
  <c r="H29" i="1667" s="1"/>
  <c r="G51" i="1667"/>
  <c r="D29" i="1666"/>
  <c r="H13" i="1666" s="1"/>
  <c r="H15" i="1666" s="1"/>
  <c r="H29" i="1666" s="1"/>
  <c r="G51" i="1666"/>
  <c r="D29" i="1665"/>
  <c r="H13" i="1665" s="1"/>
  <c r="H15" i="1665" s="1"/>
  <c r="H29" i="1665" s="1"/>
  <c r="G51" i="1665" s="1"/>
  <c r="D29" i="1664"/>
  <c r="H13" i="1664" s="1"/>
  <c r="H15" i="1664" s="1"/>
  <c r="H29" i="1664" s="1"/>
  <c r="G51" i="1664" s="1"/>
  <c r="D29" i="1662"/>
  <c r="H13" i="1662" s="1"/>
  <c r="H15" i="1662" s="1"/>
  <c r="H29" i="1662" s="1"/>
  <c r="G51" i="1662"/>
  <c r="D29" i="1661"/>
  <c r="H13" i="1661" s="1"/>
  <c r="H15" i="1661" s="1"/>
  <c r="H29" i="1661" s="1"/>
  <c r="G51" i="1661" s="1"/>
  <c r="D29" i="1660"/>
  <c r="H13" i="1660" s="1"/>
  <c r="H15" i="1660" s="1"/>
  <c r="H29" i="1660" s="1"/>
  <c r="G51" i="1660" s="1"/>
  <c r="G51" i="1659"/>
  <c r="D29" i="1658"/>
  <c r="H13" i="1658" s="1"/>
  <c r="H15" i="1658" s="1"/>
  <c r="H29" i="1658" s="1"/>
  <c r="G51" i="1658"/>
  <c r="D29" i="1657"/>
  <c r="H13" i="1657" s="1"/>
  <c r="H15" i="1657" s="1"/>
  <c r="H29" i="1657" s="1"/>
  <c r="G51" i="1657"/>
  <c r="G51" i="1656"/>
  <c r="D29" i="1655"/>
  <c r="H13" i="1655" s="1"/>
  <c r="H15" i="1655" s="1"/>
  <c r="H29" i="1655" s="1"/>
  <c r="G51" i="1655"/>
  <c r="D29" i="1654"/>
  <c r="H13" i="1654" s="1"/>
  <c r="H15" i="1654" s="1"/>
  <c r="H29" i="1654" s="1"/>
  <c r="G51" i="1654" s="1"/>
  <c r="D29" i="1653"/>
  <c r="H13" i="1653" s="1"/>
  <c r="H15" i="1653" s="1"/>
  <c r="H29" i="1653" s="1"/>
  <c r="G51" i="1653" s="1"/>
  <c r="D29" i="1652"/>
  <c r="H13" i="1652" s="1"/>
  <c r="H15" i="1652" s="1"/>
  <c r="H29" i="1652" s="1"/>
  <c r="G51" i="1652" s="1"/>
  <c r="D29" i="1651"/>
  <c r="H13" i="1651" s="1"/>
  <c r="H15" i="1651" s="1"/>
  <c r="H29" i="1651" s="1"/>
  <c r="G51" i="1651" s="1"/>
  <c r="H15" i="1650"/>
  <c r="H29" i="1650" s="1"/>
  <c r="G51" i="1650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G49" i="1618" l="1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<sst xmlns="http://schemas.openxmlformats.org/spreadsheetml/2006/main" count="5364" uniqueCount="150">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</sst>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88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85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45658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85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88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85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45658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88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85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86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45658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88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85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139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45659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45659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45659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480</v>
      </c>
      <c r="D6" s="13">
        <f t="shared" ref="D6:D28" si="1">C6*L6</f>
        <v>365280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12</v>
      </c>
      <c r="D7" s="13">
        <f t="shared" si="1"/>
        <v>9372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75</v>
      </c>
      <c r="D9" s="13">
        <f t="shared" si="1"/>
        <v>54975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6</v>
      </c>
      <c r="D12" s="48">
        <f t="shared" si="1"/>
        <v>5952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223" t="s">
        <v>36</v>
      </c>
      <c r="G13" s="187"/>
      <c r="H13" s="178">
        <f>D29</f>
        <v>443015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18</v>
      </c>
      <c r="D14" s="31">
        <f t="shared" si="1"/>
        <v>198</v>
      </c>
      <c r="F14" s="181" t="s">
        <v>39</v>
      </c>
      <c r="G14" s="182"/>
      <c r="H14" s="183">
        <f>D54</f>
        <v>77991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365024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>
        <f>1758+600+612</f>
        <v>2970</v>
      </c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>
        <v>8</v>
      </c>
      <c r="D22" s="48">
        <f t="shared" si="1"/>
        <v>5360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443015</v>
      </c>
      <c r="F29" s="95" t="s">
        <v>55</v>
      </c>
      <c r="G29" s="157"/>
      <c r="H29" s="117">
        <f>H15-H16-H17-H18-H19-H20-H22-H23-H24+H26+H27</f>
        <v>362054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39">
        <f>F34*G34</f>
        <v>78000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39">
        <f>F35*G35</f>
        <v>43500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39">
        <f t="shared" si="2"/>
        <v>1000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39">
        <f t="shared" si="2"/>
        <v>50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39">
        <f t="shared" si="2"/>
        <v>20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>
        <v>14</v>
      </c>
      <c r="D42" s="12">
        <f>C42*2.25</f>
        <v>31.5</v>
      </c>
      <c r="F42" s="39" t="s">
        <v>79</v>
      </c>
      <c r="G42" s="139">
        <v>47</v>
      </c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34">
        <v>54216</v>
      </c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34">
        <v>188602</v>
      </c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>
        <v>6</v>
      </c>
      <c r="D46" s="12">
        <f>C46*1.5</f>
        <v>9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>
        <v>2</v>
      </c>
      <c r="D49" s="12">
        <f>C49*42</f>
        <v>84</v>
      </c>
      <c r="F49" s="115" t="s">
        <v>86</v>
      </c>
      <c r="G49" s="117">
        <f>H34+H35+H36+H37+H38+H39+H40+H41+G42+H44+H45+H46</f>
        <v>365435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>
        <v>24</v>
      </c>
      <c r="D50" s="12">
        <f>C50*1.5</f>
        <v>36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149</v>
      </c>
      <c r="G51" s="125">
        <f>G49-H29</f>
        <v>3381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45660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45660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45660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139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45662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45662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45662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139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45663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45663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45663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139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45664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45664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45664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139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45665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45665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45665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139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45666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45666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45666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139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45667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45667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45667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139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2" t="s">
        <v>7</v>
      </c>
      <c r="B4" s="143"/>
      <c r="C4" s="143"/>
      <c r="D4" s="144"/>
      <c r="F4" s="192" t="s">
        <v>8</v>
      </c>
      <c r="G4" s="194"/>
      <c r="H4" s="196" t="s">
        <v>9</v>
      </c>
      <c r="I4" s="198"/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202" t="s">
        <v>16</v>
      </c>
      <c r="G6" s="204"/>
      <c r="H6" s="205"/>
      <c r="I6" s="205"/>
      <c r="J6" s="20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210" t="s">
        <v>21</v>
      </c>
      <c r="G8" s="211"/>
      <c r="H8" s="212"/>
      <c r="I8" s="212"/>
      <c r="J8" s="21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202" t="s">
        <v>26</v>
      </c>
      <c r="G10" s="217"/>
      <c r="H10" s="218"/>
      <c r="I10" s="218"/>
      <c r="J10" s="219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/>
      <c r="I34" s="140"/>
      <c r="J34" s="14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/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/>
      <c r="I36" s="140"/>
      <c r="J36" s="14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/>
      <c r="I37" s="140"/>
      <c r="J37" s="14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/>
      <c r="I38" s="140"/>
      <c r="J38" s="14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/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P43" s="4"/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P44" s="4"/>
      <c r="Q44" s="4"/>
      <c r="R44" s="5"/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P50" s="4"/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128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1</v>
      </c>
      <c r="H4" s="196" t="s">
        <v>9</v>
      </c>
      <c r="I4" s="198">
        <v>45669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4"/>
      <c r="D6" s="13">
        <f t="shared" ref="D6:D28" si="1">C6*L6</f>
        <v>0</v>
      </c>
      <c r="F6" s="202" t="s">
        <v>16</v>
      </c>
      <c r="G6" s="204" t="s">
        <v>129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4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4"/>
      <c r="D8" s="13">
        <f t="shared" si="1"/>
        <v>0</v>
      </c>
      <c r="F8" s="210" t="s">
        <v>21</v>
      </c>
      <c r="G8" s="211" t="s">
        <v>112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4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4"/>
      <c r="D10" s="13">
        <f t="shared" si="1"/>
        <v>0</v>
      </c>
      <c r="F10" s="202" t="s">
        <v>26</v>
      </c>
      <c r="G10" s="217" t="s">
        <v>130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84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4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4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4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4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137</v>
      </c>
      <c r="C17" s="84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59"/>
      <c r="I19" s="159"/>
      <c r="J19" s="159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127</v>
      </c>
      <c r="C22" s="84"/>
      <c r="D22" s="48">
        <f t="shared" si="1"/>
        <v>0</v>
      </c>
      <c r="F22" s="77"/>
      <c r="G22" s="73"/>
      <c r="H22" s="164"/>
      <c r="I22" s="164"/>
      <c r="J22" s="164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4"/>
      <c r="D23" s="48">
        <f t="shared" si="1"/>
        <v>0</v>
      </c>
      <c r="F23" s="77"/>
      <c r="G23" s="79"/>
      <c r="H23" s="230"/>
      <c r="I23" s="231"/>
      <c r="J23" s="23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4"/>
      <c r="D24" s="48">
        <f t="shared" si="1"/>
        <v>0</v>
      </c>
      <c r="F24" s="77"/>
      <c r="G24" s="79"/>
      <c r="H24" s="230"/>
      <c r="I24" s="231"/>
      <c r="J24" s="23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136</v>
      </c>
      <c r="C26" s="84"/>
      <c r="D26" s="48">
        <f t="shared" si="1"/>
        <v>0</v>
      </c>
      <c r="F26" s="75"/>
      <c r="G26" s="65"/>
      <c r="H26" s="134"/>
      <c r="I26" s="134"/>
      <c r="J26" s="13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110</v>
      </c>
      <c r="C27" s="84"/>
      <c r="D27" s="44">
        <f t="shared" si="1"/>
        <v>0</v>
      </c>
      <c r="F27" s="71"/>
      <c r="G27" s="90"/>
      <c r="H27" s="232"/>
      <c r="I27" s="233"/>
      <c r="J27" s="23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4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H15-H16-H17-H18-H19-H20-H22-H23-H24+H26+H27+H28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9">
        <f t="shared" ref="H34:H39" si="2"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si="2"/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si="2"/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4"/>
      <c r="I46" s="134"/>
      <c r="J46" s="134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131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2</v>
      </c>
      <c r="H4" s="196" t="s">
        <v>9</v>
      </c>
      <c r="I4" s="198">
        <v>45669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140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114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115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4"/>
      <c r="I19" s="234"/>
      <c r="J19" s="23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64"/>
      <c r="I22" s="164"/>
      <c r="J22" s="164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 t="shared" ref="H35:H39" si="2"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62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62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91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142</v>
      </c>
      <c r="G51" s="125">
        <f>G49-H29</f>
        <v>0</v>
      </c>
      <c r="H51" s="126"/>
      <c r="I51" s="126"/>
      <c r="J51" s="12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128"/>
      <c r="H52" s="129"/>
      <c r="I52" s="129"/>
      <c r="J52" s="13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1" t="s">
        <v>1</v>
      </c>
      <c r="O1" s="191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2" t="s">
        <v>7</v>
      </c>
      <c r="B4" s="143"/>
      <c r="C4" s="143"/>
      <c r="D4" s="144"/>
      <c r="F4" s="192" t="s">
        <v>8</v>
      </c>
      <c r="G4" s="194">
        <v>3</v>
      </c>
      <c r="H4" s="196" t="s">
        <v>9</v>
      </c>
      <c r="I4" s="198">
        <v>45669</v>
      </c>
      <c r="J4" s="199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93"/>
      <c r="G5" s="195"/>
      <c r="H5" s="197"/>
      <c r="I5" s="200"/>
      <c r="J5" s="201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202" t="s">
        <v>16</v>
      </c>
      <c r="G6" s="204" t="s">
        <v>111</v>
      </c>
      <c r="H6" s="205"/>
      <c r="I6" s="205"/>
      <c r="J6" s="20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203"/>
      <c r="G7" s="207"/>
      <c r="H7" s="208"/>
      <c r="I7" s="208"/>
      <c r="J7" s="20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210" t="s">
        <v>21</v>
      </c>
      <c r="G8" s="211" t="s">
        <v>119</v>
      </c>
      <c r="H8" s="212"/>
      <c r="I8" s="212"/>
      <c r="J8" s="21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203"/>
      <c r="G9" s="214"/>
      <c r="H9" s="215"/>
      <c r="I9" s="215"/>
      <c r="J9" s="21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202" t="s">
        <v>26</v>
      </c>
      <c r="G10" s="217" t="s">
        <v>134</v>
      </c>
      <c r="H10" s="218"/>
      <c r="I10" s="218"/>
      <c r="J10" s="219"/>
      <c r="K10" s="8"/>
      <c r="L10" s="6">
        <f>R36</f>
        <v>1032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203"/>
      <c r="G11" s="214"/>
      <c r="H11" s="215"/>
      <c r="I11" s="215"/>
      <c r="J11" s="21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220" t="s">
        <v>33</v>
      </c>
      <c r="G12" s="221"/>
      <c r="H12" s="221"/>
      <c r="I12" s="221"/>
      <c r="J12" s="22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223" t="s">
        <v>36</v>
      </c>
      <c r="G13" s="187"/>
      <c r="H13" s="178">
        <f>D29</f>
        <v>0</v>
      </c>
      <c r="I13" s="179"/>
      <c r="J13" s="18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81" t="s">
        <v>39</v>
      </c>
      <c r="G14" s="182"/>
      <c r="H14" s="183">
        <f>D54</f>
        <v>0</v>
      </c>
      <c r="I14" s="184"/>
      <c r="J14" s="18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86" t="s">
        <v>40</v>
      </c>
      <c r="G15" s="187"/>
      <c r="H15" s="188">
        <f>H13-H14</f>
        <v>0</v>
      </c>
      <c r="I15" s="189"/>
      <c r="J15" s="190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8"/>
      <c r="I16" s="148"/>
      <c r="J16" s="14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59"/>
      <c r="I17" s="159"/>
      <c r="J17" s="15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9"/>
      <c r="I18" s="159"/>
      <c r="J18" s="15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1" t="s">
        <v>13</v>
      </c>
      <c r="I21" s="162"/>
      <c r="J21" s="163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64"/>
      <c r="I22" s="164"/>
      <c r="J22" s="164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65"/>
      <c r="I23" s="134"/>
      <c r="J23" s="13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65"/>
      <c r="I24" s="134"/>
      <c r="J24" s="13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66" t="s">
        <v>13</v>
      </c>
      <c r="I25" s="167"/>
      <c r="J25" s="168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169"/>
      <c r="I26" s="170"/>
      <c r="J26" s="171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172"/>
      <c r="I27" s="173"/>
      <c r="J27" s="174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3"/>
      <c r="G28" s="61"/>
      <c r="H28" s="175"/>
      <c r="I28" s="176"/>
      <c r="J28" s="177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9" t="s">
        <v>36</v>
      </c>
      <c r="B29" s="150"/>
      <c r="C29" s="151"/>
      <c r="D29" s="155">
        <f>SUM(D6:D28)</f>
        <v>0</v>
      </c>
      <c r="F29" s="95" t="s">
        <v>55</v>
      </c>
      <c r="G29" s="157"/>
      <c r="H29" s="117">
        <f>H15-H16-H17-H18-H19-H20-H22-H23-H24+H26+H27</f>
        <v>0</v>
      </c>
      <c r="I29" s="118"/>
      <c r="J29" s="119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2"/>
      <c r="B30" s="153"/>
      <c r="C30" s="154"/>
      <c r="D30" s="156"/>
      <c r="F30" s="98"/>
      <c r="G30" s="158"/>
      <c r="H30" s="120"/>
      <c r="I30" s="121"/>
      <c r="J30" s="122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2" t="s">
        <v>58</v>
      </c>
      <c r="B32" s="143"/>
      <c r="C32" s="143"/>
      <c r="D32" s="144"/>
      <c r="F32" s="145" t="s">
        <v>59</v>
      </c>
      <c r="G32" s="146"/>
      <c r="H32" s="146"/>
      <c r="I32" s="146"/>
      <c r="J32" s="14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45" t="s">
        <v>13</v>
      </c>
      <c r="I33" s="146"/>
      <c r="J33" s="14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9">
        <f>F34*G34</f>
        <v>0</v>
      </c>
      <c r="I34" s="140"/>
      <c r="J34" s="14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139">
        <f>F35*G35</f>
        <v>0</v>
      </c>
      <c r="I35" s="140"/>
      <c r="J35" s="14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139">
        <f t="shared" ref="H36:H39" si="2">F36*G36</f>
        <v>0</v>
      </c>
      <c r="I36" s="140"/>
      <c r="J36" s="14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9">
        <f t="shared" si="2"/>
        <v>0</v>
      </c>
      <c r="I37" s="140"/>
      <c r="J37" s="14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139">
        <f t="shared" si="2"/>
        <v>0</v>
      </c>
      <c r="I38" s="140"/>
      <c r="J38" s="14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139">
        <f t="shared" si="2"/>
        <v>0</v>
      </c>
      <c r="I39" s="140"/>
      <c r="J39" s="14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9"/>
      <c r="I40" s="140"/>
      <c r="J40" s="14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139"/>
      <c r="I41" s="140"/>
      <c r="J41" s="14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139"/>
      <c r="H42" s="140"/>
      <c r="I42" s="140"/>
      <c r="J42" s="14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9" t="s">
        <v>81</v>
      </c>
      <c r="C43" s="11"/>
      <c r="D43" s="12"/>
      <c r="F43" s="59" t="s">
        <v>82</v>
      </c>
      <c r="G43" s="90" t="s">
        <v>83</v>
      </c>
      <c r="H43" s="131" t="s">
        <v>13</v>
      </c>
      <c r="I43" s="132"/>
      <c r="J43" s="133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0"/>
      <c r="B44" s="27" t="s">
        <v>66</v>
      </c>
      <c r="C44" s="10"/>
      <c r="D44" s="12">
        <f>C44*120</f>
        <v>0</v>
      </c>
      <c r="F44" s="37"/>
      <c r="G44" s="76"/>
      <c r="H44" s="134"/>
      <c r="I44" s="134"/>
      <c r="J44" s="13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0"/>
      <c r="B45" s="27" t="s">
        <v>68</v>
      </c>
      <c r="C45" s="33"/>
      <c r="D45" s="12">
        <f>C45*84</f>
        <v>0</v>
      </c>
      <c r="F45" s="37"/>
      <c r="G45" s="76"/>
      <c r="H45" s="134"/>
      <c r="I45" s="134"/>
      <c r="J45" s="134"/>
      <c r="K45" s="21"/>
      <c r="P45" s="4"/>
      <c r="Q45" s="4"/>
      <c r="R45" s="5"/>
    </row>
    <row r="46" spans="1:18" ht="15.75" x14ac:dyDescent="0.25">
      <c r="A46" s="110"/>
      <c r="B46" s="49" t="s">
        <v>70</v>
      </c>
      <c r="C46" s="81"/>
      <c r="D46" s="12">
        <f>C46*1.5</f>
        <v>0</v>
      </c>
      <c r="F46" s="37"/>
      <c r="G46" s="62"/>
      <c r="H46" s="135"/>
      <c r="I46" s="135"/>
      <c r="J46" s="135"/>
      <c r="K46" s="21"/>
      <c r="P46" s="4"/>
      <c r="Q46" s="4"/>
      <c r="R46" s="5"/>
    </row>
    <row r="47" spans="1:18" ht="15.75" x14ac:dyDescent="0.25">
      <c r="A47" s="111"/>
      <c r="B47" s="27"/>
      <c r="C47" s="11"/>
      <c r="D47" s="12"/>
      <c r="F47" s="59"/>
      <c r="G47" s="59"/>
      <c r="H47" s="112"/>
      <c r="I47" s="113"/>
      <c r="J47" s="114"/>
      <c r="K47" s="21"/>
      <c r="P47" s="4"/>
      <c r="Q47" s="4"/>
      <c r="R47" s="5"/>
    </row>
    <row r="48" spans="1:18" ht="15" customHeight="1" x14ac:dyDescent="0.25">
      <c r="A48" s="109" t="s">
        <v>32</v>
      </c>
      <c r="B48" s="27" t="s">
        <v>66</v>
      </c>
      <c r="C48" s="10"/>
      <c r="D48" s="12">
        <f>C48*78</f>
        <v>0</v>
      </c>
      <c r="F48" s="59"/>
      <c r="G48" s="59"/>
      <c r="H48" s="112"/>
      <c r="I48" s="113"/>
      <c r="J48" s="114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0"/>
      <c r="B49" s="29" t="s">
        <v>68</v>
      </c>
      <c r="C49" s="33"/>
      <c r="D49" s="12">
        <f>C49*42</f>
        <v>0</v>
      </c>
      <c r="F49" s="115" t="s">
        <v>86</v>
      </c>
      <c r="G49" s="117">
        <f>H34+H35+H36+H37+H38+H39+H40+H41+G42+H44+H45+H46</f>
        <v>0</v>
      </c>
      <c r="H49" s="118"/>
      <c r="I49" s="118"/>
      <c r="J49" s="119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0"/>
      <c r="B50" s="32" t="s">
        <v>70</v>
      </c>
      <c r="C50" s="11"/>
      <c r="D50" s="12">
        <f>C50*1.5</f>
        <v>0</v>
      </c>
      <c r="F50" s="116"/>
      <c r="G50" s="120"/>
      <c r="H50" s="121"/>
      <c r="I50" s="121"/>
      <c r="J50" s="122"/>
      <c r="O50" t="s">
        <v>144</v>
      </c>
      <c r="P50" s="4">
        <v>1204</v>
      </c>
      <c r="Q50" s="4"/>
      <c r="R50" s="5"/>
    </row>
    <row r="51" spans="1:18" ht="15" customHeight="1" x14ac:dyDescent="0.25">
      <c r="A51" s="110"/>
      <c r="B51" s="27"/>
      <c r="C51" s="10"/>
      <c r="D51" s="31"/>
      <c r="F51" s="123" t="s">
        <v>139</v>
      </c>
      <c r="G51" s="224">
        <f>G49-H29</f>
        <v>0</v>
      </c>
      <c r="H51" s="225"/>
      <c r="I51" s="225"/>
      <c r="J51" s="226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0"/>
      <c r="B52" s="29"/>
      <c r="C52" s="33"/>
      <c r="D52" s="45"/>
      <c r="F52" s="124"/>
      <c r="G52" s="227"/>
      <c r="H52" s="228"/>
      <c r="I52" s="228"/>
      <c r="J52" s="22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5" t="s">
        <v>90</v>
      </c>
      <c r="B54" s="96"/>
      <c r="C54" s="97"/>
      <c r="D54" s="10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8"/>
      <c r="B55" s="99"/>
      <c r="C55" s="100"/>
      <c r="D55" s="10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3" t="s">
        <v>91</v>
      </c>
      <c r="B58" s="104"/>
      <c r="C58" s="104"/>
      <c r="D58" s="105"/>
      <c r="F58" s="103" t="s">
        <v>92</v>
      </c>
      <c r="G58" s="104"/>
      <c r="H58" s="104"/>
      <c r="I58" s="104"/>
      <c r="J58" s="105"/>
    </row>
    <row r="59" spans="1:18" x14ac:dyDescent="0.25">
      <c r="A59" s="106"/>
      <c r="B59" s="107"/>
      <c r="C59" s="107"/>
      <c r="D59" s="108"/>
      <c r="F59" s="106"/>
      <c r="G59" s="107"/>
      <c r="H59" s="107"/>
      <c r="I59" s="107"/>
      <c r="J59" s="10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40</vt:i4>
      </vt:variant>
    </vt:vector>
  </HeadingPairs>
  <TitlesOfParts>
    <vt:vector size="8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2026-01-03T00:22:08Z</cp:lastPrinted>
  <dcterms:created xsi:type="dcterms:W3CDTF">2024-09-01T23:36:50Z</dcterms:created>
  <dcterms:modified xsi:type="dcterms:W3CDTF">2026-01-03T00:22:39Z</dcterms:modified>
</cp:coreProperties>
</file>