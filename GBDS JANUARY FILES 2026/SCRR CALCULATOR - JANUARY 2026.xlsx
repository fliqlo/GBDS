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31E73AA0-370D-4E68-AFAB-26307EDC654D}" xr6:coauthVersionLast="45" xr6:coauthVersionMax="47" xr10:uidLastSave="{00000000-0000-0000-0000-000000000000}"/>
  <bookViews>
    <workbookView xWindow="-120" yWindow="-120" windowWidth="29040" windowHeight="15840" activeTab="8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3" sheetId="1664" r:id="rId25"/>
    <sheet name="(8)" sheetId="1665" r:id="rId26"/>
    <sheet name="01,08 R1" sheetId="1666" r:id="rId27"/>
    <sheet name="01,08 R2" sheetId="1667" r:id="rId28"/>
    <sheet name="01,08 R3" sheetId="1668" r:id="rId29"/>
    <sheet name="(9)" sheetId="1669" r:id="rId30"/>
    <sheet name="01,09 R1" sheetId="1670" r:id="rId31"/>
    <sheet name="01,09 R2" sheetId="1671" r:id="rId32"/>
    <sheet name="01,09 R3" sheetId="1672" r:id="rId33"/>
    <sheet name="(10)" sheetId="1673" r:id="rId34"/>
    <sheet name="01,10 R1" sheetId="1674" r:id="rId35"/>
    <sheet name="01,10 R2" sheetId="1675" r:id="rId36"/>
    <sheet name="01,10 R3" sheetId="1676" r:id="rId37"/>
    <sheet name="(12)" sheetId="1677" r:id="rId38"/>
    <sheet name="01,12 R1" sheetId="1678" r:id="rId39"/>
    <sheet name="01,12 R2" sheetId="1679" r:id="rId40"/>
    <sheet name="01,12 R3" sheetId="1680" r:id="rId41"/>
  </sheets>
  <definedNames>
    <definedName name="_xlnm.Print_Area" localSheetId="1">'(01)'!$A$1:$J$60</definedName>
    <definedName name="_xlnm.Print_Area" localSheetId="33">'(10)'!$A$1:$J$60</definedName>
    <definedName name="_xlnm.Print_Area" localSheetId="37">'(12)'!$A$1:$J$60</definedName>
    <definedName name="_xlnm.Print_Area" localSheetId="5">'(2)'!$A$1:$J$60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R3'!$A$1:$J$60</definedName>
    <definedName name="_xlnm.Print_Area" localSheetId="26">'01,08 R1'!$A$1:$J$60</definedName>
    <definedName name="_xlnm.Print_Area" localSheetId="27">'01,08 R2'!$A$1:$J$60</definedName>
    <definedName name="_xlnm.Print_Area" localSheetId="28">'01,08 R3'!$A$1:$J$60</definedName>
    <definedName name="_xlnm.Print_Area" localSheetId="30">'01,09 R1'!$A$1:$J$60</definedName>
    <definedName name="_xlnm.Print_Area" localSheetId="31">'01,09 R2'!$A$1:$J$60</definedName>
    <definedName name="_xlnm.Print_Area" localSheetId="32">'01,09 R3'!$A$1:$J$60</definedName>
    <definedName name="_xlnm.Print_Area" localSheetId="34">'01,10 R1'!$A$1:$J$60</definedName>
    <definedName name="_xlnm.Print_Area" localSheetId="35">'01,10 R2'!$A$1:$J$60</definedName>
    <definedName name="_xlnm.Print_Area" localSheetId="36">'01,10 R3'!$A$1:$J$60</definedName>
    <definedName name="_xlnm.Print_Area" localSheetId="38">'01,12 R1'!$A$1:$J$60</definedName>
    <definedName name="_xlnm.Print_Area" localSheetId="39">'01,12 R2'!$A$1:$J$60</definedName>
    <definedName name="_xlnm.Print_Area" localSheetId="40">'01,12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D54" i="1680" s="1"/>
  <c r="H14" i="1680" s="1"/>
  <c r="R34" i="1680"/>
  <c r="L12" i="1680" s="1"/>
  <c r="D12" i="1680" s="1"/>
  <c r="H34" i="1680"/>
  <c r="G49" i="1680" s="1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D54" i="1679" s="1"/>
  <c r="H14" i="1679" s="1"/>
  <c r="R35" i="1679"/>
  <c r="L19" i="1679" s="1"/>
  <c r="D19" i="1679" s="1"/>
  <c r="H35" i="1679"/>
  <c r="D35" i="1679"/>
  <c r="R34" i="1679"/>
  <c r="H34" i="1679"/>
  <c r="G49" i="1679" s="1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G49" i="1678" s="1"/>
  <c r="D34" i="1678"/>
  <c r="D54" i="1678" s="1"/>
  <c r="H14" i="1678" s="1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G49" i="1676" s="1"/>
  <c r="D34" i="1676"/>
  <c r="D54" i="1676" s="1"/>
  <c r="H14" i="1676" s="1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G49" i="1675" s="1"/>
  <c r="D34" i="1675"/>
  <c r="D54" i="1675" s="1"/>
  <c r="H14" i="1675" s="1"/>
  <c r="R33" i="1675"/>
  <c r="R32" i="1675"/>
  <c r="R31" i="1675"/>
  <c r="R30" i="1675"/>
  <c r="R29" i="1675"/>
  <c r="R28" i="1675"/>
  <c r="L16" i="1675" s="1"/>
  <c r="D16" i="1675" s="1"/>
  <c r="D28" i="1675"/>
  <c r="R27" i="1675"/>
  <c r="D27" i="1675"/>
  <c r="R26" i="1675"/>
  <c r="L26" i="1675"/>
  <c r="D26" i="1675"/>
  <c r="R25" i="1675"/>
  <c r="L25" i="1675"/>
  <c r="D25" i="1675" s="1"/>
  <c r="R24" i="1675"/>
  <c r="L24" i="1675"/>
  <c r="D24" i="1675"/>
  <c r="R23" i="1675"/>
  <c r="L23" i="1675"/>
  <c r="D23" i="1675"/>
  <c r="R22" i="1675"/>
  <c r="L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D44" i="1674"/>
  <c r="R42" i="1674"/>
  <c r="L6" i="1674" s="1"/>
  <c r="D6" i="1674" s="1"/>
  <c r="D29" i="1674" s="1"/>
  <c r="H13" i="1674" s="1"/>
  <c r="H15" i="1674" s="1"/>
  <c r="H29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G49" i="1674" s="1"/>
  <c r="D34" i="1674"/>
  <c r="D54" i="1674" s="1"/>
  <c r="H14" i="1674" s="1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D54" i="1672" s="1"/>
  <c r="H14" i="1672" s="1"/>
  <c r="R35" i="1672"/>
  <c r="L19" i="1672" s="1"/>
  <c r="D19" i="1672" s="1"/>
  <c r="H35" i="1672"/>
  <c r="D35" i="1672"/>
  <c r="R34" i="1672"/>
  <c r="H34" i="1672"/>
  <c r="G49" i="1672" s="1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D54" i="1671" s="1"/>
  <c r="H14" i="1671" s="1"/>
  <c r="R35" i="1671"/>
  <c r="L19" i="1671" s="1"/>
  <c r="D19" i="1671" s="1"/>
  <c r="H35" i="1671"/>
  <c r="D35" i="1671"/>
  <c r="R34" i="1671"/>
  <c r="H34" i="1671"/>
  <c r="G49" i="1671" s="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L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D29" i="1671" s="1"/>
  <c r="H13" i="1671" s="1"/>
  <c r="H15" i="1671" s="1"/>
  <c r="H29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G49" i="1670" s="1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G49" i="1668" s="1"/>
  <c r="D36" i="1668"/>
  <c r="R35" i="1668"/>
  <c r="H35" i="1668"/>
  <c r="D35" i="1668"/>
  <c r="R34" i="1668"/>
  <c r="H34" i="1668"/>
  <c r="D34" i="1668"/>
  <c r="D54" i="1668" s="1"/>
  <c r="H14" i="1668" s="1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G49" i="1667" s="1"/>
  <c r="D34" i="1667"/>
  <c r="D54" i="1667" s="1"/>
  <c r="H14" i="1667" s="1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G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D54" i="1666" s="1"/>
  <c r="H14" i="1666" s="1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G49" i="1664" s="1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D54" i="1664" s="1"/>
  <c r="H14" i="1664" s="1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G49" i="1663" s="1"/>
  <c r="G51" i="1663" s="1"/>
  <c r="D34" i="1663"/>
  <c r="D54" i="1663" s="1"/>
  <c r="H14" i="1663" s="1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D29" i="1663" s="1"/>
  <c r="H13" i="1663" s="1"/>
  <c r="H15" i="1663" s="1"/>
  <c r="H29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G49" i="1662" s="1"/>
  <c r="D34" i="1662"/>
  <c r="D54" i="1662" s="1"/>
  <c r="H14" i="1662" s="1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L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G49" i="1660" s="1"/>
  <c r="D34" i="1660"/>
  <c r="D54" i="1660" s="1"/>
  <c r="H14" i="1660" s="1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29" i="1659" s="1"/>
  <c r="H13" i="1659" s="1"/>
  <c r="H15" i="1659" s="1"/>
  <c r="H29" i="1659" s="1"/>
  <c r="D42" i="1659"/>
  <c r="R41" i="1659"/>
  <c r="D41" i="1659"/>
  <c r="R40" i="1659"/>
  <c r="D40" i="1659"/>
  <c r="R39" i="1659"/>
  <c r="H39" i="1659"/>
  <c r="D39" i="1659"/>
  <c r="R38" i="1659"/>
  <c r="L9" i="1659" s="1"/>
  <c r="D9" i="1659" s="1"/>
  <c r="H38" i="1659"/>
  <c r="D38" i="1659"/>
  <c r="R37" i="1659"/>
  <c r="H37" i="1659"/>
  <c r="D37" i="1659"/>
  <c r="R36" i="1659"/>
  <c r="H36" i="1659"/>
  <c r="G49" i="1659" s="1"/>
  <c r="D36" i="1659"/>
  <c r="R35" i="1659"/>
  <c r="H35" i="1659"/>
  <c r="D35" i="1659"/>
  <c r="R34" i="1659"/>
  <c r="H34" i="1659"/>
  <c r="D34" i="1659"/>
  <c r="D54" i="1659" s="1"/>
  <c r="H14" i="1659" s="1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L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G49" i="1658" s="1"/>
  <c r="D34" i="1658"/>
  <c r="D54" i="1658" s="1"/>
  <c r="H14" i="1658" s="1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L25" i="1658"/>
  <c r="D25" i="1658" s="1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G49" i="1656" s="1"/>
  <c r="D35" i="1656"/>
  <c r="R34" i="1656"/>
  <c r="H34" i="1656"/>
  <c r="D34" i="1656"/>
  <c r="D54" i="1656" s="1"/>
  <c r="H14" i="1656" s="1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D29" i="1656" s="1"/>
  <c r="H13" i="1656" s="1"/>
  <c r="H15" i="1656" s="1"/>
  <c r="H29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G49" i="1655" s="1"/>
  <c r="D34" i="1655"/>
  <c r="D54" i="1655" s="1"/>
  <c r="H14" i="1655" s="1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G49" i="1654" s="1"/>
  <c r="D34" i="1654"/>
  <c r="D54" i="1654" s="1"/>
  <c r="H14" i="1654" s="1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D54" i="1652" s="1"/>
  <c r="H14" i="1652" s="1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29" i="1650" s="1"/>
  <c r="H13" i="1650" s="1"/>
  <c r="D42" i="1650"/>
  <c r="R41" i="1650"/>
  <c r="L7" i="1650" s="1"/>
  <c r="D7" i="1650" s="1"/>
  <c r="D41" i="1650"/>
  <c r="D54" i="1650" s="1"/>
  <c r="H14" i="1650" s="1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48" l="1"/>
  <c r="D54" i="1648"/>
  <c r="H14" i="1648" s="1"/>
  <c r="D29" i="1648"/>
  <c r="H13" i="1648" s="1"/>
  <c r="H15" i="1648" s="1"/>
  <c r="H29" i="1648" s="1"/>
  <c r="G51" i="1648" s="1"/>
  <c r="D29" i="1680"/>
  <c r="H13" i="1680" s="1"/>
  <c r="H15" i="1680" s="1"/>
  <c r="H29" i="1680" s="1"/>
  <c r="G51" i="1680" s="1"/>
  <c r="D29" i="1679"/>
  <c r="H13" i="1679" s="1"/>
  <c r="H15" i="1679" s="1"/>
  <c r="H29" i="1679" s="1"/>
  <c r="G51" i="1679"/>
  <c r="D29" i="1678"/>
  <c r="H13" i="1678" s="1"/>
  <c r="H15" i="1678" s="1"/>
  <c r="H29" i="1678" s="1"/>
  <c r="G51" i="1678"/>
  <c r="D29" i="1677"/>
  <c r="H13" i="1677" s="1"/>
  <c r="H15" i="1677" s="1"/>
  <c r="H29" i="1677" s="1"/>
  <c r="G51" i="1677" s="1"/>
  <c r="D29" i="1676"/>
  <c r="H13" i="1676" s="1"/>
  <c r="H15" i="1676" s="1"/>
  <c r="H29" i="1676" s="1"/>
  <c r="G51" i="1676" s="1"/>
  <c r="D29" i="1675"/>
  <c r="H13" i="1675" s="1"/>
  <c r="H15" i="1675" s="1"/>
  <c r="H29" i="1675" s="1"/>
  <c r="G51" i="1675"/>
  <c r="G51" i="1674"/>
  <c r="G51" i="1673"/>
  <c r="D29" i="1672"/>
  <c r="H13" i="1672" s="1"/>
  <c r="H15" i="1672" s="1"/>
  <c r="H29" i="1672" s="1"/>
  <c r="G51" i="1672" s="1"/>
  <c r="G51" i="167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H15" i="1668" s="1"/>
  <c r="H29" i="1668" s="1"/>
  <c r="G51" i="1668" s="1"/>
  <c r="D29" i="1667"/>
  <c r="H13" i="1667" s="1"/>
  <c r="H15" i="1667" s="1"/>
  <c r="H29" i="1667" s="1"/>
  <c r="G51" i="1667"/>
  <c r="D29" i="1666"/>
  <c r="H13" i="1666" s="1"/>
  <c r="H15" i="1666" s="1"/>
  <c r="H29" i="1666" s="1"/>
  <c r="G51" i="1666"/>
  <c r="D29" i="1665"/>
  <c r="H13" i="1665" s="1"/>
  <c r="H15" i="1665" s="1"/>
  <c r="H29" i="1665" s="1"/>
  <c r="G51" i="1665" s="1"/>
  <c r="D29" i="1664"/>
  <c r="H13" i="1664" s="1"/>
  <c r="H15" i="1664" s="1"/>
  <c r="H29" i="1664" s="1"/>
  <c r="G51" i="1664" s="1"/>
  <c r="D29" i="1662"/>
  <c r="H13" i="1662" s="1"/>
  <c r="H15" i="1662" s="1"/>
  <c r="H29" i="1662" s="1"/>
  <c r="G51" i="1662"/>
  <c r="D29" i="1661"/>
  <c r="H13" i="1661" s="1"/>
  <c r="H15" i="1661" s="1"/>
  <c r="H29" i="1661" s="1"/>
  <c r="G51" i="1661" s="1"/>
  <c r="D29" i="1660"/>
  <c r="H13" i="1660" s="1"/>
  <c r="H15" i="1660" s="1"/>
  <c r="H29" i="1660" s="1"/>
  <c r="G51" i="1660" s="1"/>
  <c r="G51" i="1659"/>
  <c r="D29" i="1658"/>
  <c r="H13" i="1658" s="1"/>
  <c r="H15" i="1658" s="1"/>
  <c r="H29" i="1658" s="1"/>
  <c r="G51" i="1658"/>
  <c r="D29" i="1657"/>
  <c r="H13" i="1657" s="1"/>
  <c r="H15" i="1657" s="1"/>
  <c r="H29" i="1657" s="1"/>
  <c r="G51" i="1657"/>
  <c r="G51" i="1656"/>
  <c r="D29" i="1655"/>
  <c r="H13" i="1655" s="1"/>
  <c r="H15" i="1655" s="1"/>
  <c r="H29" i="1655" s="1"/>
  <c r="G51" i="1655"/>
  <c r="D29" i="1654"/>
  <c r="H13" i="1654" s="1"/>
  <c r="H15" i="1654" s="1"/>
  <c r="H29" i="1654" s="1"/>
  <c r="G51" i="1654" s="1"/>
  <c r="D29" i="1653"/>
  <c r="H13" i="1653" s="1"/>
  <c r="H15" i="1653" s="1"/>
  <c r="H29" i="1653" s="1"/>
  <c r="G51" i="1653" s="1"/>
  <c r="D29" i="1652"/>
  <c r="H13" i="1652" s="1"/>
  <c r="H15" i="1652" s="1"/>
  <c r="H29" i="1652" s="1"/>
  <c r="G51" i="1652" s="1"/>
  <c r="D29" i="1651"/>
  <c r="H13" i="1651" s="1"/>
  <c r="H15" i="1651" s="1"/>
  <c r="H29" i="1651" s="1"/>
  <c r="G51" i="1651" s="1"/>
  <c r="H15" i="1650"/>
  <c r="H29" i="1650" s="1"/>
  <c r="G51" i="1650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G49" i="1618" l="1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<sst xmlns="http://schemas.openxmlformats.org/spreadsheetml/2006/main" count="5364" uniqueCount="150">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</sst>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88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85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45658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137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85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88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85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45658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140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88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85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86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45658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134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88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85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139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46024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137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46024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140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46024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>
        <v>480</v>
      </c>
      <c r="D6" s="13">
        <f t="shared" ref="D6:D28" si="1">C6*L6</f>
        <v>365280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>
        <v>12</v>
      </c>
      <c r="D7" s="13">
        <f t="shared" si="1"/>
        <v>9372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>
        <v>75</v>
      </c>
      <c r="D9" s="13">
        <f t="shared" si="1"/>
        <v>54975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134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>
        <v>6</v>
      </c>
      <c r="D12" s="48">
        <f t="shared" si="1"/>
        <v>5952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>
        <v>4</v>
      </c>
      <c r="D13" s="48">
        <f t="shared" si="1"/>
        <v>1228</v>
      </c>
      <c r="F13" s="134" t="s">
        <v>36</v>
      </c>
      <c r="G13" s="135"/>
      <c r="H13" s="136">
        <f>D29</f>
        <v>443015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>
        <v>18</v>
      </c>
      <c r="D14" s="31">
        <f t="shared" si="1"/>
        <v>198</v>
      </c>
      <c r="F14" s="139" t="s">
        <v>39</v>
      </c>
      <c r="G14" s="140"/>
      <c r="H14" s="141">
        <f>D54</f>
        <v>77991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365024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>
        <f>1758+600+612</f>
        <v>2970</v>
      </c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>
        <v>8</v>
      </c>
      <c r="D22" s="48">
        <f t="shared" si="1"/>
        <v>5360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443015</v>
      </c>
      <c r="F29" s="157" t="s">
        <v>55</v>
      </c>
      <c r="G29" s="158"/>
      <c r="H29" s="161">
        <f>H15-H16-H17-H18-H19-H20-H22-H23-H24+H26+H27</f>
        <v>362054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89">
        <f>F34*G34</f>
        <v>78000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89">
        <f>F35*G35</f>
        <v>43500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89">
        <f t="shared" si="2"/>
        <v>1000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89">
        <f t="shared" si="2"/>
        <v>50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89">
        <f t="shared" si="2"/>
        <v>20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>
        <v>14</v>
      </c>
      <c r="D42" s="12">
        <f>C42*2.25</f>
        <v>31.5</v>
      </c>
      <c r="F42" s="39" t="s">
        <v>79</v>
      </c>
      <c r="G42" s="189">
        <v>47</v>
      </c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73">
        <v>54216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73">
        <v>188602</v>
      </c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>
        <v>6</v>
      </c>
      <c r="D46" s="12">
        <f>C46*1.5</f>
        <v>9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>
        <v>2</v>
      </c>
      <c r="D49" s="12">
        <f>C49*42</f>
        <v>84</v>
      </c>
      <c r="F49" s="214" t="s">
        <v>86</v>
      </c>
      <c r="G49" s="161">
        <f>H34+H35+H36+H37+H38+H39+H40+H41+G42+H44+H45+H46</f>
        <v>365435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>
        <v>24</v>
      </c>
      <c r="D50" s="12">
        <f>C50*1.5</f>
        <v>36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149</v>
      </c>
      <c r="G51" s="218">
        <f>G49-H29</f>
        <v>3381</v>
      </c>
      <c r="H51" s="219"/>
      <c r="I51" s="219"/>
      <c r="J51" s="22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236">
        <v>45660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137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45660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140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45660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134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139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45662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137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45662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140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45662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134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139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45663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137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45663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140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45663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134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139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45664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137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45664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140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45664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134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139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45665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137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45665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140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45665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134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139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45666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137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45666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140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45666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134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139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45667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137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45667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140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45667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134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139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45669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137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45669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140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45669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134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139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40</vt:i4>
      </vt:variant>
    </vt:vector>
  </HeadingPairs>
  <TitlesOfParts>
    <vt:vector size="81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'(01)'!Print_Area</vt:lpstr>
      <vt:lpstr>'(10)'!Print_Area</vt:lpstr>
      <vt:lpstr>'(12)'!Print_Area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2026-01-03T00:36:23Z</cp:lastPrinted>
  <dcterms:created xsi:type="dcterms:W3CDTF">2024-09-01T23:36:50Z</dcterms:created>
  <dcterms:modified xsi:type="dcterms:W3CDTF">2026-01-03T00:37:15Z</dcterms:modified>
</cp:coreProperties>
</file>