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EF8E1B5A-36E3-4E9B-903C-DBEF7B859878}" xr6:coauthVersionLast="45" xr6:coauthVersionMax="47" xr10:uidLastSave="{00000000-0000-0000-0000-000000000000}"/>
  <bookViews>
    <workbookView xWindow="-120" yWindow="-120" windowWidth="29040" windowHeight="15840" firstSheet="38" activeTab="49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  <sheet name="(13)" sheetId="1682" r:id="rId43"/>
    <sheet name="01,13 R1" sheetId="1683" r:id="rId44"/>
    <sheet name="01,13 R2" sheetId="1684" r:id="rId45"/>
    <sheet name="01,13 R3" sheetId="1685" r:id="rId46"/>
    <sheet name="(14)" sheetId="1686" r:id="rId47"/>
    <sheet name="01,14 R1 NO TRIP" sheetId="1687" r:id="rId48"/>
    <sheet name="01,14 R2" sheetId="1688" r:id="rId49"/>
    <sheet name="01,14 R3" sheetId="1689" r:id="rId50"/>
    <sheet name="(15)" sheetId="1690" r:id="rId51"/>
    <sheet name="01,15 R1" sheetId="1691" r:id="rId52"/>
    <sheet name="01,15 R2" sheetId="1692" r:id="rId53"/>
    <sheet name="01,15 R3" sheetId="1693" r:id="rId54"/>
    <sheet name="(16)" sheetId="1694" r:id="rId55"/>
    <sheet name="01,16 R1" sheetId="1695" r:id="rId56"/>
    <sheet name="01,16 R2" sheetId="1696" r:id="rId57"/>
    <sheet name="01,16 R3" sheetId="1697" r:id="rId58"/>
    <sheet name="(17)" sheetId="1698" r:id="rId59"/>
    <sheet name="01,17 R1" sheetId="1699" r:id="rId60"/>
    <sheet name="01,17 R2" sheetId="1700" r:id="rId61"/>
    <sheet name="01,17 R3" sheetId="1701" r:id="rId62"/>
    <sheet name="(19)" sheetId="1702" r:id="rId63"/>
    <sheet name="01,19 R1" sheetId="1703" r:id="rId64"/>
    <sheet name="01,19 R2" sheetId="1704" r:id="rId65"/>
    <sheet name="01,19 R3" sheetId="1705" r:id="rId66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'(19)'!$A$1:$J$60</definedName>
    <definedName name="_xlnm.Print_Area" localSheetId="5">'(2)'!$A$1:$J$60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  <definedName name="_xlnm.Print_Area" localSheetId="43">'01,13 R1'!$A$1:$J$60</definedName>
    <definedName name="_xlnm.Print_Area" localSheetId="44">'01,13 R2'!$A$1:$J$60</definedName>
    <definedName name="_xlnm.Print_Area" localSheetId="45">'01,13 R3'!$A$1:$J$60</definedName>
    <definedName name="_xlnm.Print_Area" localSheetId="47">'01,14 R1 NO TRIP'!$A$1:$J$60</definedName>
    <definedName name="_xlnm.Print_Area" localSheetId="48">'01,14 R2'!$A$1:$J$60</definedName>
    <definedName name="_xlnm.Print_Area" localSheetId="49">'01,14 R3'!$A$1:$J$60</definedName>
    <definedName name="_xlnm.Print_Area" localSheetId="51">'01,15 R1'!$A$1:$J$60</definedName>
    <definedName name="_xlnm.Print_Area" localSheetId="52">'01,15 R2'!$A$1:$J$60</definedName>
    <definedName name="_xlnm.Print_Area" localSheetId="53">'01,15 R3'!$A$1:$J$60</definedName>
    <definedName name="_xlnm.Print_Area" localSheetId="55">'01,16 R1'!$A$1:$J$60</definedName>
    <definedName name="_xlnm.Print_Area" localSheetId="56">'01,16 R2'!$A$1:$J$60</definedName>
    <definedName name="_xlnm.Print_Area" localSheetId="57">'01,16 R3'!$A$1:$J$60</definedName>
    <definedName name="_xlnm.Print_Area" localSheetId="59">'01,17 R1'!$A$1:$J$60</definedName>
    <definedName name="_xlnm.Print_Area" localSheetId="60">'01,17 R2'!$A$1:$J$60</definedName>
    <definedName name="_xlnm.Print_Area" localSheetId="61">'01,17 R3'!$A$1:$J$60</definedName>
    <definedName name="_xlnm.Print_Area" localSheetId="63">'01,19 R1'!$A$1:$J$60</definedName>
    <definedName name="_xlnm.Print_Area" localSheetId="64">'01,19 R2'!$A$1:$J$60</definedName>
    <definedName name="_xlnm.Print_Area" localSheetId="65">'01,19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689" l="1"/>
  <c r="H16" i="1688"/>
  <c r="H16" i="1685" l="1"/>
  <c r="H16" i="1683"/>
  <c r="L28" i="1684"/>
  <c r="C6" i="1684"/>
  <c r="C20" i="1684"/>
  <c r="C9" i="1684"/>
  <c r="C21" i="1684"/>
  <c r="R52" i="1705" l="1"/>
  <c r="R51" i="1705"/>
  <c r="D50" i="1705"/>
  <c r="R49" i="1705"/>
  <c r="D49" i="1705"/>
  <c r="R48" i="1705"/>
  <c r="D48" i="1705"/>
  <c r="D46" i="1705"/>
  <c r="D45" i="1705"/>
  <c r="R44" i="1705"/>
  <c r="D44" i="1705"/>
  <c r="R42" i="1705"/>
  <c r="L6" i="1705" s="1"/>
  <c r="D6" i="1705" s="1"/>
  <c r="D42" i="1705"/>
  <c r="R41" i="1705"/>
  <c r="D41" i="1705"/>
  <c r="R40" i="1705"/>
  <c r="D40" i="1705"/>
  <c r="R39" i="1705"/>
  <c r="H39" i="1705"/>
  <c r="D39" i="1705"/>
  <c r="R38" i="1705"/>
  <c r="L9" i="1705" s="1"/>
  <c r="D9" i="1705" s="1"/>
  <c r="H38" i="1705"/>
  <c r="D38" i="1705"/>
  <c r="R37" i="1705"/>
  <c r="H37" i="1705"/>
  <c r="D37" i="1705"/>
  <c r="R36" i="1705"/>
  <c r="L10" i="1705" s="1"/>
  <c r="D10" i="1705" s="1"/>
  <c r="H36" i="1705"/>
  <c r="D36" i="1705"/>
  <c r="R35" i="1705"/>
  <c r="H35" i="1705"/>
  <c r="D35" i="1705"/>
  <c r="R34" i="1705"/>
  <c r="L12" i="1705" s="1"/>
  <c r="D12" i="1705" s="1"/>
  <c r="H34" i="1705"/>
  <c r="G49" i="1705" s="1"/>
  <c r="D34" i="1705"/>
  <c r="D54" i="1705" s="1"/>
  <c r="H14" i="1705" s="1"/>
  <c r="R33" i="1705"/>
  <c r="R32" i="1705"/>
  <c r="R31" i="1705"/>
  <c r="R30" i="1705"/>
  <c r="R29" i="1705"/>
  <c r="R28" i="1705"/>
  <c r="L28" i="1705"/>
  <c r="D28" i="1705"/>
  <c r="R27" i="1705"/>
  <c r="D27" i="1705"/>
  <c r="R26" i="1705"/>
  <c r="L26" i="1705"/>
  <c r="D26" i="1705" s="1"/>
  <c r="R25" i="1705"/>
  <c r="L25" i="1705"/>
  <c r="D25" i="1705"/>
  <c r="R24" i="1705"/>
  <c r="D24" i="1705"/>
  <c r="R23" i="1705"/>
  <c r="L23" i="1705"/>
  <c r="D23" i="1705" s="1"/>
  <c r="R22" i="1705"/>
  <c r="L22" i="1705"/>
  <c r="D22" i="1705"/>
  <c r="R21" i="1705"/>
  <c r="D21" i="1705"/>
  <c r="R20" i="1705"/>
  <c r="L20" i="1705"/>
  <c r="D20" i="1705" s="1"/>
  <c r="R19" i="1705"/>
  <c r="L19" i="1705"/>
  <c r="D19" i="1705"/>
  <c r="R18" i="1705"/>
  <c r="D18" i="1705"/>
  <c r="R17" i="1705"/>
  <c r="D17" i="1705"/>
  <c r="R16" i="1705"/>
  <c r="L16" i="1705"/>
  <c r="D16" i="1705" s="1"/>
  <c r="R15" i="1705"/>
  <c r="D15" i="1705"/>
  <c r="R14" i="1705"/>
  <c r="D14" i="1705"/>
  <c r="R13" i="1705"/>
  <c r="D13" i="1705"/>
  <c r="R12" i="1705"/>
  <c r="R11" i="1705"/>
  <c r="L11" i="1705"/>
  <c r="D11" i="1705"/>
  <c r="L8" i="1705"/>
  <c r="D8" i="1705"/>
  <c r="L7" i="1705"/>
  <c r="D7" i="1705"/>
  <c r="R6" i="1705"/>
  <c r="R5" i="1705"/>
  <c r="R4" i="1705"/>
  <c r="R52" i="1704"/>
  <c r="R51" i="1704"/>
  <c r="D50" i="1704"/>
  <c r="R49" i="1704"/>
  <c r="D49" i="1704"/>
  <c r="R48" i="1704"/>
  <c r="D48" i="1704"/>
  <c r="D46" i="1704"/>
  <c r="D45" i="1704"/>
  <c r="R44" i="1704"/>
  <c r="D44" i="1704"/>
  <c r="R42" i="1704"/>
  <c r="L6" i="1704" s="1"/>
  <c r="D6" i="1704" s="1"/>
  <c r="D42" i="1704"/>
  <c r="R41" i="1704"/>
  <c r="D41" i="1704"/>
  <c r="R40" i="1704"/>
  <c r="L8" i="1704" s="1"/>
  <c r="D8" i="1704" s="1"/>
  <c r="D40" i="1704"/>
  <c r="R39" i="1704"/>
  <c r="H39" i="1704"/>
  <c r="D39" i="1704"/>
  <c r="R38" i="1704"/>
  <c r="H38" i="1704"/>
  <c r="D38" i="1704"/>
  <c r="R37" i="1704"/>
  <c r="H37" i="1704"/>
  <c r="D37" i="1704"/>
  <c r="R36" i="1704"/>
  <c r="L10" i="1704" s="1"/>
  <c r="D10" i="1704" s="1"/>
  <c r="H36" i="1704"/>
  <c r="D36" i="1704"/>
  <c r="R35" i="1704"/>
  <c r="H35" i="1704"/>
  <c r="D35" i="1704"/>
  <c r="R34" i="1704"/>
  <c r="L12" i="1704" s="1"/>
  <c r="D12" i="1704" s="1"/>
  <c r="H34" i="1704"/>
  <c r="G49" i="1704" s="1"/>
  <c r="D34" i="1704"/>
  <c r="D54" i="1704" s="1"/>
  <c r="H14" i="1704" s="1"/>
  <c r="R33" i="1704"/>
  <c r="R32" i="1704"/>
  <c r="R31" i="1704"/>
  <c r="R30" i="1704"/>
  <c r="R29" i="1704"/>
  <c r="R28" i="1704"/>
  <c r="L28" i="1704"/>
  <c r="D28" i="1704"/>
  <c r="R27" i="1704"/>
  <c r="D27" i="1704"/>
  <c r="R26" i="1704"/>
  <c r="L26" i="1704"/>
  <c r="D26" i="1704" s="1"/>
  <c r="R25" i="1704"/>
  <c r="L25" i="1704"/>
  <c r="D25" i="1704"/>
  <c r="R24" i="1704"/>
  <c r="L24" i="1704"/>
  <c r="D24" i="1704"/>
  <c r="R23" i="1704"/>
  <c r="L23" i="1704"/>
  <c r="D23" i="1704"/>
  <c r="R22" i="1704"/>
  <c r="L22" i="1704"/>
  <c r="D22" i="1704" s="1"/>
  <c r="R21" i="1704"/>
  <c r="D21" i="1704"/>
  <c r="R20" i="1704"/>
  <c r="L20" i="1704"/>
  <c r="D20" i="1704" s="1"/>
  <c r="R19" i="1704"/>
  <c r="L19" i="1704"/>
  <c r="D19" i="1704"/>
  <c r="R18" i="1704"/>
  <c r="D18" i="1704"/>
  <c r="R17" i="1704"/>
  <c r="L17" i="1704"/>
  <c r="D17" i="1704"/>
  <c r="R16" i="1704"/>
  <c r="L16" i="1704"/>
  <c r="D16" i="1704" s="1"/>
  <c r="R15" i="1704"/>
  <c r="D15" i="1704"/>
  <c r="R14" i="1704"/>
  <c r="D14" i="1704"/>
  <c r="R13" i="1704"/>
  <c r="D13" i="1704"/>
  <c r="R12" i="1704"/>
  <c r="R11" i="1704"/>
  <c r="L11" i="1704"/>
  <c r="D11" i="1704"/>
  <c r="L9" i="1704"/>
  <c r="D9" i="1704"/>
  <c r="L7" i="1704"/>
  <c r="D7" i="1704"/>
  <c r="R6" i="1704"/>
  <c r="R5" i="1704"/>
  <c r="R4" i="1704"/>
  <c r="R52" i="1703"/>
  <c r="R51" i="1703"/>
  <c r="D50" i="1703"/>
  <c r="R49" i="1703"/>
  <c r="D49" i="1703"/>
  <c r="R48" i="1703"/>
  <c r="D48" i="1703"/>
  <c r="D46" i="1703"/>
  <c r="D45" i="1703"/>
  <c r="R44" i="1703"/>
  <c r="L28" i="1703" s="1"/>
  <c r="D28" i="1703" s="1"/>
  <c r="D44" i="1703"/>
  <c r="R42" i="1703"/>
  <c r="D42" i="1703"/>
  <c r="R41" i="1703"/>
  <c r="D41" i="1703"/>
  <c r="R40" i="1703"/>
  <c r="D40" i="1703"/>
  <c r="R39" i="1703"/>
  <c r="L20" i="1703" s="1"/>
  <c r="D20" i="1703" s="1"/>
  <c r="H39" i="1703"/>
  <c r="D39" i="1703"/>
  <c r="R38" i="1703"/>
  <c r="H38" i="1703"/>
  <c r="D38" i="1703"/>
  <c r="R37" i="1703"/>
  <c r="H37" i="1703"/>
  <c r="D37" i="1703"/>
  <c r="R36" i="1703"/>
  <c r="H36" i="1703"/>
  <c r="D36" i="1703"/>
  <c r="R35" i="1703"/>
  <c r="H35" i="1703"/>
  <c r="D35" i="1703"/>
  <c r="R34" i="1703"/>
  <c r="H34" i="1703"/>
  <c r="G49" i="1703" s="1"/>
  <c r="D34" i="1703"/>
  <c r="D54" i="1703" s="1"/>
  <c r="H14" i="1703" s="1"/>
  <c r="R33" i="1703"/>
  <c r="R32" i="1703"/>
  <c r="R31" i="1703"/>
  <c r="R30" i="1703"/>
  <c r="R29" i="1703"/>
  <c r="R28" i="1703"/>
  <c r="R27" i="1703"/>
  <c r="D27" i="1703"/>
  <c r="R26" i="1703"/>
  <c r="L26" i="1703"/>
  <c r="D26" i="1703"/>
  <c r="R25" i="1703"/>
  <c r="L25" i="1703"/>
  <c r="D25" i="1703" s="1"/>
  <c r="R24" i="1703"/>
  <c r="L24" i="1703"/>
  <c r="D24" i="1703" s="1"/>
  <c r="R23" i="1703"/>
  <c r="D23" i="1703"/>
  <c r="R22" i="1703"/>
  <c r="D22" i="1703"/>
  <c r="R21" i="1703"/>
  <c r="D21" i="1703"/>
  <c r="R20" i="1703"/>
  <c r="R19" i="1703"/>
  <c r="D19" i="1703"/>
  <c r="R18" i="1703"/>
  <c r="D18" i="1703"/>
  <c r="R17" i="1703"/>
  <c r="L17" i="1703"/>
  <c r="D17" i="1703" s="1"/>
  <c r="R16" i="1703"/>
  <c r="L16" i="1703"/>
  <c r="D16" i="1703" s="1"/>
  <c r="R15" i="1703"/>
  <c r="D15" i="1703"/>
  <c r="R14" i="1703"/>
  <c r="D14" i="1703"/>
  <c r="R13" i="1703"/>
  <c r="D13" i="1703"/>
  <c r="R12" i="1703"/>
  <c r="L12" i="1703"/>
  <c r="D12" i="1703" s="1"/>
  <c r="R11" i="1703"/>
  <c r="L11" i="1703"/>
  <c r="D11" i="1703" s="1"/>
  <c r="L10" i="1703"/>
  <c r="D10" i="1703"/>
  <c r="L9" i="1703"/>
  <c r="D9" i="1703" s="1"/>
  <c r="L8" i="1703"/>
  <c r="D8" i="1703"/>
  <c r="L7" i="1703"/>
  <c r="D7" i="1703"/>
  <c r="R6" i="1703"/>
  <c r="L6" i="1703"/>
  <c r="D6" i="1703" s="1"/>
  <c r="R5" i="1703"/>
  <c r="R4" i="1703"/>
  <c r="R52" i="1702"/>
  <c r="R51" i="1702"/>
  <c r="D50" i="1702"/>
  <c r="R49" i="1702"/>
  <c r="G49" i="1702"/>
  <c r="D49" i="1702"/>
  <c r="R48" i="1702"/>
  <c r="D48" i="1702"/>
  <c r="D46" i="1702"/>
  <c r="D45" i="1702"/>
  <c r="D44" i="1702"/>
  <c r="R42" i="1702"/>
  <c r="D42" i="1702"/>
  <c r="R41" i="1702"/>
  <c r="L7" i="1702" s="1"/>
  <c r="D7" i="1702" s="1"/>
  <c r="D41" i="1702"/>
  <c r="R40" i="1702"/>
  <c r="L8" i="1702" s="1"/>
  <c r="D8" i="1702" s="1"/>
  <c r="D40" i="1702"/>
  <c r="R39" i="1702"/>
  <c r="D39" i="1702"/>
  <c r="R38" i="1702"/>
  <c r="D38" i="1702"/>
  <c r="R37" i="1702"/>
  <c r="D37" i="1702"/>
  <c r="R36" i="1702"/>
  <c r="L10" i="1702" s="1"/>
  <c r="D10" i="1702" s="1"/>
  <c r="D36" i="1702"/>
  <c r="R35" i="1702"/>
  <c r="D35" i="1702"/>
  <c r="R34" i="1702"/>
  <c r="L12" i="1702" s="1"/>
  <c r="D12" i="1702" s="1"/>
  <c r="D34" i="1702"/>
  <c r="D54" i="1702" s="1"/>
  <c r="H14" i="1702" s="1"/>
  <c r="R33" i="1702"/>
  <c r="L23" i="1702" s="1"/>
  <c r="D23" i="1702" s="1"/>
  <c r="R32" i="1702"/>
  <c r="L11" i="1702" s="1"/>
  <c r="D11" i="1702" s="1"/>
  <c r="R31" i="1702"/>
  <c r="R30" i="1702"/>
  <c r="R29" i="1702"/>
  <c r="R28" i="1702"/>
  <c r="L16" i="1702" s="1"/>
  <c r="D16" i="1702" s="1"/>
  <c r="D28" i="1702"/>
  <c r="R27" i="1702"/>
  <c r="D27" i="1702"/>
  <c r="R26" i="1702"/>
  <c r="L26" i="1702"/>
  <c r="D26" i="1702"/>
  <c r="R25" i="1702"/>
  <c r="L25" i="1702"/>
  <c r="D25" i="1702"/>
  <c r="R24" i="1702"/>
  <c r="D24" i="1702"/>
  <c r="R23" i="1702"/>
  <c r="R22" i="1702"/>
  <c r="L22" i="1702"/>
  <c r="D22" i="1702" s="1"/>
  <c r="R21" i="1702"/>
  <c r="D21" i="1702"/>
  <c r="R20" i="1702"/>
  <c r="L20" i="1702"/>
  <c r="D20" i="1702"/>
  <c r="R19" i="1702"/>
  <c r="L19" i="1702"/>
  <c r="D19" i="1702"/>
  <c r="R18" i="1702"/>
  <c r="D18" i="1702"/>
  <c r="R17" i="1702"/>
  <c r="D17" i="1702"/>
  <c r="R16" i="1702"/>
  <c r="S15" i="1702"/>
  <c r="R15" i="1702"/>
  <c r="D15" i="1702"/>
  <c r="S14" i="1702"/>
  <c r="R14" i="1702"/>
  <c r="D14" i="1702"/>
  <c r="R13" i="1702"/>
  <c r="D13" i="1702"/>
  <c r="R12" i="1702"/>
  <c r="R11" i="1702"/>
  <c r="L9" i="1702"/>
  <c r="D9" i="1702" s="1"/>
  <c r="R6" i="1702"/>
  <c r="L6" i="1702"/>
  <c r="D6" i="1702" s="1"/>
  <c r="R5" i="1702"/>
  <c r="R4" i="1702"/>
  <c r="R52" i="1701"/>
  <c r="R51" i="1701"/>
  <c r="D50" i="1701"/>
  <c r="R49" i="1701"/>
  <c r="D49" i="1701"/>
  <c r="R48" i="1701"/>
  <c r="D48" i="1701"/>
  <c r="D46" i="1701"/>
  <c r="D45" i="1701"/>
  <c r="R44" i="1701"/>
  <c r="D44" i="1701"/>
  <c r="R42" i="1701"/>
  <c r="L6" i="1701" s="1"/>
  <c r="D6" i="1701" s="1"/>
  <c r="D42" i="1701"/>
  <c r="R41" i="1701"/>
  <c r="D41" i="1701"/>
  <c r="R40" i="1701"/>
  <c r="D40" i="1701"/>
  <c r="R39" i="1701"/>
  <c r="H39" i="1701"/>
  <c r="D39" i="1701"/>
  <c r="R38" i="1701"/>
  <c r="L9" i="1701" s="1"/>
  <c r="D9" i="1701" s="1"/>
  <c r="H38" i="1701"/>
  <c r="D38" i="1701"/>
  <c r="R37" i="1701"/>
  <c r="H37" i="1701"/>
  <c r="D37" i="1701"/>
  <c r="R36" i="1701"/>
  <c r="H36" i="1701"/>
  <c r="D36" i="1701"/>
  <c r="R35" i="1701"/>
  <c r="H35" i="1701"/>
  <c r="D35" i="1701"/>
  <c r="R34" i="1701"/>
  <c r="L12" i="1701" s="1"/>
  <c r="D12" i="1701" s="1"/>
  <c r="H34" i="1701"/>
  <c r="G49" i="1701" s="1"/>
  <c r="D34" i="1701"/>
  <c r="D54" i="1701" s="1"/>
  <c r="H14" i="1701" s="1"/>
  <c r="R33" i="1701"/>
  <c r="L23" i="1701" s="1"/>
  <c r="D23" i="1701" s="1"/>
  <c r="R32" i="1701"/>
  <c r="L11" i="1701" s="1"/>
  <c r="D11" i="1701" s="1"/>
  <c r="R31" i="1701"/>
  <c r="R30" i="1701"/>
  <c r="R29" i="1701"/>
  <c r="R28" i="1701"/>
  <c r="L28" i="1701"/>
  <c r="D28" i="1701"/>
  <c r="R27" i="1701"/>
  <c r="D27" i="1701"/>
  <c r="R26" i="1701"/>
  <c r="L26" i="1701"/>
  <c r="D26" i="1701"/>
  <c r="R25" i="1701"/>
  <c r="L25" i="1701"/>
  <c r="D25" i="1701" s="1"/>
  <c r="R24" i="1701"/>
  <c r="D24" i="1701"/>
  <c r="R23" i="1701"/>
  <c r="R22" i="1701"/>
  <c r="L22" i="1701"/>
  <c r="D22" i="1701"/>
  <c r="R21" i="1701"/>
  <c r="D21" i="1701"/>
  <c r="R20" i="1701"/>
  <c r="L20" i="1701"/>
  <c r="D20" i="1701"/>
  <c r="R19" i="1701"/>
  <c r="L19" i="1701"/>
  <c r="D19" i="1701" s="1"/>
  <c r="R18" i="1701"/>
  <c r="D18" i="1701"/>
  <c r="R17" i="1701"/>
  <c r="D17" i="1701"/>
  <c r="R16" i="1701"/>
  <c r="L16" i="1701"/>
  <c r="D16" i="1701"/>
  <c r="R15" i="1701"/>
  <c r="D15" i="1701"/>
  <c r="R14" i="1701"/>
  <c r="D14" i="1701"/>
  <c r="R13" i="1701"/>
  <c r="D13" i="1701"/>
  <c r="R12" i="1701"/>
  <c r="R11" i="1701"/>
  <c r="L10" i="1701"/>
  <c r="D10" i="1701"/>
  <c r="L8" i="1701"/>
  <c r="D8" i="1701"/>
  <c r="L7" i="1701"/>
  <c r="D7" i="1701" s="1"/>
  <c r="R6" i="1701"/>
  <c r="R5" i="1701"/>
  <c r="R4" i="1701"/>
  <c r="R52" i="1700"/>
  <c r="R51" i="1700"/>
  <c r="D50" i="1700"/>
  <c r="R49" i="1700"/>
  <c r="D49" i="1700"/>
  <c r="R48" i="1700"/>
  <c r="D48" i="1700"/>
  <c r="D46" i="1700"/>
  <c r="D45" i="1700"/>
  <c r="R44" i="1700"/>
  <c r="D44" i="1700"/>
  <c r="R42" i="1700"/>
  <c r="L6" i="1700" s="1"/>
  <c r="D6" i="1700" s="1"/>
  <c r="D29" i="1700" s="1"/>
  <c r="H13" i="1700" s="1"/>
  <c r="H15" i="1700" s="1"/>
  <c r="H29" i="1700" s="1"/>
  <c r="D42" i="1700"/>
  <c r="R41" i="1700"/>
  <c r="D41" i="1700"/>
  <c r="R40" i="1700"/>
  <c r="D40" i="1700"/>
  <c r="R39" i="1700"/>
  <c r="H39" i="1700"/>
  <c r="D39" i="1700"/>
  <c r="R38" i="1700"/>
  <c r="L9" i="1700" s="1"/>
  <c r="D9" i="1700" s="1"/>
  <c r="H38" i="1700"/>
  <c r="D38" i="1700"/>
  <c r="R37" i="1700"/>
  <c r="H37" i="1700"/>
  <c r="D37" i="1700"/>
  <c r="R36" i="1700"/>
  <c r="L10" i="1700" s="1"/>
  <c r="D10" i="1700" s="1"/>
  <c r="H36" i="1700"/>
  <c r="D36" i="1700"/>
  <c r="R35" i="1700"/>
  <c r="H35" i="1700"/>
  <c r="D35" i="1700"/>
  <c r="R34" i="1700"/>
  <c r="H34" i="1700"/>
  <c r="G49" i="1700" s="1"/>
  <c r="D34" i="1700"/>
  <c r="D54" i="1700" s="1"/>
  <c r="H14" i="1700" s="1"/>
  <c r="R33" i="1700"/>
  <c r="R32" i="1700"/>
  <c r="R31" i="1700"/>
  <c r="R30" i="1700"/>
  <c r="R29" i="1700"/>
  <c r="R28" i="1700"/>
  <c r="L28" i="1700"/>
  <c r="D28" i="1700"/>
  <c r="R27" i="1700"/>
  <c r="D27" i="1700"/>
  <c r="R26" i="1700"/>
  <c r="L26" i="1700"/>
  <c r="D26" i="1700" s="1"/>
  <c r="R25" i="1700"/>
  <c r="L25" i="1700"/>
  <c r="D25" i="1700"/>
  <c r="R24" i="1700"/>
  <c r="L24" i="1700"/>
  <c r="D24" i="1700"/>
  <c r="R23" i="1700"/>
  <c r="L23" i="1700"/>
  <c r="D23" i="1700"/>
  <c r="R22" i="1700"/>
  <c r="L22" i="1700"/>
  <c r="D22" i="1700" s="1"/>
  <c r="R21" i="1700"/>
  <c r="D21" i="1700"/>
  <c r="R20" i="1700"/>
  <c r="L20" i="1700"/>
  <c r="D20" i="1700"/>
  <c r="R19" i="1700"/>
  <c r="L19" i="1700"/>
  <c r="D19" i="1700" s="1"/>
  <c r="R18" i="1700"/>
  <c r="D18" i="1700"/>
  <c r="R17" i="1700"/>
  <c r="L17" i="1700"/>
  <c r="D17" i="1700"/>
  <c r="R16" i="1700"/>
  <c r="L16" i="1700"/>
  <c r="D16" i="1700" s="1"/>
  <c r="R15" i="1700"/>
  <c r="D15" i="1700"/>
  <c r="R14" i="1700"/>
  <c r="D14" i="1700"/>
  <c r="R13" i="1700"/>
  <c r="D13" i="1700"/>
  <c r="R12" i="1700"/>
  <c r="L12" i="1700"/>
  <c r="D12" i="1700"/>
  <c r="R11" i="1700"/>
  <c r="L11" i="1700"/>
  <c r="D11" i="1700"/>
  <c r="L8" i="1700"/>
  <c r="D8" i="1700"/>
  <c r="L7" i="1700"/>
  <c r="D7" i="1700"/>
  <c r="R6" i="1700"/>
  <c r="R5" i="1700"/>
  <c r="R4" i="1700"/>
  <c r="R52" i="1699"/>
  <c r="R51" i="1699"/>
  <c r="D50" i="1699"/>
  <c r="R49" i="1699"/>
  <c r="D49" i="1699"/>
  <c r="R48" i="1699"/>
  <c r="D48" i="1699"/>
  <c r="D46" i="1699"/>
  <c r="D45" i="1699"/>
  <c r="R44" i="1699"/>
  <c r="L28" i="1699" s="1"/>
  <c r="D28" i="1699" s="1"/>
  <c r="D44" i="1699"/>
  <c r="R42" i="1699"/>
  <c r="L6" i="1699" s="1"/>
  <c r="D6" i="1699" s="1"/>
  <c r="D42" i="1699"/>
  <c r="R41" i="1699"/>
  <c r="L7" i="1699" s="1"/>
  <c r="D7" i="1699" s="1"/>
  <c r="D41" i="1699"/>
  <c r="R40" i="1699"/>
  <c r="D40" i="1699"/>
  <c r="R39" i="1699"/>
  <c r="L20" i="1699" s="1"/>
  <c r="D20" i="1699" s="1"/>
  <c r="H39" i="1699"/>
  <c r="D39" i="1699"/>
  <c r="R38" i="1699"/>
  <c r="H38" i="1699"/>
  <c r="D38" i="1699"/>
  <c r="R37" i="1699"/>
  <c r="H37" i="1699"/>
  <c r="D37" i="1699"/>
  <c r="R36" i="1699"/>
  <c r="H36" i="1699"/>
  <c r="D36" i="1699"/>
  <c r="R35" i="1699"/>
  <c r="H35" i="1699"/>
  <c r="D35" i="1699"/>
  <c r="R34" i="1699"/>
  <c r="L12" i="1699" s="1"/>
  <c r="D12" i="1699" s="1"/>
  <c r="H34" i="1699"/>
  <c r="G49" i="1699" s="1"/>
  <c r="D34" i="1699"/>
  <c r="D54" i="1699" s="1"/>
  <c r="H14" i="1699" s="1"/>
  <c r="R33" i="1699"/>
  <c r="R32" i="1699"/>
  <c r="R31" i="1699"/>
  <c r="R30" i="1699"/>
  <c r="R29" i="1699"/>
  <c r="R28" i="1699"/>
  <c r="R27" i="1699"/>
  <c r="D27" i="1699"/>
  <c r="R26" i="1699"/>
  <c r="L26" i="1699"/>
  <c r="D26" i="1699"/>
  <c r="R25" i="1699"/>
  <c r="L25" i="1699"/>
  <c r="D25" i="1699"/>
  <c r="R24" i="1699"/>
  <c r="L24" i="1699"/>
  <c r="D24" i="1699"/>
  <c r="R23" i="1699"/>
  <c r="D23" i="1699"/>
  <c r="R22" i="1699"/>
  <c r="D22" i="1699"/>
  <c r="R21" i="1699"/>
  <c r="D21" i="1699"/>
  <c r="R20" i="1699"/>
  <c r="R19" i="1699"/>
  <c r="D19" i="1699"/>
  <c r="R18" i="1699"/>
  <c r="D18" i="1699"/>
  <c r="R17" i="1699"/>
  <c r="L17" i="1699"/>
  <c r="D17" i="1699"/>
  <c r="R16" i="1699"/>
  <c r="L16" i="1699"/>
  <c r="D16" i="1699" s="1"/>
  <c r="R15" i="1699"/>
  <c r="D15" i="1699"/>
  <c r="R14" i="1699"/>
  <c r="D14" i="1699"/>
  <c r="R13" i="1699"/>
  <c r="D13" i="1699"/>
  <c r="R12" i="1699"/>
  <c r="R11" i="1699"/>
  <c r="L11" i="1699"/>
  <c r="D11" i="1699" s="1"/>
  <c r="L10" i="1699"/>
  <c r="D10" i="1699" s="1"/>
  <c r="L9" i="1699"/>
  <c r="D9" i="1699"/>
  <c r="L8" i="1699"/>
  <c r="D8" i="1699" s="1"/>
  <c r="R6" i="1699"/>
  <c r="R5" i="1699"/>
  <c r="R4" i="1699"/>
  <c r="R52" i="1698"/>
  <c r="R51" i="1698"/>
  <c r="D50" i="1698"/>
  <c r="R49" i="1698"/>
  <c r="G49" i="1698"/>
  <c r="D49" i="1698"/>
  <c r="R48" i="1698"/>
  <c r="D48" i="1698"/>
  <c r="D46" i="1698"/>
  <c r="D45" i="1698"/>
  <c r="D44" i="1698"/>
  <c r="R42" i="1698"/>
  <c r="D42" i="1698"/>
  <c r="R41" i="1698"/>
  <c r="L7" i="1698" s="1"/>
  <c r="D7" i="1698" s="1"/>
  <c r="D41" i="1698"/>
  <c r="R40" i="1698"/>
  <c r="L8" i="1698" s="1"/>
  <c r="D8" i="1698" s="1"/>
  <c r="D40" i="1698"/>
  <c r="R39" i="1698"/>
  <c r="D39" i="1698"/>
  <c r="R38" i="1698"/>
  <c r="D38" i="1698"/>
  <c r="R37" i="1698"/>
  <c r="D37" i="1698"/>
  <c r="R36" i="1698"/>
  <c r="D36" i="1698"/>
  <c r="R35" i="1698"/>
  <c r="D35" i="1698"/>
  <c r="R34" i="1698"/>
  <c r="L12" i="1698" s="1"/>
  <c r="D12" i="1698" s="1"/>
  <c r="D34" i="1698"/>
  <c r="D54" i="1698" s="1"/>
  <c r="H14" i="1698" s="1"/>
  <c r="R33" i="1698"/>
  <c r="L23" i="1698" s="1"/>
  <c r="D23" i="1698" s="1"/>
  <c r="R32" i="1698"/>
  <c r="L11" i="1698" s="1"/>
  <c r="D11" i="1698" s="1"/>
  <c r="R31" i="1698"/>
  <c r="R30" i="1698"/>
  <c r="R29" i="1698"/>
  <c r="R28" i="1698"/>
  <c r="L16" i="1698" s="1"/>
  <c r="D16" i="1698" s="1"/>
  <c r="D28" i="1698"/>
  <c r="R27" i="1698"/>
  <c r="D27" i="1698"/>
  <c r="R26" i="1698"/>
  <c r="L26" i="1698"/>
  <c r="D26" i="1698" s="1"/>
  <c r="R25" i="1698"/>
  <c r="L25" i="1698"/>
  <c r="D25" i="1698"/>
  <c r="R24" i="1698"/>
  <c r="D24" i="1698"/>
  <c r="R23" i="1698"/>
  <c r="R22" i="1698"/>
  <c r="L22" i="1698"/>
  <c r="D22" i="1698" s="1"/>
  <c r="R21" i="1698"/>
  <c r="D21" i="1698"/>
  <c r="R20" i="1698"/>
  <c r="L20" i="1698"/>
  <c r="D20" i="1698" s="1"/>
  <c r="R19" i="1698"/>
  <c r="L19" i="1698"/>
  <c r="D19" i="1698"/>
  <c r="R18" i="1698"/>
  <c r="D18" i="1698"/>
  <c r="R17" i="1698"/>
  <c r="D17" i="1698"/>
  <c r="R16" i="1698"/>
  <c r="S15" i="1698"/>
  <c r="R15" i="1698"/>
  <c r="D15" i="1698"/>
  <c r="S14" i="1698"/>
  <c r="R14" i="1698"/>
  <c r="D14" i="1698"/>
  <c r="R13" i="1698"/>
  <c r="D13" i="1698"/>
  <c r="R12" i="1698"/>
  <c r="R11" i="1698"/>
  <c r="L10" i="1698"/>
  <c r="D10" i="1698" s="1"/>
  <c r="L9" i="1698"/>
  <c r="D9" i="1698"/>
  <c r="R6" i="1698"/>
  <c r="L6" i="1698"/>
  <c r="D6" i="1698"/>
  <c r="R5" i="1698"/>
  <c r="R4" i="1698"/>
  <c r="R52" i="1697"/>
  <c r="R51" i="1697"/>
  <c r="D50" i="1697"/>
  <c r="R49" i="1697"/>
  <c r="D49" i="1697"/>
  <c r="R48" i="1697"/>
  <c r="D48" i="1697"/>
  <c r="D46" i="1697"/>
  <c r="D45" i="1697"/>
  <c r="R44" i="1697"/>
  <c r="D44" i="1697"/>
  <c r="R42" i="1697"/>
  <c r="L6" i="1697" s="1"/>
  <c r="D6" i="1697" s="1"/>
  <c r="D29" i="1697" s="1"/>
  <c r="H13" i="1697" s="1"/>
  <c r="H15" i="1697" s="1"/>
  <c r="H29" i="1697" s="1"/>
  <c r="D42" i="1697"/>
  <c r="R41" i="1697"/>
  <c r="D41" i="1697"/>
  <c r="R40" i="1697"/>
  <c r="D40" i="1697"/>
  <c r="R39" i="1697"/>
  <c r="H39" i="1697"/>
  <c r="D39" i="1697"/>
  <c r="R38" i="1697"/>
  <c r="L9" i="1697" s="1"/>
  <c r="D9" i="1697" s="1"/>
  <c r="H38" i="1697"/>
  <c r="D38" i="1697"/>
  <c r="R37" i="1697"/>
  <c r="H37" i="1697"/>
  <c r="D37" i="1697"/>
  <c r="R36" i="1697"/>
  <c r="H36" i="1697"/>
  <c r="D36" i="1697"/>
  <c r="R35" i="1697"/>
  <c r="H35" i="1697"/>
  <c r="D35" i="1697"/>
  <c r="R34" i="1697"/>
  <c r="L12" i="1697" s="1"/>
  <c r="D12" i="1697" s="1"/>
  <c r="H34" i="1697"/>
  <c r="G49" i="1697" s="1"/>
  <c r="D34" i="1697"/>
  <c r="D54" i="1697" s="1"/>
  <c r="H14" i="1697" s="1"/>
  <c r="R33" i="1697"/>
  <c r="R32" i="1697"/>
  <c r="R31" i="1697"/>
  <c r="R30" i="1697"/>
  <c r="R29" i="1697"/>
  <c r="R28" i="1697"/>
  <c r="L28" i="1697"/>
  <c r="D28" i="1697"/>
  <c r="R27" i="1697"/>
  <c r="D27" i="1697"/>
  <c r="R26" i="1697"/>
  <c r="L26" i="1697"/>
  <c r="D26" i="1697" s="1"/>
  <c r="R25" i="1697"/>
  <c r="L25" i="1697"/>
  <c r="D25" i="1697" s="1"/>
  <c r="R24" i="1697"/>
  <c r="D24" i="1697"/>
  <c r="R23" i="1697"/>
  <c r="L23" i="1697"/>
  <c r="D23" i="1697"/>
  <c r="R22" i="1697"/>
  <c r="L22" i="1697"/>
  <c r="D22" i="1697"/>
  <c r="R21" i="1697"/>
  <c r="D21" i="1697"/>
  <c r="R20" i="1697"/>
  <c r="L20" i="1697"/>
  <c r="D20" i="1697" s="1"/>
  <c r="R19" i="1697"/>
  <c r="L19" i="1697"/>
  <c r="D19" i="1697" s="1"/>
  <c r="R18" i="1697"/>
  <c r="D18" i="1697"/>
  <c r="R17" i="1697"/>
  <c r="D17" i="1697"/>
  <c r="R16" i="1697"/>
  <c r="L16" i="1697"/>
  <c r="D16" i="1697" s="1"/>
  <c r="R15" i="1697"/>
  <c r="D15" i="1697"/>
  <c r="R14" i="1697"/>
  <c r="D14" i="1697"/>
  <c r="R13" i="1697"/>
  <c r="D13" i="1697"/>
  <c r="R12" i="1697"/>
  <c r="R11" i="1697"/>
  <c r="L11" i="1697"/>
  <c r="D11" i="1697"/>
  <c r="L10" i="1697"/>
  <c r="D10" i="1697"/>
  <c r="L8" i="1697"/>
  <c r="D8" i="1697"/>
  <c r="L7" i="1697"/>
  <c r="D7" i="1697" s="1"/>
  <c r="R6" i="1697"/>
  <c r="R5" i="1697"/>
  <c r="R4" i="1697"/>
  <c r="R52" i="1696"/>
  <c r="R51" i="1696"/>
  <c r="D50" i="1696"/>
  <c r="R49" i="1696"/>
  <c r="D49" i="1696"/>
  <c r="R48" i="1696"/>
  <c r="D48" i="1696"/>
  <c r="D46" i="1696"/>
  <c r="D45" i="1696"/>
  <c r="R44" i="1696"/>
  <c r="D44" i="1696"/>
  <c r="R42" i="1696"/>
  <c r="L6" i="1696" s="1"/>
  <c r="D6" i="1696" s="1"/>
  <c r="D42" i="1696"/>
  <c r="R41" i="1696"/>
  <c r="L7" i="1696" s="1"/>
  <c r="D7" i="1696" s="1"/>
  <c r="D41" i="1696"/>
  <c r="R40" i="1696"/>
  <c r="D40" i="1696"/>
  <c r="R39" i="1696"/>
  <c r="H39" i="1696"/>
  <c r="D39" i="1696"/>
  <c r="R38" i="1696"/>
  <c r="L9" i="1696" s="1"/>
  <c r="D9" i="1696" s="1"/>
  <c r="H38" i="1696"/>
  <c r="D38" i="1696"/>
  <c r="R37" i="1696"/>
  <c r="H37" i="1696"/>
  <c r="D37" i="1696"/>
  <c r="R36" i="1696"/>
  <c r="H36" i="1696"/>
  <c r="D36" i="1696"/>
  <c r="D54" i="1696" s="1"/>
  <c r="H14" i="1696" s="1"/>
  <c r="R35" i="1696"/>
  <c r="L19" i="1696" s="1"/>
  <c r="D19" i="1696" s="1"/>
  <c r="H35" i="1696"/>
  <c r="D35" i="1696"/>
  <c r="R34" i="1696"/>
  <c r="L12" i="1696" s="1"/>
  <c r="D12" i="1696" s="1"/>
  <c r="H34" i="1696"/>
  <c r="G49" i="1696" s="1"/>
  <c r="D34" i="1696"/>
  <c r="R33" i="1696"/>
  <c r="R32" i="1696"/>
  <c r="R31" i="1696"/>
  <c r="R30" i="1696"/>
  <c r="R29" i="1696"/>
  <c r="R28" i="1696"/>
  <c r="L28" i="1696"/>
  <c r="D28" i="1696"/>
  <c r="R27" i="1696"/>
  <c r="D27" i="1696"/>
  <c r="R26" i="1696"/>
  <c r="L26" i="1696"/>
  <c r="D26" i="1696"/>
  <c r="R25" i="1696"/>
  <c r="L25" i="1696"/>
  <c r="D25" i="1696"/>
  <c r="R24" i="1696"/>
  <c r="L24" i="1696"/>
  <c r="D24" i="1696"/>
  <c r="R23" i="1696"/>
  <c r="L23" i="1696"/>
  <c r="D23" i="1696" s="1"/>
  <c r="R22" i="1696"/>
  <c r="L22" i="1696"/>
  <c r="D22" i="1696" s="1"/>
  <c r="R21" i="1696"/>
  <c r="D21" i="1696"/>
  <c r="R20" i="1696"/>
  <c r="L20" i="1696"/>
  <c r="D20" i="1696" s="1"/>
  <c r="R19" i="1696"/>
  <c r="R18" i="1696"/>
  <c r="D18" i="1696"/>
  <c r="R17" i="1696"/>
  <c r="L17" i="1696"/>
  <c r="D17" i="1696" s="1"/>
  <c r="R16" i="1696"/>
  <c r="L16" i="1696"/>
  <c r="D16" i="1696" s="1"/>
  <c r="R15" i="1696"/>
  <c r="D15" i="1696"/>
  <c r="R14" i="1696"/>
  <c r="D14" i="1696"/>
  <c r="R13" i="1696"/>
  <c r="D13" i="1696"/>
  <c r="R12" i="1696"/>
  <c r="R11" i="1696"/>
  <c r="L11" i="1696"/>
  <c r="D11" i="1696"/>
  <c r="L10" i="1696"/>
  <c r="D10" i="1696" s="1"/>
  <c r="L8" i="1696"/>
  <c r="D8" i="1696" s="1"/>
  <c r="R6" i="1696"/>
  <c r="R5" i="1696"/>
  <c r="R4" i="1696"/>
  <c r="R52" i="1695"/>
  <c r="R51" i="1695"/>
  <c r="D50" i="1695"/>
  <c r="R49" i="1695"/>
  <c r="D49" i="1695"/>
  <c r="R48" i="1695"/>
  <c r="D48" i="1695"/>
  <c r="D46" i="1695"/>
  <c r="D45" i="1695"/>
  <c r="R44" i="1695"/>
  <c r="D44" i="1695"/>
  <c r="R42" i="1695"/>
  <c r="L6" i="1695" s="1"/>
  <c r="D6" i="1695" s="1"/>
  <c r="D42" i="1695"/>
  <c r="R41" i="1695"/>
  <c r="L7" i="1695" s="1"/>
  <c r="D7" i="1695" s="1"/>
  <c r="D41" i="1695"/>
  <c r="R40" i="1695"/>
  <c r="L8" i="1695" s="1"/>
  <c r="D8" i="1695" s="1"/>
  <c r="D40" i="1695"/>
  <c r="R39" i="1695"/>
  <c r="H39" i="1695"/>
  <c r="D39" i="1695"/>
  <c r="R38" i="1695"/>
  <c r="H38" i="1695"/>
  <c r="D38" i="1695"/>
  <c r="R37" i="1695"/>
  <c r="H37" i="1695"/>
  <c r="D37" i="1695"/>
  <c r="R36" i="1695"/>
  <c r="H36" i="1695"/>
  <c r="G49" i="1695" s="1"/>
  <c r="D36" i="1695"/>
  <c r="D54" i="1695" s="1"/>
  <c r="H14" i="1695" s="1"/>
  <c r="R35" i="1695"/>
  <c r="H35" i="1695"/>
  <c r="D35" i="1695"/>
  <c r="R34" i="1695"/>
  <c r="H34" i="1695"/>
  <c r="D34" i="1695"/>
  <c r="R33" i="1695"/>
  <c r="R32" i="1695"/>
  <c r="R31" i="1695"/>
  <c r="R30" i="1695"/>
  <c r="R29" i="1695"/>
  <c r="R28" i="1695"/>
  <c r="L16" i="1695" s="1"/>
  <c r="D16" i="1695" s="1"/>
  <c r="L28" i="1695"/>
  <c r="D28" i="1695"/>
  <c r="R27" i="1695"/>
  <c r="D27" i="1695"/>
  <c r="R26" i="1695"/>
  <c r="L26" i="1695"/>
  <c r="D26" i="1695" s="1"/>
  <c r="R25" i="1695"/>
  <c r="L25" i="1695"/>
  <c r="D25" i="1695"/>
  <c r="R24" i="1695"/>
  <c r="L24" i="1695"/>
  <c r="D24" i="1695"/>
  <c r="R23" i="1695"/>
  <c r="D23" i="1695"/>
  <c r="R22" i="1695"/>
  <c r="D22" i="1695"/>
  <c r="R21" i="1695"/>
  <c r="D21" i="1695"/>
  <c r="R20" i="1695"/>
  <c r="L20" i="1695"/>
  <c r="D20" i="1695" s="1"/>
  <c r="R19" i="1695"/>
  <c r="D19" i="1695"/>
  <c r="R18" i="1695"/>
  <c r="D18" i="1695"/>
  <c r="R17" i="1695"/>
  <c r="L17" i="1695"/>
  <c r="D17" i="1695"/>
  <c r="R16" i="1695"/>
  <c r="R15" i="1695"/>
  <c r="D15" i="1695"/>
  <c r="R14" i="1695"/>
  <c r="D14" i="1695"/>
  <c r="R13" i="1695"/>
  <c r="D13" i="1695"/>
  <c r="R12" i="1695"/>
  <c r="L12" i="1695"/>
  <c r="D12" i="1695" s="1"/>
  <c r="R11" i="1695"/>
  <c r="L11" i="1695"/>
  <c r="D11" i="1695" s="1"/>
  <c r="L10" i="1695"/>
  <c r="D10" i="1695"/>
  <c r="L9" i="1695"/>
  <c r="D9" i="1695" s="1"/>
  <c r="R6" i="1695"/>
  <c r="R5" i="1695"/>
  <c r="R4" i="1695"/>
  <c r="R52" i="1694"/>
  <c r="R51" i="1694"/>
  <c r="D50" i="1694"/>
  <c r="R49" i="1694"/>
  <c r="G49" i="1694"/>
  <c r="D49" i="1694"/>
  <c r="R48" i="1694"/>
  <c r="D48" i="1694"/>
  <c r="D46" i="1694"/>
  <c r="D45" i="1694"/>
  <c r="D44" i="1694"/>
  <c r="R42" i="1694"/>
  <c r="L6" i="1694" s="1"/>
  <c r="D6" i="1694" s="1"/>
  <c r="D29" i="1694" s="1"/>
  <c r="H13" i="1694" s="1"/>
  <c r="H15" i="1694" s="1"/>
  <c r="H29" i="1694" s="1"/>
  <c r="D42" i="1694"/>
  <c r="R41" i="1694"/>
  <c r="L7" i="1694" s="1"/>
  <c r="D7" i="1694" s="1"/>
  <c r="D41" i="1694"/>
  <c r="D54" i="1694" s="1"/>
  <c r="H14" i="1694" s="1"/>
  <c r="R40" i="1694"/>
  <c r="D40" i="1694"/>
  <c r="R39" i="1694"/>
  <c r="D39" i="1694"/>
  <c r="R38" i="1694"/>
  <c r="L9" i="1694" s="1"/>
  <c r="D9" i="1694" s="1"/>
  <c r="D38" i="1694"/>
  <c r="R37" i="1694"/>
  <c r="D37" i="1694"/>
  <c r="R36" i="1694"/>
  <c r="L10" i="1694" s="1"/>
  <c r="D10" i="1694" s="1"/>
  <c r="D36" i="1694"/>
  <c r="R35" i="1694"/>
  <c r="L19" i="1694" s="1"/>
  <c r="D19" i="1694" s="1"/>
  <c r="D35" i="1694"/>
  <c r="R34" i="1694"/>
  <c r="L12" i="1694" s="1"/>
  <c r="D12" i="1694" s="1"/>
  <c r="D34" i="1694"/>
  <c r="R33" i="1694"/>
  <c r="L23" i="1694" s="1"/>
  <c r="D23" i="1694" s="1"/>
  <c r="R32" i="1694"/>
  <c r="L11" i="1694" s="1"/>
  <c r="D11" i="1694" s="1"/>
  <c r="R31" i="1694"/>
  <c r="R30" i="1694"/>
  <c r="R29" i="1694"/>
  <c r="R28" i="1694"/>
  <c r="D28" i="1694"/>
  <c r="R27" i="1694"/>
  <c r="D27" i="1694"/>
  <c r="R26" i="1694"/>
  <c r="L26" i="1694"/>
  <c r="D26" i="1694" s="1"/>
  <c r="R25" i="1694"/>
  <c r="L25" i="1694"/>
  <c r="D25" i="1694"/>
  <c r="R24" i="1694"/>
  <c r="D24" i="1694"/>
  <c r="R23" i="1694"/>
  <c r="R22" i="1694"/>
  <c r="L22" i="1694"/>
  <c r="D22" i="1694"/>
  <c r="R21" i="1694"/>
  <c r="D21" i="1694"/>
  <c r="R20" i="1694"/>
  <c r="L20" i="1694"/>
  <c r="D20" i="1694" s="1"/>
  <c r="R19" i="1694"/>
  <c r="R18" i="1694"/>
  <c r="D18" i="1694"/>
  <c r="R17" i="1694"/>
  <c r="D17" i="1694"/>
  <c r="R16" i="1694"/>
  <c r="L16" i="1694"/>
  <c r="D16" i="1694" s="1"/>
  <c r="S15" i="1694"/>
  <c r="R15" i="1694"/>
  <c r="D15" i="1694"/>
  <c r="S14" i="1694"/>
  <c r="R14" i="1694"/>
  <c r="D14" i="1694"/>
  <c r="R13" i="1694"/>
  <c r="D13" i="1694"/>
  <c r="R12" i="1694"/>
  <c r="R11" i="1694"/>
  <c r="L8" i="1694"/>
  <c r="D8" i="1694"/>
  <c r="R6" i="1694"/>
  <c r="R5" i="1694"/>
  <c r="R4" i="1694"/>
  <c r="R52" i="1693"/>
  <c r="L22" i="1693" s="1"/>
  <c r="D22" i="1693" s="1"/>
  <c r="R51" i="1693"/>
  <c r="D50" i="1693"/>
  <c r="R49" i="1693"/>
  <c r="D49" i="1693"/>
  <c r="R48" i="1693"/>
  <c r="D48" i="1693"/>
  <c r="D46" i="1693"/>
  <c r="D45" i="1693"/>
  <c r="R44" i="1693"/>
  <c r="D44" i="1693"/>
  <c r="R42" i="1693"/>
  <c r="D42" i="1693"/>
  <c r="R41" i="1693"/>
  <c r="L7" i="1693" s="1"/>
  <c r="D7" i="1693" s="1"/>
  <c r="D41" i="1693"/>
  <c r="R40" i="1693"/>
  <c r="D40" i="1693"/>
  <c r="R39" i="1693"/>
  <c r="H39" i="1693"/>
  <c r="D39" i="1693"/>
  <c r="R38" i="1693"/>
  <c r="H38" i="1693"/>
  <c r="D38" i="1693"/>
  <c r="D54" i="1693" s="1"/>
  <c r="H14" i="1693" s="1"/>
  <c r="R37" i="1693"/>
  <c r="H37" i="1693"/>
  <c r="D37" i="1693"/>
  <c r="R36" i="1693"/>
  <c r="H36" i="1693"/>
  <c r="D36" i="1693"/>
  <c r="R35" i="1693"/>
  <c r="L19" i="1693" s="1"/>
  <c r="D19" i="1693" s="1"/>
  <c r="H35" i="1693"/>
  <c r="D35" i="1693"/>
  <c r="R34" i="1693"/>
  <c r="H34" i="1693"/>
  <c r="G49" i="1693" s="1"/>
  <c r="D34" i="1693"/>
  <c r="R33" i="1693"/>
  <c r="L23" i="1693" s="1"/>
  <c r="D23" i="1693" s="1"/>
  <c r="R32" i="1693"/>
  <c r="R31" i="1693"/>
  <c r="R30" i="1693"/>
  <c r="R29" i="1693"/>
  <c r="R28" i="1693"/>
  <c r="L28" i="1693"/>
  <c r="D28" i="1693"/>
  <c r="R27" i="1693"/>
  <c r="D27" i="1693"/>
  <c r="R26" i="1693"/>
  <c r="L26" i="1693"/>
  <c r="D26" i="1693"/>
  <c r="R25" i="1693"/>
  <c r="L25" i="1693"/>
  <c r="D25" i="1693"/>
  <c r="R24" i="1693"/>
  <c r="D24" i="1693"/>
  <c r="R23" i="1693"/>
  <c r="R22" i="1693"/>
  <c r="R21" i="1693"/>
  <c r="D21" i="1693"/>
  <c r="R20" i="1693"/>
  <c r="L20" i="1693"/>
  <c r="D20" i="1693"/>
  <c r="R19" i="1693"/>
  <c r="R18" i="1693"/>
  <c r="D18" i="1693"/>
  <c r="R17" i="1693"/>
  <c r="D17" i="1693"/>
  <c r="R16" i="1693"/>
  <c r="L16" i="1693"/>
  <c r="D16" i="1693"/>
  <c r="R15" i="1693"/>
  <c r="D15" i="1693"/>
  <c r="R14" i="1693"/>
  <c r="D14" i="1693"/>
  <c r="R13" i="1693"/>
  <c r="D13" i="1693"/>
  <c r="R12" i="1693"/>
  <c r="L12" i="1693"/>
  <c r="D12" i="1693" s="1"/>
  <c r="R11" i="1693"/>
  <c r="L11" i="1693"/>
  <c r="D11" i="1693" s="1"/>
  <c r="L10" i="1693"/>
  <c r="D10" i="1693"/>
  <c r="L9" i="1693"/>
  <c r="D9" i="1693"/>
  <c r="L8" i="1693"/>
  <c r="D8" i="1693"/>
  <c r="R6" i="1693"/>
  <c r="L6" i="1693"/>
  <c r="D6" i="1693"/>
  <c r="R5" i="1693"/>
  <c r="R4" i="1693"/>
  <c r="R52" i="1692"/>
  <c r="R51" i="1692"/>
  <c r="D50" i="1692"/>
  <c r="R49" i="1692"/>
  <c r="G49" i="1692"/>
  <c r="D49" i="1692"/>
  <c r="R48" i="1692"/>
  <c r="D48" i="1692"/>
  <c r="D46" i="1692"/>
  <c r="D45" i="1692"/>
  <c r="R44" i="1692"/>
  <c r="D44" i="1692"/>
  <c r="R42" i="1692"/>
  <c r="D42" i="1692"/>
  <c r="R41" i="1692"/>
  <c r="D41" i="1692"/>
  <c r="R40" i="1692"/>
  <c r="D40" i="1692"/>
  <c r="R39" i="1692"/>
  <c r="L20" i="1692" s="1"/>
  <c r="D20" i="1692" s="1"/>
  <c r="H39" i="1692"/>
  <c r="D39" i="1692"/>
  <c r="R38" i="1692"/>
  <c r="L9" i="1692" s="1"/>
  <c r="D9" i="1692" s="1"/>
  <c r="H38" i="1692"/>
  <c r="D38" i="1692"/>
  <c r="R37" i="1692"/>
  <c r="H37" i="1692"/>
  <c r="D37" i="1692"/>
  <c r="R36" i="1692"/>
  <c r="L10" i="1692" s="1"/>
  <c r="D10" i="1692" s="1"/>
  <c r="H36" i="1692"/>
  <c r="D36" i="1692"/>
  <c r="R35" i="1692"/>
  <c r="H35" i="1692"/>
  <c r="D35" i="1692"/>
  <c r="R34" i="1692"/>
  <c r="H34" i="1692"/>
  <c r="D34" i="1692"/>
  <c r="D54" i="1692" s="1"/>
  <c r="H14" i="1692" s="1"/>
  <c r="R33" i="1692"/>
  <c r="L23" i="1692" s="1"/>
  <c r="D23" i="1692" s="1"/>
  <c r="R32" i="1692"/>
  <c r="L11" i="1692" s="1"/>
  <c r="D11" i="1692" s="1"/>
  <c r="R31" i="1692"/>
  <c r="R30" i="1692"/>
  <c r="R29" i="1692"/>
  <c r="R28" i="1692"/>
  <c r="L28" i="1692"/>
  <c r="D28" i="1692"/>
  <c r="R27" i="1692"/>
  <c r="D27" i="1692"/>
  <c r="R26" i="1692"/>
  <c r="L26" i="1692"/>
  <c r="D26" i="1692"/>
  <c r="R25" i="1692"/>
  <c r="L25" i="1692"/>
  <c r="D25" i="1692"/>
  <c r="R24" i="1692"/>
  <c r="L24" i="1692"/>
  <c r="D24" i="1692"/>
  <c r="R23" i="1692"/>
  <c r="R22" i="1692"/>
  <c r="L22" i="1692"/>
  <c r="D22" i="1692" s="1"/>
  <c r="R21" i="1692"/>
  <c r="D21" i="1692"/>
  <c r="R20" i="1692"/>
  <c r="R19" i="1692"/>
  <c r="L19" i="1692"/>
  <c r="D19" i="1692" s="1"/>
  <c r="R18" i="1692"/>
  <c r="D18" i="1692"/>
  <c r="R17" i="1692"/>
  <c r="L17" i="1692"/>
  <c r="D17" i="1692"/>
  <c r="R16" i="1692"/>
  <c r="L16" i="1692"/>
  <c r="D16" i="1692" s="1"/>
  <c r="R15" i="1692"/>
  <c r="D15" i="1692"/>
  <c r="R14" i="1692"/>
  <c r="D14" i="1692"/>
  <c r="R13" i="1692"/>
  <c r="D13" i="1692"/>
  <c r="R12" i="1692"/>
  <c r="L12" i="1692"/>
  <c r="D12" i="1692" s="1"/>
  <c r="R11" i="1692"/>
  <c r="L8" i="1692"/>
  <c r="D8" i="1692"/>
  <c r="L7" i="1692"/>
  <c r="D7" i="1692"/>
  <c r="R6" i="1692"/>
  <c r="L6" i="1692"/>
  <c r="D6" i="1692"/>
  <c r="D29" i="1692" s="1"/>
  <c r="H13" i="1692" s="1"/>
  <c r="H15" i="1692" s="1"/>
  <c r="H29" i="1692" s="1"/>
  <c r="R5" i="1692"/>
  <c r="R4" i="1692"/>
  <c r="D54" i="1691"/>
  <c r="H14" i="1691" s="1"/>
  <c r="R52" i="1691"/>
  <c r="R51" i="1691"/>
  <c r="D50" i="1691"/>
  <c r="R49" i="1691"/>
  <c r="D49" i="1691"/>
  <c r="R48" i="1691"/>
  <c r="D48" i="1691"/>
  <c r="D46" i="1691"/>
  <c r="D45" i="1691"/>
  <c r="R44" i="1691"/>
  <c r="D44" i="1691"/>
  <c r="R42" i="1691"/>
  <c r="L6" i="1691" s="1"/>
  <c r="D6" i="1691" s="1"/>
  <c r="D42" i="1691"/>
  <c r="R41" i="1691"/>
  <c r="L7" i="1691" s="1"/>
  <c r="D7" i="1691" s="1"/>
  <c r="D41" i="1691"/>
  <c r="R40" i="1691"/>
  <c r="D40" i="1691"/>
  <c r="R39" i="1691"/>
  <c r="H39" i="1691"/>
  <c r="D39" i="1691"/>
  <c r="R38" i="1691"/>
  <c r="H38" i="1691"/>
  <c r="D38" i="1691"/>
  <c r="R37" i="1691"/>
  <c r="H37" i="1691"/>
  <c r="D37" i="1691"/>
  <c r="R36" i="1691"/>
  <c r="H36" i="1691"/>
  <c r="G49" i="1691" s="1"/>
  <c r="D36" i="1691"/>
  <c r="R35" i="1691"/>
  <c r="H35" i="1691"/>
  <c r="D35" i="1691"/>
  <c r="R34" i="1691"/>
  <c r="H34" i="1691"/>
  <c r="D34" i="1691"/>
  <c r="R33" i="1691"/>
  <c r="R32" i="1691"/>
  <c r="R31" i="1691"/>
  <c r="R30" i="1691"/>
  <c r="R29" i="1691"/>
  <c r="R28" i="1691"/>
  <c r="L28" i="1691"/>
  <c r="D28" i="1691"/>
  <c r="R27" i="1691"/>
  <c r="D27" i="1691"/>
  <c r="R26" i="1691"/>
  <c r="L26" i="1691"/>
  <c r="D26" i="1691" s="1"/>
  <c r="R25" i="1691"/>
  <c r="L25" i="1691"/>
  <c r="D25" i="1691" s="1"/>
  <c r="R24" i="1691"/>
  <c r="L24" i="1691"/>
  <c r="D24" i="1691"/>
  <c r="R23" i="1691"/>
  <c r="D23" i="1691"/>
  <c r="R22" i="1691"/>
  <c r="D22" i="1691"/>
  <c r="R21" i="1691"/>
  <c r="D21" i="1691"/>
  <c r="R20" i="1691"/>
  <c r="L20" i="1691"/>
  <c r="D20" i="1691"/>
  <c r="R19" i="1691"/>
  <c r="D19" i="1691"/>
  <c r="R18" i="1691"/>
  <c r="D18" i="1691"/>
  <c r="R17" i="1691"/>
  <c r="L17" i="1691"/>
  <c r="D17" i="1691"/>
  <c r="R16" i="1691"/>
  <c r="L16" i="1691"/>
  <c r="D16" i="1691" s="1"/>
  <c r="R15" i="1691"/>
  <c r="D15" i="1691"/>
  <c r="R14" i="1691"/>
  <c r="D14" i="1691"/>
  <c r="R13" i="1691"/>
  <c r="D13" i="1691"/>
  <c r="R12" i="1691"/>
  <c r="L12" i="1691"/>
  <c r="D12" i="1691" s="1"/>
  <c r="R11" i="1691"/>
  <c r="L11" i="1691"/>
  <c r="D11" i="1691"/>
  <c r="L10" i="1691"/>
  <c r="D10" i="1691"/>
  <c r="L9" i="1691"/>
  <c r="D9" i="1691"/>
  <c r="L8" i="1691"/>
  <c r="D8" i="1691"/>
  <c r="R6" i="1691"/>
  <c r="R5" i="1691"/>
  <c r="R4" i="1691"/>
  <c r="R52" i="1690"/>
  <c r="R51" i="1690"/>
  <c r="D50" i="1690"/>
  <c r="R49" i="1690"/>
  <c r="G49" i="1690"/>
  <c r="D49" i="1690"/>
  <c r="R48" i="1690"/>
  <c r="D48" i="1690"/>
  <c r="D46" i="1690"/>
  <c r="D45" i="1690"/>
  <c r="D44" i="1690"/>
  <c r="R42" i="1690"/>
  <c r="L6" i="1690" s="1"/>
  <c r="D6" i="1690" s="1"/>
  <c r="D42" i="1690"/>
  <c r="R41" i="1690"/>
  <c r="L7" i="1690" s="1"/>
  <c r="D7" i="1690" s="1"/>
  <c r="D41" i="1690"/>
  <c r="R40" i="1690"/>
  <c r="D40" i="1690"/>
  <c r="R39" i="1690"/>
  <c r="D39" i="1690"/>
  <c r="R38" i="1690"/>
  <c r="D38" i="1690"/>
  <c r="R37" i="1690"/>
  <c r="D37" i="1690"/>
  <c r="R36" i="1690"/>
  <c r="L10" i="1690" s="1"/>
  <c r="D10" i="1690" s="1"/>
  <c r="D36" i="1690"/>
  <c r="R35" i="1690"/>
  <c r="D35" i="1690"/>
  <c r="R34" i="1690"/>
  <c r="L12" i="1690" s="1"/>
  <c r="D12" i="1690" s="1"/>
  <c r="D34" i="1690"/>
  <c r="D54" i="1690" s="1"/>
  <c r="H14" i="1690" s="1"/>
  <c r="R33" i="1690"/>
  <c r="L23" i="1690" s="1"/>
  <c r="D23" i="1690" s="1"/>
  <c r="R32" i="1690"/>
  <c r="R31" i="1690"/>
  <c r="R30" i="1690"/>
  <c r="R29" i="1690"/>
  <c r="R28" i="1690"/>
  <c r="L16" i="1690" s="1"/>
  <c r="D16" i="1690" s="1"/>
  <c r="D28" i="1690"/>
  <c r="R27" i="1690"/>
  <c r="D27" i="1690"/>
  <c r="R26" i="1690"/>
  <c r="L26" i="1690"/>
  <c r="D26" i="1690"/>
  <c r="R25" i="1690"/>
  <c r="L25" i="1690"/>
  <c r="D25" i="1690"/>
  <c r="R24" i="1690"/>
  <c r="D24" i="1690"/>
  <c r="R23" i="1690"/>
  <c r="R22" i="1690"/>
  <c r="L22" i="1690"/>
  <c r="D22" i="1690" s="1"/>
  <c r="R21" i="1690"/>
  <c r="D21" i="1690"/>
  <c r="R20" i="1690"/>
  <c r="L20" i="1690"/>
  <c r="D20" i="1690"/>
  <c r="R19" i="1690"/>
  <c r="L19" i="1690"/>
  <c r="D19" i="1690"/>
  <c r="R18" i="1690"/>
  <c r="D18" i="1690"/>
  <c r="R17" i="1690"/>
  <c r="D17" i="1690"/>
  <c r="R16" i="1690"/>
  <c r="S15" i="1690"/>
  <c r="R15" i="1690"/>
  <c r="D15" i="1690"/>
  <c r="S14" i="1690"/>
  <c r="R14" i="1690"/>
  <c r="D14" i="1690"/>
  <c r="R13" i="1690"/>
  <c r="D13" i="1690"/>
  <c r="R12" i="1690"/>
  <c r="R11" i="1690"/>
  <c r="L11" i="1690"/>
  <c r="D11" i="1690" s="1"/>
  <c r="L9" i="1690"/>
  <c r="D9" i="1690"/>
  <c r="L8" i="1690"/>
  <c r="D8" i="1690"/>
  <c r="R6" i="1690"/>
  <c r="R5" i="1690"/>
  <c r="R4" i="1690"/>
  <c r="R52" i="1689"/>
  <c r="L22" i="1689" s="1"/>
  <c r="D22" i="1689" s="1"/>
  <c r="R51" i="1689"/>
  <c r="D50" i="1689"/>
  <c r="R49" i="1689"/>
  <c r="D49" i="1689"/>
  <c r="R48" i="1689"/>
  <c r="D48" i="1689"/>
  <c r="D46" i="1689"/>
  <c r="D45" i="1689"/>
  <c r="R44" i="1689"/>
  <c r="L28" i="1689" s="1"/>
  <c r="D28" i="1689" s="1"/>
  <c r="D44" i="1689"/>
  <c r="R42" i="1689"/>
  <c r="D42" i="1689"/>
  <c r="R41" i="1689"/>
  <c r="D41" i="1689"/>
  <c r="R40" i="1689"/>
  <c r="D40" i="1689"/>
  <c r="R39" i="1689"/>
  <c r="H39" i="1689"/>
  <c r="D39" i="1689"/>
  <c r="R38" i="1689"/>
  <c r="H38" i="1689"/>
  <c r="D38" i="1689"/>
  <c r="R37" i="1689"/>
  <c r="H37" i="1689"/>
  <c r="D37" i="1689"/>
  <c r="R36" i="1689"/>
  <c r="L10" i="1689" s="1"/>
  <c r="D10" i="1689" s="1"/>
  <c r="H36" i="1689"/>
  <c r="D36" i="1689"/>
  <c r="R35" i="1689"/>
  <c r="H35" i="1689"/>
  <c r="D35" i="1689"/>
  <c r="R34" i="1689"/>
  <c r="H34" i="1689"/>
  <c r="D34" i="1689"/>
  <c r="R33" i="1689"/>
  <c r="L23" i="1689" s="1"/>
  <c r="D23" i="1689" s="1"/>
  <c r="R32" i="1689"/>
  <c r="R31" i="1689"/>
  <c r="R30" i="1689"/>
  <c r="R29" i="1689"/>
  <c r="R28" i="1689"/>
  <c r="R27" i="1689"/>
  <c r="D27" i="1689"/>
  <c r="R26" i="1689"/>
  <c r="L26" i="1689"/>
  <c r="D26" i="1689"/>
  <c r="R25" i="1689"/>
  <c r="L25" i="1689"/>
  <c r="D25" i="1689" s="1"/>
  <c r="R24" i="1689"/>
  <c r="D24" i="1689"/>
  <c r="R23" i="1689"/>
  <c r="R22" i="1689"/>
  <c r="R21" i="1689"/>
  <c r="D21" i="1689"/>
  <c r="R20" i="1689"/>
  <c r="L20" i="1689"/>
  <c r="D20" i="1689"/>
  <c r="R19" i="1689"/>
  <c r="L19" i="1689"/>
  <c r="D19" i="1689" s="1"/>
  <c r="R18" i="1689"/>
  <c r="D18" i="1689"/>
  <c r="R17" i="1689"/>
  <c r="D17" i="1689"/>
  <c r="R16" i="1689"/>
  <c r="L16" i="1689"/>
  <c r="D16" i="1689" s="1"/>
  <c r="R15" i="1689"/>
  <c r="D15" i="1689"/>
  <c r="R14" i="1689"/>
  <c r="D14" i="1689"/>
  <c r="R13" i="1689"/>
  <c r="D13" i="1689"/>
  <c r="R12" i="1689"/>
  <c r="L12" i="1689"/>
  <c r="D12" i="1689" s="1"/>
  <c r="R11" i="1689"/>
  <c r="L11" i="1689"/>
  <c r="D11" i="1689"/>
  <c r="L9" i="1689"/>
  <c r="D9" i="1689"/>
  <c r="L8" i="1689"/>
  <c r="D8" i="1689"/>
  <c r="L7" i="1689"/>
  <c r="D7" i="1689"/>
  <c r="R6" i="1689"/>
  <c r="L6" i="1689"/>
  <c r="D6" i="1689"/>
  <c r="R5" i="1689"/>
  <c r="R4" i="1689"/>
  <c r="R52" i="1688"/>
  <c r="R51" i="1688"/>
  <c r="D50" i="1688"/>
  <c r="R49" i="1688"/>
  <c r="D49" i="1688"/>
  <c r="R48" i="1688"/>
  <c r="D48" i="1688"/>
  <c r="D46" i="1688"/>
  <c r="D45" i="1688"/>
  <c r="R44" i="1688"/>
  <c r="D44" i="1688"/>
  <c r="R42" i="1688"/>
  <c r="L6" i="1688" s="1"/>
  <c r="D6" i="1688" s="1"/>
  <c r="D42" i="1688"/>
  <c r="R41" i="1688"/>
  <c r="D41" i="1688"/>
  <c r="R40" i="1688"/>
  <c r="D40" i="1688"/>
  <c r="R39" i="1688"/>
  <c r="H39" i="1688"/>
  <c r="D39" i="1688"/>
  <c r="R38" i="1688"/>
  <c r="L9" i="1688" s="1"/>
  <c r="D9" i="1688" s="1"/>
  <c r="H38" i="1688"/>
  <c r="D38" i="1688"/>
  <c r="R37" i="1688"/>
  <c r="H37" i="1688"/>
  <c r="D37" i="1688"/>
  <c r="R36" i="1688"/>
  <c r="L10" i="1688" s="1"/>
  <c r="D10" i="1688" s="1"/>
  <c r="H36" i="1688"/>
  <c r="D36" i="1688"/>
  <c r="R35" i="1688"/>
  <c r="H35" i="1688"/>
  <c r="D35" i="1688"/>
  <c r="R34" i="1688"/>
  <c r="H34" i="1688"/>
  <c r="D34" i="1688"/>
  <c r="R33" i="1688"/>
  <c r="R32" i="1688"/>
  <c r="R31" i="1688"/>
  <c r="R30" i="1688"/>
  <c r="R29" i="1688"/>
  <c r="R28" i="1688"/>
  <c r="L28" i="1688"/>
  <c r="D28" i="1688"/>
  <c r="R27" i="1688"/>
  <c r="D27" i="1688"/>
  <c r="R26" i="1688"/>
  <c r="L26" i="1688"/>
  <c r="D26" i="1688"/>
  <c r="R25" i="1688"/>
  <c r="L25" i="1688"/>
  <c r="D25" i="1688" s="1"/>
  <c r="R24" i="1688"/>
  <c r="L24" i="1688"/>
  <c r="D24" i="1688" s="1"/>
  <c r="R23" i="1688"/>
  <c r="L23" i="1688"/>
  <c r="D23" i="1688"/>
  <c r="R22" i="1688"/>
  <c r="L22" i="1688"/>
  <c r="D22" i="1688" s="1"/>
  <c r="R21" i="1688"/>
  <c r="D21" i="1688"/>
  <c r="R20" i="1688"/>
  <c r="L20" i="1688"/>
  <c r="D20" i="1688"/>
  <c r="R19" i="1688"/>
  <c r="L19" i="1688"/>
  <c r="D19" i="1688" s="1"/>
  <c r="R18" i="1688"/>
  <c r="D18" i="1688"/>
  <c r="R17" i="1688"/>
  <c r="L17" i="1688"/>
  <c r="D17" i="1688"/>
  <c r="R16" i="1688"/>
  <c r="L16" i="1688"/>
  <c r="D16" i="1688" s="1"/>
  <c r="R15" i="1688"/>
  <c r="D15" i="1688"/>
  <c r="R14" i="1688"/>
  <c r="D14" i="1688"/>
  <c r="R13" i="1688"/>
  <c r="D13" i="1688"/>
  <c r="R12" i="1688"/>
  <c r="L12" i="1688"/>
  <c r="D12" i="1688"/>
  <c r="R11" i="1688"/>
  <c r="L11" i="1688"/>
  <c r="D11" i="1688"/>
  <c r="L8" i="1688"/>
  <c r="D8" i="1688"/>
  <c r="L7" i="1688"/>
  <c r="D7" i="1688" s="1"/>
  <c r="R6" i="1688"/>
  <c r="R5" i="1688"/>
  <c r="R4" i="1688"/>
  <c r="R52" i="1687"/>
  <c r="R51" i="1687"/>
  <c r="D50" i="1687"/>
  <c r="R49" i="1687"/>
  <c r="D49" i="1687"/>
  <c r="R48" i="1687"/>
  <c r="D48" i="1687"/>
  <c r="D46" i="1687"/>
  <c r="D45" i="1687"/>
  <c r="R44" i="1687"/>
  <c r="D44" i="1687"/>
  <c r="R42" i="1687"/>
  <c r="L6" i="1687" s="1"/>
  <c r="D6" i="1687" s="1"/>
  <c r="D42" i="1687"/>
  <c r="R41" i="1687"/>
  <c r="D41" i="1687"/>
  <c r="R40" i="1687"/>
  <c r="L8" i="1687" s="1"/>
  <c r="D8" i="1687" s="1"/>
  <c r="D40" i="1687"/>
  <c r="R39" i="1687"/>
  <c r="L20" i="1687" s="1"/>
  <c r="D20" i="1687" s="1"/>
  <c r="H39" i="1687"/>
  <c r="D39" i="1687"/>
  <c r="R38" i="1687"/>
  <c r="H38" i="1687"/>
  <c r="D38" i="1687"/>
  <c r="R37" i="1687"/>
  <c r="H37" i="1687"/>
  <c r="D37" i="1687"/>
  <c r="R36" i="1687"/>
  <c r="H36" i="1687"/>
  <c r="G49" i="1687" s="1"/>
  <c r="D36" i="1687"/>
  <c r="R35" i="1687"/>
  <c r="H35" i="1687"/>
  <c r="D35" i="1687"/>
  <c r="R34" i="1687"/>
  <c r="H34" i="1687"/>
  <c r="D34" i="1687"/>
  <c r="D54" i="1687" s="1"/>
  <c r="H14" i="1687" s="1"/>
  <c r="R33" i="1687"/>
  <c r="R32" i="1687"/>
  <c r="R31" i="1687"/>
  <c r="R30" i="1687"/>
  <c r="R29" i="1687"/>
  <c r="R28" i="1687"/>
  <c r="L16" i="1687" s="1"/>
  <c r="D16" i="1687" s="1"/>
  <c r="L28" i="1687"/>
  <c r="D28" i="1687"/>
  <c r="R27" i="1687"/>
  <c r="D27" i="1687"/>
  <c r="R26" i="1687"/>
  <c r="L26" i="1687"/>
  <c r="D26" i="1687"/>
  <c r="R25" i="1687"/>
  <c r="L25" i="1687"/>
  <c r="D25" i="1687"/>
  <c r="R24" i="1687"/>
  <c r="L24" i="1687"/>
  <c r="D24" i="1687"/>
  <c r="R23" i="1687"/>
  <c r="D23" i="1687"/>
  <c r="R22" i="1687"/>
  <c r="D22" i="1687"/>
  <c r="R21" i="1687"/>
  <c r="D21" i="1687"/>
  <c r="R20" i="1687"/>
  <c r="R19" i="1687"/>
  <c r="D19" i="1687"/>
  <c r="R18" i="1687"/>
  <c r="D18" i="1687"/>
  <c r="R17" i="1687"/>
  <c r="L17" i="1687"/>
  <c r="D17" i="1687"/>
  <c r="R16" i="1687"/>
  <c r="R15" i="1687"/>
  <c r="D15" i="1687"/>
  <c r="R14" i="1687"/>
  <c r="D14" i="1687"/>
  <c r="R13" i="1687"/>
  <c r="D13" i="1687"/>
  <c r="R12" i="1687"/>
  <c r="L12" i="1687"/>
  <c r="D12" i="1687"/>
  <c r="R11" i="1687"/>
  <c r="L11" i="1687"/>
  <c r="D11" i="1687"/>
  <c r="L10" i="1687"/>
  <c r="D10" i="1687"/>
  <c r="L9" i="1687"/>
  <c r="D9" i="1687" s="1"/>
  <c r="L7" i="1687"/>
  <c r="D7" i="1687"/>
  <c r="R6" i="1687"/>
  <c r="R5" i="1687"/>
  <c r="R4" i="1687"/>
  <c r="R52" i="1686"/>
  <c r="R51" i="1686"/>
  <c r="D50" i="1686"/>
  <c r="R49" i="1686"/>
  <c r="G49" i="1686"/>
  <c r="D49" i="1686"/>
  <c r="R48" i="1686"/>
  <c r="D48" i="1686"/>
  <c r="D46" i="1686"/>
  <c r="D45" i="1686"/>
  <c r="D44" i="1686"/>
  <c r="R42" i="1686"/>
  <c r="L6" i="1686" s="1"/>
  <c r="D6" i="1686" s="1"/>
  <c r="D42" i="1686"/>
  <c r="R41" i="1686"/>
  <c r="L7" i="1686" s="1"/>
  <c r="D7" i="1686" s="1"/>
  <c r="D41" i="1686"/>
  <c r="R40" i="1686"/>
  <c r="D40" i="1686"/>
  <c r="R39" i="1686"/>
  <c r="D39" i="1686"/>
  <c r="R38" i="1686"/>
  <c r="D38" i="1686"/>
  <c r="R37" i="1686"/>
  <c r="D37" i="1686"/>
  <c r="R36" i="1686"/>
  <c r="L10" i="1686" s="1"/>
  <c r="D10" i="1686" s="1"/>
  <c r="D36" i="1686"/>
  <c r="R35" i="1686"/>
  <c r="D35" i="1686"/>
  <c r="R34" i="1686"/>
  <c r="L12" i="1686" s="1"/>
  <c r="D12" i="1686" s="1"/>
  <c r="D34" i="1686"/>
  <c r="D54" i="1686" s="1"/>
  <c r="H14" i="1686" s="1"/>
  <c r="R33" i="1686"/>
  <c r="L23" i="1686" s="1"/>
  <c r="D23" i="1686" s="1"/>
  <c r="R32" i="1686"/>
  <c r="R31" i="1686"/>
  <c r="R30" i="1686"/>
  <c r="R29" i="1686"/>
  <c r="R28" i="1686"/>
  <c r="L16" i="1686" s="1"/>
  <c r="D16" i="1686" s="1"/>
  <c r="D28" i="1686"/>
  <c r="R27" i="1686"/>
  <c r="D27" i="1686"/>
  <c r="R26" i="1686"/>
  <c r="L26" i="1686"/>
  <c r="D26" i="1686"/>
  <c r="R25" i="1686"/>
  <c r="L25" i="1686"/>
  <c r="D25" i="1686"/>
  <c r="R24" i="1686"/>
  <c r="D24" i="1686"/>
  <c r="R23" i="1686"/>
  <c r="R22" i="1686"/>
  <c r="L22" i="1686"/>
  <c r="D22" i="1686"/>
  <c r="R21" i="1686"/>
  <c r="D21" i="1686"/>
  <c r="R20" i="1686"/>
  <c r="L20" i="1686"/>
  <c r="D20" i="1686"/>
  <c r="R19" i="1686"/>
  <c r="L19" i="1686"/>
  <c r="D19" i="1686"/>
  <c r="R18" i="1686"/>
  <c r="D18" i="1686"/>
  <c r="R17" i="1686"/>
  <c r="D17" i="1686"/>
  <c r="R16" i="1686"/>
  <c r="S15" i="1686"/>
  <c r="R15" i="1686"/>
  <c r="D15" i="1686"/>
  <c r="S14" i="1686"/>
  <c r="R14" i="1686"/>
  <c r="D14" i="1686"/>
  <c r="R13" i="1686"/>
  <c r="D13" i="1686"/>
  <c r="R12" i="1686"/>
  <c r="R11" i="1686"/>
  <c r="L11" i="1686"/>
  <c r="D11" i="1686"/>
  <c r="L9" i="1686"/>
  <c r="D9" i="1686" s="1"/>
  <c r="L8" i="1686"/>
  <c r="D8" i="1686"/>
  <c r="R6" i="1686"/>
  <c r="R5" i="1686"/>
  <c r="R4" i="1686"/>
  <c r="L28" i="1683"/>
  <c r="G49" i="1689" l="1"/>
  <c r="G49" i="1688"/>
  <c r="D54" i="1689"/>
  <c r="H14" i="1689" s="1"/>
  <c r="D54" i="1688"/>
  <c r="H14" i="1688" s="1"/>
  <c r="D29" i="1705"/>
  <c r="H13" i="1705" s="1"/>
  <c r="H15" i="1705" s="1"/>
  <c r="H29" i="1705" s="1"/>
  <c r="G51" i="1705" s="1"/>
  <c r="D29" i="1704"/>
  <c r="H13" i="1704" s="1"/>
  <c r="H15" i="1704" s="1"/>
  <c r="H29" i="1704" s="1"/>
  <c r="G51" i="1704" s="1"/>
  <c r="D29" i="1703"/>
  <c r="H13" i="1703" s="1"/>
  <c r="H15" i="1703" s="1"/>
  <c r="H29" i="1703" s="1"/>
  <c r="G51" i="1703" s="1"/>
  <c r="D29" i="1702"/>
  <c r="H13" i="1702" s="1"/>
  <c r="H15" i="1702" s="1"/>
  <c r="H29" i="1702" s="1"/>
  <c r="G51" i="1702"/>
  <c r="D29" i="1701"/>
  <c r="H13" i="1701" s="1"/>
  <c r="H15" i="1701" s="1"/>
  <c r="H29" i="1701" s="1"/>
  <c r="G51" i="1701" s="1"/>
  <c r="G51" i="1700"/>
  <c r="D29" i="1699"/>
  <c r="H13" i="1699" s="1"/>
  <c r="H15" i="1699" s="1"/>
  <c r="H29" i="1699" s="1"/>
  <c r="G51" i="1699" s="1"/>
  <c r="D29" i="1698"/>
  <c r="H13" i="1698" s="1"/>
  <c r="H15" i="1698" s="1"/>
  <c r="H29" i="1698" s="1"/>
  <c r="G51" i="1698"/>
  <c r="G51" i="1697"/>
  <c r="D29" i="1696"/>
  <c r="H13" i="1696" s="1"/>
  <c r="H15" i="1696" s="1"/>
  <c r="H29" i="1696" s="1"/>
  <c r="G51" i="1696"/>
  <c r="D29" i="1695"/>
  <c r="H13" i="1695" s="1"/>
  <c r="H15" i="1695" s="1"/>
  <c r="H29" i="1695" s="1"/>
  <c r="G51" i="1695"/>
  <c r="G51" i="1694"/>
  <c r="D29" i="1693"/>
  <c r="H13" i="1693" s="1"/>
  <c r="H15" i="1693" s="1"/>
  <c r="H29" i="1693" s="1"/>
  <c r="G51" i="1693" s="1"/>
  <c r="G51" i="1692"/>
  <c r="G51" i="1691"/>
  <c r="D29" i="1691"/>
  <c r="H13" i="1691" s="1"/>
  <c r="H15" i="1691" s="1"/>
  <c r="H29" i="1691" s="1"/>
  <c r="D29" i="1690"/>
  <c r="H13" i="1690" s="1"/>
  <c r="H15" i="1690" s="1"/>
  <c r="H29" i="1690" s="1"/>
  <c r="G51" i="1690" s="1"/>
  <c r="D29" i="1689"/>
  <c r="H13" i="1689" s="1"/>
  <c r="D29" i="1688"/>
  <c r="H13" i="1688" s="1"/>
  <c r="D29" i="1687"/>
  <c r="H13" i="1687" s="1"/>
  <c r="H15" i="1687" s="1"/>
  <c r="H29" i="1687" s="1"/>
  <c r="G51" i="1687" s="1"/>
  <c r="D29" i="1686"/>
  <c r="H13" i="1686" s="1"/>
  <c r="H15" i="1686" s="1"/>
  <c r="H29" i="1686" s="1"/>
  <c r="G51" i="1686" s="1"/>
  <c r="L28" i="1678"/>
  <c r="H16" i="1680"/>
  <c r="H16" i="1679"/>
  <c r="C12" i="1680"/>
  <c r="R52" i="1685"/>
  <c r="R51" i="1685"/>
  <c r="D50" i="1685"/>
  <c r="R49" i="1685"/>
  <c r="D49" i="1685"/>
  <c r="R48" i="1685"/>
  <c r="D48" i="1685"/>
  <c r="D46" i="1685"/>
  <c r="D45" i="1685"/>
  <c r="R44" i="1685"/>
  <c r="L28" i="1685" s="1"/>
  <c r="D28" i="1685" s="1"/>
  <c r="D44" i="1685"/>
  <c r="R42" i="1685"/>
  <c r="D42" i="1685"/>
  <c r="R41" i="1685"/>
  <c r="D41" i="1685"/>
  <c r="R40" i="1685"/>
  <c r="D40" i="1685"/>
  <c r="R39" i="1685"/>
  <c r="H39" i="1685"/>
  <c r="D39" i="1685"/>
  <c r="R38" i="1685"/>
  <c r="H38" i="1685"/>
  <c r="D38" i="1685"/>
  <c r="R37" i="1685"/>
  <c r="H37" i="1685"/>
  <c r="G49" i="1685" s="1"/>
  <c r="D37" i="1685"/>
  <c r="R36" i="1685"/>
  <c r="H36" i="1685"/>
  <c r="D36" i="1685"/>
  <c r="R35" i="1685"/>
  <c r="H35" i="1685"/>
  <c r="D35" i="1685"/>
  <c r="R34" i="1685"/>
  <c r="L12" i="1685" s="1"/>
  <c r="D12" i="1685" s="1"/>
  <c r="H34" i="1685"/>
  <c r="D34" i="1685"/>
  <c r="R33" i="1685"/>
  <c r="L23" i="1685" s="1"/>
  <c r="D23" i="1685" s="1"/>
  <c r="R32" i="1685"/>
  <c r="R31" i="1685"/>
  <c r="R30" i="1685"/>
  <c r="R29" i="1685"/>
  <c r="R28" i="1685"/>
  <c r="L16" i="1685" s="1"/>
  <c r="D16" i="1685" s="1"/>
  <c r="R27" i="1685"/>
  <c r="D27" i="1685"/>
  <c r="R26" i="1685"/>
  <c r="L26" i="1685"/>
  <c r="D26" i="1685"/>
  <c r="R25" i="1685"/>
  <c r="L25" i="1685"/>
  <c r="D25" i="1685"/>
  <c r="R24" i="1685"/>
  <c r="D24" i="1685"/>
  <c r="R23" i="1685"/>
  <c r="R22" i="1685"/>
  <c r="L22" i="1685"/>
  <c r="D22" i="1685" s="1"/>
  <c r="R21" i="1685"/>
  <c r="D21" i="1685"/>
  <c r="R20" i="1685"/>
  <c r="L20" i="1685"/>
  <c r="D20" i="1685"/>
  <c r="R19" i="1685"/>
  <c r="L19" i="1685"/>
  <c r="D19" i="1685"/>
  <c r="R18" i="1685"/>
  <c r="D18" i="1685"/>
  <c r="R17" i="1685"/>
  <c r="D17" i="1685"/>
  <c r="R16" i="1685"/>
  <c r="R15" i="1685"/>
  <c r="D15" i="1685"/>
  <c r="R14" i="1685"/>
  <c r="D14" i="1685"/>
  <c r="R13" i="1685"/>
  <c r="D13" i="1685"/>
  <c r="R12" i="1685"/>
  <c r="R11" i="1685"/>
  <c r="L11" i="1685"/>
  <c r="D11" i="1685"/>
  <c r="L10" i="1685"/>
  <c r="D10" i="1685" s="1"/>
  <c r="L9" i="1685"/>
  <c r="D9" i="1685"/>
  <c r="L8" i="1685"/>
  <c r="D8" i="1685" s="1"/>
  <c r="L7" i="1685"/>
  <c r="D7" i="1685"/>
  <c r="R6" i="1685"/>
  <c r="L6" i="1685"/>
  <c r="D6" i="1685" s="1"/>
  <c r="R5" i="1685"/>
  <c r="R4" i="1685"/>
  <c r="R52" i="1684"/>
  <c r="R51" i="1684"/>
  <c r="D50" i="1684"/>
  <c r="R49" i="1684"/>
  <c r="D49" i="1684"/>
  <c r="R48" i="1684"/>
  <c r="D48" i="1684"/>
  <c r="D46" i="1684"/>
  <c r="D45" i="1684"/>
  <c r="R44" i="1684"/>
  <c r="D44" i="1684"/>
  <c r="R42" i="1684"/>
  <c r="D42" i="1684"/>
  <c r="R41" i="1684"/>
  <c r="D41" i="1684"/>
  <c r="R40" i="1684"/>
  <c r="D40" i="1684"/>
  <c r="R39" i="1684"/>
  <c r="L20" i="1684" s="1"/>
  <c r="D20" i="1684" s="1"/>
  <c r="H39" i="1684"/>
  <c r="D39" i="1684"/>
  <c r="R38" i="1684"/>
  <c r="L9" i="1684" s="1"/>
  <c r="D9" i="1684" s="1"/>
  <c r="H38" i="1684"/>
  <c r="D38" i="1684"/>
  <c r="R37" i="1684"/>
  <c r="H37" i="1684"/>
  <c r="G49" i="1684" s="1"/>
  <c r="D37" i="1684"/>
  <c r="R36" i="1684"/>
  <c r="H36" i="1684"/>
  <c r="D36" i="1684"/>
  <c r="R35" i="1684"/>
  <c r="H35" i="1684"/>
  <c r="D35" i="1684"/>
  <c r="R34" i="1684"/>
  <c r="H34" i="1684"/>
  <c r="D34" i="1684"/>
  <c r="R33" i="1684"/>
  <c r="R32" i="1684"/>
  <c r="L11" i="1684" s="1"/>
  <c r="D11" i="1684" s="1"/>
  <c r="R31" i="1684"/>
  <c r="R30" i="1684"/>
  <c r="R29" i="1684"/>
  <c r="R28" i="1684"/>
  <c r="L16" i="1684" s="1"/>
  <c r="D16" i="1684" s="1"/>
  <c r="D28" i="1684"/>
  <c r="R27" i="1684"/>
  <c r="D27" i="1684"/>
  <c r="R26" i="1684"/>
  <c r="L26" i="1684"/>
  <c r="D26" i="1684"/>
  <c r="R25" i="1684"/>
  <c r="L25" i="1684"/>
  <c r="D25" i="1684"/>
  <c r="R24" i="1684"/>
  <c r="L24" i="1684"/>
  <c r="D24" i="1684"/>
  <c r="R23" i="1684"/>
  <c r="L23" i="1684"/>
  <c r="D23" i="1684" s="1"/>
  <c r="R22" i="1684"/>
  <c r="L22" i="1684"/>
  <c r="D22" i="1684"/>
  <c r="R21" i="1684"/>
  <c r="D21" i="1684"/>
  <c r="R20" i="1684"/>
  <c r="R19" i="1684"/>
  <c r="L19" i="1684"/>
  <c r="D19" i="1684" s="1"/>
  <c r="R18" i="1684"/>
  <c r="D18" i="1684"/>
  <c r="R17" i="1684"/>
  <c r="L17" i="1684"/>
  <c r="D17" i="1684" s="1"/>
  <c r="R16" i="1684"/>
  <c r="R15" i="1684"/>
  <c r="D15" i="1684"/>
  <c r="R14" i="1684"/>
  <c r="D14" i="1684"/>
  <c r="R13" i="1684"/>
  <c r="D13" i="1684"/>
  <c r="R12" i="1684"/>
  <c r="L12" i="1684"/>
  <c r="D12" i="1684"/>
  <c r="R11" i="1684"/>
  <c r="L10" i="1684"/>
  <c r="D10" i="1684"/>
  <c r="L8" i="1684"/>
  <c r="D8" i="1684"/>
  <c r="L7" i="1684"/>
  <c r="D7" i="1684"/>
  <c r="R6" i="1684"/>
  <c r="L6" i="1684"/>
  <c r="D6" i="1684"/>
  <c r="R5" i="1684"/>
  <c r="R4" i="1684"/>
  <c r="R52" i="1683"/>
  <c r="R51" i="1683"/>
  <c r="D50" i="1683"/>
  <c r="R49" i="1683"/>
  <c r="D49" i="1683"/>
  <c r="R48" i="1683"/>
  <c r="D48" i="1683"/>
  <c r="D46" i="1683"/>
  <c r="D45" i="1683"/>
  <c r="R44" i="1683"/>
  <c r="D44" i="1683"/>
  <c r="R42" i="1683"/>
  <c r="D42" i="1683"/>
  <c r="R41" i="1683"/>
  <c r="L7" i="1683" s="1"/>
  <c r="D7" i="1683" s="1"/>
  <c r="D41" i="1683"/>
  <c r="R40" i="1683"/>
  <c r="D40" i="1683"/>
  <c r="R39" i="1683"/>
  <c r="H39" i="1683"/>
  <c r="D39" i="1683"/>
  <c r="R38" i="1683"/>
  <c r="H38" i="1683"/>
  <c r="D38" i="1683"/>
  <c r="R37" i="1683"/>
  <c r="H37" i="1683"/>
  <c r="D37" i="1683"/>
  <c r="R36" i="1683"/>
  <c r="H36" i="1683"/>
  <c r="D36" i="1683"/>
  <c r="R35" i="1683"/>
  <c r="H35" i="1683"/>
  <c r="D35" i="1683"/>
  <c r="R34" i="1683"/>
  <c r="L12" i="1683" s="1"/>
  <c r="H34" i="1683"/>
  <c r="D34" i="1683"/>
  <c r="R33" i="1683"/>
  <c r="R32" i="1683"/>
  <c r="R31" i="1683"/>
  <c r="R30" i="1683"/>
  <c r="R29" i="1683"/>
  <c r="R28" i="1683"/>
  <c r="D28" i="1683"/>
  <c r="R27" i="1683"/>
  <c r="D27" i="1683"/>
  <c r="R26" i="1683"/>
  <c r="L26" i="1683"/>
  <c r="D26" i="1683"/>
  <c r="R25" i="1683"/>
  <c r="L25" i="1683"/>
  <c r="D25" i="1683"/>
  <c r="R24" i="1683"/>
  <c r="L24" i="1683"/>
  <c r="D24" i="1683"/>
  <c r="R23" i="1683"/>
  <c r="D23" i="1683"/>
  <c r="R22" i="1683"/>
  <c r="D22" i="1683"/>
  <c r="R21" i="1683"/>
  <c r="D21" i="1683"/>
  <c r="R20" i="1683"/>
  <c r="L20" i="1683"/>
  <c r="D20" i="1683"/>
  <c r="R19" i="1683"/>
  <c r="D19" i="1683"/>
  <c r="R18" i="1683"/>
  <c r="D18" i="1683"/>
  <c r="R17" i="1683"/>
  <c r="L17" i="1683"/>
  <c r="D17" i="1683"/>
  <c r="R16" i="1683"/>
  <c r="L16" i="1683"/>
  <c r="D16" i="1683" s="1"/>
  <c r="R15" i="1683"/>
  <c r="D15" i="1683"/>
  <c r="R14" i="1683"/>
  <c r="D14" i="1683"/>
  <c r="R13" i="1683"/>
  <c r="D13" i="1683"/>
  <c r="R12" i="1683"/>
  <c r="R11" i="1683"/>
  <c r="L11" i="1683"/>
  <c r="D11" i="1683" s="1"/>
  <c r="L10" i="1683"/>
  <c r="D10" i="1683"/>
  <c r="L9" i="1683"/>
  <c r="D9" i="1683" s="1"/>
  <c r="L8" i="1683"/>
  <c r="D8" i="1683"/>
  <c r="R6" i="1683"/>
  <c r="L6" i="1683"/>
  <c r="D6" i="1683" s="1"/>
  <c r="R5" i="1683"/>
  <c r="R4" i="1683"/>
  <c r="R52" i="1682"/>
  <c r="R51" i="1682"/>
  <c r="D50" i="1682"/>
  <c r="R49" i="1682"/>
  <c r="G49" i="1682"/>
  <c r="D49" i="1682"/>
  <c r="R48" i="1682"/>
  <c r="D48" i="1682"/>
  <c r="D46" i="1682"/>
  <c r="D45" i="1682"/>
  <c r="D44" i="1682"/>
  <c r="R42" i="1682"/>
  <c r="L6" i="1682" s="1"/>
  <c r="D6" i="1682" s="1"/>
  <c r="D42" i="1682"/>
  <c r="R41" i="1682"/>
  <c r="L7" i="1682" s="1"/>
  <c r="D7" i="1682" s="1"/>
  <c r="D41" i="1682"/>
  <c r="R40" i="1682"/>
  <c r="D40" i="1682"/>
  <c r="R39" i="1682"/>
  <c r="D39" i="1682"/>
  <c r="R38" i="1682"/>
  <c r="L9" i="1682" s="1"/>
  <c r="D9" i="1682" s="1"/>
  <c r="D38" i="1682"/>
  <c r="R37" i="1682"/>
  <c r="D37" i="1682"/>
  <c r="R36" i="1682"/>
  <c r="L10" i="1682" s="1"/>
  <c r="D10" i="1682" s="1"/>
  <c r="D36" i="1682"/>
  <c r="R35" i="1682"/>
  <c r="D35" i="1682"/>
  <c r="R34" i="1682"/>
  <c r="L12" i="1682" s="1"/>
  <c r="D12" i="1682" s="1"/>
  <c r="D34" i="1682"/>
  <c r="D54" i="1682" s="1"/>
  <c r="H14" i="1682" s="1"/>
  <c r="R33" i="1682"/>
  <c r="L23" i="1682" s="1"/>
  <c r="D23" i="1682" s="1"/>
  <c r="R32" i="1682"/>
  <c r="R31" i="1682"/>
  <c r="R30" i="1682"/>
  <c r="R29" i="1682"/>
  <c r="R28" i="1682"/>
  <c r="D28" i="1682"/>
  <c r="R27" i="1682"/>
  <c r="D27" i="1682"/>
  <c r="R26" i="1682"/>
  <c r="L26" i="1682"/>
  <c r="D26" i="1682"/>
  <c r="R25" i="1682"/>
  <c r="L25" i="1682"/>
  <c r="D25" i="1682"/>
  <c r="R24" i="1682"/>
  <c r="D24" i="1682"/>
  <c r="R23" i="1682"/>
  <c r="R22" i="1682"/>
  <c r="L22" i="1682"/>
  <c r="D22" i="1682"/>
  <c r="R21" i="1682"/>
  <c r="D21" i="1682"/>
  <c r="R20" i="1682"/>
  <c r="L20" i="1682"/>
  <c r="D20" i="1682"/>
  <c r="R19" i="1682"/>
  <c r="L19" i="1682"/>
  <c r="D19" i="1682"/>
  <c r="R18" i="1682"/>
  <c r="D18" i="1682"/>
  <c r="R17" i="1682"/>
  <c r="D17" i="1682"/>
  <c r="R16" i="1682"/>
  <c r="L16" i="1682"/>
  <c r="D16" i="1682" s="1"/>
  <c r="S15" i="1682"/>
  <c r="R15" i="1682"/>
  <c r="D15" i="1682"/>
  <c r="S14" i="1682"/>
  <c r="R14" i="1682"/>
  <c r="D14" i="1682"/>
  <c r="R13" i="1682"/>
  <c r="D13" i="1682"/>
  <c r="R12" i="1682"/>
  <c r="R11" i="1682"/>
  <c r="L11" i="1682"/>
  <c r="D11" i="1682" s="1"/>
  <c r="L8" i="1682"/>
  <c r="D8" i="1682"/>
  <c r="R6" i="1682"/>
  <c r="R5" i="1682"/>
  <c r="R4" i="1682"/>
  <c r="C20" i="1678"/>
  <c r="C12" i="1678"/>
  <c r="H15" i="1689" l="1"/>
  <c r="H29" i="1689" s="1"/>
  <c r="G51" i="1689" s="1"/>
  <c r="H15" i="1688"/>
  <c r="H29" i="1688" s="1"/>
  <c r="G51" i="1688" s="1"/>
  <c r="G49" i="1683"/>
  <c r="D54" i="1685"/>
  <c r="H14" i="1685" s="1"/>
  <c r="D54" i="1684"/>
  <c r="H14" i="1684" s="1"/>
  <c r="D54" i="1683"/>
  <c r="H14" i="1683" s="1"/>
  <c r="D29" i="1685"/>
  <c r="H13" i="1685" s="1"/>
  <c r="D29" i="1684"/>
  <c r="H13" i="1684" s="1"/>
  <c r="D12" i="1683"/>
  <c r="D29" i="1683" s="1"/>
  <c r="H13" i="1683" s="1"/>
  <c r="D29" i="1682"/>
  <c r="H13" i="1682" s="1"/>
  <c r="H15" i="1682" s="1"/>
  <c r="H29" i="1682" s="1"/>
  <c r="G51" i="1682"/>
  <c r="H16" i="1676"/>
  <c r="H15" i="1685" l="1"/>
  <c r="H29" i="1685" s="1"/>
  <c r="G51" i="1685" s="1"/>
  <c r="H15" i="1684"/>
  <c r="H29" i="1684" s="1"/>
  <c r="G51" i="1684" s="1"/>
  <c r="H15" i="1683"/>
  <c r="H29" i="1683" s="1"/>
  <c r="G51" i="1683" s="1"/>
  <c r="L28" i="1676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L28" i="1680" s="1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R34" i="1680"/>
  <c r="L12" i="1680" s="1"/>
  <c r="D12" i="1680" s="1"/>
  <c r="H34" i="1680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R35" i="1679"/>
  <c r="L19" i="1679" s="1"/>
  <c r="D19" i="1679" s="1"/>
  <c r="H35" i="1679"/>
  <c r="D35" i="1679"/>
  <c r="R34" i="1679"/>
  <c r="H34" i="1679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D34" i="1678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80" l="1"/>
  <c r="G49" i="1679"/>
  <c r="G49" i="1678"/>
  <c r="D54" i="1680"/>
  <c r="H14" i="1680" s="1"/>
  <c r="D54" i="1679"/>
  <c r="H14" i="1679" s="1"/>
  <c r="D54" i="1678"/>
  <c r="H14" i="1678" s="1"/>
  <c r="G49" i="1676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D29" i="1679"/>
  <c r="H13" i="1679" s="1"/>
  <c r="D29" i="1678"/>
  <c r="H13" i="1678" s="1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80" l="1"/>
  <c r="H29" i="1680" s="1"/>
  <c r="G51" i="1680" s="1"/>
  <c r="H15" i="1679"/>
  <c r="H29" i="1679" s="1"/>
  <c r="G51" i="1679" s="1"/>
  <c r="H15" i="1678"/>
  <c r="H29" i="1678" s="1"/>
  <c r="G51" i="1678" s="1"/>
  <c r="G51" i="1676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<sst xmlns="http://schemas.openxmlformats.org/spreadsheetml/2006/main" count="8795" uniqueCount="200">
  <si>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</si>
  <si>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</si>
  <si>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</si>
  <si>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</si>
  <si>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</si>
  <si>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</si>
  <si>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</si>
  <si>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</si>
  <si>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</si>
  <si>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</si>
  <si>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</si>
  <si>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</si>
  <si>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</si>
  <si>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</si>
  <si>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</si>
  <si>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</si>
  <si>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</si>
  <si>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</si>
  <si>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</si>
  <si>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</si>
  <si>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</si>
  <si>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</si>
  <si>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</si>
  <si>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</si>
  <si>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</si>
  <si>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</si>
  <si>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</si>
  <si>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</si>
  <si>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</si>
  <si>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</si>
  <si>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</si>
  <si>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</si>
  <si>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</si>
  <si>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</si>
  <si>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</si>
  <si>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</si>
  <si>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</si>
  <si>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</si>
  <si>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</si>
  <si>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</si>
  <si>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</si>
  <si>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</si>
  <si>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</si>
  <si>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</si>
  <si>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</si>
  <si>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</si>
  <si>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</si>
  <si>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</si>
  <si>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</si>
  <si>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</si>
  <si>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</si>
  <si>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</si>
  <si>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</si>
  <si>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</si>
  <si>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</si>
  <si>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</si>
  <si>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</si>
  <si>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</si>
  <si>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</si>
  <si>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</si>
  <si>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</si>
  <si>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</si>
  <si>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</si>
  <si>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</si>
  <si>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</si>
  <si>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</si>
  <si>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</si>
  <si>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</si>
  <si>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</si>
  <si>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</si>
  <si>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</si>
  <si>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</si>
  <si>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</si>
  <si>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</si>
  <si>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</si>
  <si>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</si>
  <si>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</si>
  <si>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</si>
  <si>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</si>
  <si>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</si>
  <si>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</si>
  <si>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</si>
  <si>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</si>
  <si>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</si>
  <si>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</si>
  <si>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</si>
  <si>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</si>
  <si>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</si>
  <si>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</si>
  <si>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</si>
  <si>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</si>
  <si>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</si>
  <si>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</si>
  <si>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</si>
  <si>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</si>
  <si>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</si>
  <si>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</si>
  <si>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</si>
  <si>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</si>
  <si>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</si>
  <si>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</si>
  <si>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</si>
  <si>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</si>
  <si>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</si>
  <si>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</si>
  <si>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</si>
  <si>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</si>
  <si>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</si>
  <si>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</si>
  <si>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</si>
  <si>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</si>
  <si>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</si>
  <si>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</si>
  <si>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</si>
  <si>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</si>
  <si>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</si>
  <si>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</si>
  <si>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</si>
  <si>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</si>
  <si>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</si>
  <si>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</si>
  <si>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</si>
  <si>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</si>
  <si>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</si>
  <si>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</si>
  <si>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</si>
  <si>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</si>
  <si>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</si>
  <si>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</si>
  <si>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</si>
  <si>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</si>
  <si>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</si>
  <si>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</si>
  <si>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</si>
  <si>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</si>
  <si>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</si>
  <si>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</si>
  <si>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</si>
  <si>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</si>
  <si>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</si>
  <si>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</si>
  <si>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</si>
  <si>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</si>
  <si>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</si>
  <si>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</si>
  <si>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</si>
  <si>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</si>
  <si>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</si>
  <si>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</si>
  <si>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</si>
  <si>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</si>
  <si>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</si>
  <si>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</si>
  <si>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</si>
  <si>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</si>
  <si>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</si>
  <si>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</si>
  <si>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</si>
  <si>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</si>
  <si>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</si>
  <si>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</si>
  <si>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</si>
  <si>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</si>
  <si>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</si>
  <si>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</si>
  <si>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</si>
  <si>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</si>
  <si>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</si>
  <si>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</si>
  <si>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</si>
  <si>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</si>
  <si>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</si>
  <si>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</si>
  <si>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</si>
  <si>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</si>
  <si>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</si>
  <si>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</si>
  <si>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</si>
  <si>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</si>
  <si>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</si>
  <si>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</si>
  <si>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</si>
  <si>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</si>
  <si>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</si>
  <si>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</si>
  <si>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</si>
  <si>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</si>
  <si>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</si>
  <si>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</si>
  <si>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</si>
  <si>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</si>
  <si>
    <t>1st  Valley Bank</t>
  </si>
  <si>
    <t>4820789</t>
  </si>
  <si>
    <t>42947</t>
  </si>
  <si>
    <t>PPC/RHC/SMLC</t>
  </si>
  <si>
    <t>145716</t>
  </si>
  <si>
    <t>146830</t>
  </si>
  <si>
    <t>2000007203</t>
  </si>
  <si>
    <t>135263</t>
  </si>
  <si>
    <t>47919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</si>
</sst>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6" xfId="0" applyFont="1" applyBorder="1" applyAlignment="1">
      <alignment horizontal="right"/>
    </xf>
    <xf numFmtId="0" fontId="23" fillId="0" borderId="21" xfId="0" applyFont="1" applyBorder="1"/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C133EB-54DD-4738-8E4B-3FF4182EC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17F768-3464-46CC-8A1E-95D0CDC88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4F7F86-D206-4C37-97BF-CC71B094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7E31-1BE1-43E0-80FF-F8C1C8BE7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2A158-035F-4FBF-9948-75F8AA9BA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AF431-7176-40E9-A605-8741F145B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EBB3-162D-4402-8CEC-849EE7DE1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8EE3F9-F1A0-4EC1-8B29-34094E6F7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1147CA-7BA0-4FB0-B421-E87C06147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79066-A9E5-46E8-8A54-84EDB6CAC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0DB6B-8FDC-468A-AD44-189665F9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D7F49-724B-4CA2-815F-E7990AA21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5C9621-A135-409D-989A-C64FCC7D2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0A89F-7122-48BA-BB51-ECB44B972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5EEBDE-B0AB-454F-B57D-4BD0ADF7F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86E68A-D29A-4DED-9ED1-F744A48CB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FB3CFB-5D37-4517-950B-D4B033CFB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08AD8-8D01-4AF0-A726-7A3072873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B72A3F-127E-415E-A2F6-94AD871CD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7D4E91-A7FB-4D71-B23F-201AA46BE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0D86A-D4B1-4A86-A71F-53366D1F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F346A2-436F-4DCB-BCD2-3C1D067D9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AE52B6-9019-4EF5-92A8-69C20C5D4A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7DC988-4E1E-4595-97C0-A9501CAE1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88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85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45658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/>
      <c r="D6" s="13">
        <f t="shared" ref="D6:D28" si="1">C6*L6</f>
        <v>0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/>
      <c r="D8" s="13">
        <f t="shared" si="1"/>
        <v>0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/>
      <c r="D10" s="13">
        <f t="shared" si="1"/>
        <v>0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101</v>
      </c>
      <c r="C23" s="84"/>
      <c r="D23" s="48">
        <f t="shared" si="1"/>
        <v>0</v>
      </c>
      <c r="F23" s="77"/>
      <c r="G23" s="79"/>
      <c r="H23" s="244"/>
      <c r="I23" s="245"/>
      <c r="J23" s="24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/>
      <c r="G26" s="65"/>
      <c r="H26" s="193"/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85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/>
      <c r="D28" s="48">
        <f t="shared" si="1"/>
        <v>0</v>
      </c>
      <c r="F28" s="88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H15-H16-H17-H18-H19-H20-H22-H23-H24+H26+H27+H28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si="2"/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85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131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45658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140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88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ref="H35:H39" si="2">F35*G35</f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85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86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45658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88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>F35*G35</f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85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139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46024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/>
      <c r="D6" s="13">
        <f t="shared" ref="D6:D28" si="1">C6*L6</f>
        <v>0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/>
      <c r="D8" s="13">
        <f t="shared" si="1"/>
        <v>0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/>
      <c r="D10" s="13">
        <f t="shared" si="1"/>
        <v>0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101</v>
      </c>
      <c r="C23" s="84"/>
      <c r="D23" s="48">
        <f t="shared" si="1"/>
        <v>0</v>
      </c>
      <c r="F23" s="77"/>
      <c r="G23" s="79"/>
      <c r="H23" s="244"/>
      <c r="I23" s="245"/>
      <c r="J23" s="24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/>
      <c r="G26" s="65"/>
      <c r="H26" s="193"/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90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H15-H16-H17-H18-H19-H20-H22-H23-H24+H26+H27+H28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si="2"/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131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46024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140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ref="H35:H39" si="2">F35*G35</f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91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46024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480</v>
      </c>
      <c r="D6" s="13">
        <f t="shared" ref="D6:D28" si="1">C6*L6</f>
        <v>365280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12</v>
      </c>
      <c r="D7" s="13">
        <f t="shared" si="1"/>
        <v>9372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75</v>
      </c>
      <c r="D9" s="13">
        <f t="shared" si="1"/>
        <v>54975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6</v>
      </c>
      <c r="D12" s="48">
        <f t="shared" si="1"/>
        <v>5952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4</v>
      </c>
      <c r="D13" s="48">
        <f t="shared" si="1"/>
        <v>1228</v>
      </c>
      <c r="F13" s="154" t="s">
        <v>36</v>
      </c>
      <c r="G13" s="155"/>
      <c r="H13" s="156">
        <f>D29</f>
        <v>443015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18</v>
      </c>
      <c r="D14" s="31">
        <f t="shared" si="1"/>
        <v>198</v>
      </c>
      <c r="F14" s="159" t="s">
        <v>39</v>
      </c>
      <c r="G14" s="160"/>
      <c r="H14" s="161">
        <f>D54</f>
        <v>77991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365024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1758+600+612</f>
        <v>2970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>
        <v>8</v>
      </c>
      <c r="D22" s="48">
        <f t="shared" si="1"/>
        <v>5360</v>
      </c>
      <c r="F22" s="77"/>
      <c r="G22" s="73"/>
      <c r="H22" s="191"/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443015</v>
      </c>
      <c r="F29" s="177" t="s">
        <v>55</v>
      </c>
      <c r="G29" s="178"/>
      <c r="H29" s="181">
        <f>H15-H16-H17-H18-H19-H20-H22-H23-H24+H26+H27</f>
        <v>362054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209">
        <f>F34*G34</f>
        <v>78000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209">
        <f>F35*G35</f>
        <v>43500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209">
        <f t="shared" si="2"/>
        <v>1000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09">
        <f t="shared" si="2"/>
        <v>50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209">
        <f t="shared" si="2"/>
        <v>20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14</v>
      </c>
      <c r="D42" s="12">
        <f>C42*2.25</f>
        <v>31.5</v>
      </c>
      <c r="F42" s="39" t="s">
        <v>79</v>
      </c>
      <c r="G42" s="209">
        <v>47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193">
        <v>54216</v>
      </c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193">
        <v>188602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6</v>
      </c>
      <c r="D46" s="12">
        <f>C46*1.5</f>
        <v>9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2</v>
      </c>
      <c r="D49" s="12">
        <f>C49*42</f>
        <v>84</v>
      </c>
      <c r="F49" s="234" t="s">
        <v>86</v>
      </c>
      <c r="G49" s="181">
        <f>H34+H35+H36+H37+H38+H39+H40+H41+G42+H44+H45+H46</f>
        <v>365435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24</v>
      </c>
      <c r="D50" s="12">
        <f>C50*1.5</f>
        <v>36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149</v>
      </c>
      <c r="G51" s="238">
        <f>G49-H29</f>
        <v>3381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256">
        <v>46025</v>
      </c>
      <c r="J4" s="25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258"/>
      <c r="J5" s="25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>
        <v>728</v>
      </c>
      <c r="D6" s="13">
        <f t="shared" ref="D6:D28" si="1">C6*L6</f>
        <v>554008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>
        <v>60</v>
      </c>
      <c r="D8" s="13">
        <f t="shared" si="1"/>
        <v>65580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>
        <v>9</v>
      </c>
      <c r="D9" s="13">
        <f t="shared" si="1"/>
        <v>6597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>
        <v>5</v>
      </c>
      <c r="D10" s="13">
        <f t="shared" si="1"/>
        <v>5160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>
        <v>16</v>
      </c>
      <c r="D11" s="13">
        <f t="shared" si="1"/>
        <v>18720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>
        <f>23+3</f>
        <v>26</v>
      </c>
      <c r="D12" s="48">
        <f t="shared" si="1"/>
        <v>25792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>
        <v>21</v>
      </c>
      <c r="D13" s="48">
        <f t="shared" si="1"/>
        <v>6447</v>
      </c>
      <c r="F13" s="154" t="s">
        <v>36</v>
      </c>
      <c r="G13" s="155"/>
      <c r="H13" s="156">
        <f>D29</f>
        <v>685162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>
        <v>17</v>
      </c>
      <c r="D14" s="31">
        <f t="shared" si="1"/>
        <v>187</v>
      </c>
      <c r="F14" s="159" t="s">
        <v>39</v>
      </c>
      <c r="G14" s="160"/>
      <c r="H14" s="161">
        <f>D54</f>
        <v>145168.5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>
        <v>1</v>
      </c>
      <c r="D15" s="31">
        <f t="shared" si="1"/>
        <v>620</v>
      </c>
      <c r="F15" s="164" t="s">
        <v>40</v>
      </c>
      <c r="G15" s="155"/>
      <c r="H15" s="165">
        <f>H13-H14</f>
        <v>539993.5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>
        <f>2772</f>
        <v>2772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101</v>
      </c>
      <c r="C23" s="84"/>
      <c r="D23" s="48">
        <f t="shared" si="1"/>
        <v>0</v>
      </c>
      <c r="F23" s="77"/>
      <c r="G23" s="79"/>
      <c r="H23" s="244"/>
      <c r="I23" s="245"/>
      <c r="J23" s="24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/>
      <c r="G26" s="65"/>
      <c r="H26" s="193"/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90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>
        <v>1</v>
      </c>
      <c r="D28" s="48">
        <f t="shared" si="1"/>
        <v>811</v>
      </c>
      <c r="F28" s="93"/>
      <c r="G28" s="61"/>
      <c r="H28" s="203"/>
      <c r="I28" s="204"/>
      <c r="J28" s="205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685162</v>
      </c>
      <c r="F29" s="177" t="s">
        <v>55</v>
      </c>
      <c r="G29" s="178"/>
      <c r="H29" s="181">
        <f>H15-H16-H17-H18-H19-H20-H22-H23-H24+H26+H27+H28</f>
        <v>537221.5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209">
        <f t="shared" ref="H34:H39" si="2">F34*G34</f>
        <v>229000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209">
        <f t="shared" si="2"/>
        <v>48500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209">
        <f t="shared" si="2"/>
        <v>200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209">
        <f t="shared" si="2"/>
        <v>20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193">
        <v>258954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1</v>
      </c>
      <c r="D49" s="12">
        <f>C49*42</f>
        <v>42</v>
      </c>
      <c r="F49" s="234" t="s">
        <v>86</v>
      </c>
      <c r="G49" s="181">
        <f>H34+H35+H36+H37+H38+H39+H40+H41+G42+H44+H45+H46</f>
        <v>536674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25</v>
      </c>
      <c r="D50" s="12">
        <f>C50*1.5</f>
        <v>37.5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131</v>
      </c>
      <c r="G51" s="248">
        <f>G49-H29</f>
        <v>-547.5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256">
        <v>46025</v>
      </c>
      <c r="J4" s="25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258"/>
      <c r="J5" s="25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140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ref="H35:H39" si="2">F35*G35</f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91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256">
        <v>46025</v>
      </c>
      <c r="J4" s="25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258"/>
      <c r="J5" s="25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480</v>
      </c>
      <c r="D6" s="13">
        <f t="shared" ref="D6:D28" si="1">C6*L6</f>
        <v>365280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15</v>
      </c>
      <c r="D7" s="13">
        <f t="shared" si="1"/>
        <v>11715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>
        <v>2</v>
      </c>
      <c r="D8" s="13">
        <f t="shared" si="1"/>
        <v>2186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37</v>
      </c>
      <c r="D9" s="13">
        <f t="shared" si="1"/>
        <v>27121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3</v>
      </c>
      <c r="D10" s="13">
        <f t="shared" si="1"/>
        <v>3096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>
        <v>2</v>
      </c>
      <c r="D11" s="13">
        <f t="shared" si="1"/>
        <v>2340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10</v>
      </c>
      <c r="D13" s="48">
        <f t="shared" si="1"/>
        <v>3070</v>
      </c>
      <c r="F13" s="154" t="s">
        <v>36</v>
      </c>
      <c r="G13" s="155"/>
      <c r="H13" s="156">
        <f>D29</f>
        <v>419083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39</v>
      </c>
      <c r="G14" s="160"/>
      <c r="H14" s="161">
        <f>D54</f>
        <v>68183.25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>
        <f>1</f>
        <v>1</v>
      </c>
      <c r="D15" s="31">
        <f t="shared" si="1"/>
        <v>620</v>
      </c>
      <c r="F15" s="164" t="s">
        <v>40</v>
      </c>
      <c r="G15" s="155"/>
      <c r="H15" s="165">
        <f>H13-H14</f>
        <v>350899.75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216*6+140*6</f>
        <v>2136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191">
        <v>1440</v>
      </c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95" t="s">
        <v>150</v>
      </c>
      <c r="C23" s="10">
        <v>1</v>
      </c>
      <c r="D23" s="48">
        <f t="shared" si="1"/>
        <v>1175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419083</v>
      </c>
      <c r="F29" s="177" t="s">
        <v>55</v>
      </c>
      <c r="G29" s="178"/>
      <c r="H29" s="181">
        <f>H15-H16-H17-H18-H19-H20-H22-H23-H24+H26+H27</f>
        <v>347323.75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09">
        <f>F34*G34</f>
        <v>133000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209">
        <f>F35*G35</f>
        <v>29000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9">
        <v>24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193">
        <v>139104</v>
      </c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193">
        <v>45689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19</v>
      </c>
      <c r="D46" s="12">
        <f>C46*1.5</f>
        <v>28.5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1</v>
      </c>
      <c r="D49" s="12">
        <f>C49*42</f>
        <v>42</v>
      </c>
      <c r="F49" s="234" t="s">
        <v>86</v>
      </c>
      <c r="G49" s="181">
        <f>H34+H35+H36+H37+H38+H39+H40+H41+G42+H44+H45+H46</f>
        <v>346817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7</v>
      </c>
      <c r="D50" s="12">
        <f>C50*1.5</f>
        <v>10.5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139</v>
      </c>
      <c r="G51" s="248">
        <f>G49-H29</f>
        <v>-506.75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46027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>
        <v>463</v>
      </c>
      <c r="D6" s="13">
        <f t="shared" ref="D6:D28" si="1">C6*L6</f>
        <v>352343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>
        <v>7</v>
      </c>
      <c r="D7" s="13">
        <f t="shared" si="1"/>
        <v>5467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>
        <v>2</v>
      </c>
      <c r="D8" s="13">
        <f t="shared" si="1"/>
        <v>2186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>
        <f>120-5</f>
        <v>115</v>
      </c>
      <c r="D9" s="13">
        <f t="shared" si="1"/>
        <v>84295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>
        <v>2</v>
      </c>
      <c r="D10" s="13">
        <f t="shared" si="1"/>
        <v>2064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>
        <v>2</v>
      </c>
      <c r="D11" s="13">
        <f t="shared" si="1"/>
        <v>2340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>
        <v>2</v>
      </c>
      <c r="D12" s="48">
        <f t="shared" si="1"/>
        <v>1984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>
        <v>24</v>
      </c>
      <c r="D13" s="48">
        <f t="shared" si="1"/>
        <v>7368</v>
      </c>
      <c r="F13" s="154" t="s">
        <v>36</v>
      </c>
      <c r="G13" s="155"/>
      <c r="H13" s="156">
        <f>D29</f>
        <v>463474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>
        <v>12</v>
      </c>
      <c r="D14" s="31">
        <f t="shared" si="1"/>
        <v>132</v>
      </c>
      <c r="F14" s="159" t="s">
        <v>39</v>
      </c>
      <c r="G14" s="160"/>
      <c r="H14" s="161">
        <f>D54</f>
        <v>115968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/>
      <c r="D15" s="31">
        <f t="shared" si="1"/>
        <v>0</v>
      </c>
      <c r="F15" s="164" t="s">
        <v>40</v>
      </c>
      <c r="G15" s="155"/>
      <c r="H15" s="165">
        <f>H13-H14</f>
        <v>347506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>
        <f>2592</f>
        <v>2592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191">
        <v>92560</v>
      </c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101</v>
      </c>
      <c r="C23" s="84"/>
      <c r="D23" s="48">
        <f t="shared" si="1"/>
        <v>0</v>
      </c>
      <c r="F23" s="77"/>
      <c r="G23" s="79"/>
      <c r="H23" s="244"/>
      <c r="I23" s="245"/>
      <c r="J23" s="24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193">
        <v>84449</v>
      </c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90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>
        <v>5</v>
      </c>
      <c r="D28" s="48">
        <f t="shared" si="1"/>
        <v>4055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463474</v>
      </c>
      <c r="F29" s="177" t="s">
        <v>55</v>
      </c>
      <c r="G29" s="178"/>
      <c r="H29" s="181">
        <f>H15-H16-H17-H18-H19-H20-H22-H23-H24+H26+H27+H28</f>
        <v>336803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209">
        <f t="shared" ref="H34:H39" si="2">F34*G34</f>
        <v>19000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209">
        <f t="shared" si="2"/>
        <v>500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209">
        <f t="shared" si="2"/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209">
        <f t="shared" si="2"/>
        <v>300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209">
        <f t="shared" si="2"/>
        <v>100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>
        <v>8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193">
        <v>188388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193">
        <v>84449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21</v>
      </c>
      <c r="D46" s="12">
        <f>C46*1.5</f>
        <v>31.5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1</v>
      </c>
      <c r="D49" s="12">
        <f>C49*42</f>
        <v>42</v>
      </c>
      <c r="F49" s="234" t="s">
        <v>86</v>
      </c>
      <c r="G49" s="181">
        <f>H34+H35+H36+H37+H38+H39+H40+H41+G42+H44+H45+H46</f>
        <v>292745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22</v>
      </c>
      <c r="D50" s="12">
        <f>C50*1.5</f>
        <v>33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131</v>
      </c>
      <c r="G51" s="248">
        <f>G49-H29</f>
        <v>-44058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46027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501</v>
      </c>
      <c r="D6" s="13">
        <f t="shared" ref="D6:D28" si="1">C6*L6</f>
        <v>381261</v>
      </c>
      <c r="F6" s="132" t="s">
        <v>16</v>
      </c>
      <c r="G6" s="134" t="s">
        <v>155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8</v>
      </c>
      <c r="D9" s="13">
        <f t="shared" si="1"/>
        <v>5864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18</v>
      </c>
      <c r="D13" s="48">
        <f t="shared" si="1"/>
        <v>5526</v>
      </c>
      <c r="F13" s="154" t="s">
        <v>36</v>
      </c>
      <c r="G13" s="155"/>
      <c r="H13" s="156">
        <f>D29</f>
        <v>392761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10</v>
      </c>
      <c r="D14" s="31">
        <f t="shared" si="1"/>
        <v>110</v>
      </c>
      <c r="F14" s="159" t="s">
        <v>39</v>
      </c>
      <c r="G14" s="160"/>
      <c r="H14" s="161">
        <f>D54</f>
        <v>57342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335419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1296+1284</f>
        <v>2580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392761</v>
      </c>
      <c r="F29" s="177" t="s">
        <v>55</v>
      </c>
      <c r="G29" s="178"/>
      <c r="H29" s="181">
        <f>H15-H16-H17-H18-H19-H20-H22-H23-H24+H26+H27</f>
        <v>332839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209">
        <f>F34*G34</f>
        <v>186000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09">
        <f t="shared" ref="H35:H39" si="2">F35*G35</f>
        <v>6500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209">
        <f t="shared" si="2"/>
        <v>300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09">
        <f t="shared" si="2"/>
        <v>50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>
        <v>32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193">
        <v>139756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91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6</v>
      </c>
      <c r="D49" s="12">
        <f>C49*42</f>
        <v>252</v>
      </c>
      <c r="F49" s="234" t="s">
        <v>86</v>
      </c>
      <c r="G49" s="181">
        <f>H34+H35+H36+H37+H38+H39+H40+H41+G42+H44+H45+H46</f>
        <v>332638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30</v>
      </c>
      <c r="D50" s="12">
        <f>C50*1.5</f>
        <v>45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161</v>
      </c>
      <c r="G51" s="248">
        <f>G49-H29</f>
        <v>-201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46027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735</v>
      </c>
      <c r="D6" s="13">
        <f t="shared" ref="D6:D28" si="1">C6*L6</f>
        <v>559335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4</v>
      </c>
      <c r="D7" s="13">
        <f t="shared" si="1"/>
        <v>3124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>
        <v>1</v>
      </c>
      <c r="D8" s="13">
        <f t="shared" si="1"/>
        <v>1093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114</v>
      </c>
      <c r="D9" s="13">
        <f t="shared" si="1"/>
        <v>83562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3</v>
      </c>
      <c r="D10" s="13">
        <f t="shared" si="1"/>
        <v>3096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>
        <v>2</v>
      </c>
      <c r="D11" s="13">
        <f t="shared" si="1"/>
        <v>2340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f>5+1</f>
        <v>6</v>
      </c>
      <c r="D12" s="48">
        <f t="shared" si="1"/>
        <v>5952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22</v>
      </c>
      <c r="D13" s="48">
        <f t="shared" si="1"/>
        <v>6754</v>
      </c>
      <c r="F13" s="154" t="s">
        <v>36</v>
      </c>
      <c r="G13" s="155"/>
      <c r="H13" s="156">
        <f>D29</f>
        <v>667630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12</v>
      </c>
      <c r="D14" s="31">
        <f t="shared" si="1"/>
        <v>132</v>
      </c>
      <c r="F14" s="159" t="s">
        <v>39</v>
      </c>
      <c r="G14" s="160"/>
      <c r="H14" s="161">
        <f>D54</f>
        <v>100451.25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567178.75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600+1050+456</f>
        <v>2106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>
        <v>50</v>
      </c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>
        <v>2</v>
      </c>
      <c r="D28" s="48">
        <f t="shared" si="1"/>
        <v>1622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667630</v>
      </c>
      <c r="F29" s="177" t="s">
        <v>55</v>
      </c>
      <c r="G29" s="178"/>
      <c r="H29" s="181">
        <f>H15-H16-H17-H18-H19-H20-H22-H23-H24+H26+H27</f>
        <v>565022.75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209">
        <f>F34*G34</f>
        <v>242000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209">
        <f>F35*G35</f>
        <v>67500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209">
        <f t="shared" si="2"/>
        <v>1000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209">
        <f t="shared" si="2"/>
        <v>50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9">
        <v>58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193">
        <v>112763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193">
        <v>142785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4</v>
      </c>
      <c r="D46" s="12">
        <f>C46*1.5</f>
        <v>6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12</v>
      </c>
      <c r="D49" s="12">
        <f>C49*42</f>
        <v>504</v>
      </c>
      <c r="F49" s="234" t="s">
        <v>86</v>
      </c>
      <c r="G49" s="181">
        <f>H34+H35+H36+H37+H38+H39+H40+H41+G42+H44+H45+H46</f>
        <v>566156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15</v>
      </c>
      <c r="D50" s="12">
        <f>C50*1.5</f>
        <v>22.5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149</v>
      </c>
      <c r="G51" s="238">
        <f>G49-H29</f>
        <v>1133.25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46028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>
        <v>633</v>
      </c>
      <c r="D6" s="13">
        <f t="shared" ref="D6:D28" si="1">C6*L6</f>
        <v>481713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>
        <v>2</v>
      </c>
      <c r="D7" s="13">
        <f t="shared" si="1"/>
        <v>1562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>
        <v>1</v>
      </c>
      <c r="D8" s="13">
        <f t="shared" si="1"/>
        <v>1093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>
        <v>27</v>
      </c>
      <c r="D9" s="13">
        <f t="shared" si="1"/>
        <v>19791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>
        <v>1</v>
      </c>
      <c r="D10" s="13">
        <f t="shared" si="1"/>
        <v>1032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>
        <v>1</v>
      </c>
      <c r="D12" s="48">
        <f t="shared" si="1"/>
        <v>992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>
        <v>9</v>
      </c>
      <c r="D13" s="48">
        <f t="shared" si="1"/>
        <v>2763</v>
      </c>
      <c r="F13" s="154" t="s">
        <v>36</v>
      </c>
      <c r="G13" s="155"/>
      <c r="H13" s="156">
        <f>D29</f>
        <v>509943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/>
      <c r="D14" s="31">
        <f t="shared" si="1"/>
        <v>0</v>
      </c>
      <c r="F14" s="159" t="s">
        <v>39</v>
      </c>
      <c r="G14" s="160"/>
      <c r="H14" s="161">
        <f>D54</f>
        <v>74673.75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/>
      <c r="D15" s="31">
        <f t="shared" si="1"/>
        <v>0</v>
      </c>
      <c r="F15" s="164" t="s">
        <v>40</v>
      </c>
      <c r="G15" s="155"/>
      <c r="H15" s="165">
        <f>H13-H14</f>
        <v>435269.25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169</v>
      </c>
      <c r="C23" s="84">
        <v>12</v>
      </c>
      <c r="D23" s="48">
        <f t="shared" si="1"/>
        <v>454</v>
      </c>
      <c r="F23" s="77"/>
      <c r="G23" s="79"/>
      <c r="H23" s="244"/>
      <c r="I23" s="245"/>
      <c r="J23" s="245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/>
      <c r="G26" s="65"/>
      <c r="H26" s="193"/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90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509943</v>
      </c>
      <c r="F29" s="177" t="s">
        <v>55</v>
      </c>
      <c r="G29" s="178"/>
      <c r="H29" s="181">
        <f>H15-H16-H17-H18-H19-H20-H22-H23-H24+H26+H27+H28</f>
        <v>435269.25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209">
        <f t="shared" ref="H34:H39" si="2">F34*G34</f>
        <v>225000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209">
        <f t="shared" si="2"/>
        <v>150000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9">
        <f t="shared" si="2"/>
        <v>200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209">
        <f t="shared" si="2"/>
        <v>3600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209">
        <f t="shared" si="2"/>
        <v>500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209">
        <f t="shared" si="2"/>
        <v>20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9">
        <v>72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193">
        <v>56000</v>
      </c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>
        <v>1</v>
      </c>
      <c r="D45" s="12">
        <f>C45*84</f>
        <v>84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3</v>
      </c>
      <c r="D46" s="12">
        <f>C46*1.5</f>
        <v>4.5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435392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22</v>
      </c>
      <c r="D50" s="12">
        <f>C50*1.5</f>
        <v>33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149</v>
      </c>
      <c r="G51" s="238">
        <f>G49-H29</f>
        <v>122.75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46028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581</v>
      </c>
      <c r="D6" s="13">
        <f t="shared" ref="D6:D28" si="1">C6*L6</f>
        <v>442141</v>
      </c>
      <c r="F6" s="132" t="s">
        <v>16</v>
      </c>
      <c r="G6" s="134" t="s">
        <v>140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3</v>
      </c>
      <c r="D7" s="13">
        <f t="shared" si="1"/>
        <v>2343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41</v>
      </c>
      <c r="D9" s="13">
        <f t="shared" si="1"/>
        <v>30053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2</v>
      </c>
      <c r="D12" s="48">
        <f t="shared" si="1"/>
        <v>1984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17</v>
      </c>
      <c r="D13" s="48">
        <f t="shared" si="1"/>
        <v>5219</v>
      </c>
      <c r="F13" s="154" t="s">
        <v>36</v>
      </c>
      <c r="G13" s="155"/>
      <c r="H13" s="156">
        <f>D29</f>
        <v>486638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</v>
      </c>
      <c r="D14" s="31">
        <f t="shared" si="1"/>
        <v>11</v>
      </c>
      <c r="F14" s="159" t="s">
        <v>39</v>
      </c>
      <c r="G14" s="160"/>
      <c r="H14" s="161">
        <f>D54</f>
        <v>85668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>
        <v>1</v>
      </c>
      <c r="D15" s="31">
        <f t="shared" si="1"/>
        <v>620</v>
      </c>
      <c r="F15" s="164" t="s">
        <v>40</v>
      </c>
      <c r="G15" s="155"/>
      <c r="H15" s="165">
        <f>H13-H14</f>
        <v>400970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324*6+201*6</f>
        <v>3150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191">
        <v>131647</v>
      </c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>
        <v>1</v>
      </c>
      <c r="D24" s="48">
        <f t="shared" si="1"/>
        <v>1667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486638</v>
      </c>
      <c r="F29" s="177" t="s">
        <v>55</v>
      </c>
      <c r="G29" s="178"/>
      <c r="H29" s="181">
        <f>H15-H16-H17-H18-H19-H20-H22-H23-H24+H26+H27</f>
        <v>266173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209">
        <f>F34*G34</f>
        <v>39000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209">
        <f t="shared" ref="H35:H37" si="2">F35*G35</f>
        <v>22500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9">
        <f>F36*G36</f>
        <v>200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209">
        <f t="shared" si="2"/>
        <v>4000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09">
        <f t="shared" ref="H38:H39" si="3">F38*G38</f>
        <v>300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09">
        <f t="shared" si="3"/>
        <v>20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2</v>
      </c>
      <c r="D42" s="12">
        <f>C42*2.25</f>
        <v>4.5</v>
      </c>
      <c r="F42" s="39" t="s">
        <v>79</v>
      </c>
      <c r="G42" s="209">
        <v>18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193">
        <v>198198</v>
      </c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24</v>
      </c>
      <c r="D46" s="12">
        <f>C46*1.5</f>
        <v>36</v>
      </c>
      <c r="F46" s="37"/>
      <c r="G46" s="91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2</v>
      </c>
      <c r="D49" s="12">
        <f>C49*42</f>
        <v>84</v>
      </c>
      <c r="F49" s="234" t="s">
        <v>86</v>
      </c>
      <c r="G49" s="181">
        <f>H34+H35+H36+H37+H38+H39+H40+H41+G42+H44+H45+H46</f>
        <v>264236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21</v>
      </c>
      <c r="D50" s="12">
        <f>C50*1.5</f>
        <v>31.5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161</v>
      </c>
      <c r="G51" s="248">
        <f>G49-H29</f>
        <v>-1937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46028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f>614-273</f>
        <v>341</v>
      </c>
      <c r="D6" s="13">
        <f t="shared" ref="D6:D28" si="1">C6*L6</f>
        <v>259501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</v>
      </c>
      <c r="D7" s="13">
        <f t="shared" si="1"/>
        <v>781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13</v>
      </c>
      <c r="D9" s="13">
        <f t="shared" si="1"/>
        <v>9529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3</v>
      </c>
      <c r="D12" s="48">
        <f t="shared" si="1"/>
        <v>2976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2</v>
      </c>
      <c r="D13" s="48">
        <f t="shared" si="1"/>
        <v>614</v>
      </c>
      <c r="F13" s="154" t="s">
        <v>36</v>
      </c>
      <c r="G13" s="155"/>
      <c r="H13" s="156">
        <f>D29</f>
        <v>275314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8</v>
      </c>
      <c r="D14" s="31">
        <f t="shared" si="1"/>
        <v>88</v>
      </c>
      <c r="F14" s="159" t="s">
        <v>39</v>
      </c>
      <c r="G14" s="160"/>
      <c r="H14" s="161">
        <f>D54</f>
        <v>52389.75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222924.25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268*6+51*6</f>
        <v>1914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191">
        <v>173644</v>
      </c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>
        <v>1</v>
      </c>
      <c r="D23" s="48">
        <f t="shared" si="1"/>
        <v>1175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275314</v>
      </c>
      <c r="F29" s="177" t="s">
        <v>55</v>
      </c>
      <c r="G29" s="178"/>
      <c r="H29" s="181">
        <f>H15-H16-H17-H18-H19-H20-H22-H23-H24+H26+H27</f>
        <v>47366.25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209">
        <f>F34*G34</f>
        <v>26000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09">
        <f>F35*G35</f>
        <v>17500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209">
        <f t="shared" ref="H36:H39" si="2">F36*G36</f>
        <v>200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209">
        <f t="shared" si="2"/>
        <v>3400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9">
        <v>142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2</v>
      </c>
      <c r="D44" s="12">
        <f>C44*120</f>
        <v>240</v>
      </c>
      <c r="F44" s="37"/>
      <c r="G44" s="76"/>
      <c r="H44" s="193"/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7</v>
      </c>
      <c r="D46" s="12">
        <f>C46*1.5</f>
        <v>10.5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1</v>
      </c>
      <c r="D49" s="12">
        <f>C49*42</f>
        <v>42</v>
      </c>
      <c r="F49" s="234" t="s">
        <v>86</v>
      </c>
      <c r="G49" s="181">
        <f>H34+H35+H36+H37+H38+H39+H40+H41+G42+H44+H45+H46</f>
        <v>47242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16</v>
      </c>
      <c r="D50" s="12">
        <f>C50*1.5</f>
        <v>24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139</v>
      </c>
      <c r="G51" s="248">
        <f>G49-H29</f>
        <v>-124.25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46029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>
        <v>523</v>
      </c>
      <c r="D6" s="13">
        <f t="shared" ref="D6:D28" si="1">C6*L6</f>
        <v>398003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>
        <v>2</v>
      </c>
      <c r="D7" s="13">
        <f t="shared" si="1"/>
        <v>1562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>
        <v>2</v>
      </c>
      <c r="D8" s="13">
        <f t="shared" si="1"/>
        <v>2186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>
        <v>10</v>
      </c>
      <c r="D9" s="13">
        <f t="shared" si="1"/>
        <v>7330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/>
      <c r="D10" s="13">
        <f t="shared" si="1"/>
        <v>0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>
        <v>13</v>
      </c>
      <c r="D13" s="48">
        <f t="shared" si="1"/>
        <v>3991</v>
      </c>
      <c r="F13" s="154" t="s">
        <v>36</v>
      </c>
      <c r="G13" s="155"/>
      <c r="H13" s="156">
        <f>D29</f>
        <v>416738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>
        <v>3</v>
      </c>
      <c r="D14" s="31">
        <f t="shared" si="1"/>
        <v>33</v>
      </c>
      <c r="F14" s="159" t="s">
        <v>39</v>
      </c>
      <c r="G14" s="160"/>
      <c r="H14" s="161">
        <f>D54</f>
        <v>113626.5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/>
      <c r="D15" s="31">
        <f t="shared" si="1"/>
        <v>0</v>
      </c>
      <c r="F15" s="164" t="s">
        <v>40</v>
      </c>
      <c r="G15" s="155"/>
      <c r="H15" s="165">
        <f>H13-H14</f>
        <v>303111.5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>
        <f>2586</f>
        <v>2586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169</v>
      </c>
      <c r="C23" s="84">
        <v>12</v>
      </c>
      <c r="D23" s="48">
        <f t="shared" si="1"/>
        <v>454</v>
      </c>
      <c r="F23" s="77"/>
      <c r="G23" s="79"/>
      <c r="H23" s="244"/>
      <c r="I23" s="245"/>
      <c r="J23" s="245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/>
      <c r="G26" s="65"/>
      <c r="H26" s="193"/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90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>
        <v>1</v>
      </c>
      <c r="D28" s="48">
        <f t="shared" si="1"/>
        <v>811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416738</v>
      </c>
      <c r="F29" s="177" t="s">
        <v>55</v>
      </c>
      <c r="G29" s="178"/>
      <c r="H29" s="181">
        <f>H15-H16-H17-H18-H19-H20-H22-H23-H24+H26+H27+H28</f>
        <v>300525.5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209">
        <f t="shared" ref="H34:H39" si="2">F34*G34</f>
        <v>51000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209">
        <f t="shared" si="2"/>
        <v>10000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209">
        <f t="shared" si="2"/>
        <v>4100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209">
        <f t="shared" si="2"/>
        <v>750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30</v>
      </c>
      <c r="D42" s="12">
        <f>C42*2.25</f>
        <v>67.5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193">
        <v>234325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>
        <v>1</v>
      </c>
      <c r="D45" s="12">
        <f>C45*84</f>
        <v>84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34</v>
      </c>
      <c r="D46" s="12">
        <f>C46*1.5</f>
        <v>51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300175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10</v>
      </c>
      <c r="D50" s="12">
        <f>C50*1.5</f>
        <v>15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131</v>
      </c>
      <c r="G51" s="248">
        <f>G49-H29</f>
        <v>-350.5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46029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450</v>
      </c>
      <c r="D6" s="13">
        <f t="shared" ref="D6:D28" si="1">C6*L6</f>
        <v>342450</v>
      </c>
      <c r="F6" s="132" t="s">
        <v>16</v>
      </c>
      <c r="G6" s="134" t="s">
        <v>140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20</v>
      </c>
      <c r="D9" s="13">
        <f t="shared" si="1"/>
        <v>14660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15</v>
      </c>
      <c r="D13" s="48">
        <f t="shared" si="1"/>
        <v>4605</v>
      </c>
      <c r="F13" s="154" t="s">
        <v>36</v>
      </c>
      <c r="G13" s="155"/>
      <c r="H13" s="156">
        <f>D29</f>
        <v>364269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11</v>
      </c>
      <c r="D14" s="31">
        <f t="shared" si="1"/>
        <v>121</v>
      </c>
      <c r="F14" s="159" t="s">
        <v>39</v>
      </c>
      <c r="G14" s="160"/>
      <c r="H14" s="161">
        <f>D54</f>
        <v>53587.5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310681.5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2064</f>
        <v>2064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197">
        <v>131647</v>
      </c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>
        <v>3</v>
      </c>
      <c r="D28" s="48">
        <f t="shared" si="1"/>
        <v>2433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364269</v>
      </c>
      <c r="F29" s="177" t="s">
        <v>55</v>
      </c>
      <c r="G29" s="178"/>
      <c r="H29" s="181">
        <f>H15-H16-H17-H18-H19-H20-H22-H23-H24+H26+H27</f>
        <v>440264.5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209">
        <f>F34*G34</f>
        <v>243000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209">
        <f t="shared" ref="H35:H39" si="2">F35*G35</f>
        <v>50500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209">
        <f t="shared" si="2"/>
        <v>12800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209">
        <f t="shared" si="2"/>
        <v>2300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>
        <v>71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193">
        <v>131647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91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9</v>
      </c>
      <c r="D49" s="12">
        <f>C49*42</f>
        <v>378</v>
      </c>
      <c r="F49" s="234" t="s">
        <v>86</v>
      </c>
      <c r="G49" s="181">
        <f>H34+H35+H36+H37+H38+H39+H40+H41+G42+H44+H45+H46</f>
        <v>440318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15</v>
      </c>
      <c r="D50" s="12">
        <f>C50*1.5</f>
        <v>22.5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142</v>
      </c>
      <c r="G51" s="238">
        <f>G49-H29</f>
        <v>53.5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 t="s">
        <v>179</v>
      </c>
      <c r="H4" s="123" t="s">
        <v>9</v>
      </c>
      <c r="I4" s="125">
        <v>46029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178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197">
        <v>7281</v>
      </c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197">
        <v>1000</v>
      </c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197">
        <v>3130</v>
      </c>
      <c r="I28" s="198"/>
      <c r="J28" s="19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H15-H16-H17-H18-H19-H20-H22-H23-H24+H26+H27+H28</f>
        <v>11411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ref="H35:H39" si="2">F35*G35</f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1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 t="s">
        <v>153</v>
      </c>
      <c r="G44" s="62"/>
      <c r="H44" s="193">
        <v>11411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100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11411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177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46029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380</v>
      </c>
      <c r="D6" s="13">
        <f t="shared" ref="D6:D28" si="1">C6*L6</f>
        <v>289180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19</v>
      </c>
      <c r="D7" s="13">
        <f t="shared" si="1"/>
        <v>14839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>
        <v>2</v>
      </c>
      <c r="D8" s="13">
        <f t="shared" si="1"/>
        <v>2186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84</v>
      </c>
      <c r="D9" s="13">
        <f t="shared" si="1"/>
        <v>61572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1</v>
      </c>
      <c r="D10" s="13">
        <f t="shared" si="1"/>
        <v>1032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f>3+1</f>
        <v>4</v>
      </c>
      <c r="D12" s="48">
        <f t="shared" si="1"/>
        <v>3968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14</v>
      </c>
      <c r="D13" s="48">
        <f t="shared" si="1"/>
        <v>4298</v>
      </c>
      <c r="F13" s="154" t="s">
        <v>36</v>
      </c>
      <c r="G13" s="155"/>
      <c r="H13" s="156">
        <f>D29</f>
        <v>383641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6</v>
      </c>
      <c r="D14" s="31">
        <f t="shared" si="1"/>
        <v>66</v>
      </c>
      <c r="F14" s="159" t="s">
        <v>39</v>
      </c>
      <c r="G14" s="160"/>
      <c r="H14" s="161">
        <f>D54</f>
        <v>52228.5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331412.5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v>1248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>
        <v>50</v>
      </c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197">
        <v>173644</v>
      </c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383641</v>
      </c>
      <c r="F29" s="177" t="s">
        <v>55</v>
      </c>
      <c r="G29" s="178"/>
      <c r="H29" s="181">
        <f>H15-H16-H17-H18-H19-H20-H22-H23-H24+H26+H27</f>
        <v>503758.5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09">
        <f>F34*G34</f>
        <v>148000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09">
        <f>F35*G35</f>
        <v>10000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09">
        <f t="shared" ref="H36:H39" si="2">F36*G36</f>
        <v>600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209">
        <f t="shared" si="2"/>
        <v>15100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209">
        <f t="shared" si="2"/>
        <v>16750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4</v>
      </c>
      <c r="D42" s="12">
        <f>C42*2.25</f>
        <v>9</v>
      </c>
      <c r="F42" s="39" t="s">
        <v>79</v>
      </c>
      <c r="G42" s="209">
        <v>175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193">
        <v>139318</v>
      </c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193">
        <v>173644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9</v>
      </c>
      <c r="D46" s="12">
        <f>C46*1.5</f>
        <v>13.5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5</v>
      </c>
      <c r="D49" s="12">
        <f>C49*42</f>
        <v>210</v>
      </c>
      <c r="F49" s="234" t="s">
        <v>86</v>
      </c>
      <c r="G49" s="181">
        <f>H34+H35+H36+H37+H38+H39+H40+H41+G42+H44+H45+H46</f>
        <v>503587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18</v>
      </c>
      <c r="D50" s="12">
        <f>C50*1.5</f>
        <v>27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139</v>
      </c>
      <c r="G51" s="248">
        <f>G49-H29</f>
        <v>-171.5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46030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>
        <v>707</v>
      </c>
      <c r="D6" s="13">
        <f t="shared" ref="D6:D28" si="1">C6*L6</f>
        <v>538027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/>
      <c r="D8" s="13">
        <f t="shared" si="1"/>
        <v>0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>
        <v>10</v>
      </c>
      <c r="D9" s="13">
        <f t="shared" si="1"/>
        <v>7330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/>
      <c r="D10" s="13">
        <f t="shared" si="1"/>
        <v>0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>
        <v>26</v>
      </c>
      <c r="D13" s="48">
        <f t="shared" si="1"/>
        <v>7982</v>
      </c>
      <c r="F13" s="154" t="s">
        <v>36</v>
      </c>
      <c r="G13" s="155"/>
      <c r="H13" s="156">
        <f>D29</f>
        <v>555289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/>
      <c r="D14" s="31">
        <f t="shared" si="1"/>
        <v>0</v>
      </c>
      <c r="F14" s="159" t="s">
        <v>39</v>
      </c>
      <c r="G14" s="160"/>
      <c r="H14" s="161">
        <f>D54</f>
        <v>79440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/>
      <c r="D15" s="31">
        <f t="shared" si="1"/>
        <v>0</v>
      </c>
      <c r="F15" s="164" t="s">
        <v>40</v>
      </c>
      <c r="G15" s="155"/>
      <c r="H15" s="165">
        <f>H13-H14</f>
        <v>475849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>
        <f>3882</f>
        <v>3882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101</v>
      </c>
      <c r="C23" s="84"/>
      <c r="D23" s="48">
        <f t="shared" si="1"/>
        <v>0</v>
      </c>
      <c r="F23" s="77"/>
      <c r="G23" s="79"/>
      <c r="H23" s="244"/>
      <c r="I23" s="245"/>
      <c r="J23" s="24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/>
      <c r="G26" s="65"/>
      <c r="H26" s="193"/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90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/>
      <c r="D28" s="48">
        <f t="shared" si="1"/>
        <v>0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555289</v>
      </c>
      <c r="F29" s="177" t="s">
        <v>55</v>
      </c>
      <c r="G29" s="178"/>
      <c r="H29" s="181">
        <f>H15-H16-H17-H18-H19-H20-H22-H23-H24+H26+H27+H28</f>
        <v>471967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209">
        <f t="shared" ref="H34:H39" si="2">F34*G34</f>
        <v>262000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209">
        <f t="shared" si="2"/>
        <v>201000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09">
        <f t="shared" si="2"/>
        <v>600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209">
        <f t="shared" si="2"/>
        <v>6800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209">
        <f t="shared" si="2"/>
        <v>100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>
        <v>8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2</v>
      </c>
      <c r="D44" s="12">
        <f>C44*120</f>
        <v>240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16</v>
      </c>
      <c r="D49" s="12">
        <f>C49*42</f>
        <v>672</v>
      </c>
      <c r="F49" s="234" t="s">
        <v>86</v>
      </c>
      <c r="G49" s="181">
        <f>H34+H35+H36+H37+H38+H39+H40+H41+G42+H44+H45+H46</f>
        <v>470508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131</v>
      </c>
      <c r="G51" s="248">
        <f>G49-H29</f>
        <v>-1459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46030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314</v>
      </c>
      <c r="D6" s="13">
        <f t="shared" ref="D6:D28" si="1">C6*L6</f>
        <v>238954</v>
      </c>
      <c r="F6" s="132" t="s">
        <v>16</v>
      </c>
      <c r="G6" s="134" t="s">
        <v>140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5</v>
      </c>
      <c r="D7" s="13">
        <f t="shared" si="1"/>
        <v>3905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19</v>
      </c>
      <c r="D9" s="13">
        <f t="shared" si="1"/>
        <v>13927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1</v>
      </c>
      <c r="D10" s="13">
        <f t="shared" si="1"/>
        <v>1032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f>2+1+1</f>
        <v>4</v>
      </c>
      <c r="D12" s="48">
        <f t="shared" si="1"/>
        <v>3968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7</v>
      </c>
      <c r="D13" s="48">
        <f t="shared" si="1"/>
        <v>2149</v>
      </c>
      <c r="F13" s="154" t="s">
        <v>36</v>
      </c>
      <c r="G13" s="155"/>
      <c r="H13" s="156">
        <f>D29</f>
        <v>263957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2</v>
      </c>
      <c r="D14" s="31">
        <f t="shared" si="1"/>
        <v>22</v>
      </c>
      <c r="F14" s="159" t="s">
        <v>39</v>
      </c>
      <c r="G14" s="160"/>
      <c r="H14" s="161">
        <f>D54</f>
        <v>52866.75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211090.25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263957</v>
      </c>
      <c r="F29" s="177" t="s">
        <v>55</v>
      </c>
      <c r="G29" s="178"/>
      <c r="H29" s="181">
        <f>H15-H16-H17-H18-H19-H20-H22-H23-H24+H26+H27</f>
        <v>211090.25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209">
        <f>F34*G34</f>
        <v>199000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09">
        <f t="shared" ref="H35:H39" si="2">F35*G35</f>
        <v>500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209">
        <f t="shared" si="2"/>
        <v>5600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09">
        <f t="shared" si="2"/>
        <v>50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1</v>
      </c>
      <c r="D42" s="12">
        <f>C42*2.25</f>
        <v>2.25</v>
      </c>
      <c r="F42" s="39" t="s">
        <v>79</v>
      </c>
      <c r="G42" s="209">
        <v>10004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2</v>
      </c>
      <c r="D44" s="12">
        <f>C44*120</f>
        <v>240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>
        <v>1</v>
      </c>
      <c r="D45" s="12">
        <f>C45*84</f>
        <v>84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22</v>
      </c>
      <c r="D46" s="12">
        <f>C46*1.5</f>
        <v>33</v>
      </c>
      <c r="F46" s="37"/>
      <c r="G46" s="91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3</v>
      </c>
      <c r="D49" s="12">
        <f>C49*42</f>
        <v>126</v>
      </c>
      <c r="F49" s="234" t="s">
        <v>86</v>
      </c>
      <c r="G49" s="181">
        <f>H34+H35+H36+H37+H38+H39+H40+H41+G42+H44+H45+H46</f>
        <v>215154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36</v>
      </c>
      <c r="D50" s="12">
        <f>C50*1.5</f>
        <v>54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142</v>
      </c>
      <c r="G51" s="238">
        <f>G49-H29</f>
        <v>4063.75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46030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529</v>
      </c>
      <c r="D6" s="13">
        <f t="shared" ref="D6:D28" si="1">C6*L6</f>
        <v>402569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15</v>
      </c>
      <c r="D7" s="13">
        <f t="shared" si="1"/>
        <v>11715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>
        <v>2</v>
      </c>
      <c r="D8" s="13">
        <f t="shared" si="1"/>
        <v>2186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3</v>
      </c>
      <c r="D10" s="13">
        <f t="shared" si="1"/>
        <v>3096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>
        <v>2</v>
      </c>
      <c r="D11" s="13">
        <f t="shared" si="1"/>
        <v>2340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f>8+1+1</f>
        <v>10</v>
      </c>
      <c r="D12" s="48">
        <f t="shared" si="1"/>
        <v>9920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5</v>
      </c>
      <c r="D13" s="48">
        <f t="shared" si="1"/>
        <v>1535</v>
      </c>
      <c r="F13" s="154" t="s">
        <v>36</v>
      </c>
      <c r="G13" s="155"/>
      <c r="H13" s="156">
        <f>D29</f>
        <v>434667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6</v>
      </c>
      <c r="D14" s="31">
        <f t="shared" si="1"/>
        <v>66</v>
      </c>
      <c r="F14" s="159" t="s">
        <v>39</v>
      </c>
      <c r="G14" s="160"/>
      <c r="H14" s="161">
        <f>D54</f>
        <v>66066.75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>
        <v>2</v>
      </c>
      <c r="D15" s="31">
        <f t="shared" si="1"/>
        <v>1240</v>
      </c>
      <c r="F15" s="164" t="s">
        <v>40</v>
      </c>
      <c r="G15" s="155"/>
      <c r="H15" s="165">
        <f>H13-H14</f>
        <v>368600.25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2772+330</f>
        <v>3102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434667</v>
      </c>
      <c r="F29" s="177" t="s">
        <v>55</v>
      </c>
      <c r="G29" s="178"/>
      <c r="H29" s="181">
        <f>H15-H16-H17-H18-H19-H20-H22-H23-H24+H26+H27</f>
        <v>365498.25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209">
        <f>F34*G34</f>
        <v>41000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09">
        <f>F35*G35</f>
        <v>15000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9">
        <f t="shared" ref="H36:H39" si="2">F36*G36</f>
        <v>200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209">
        <f t="shared" si="2"/>
        <v>7300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209">
        <f t="shared" si="2"/>
        <v>100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09">
        <f t="shared" si="2"/>
        <v>20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3</v>
      </c>
      <c r="D42" s="12">
        <f>C42*2.25</f>
        <v>6.75</v>
      </c>
      <c r="F42" s="39" t="s">
        <v>79</v>
      </c>
      <c r="G42" s="209">
        <v>165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193">
        <v>301634</v>
      </c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>
        <v>1</v>
      </c>
      <c r="D45" s="12">
        <f>C45*84</f>
        <v>84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4</v>
      </c>
      <c r="D46" s="12">
        <f>C46*1.5</f>
        <v>6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1</v>
      </c>
      <c r="D49" s="12">
        <f>C49*42</f>
        <v>42</v>
      </c>
      <c r="F49" s="234" t="s">
        <v>86</v>
      </c>
      <c r="G49" s="181">
        <f>H34+H35+H36+H37+H38+H39+H40+H41+G42+H44+H45+H46</f>
        <v>365419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1</v>
      </c>
      <c r="D50" s="12">
        <f>C50*1.5</f>
        <v>1.5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139</v>
      </c>
      <c r="G51" s="248">
        <f>G49-H29</f>
        <v>-79.25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46031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>
        <v>647</v>
      </c>
      <c r="D6" s="13">
        <f t="shared" ref="D6:D28" si="1">C6*L6</f>
        <v>492367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/>
      <c r="D8" s="13">
        <f t="shared" si="1"/>
        <v>0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/>
      <c r="D10" s="13">
        <f t="shared" si="1"/>
        <v>0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>
        <v>20</v>
      </c>
      <c r="D13" s="48">
        <f t="shared" si="1"/>
        <v>6140</v>
      </c>
      <c r="F13" s="154" t="s">
        <v>36</v>
      </c>
      <c r="G13" s="155"/>
      <c r="H13" s="156">
        <f>D29</f>
        <v>498507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/>
      <c r="D14" s="31">
        <f t="shared" si="1"/>
        <v>0</v>
      </c>
      <c r="F14" s="159" t="s">
        <v>39</v>
      </c>
      <c r="G14" s="160"/>
      <c r="H14" s="161">
        <f>D54</f>
        <v>99282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/>
      <c r="D15" s="31">
        <f t="shared" si="1"/>
        <v>0</v>
      </c>
      <c r="F15" s="164" t="s">
        <v>40</v>
      </c>
      <c r="G15" s="155"/>
      <c r="H15" s="165">
        <f>H13-H14</f>
        <v>399225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>
        <v>3882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101</v>
      </c>
      <c r="C23" s="84"/>
      <c r="D23" s="48">
        <f t="shared" si="1"/>
        <v>0</v>
      </c>
      <c r="F23" s="77"/>
      <c r="G23" s="79"/>
      <c r="H23" s="244"/>
      <c r="I23" s="245"/>
      <c r="J23" s="24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/>
      <c r="G26" s="65"/>
      <c r="H26" s="193"/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90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498507</v>
      </c>
      <c r="F29" s="177" t="s">
        <v>55</v>
      </c>
      <c r="G29" s="178"/>
      <c r="H29" s="181">
        <f>H15-H16-H17-H18-H19-H20-H22-H23-H24+H26+H27+H28</f>
        <v>395343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209">
        <f t="shared" ref="H34:H39" si="2">F34*G34</f>
        <v>395000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si="2"/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209">
        <f t="shared" si="2"/>
        <v>300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>
        <v>13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34</v>
      </c>
      <c r="D49" s="12">
        <f>C49*42</f>
        <v>1428</v>
      </c>
      <c r="F49" s="234" t="s">
        <v>86</v>
      </c>
      <c r="G49" s="181">
        <f>H34+H35+H36+H37+H38+H39+H40+H41+G42+H44+H45+H46</f>
        <v>395313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131</v>
      </c>
      <c r="G51" s="248">
        <f>G49-H29</f>
        <v>-30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46031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317</v>
      </c>
      <c r="D6" s="13">
        <f t="shared" ref="D6:D28" si="1">C6*L6</f>
        <v>241237</v>
      </c>
      <c r="F6" s="132" t="s">
        <v>16</v>
      </c>
      <c r="G6" s="134" t="s">
        <v>140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9</v>
      </c>
      <c r="D7" s="13">
        <f t="shared" si="1"/>
        <v>7029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23</v>
      </c>
      <c r="D9" s="13">
        <f t="shared" si="1"/>
        <v>16859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>
        <v>1</v>
      </c>
      <c r="D11" s="13">
        <f t="shared" si="1"/>
        <v>1170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f>1+1</f>
        <v>2</v>
      </c>
      <c r="D12" s="48">
        <f t="shared" si="1"/>
        <v>1984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10</v>
      </c>
      <c r="D13" s="48">
        <f t="shared" si="1"/>
        <v>3070</v>
      </c>
      <c r="F13" s="154" t="s">
        <v>36</v>
      </c>
      <c r="G13" s="155"/>
      <c r="H13" s="156">
        <f>D29</f>
        <v>273073.33333333331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22</v>
      </c>
      <c r="D14" s="31">
        <f t="shared" si="1"/>
        <v>242</v>
      </c>
      <c r="F14" s="159" t="s">
        <v>39</v>
      </c>
      <c r="G14" s="160"/>
      <c r="H14" s="161">
        <f>D54</f>
        <v>45388.5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>
        <v>2</v>
      </c>
      <c r="D15" s="31">
        <f t="shared" si="1"/>
        <v>1240</v>
      </c>
      <c r="F15" s="164" t="s">
        <v>40</v>
      </c>
      <c r="G15" s="155"/>
      <c r="H15" s="165">
        <f>H13-H14</f>
        <v>227684.83333333331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v>1074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273073.33333333331</v>
      </c>
      <c r="F29" s="177" t="s">
        <v>55</v>
      </c>
      <c r="G29" s="178"/>
      <c r="H29" s="181">
        <f>H15-H16-H17-H18-H19-H20-H22-H23-H24+H26+H27</f>
        <v>226610.83333333331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09">
        <f>F34*G34</f>
        <v>148000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209">
        <f t="shared" ref="H35:H39" si="2">F35*G35</f>
        <v>73500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209">
        <f>F36*G36</f>
        <v>600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209">
        <f t="shared" si="2"/>
        <v>2900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09">
        <f t="shared" si="2"/>
        <v>50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1</v>
      </c>
      <c r="D44" s="12">
        <f>C44*120</f>
        <v>120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>
        <v>2</v>
      </c>
      <c r="D45" s="12">
        <f>C45*84</f>
        <v>168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3</v>
      </c>
      <c r="D46" s="12">
        <f>C46*1.5</f>
        <v>4.5</v>
      </c>
      <c r="F46" s="37"/>
      <c r="G46" s="91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8</v>
      </c>
      <c r="D49" s="12">
        <f>C49*42</f>
        <v>336</v>
      </c>
      <c r="F49" s="234" t="s">
        <v>86</v>
      </c>
      <c r="G49" s="181">
        <f>H34+H35+H36+H37+H38+H39+H40+H41+G42+H44+H45+H46</f>
        <v>225050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20</v>
      </c>
      <c r="D50" s="12">
        <f>C50*1.5</f>
        <v>30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161</v>
      </c>
      <c r="G51" s="248">
        <f>G49-H29</f>
        <v>-1560.8333333333139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46031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344</v>
      </c>
      <c r="D6" s="13">
        <f t="shared" ref="D6:D28" si="1">C6*L6</f>
        <v>261784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12</v>
      </c>
      <c r="D7" s="13">
        <f t="shared" si="1"/>
        <v>9372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78</v>
      </c>
      <c r="D9" s="13">
        <f t="shared" si="1"/>
        <v>57174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1</v>
      </c>
      <c r="D10" s="13">
        <f t="shared" si="1"/>
        <v>1032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f>4+1+1</f>
        <v>6</v>
      </c>
      <c r="D12" s="48">
        <f t="shared" si="1"/>
        <v>5952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10</v>
      </c>
      <c r="D13" s="48">
        <f t="shared" si="1"/>
        <v>3070</v>
      </c>
      <c r="F13" s="154" t="s">
        <v>36</v>
      </c>
      <c r="G13" s="155"/>
      <c r="H13" s="156">
        <f>D29</f>
        <v>341782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14</v>
      </c>
      <c r="D14" s="31">
        <f t="shared" si="1"/>
        <v>154</v>
      </c>
      <c r="F14" s="159" t="s">
        <v>39</v>
      </c>
      <c r="G14" s="160"/>
      <c r="H14" s="161">
        <f>D54</f>
        <v>52036.5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289745.5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684+672</f>
        <v>1356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>
        <v>4</v>
      </c>
      <c r="D28" s="48">
        <f t="shared" si="1"/>
        <v>3244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341782</v>
      </c>
      <c r="F29" s="177" t="s">
        <v>55</v>
      </c>
      <c r="G29" s="178"/>
      <c r="H29" s="181">
        <f>H15-H16-H17-H18-H19-H20-H22-H23-H24+H26+H27</f>
        <v>288389.5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209">
        <f>F34*G34</f>
        <v>83000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09">
        <f>F35*G35</f>
        <v>25000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209">
        <f t="shared" ref="H36:H39" si="2">F36*G36</f>
        <v>1200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209">
        <f t="shared" si="2"/>
        <v>17100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209">
        <f t="shared" si="2"/>
        <v>2450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209">
        <f t="shared" si="2"/>
        <v>60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4</v>
      </c>
      <c r="D42" s="12">
        <f>C42*2.25</f>
        <v>9</v>
      </c>
      <c r="F42" s="39" t="s">
        <v>79</v>
      </c>
      <c r="G42" s="209">
        <v>16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193">
        <v>84877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193">
        <v>74828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12</v>
      </c>
      <c r="D46" s="12">
        <f>C46*1.5</f>
        <v>18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8</v>
      </c>
      <c r="D49" s="12">
        <f>C49*42</f>
        <v>336</v>
      </c>
      <c r="F49" s="234" t="s">
        <v>86</v>
      </c>
      <c r="G49" s="181">
        <f>H34+H35+H36+H37+H38+H39+H40+H41+G42+H44+H45+H46</f>
        <v>288531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8</v>
      </c>
      <c r="D50" s="12">
        <f>C50*1.5</f>
        <v>12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149</v>
      </c>
      <c r="G51" s="238">
        <f>G49-H29</f>
        <v>141.5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46032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>
        <v>467</v>
      </c>
      <c r="D6" s="13">
        <f t="shared" ref="D6:D28" si="1">C6*L6</f>
        <v>355387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>
        <v>3</v>
      </c>
      <c r="D7" s="13">
        <f t="shared" si="1"/>
        <v>2343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>
        <v>70</v>
      </c>
      <c r="D8" s="13">
        <f t="shared" si="1"/>
        <v>76510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>
        <v>20</v>
      </c>
      <c r="D9" s="13">
        <f t="shared" si="1"/>
        <v>14660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>
        <v>2</v>
      </c>
      <c r="D10" s="13">
        <f t="shared" si="1"/>
        <v>2064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>
        <v>2</v>
      </c>
      <c r="D11" s="13">
        <f t="shared" si="1"/>
        <v>2340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>
        <v>3</v>
      </c>
      <c r="D12" s="48">
        <f t="shared" si="1"/>
        <v>2976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>
        <v>8</v>
      </c>
      <c r="D13" s="48">
        <f t="shared" si="1"/>
        <v>2456</v>
      </c>
      <c r="F13" s="154" t="s">
        <v>36</v>
      </c>
      <c r="G13" s="155"/>
      <c r="H13" s="156">
        <f>D29</f>
        <v>458758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>
        <v>2</v>
      </c>
      <c r="D14" s="31">
        <f t="shared" si="1"/>
        <v>22</v>
      </c>
      <c r="F14" s="159" t="s">
        <v>39</v>
      </c>
      <c r="G14" s="160"/>
      <c r="H14" s="161">
        <f>D54</f>
        <v>63504.75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/>
      <c r="D15" s="31">
        <f t="shared" si="1"/>
        <v>0</v>
      </c>
      <c r="F15" s="164" t="s">
        <v>40</v>
      </c>
      <c r="G15" s="155"/>
      <c r="H15" s="165">
        <f>H13-H14</f>
        <v>395253.25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101</v>
      </c>
      <c r="C23" s="84"/>
      <c r="D23" s="48">
        <f t="shared" si="1"/>
        <v>0</v>
      </c>
      <c r="F23" s="77"/>
      <c r="G23" s="79"/>
      <c r="H23" s="244"/>
      <c r="I23" s="245"/>
      <c r="J23" s="24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/>
      <c r="G26" s="65"/>
      <c r="H26" s="193"/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90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/>
      <c r="D28" s="48">
        <f t="shared" si="1"/>
        <v>0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458758</v>
      </c>
      <c r="F29" s="177" t="s">
        <v>55</v>
      </c>
      <c r="G29" s="178"/>
      <c r="H29" s="181">
        <f>H15-H16-H17-H18-H19-H20-H22-H23-H24+H26+H27+H28</f>
        <v>395253.25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209">
        <f t="shared" ref="H34:H39" si="2">F34*G34</f>
        <v>233000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209">
        <f t="shared" si="2"/>
        <v>35500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9">
        <f t="shared" si="2"/>
        <v>400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209">
        <f t="shared" si="2"/>
        <v>4900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209">
        <f t="shared" si="2"/>
        <v>750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09">
        <f t="shared" si="2"/>
        <v>20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9">
        <v>62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193">
        <v>73477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93">
        <v>20198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193">
        <v>27000</v>
      </c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1</v>
      </c>
      <c r="D49" s="12">
        <f>C49*42</f>
        <v>42</v>
      </c>
      <c r="F49" s="234" t="s">
        <v>86</v>
      </c>
      <c r="G49" s="181">
        <f>H34+H35+H36+H37+H38+H39+H40+H41+G42+H44+H45+H46</f>
        <v>395307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14</v>
      </c>
      <c r="D50" s="12">
        <f>C50*1.5</f>
        <v>21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149</v>
      </c>
      <c r="G51" s="238">
        <f>G49-H29</f>
        <v>53.75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46032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264</v>
      </c>
      <c r="D6" s="13">
        <f t="shared" ref="D6:D28" si="1">C6*L6</f>
        <v>200904</v>
      </c>
      <c r="F6" s="132" t="s">
        <v>16</v>
      </c>
      <c r="G6" s="134" t="s">
        <v>140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19</v>
      </c>
      <c r="D7" s="13">
        <f t="shared" si="1"/>
        <v>14839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37</v>
      </c>
      <c r="D9" s="13">
        <f t="shared" si="1"/>
        <v>27121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2</v>
      </c>
      <c r="D12" s="48">
        <f t="shared" si="1"/>
        <v>1984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9</v>
      </c>
      <c r="D13" s="48">
        <f t="shared" si="1"/>
        <v>2763</v>
      </c>
      <c r="F13" s="154" t="s">
        <v>36</v>
      </c>
      <c r="G13" s="155"/>
      <c r="H13" s="156">
        <f>D29</f>
        <v>250831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23</v>
      </c>
      <c r="D14" s="31">
        <f t="shared" si="1"/>
        <v>253</v>
      </c>
      <c r="F14" s="159" t="s">
        <v>39</v>
      </c>
      <c r="G14" s="160"/>
      <c r="H14" s="161">
        <f>D54</f>
        <v>44389.5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206441.5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v>1176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101</v>
      </c>
      <c r="C22" s="10">
        <v>1</v>
      </c>
      <c r="D22" s="48">
        <f t="shared" si="1"/>
        <v>1667</v>
      </c>
      <c r="F22" s="72"/>
      <c r="G22" s="73"/>
      <c r="H22" s="191"/>
      <c r="I22" s="191"/>
      <c r="J22" s="191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250831</v>
      </c>
      <c r="F29" s="177" t="s">
        <v>55</v>
      </c>
      <c r="G29" s="178"/>
      <c r="H29" s="181">
        <f>H15-H16-H17-H18-H19-H20-H22-H23-H24+H26+H27</f>
        <v>205265.5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209">
        <f>F34*G34</f>
        <v>49000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09">
        <f t="shared" ref="H35:H39" si="2">F35*G35</f>
        <v>16000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209">
        <f>F36*G36</f>
        <v>800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209">
        <f t="shared" si="2"/>
        <v>14200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209">
        <f t="shared" si="2"/>
        <v>650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09">
        <f t="shared" si="2"/>
        <v>20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16</v>
      </c>
      <c r="D42" s="12">
        <f>C42*2.25</f>
        <v>36</v>
      </c>
      <c r="F42" s="39" t="s">
        <v>79</v>
      </c>
      <c r="G42" s="209">
        <v>34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193">
        <v>124746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2</v>
      </c>
      <c r="D46" s="12">
        <f>C46*1.5</f>
        <v>3</v>
      </c>
      <c r="F46" s="37"/>
      <c r="G46" s="91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1</v>
      </c>
      <c r="D49" s="12">
        <f>C49*42</f>
        <v>42</v>
      </c>
      <c r="F49" s="234" t="s">
        <v>86</v>
      </c>
      <c r="G49" s="181">
        <f>H34+H35+H36+H37+H38+H39+H40+H41+G42+H44+H45+H46</f>
        <v>205450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17</v>
      </c>
      <c r="D50" s="12">
        <f>C50*1.5</f>
        <v>25.5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142</v>
      </c>
      <c r="G51" s="238">
        <f>G49-H29</f>
        <v>184.5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46032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394</v>
      </c>
      <c r="D6" s="13">
        <f t="shared" ref="D6:D28" si="1">C6*L6</f>
        <v>299834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3</v>
      </c>
      <c r="D7" s="13">
        <f t="shared" si="1"/>
        <v>2343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11</v>
      </c>
      <c r="D9" s="13">
        <f t="shared" si="1"/>
        <v>8063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2</v>
      </c>
      <c r="D10" s="13">
        <f t="shared" si="1"/>
        <v>2064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2</v>
      </c>
      <c r="D12" s="48">
        <f t="shared" si="1"/>
        <v>1984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6</v>
      </c>
      <c r="D13" s="48">
        <f t="shared" si="1"/>
        <v>1842</v>
      </c>
      <c r="F13" s="154" t="s">
        <v>36</v>
      </c>
      <c r="G13" s="155"/>
      <c r="H13" s="156">
        <f>D29</f>
        <v>317305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39</v>
      </c>
      <c r="G14" s="160"/>
      <c r="H14" s="161">
        <f>D54</f>
        <v>75464.25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241840.75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342+1296+666</f>
        <v>2304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95" t="s">
        <v>150</v>
      </c>
      <c r="C23" s="10">
        <v>1</v>
      </c>
      <c r="D23" s="48">
        <f t="shared" si="1"/>
        <v>1175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317305</v>
      </c>
      <c r="F29" s="177" t="s">
        <v>55</v>
      </c>
      <c r="G29" s="178"/>
      <c r="H29" s="181">
        <f>H15-H16-H17-H18-H19-H20-H22-H23-H24+H26+H27</f>
        <v>239536.75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209">
        <f>F34*G34</f>
        <v>51000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209">
        <f>F35*G35</f>
        <v>5000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209">
        <f t="shared" si="2"/>
        <v>100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209">
        <f t="shared" si="2"/>
        <v>100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09">
        <f t="shared" si="2"/>
        <v>40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9">
        <v>38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193">
        <v>44070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193">
        <v>139104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16</v>
      </c>
      <c r="D49" s="12">
        <f>C49*42</f>
        <v>672</v>
      </c>
      <c r="F49" s="234" t="s">
        <v>86</v>
      </c>
      <c r="G49" s="181">
        <f>H34+H35+H36+H37+H38+H39+H40+H41+G42+H44+H45+H46</f>
        <v>239452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139</v>
      </c>
      <c r="G51" s="248">
        <f>G49-H29</f>
        <v>-84.75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46034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>
        <v>233</v>
      </c>
      <c r="D6" s="13">
        <f t="shared" ref="D6:D28" si="1">C6*L6</f>
        <v>177313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>
        <v>12</v>
      </c>
      <c r="D7" s="13">
        <f t="shared" si="1"/>
        <v>9372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>
        <v>3</v>
      </c>
      <c r="D8" s="13">
        <f t="shared" si="1"/>
        <v>3279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>
        <v>20</v>
      </c>
      <c r="D9" s="13">
        <f t="shared" si="1"/>
        <v>14660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>
        <v>3</v>
      </c>
      <c r="D10" s="13">
        <f t="shared" si="1"/>
        <v>3096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>
        <v>3</v>
      </c>
      <c r="D11" s="13">
        <f t="shared" si="1"/>
        <v>3510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>
        <f>4+1</f>
        <v>5</v>
      </c>
      <c r="D12" s="48">
        <f t="shared" si="1"/>
        <v>4960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>
        <v>7</v>
      </c>
      <c r="D13" s="48">
        <f t="shared" si="1"/>
        <v>2149</v>
      </c>
      <c r="F13" s="154" t="s">
        <v>36</v>
      </c>
      <c r="G13" s="155"/>
      <c r="H13" s="156">
        <f>D29</f>
        <v>228543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>
        <v>19</v>
      </c>
      <c r="D14" s="31">
        <f t="shared" si="1"/>
        <v>209</v>
      </c>
      <c r="F14" s="159" t="s">
        <v>39</v>
      </c>
      <c r="G14" s="160"/>
      <c r="H14" s="161">
        <f>D54</f>
        <v>28542.75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/>
      <c r="D15" s="31">
        <f t="shared" si="1"/>
        <v>0</v>
      </c>
      <c r="F15" s="164" t="s">
        <v>40</v>
      </c>
      <c r="G15" s="155"/>
      <c r="H15" s="165">
        <f>H13-H14</f>
        <v>200000.25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 t="s">
        <v>159</v>
      </c>
      <c r="G22" s="73">
        <v>8418</v>
      </c>
      <c r="H22" s="191">
        <v>99507</v>
      </c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101</v>
      </c>
      <c r="C23" s="84"/>
      <c r="D23" s="48">
        <f t="shared" si="1"/>
        <v>0</v>
      </c>
      <c r="F23" s="77"/>
      <c r="G23" s="79"/>
      <c r="H23" s="244"/>
      <c r="I23" s="245"/>
      <c r="J23" s="24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 t="s">
        <v>159</v>
      </c>
      <c r="G26" s="65">
        <v>8315</v>
      </c>
      <c r="H26" s="193">
        <v>92560</v>
      </c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90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>
        <v>5</v>
      </c>
      <c r="D28" s="48">
        <f t="shared" si="1"/>
        <v>4055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228543</v>
      </c>
      <c r="F29" s="177" t="s">
        <v>55</v>
      </c>
      <c r="G29" s="178"/>
      <c r="H29" s="181">
        <f>H15-H16-H17-H18-H19-H20-H22-H23-H24+H26+H27+H28</f>
        <v>193053.25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42</v>
      </c>
      <c r="H34" s="209">
        <f t="shared" ref="H34:H39" si="2">F34*G34</f>
        <v>42000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29</v>
      </c>
      <c r="H35" s="209">
        <f t="shared" si="2"/>
        <v>14500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209">
        <f t="shared" si="2"/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6</v>
      </c>
      <c r="H37" s="209">
        <f t="shared" si="2"/>
        <v>600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79</v>
      </c>
      <c r="D38" s="12">
        <f>C38*84</f>
        <v>6636</v>
      </c>
      <c r="F38" s="30">
        <v>50</v>
      </c>
      <c r="G38" s="39">
        <v>2</v>
      </c>
      <c r="H38" s="209">
        <f t="shared" si="2"/>
        <v>100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9">
        <v>159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7</v>
      </c>
      <c r="D44" s="12">
        <f>C44*120</f>
        <v>840</v>
      </c>
      <c r="F44" s="37" t="s">
        <v>153</v>
      </c>
      <c r="G44" s="62"/>
      <c r="H44" s="193">
        <v>11432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>
        <v>6</v>
      </c>
      <c r="D45" s="12">
        <f>C45*84</f>
        <v>504</v>
      </c>
      <c r="F45" s="37" t="s">
        <v>153</v>
      </c>
      <c r="G45" s="62"/>
      <c r="H45" s="193">
        <v>30888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5</v>
      </c>
      <c r="D46" s="12">
        <f>C46*1.5</f>
        <v>7.5</v>
      </c>
      <c r="F46" s="37" t="s">
        <v>156</v>
      </c>
      <c r="G46" s="96" t="s">
        <v>158</v>
      </c>
      <c r="H46" s="193">
        <v>92560</v>
      </c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192239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42</v>
      </c>
      <c r="D50" s="12">
        <f>C50*1.5</f>
        <v>63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131</v>
      </c>
      <c r="G51" s="248">
        <f>G49-H29</f>
        <v>-814.25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46034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351</v>
      </c>
      <c r="D6" s="13">
        <f t="shared" ref="D6:D28" si="1">C6*L6</f>
        <v>267111</v>
      </c>
      <c r="F6" s="132" t="s">
        <v>16</v>
      </c>
      <c r="G6" s="134" t="s">
        <v>140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11</v>
      </c>
      <c r="D7" s="13">
        <f t="shared" si="1"/>
        <v>8591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110</v>
      </c>
      <c r="D9" s="13">
        <f t="shared" si="1"/>
        <v>80630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13</v>
      </c>
      <c r="D13" s="48">
        <f t="shared" si="1"/>
        <v>3991</v>
      </c>
      <c r="F13" s="154" t="s">
        <v>36</v>
      </c>
      <c r="G13" s="155"/>
      <c r="H13" s="156">
        <f>D29</f>
        <v>360378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5</v>
      </c>
      <c r="D14" s="31">
        <f t="shared" si="1"/>
        <v>55</v>
      </c>
      <c r="F14" s="159" t="s">
        <v>39</v>
      </c>
      <c r="G14" s="160"/>
      <c r="H14" s="161">
        <f>D54</f>
        <v>53643.75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306734.25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2652</f>
        <v>2652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360378</v>
      </c>
      <c r="F29" s="177" t="s">
        <v>55</v>
      </c>
      <c r="G29" s="178"/>
      <c r="H29" s="181">
        <f>H15-H16-H17-H18-H19-H20-H22-H23-H24+H26+H27</f>
        <v>304082.25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209">
        <f>F34*G34</f>
        <v>123000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267</v>
      </c>
      <c r="H35" s="209">
        <f t="shared" ref="H35:H39" si="2">F35*G35</f>
        <v>133500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9">
        <f>F36*G36</f>
        <v>200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471</v>
      </c>
      <c r="D37" s="12">
        <f>C37*111</f>
        <v>52281</v>
      </c>
      <c r="F37" s="12">
        <v>100</v>
      </c>
      <c r="G37" s="39">
        <v>384</v>
      </c>
      <c r="H37" s="209">
        <f t="shared" si="2"/>
        <v>38400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177</v>
      </c>
      <c r="H38" s="209">
        <f t="shared" si="2"/>
        <v>8850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5</v>
      </c>
      <c r="D42" s="12">
        <f>C42*2.25</f>
        <v>11.25</v>
      </c>
      <c r="F42" s="39" t="s">
        <v>79</v>
      </c>
      <c r="G42" s="209">
        <v>61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6</v>
      </c>
      <c r="D46" s="12">
        <f>C46*1.5</f>
        <v>9</v>
      </c>
      <c r="F46" s="37"/>
      <c r="G46" s="91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2</v>
      </c>
      <c r="D49" s="12">
        <f>C49*42</f>
        <v>84</v>
      </c>
      <c r="F49" s="234" t="s">
        <v>86</v>
      </c>
      <c r="G49" s="181">
        <f>H34+H35+H36+H37+H38+H39+H40+H41+G42+H44+H45+H46</f>
        <v>304011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17</v>
      </c>
      <c r="D50" s="12">
        <f>C50*1.5</f>
        <v>25.5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161</v>
      </c>
      <c r="G51" s="248">
        <f>G49-H29</f>
        <v>-71.25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53643.75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46034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437</v>
      </c>
      <c r="D6" s="13">
        <f t="shared" ref="D6:D28" si="1">C6*L6</f>
        <v>332557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4</v>
      </c>
      <c r="D7" s="13">
        <f t="shared" si="1"/>
        <v>3124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114</v>
      </c>
      <c r="D9" s="13">
        <f t="shared" si="1"/>
        <v>83562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f>4+1</f>
        <v>5</v>
      </c>
      <c r="D12" s="48">
        <f t="shared" si="1"/>
        <v>4960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13</v>
      </c>
      <c r="D13" s="48">
        <f t="shared" si="1"/>
        <v>3991</v>
      </c>
      <c r="F13" s="154" t="s">
        <v>36</v>
      </c>
      <c r="G13" s="155"/>
      <c r="H13" s="156">
        <f>D29</f>
        <v>429225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20</v>
      </c>
      <c r="D14" s="31">
        <f t="shared" si="1"/>
        <v>220</v>
      </c>
      <c r="F14" s="159" t="s">
        <v>39</v>
      </c>
      <c r="G14" s="160"/>
      <c r="H14" s="161">
        <f>D54</f>
        <v>84082.5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345142.5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1026+312</f>
        <v>1338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>
        <v>50</v>
      </c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>
        <v>1</v>
      </c>
      <c r="D28" s="48">
        <f t="shared" si="1"/>
        <v>811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429225</v>
      </c>
      <c r="F29" s="177" t="s">
        <v>55</v>
      </c>
      <c r="G29" s="178"/>
      <c r="H29" s="181">
        <f>H15-H16-H17-H18-H19-H20-H22-H23-H24+H26+H27</f>
        <v>343754.5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66</v>
      </c>
      <c r="H34" s="209">
        <f>F34*G34</f>
        <v>66000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09">
        <f>F35*G35</f>
        <v>17500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09">
        <f t="shared" ref="H36:H39" si="2">F36*G36</f>
        <v>600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706</v>
      </c>
      <c r="D37" s="12">
        <f>C37*111</f>
        <v>78366</v>
      </c>
      <c r="F37" s="12">
        <v>100</v>
      </c>
      <c r="G37" s="39">
        <v>84</v>
      </c>
      <c r="H37" s="209">
        <f t="shared" si="2"/>
        <v>8400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37</v>
      </c>
      <c r="D38" s="12">
        <f>C38*84</f>
        <v>3108</v>
      </c>
      <c r="F38" s="30">
        <v>50</v>
      </c>
      <c r="G38" s="39">
        <v>35</v>
      </c>
      <c r="H38" s="209">
        <f t="shared" si="2"/>
        <v>1750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8</v>
      </c>
      <c r="D42" s="12">
        <f>C42*2.25</f>
        <v>18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2</v>
      </c>
      <c r="D44" s="12">
        <f>C44*120</f>
        <v>240</v>
      </c>
      <c r="F44" s="113" t="s">
        <v>191</v>
      </c>
      <c r="G44" s="76" t="s">
        <v>192</v>
      </c>
      <c r="H44" s="193">
        <v>140724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>
        <v>3</v>
      </c>
      <c r="D45" s="12">
        <f>C45*84</f>
        <v>252</v>
      </c>
      <c r="F45" s="37" t="s">
        <v>147</v>
      </c>
      <c r="G45" s="76" t="s">
        <v>193</v>
      </c>
      <c r="H45" s="193">
        <v>108088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17</v>
      </c>
      <c r="D46" s="12">
        <f>C46*1.5</f>
        <v>25.5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5</v>
      </c>
      <c r="D49" s="12">
        <f>C49*42</f>
        <v>210</v>
      </c>
      <c r="F49" s="234" t="s">
        <v>86</v>
      </c>
      <c r="G49" s="181">
        <f>H34+H35+H36+H37+H38+H39+H40+H41+G42+H44+H45+H46</f>
        <v>343062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14</v>
      </c>
      <c r="D50" s="12">
        <f>C50*1.5</f>
        <v>21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139</v>
      </c>
      <c r="G51" s="248">
        <f>G49-H29</f>
        <v>-692.5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84082.5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35D0-A781-43B0-BB54-63A5594375B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04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7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F96F-764A-49BB-A36E-4DC837A8A00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46035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>
        <v>355</v>
      </c>
      <c r="D6" s="13">
        <f t="shared" ref="D6:D28" si="1">C6*L6</f>
        <v>270155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>
        <v>3</v>
      </c>
      <c r="D7" s="13">
        <f t="shared" si="1"/>
        <v>2343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/>
      <c r="D8" s="13">
        <f t="shared" si="1"/>
        <v>0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>
        <v>20</v>
      </c>
      <c r="D9" s="13">
        <f t="shared" si="1"/>
        <v>14660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>
        <v>5</v>
      </c>
      <c r="D10" s="13">
        <f t="shared" si="1"/>
        <v>5160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>
        <v>5</v>
      </c>
      <c r="D11" s="13">
        <f t="shared" si="1"/>
        <v>5850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>
        <v>6</v>
      </c>
      <c r="D12" s="48">
        <f t="shared" si="1"/>
        <v>5952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>
        <v>8</v>
      </c>
      <c r="D13" s="48">
        <f t="shared" si="1"/>
        <v>2456</v>
      </c>
      <c r="F13" s="154" t="s">
        <v>36</v>
      </c>
      <c r="G13" s="155"/>
      <c r="H13" s="156">
        <f>D29</f>
        <v>308880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>
        <v>23</v>
      </c>
      <c r="D14" s="31">
        <f t="shared" si="1"/>
        <v>253</v>
      </c>
      <c r="F14" s="159" t="s">
        <v>39</v>
      </c>
      <c r="G14" s="160"/>
      <c r="H14" s="161">
        <f>D54</f>
        <v>123354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/>
      <c r="D15" s="31">
        <f t="shared" si="1"/>
        <v>0</v>
      </c>
      <c r="F15" s="164" t="s">
        <v>40</v>
      </c>
      <c r="G15" s="155"/>
      <c r="H15" s="165">
        <f>H13-H14</f>
        <v>185526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>
        <f>1314</f>
        <v>1314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101</v>
      </c>
      <c r="C23" s="84"/>
      <c r="D23" s="48">
        <f t="shared" si="1"/>
        <v>0</v>
      </c>
      <c r="F23" s="77"/>
      <c r="G23" s="79"/>
      <c r="H23" s="244"/>
      <c r="I23" s="245"/>
      <c r="J23" s="24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/>
      <c r="G26" s="65"/>
      <c r="H26" s="193"/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107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>
        <v>1</v>
      </c>
      <c r="D28" s="48">
        <f t="shared" si="1"/>
        <v>811</v>
      </c>
      <c r="F28" s="104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308880</v>
      </c>
      <c r="F29" s="177" t="s">
        <v>55</v>
      </c>
      <c r="G29" s="178"/>
      <c r="H29" s="181">
        <f>H15-H16-H17-H18-H19-H20-H22-H23-H24+H26+H27+H28</f>
        <v>184212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78</v>
      </c>
      <c r="H34" s="209">
        <f t="shared" ref="H34:H39" si="2">F34*G34</f>
        <v>78000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209">
        <f t="shared" si="2"/>
        <v>10500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1045</v>
      </c>
      <c r="D37" s="12">
        <f>C37*111</f>
        <v>115995</v>
      </c>
      <c r="F37" s="12">
        <v>100</v>
      </c>
      <c r="G37" s="39">
        <v>8</v>
      </c>
      <c r="H37" s="209">
        <f t="shared" si="2"/>
        <v>800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7</v>
      </c>
      <c r="H38" s="209">
        <f t="shared" si="2"/>
        <v>350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>
        <v>20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7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19</v>
      </c>
      <c r="D44" s="12">
        <f>C44*120</f>
        <v>2280</v>
      </c>
      <c r="F44" s="37" t="s">
        <v>147</v>
      </c>
      <c r="G44" s="62" t="s">
        <v>195</v>
      </c>
      <c r="H44" s="193">
        <v>69378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93">
        <v>25500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22</v>
      </c>
      <c r="D46" s="12">
        <f>C46*1.5</f>
        <v>33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184548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1</v>
      </c>
      <c r="D50" s="12">
        <f>C50*1.5</f>
        <v>1.5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149</v>
      </c>
      <c r="G51" s="238">
        <f>G49-H29</f>
        <v>336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123354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9F3C-999B-4470-A701-EA35174B52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46035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f>394-63</f>
        <v>331</v>
      </c>
      <c r="D6" s="13">
        <f t="shared" ref="D6:D28" si="1">C6*L6</f>
        <v>251891</v>
      </c>
      <c r="F6" s="132" t="s">
        <v>16</v>
      </c>
      <c r="G6" s="134" t="s">
        <v>140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6</v>
      </c>
      <c r="D7" s="13">
        <f t="shared" si="1"/>
        <v>4686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f>54-14</f>
        <v>40</v>
      </c>
      <c r="D9" s="13">
        <f t="shared" si="1"/>
        <v>29320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3</v>
      </c>
      <c r="D12" s="48">
        <f t="shared" si="1"/>
        <v>2976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8</v>
      </c>
      <c r="D13" s="48">
        <f t="shared" si="1"/>
        <v>2456</v>
      </c>
      <c r="F13" s="154" t="s">
        <v>36</v>
      </c>
      <c r="G13" s="155"/>
      <c r="H13" s="156">
        <f>D29</f>
        <v>295463.33333333331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22</v>
      </c>
      <c r="D14" s="31">
        <f t="shared" si="1"/>
        <v>242</v>
      </c>
      <c r="F14" s="159" t="s">
        <v>39</v>
      </c>
      <c r="G14" s="160"/>
      <c r="H14" s="161">
        <f>D54</f>
        <v>42937.5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252525.83333333331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v>1182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114" t="s">
        <v>194</v>
      </c>
      <c r="C20" s="10">
        <f>1+1</f>
        <v>2</v>
      </c>
      <c r="D20" s="13">
        <f t="shared" si="1"/>
        <v>2350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>
        <v>2</v>
      </c>
      <c r="D28" s="48">
        <f t="shared" si="1"/>
        <v>242.33333333333334</v>
      </c>
      <c r="F28" s="104"/>
      <c r="G28" s="61"/>
      <c r="H28" s="203"/>
      <c r="I28" s="204"/>
      <c r="J28" s="205"/>
      <c r="L28" s="47">
        <f>700/6+4.5</f>
        <v>121.16666666666667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295463.33333333331</v>
      </c>
      <c r="F29" s="177" t="s">
        <v>55</v>
      </c>
      <c r="G29" s="178"/>
      <c r="H29" s="181">
        <f>H15-H16-H17-H18-H19-H20-H22-H23-H24+H26+H27</f>
        <v>251343.83333333331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93</v>
      </c>
      <c r="H34" s="209">
        <f>F34*G34</f>
        <v>93000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209">
        <f t="shared" ref="H35:H39" si="2">F35*G35</f>
        <v>14000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209">
        <f>F36*G36</f>
        <v>1400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100</v>
      </c>
      <c r="H37" s="209">
        <f t="shared" si="2"/>
        <v>10000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21</v>
      </c>
      <c r="D38" s="12">
        <f>C38*84</f>
        <v>1764</v>
      </c>
      <c r="F38" s="30">
        <v>50</v>
      </c>
      <c r="G38" s="39">
        <v>4</v>
      </c>
      <c r="H38" s="209">
        <f t="shared" si="2"/>
        <v>200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12</v>
      </c>
      <c r="D42" s="12">
        <f>C42*2.25</f>
        <v>27</v>
      </c>
      <c r="F42" s="39" t="s">
        <v>79</v>
      </c>
      <c r="G42" s="209">
        <v>50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7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 t="s">
        <v>147</v>
      </c>
      <c r="G44" s="62" t="s">
        <v>196</v>
      </c>
      <c r="H44" s="193">
        <v>131773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>
        <v>1</v>
      </c>
      <c r="D45" s="12">
        <f>C45*84</f>
        <v>84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106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30</v>
      </c>
      <c r="D49" s="12">
        <f>C49*42</f>
        <v>1260</v>
      </c>
      <c r="F49" s="234" t="s">
        <v>86</v>
      </c>
      <c r="G49" s="181">
        <f>H34+H35+H36+H37+H38+H39+H40+H41+G42+H44+H45+H46</f>
        <v>250423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8</v>
      </c>
      <c r="D50" s="12">
        <f>C50*1.5</f>
        <v>12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161</v>
      </c>
      <c r="G51" s="248">
        <f>G49-H29</f>
        <v>-920.83333333331393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42937.5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A12E-9992-4A31-9BCC-46FD40EA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46035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363</v>
      </c>
      <c r="D6" s="13">
        <f t="shared" ref="D6:D28" si="1">C6*L6</f>
        <v>276243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7</v>
      </c>
      <c r="D7" s="13">
        <f t="shared" si="1"/>
        <v>5467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15</v>
      </c>
      <c r="D9" s="13">
        <f t="shared" si="1"/>
        <v>10995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3</v>
      </c>
      <c r="D10" s="13">
        <f t="shared" si="1"/>
        <v>3096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12</v>
      </c>
      <c r="D13" s="48">
        <f t="shared" si="1"/>
        <v>3684</v>
      </c>
      <c r="F13" s="154" t="s">
        <v>36</v>
      </c>
      <c r="G13" s="155"/>
      <c r="H13" s="156">
        <f>D29</f>
        <v>302382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5</v>
      </c>
      <c r="D14" s="31">
        <f t="shared" si="1"/>
        <v>55</v>
      </c>
      <c r="F14" s="159" t="s">
        <v>39</v>
      </c>
      <c r="G14" s="160"/>
      <c r="H14" s="161">
        <f>D54</f>
        <v>67329.75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235052.25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1296+324</f>
        <v>1620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95" t="s">
        <v>150</v>
      </c>
      <c r="C23" s="10">
        <v>1</v>
      </c>
      <c r="D23" s="48">
        <f t="shared" si="1"/>
        <v>1175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>
        <v>1</v>
      </c>
      <c r="D24" s="48">
        <f t="shared" si="1"/>
        <v>1667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104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302382</v>
      </c>
      <c r="F29" s="177" t="s">
        <v>55</v>
      </c>
      <c r="G29" s="178"/>
      <c r="H29" s="181">
        <f>H15-H16-H17-H18-H19-H20-H22-H23-H24+H26+H27</f>
        <v>233432.25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87</v>
      </c>
      <c r="H34" s="209">
        <f>F34*G34</f>
        <v>87000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48</v>
      </c>
      <c r="H35" s="209">
        <f>F35*G35</f>
        <v>24000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39</v>
      </c>
      <c r="H37" s="209">
        <f t="shared" si="2"/>
        <v>3900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27</v>
      </c>
      <c r="H38" s="209">
        <f t="shared" si="2"/>
        <v>1350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9">
        <v>59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7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 t="s">
        <v>156</v>
      </c>
      <c r="G44" s="76" t="s">
        <v>197</v>
      </c>
      <c r="H44" s="193">
        <v>117189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233498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2</v>
      </c>
      <c r="D50" s="12">
        <f>C50*1.5</f>
        <v>3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149</v>
      </c>
      <c r="G51" s="238">
        <f>G49-H29</f>
        <v>65.75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67329.75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9A9C-F6F9-49C7-A02F-E12D7DC3E9C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0F5-1FE7-47A9-9712-2C45168303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46036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/>
      <c r="D6" s="13">
        <f t="shared" ref="D6:D28" si="1">C6*L6</f>
        <v>0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/>
      <c r="D8" s="13">
        <f t="shared" si="1"/>
        <v>0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/>
      <c r="D10" s="13">
        <f t="shared" si="1"/>
        <v>0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101</v>
      </c>
      <c r="C23" s="84"/>
      <c r="D23" s="48">
        <f t="shared" si="1"/>
        <v>0</v>
      </c>
      <c r="F23" s="77"/>
      <c r="G23" s="79"/>
      <c r="H23" s="244"/>
      <c r="I23" s="245"/>
      <c r="J23" s="24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/>
      <c r="G26" s="65"/>
      <c r="H26" s="193"/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108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H15-H16-H17-H18-H19-H20-H22-H23-H24+H26+H27+H28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si="2"/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131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80A9-8B03-4023-809A-82C2B2065F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46036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509</v>
      </c>
      <c r="D6" s="13">
        <f t="shared" ref="D6:D28" si="1">C6*L6</f>
        <v>387349</v>
      </c>
      <c r="F6" s="132" t="s">
        <v>16</v>
      </c>
      <c r="G6" s="134" t="s">
        <v>140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82</v>
      </c>
      <c r="D9" s="13">
        <f t="shared" si="1"/>
        <v>60106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19</v>
      </c>
      <c r="D13" s="48">
        <f t="shared" si="1"/>
        <v>5833</v>
      </c>
      <c r="F13" s="154" t="s">
        <v>36</v>
      </c>
      <c r="G13" s="155"/>
      <c r="H13" s="156">
        <f>D29</f>
        <v>453420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12</v>
      </c>
      <c r="D14" s="31">
        <f t="shared" si="1"/>
        <v>132</v>
      </c>
      <c r="F14" s="159" t="s">
        <v>39</v>
      </c>
      <c r="G14" s="160"/>
      <c r="H14" s="161">
        <f>D54</f>
        <v>80525.25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372894.75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235*6+350*6</f>
        <v>3510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453420</v>
      </c>
      <c r="F29" s="177" t="s">
        <v>55</v>
      </c>
      <c r="G29" s="178"/>
      <c r="H29" s="181">
        <f>H15-H16-H17-H18-H19-H20-H22-H23-H24+H26+H27</f>
        <v>369384.75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209">
        <f>F34*G34</f>
        <v>101000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96</v>
      </c>
      <c r="H35" s="209">
        <f t="shared" ref="H35:H39" si="2">F35*G35</f>
        <v>48000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715</v>
      </c>
      <c r="D37" s="12">
        <f>C37*111</f>
        <v>79365</v>
      </c>
      <c r="F37" s="12">
        <v>100</v>
      </c>
      <c r="G37" s="39">
        <v>3</v>
      </c>
      <c r="H37" s="209">
        <f t="shared" si="2"/>
        <v>300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3</v>
      </c>
      <c r="D42" s="12">
        <f>C42*2.25</f>
        <v>6.75</v>
      </c>
      <c r="F42" s="39" t="s">
        <v>79</v>
      </c>
      <c r="G42" s="209">
        <v>4035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 t="s">
        <v>147</v>
      </c>
      <c r="G44" s="62" t="s">
        <v>198</v>
      </c>
      <c r="H44" s="193">
        <v>216075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35</v>
      </c>
      <c r="D46" s="12">
        <f>C46*1.5</f>
        <v>52.5</v>
      </c>
      <c r="F46" s="37"/>
      <c r="G46" s="109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3</v>
      </c>
      <c r="D49" s="12">
        <f>C49*42</f>
        <v>126</v>
      </c>
      <c r="F49" s="234" t="s">
        <v>86</v>
      </c>
      <c r="G49" s="181">
        <f>H34+H35+H36+H37+H38+H39+H40+H41+G42+H44+H45+H46</f>
        <v>369410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23</v>
      </c>
      <c r="D50" s="12">
        <f>C50*1.5</f>
        <v>34.5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142</v>
      </c>
      <c r="G51" s="238">
        <f>G49-H29</f>
        <v>25.25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80525.25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6A9B0-77A8-40FF-9B79-B0FECAABF354}">
  <dimension ref="A1:R59"/>
  <sheetViews>
    <sheetView tabSelected="1"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46036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205</v>
      </c>
      <c r="D6" s="13">
        <f t="shared" ref="D6:D28" si="1">C6*L6</f>
        <v>156005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5</v>
      </c>
      <c r="D9" s="13">
        <f t="shared" si="1"/>
        <v>3665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2</v>
      </c>
      <c r="D10" s="13">
        <f t="shared" si="1"/>
        <v>2064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1</v>
      </c>
      <c r="D12" s="48">
        <f t="shared" si="1"/>
        <v>992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7</v>
      </c>
      <c r="D13" s="48">
        <f t="shared" si="1"/>
        <v>2149</v>
      </c>
      <c r="F13" s="154" t="s">
        <v>36</v>
      </c>
      <c r="G13" s="155"/>
      <c r="H13" s="156">
        <f>D29</f>
        <v>164919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4</v>
      </c>
      <c r="D14" s="31">
        <f t="shared" si="1"/>
        <v>44</v>
      </c>
      <c r="F14" s="159" t="s">
        <v>39</v>
      </c>
      <c r="G14" s="160"/>
      <c r="H14" s="161">
        <f>D54</f>
        <v>24184.5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140734.5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128*6+50*6</f>
        <v>1068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164919</v>
      </c>
      <c r="F29" s="177" t="s">
        <v>55</v>
      </c>
      <c r="G29" s="178"/>
      <c r="H29" s="181">
        <f>H15-H16-H17-H18-H19-H20-H22-H23-H24+H26+H27</f>
        <v>139666.5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38</v>
      </c>
      <c r="H34" s="209">
        <f>F34*G34</f>
        <v>38000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209">
        <f>F35*G35</f>
        <v>17000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210</v>
      </c>
      <c r="D37" s="12">
        <f>C37*111</f>
        <v>23310</v>
      </c>
      <c r="F37" s="12">
        <v>100</v>
      </c>
      <c r="G37" s="39">
        <v>2</v>
      </c>
      <c r="H37" s="209">
        <f t="shared" si="2"/>
        <v>200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1</v>
      </c>
      <c r="D44" s="12">
        <f>C44*120</f>
        <v>120</v>
      </c>
      <c r="F44" s="37" t="s">
        <v>147</v>
      </c>
      <c r="G44" s="76" t="s">
        <v>199</v>
      </c>
      <c r="H44" s="193">
        <v>84323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4</v>
      </c>
      <c r="D49" s="12">
        <f>C49*42</f>
        <v>168</v>
      </c>
      <c r="F49" s="234" t="s">
        <v>86</v>
      </c>
      <c r="G49" s="181">
        <f>H34+H35+H36+H37+H38+H39+H40+H41+G42+H44+H45+H46</f>
        <v>139523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23</v>
      </c>
      <c r="D50" s="12">
        <f>C50*1.5</f>
        <v>34.5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139</v>
      </c>
      <c r="G51" s="248">
        <f>G49-H29</f>
        <v>-143.5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24184.5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3036-3E20-4C50-BB00-4CDC7B5352E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7CF-D19C-4D6A-810D-1A453C022A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46037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/>
      <c r="D6" s="13">
        <f t="shared" ref="D6:D28" si="1">C6*L6</f>
        <v>0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/>
      <c r="D8" s="13">
        <f t="shared" si="1"/>
        <v>0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/>
      <c r="D10" s="13">
        <f t="shared" si="1"/>
        <v>0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101</v>
      </c>
      <c r="C23" s="84"/>
      <c r="D23" s="48">
        <f t="shared" si="1"/>
        <v>0</v>
      </c>
      <c r="F23" s="77"/>
      <c r="G23" s="79"/>
      <c r="H23" s="244"/>
      <c r="I23" s="245"/>
      <c r="J23" s="24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/>
      <c r="G26" s="65"/>
      <c r="H26" s="193"/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108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H15-H16-H17-H18-H19-H20-H22-H23-H24+H26+H27+H28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si="2"/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131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EBCD-BA6C-4638-81AC-A0B39A6F58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46037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140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ref="H35:H39" si="2">F35*G35</f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109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592F-D0CB-4A32-B713-7F1C876436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46037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>F35*G35</f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139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DA0-3B6A-491C-9C8E-7B711F6366B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BBDF-472B-4131-8C5C-02F8C36714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46038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/>
      <c r="D6" s="13">
        <f t="shared" ref="D6:D28" si="1">C6*L6</f>
        <v>0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/>
      <c r="D8" s="13">
        <f t="shared" si="1"/>
        <v>0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/>
      <c r="D10" s="13">
        <f t="shared" si="1"/>
        <v>0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101</v>
      </c>
      <c r="C23" s="84"/>
      <c r="D23" s="48">
        <f t="shared" si="1"/>
        <v>0</v>
      </c>
      <c r="F23" s="77"/>
      <c r="G23" s="79"/>
      <c r="H23" s="244"/>
      <c r="I23" s="245"/>
      <c r="J23" s="24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/>
      <c r="G26" s="65"/>
      <c r="H26" s="193"/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108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H15-H16-H17-H18-H19-H20-H22-H23-H24+H26+H27+H28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si="2"/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131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B18EE-7BDF-4E14-811A-CE4FCA4B5B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46038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140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ref="H35:H39" si="2">F35*G35</f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109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E0117-E2EB-4ACC-AD48-797593FB31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46038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>F35*G35</f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139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3E87-005A-4067-89B1-5F54B2CFA3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8C5-181C-4BA8-83C6-4A3575D4D5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46039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/>
      <c r="D6" s="13">
        <f t="shared" ref="D6:D28" si="1">C6*L6</f>
        <v>0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/>
      <c r="D8" s="13">
        <f t="shared" si="1"/>
        <v>0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/>
      <c r="D10" s="13">
        <f t="shared" si="1"/>
        <v>0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101</v>
      </c>
      <c r="C23" s="84"/>
      <c r="D23" s="48">
        <f t="shared" si="1"/>
        <v>0</v>
      </c>
      <c r="F23" s="77"/>
      <c r="G23" s="79"/>
      <c r="H23" s="244"/>
      <c r="I23" s="245"/>
      <c r="J23" s="24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/>
      <c r="G26" s="65"/>
      <c r="H26" s="193"/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108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H15-H16-H17-H18-H19-H20-H22-H23-H24+H26+H27+H28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si="2"/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131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EB48-92EF-4D63-BBC6-C6D6485C8B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46039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140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ref="H35:H39" si="2">F35*G35</f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109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EBB5-562F-43BE-A6E6-00B6C2D43D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46039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>F35*G35</f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139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0515-980C-48CF-98E5-A126F545398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4AEF-B715-4981-804F-5DC1F75F6C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46041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/>
      <c r="D6" s="13">
        <f t="shared" ref="D6:D28" si="1">C6*L6</f>
        <v>0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/>
      <c r="D8" s="13">
        <f t="shared" si="1"/>
        <v>0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/>
      <c r="D10" s="13">
        <f t="shared" si="1"/>
        <v>0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101</v>
      </c>
      <c r="C23" s="84"/>
      <c r="D23" s="48">
        <f t="shared" si="1"/>
        <v>0</v>
      </c>
      <c r="F23" s="77"/>
      <c r="G23" s="79"/>
      <c r="H23" s="244"/>
      <c r="I23" s="245"/>
      <c r="J23" s="24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/>
      <c r="G26" s="65"/>
      <c r="H26" s="193"/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108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H15-H16-H17-H18-H19-H20-H22-H23-H24+H26+H27+H28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si="2"/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131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60E0-1753-4068-8330-7995D1A13BE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46041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140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ref="H35:H39" si="2">F35*G35</f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109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DA73-110F-49BD-9DD0-A2B1E89FB0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46041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>F35*G35</f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139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66</vt:i4>
      </vt:variant>
      <vt:variant>
        <vt:lpstr>Named Ranges</vt:lpstr>
      </vt:variant>
      <vt:variant>
        <vt:i4>65</vt:i4>
      </vt:variant>
    </vt:vector>
  </HeadingPairs>
  <TitlesOfParts>
    <vt:vector size="131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(13)</vt:lpstr>
      <vt:lpstr>01,13 R1</vt:lpstr>
      <vt:lpstr>01,13 R2</vt:lpstr>
      <vt:lpstr>01,13 R3</vt:lpstr>
      <vt:lpstr>(14)</vt:lpstr>
      <vt:lpstr>01,14 R1 NO TRIP</vt:lpstr>
      <vt:lpstr>01,14 R2</vt:lpstr>
      <vt:lpstr>01,14 R3</vt:lpstr>
      <vt:lpstr>(15)</vt:lpstr>
      <vt:lpstr>01,15 R1</vt:lpstr>
      <vt:lpstr>01,15 R2</vt:lpstr>
      <vt:lpstr>01,15 R3</vt:lpstr>
      <vt:lpstr>(16)</vt:lpstr>
      <vt:lpstr>01,16 R1</vt:lpstr>
      <vt:lpstr>01,16 R2</vt:lpstr>
      <vt:lpstr>01,16 R3</vt:lpstr>
      <vt:lpstr>(17)</vt:lpstr>
      <vt:lpstr>01,17 R1</vt:lpstr>
      <vt:lpstr>01,17 R2</vt:lpstr>
      <vt:lpstr>01,17 R3</vt:lpstr>
      <vt:lpstr>(19)</vt:lpstr>
      <vt:lpstr>01,19 R1</vt:lpstr>
      <vt:lpstr>01,19 R2</vt:lpstr>
      <vt:lpstr>01,19 R3</vt:lpstr>
      <vt:lpstr>'(01)'!Print_Area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  <vt:lpstr>'01,13 R1'!Print_Area</vt:lpstr>
      <vt:lpstr>'01,13 R2'!Print_Area</vt:lpstr>
      <vt:lpstr>'01,13 R3'!Print_Area</vt:lpstr>
      <vt:lpstr>'01,14 R1 NO TRIP'!Print_Area</vt:lpstr>
      <vt:lpstr>'01,14 R2'!Print_Area</vt:lpstr>
      <vt:lpstr>'01,14 R3'!Print_Area</vt:lpstr>
      <vt:lpstr>'01,15 R1'!Print_Area</vt:lpstr>
      <vt:lpstr>'01,15 R2'!Print_Area</vt:lpstr>
      <vt:lpstr>'01,15 R3'!Print_Area</vt:lpstr>
      <vt:lpstr>'01,16 R1'!Print_Area</vt:lpstr>
      <vt:lpstr>'01,16 R2'!Print_Area</vt:lpstr>
      <vt:lpstr>'01,16 R3'!Print_Area</vt:lpstr>
      <vt:lpstr>'01,17 R1'!Print_Area</vt:lpstr>
      <vt:lpstr>'01,17 R2'!Print_Area</vt:lpstr>
      <vt:lpstr>'01,17 R3'!Print_Area</vt:lpstr>
      <vt:lpstr>'01,19 R1'!Print_Area</vt:lpstr>
      <vt:lpstr>'01,19 R2'!Print_Area</vt:lpstr>
      <vt:lpstr>'01,19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2026-01-15T00:56:28Z</cp:lastPrinted>
  <dcterms:created xsi:type="dcterms:W3CDTF">2024-09-01T23:36:50Z</dcterms:created>
  <dcterms:modified xsi:type="dcterms:W3CDTF">2026-01-15T00:57:11Z</dcterms:modified>
</cp:coreProperties>
</file>