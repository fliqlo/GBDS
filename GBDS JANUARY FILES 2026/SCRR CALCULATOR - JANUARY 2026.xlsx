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A80E8C0F-5E8D-43BA-B94E-3BDBEAADB3BF}" xr6:coauthVersionLast="45" xr6:coauthVersionMax="47" xr10:uidLastSave="{00000000-0000-0000-0000-000000000000}"/>
  <bookViews>
    <workbookView xWindow="-120" yWindow="-120" windowWidth="29040" windowHeight="15840" firstSheet="46" activeTab="57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2B" sheetId="1681" r:id="rId25"/>
    <sheet name="01,07 R3" sheetId="1664" r:id="rId26"/>
    <sheet name="(8)" sheetId="1665" r:id="rId27"/>
    <sheet name="01,08 R1" sheetId="1666" r:id="rId28"/>
    <sheet name="01,08 R2" sheetId="1667" r:id="rId29"/>
    <sheet name="01,08 R3" sheetId="1668" r:id="rId30"/>
    <sheet name="(9)" sheetId="1669" r:id="rId31"/>
    <sheet name="01,09 R1" sheetId="1670" r:id="rId32"/>
    <sheet name="01,09 R2" sheetId="1671" r:id="rId33"/>
    <sheet name="01,09 R3" sheetId="1672" r:id="rId34"/>
    <sheet name="(10)" sheetId="1673" r:id="rId35"/>
    <sheet name="01,10 R1" sheetId="1674" r:id="rId36"/>
    <sheet name="01,10 R2" sheetId="1675" r:id="rId37"/>
    <sheet name="01,10 R3" sheetId="1676" r:id="rId38"/>
    <sheet name="(12)" sheetId="1677" r:id="rId39"/>
    <sheet name="01,12 R1" sheetId="1678" r:id="rId40"/>
    <sheet name="01,12 R2" sheetId="1679" r:id="rId41"/>
    <sheet name="01,12 R3" sheetId="1680" r:id="rId42"/>
    <sheet name="(13)" sheetId="1682" r:id="rId43"/>
    <sheet name="01,13 R1" sheetId="1683" r:id="rId44"/>
    <sheet name="01,13 R2" sheetId="1684" r:id="rId45"/>
    <sheet name="01,13 R3" sheetId="1685" r:id="rId46"/>
    <sheet name="(14)" sheetId="1686" r:id="rId47"/>
    <sheet name="01,14 R1 NO TRIP" sheetId="1687" r:id="rId48"/>
    <sheet name="01,14 R2" sheetId="1688" r:id="rId49"/>
    <sheet name="01,14 R3" sheetId="1689" r:id="rId50"/>
    <sheet name="(15)" sheetId="1690" r:id="rId51"/>
    <sheet name="01,15 R1" sheetId="1691" r:id="rId52"/>
    <sheet name="01,15 R2" sheetId="1692" r:id="rId53"/>
    <sheet name="01,15 R3" sheetId="1693" r:id="rId54"/>
    <sheet name="(16)" sheetId="1694" r:id="rId55"/>
    <sheet name="01,16 R1" sheetId="1695" r:id="rId56"/>
    <sheet name="01,16 R2" sheetId="1696" r:id="rId57"/>
    <sheet name="01,16 R3" sheetId="1697" r:id="rId58"/>
    <sheet name="(17)" sheetId="1698" r:id="rId59"/>
    <sheet name="01,17 R1" sheetId="1699" r:id="rId60"/>
    <sheet name="01,17 R2" sheetId="1700" r:id="rId61"/>
    <sheet name="01,17 R3" sheetId="1701" r:id="rId62"/>
    <sheet name="(19)" sheetId="1702" r:id="rId63"/>
    <sheet name="01,19 R1" sheetId="1703" r:id="rId64"/>
    <sheet name="01,19 R2" sheetId="1704" r:id="rId65"/>
    <sheet name="01,19 R3" sheetId="1705" r:id="rId66"/>
  </sheets>
  <definedNames>
    <definedName name="_xlnm.Print_Area" localSheetId="1">'(01)'!$A$1:$J$60</definedName>
    <definedName name="_xlnm.Print_Area" localSheetId="34">'(10)'!$A$1:$J$60</definedName>
    <definedName name="_xlnm.Print_Area" localSheetId="38">'(12)'!$A$1:$J$60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'(19)'!$A$1:$J$60</definedName>
    <definedName name="_xlnm.Print_Area" localSheetId="5">'(2)'!$A$1:$J$60</definedName>
    <definedName name="_xlnm.Print_Area" localSheetId="9">'(3)'!$A$1:$J$60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6">'(8)'!$A$1:$J$60</definedName>
    <definedName name="_xlnm.Print_Area" localSheetId="30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R2B'!$A$1:$J$60</definedName>
    <definedName name="_xlnm.Print_Area" localSheetId="25">'01,07 R3'!$A$1:$J$60</definedName>
    <definedName name="_xlnm.Print_Area" localSheetId="27">'01,08 R1'!$A$1:$J$60</definedName>
    <definedName name="_xlnm.Print_Area" localSheetId="28">'01,08 R2'!$A$1:$J$60</definedName>
    <definedName name="_xlnm.Print_Area" localSheetId="29">'01,08 R3'!$A$1:$J$60</definedName>
    <definedName name="_xlnm.Print_Area" localSheetId="31">'01,09 R1'!$A$1:$J$60</definedName>
    <definedName name="_xlnm.Print_Area" localSheetId="32">'01,09 R2'!$A$1:$J$60</definedName>
    <definedName name="_xlnm.Print_Area" localSheetId="33">'01,09 R3'!$A$1:$J$60</definedName>
    <definedName name="_xlnm.Print_Area" localSheetId="35">'01,10 R1'!$A$1:$J$60</definedName>
    <definedName name="_xlnm.Print_Area" localSheetId="36">'01,10 R2'!$A$1:$J$60</definedName>
    <definedName name="_xlnm.Print_Area" localSheetId="37">'01,10 R3'!$A$1:$J$60</definedName>
    <definedName name="_xlnm.Print_Area" localSheetId="39">'01,12 R1'!$A$1:$J$60</definedName>
    <definedName name="_xlnm.Print_Area" localSheetId="40">'01,12 R2'!$A$1:$J$60</definedName>
    <definedName name="_xlnm.Print_Area" localSheetId="41">'01,12 R3'!$A$1:$J$60</definedName>
    <definedName name="_xlnm.Print_Area" localSheetId="43">'01,13 R1'!$A$1:$J$60</definedName>
    <definedName name="_xlnm.Print_Area" localSheetId="44">'01,13 R2'!$A$1:$J$60</definedName>
    <definedName name="_xlnm.Print_Area" localSheetId="45">'01,13 R3'!$A$1:$J$60</definedName>
    <definedName name="_xlnm.Print_Area" localSheetId="47">'01,14 R1 NO TRIP'!$A$1:$J$60</definedName>
    <definedName name="_xlnm.Print_Area" localSheetId="48">'01,14 R2'!$A$1:$J$60</definedName>
    <definedName name="_xlnm.Print_Area" localSheetId="49">'01,14 R3'!$A$1:$J$60</definedName>
    <definedName name="_xlnm.Print_Area" localSheetId="51">'01,15 R1'!$A$1:$J$60</definedName>
    <definedName name="_xlnm.Print_Area" localSheetId="52">'01,15 R2'!$A$1:$J$60</definedName>
    <definedName name="_xlnm.Print_Area" localSheetId="53">'01,15 R3'!$A$1:$J$60</definedName>
    <definedName name="_xlnm.Print_Area" localSheetId="55">'01,16 R1'!$A$1:$J$60</definedName>
    <definedName name="_xlnm.Print_Area" localSheetId="56">'01,16 R2'!$A$1:$J$60</definedName>
    <definedName name="_xlnm.Print_Area" localSheetId="57">'01,16 R3'!$A$1:$J$60</definedName>
    <definedName name="_xlnm.Print_Area" localSheetId="59">'01,17 R1'!$A$1:$J$60</definedName>
    <definedName name="_xlnm.Print_Area" localSheetId="60">'01,17 R2'!$A$1:$J$60</definedName>
    <definedName name="_xlnm.Print_Area" localSheetId="61">'01,17 R3'!$A$1:$J$60</definedName>
    <definedName name="_xlnm.Print_Area" localSheetId="63">'01,19 R1'!$A$1:$J$60</definedName>
    <definedName name="_xlnm.Print_Area" localSheetId="64">'01,19 R2'!$A$1:$J$60</definedName>
    <definedName name="_xlnm.Print_Area" localSheetId="65">'01,19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696" l="1"/>
  <c r="C23" i="1697" l="1"/>
  <c r="L26" i="1697"/>
  <c r="C19" i="1697"/>
  <c r="C12" i="1697"/>
  <c r="L24" i="1697"/>
  <c r="C25" i="1697" l="1"/>
  <c r="C15" i="1697"/>
  <c r="C12" i="1695"/>
  <c r="H16" i="1691" l="1"/>
  <c r="H16" i="1692"/>
  <c r="H16" i="1693"/>
  <c r="H16" i="1689" l="1"/>
  <c r="H16" i="1688"/>
  <c r="H16" i="1685" l="1"/>
  <c r="H16" i="1683"/>
  <c r="L28" i="1684"/>
  <c r="C6" i="1684"/>
  <c r="C20" i="1684"/>
  <c r="C9" i="1684"/>
  <c r="C21" i="1684"/>
  <c r="R52" i="1705" l="1"/>
  <c r="R51" i="1705"/>
  <c r="D50" i="1705"/>
  <c r="R49" i="1705"/>
  <c r="D49" i="1705"/>
  <c r="R48" i="1705"/>
  <c r="D48" i="1705"/>
  <c r="D46" i="1705"/>
  <c r="D45" i="1705"/>
  <c r="R44" i="1705"/>
  <c r="D44" i="1705"/>
  <c r="R42" i="1705"/>
  <c r="L6" i="1705" s="1"/>
  <c r="D6" i="1705" s="1"/>
  <c r="D42" i="1705"/>
  <c r="R41" i="1705"/>
  <c r="D41" i="1705"/>
  <c r="R40" i="1705"/>
  <c r="D40" i="1705"/>
  <c r="R39" i="1705"/>
  <c r="H39" i="1705"/>
  <c r="D39" i="1705"/>
  <c r="R38" i="1705"/>
  <c r="L9" i="1705" s="1"/>
  <c r="D9" i="1705" s="1"/>
  <c r="H38" i="1705"/>
  <c r="D38" i="1705"/>
  <c r="R37" i="1705"/>
  <c r="H37" i="1705"/>
  <c r="D37" i="1705"/>
  <c r="R36" i="1705"/>
  <c r="L10" i="1705" s="1"/>
  <c r="D10" i="1705" s="1"/>
  <c r="H36" i="1705"/>
  <c r="D36" i="1705"/>
  <c r="R35" i="1705"/>
  <c r="H35" i="1705"/>
  <c r="D35" i="1705"/>
  <c r="R34" i="1705"/>
  <c r="L12" i="1705" s="1"/>
  <c r="D12" i="1705" s="1"/>
  <c r="H34" i="1705"/>
  <c r="G49" i="1705" s="1"/>
  <c r="D34" i="1705"/>
  <c r="D54" i="1705" s="1"/>
  <c r="H14" i="1705" s="1"/>
  <c r="R33" i="1705"/>
  <c r="R32" i="1705"/>
  <c r="R31" i="1705"/>
  <c r="R30" i="1705"/>
  <c r="R29" i="1705"/>
  <c r="R28" i="1705"/>
  <c r="L28" i="1705"/>
  <c r="D28" i="1705"/>
  <c r="R27" i="1705"/>
  <c r="D27" i="1705"/>
  <c r="R26" i="1705"/>
  <c r="L26" i="1705"/>
  <c r="D26" i="1705" s="1"/>
  <c r="R25" i="1705"/>
  <c r="L25" i="1705"/>
  <c r="D25" i="1705"/>
  <c r="R24" i="1705"/>
  <c r="D24" i="1705"/>
  <c r="R23" i="1705"/>
  <c r="L23" i="1705"/>
  <c r="D23" i="1705" s="1"/>
  <c r="R22" i="1705"/>
  <c r="L22" i="1705"/>
  <c r="D22" i="1705"/>
  <c r="R21" i="1705"/>
  <c r="D21" i="1705"/>
  <c r="R20" i="1705"/>
  <c r="L20" i="1705"/>
  <c r="D20" i="1705" s="1"/>
  <c r="R19" i="1705"/>
  <c r="L19" i="1705"/>
  <c r="D19" i="1705"/>
  <c r="R18" i="1705"/>
  <c r="D18" i="1705"/>
  <c r="R17" i="1705"/>
  <c r="D17" i="1705"/>
  <c r="R16" i="1705"/>
  <c r="L16" i="1705"/>
  <c r="D16" i="1705" s="1"/>
  <c r="R15" i="1705"/>
  <c r="D15" i="1705"/>
  <c r="R14" i="1705"/>
  <c r="D14" i="1705"/>
  <c r="R13" i="1705"/>
  <c r="D13" i="1705"/>
  <c r="R12" i="1705"/>
  <c r="R11" i="1705"/>
  <c r="L11" i="1705"/>
  <c r="D11" i="1705"/>
  <c r="L8" i="1705"/>
  <c r="D8" i="1705"/>
  <c r="L7" i="1705"/>
  <c r="D7" i="1705"/>
  <c r="R6" i="1705"/>
  <c r="R5" i="1705"/>
  <c r="R4" i="1705"/>
  <c r="R52" i="1704"/>
  <c r="R51" i="1704"/>
  <c r="D50" i="1704"/>
  <c r="R49" i="1704"/>
  <c r="D49" i="1704"/>
  <c r="R48" i="1704"/>
  <c r="D48" i="1704"/>
  <c r="D46" i="1704"/>
  <c r="D45" i="1704"/>
  <c r="R44" i="1704"/>
  <c r="D44" i="1704"/>
  <c r="R42" i="1704"/>
  <c r="L6" i="1704" s="1"/>
  <c r="D6" i="1704" s="1"/>
  <c r="D42" i="1704"/>
  <c r="R41" i="1704"/>
  <c r="D41" i="1704"/>
  <c r="R40" i="1704"/>
  <c r="L8" i="1704" s="1"/>
  <c r="D8" i="1704" s="1"/>
  <c r="D40" i="1704"/>
  <c r="R39" i="1704"/>
  <c r="H39" i="1704"/>
  <c r="D39" i="1704"/>
  <c r="R38" i="1704"/>
  <c r="H38" i="1704"/>
  <c r="D38" i="1704"/>
  <c r="R37" i="1704"/>
  <c r="H37" i="1704"/>
  <c r="D37" i="1704"/>
  <c r="R36" i="1704"/>
  <c r="L10" i="1704" s="1"/>
  <c r="D10" i="1704" s="1"/>
  <c r="H36" i="1704"/>
  <c r="D36" i="1704"/>
  <c r="R35" i="1704"/>
  <c r="H35" i="1704"/>
  <c r="D35" i="1704"/>
  <c r="R34" i="1704"/>
  <c r="L12" i="1704" s="1"/>
  <c r="D12" i="1704" s="1"/>
  <c r="H34" i="1704"/>
  <c r="G49" i="1704" s="1"/>
  <c r="D34" i="1704"/>
  <c r="D54" i="1704" s="1"/>
  <c r="H14" i="1704" s="1"/>
  <c r="R33" i="1704"/>
  <c r="R32" i="1704"/>
  <c r="R31" i="1704"/>
  <c r="R30" i="1704"/>
  <c r="R29" i="1704"/>
  <c r="R28" i="1704"/>
  <c r="L28" i="1704"/>
  <c r="D28" i="1704"/>
  <c r="R27" i="1704"/>
  <c r="D27" i="1704"/>
  <c r="R26" i="1704"/>
  <c r="L26" i="1704"/>
  <c r="D26" i="1704" s="1"/>
  <c r="R25" i="1704"/>
  <c r="L25" i="1704"/>
  <c r="D25" i="1704"/>
  <c r="R24" i="1704"/>
  <c r="L24" i="1704"/>
  <c r="D24" i="1704"/>
  <c r="R23" i="1704"/>
  <c r="L23" i="1704"/>
  <c r="D23" i="1704"/>
  <c r="R22" i="1704"/>
  <c r="L22" i="1704"/>
  <c r="D22" i="1704" s="1"/>
  <c r="R21" i="1704"/>
  <c r="D21" i="1704"/>
  <c r="R20" i="1704"/>
  <c r="L20" i="1704"/>
  <c r="D20" i="1704" s="1"/>
  <c r="R19" i="1704"/>
  <c r="L19" i="1704"/>
  <c r="D19" i="1704"/>
  <c r="R18" i="1704"/>
  <c r="D18" i="1704"/>
  <c r="R17" i="1704"/>
  <c r="L17" i="1704"/>
  <c r="D17" i="1704"/>
  <c r="R16" i="1704"/>
  <c r="L16" i="1704"/>
  <c r="D16" i="1704" s="1"/>
  <c r="R15" i="1704"/>
  <c r="D15" i="1704"/>
  <c r="R14" i="1704"/>
  <c r="D14" i="1704"/>
  <c r="R13" i="1704"/>
  <c r="D13" i="1704"/>
  <c r="R12" i="1704"/>
  <c r="R11" i="1704"/>
  <c r="L11" i="1704"/>
  <c r="D11" i="1704"/>
  <c r="L9" i="1704"/>
  <c r="D9" i="1704"/>
  <c r="L7" i="1704"/>
  <c r="D7" i="1704"/>
  <c r="R6" i="1704"/>
  <c r="R5" i="1704"/>
  <c r="R4" i="1704"/>
  <c r="R52" i="1703"/>
  <c r="R51" i="1703"/>
  <c r="D50" i="1703"/>
  <c r="R49" i="1703"/>
  <c r="D49" i="1703"/>
  <c r="R48" i="1703"/>
  <c r="D48" i="1703"/>
  <c r="D46" i="1703"/>
  <c r="D45" i="1703"/>
  <c r="R44" i="1703"/>
  <c r="L28" i="1703" s="1"/>
  <c r="D28" i="1703" s="1"/>
  <c r="D44" i="1703"/>
  <c r="R42" i="1703"/>
  <c r="D42" i="1703"/>
  <c r="R41" i="1703"/>
  <c r="D41" i="1703"/>
  <c r="R40" i="1703"/>
  <c r="D40" i="1703"/>
  <c r="R39" i="1703"/>
  <c r="L20" i="1703" s="1"/>
  <c r="D20" i="1703" s="1"/>
  <c r="H39" i="1703"/>
  <c r="D39" i="1703"/>
  <c r="R38" i="1703"/>
  <c r="H38" i="1703"/>
  <c r="D38" i="1703"/>
  <c r="R37" i="1703"/>
  <c r="H37" i="1703"/>
  <c r="D37" i="1703"/>
  <c r="R36" i="1703"/>
  <c r="H36" i="1703"/>
  <c r="D36" i="1703"/>
  <c r="R35" i="1703"/>
  <c r="H35" i="1703"/>
  <c r="D35" i="1703"/>
  <c r="R34" i="1703"/>
  <c r="H34" i="1703"/>
  <c r="G49" i="1703" s="1"/>
  <c r="D34" i="1703"/>
  <c r="D54" i="1703" s="1"/>
  <c r="H14" i="1703" s="1"/>
  <c r="R33" i="1703"/>
  <c r="R32" i="1703"/>
  <c r="R31" i="1703"/>
  <c r="R30" i="1703"/>
  <c r="R29" i="1703"/>
  <c r="R28" i="1703"/>
  <c r="R27" i="1703"/>
  <c r="D27" i="1703"/>
  <c r="R26" i="1703"/>
  <c r="L26" i="1703"/>
  <c r="D26" i="1703"/>
  <c r="R25" i="1703"/>
  <c r="L25" i="1703"/>
  <c r="D25" i="1703" s="1"/>
  <c r="R24" i="1703"/>
  <c r="L24" i="1703"/>
  <c r="D24" i="1703" s="1"/>
  <c r="R23" i="1703"/>
  <c r="D23" i="1703"/>
  <c r="R22" i="1703"/>
  <c r="D22" i="1703"/>
  <c r="R21" i="1703"/>
  <c r="D21" i="1703"/>
  <c r="R20" i="1703"/>
  <c r="R19" i="1703"/>
  <c r="D19" i="1703"/>
  <c r="R18" i="1703"/>
  <c r="D18" i="1703"/>
  <c r="R17" i="1703"/>
  <c r="L17" i="1703"/>
  <c r="D17" i="1703" s="1"/>
  <c r="R16" i="1703"/>
  <c r="L16" i="1703"/>
  <c r="D16" i="1703" s="1"/>
  <c r="R15" i="1703"/>
  <c r="D15" i="1703"/>
  <c r="R14" i="1703"/>
  <c r="D14" i="1703"/>
  <c r="R13" i="1703"/>
  <c r="D13" i="1703"/>
  <c r="R12" i="1703"/>
  <c r="L12" i="1703"/>
  <c r="D12" i="1703" s="1"/>
  <c r="R11" i="1703"/>
  <c r="L11" i="1703"/>
  <c r="D11" i="1703" s="1"/>
  <c r="L10" i="1703"/>
  <c r="D10" i="1703"/>
  <c r="L9" i="1703"/>
  <c r="D9" i="1703" s="1"/>
  <c r="L8" i="1703"/>
  <c r="D8" i="1703"/>
  <c r="L7" i="1703"/>
  <c r="D7" i="1703"/>
  <c r="R6" i="1703"/>
  <c r="L6" i="1703"/>
  <c r="D6" i="1703" s="1"/>
  <c r="R5" i="1703"/>
  <c r="R4" i="1703"/>
  <c r="R52" i="1702"/>
  <c r="R51" i="1702"/>
  <c r="D50" i="1702"/>
  <c r="R49" i="1702"/>
  <c r="G49" i="1702"/>
  <c r="D49" i="1702"/>
  <c r="R48" i="1702"/>
  <c r="D48" i="1702"/>
  <c r="D46" i="1702"/>
  <c r="D45" i="1702"/>
  <c r="D44" i="1702"/>
  <c r="R42" i="1702"/>
  <c r="D42" i="1702"/>
  <c r="R41" i="1702"/>
  <c r="L7" i="1702" s="1"/>
  <c r="D7" i="1702" s="1"/>
  <c r="D41" i="1702"/>
  <c r="R40" i="1702"/>
  <c r="L8" i="1702" s="1"/>
  <c r="D8" i="1702" s="1"/>
  <c r="D40" i="1702"/>
  <c r="R39" i="1702"/>
  <c r="D39" i="1702"/>
  <c r="R38" i="1702"/>
  <c r="D38" i="1702"/>
  <c r="R37" i="1702"/>
  <c r="D37" i="1702"/>
  <c r="R36" i="1702"/>
  <c r="L10" i="1702" s="1"/>
  <c r="D10" i="1702" s="1"/>
  <c r="D36" i="1702"/>
  <c r="R35" i="1702"/>
  <c r="D35" i="1702"/>
  <c r="R34" i="1702"/>
  <c r="L12" i="1702" s="1"/>
  <c r="D12" i="1702" s="1"/>
  <c r="D34" i="1702"/>
  <c r="D54" i="1702" s="1"/>
  <c r="H14" i="1702" s="1"/>
  <c r="R33" i="1702"/>
  <c r="L23" i="1702" s="1"/>
  <c r="D23" i="1702" s="1"/>
  <c r="R32" i="1702"/>
  <c r="L11" i="1702" s="1"/>
  <c r="D11" i="1702" s="1"/>
  <c r="R31" i="1702"/>
  <c r="R30" i="1702"/>
  <c r="R29" i="1702"/>
  <c r="R28" i="1702"/>
  <c r="L16" i="1702" s="1"/>
  <c r="D16" i="1702" s="1"/>
  <c r="D28" i="1702"/>
  <c r="R27" i="1702"/>
  <c r="D27" i="1702"/>
  <c r="R26" i="1702"/>
  <c r="L26" i="1702"/>
  <c r="D26" i="1702"/>
  <c r="R25" i="1702"/>
  <c r="L25" i="1702"/>
  <c r="D25" i="1702"/>
  <c r="R24" i="1702"/>
  <c r="D24" i="1702"/>
  <c r="R23" i="1702"/>
  <c r="R22" i="1702"/>
  <c r="L22" i="1702"/>
  <c r="D22" i="1702" s="1"/>
  <c r="R21" i="1702"/>
  <c r="D21" i="1702"/>
  <c r="R20" i="1702"/>
  <c r="L20" i="1702"/>
  <c r="D20" i="1702"/>
  <c r="R19" i="1702"/>
  <c r="L19" i="1702"/>
  <c r="D19" i="1702"/>
  <c r="R18" i="1702"/>
  <c r="D18" i="1702"/>
  <c r="R17" i="1702"/>
  <c r="D17" i="1702"/>
  <c r="R16" i="1702"/>
  <c r="S15" i="1702"/>
  <c r="R15" i="1702"/>
  <c r="D15" i="1702"/>
  <c r="S14" i="1702"/>
  <c r="R14" i="1702"/>
  <c r="D14" i="1702"/>
  <c r="R13" i="1702"/>
  <c r="D13" i="1702"/>
  <c r="R12" i="1702"/>
  <c r="R11" i="1702"/>
  <c r="L9" i="1702"/>
  <c r="D9" i="1702" s="1"/>
  <c r="R6" i="1702"/>
  <c r="L6" i="1702"/>
  <c r="D6" i="1702" s="1"/>
  <c r="R5" i="1702"/>
  <c r="R4" i="1702"/>
  <c r="R52" i="1701"/>
  <c r="R51" i="1701"/>
  <c r="D50" i="1701"/>
  <c r="R49" i="1701"/>
  <c r="D49" i="1701"/>
  <c r="R48" i="1701"/>
  <c r="D48" i="1701"/>
  <c r="D46" i="1701"/>
  <c r="D45" i="1701"/>
  <c r="R44" i="1701"/>
  <c r="D44" i="1701"/>
  <c r="R42" i="1701"/>
  <c r="L6" i="1701" s="1"/>
  <c r="D6" i="1701" s="1"/>
  <c r="D42" i="1701"/>
  <c r="R41" i="1701"/>
  <c r="D41" i="1701"/>
  <c r="R40" i="1701"/>
  <c r="D40" i="1701"/>
  <c r="R39" i="1701"/>
  <c r="H39" i="1701"/>
  <c r="D39" i="1701"/>
  <c r="R38" i="1701"/>
  <c r="L9" i="1701" s="1"/>
  <c r="D9" i="1701" s="1"/>
  <c r="H38" i="1701"/>
  <c r="D38" i="1701"/>
  <c r="R37" i="1701"/>
  <c r="H37" i="1701"/>
  <c r="D37" i="1701"/>
  <c r="R36" i="1701"/>
  <c r="H36" i="1701"/>
  <c r="D36" i="1701"/>
  <c r="R35" i="1701"/>
  <c r="H35" i="1701"/>
  <c r="D35" i="1701"/>
  <c r="R34" i="1701"/>
  <c r="L12" i="1701" s="1"/>
  <c r="D12" i="1701" s="1"/>
  <c r="H34" i="1701"/>
  <c r="G49" i="1701" s="1"/>
  <c r="D34" i="1701"/>
  <c r="D54" i="1701" s="1"/>
  <c r="H14" i="1701" s="1"/>
  <c r="R33" i="1701"/>
  <c r="L23" i="1701" s="1"/>
  <c r="D23" i="1701" s="1"/>
  <c r="R32" i="1701"/>
  <c r="L11" i="1701" s="1"/>
  <c r="D11" i="1701" s="1"/>
  <c r="R31" i="1701"/>
  <c r="R30" i="1701"/>
  <c r="R29" i="1701"/>
  <c r="R28" i="1701"/>
  <c r="L28" i="1701"/>
  <c r="D28" i="1701"/>
  <c r="R27" i="1701"/>
  <c r="D27" i="1701"/>
  <c r="R26" i="1701"/>
  <c r="L26" i="1701"/>
  <c r="D26" i="1701"/>
  <c r="R25" i="1701"/>
  <c r="L25" i="1701"/>
  <c r="D25" i="1701" s="1"/>
  <c r="R24" i="1701"/>
  <c r="D24" i="1701"/>
  <c r="R23" i="1701"/>
  <c r="R22" i="1701"/>
  <c r="L22" i="1701"/>
  <c r="D22" i="1701"/>
  <c r="R21" i="1701"/>
  <c r="D21" i="1701"/>
  <c r="R20" i="1701"/>
  <c r="L20" i="1701"/>
  <c r="D20" i="1701"/>
  <c r="R19" i="1701"/>
  <c r="L19" i="1701"/>
  <c r="D19" i="1701" s="1"/>
  <c r="R18" i="1701"/>
  <c r="D18" i="1701"/>
  <c r="R17" i="1701"/>
  <c r="D17" i="1701"/>
  <c r="R16" i="1701"/>
  <c r="L16" i="1701"/>
  <c r="D16" i="1701"/>
  <c r="R15" i="1701"/>
  <c r="D15" i="1701"/>
  <c r="R14" i="1701"/>
  <c r="D14" i="1701"/>
  <c r="R13" i="1701"/>
  <c r="D13" i="1701"/>
  <c r="R12" i="1701"/>
  <c r="R11" i="1701"/>
  <c r="L10" i="1701"/>
  <c r="D10" i="1701"/>
  <c r="L8" i="1701"/>
  <c r="D8" i="1701"/>
  <c r="L7" i="1701"/>
  <c r="D7" i="1701" s="1"/>
  <c r="R6" i="1701"/>
  <c r="R5" i="1701"/>
  <c r="R4" i="1701"/>
  <c r="R52" i="1700"/>
  <c r="R51" i="1700"/>
  <c r="D50" i="1700"/>
  <c r="R49" i="1700"/>
  <c r="D49" i="1700"/>
  <c r="R48" i="1700"/>
  <c r="D48" i="1700"/>
  <c r="D46" i="1700"/>
  <c r="D45" i="1700"/>
  <c r="R44" i="1700"/>
  <c r="D44" i="1700"/>
  <c r="R42" i="1700"/>
  <c r="L6" i="1700" s="1"/>
  <c r="D6" i="1700" s="1"/>
  <c r="D29" i="1700" s="1"/>
  <c r="H13" i="1700" s="1"/>
  <c r="H15" i="1700" s="1"/>
  <c r="H29" i="1700" s="1"/>
  <c r="D42" i="1700"/>
  <c r="R41" i="1700"/>
  <c r="D41" i="1700"/>
  <c r="R40" i="1700"/>
  <c r="D40" i="1700"/>
  <c r="R39" i="1700"/>
  <c r="H39" i="1700"/>
  <c r="D39" i="1700"/>
  <c r="R38" i="1700"/>
  <c r="L9" i="1700" s="1"/>
  <c r="D9" i="1700" s="1"/>
  <c r="H38" i="1700"/>
  <c r="D38" i="1700"/>
  <c r="R37" i="1700"/>
  <c r="H37" i="1700"/>
  <c r="D37" i="1700"/>
  <c r="R36" i="1700"/>
  <c r="L10" i="1700" s="1"/>
  <c r="D10" i="1700" s="1"/>
  <c r="H36" i="1700"/>
  <c r="D36" i="1700"/>
  <c r="R35" i="1700"/>
  <c r="H35" i="1700"/>
  <c r="D35" i="1700"/>
  <c r="R34" i="1700"/>
  <c r="H34" i="1700"/>
  <c r="G49" i="1700" s="1"/>
  <c r="D34" i="1700"/>
  <c r="D54" i="1700" s="1"/>
  <c r="H14" i="1700" s="1"/>
  <c r="R33" i="1700"/>
  <c r="R32" i="1700"/>
  <c r="R31" i="1700"/>
  <c r="R30" i="1700"/>
  <c r="R29" i="1700"/>
  <c r="R28" i="1700"/>
  <c r="L28" i="1700"/>
  <c r="D28" i="1700"/>
  <c r="R27" i="1700"/>
  <c r="D27" i="1700"/>
  <c r="R26" i="1700"/>
  <c r="L26" i="1700"/>
  <c r="D26" i="1700" s="1"/>
  <c r="R25" i="1700"/>
  <c r="L25" i="1700"/>
  <c r="D25" i="1700"/>
  <c r="R24" i="1700"/>
  <c r="L24" i="1700"/>
  <c r="D24" i="1700"/>
  <c r="R23" i="1700"/>
  <c r="L23" i="1700"/>
  <c r="D23" i="1700"/>
  <c r="R22" i="1700"/>
  <c r="L22" i="1700"/>
  <c r="D22" i="1700" s="1"/>
  <c r="R21" i="1700"/>
  <c r="D21" i="1700"/>
  <c r="R20" i="1700"/>
  <c r="L20" i="1700"/>
  <c r="D20" i="1700"/>
  <c r="R19" i="1700"/>
  <c r="L19" i="1700"/>
  <c r="D19" i="1700" s="1"/>
  <c r="R18" i="1700"/>
  <c r="D18" i="1700"/>
  <c r="R17" i="1700"/>
  <c r="L17" i="1700"/>
  <c r="D17" i="1700"/>
  <c r="R16" i="1700"/>
  <c r="L16" i="1700"/>
  <c r="D16" i="1700" s="1"/>
  <c r="R15" i="1700"/>
  <c r="D15" i="1700"/>
  <c r="R14" i="1700"/>
  <c r="D14" i="1700"/>
  <c r="R13" i="1700"/>
  <c r="D13" i="1700"/>
  <c r="R12" i="1700"/>
  <c r="L12" i="1700"/>
  <c r="D12" i="1700"/>
  <c r="R11" i="1700"/>
  <c r="L11" i="1700"/>
  <c r="D11" i="1700"/>
  <c r="L8" i="1700"/>
  <c r="D8" i="1700"/>
  <c r="L7" i="1700"/>
  <c r="D7" i="1700"/>
  <c r="R6" i="1700"/>
  <c r="R5" i="1700"/>
  <c r="R4" i="1700"/>
  <c r="R52" i="1699"/>
  <c r="R51" i="1699"/>
  <c r="D50" i="1699"/>
  <c r="R49" i="1699"/>
  <c r="D49" i="1699"/>
  <c r="R48" i="1699"/>
  <c r="D48" i="1699"/>
  <c r="D46" i="1699"/>
  <c r="D45" i="1699"/>
  <c r="R44" i="1699"/>
  <c r="L28" i="1699" s="1"/>
  <c r="D28" i="1699" s="1"/>
  <c r="D44" i="1699"/>
  <c r="R42" i="1699"/>
  <c r="L6" i="1699" s="1"/>
  <c r="D6" i="1699" s="1"/>
  <c r="D42" i="1699"/>
  <c r="R41" i="1699"/>
  <c r="L7" i="1699" s="1"/>
  <c r="D7" i="1699" s="1"/>
  <c r="D41" i="1699"/>
  <c r="R40" i="1699"/>
  <c r="D40" i="1699"/>
  <c r="R39" i="1699"/>
  <c r="L20" i="1699" s="1"/>
  <c r="D20" i="1699" s="1"/>
  <c r="H39" i="1699"/>
  <c r="D39" i="1699"/>
  <c r="R38" i="1699"/>
  <c r="H38" i="1699"/>
  <c r="D38" i="1699"/>
  <c r="R37" i="1699"/>
  <c r="H37" i="1699"/>
  <c r="D37" i="1699"/>
  <c r="R36" i="1699"/>
  <c r="H36" i="1699"/>
  <c r="D36" i="1699"/>
  <c r="R35" i="1699"/>
  <c r="H35" i="1699"/>
  <c r="D35" i="1699"/>
  <c r="R34" i="1699"/>
  <c r="L12" i="1699" s="1"/>
  <c r="D12" i="1699" s="1"/>
  <c r="H34" i="1699"/>
  <c r="G49" i="1699" s="1"/>
  <c r="D34" i="1699"/>
  <c r="D54" i="1699" s="1"/>
  <c r="H14" i="1699" s="1"/>
  <c r="R33" i="1699"/>
  <c r="R32" i="1699"/>
  <c r="R31" i="1699"/>
  <c r="R30" i="1699"/>
  <c r="R29" i="1699"/>
  <c r="R28" i="1699"/>
  <c r="R27" i="1699"/>
  <c r="D27" i="1699"/>
  <c r="R26" i="1699"/>
  <c r="L26" i="1699"/>
  <c r="D26" i="1699"/>
  <c r="R25" i="1699"/>
  <c r="L25" i="1699"/>
  <c r="D25" i="1699"/>
  <c r="R24" i="1699"/>
  <c r="L24" i="1699"/>
  <c r="D24" i="1699"/>
  <c r="R23" i="1699"/>
  <c r="D23" i="1699"/>
  <c r="R22" i="1699"/>
  <c r="D22" i="1699"/>
  <c r="R21" i="1699"/>
  <c r="D21" i="1699"/>
  <c r="R20" i="1699"/>
  <c r="R19" i="1699"/>
  <c r="D19" i="1699"/>
  <c r="R18" i="1699"/>
  <c r="D18" i="1699"/>
  <c r="R17" i="1699"/>
  <c r="L17" i="1699"/>
  <c r="D17" i="1699"/>
  <c r="R16" i="1699"/>
  <c r="L16" i="1699"/>
  <c r="D16" i="1699" s="1"/>
  <c r="R15" i="1699"/>
  <c r="D15" i="1699"/>
  <c r="R14" i="1699"/>
  <c r="D14" i="1699"/>
  <c r="R13" i="1699"/>
  <c r="D13" i="1699"/>
  <c r="R12" i="1699"/>
  <c r="R11" i="1699"/>
  <c r="L11" i="1699"/>
  <c r="D11" i="1699" s="1"/>
  <c r="L10" i="1699"/>
  <c r="D10" i="1699" s="1"/>
  <c r="L9" i="1699"/>
  <c r="D9" i="1699"/>
  <c r="L8" i="1699"/>
  <c r="D8" i="1699" s="1"/>
  <c r="R6" i="1699"/>
  <c r="R5" i="1699"/>
  <c r="R4" i="1699"/>
  <c r="R52" i="1698"/>
  <c r="R51" i="1698"/>
  <c r="D50" i="1698"/>
  <c r="R49" i="1698"/>
  <c r="G49" i="1698"/>
  <c r="D49" i="1698"/>
  <c r="R48" i="1698"/>
  <c r="D48" i="1698"/>
  <c r="D46" i="1698"/>
  <c r="D45" i="1698"/>
  <c r="D44" i="1698"/>
  <c r="R42" i="1698"/>
  <c r="D42" i="1698"/>
  <c r="R41" i="1698"/>
  <c r="L7" i="1698" s="1"/>
  <c r="D7" i="1698" s="1"/>
  <c r="D41" i="1698"/>
  <c r="R40" i="1698"/>
  <c r="L8" i="1698" s="1"/>
  <c r="D8" i="1698" s="1"/>
  <c r="D40" i="1698"/>
  <c r="R39" i="1698"/>
  <c r="D39" i="1698"/>
  <c r="R38" i="1698"/>
  <c r="D38" i="1698"/>
  <c r="R37" i="1698"/>
  <c r="D37" i="1698"/>
  <c r="R36" i="1698"/>
  <c r="D36" i="1698"/>
  <c r="R35" i="1698"/>
  <c r="D35" i="1698"/>
  <c r="R34" i="1698"/>
  <c r="L12" i="1698" s="1"/>
  <c r="D12" i="1698" s="1"/>
  <c r="D34" i="1698"/>
  <c r="D54" i="1698" s="1"/>
  <c r="H14" i="1698" s="1"/>
  <c r="R33" i="1698"/>
  <c r="L23" i="1698" s="1"/>
  <c r="D23" i="1698" s="1"/>
  <c r="R32" i="1698"/>
  <c r="L11" i="1698" s="1"/>
  <c r="D11" i="1698" s="1"/>
  <c r="R31" i="1698"/>
  <c r="R30" i="1698"/>
  <c r="R29" i="1698"/>
  <c r="R28" i="1698"/>
  <c r="L16" i="1698" s="1"/>
  <c r="D16" i="1698" s="1"/>
  <c r="D28" i="1698"/>
  <c r="R27" i="1698"/>
  <c r="D27" i="1698"/>
  <c r="R26" i="1698"/>
  <c r="L26" i="1698"/>
  <c r="D26" i="1698" s="1"/>
  <c r="R25" i="1698"/>
  <c r="L25" i="1698"/>
  <c r="D25" i="1698"/>
  <c r="R24" i="1698"/>
  <c r="D24" i="1698"/>
  <c r="R23" i="1698"/>
  <c r="R22" i="1698"/>
  <c r="L22" i="1698"/>
  <c r="D22" i="1698" s="1"/>
  <c r="R21" i="1698"/>
  <c r="D21" i="1698"/>
  <c r="R20" i="1698"/>
  <c r="L20" i="1698"/>
  <c r="D20" i="1698" s="1"/>
  <c r="R19" i="1698"/>
  <c r="L19" i="1698"/>
  <c r="D19" i="1698"/>
  <c r="R18" i="1698"/>
  <c r="D18" i="1698"/>
  <c r="R17" i="1698"/>
  <c r="D17" i="1698"/>
  <c r="R16" i="1698"/>
  <c r="S15" i="1698"/>
  <c r="R15" i="1698"/>
  <c r="D15" i="1698"/>
  <c r="S14" i="1698"/>
  <c r="R14" i="1698"/>
  <c r="D14" i="1698"/>
  <c r="R13" i="1698"/>
  <c r="D13" i="1698"/>
  <c r="R12" i="1698"/>
  <c r="R11" i="1698"/>
  <c r="L10" i="1698"/>
  <c r="D10" i="1698" s="1"/>
  <c r="L9" i="1698"/>
  <c r="D9" i="1698"/>
  <c r="R6" i="1698"/>
  <c r="L6" i="1698"/>
  <c r="D6" i="1698"/>
  <c r="R5" i="1698"/>
  <c r="R4" i="1698"/>
  <c r="R52" i="1697"/>
  <c r="R51" i="1697"/>
  <c r="D50" i="1697"/>
  <c r="R49" i="1697"/>
  <c r="D49" i="1697"/>
  <c r="R48" i="1697"/>
  <c r="D48" i="1697"/>
  <c r="D46" i="1697"/>
  <c r="D45" i="1697"/>
  <c r="R44" i="1697"/>
  <c r="D44" i="1697"/>
  <c r="R42" i="1697"/>
  <c r="L6" i="1697" s="1"/>
  <c r="D6" i="1697" s="1"/>
  <c r="D42" i="1697"/>
  <c r="R41" i="1697"/>
  <c r="D41" i="1697"/>
  <c r="R40" i="1697"/>
  <c r="D40" i="1697"/>
  <c r="R39" i="1697"/>
  <c r="H39" i="1697"/>
  <c r="D39" i="1697"/>
  <c r="R38" i="1697"/>
  <c r="L9" i="1697" s="1"/>
  <c r="D9" i="1697" s="1"/>
  <c r="H38" i="1697"/>
  <c r="D38" i="1697"/>
  <c r="R37" i="1697"/>
  <c r="H37" i="1697"/>
  <c r="D37" i="1697"/>
  <c r="R36" i="1697"/>
  <c r="H36" i="1697"/>
  <c r="D36" i="1697"/>
  <c r="R35" i="1697"/>
  <c r="H35" i="1697"/>
  <c r="D35" i="1697"/>
  <c r="R34" i="1697"/>
  <c r="L12" i="1697" s="1"/>
  <c r="D12" i="1697" s="1"/>
  <c r="H34" i="1697"/>
  <c r="D34" i="1697"/>
  <c r="R33" i="1697"/>
  <c r="R32" i="1697"/>
  <c r="R31" i="1697"/>
  <c r="R30" i="1697"/>
  <c r="R29" i="1697"/>
  <c r="R28" i="1697"/>
  <c r="L28" i="1697"/>
  <c r="D28" i="1697"/>
  <c r="R27" i="1697"/>
  <c r="D27" i="1697"/>
  <c r="R26" i="1697"/>
  <c r="D26" i="1697"/>
  <c r="R25" i="1697"/>
  <c r="L25" i="1697"/>
  <c r="D25" i="1697" s="1"/>
  <c r="R24" i="1697"/>
  <c r="D24" i="1697"/>
  <c r="R23" i="1697"/>
  <c r="L23" i="1697"/>
  <c r="D23" i="1697"/>
  <c r="R22" i="1697"/>
  <c r="L22" i="1697"/>
  <c r="D22" i="1697"/>
  <c r="R21" i="1697"/>
  <c r="D21" i="1697"/>
  <c r="R20" i="1697"/>
  <c r="L20" i="1697"/>
  <c r="D20" i="1697" s="1"/>
  <c r="R19" i="1697"/>
  <c r="L19" i="1697"/>
  <c r="D19" i="1697" s="1"/>
  <c r="R18" i="1697"/>
  <c r="D18" i="1697"/>
  <c r="R17" i="1697"/>
  <c r="D17" i="1697"/>
  <c r="R16" i="1697"/>
  <c r="L16" i="1697"/>
  <c r="D16" i="1697" s="1"/>
  <c r="R15" i="1697"/>
  <c r="D15" i="1697"/>
  <c r="R14" i="1697"/>
  <c r="D14" i="1697"/>
  <c r="R13" i="1697"/>
  <c r="D13" i="1697"/>
  <c r="R12" i="1697"/>
  <c r="R11" i="1697"/>
  <c r="L11" i="1697"/>
  <c r="D11" i="1697"/>
  <c r="L10" i="1697"/>
  <c r="D10" i="1697"/>
  <c r="L8" i="1697"/>
  <c r="D8" i="1697"/>
  <c r="L7" i="1697"/>
  <c r="D7" i="1697" s="1"/>
  <c r="R6" i="1697"/>
  <c r="R5" i="1697"/>
  <c r="R4" i="1697"/>
  <c r="R52" i="1696"/>
  <c r="R51" i="1696"/>
  <c r="D50" i="1696"/>
  <c r="R49" i="1696"/>
  <c r="D49" i="1696"/>
  <c r="R48" i="1696"/>
  <c r="D48" i="1696"/>
  <c r="D46" i="1696"/>
  <c r="D45" i="1696"/>
  <c r="R44" i="1696"/>
  <c r="D44" i="1696"/>
  <c r="R42" i="1696"/>
  <c r="L6" i="1696" s="1"/>
  <c r="D6" i="1696" s="1"/>
  <c r="D42" i="1696"/>
  <c r="R41" i="1696"/>
  <c r="L7" i="1696" s="1"/>
  <c r="D7" i="1696" s="1"/>
  <c r="D41" i="1696"/>
  <c r="R40" i="1696"/>
  <c r="D40" i="1696"/>
  <c r="R39" i="1696"/>
  <c r="H39" i="1696"/>
  <c r="D39" i="1696"/>
  <c r="R38" i="1696"/>
  <c r="L9" i="1696" s="1"/>
  <c r="D9" i="1696" s="1"/>
  <c r="H38" i="1696"/>
  <c r="D38" i="1696"/>
  <c r="R37" i="1696"/>
  <c r="H37" i="1696"/>
  <c r="D37" i="1696"/>
  <c r="R36" i="1696"/>
  <c r="H36" i="1696"/>
  <c r="D36" i="1696"/>
  <c r="R35" i="1696"/>
  <c r="L19" i="1696" s="1"/>
  <c r="D19" i="1696" s="1"/>
  <c r="H35" i="1696"/>
  <c r="D35" i="1696"/>
  <c r="R34" i="1696"/>
  <c r="L12" i="1696" s="1"/>
  <c r="D12" i="1696" s="1"/>
  <c r="H34" i="1696"/>
  <c r="D34" i="1696"/>
  <c r="R33" i="1696"/>
  <c r="R32" i="1696"/>
  <c r="R31" i="1696"/>
  <c r="R30" i="1696"/>
  <c r="R29" i="1696"/>
  <c r="R28" i="1696"/>
  <c r="L28" i="1696"/>
  <c r="D28" i="1696"/>
  <c r="R27" i="1696"/>
  <c r="D27" i="1696"/>
  <c r="R26" i="1696"/>
  <c r="L26" i="1696"/>
  <c r="D26" i="1696"/>
  <c r="R25" i="1696"/>
  <c r="L25" i="1696"/>
  <c r="D25" i="1696"/>
  <c r="R24" i="1696"/>
  <c r="L24" i="1696"/>
  <c r="D24" i="1696"/>
  <c r="R23" i="1696"/>
  <c r="L23" i="1696"/>
  <c r="D23" i="1696" s="1"/>
  <c r="R22" i="1696"/>
  <c r="L22" i="1696"/>
  <c r="D22" i="1696" s="1"/>
  <c r="R21" i="1696"/>
  <c r="D21" i="1696"/>
  <c r="R20" i="1696"/>
  <c r="L20" i="1696"/>
  <c r="D20" i="1696" s="1"/>
  <c r="R19" i="1696"/>
  <c r="R18" i="1696"/>
  <c r="D18" i="1696"/>
  <c r="R17" i="1696"/>
  <c r="L17" i="1696"/>
  <c r="D17" i="1696" s="1"/>
  <c r="R16" i="1696"/>
  <c r="L16" i="1696"/>
  <c r="D16" i="1696" s="1"/>
  <c r="R15" i="1696"/>
  <c r="D15" i="1696"/>
  <c r="R14" i="1696"/>
  <c r="D14" i="1696"/>
  <c r="R13" i="1696"/>
  <c r="D13" i="1696"/>
  <c r="R12" i="1696"/>
  <c r="R11" i="1696"/>
  <c r="L11" i="1696"/>
  <c r="D11" i="1696"/>
  <c r="L10" i="1696"/>
  <c r="D10" i="1696" s="1"/>
  <c r="L8" i="1696"/>
  <c r="D8" i="1696" s="1"/>
  <c r="R6" i="1696"/>
  <c r="R5" i="1696"/>
  <c r="R4" i="1696"/>
  <c r="R52" i="1695"/>
  <c r="R51" i="1695"/>
  <c r="D50" i="1695"/>
  <c r="R49" i="1695"/>
  <c r="D49" i="1695"/>
  <c r="R48" i="1695"/>
  <c r="D48" i="1695"/>
  <c r="D46" i="1695"/>
  <c r="D45" i="1695"/>
  <c r="R44" i="1695"/>
  <c r="D44" i="1695"/>
  <c r="R42" i="1695"/>
  <c r="L6" i="1695" s="1"/>
  <c r="D6" i="1695" s="1"/>
  <c r="D42" i="1695"/>
  <c r="R41" i="1695"/>
  <c r="L7" i="1695" s="1"/>
  <c r="D7" i="1695" s="1"/>
  <c r="D41" i="1695"/>
  <c r="R40" i="1695"/>
  <c r="L8" i="1695" s="1"/>
  <c r="D8" i="1695" s="1"/>
  <c r="D40" i="1695"/>
  <c r="R39" i="1695"/>
  <c r="H39" i="1695"/>
  <c r="D39" i="1695"/>
  <c r="R38" i="1695"/>
  <c r="H38" i="1695"/>
  <c r="D38" i="1695"/>
  <c r="R37" i="1695"/>
  <c r="H37" i="1695"/>
  <c r="D37" i="1695"/>
  <c r="R36" i="1695"/>
  <c r="H36" i="1695"/>
  <c r="D36" i="1695"/>
  <c r="R35" i="1695"/>
  <c r="H35" i="1695"/>
  <c r="D35" i="1695"/>
  <c r="R34" i="1695"/>
  <c r="H34" i="1695"/>
  <c r="D34" i="1695"/>
  <c r="R33" i="1695"/>
  <c r="R32" i="1695"/>
  <c r="R31" i="1695"/>
  <c r="R30" i="1695"/>
  <c r="R29" i="1695"/>
  <c r="R28" i="1695"/>
  <c r="L16" i="1695" s="1"/>
  <c r="D16" i="1695" s="1"/>
  <c r="L28" i="1695"/>
  <c r="D28" i="1695"/>
  <c r="R27" i="1695"/>
  <c r="D27" i="1695"/>
  <c r="R26" i="1695"/>
  <c r="L26" i="1695"/>
  <c r="D26" i="1695" s="1"/>
  <c r="R25" i="1695"/>
  <c r="L25" i="1695"/>
  <c r="D25" i="1695"/>
  <c r="R24" i="1695"/>
  <c r="L24" i="1695"/>
  <c r="D24" i="1695"/>
  <c r="R23" i="1695"/>
  <c r="D23" i="1695"/>
  <c r="R22" i="1695"/>
  <c r="D22" i="1695"/>
  <c r="R21" i="1695"/>
  <c r="D21" i="1695"/>
  <c r="R20" i="1695"/>
  <c r="L20" i="1695"/>
  <c r="D20" i="1695" s="1"/>
  <c r="R19" i="1695"/>
  <c r="D19" i="1695"/>
  <c r="R18" i="1695"/>
  <c r="D18" i="1695"/>
  <c r="R17" i="1695"/>
  <c r="L17" i="1695"/>
  <c r="D17" i="1695"/>
  <c r="R16" i="1695"/>
  <c r="R15" i="1695"/>
  <c r="D15" i="1695"/>
  <c r="R14" i="1695"/>
  <c r="D14" i="1695"/>
  <c r="R13" i="1695"/>
  <c r="D13" i="1695"/>
  <c r="R12" i="1695"/>
  <c r="L12" i="1695"/>
  <c r="D12" i="1695" s="1"/>
  <c r="R11" i="1695"/>
  <c r="L11" i="1695"/>
  <c r="D11" i="1695" s="1"/>
  <c r="L10" i="1695"/>
  <c r="D10" i="1695"/>
  <c r="L9" i="1695"/>
  <c r="D9" i="1695" s="1"/>
  <c r="R6" i="1695"/>
  <c r="R5" i="1695"/>
  <c r="R4" i="1695"/>
  <c r="R52" i="1694"/>
  <c r="R51" i="1694"/>
  <c r="D50" i="1694"/>
  <c r="R49" i="1694"/>
  <c r="G49" i="1694"/>
  <c r="D49" i="1694"/>
  <c r="R48" i="1694"/>
  <c r="D48" i="1694"/>
  <c r="D46" i="1694"/>
  <c r="D45" i="1694"/>
  <c r="D44" i="1694"/>
  <c r="R42" i="1694"/>
  <c r="L6" i="1694" s="1"/>
  <c r="D6" i="1694" s="1"/>
  <c r="D29" i="1694" s="1"/>
  <c r="H13" i="1694" s="1"/>
  <c r="H15" i="1694" s="1"/>
  <c r="H29" i="1694" s="1"/>
  <c r="D42" i="1694"/>
  <c r="R41" i="1694"/>
  <c r="L7" i="1694" s="1"/>
  <c r="D7" i="1694" s="1"/>
  <c r="D41" i="1694"/>
  <c r="D54" i="1694" s="1"/>
  <c r="H14" i="1694" s="1"/>
  <c r="R40" i="1694"/>
  <c r="D40" i="1694"/>
  <c r="R39" i="1694"/>
  <c r="D39" i="1694"/>
  <c r="R38" i="1694"/>
  <c r="L9" i="1694" s="1"/>
  <c r="D9" i="1694" s="1"/>
  <c r="D38" i="1694"/>
  <c r="R37" i="1694"/>
  <c r="D37" i="1694"/>
  <c r="R36" i="1694"/>
  <c r="L10" i="1694" s="1"/>
  <c r="D10" i="1694" s="1"/>
  <c r="D36" i="1694"/>
  <c r="R35" i="1694"/>
  <c r="L19" i="1694" s="1"/>
  <c r="D19" i="1694" s="1"/>
  <c r="D35" i="1694"/>
  <c r="R34" i="1694"/>
  <c r="L12" i="1694" s="1"/>
  <c r="D12" i="1694" s="1"/>
  <c r="D34" i="1694"/>
  <c r="R33" i="1694"/>
  <c r="L23" i="1694" s="1"/>
  <c r="D23" i="1694" s="1"/>
  <c r="R32" i="1694"/>
  <c r="L11" i="1694" s="1"/>
  <c r="D11" i="1694" s="1"/>
  <c r="R31" i="1694"/>
  <c r="R30" i="1694"/>
  <c r="R29" i="1694"/>
  <c r="R28" i="1694"/>
  <c r="D28" i="1694"/>
  <c r="R27" i="1694"/>
  <c r="D27" i="1694"/>
  <c r="R26" i="1694"/>
  <c r="L26" i="1694"/>
  <c r="D26" i="1694" s="1"/>
  <c r="R25" i="1694"/>
  <c r="L25" i="1694"/>
  <c r="D25" i="1694"/>
  <c r="R24" i="1694"/>
  <c r="D24" i="1694"/>
  <c r="R23" i="1694"/>
  <c r="R22" i="1694"/>
  <c r="L22" i="1694"/>
  <c r="D22" i="1694"/>
  <c r="R21" i="1694"/>
  <c r="D21" i="1694"/>
  <c r="R20" i="1694"/>
  <c r="L20" i="1694"/>
  <c r="D20" i="1694" s="1"/>
  <c r="R19" i="1694"/>
  <c r="R18" i="1694"/>
  <c r="D18" i="1694"/>
  <c r="R17" i="1694"/>
  <c r="D17" i="1694"/>
  <c r="R16" i="1694"/>
  <c r="L16" i="1694"/>
  <c r="D16" i="1694" s="1"/>
  <c r="S15" i="1694"/>
  <c r="R15" i="1694"/>
  <c r="D15" i="1694"/>
  <c r="S14" i="1694"/>
  <c r="R14" i="1694"/>
  <c r="D14" i="1694"/>
  <c r="R13" i="1694"/>
  <c r="D13" i="1694"/>
  <c r="R12" i="1694"/>
  <c r="R11" i="1694"/>
  <c r="L8" i="1694"/>
  <c r="D8" i="1694"/>
  <c r="R6" i="1694"/>
  <c r="R5" i="1694"/>
  <c r="R4" i="1694"/>
  <c r="R52" i="1693"/>
  <c r="L22" i="1693" s="1"/>
  <c r="D22" i="1693" s="1"/>
  <c r="R51" i="1693"/>
  <c r="D50" i="1693"/>
  <c r="R49" i="1693"/>
  <c r="D49" i="1693"/>
  <c r="R48" i="1693"/>
  <c r="D48" i="1693"/>
  <c r="D46" i="1693"/>
  <c r="D45" i="1693"/>
  <c r="R44" i="1693"/>
  <c r="D44" i="1693"/>
  <c r="R42" i="1693"/>
  <c r="D42" i="1693"/>
  <c r="R41" i="1693"/>
  <c r="L7" i="1693" s="1"/>
  <c r="D7" i="1693" s="1"/>
  <c r="D41" i="1693"/>
  <c r="R40" i="1693"/>
  <c r="D40" i="1693"/>
  <c r="R39" i="1693"/>
  <c r="H39" i="1693"/>
  <c r="D39" i="1693"/>
  <c r="R38" i="1693"/>
  <c r="H38" i="1693"/>
  <c r="D38" i="1693"/>
  <c r="R37" i="1693"/>
  <c r="H37" i="1693"/>
  <c r="D37" i="1693"/>
  <c r="R36" i="1693"/>
  <c r="H36" i="1693"/>
  <c r="D36" i="1693"/>
  <c r="R35" i="1693"/>
  <c r="L19" i="1693" s="1"/>
  <c r="D19" i="1693" s="1"/>
  <c r="H35" i="1693"/>
  <c r="D35" i="1693"/>
  <c r="R34" i="1693"/>
  <c r="H34" i="1693"/>
  <c r="D34" i="1693"/>
  <c r="R33" i="1693"/>
  <c r="L23" i="1693" s="1"/>
  <c r="D23" i="1693" s="1"/>
  <c r="R32" i="1693"/>
  <c r="R31" i="1693"/>
  <c r="R30" i="1693"/>
  <c r="R29" i="1693"/>
  <c r="R28" i="1693"/>
  <c r="L28" i="1693"/>
  <c r="D28" i="1693"/>
  <c r="R27" i="1693"/>
  <c r="D27" i="1693"/>
  <c r="R26" i="1693"/>
  <c r="L26" i="1693"/>
  <c r="D26" i="1693"/>
  <c r="R25" i="1693"/>
  <c r="L25" i="1693"/>
  <c r="D25" i="1693"/>
  <c r="R24" i="1693"/>
  <c r="D24" i="1693"/>
  <c r="R23" i="1693"/>
  <c r="R22" i="1693"/>
  <c r="R21" i="1693"/>
  <c r="D21" i="1693"/>
  <c r="R20" i="1693"/>
  <c r="L20" i="1693"/>
  <c r="D20" i="1693"/>
  <c r="R19" i="1693"/>
  <c r="R18" i="1693"/>
  <c r="D18" i="1693"/>
  <c r="R17" i="1693"/>
  <c r="D17" i="1693"/>
  <c r="R16" i="1693"/>
  <c r="L16" i="1693"/>
  <c r="D16" i="1693"/>
  <c r="R15" i="1693"/>
  <c r="D15" i="1693"/>
  <c r="R14" i="1693"/>
  <c r="D14" i="1693"/>
  <c r="R13" i="1693"/>
  <c r="D13" i="1693"/>
  <c r="R12" i="1693"/>
  <c r="L12" i="1693"/>
  <c r="D12" i="1693" s="1"/>
  <c r="R11" i="1693"/>
  <c r="L11" i="1693"/>
  <c r="D11" i="1693" s="1"/>
  <c r="L10" i="1693"/>
  <c r="D10" i="1693"/>
  <c r="L9" i="1693"/>
  <c r="D9" i="1693"/>
  <c r="L8" i="1693"/>
  <c r="D8" i="1693"/>
  <c r="R6" i="1693"/>
  <c r="L6" i="1693"/>
  <c r="D6" i="1693"/>
  <c r="R5" i="1693"/>
  <c r="R4" i="1693"/>
  <c r="R52" i="1692"/>
  <c r="R51" i="1692"/>
  <c r="D50" i="1692"/>
  <c r="R49" i="1692"/>
  <c r="D49" i="1692"/>
  <c r="R48" i="1692"/>
  <c r="D48" i="1692"/>
  <c r="D46" i="1692"/>
  <c r="D45" i="1692"/>
  <c r="R44" i="1692"/>
  <c r="D44" i="1692"/>
  <c r="R42" i="1692"/>
  <c r="D42" i="1692"/>
  <c r="R41" i="1692"/>
  <c r="D41" i="1692"/>
  <c r="R40" i="1692"/>
  <c r="D40" i="1692"/>
  <c r="R39" i="1692"/>
  <c r="L20" i="1692" s="1"/>
  <c r="D20" i="1692" s="1"/>
  <c r="H39" i="1692"/>
  <c r="D39" i="1692"/>
  <c r="R38" i="1692"/>
  <c r="L9" i="1692" s="1"/>
  <c r="D9" i="1692" s="1"/>
  <c r="H38" i="1692"/>
  <c r="D38" i="1692"/>
  <c r="R37" i="1692"/>
  <c r="H37" i="1692"/>
  <c r="D37" i="1692"/>
  <c r="R36" i="1692"/>
  <c r="L10" i="1692" s="1"/>
  <c r="D10" i="1692" s="1"/>
  <c r="H36" i="1692"/>
  <c r="D36" i="1692"/>
  <c r="R35" i="1692"/>
  <c r="H35" i="1692"/>
  <c r="D35" i="1692"/>
  <c r="R34" i="1692"/>
  <c r="H34" i="1692"/>
  <c r="D34" i="1692"/>
  <c r="R33" i="1692"/>
  <c r="L23" i="1692" s="1"/>
  <c r="D23" i="1692" s="1"/>
  <c r="R32" i="1692"/>
  <c r="L11" i="1692" s="1"/>
  <c r="D11" i="1692" s="1"/>
  <c r="R31" i="1692"/>
  <c r="R30" i="1692"/>
  <c r="R29" i="1692"/>
  <c r="R28" i="1692"/>
  <c r="L28" i="1692"/>
  <c r="D28" i="1692"/>
  <c r="R27" i="1692"/>
  <c r="D27" i="1692"/>
  <c r="R26" i="1692"/>
  <c r="L26" i="1692"/>
  <c r="D26" i="1692"/>
  <c r="R25" i="1692"/>
  <c r="L25" i="1692"/>
  <c r="D25" i="1692"/>
  <c r="R24" i="1692"/>
  <c r="L24" i="1692"/>
  <c r="D24" i="1692"/>
  <c r="R23" i="1692"/>
  <c r="R22" i="1692"/>
  <c r="L22" i="1692"/>
  <c r="D22" i="1692" s="1"/>
  <c r="R21" i="1692"/>
  <c r="D21" i="1692"/>
  <c r="R20" i="1692"/>
  <c r="R19" i="1692"/>
  <c r="L19" i="1692"/>
  <c r="D19" i="1692" s="1"/>
  <c r="R18" i="1692"/>
  <c r="D18" i="1692"/>
  <c r="R17" i="1692"/>
  <c r="L17" i="1692"/>
  <c r="D17" i="1692"/>
  <c r="R16" i="1692"/>
  <c r="L16" i="1692"/>
  <c r="D16" i="1692" s="1"/>
  <c r="R15" i="1692"/>
  <c r="D15" i="1692"/>
  <c r="R14" i="1692"/>
  <c r="D14" i="1692"/>
  <c r="R13" i="1692"/>
  <c r="D13" i="1692"/>
  <c r="R12" i="1692"/>
  <c r="L12" i="1692"/>
  <c r="D12" i="1692" s="1"/>
  <c r="R11" i="1692"/>
  <c r="L8" i="1692"/>
  <c r="D8" i="1692"/>
  <c r="L7" i="1692"/>
  <c r="D7" i="1692"/>
  <c r="R6" i="1692"/>
  <c r="L6" i="1692"/>
  <c r="D6" i="1692"/>
  <c r="R5" i="1692"/>
  <c r="R4" i="1692"/>
  <c r="R52" i="1691"/>
  <c r="R51" i="1691"/>
  <c r="D50" i="1691"/>
  <c r="R49" i="1691"/>
  <c r="D49" i="1691"/>
  <c r="R48" i="1691"/>
  <c r="D48" i="1691"/>
  <c r="D46" i="1691"/>
  <c r="D45" i="1691"/>
  <c r="R44" i="1691"/>
  <c r="D44" i="1691"/>
  <c r="R42" i="1691"/>
  <c r="L6" i="1691" s="1"/>
  <c r="D6" i="1691" s="1"/>
  <c r="D42" i="1691"/>
  <c r="R41" i="1691"/>
  <c r="L7" i="1691" s="1"/>
  <c r="D7" i="1691" s="1"/>
  <c r="D41" i="1691"/>
  <c r="R40" i="1691"/>
  <c r="D40" i="1691"/>
  <c r="R39" i="1691"/>
  <c r="H39" i="1691"/>
  <c r="D39" i="1691"/>
  <c r="R38" i="1691"/>
  <c r="H38" i="1691"/>
  <c r="D38" i="1691"/>
  <c r="R37" i="1691"/>
  <c r="H37" i="1691"/>
  <c r="D37" i="1691"/>
  <c r="R36" i="1691"/>
  <c r="H36" i="1691"/>
  <c r="D36" i="1691"/>
  <c r="R35" i="1691"/>
  <c r="H35" i="1691"/>
  <c r="D35" i="1691"/>
  <c r="R34" i="1691"/>
  <c r="H34" i="1691"/>
  <c r="D34" i="1691"/>
  <c r="R33" i="1691"/>
  <c r="R32" i="1691"/>
  <c r="R31" i="1691"/>
  <c r="R30" i="1691"/>
  <c r="R29" i="1691"/>
  <c r="R28" i="1691"/>
  <c r="L28" i="1691"/>
  <c r="D28" i="1691"/>
  <c r="R27" i="1691"/>
  <c r="D27" i="1691"/>
  <c r="R26" i="1691"/>
  <c r="L26" i="1691"/>
  <c r="D26" i="1691" s="1"/>
  <c r="R25" i="1691"/>
  <c r="L25" i="1691"/>
  <c r="D25" i="1691" s="1"/>
  <c r="R24" i="1691"/>
  <c r="L24" i="1691"/>
  <c r="D24" i="1691"/>
  <c r="R23" i="1691"/>
  <c r="D23" i="1691"/>
  <c r="R22" i="1691"/>
  <c r="D22" i="1691"/>
  <c r="R21" i="1691"/>
  <c r="D21" i="1691"/>
  <c r="R20" i="1691"/>
  <c r="L20" i="1691"/>
  <c r="D20" i="1691"/>
  <c r="R19" i="1691"/>
  <c r="D19" i="1691"/>
  <c r="R18" i="1691"/>
  <c r="D18" i="1691"/>
  <c r="R17" i="1691"/>
  <c r="L17" i="1691"/>
  <c r="D17" i="1691"/>
  <c r="R16" i="1691"/>
  <c r="L16" i="1691"/>
  <c r="D16" i="1691" s="1"/>
  <c r="R15" i="1691"/>
  <c r="D15" i="1691"/>
  <c r="R14" i="1691"/>
  <c r="D14" i="1691"/>
  <c r="R13" i="1691"/>
  <c r="D13" i="1691"/>
  <c r="R12" i="1691"/>
  <c r="L12" i="1691"/>
  <c r="D12" i="1691" s="1"/>
  <c r="R11" i="1691"/>
  <c r="L11" i="1691"/>
  <c r="D11" i="1691"/>
  <c r="L10" i="1691"/>
  <c r="D10" i="1691"/>
  <c r="L9" i="1691"/>
  <c r="D9" i="1691"/>
  <c r="L8" i="1691"/>
  <c r="D8" i="1691"/>
  <c r="R6" i="1691"/>
  <c r="R5" i="1691"/>
  <c r="R4" i="1691"/>
  <c r="R52" i="1690"/>
  <c r="R51" i="1690"/>
  <c r="D50" i="1690"/>
  <c r="R49" i="1690"/>
  <c r="G49" i="1690"/>
  <c r="D49" i="1690"/>
  <c r="R48" i="1690"/>
  <c r="D48" i="1690"/>
  <c r="D46" i="1690"/>
  <c r="D45" i="1690"/>
  <c r="D44" i="1690"/>
  <c r="R42" i="1690"/>
  <c r="L6" i="1690" s="1"/>
  <c r="D6" i="1690" s="1"/>
  <c r="D42" i="1690"/>
  <c r="R41" i="1690"/>
  <c r="L7" i="1690" s="1"/>
  <c r="D7" i="1690" s="1"/>
  <c r="D41" i="1690"/>
  <c r="R40" i="1690"/>
  <c r="D40" i="1690"/>
  <c r="R39" i="1690"/>
  <c r="D39" i="1690"/>
  <c r="R38" i="1690"/>
  <c r="D38" i="1690"/>
  <c r="R37" i="1690"/>
  <c r="D37" i="1690"/>
  <c r="R36" i="1690"/>
  <c r="L10" i="1690" s="1"/>
  <c r="D10" i="1690" s="1"/>
  <c r="D36" i="1690"/>
  <c r="R35" i="1690"/>
  <c r="D35" i="1690"/>
  <c r="R34" i="1690"/>
  <c r="L12" i="1690" s="1"/>
  <c r="D12" i="1690" s="1"/>
  <c r="D34" i="1690"/>
  <c r="D54" i="1690" s="1"/>
  <c r="H14" i="1690" s="1"/>
  <c r="R33" i="1690"/>
  <c r="L23" i="1690" s="1"/>
  <c r="D23" i="1690" s="1"/>
  <c r="R32" i="1690"/>
  <c r="R31" i="1690"/>
  <c r="R30" i="1690"/>
  <c r="R29" i="1690"/>
  <c r="R28" i="1690"/>
  <c r="L16" i="1690" s="1"/>
  <c r="D16" i="1690" s="1"/>
  <c r="D28" i="1690"/>
  <c r="R27" i="1690"/>
  <c r="D27" i="1690"/>
  <c r="R26" i="1690"/>
  <c r="L26" i="1690"/>
  <c r="D26" i="1690"/>
  <c r="R25" i="1690"/>
  <c r="L25" i="1690"/>
  <c r="D25" i="1690"/>
  <c r="R24" i="1690"/>
  <c r="D24" i="1690"/>
  <c r="R23" i="1690"/>
  <c r="R22" i="1690"/>
  <c r="L22" i="1690"/>
  <c r="D22" i="1690" s="1"/>
  <c r="R21" i="1690"/>
  <c r="D21" i="1690"/>
  <c r="R20" i="1690"/>
  <c r="L20" i="1690"/>
  <c r="D20" i="1690"/>
  <c r="R19" i="1690"/>
  <c r="L19" i="1690"/>
  <c r="D19" i="1690"/>
  <c r="R18" i="1690"/>
  <c r="D18" i="1690"/>
  <c r="R17" i="1690"/>
  <c r="D17" i="1690"/>
  <c r="R16" i="1690"/>
  <c r="S15" i="1690"/>
  <c r="R15" i="1690"/>
  <c r="D15" i="1690"/>
  <c r="S14" i="1690"/>
  <c r="R14" i="1690"/>
  <c r="D14" i="1690"/>
  <c r="R13" i="1690"/>
  <c r="D13" i="1690"/>
  <c r="R12" i="1690"/>
  <c r="R11" i="1690"/>
  <c r="L11" i="1690"/>
  <c r="D11" i="1690" s="1"/>
  <c r="L9" i="1690"/>
  <c r="D9" i="1690"/>
  <c r="L8" i="1690"/>
  <c r="D8" i="1690"/>
  <c r="R6" i="1690"/>
  <c r="R5" i="1690"/>
  <c r="R4" i="1690"/>
  <c r="R52" i="1689"/>
  <c r="L22" i="1689" s="1"/>
  <c r="D22" i="1689" s="1"/>
  <c r="R51" i="1689"/>
  <c r="D50" i="1689"/>
  <c r="R49" i="1689"/>
  <c r="D49" i="1689"/>
  <c r="R48" i="1689"/>
  <c r="D48" i="1689"/>
  <c r="D46" i="1689"/>
  <c r="D45" i="1689"/>
  <c r="R44" i="1689"/>
  <c r="L28" i="1689" s="1"/>
  <c r="D28" i="1689" s="1"/>
  <c r="D44" i="1689"/>
  <c r="R42" i="1689"/>
  <c r="D42" i="1689"/>
  <c r="R41" i="1689"/>
  <c r="D41" i="1689"/>
  <c r="R40" i="1689"/>
  <c r="D40" i="1689"/>
  <c r="R39" i="1689"/>
  <c r="H39" i="1689"/>
  <c r="D39" i="1689"/>
  <c r="R38" i="1689"/>
  <c r="H38" i="1689"/>
  <c r="D38" i="1689"/>
  <c r="R37" i="1689"/>
  <c r="H37" i="1689"/>
  <c r="D37" i="1689"/>
  <c r="R36" i="1689"/>
  <c r="L10" i="1689" s="1"/>
  <c r="D10" i="1689" s="1"/>
  <c r="H36" i="1689"/>
  <c r="D36" i="1689"/>
  <c r="R35" i="1689"/>
  <c r="H35" i="1689"/>
  <c r="D35" i="1689"/>
  <c r="R34" i="1689"/>
  <c r="H34" i="1689"/>
  <c r="D34" i="1689"/>
  <c r="R33" i="1689"/>
  <c r="L23" i="1689" s="1"/>
  <c r="D23" i="1689" s="1"/>
  <c r="R32" i="1689"/>
  <c r="R31" i="1689"/>
  <c r="R30" i="1689"/>
  <c r="R29" i="1689"/>
  <c r="R28" i="1689"/>
  <c r="R27" i="1689"/>
  <c r="D27" i="1689"/>
  <c r="R26" i="1689"/>
  <c r="L26" i="1689"/>
  <c r="D26" i="1689"/>
  <c r="R25" i="1689"/>
  <c r="L25" i="1689"/>
  <c r="D25" i="1689" s="1"/>
  <c r="R24" i="1689"/>
  <c r="D24" i="1689"/>
  <c r="R23" i="1689"/>
  <c r="R22" i="1689"/>
  <c r="R21" i="1689"/>
  <c r="D21" i="1689"/>
  <c r="R20" i="1689"/>
  <c r="L20" i="1689"/>
  <c r="D20" i="1689"/>
  <c r="R19" i="1689"/>
  <c r="L19" i="1689"/>
  <c r="D19" i="1689" s="1"/>
  <c r="R18" i="1689"/>
  <c r="D18" i="1689"/>
  <c r="R17" i="1689"/>
  <c r="D17" i="1689"/>
  <c r="R16" i="1689"/>
  <c r="L16" i="1689"/>
  <c r="D16" i="1689" s="1"/>
  <c r="R15" i="1689"/>
  <c r="D15" i="1689"/>
  <c r="R14" i="1689"/>
  <c r="D14" i="1689"/>
  <c r="R13" i="1689"/>
  <c r="D13" i="1689"/>
  <c r="R12" i="1689"/>
  <c r="L12" i="1689"/>
  <c r="D12" i="1689" s="1"/>
  <c r="R11" i="1689"/>
  <c r="L11" i="1689"/>
  <c r="D11" i="1689"/>
  <c r="L9" i="1689"/>
  <c r="D9" i="1689"/>
  <c r="L8" i="1689"/>
  <c r="D8" i="1689"/>
  <c r="L7" i="1689"/>
  <c r="D7" i="1689"/>
  <c r="R6" i="1689"/>
  <c r="L6" i="1689"/>
  <c r="D6" i="1689"/>
  <c r="R5" i="1689"/>
  <c r="R4" i="1689"/>
  <c r="R52" i="1688"/>
  <c r="R51" i="1688"/>
  <c r="D50" i="1688"/>
  <c r="R49" i="1688"/>
  <c r="D49" i="1688"/>
  <c r="R48" i="1688"/>
  <c r="D48" i="1688"/>
  <c r="D46" i="1688"/>
  <c r="D45" i="1688"/>
  <c r="R44" i="1688"/>
  <c r="D44" i="1688"/>
  <c r="R42" i="1688"/>
  <c r="L6" i="1688" s="1"/>
  <c r="D6" i="1688" s="1"/>
  <c r="D42" i="1688"/>
  <c r="R41" i="1688"/>
  <c r="D41" i="1688"/>
  <c r="R40" i="1688"/>
  <c r="D40" i="1688"/>
  <c r="R39" i="1688"/>
  <c r="H39" i="1688"/>
  <c r="D39" i="1688"/>
  <c r="R38" i="1688"/>
  <c r="L9" i="1688" s="1"/>
  <c r="D9" i="1688" s="1"/>
  <c r="H38" i="1688"/>
  <c r="D38" i="1688"/>
  <c r="R37" i="1688"/>
  <c r="H37" i="1688"/>
  <c r="D37" i="1688"/>
  <c r="R36" i="1688"/>
  <c r="L10" i="1688" s="1"/>
  <c r="D10" i="1688" s="1"/>
  <c r="H36" i="1688"/>
  <c r="D36" i="1688"/>
  <c r="R35" i="1688"/>
  <c r="H35" i="1688"/>
  <c r="D35" i="1688"/>
  <c r="R34" i="1688"/>
  <c r="H34" i="1688"/>
  <c r="D34" i="1688"/>
  <c r="R33" i="1688"/>
  <c r="R32" i="1688"/>
  <c r="R31" i="1688"/>
  <c r="R30" i="1688"/>
  <c r="R29" i="1688"/>
  <c r="R28" i="1688"/>
  <c r="L28" i="1688"/>
  <c r="D28" i="1688"/>
  <c r="R27" i="1688"/>
  <c r="D27" i="1688"/>
  <c r="R26" i="1688"/>
  <c r="L26" i="1688"/>
  <c r="D26" i="1688"/>
  <c r="R25" i="1688"/>
  <c r="L25" i="1688"/>
  <c r="D25" i="1688" s="1"/>
  <c r="R24" i="1688"/>
  <c r="L24" i="1688"/>
  <c r="D24" i="1688" s="1"/>
  <c r="R23" i="1688"/>
  <c r="L23" i="1688"/>
  <c r="D23" i="1688"/>
  <c r="R22" i="1688"/>
  <c r="L22" i="1688"/>
  <c r="D22" i="1688" s="1"/>
  <c r="R21" i="1688"/>
  <c r="D21" i="1688"/>
  <c r="R20" i="1688"/>
  <c r="L20" i="1688"/>
  <c r="D20" i="1688"/>
  <c r="R19" i="1688"/>
  <c r="L19" i="1688"/>
  <c r="D19" i="1688" s="1"/>
  <c r="R18" i="1688"/>
  <c r="D18" i="1688"/>
  <c r="R17" i="1688"/>
  <c r="L17" i="1688"/>
  <c r="D17" i="1688"/>
  <c r="R16" i="1688"/>
  <c r="L16" i="1688"/>
  <c r="D16" i="1688" s="1"/>
  <c r="R15" i="1688"/>
  <c r="D15" i="1688"/>
  <c r="R14" i="1688"/>
  <c r="D14" i="1688"/>
  <c r="R13" i="1688"/>
  <c r="D13" i="1688"/>
  <c r="R12" i="1688"/>
  <c r="L12" i="1688"/>
  <c r="D12" i="1688"/>
  <c r="R11" i="1688"/>
  <c r="L11" i="1688"/>
  <c r="D11" i="1688"/>
  <c r="L8" i="1688"/>
  <c r="D8" i="1688"/>
  <c r="L7" i="1688"/>
  <c r="D7" i="1688" s="1"/>
  <c r="R6" i="1688"/>
  <c r="R5" i="1688"/>
  <c r="R4" i="1688"/>
  <c r="R52" i="1687"/>
  <c r="R51" i="1687"/>
  <c r="D50" i="1687"/>
  <c r="R49" i="1687"/>
  <c r="D49" i="1687"/>
  <c r="R48" i="1687"/>
  <c r="D48" i="1687"/>
  <c r="D46" i="1687"/>
  <c r="D45" i="1687"/>
  <c r="R44" i="1687"/>
  <c r="D44" i="1687"/>
  <c r="R42" i="1687"/>
  <c r="L6" i="1687" s="1"/>
  <c r="D6" i="1687" s="1"/>
  <c r="D42" i="1687"/>
  <c r="R41" i="1687"/>
  <c r="D41" i="1687"/>
  <c r="R40" i="1687"/>
  <c r="L8" i="1687" s="1"/>
  <c r="D8" i="1687" s="1"/>
  <c r="D40" i="1687"/>
  <c r="R39" i="1687"/>
  <c r="L20" i="1687" s="1"/>
  <c r="D20" i="1687" s="1"/>
  <c r="H39" i="1687"/>
  <c r="D39" i="1687"/>
  <c r="R38" i="1687"/>
  <c r="H38" i="1687"/>
  <c r="D38" i="1687"/>
  <c r="R37" i="1687"/>
  <c r="H37" i="1687"/>
  <c r="D37" i="1687"/>
  <c r="R36" i="1687"/>
  <c r="H36" i="1687"/>
  <c r="G49" i="1687" s="1"/>
  <c r="D36" i="1687"/>
  <c r="R35" i="1687"/>
  <c r="H35" i="1687"/>
  <c r="D35" i="1687"/>
  <c r="R34" i="1687"/>
  <c r="H34" i="1687"/>
  <c r="D34" i="1687"/>
  <c r="D54" i="1687" s="1"/>
  <c r="H14" i="1687" s="1"/>
  <c r="R33" i="1687"/>
  <c r="R32" i="1687"/>
  <c r="R31" i="1687"/>
  <c r="R30" i="1687"/>
  <c r="R29" i="1687"/>
  <c r="R28" i="1687"/>
  <c r="L16" i="1687" s="1"/>
  <c r="D16" i="1687" s="1"/>
  <c r="L28" i="1687"/>
  <c r="D28" i="1687"/>
  <c r="R27" i="1687"/>
  <c r="D27" i="1687"/>
  <c r="R26" i="1687"/>
  <c r="L26" i="1687"/>
  <c r="D26" i="1687"/>
  <c r="R25" i="1687"/>
  <c r="L25" i="1687"/>
  <c r="D25" i="1687"/>
  <c r="R24" i="1687"/>
  <c r="L24" i="1687"/>
  <c r="D24" i="1687"/>
  <c r="R23" i="1687"/>
  <c r="D23" i="1687"/>
  <c r="R22" i="1687"/>
  <c r="D22" i="1687"/>
  <c r="R21" i="1687"/>
  <c r="D21" i="1687"/>
  <c r="R20" i="1687"/>
  <c r="R19" i="1687"/>
  <c r="D19" i="1687"/>
  <c r="R18" i="1687"/>
  <c r="D18" i="1687"/>
  <c r="R17" i="1687"/>
  <c r="L17" i="1687"/>
  <c r="D17" i="1687"/>
  <c r="R16" i="1687"/>
  <c r="R15" i="1687"/>
  <c r="D15" i="1687"/>
  <c r="R14" i="1687"/>
  <c r="D14" i="1687"/>
  <c r="R13" i="1687"/>
  <c r="D13" i="1687"/>
  <c r="R12" i="1687"/>
  <c r="L12" i="1687"/>
  <c r="D12" i="1687"/>
  <c r="R11" i="1687"/>
  <c r="L11" i="1687"/>
  <c r="D11" i="1687"/>
  <c r="L10" i="1687"/>
  <c r="D10" i="1687"/>
  <c r="L9" i="1687"/>
  <c r="D9" i="1687" s="1"/>
  <c r="L7" i="1687"/>
  <c r="D7" i="1687"/>
  <c r="R6" i="1687"/>
  <c r="R5" i="1687"/>
  <c r="R4" i="1687"/>
  <c r="R52" i="1686"/>
  <c r="R51" i="1686"/>
  <c r="D50" i="1686"/>
  <c r="R49" i="1686"/>
  <c r="G49" i="1686"/>
  <c r="D49" i="1686"/>
  <c r="R48" i="1686"/>
  <c r="D48" i="1686"/>
  <c r="D46" i="1686"/>
  <c r="D45" i="1686"/>
  <c r="D44" i="1686"/>
  <c r="R42" i="1686"/>
  <c r="L6" i="1686" s="1"/>
  <c r="D6" i="1686" s="1"/>
  <c r="D42" i="1686"/>
  <c r="R41" i="1686"/>
  <c r="L7" i="1686" s="1"/>
  <c r="D7" i="1686" s="1"/>
  <c r="D41" i="1686"/>
  <c r="R40" i="1686"/>
  <c r="D40" i="1686"/>
  <c r="R39" i="1686"/>
  <c r="D39" i="1686"/>
  <c r="R38" i="1686"/>
  <c r="D38" i="1686"/>
  <c r="R37" i="1686"/>
  <c r="D37" i="1686"/>
  <c r="R36" i="1686"/>
  <c r="L10" i="1686" s="1"/>
  <c r="D10" i="1686" s="1"/>
  <c r="D36" i="1686"/>
  <c r="R35" i="1686"/>
  <c r="D35" i="1686"/>
  <c r="R34" i="1686"/>
  <c r="L12" i="1686" s="1"/>
  <c r="D12" i="1686" s="1"/>
  <c r="D34" i="1686"/>
  <c r="D54" i="1686" s="1"/>
  <c r="H14" i="1686" s="1"/>
  <c r="R33" i="1686"/>
  <c r="L23" i="1686" s="1"/>
  <c r="D23" i="1686" s="1"/>
  <c r="R32" i="1686"/>
  <c r="R31" i="1686"/>
  <c r="R30" i="1686"/>
  <c r="R29" i="1686"/>
  <c r="R28" i="1686"/>
  <c r="L16" i="1686" s="1"/>
  <c r="D16" i="1686" s="1"/>
  <c r="D28" i="1686"/>
  <c r="R27" i="1686"/>
  <c r="D27" i="1686"/>
  <c r="R26" i="1686"/>
  <c r="L26" i="1686"/>
  <c r="D26" i="1686"/>
  <c r="R25" i="1686"/>
  <c r="L25" i="1686"/>
  <c r="D25" i="1686"/>
  <c r="R24" i="1686"/>
  <c r="D24" i="1686"/>
  <c r="R23" i="1686"/>
  <c r="R22" i="1686"/>
  <c r="L22" i="1686"/>
  <c r="D22" i="1686"/>
  <c r="R21" i="1686"/>
  <c r="D21" i="1686"/>
  <c r="R20" i="1686"/>
  <c r="L20" i="1686"/>
  <c r="D20" i="1686"/>
  <c r="R19" i="1686"/>
  <c r="L19" i="1686"/>
  <c r="D19" i="1686"/>
  <c r="R18" i="1686"/>
  <c r="D18" i="1686"/>
  <c r="R17" i="1686"/>
  <c r="D17" i="1686"/>
  <c r="R16" i="1686"/>
  <c r="S15" i="1686"/>
  <c r="R15" i="1686"/>
  <c r="D15" i="1686"/>
  <c r="S14" i="1686"/>
  <c r="R14" i="1686"/>
  <c r="D14" i="1686"/>
  <c r="R13" i="1686"/>
  <c r="D13" i="1686"/>
  <c r="R12" i="1686"/>
  <c r="R11" i="1686"/>
  <c r="L11" i="1686"/>
  <c r="D11" i="1686"/>
  <c r="L9" i="1686"/>
  <c r="D9" i="1686" s="1"/>
  <c r="L8" i="1686"/>
  <c r="D8" i="1686"/>
  <c r="R6" i="1686"/>
  <c r="R5" i="1686"/>
  <c r="R4" i="1686"/>
  <c r="L28" i="1683"/>
  <c r="G49" i="1697" l="1"/>
  <c r="G49" i="1696"/>
  <c r="G49" i="1695"/>
  <c r="D54" i="1697"/>
  <c r="H14" i="1697" s="1"/>
  <c r="D29" i="1697"/>
  <c r="H13" i="1697" s="1"/>
  <c r="D54" i="1696"/>
  <c r="H14" i="1696" s="1"/>
  <c r="D54" i="1695"/>
  <c r="H14" i="1695" s="1"/>
  <c r="G49" i="1691"/>
  <c r="G49" i="1692"/>
  <c r="G49" i="1693"/>
  <c r="D54" i="1693"/>
  <c r="H14" i="1693" s="1"/>
  <c r="D54" i="1692"/>
  <c r="H14" i="1692" s="1"/>
  <c r="D29" i="1692"/>
  <c r="H13" i="1692" s="1"/>
  <c r="D54" i="1691"/>
  <c r="H14" i="1691" s="1"/>
  <c r="G49" i="1689"/>
  <c r="G49" i="1688"/>
  <c r="D54" i="1689"/>
  <c r="H14" i="1689" s="1"/>
  <c r="D54" i="1688"/>
  <c r="H14" i="1688" s="1"/>
  <c r="D29" i="1705"/>
  <c r="H13" i="1705" s="1"/>
  <c r="H15" i="1705" s="1"/>
  <c r="H29" i="1705" s="1"/>
  <c r="G51" i="1705" s="1"/>
  <c r="D29" i="1704"/>
  <c r="H13" i="1704" s="1"/>
  <c r="H15" i="1704" s="1"/>
  <c r="H29" i="1704" s="1"/>
  <c r="G51" i="1704" s="1"/>
  <c r="D29" i="1703"/>
  <c r="H13" i="1703" s="1"/>
  <c r="H15" i="1703" s="1"/>
  <c r="H29" i="1703" s="1"/>
  <c r="G51" i="1703" s="1"/>
  <c r="D29" i="1702"/>
  <c r="H13" i="1702" s="1"/>
  <c r="H15" i="1702" s="1"/>
  <c r="H29" i="1702" s="1"/>
  <c r="G51" i="1702"/>
  <c r="D29" i="1701"/>
  <c r="H13" i="1701" s="1"/>
  <c r="H15" i="1701" s="1"/>
  <c r="H29" i="1701" s="1"/>
  <c r="G51" i="1701" s="1"/>
  <c r="G51" i="1700"/>
  <c r="D29" i="1699"/>
  <c r="H13" i="1699" s="1"/>
  <c r="H15" i="1699" s="1"/>
  <c r="H29" i="1699" s="1"/>
  <c r="G51" i="1699" s="1"/>
  <c r="D29" i="1698"/>
  <c r="H13" i="1698" s="1"/>
  <c r="H15" i="1698" s="1"/>
  <c r="H29" i="1698" s="1"/>
  <c r="G51" i="1698"/>
  <c r="D29" i="1696"/>
  <c r="H13" i="1696" s="1"/>
  <c r="H15" i="1696" s="1"/>
  <c r="H29" i="1696" s="1"/>
  <c r="D29" i="1695"/>
  <c r="H13" i="1695" s="1"/>
  <c r="G51" i="1694"/>
  <c r="D29" i="1693"/>
  <c r="H13" i="1693" s="1"/>
  <c r="D29" i="1691"/>
  <c r="H13" i="1691" s="1"/>
  <c r="D29" i="1690"/>
  <c r="H13" i="1690" s="1"/>
  <c r="H15" i="1690" s="1"/>
  <c r="H29" i="1690" s="1"/>
  <c r="G51" i="1690" s="1"/>
  <c r="D29" i="1689"/>
  <c r="H13" i="1689" s="1"/>
  <c r="D29" i="1688"/>
  <c r="H13" i="1688" s="1"/>
  <c r="D29" i="1687"/>
  <c r="H13" i="1687" s="1"/>
  <c r="H15" i="1687" s="1"/>
  <c r="H29" i="1687" s="1"/>
  <c r="G51" i="1687" s="1"/>
  <c r="D29" i="1686"/>
  <c r="H13" i="1686" s="1"/>
  <c r="H15" i="1686" s="1"/>
  <c r="H29" i="1686" s="1"/>
  <c r="G51" i="1686" s="1"/>
  <c r="L28" i="1678"/>
  <c r="H16" i="1680"/>
  <c r="H16" i="1679"/>
  <c r="C12" i="1680"/>
  <c r="R52" i="1685"/>
  <c r="R51" i="1685"/>
  <c r="D50" i="1685"/>
  <c r="R49" i="1685"/>
  <c r="D49" i="1685"/>
  <c r="R48" i="1685"/>
  <c r="D48" i="1685"/>
  <c r="D46" i="1685"/>
  <c r="D45" i="1685"/>
  <c r="R44" i="1685"/>
  <c r="L28" i="1685" s="1"/>
  <c r="D28" i="1685" s="1"/>
  <c r="D44" i="1685"/>
  <c r="R42" i="1685"/>
  <c r="D42" i="1685"/>
  <c r="R41" i="1685"/>
  <c r="D41" i="1685"/>
  <c r="R40" i="1685"/>
  <c r="D40" i="1685"/>
  <c r="R39" i="1685"/>
  <c r="H39" i="1685"/>
  <c r="D39" i="1685"/>
  <c r="R38" i="1685"/>
  <c r="H38" i="1685"/>
  <c r="D38" i="1685"/>
  <c r="R37" i="1685"/>
  <c r="H37" i="1685"/>
  <c r="G49" i="1685" s="1"/>
  <c r="D37" i="1685"/>
  <c r="R36" i="1685"/>
  <c r="H36" i="1685"/>
  <c r="D36" i="1685"/>
  <c r="R35" i="1685"/>
  <c r="H35" i="1685"/>
  <c r="D35" i="1685"/>
  <c r="R34" i="1685"/>
  <c r="L12" i="1685" s="1"/>
  <c r="D12" i="1685" s="1"/>
  <c r="H34" i="1685"/>
  <c r="D34" i="1685"/>
  <c r="R33" i="1685"/>
  <c r="L23" i="1685" s="1"/>
  <c r="D23" i="1685" s="1"/>
  <c r="R32" i="1685"/>
  <c r="R31" i="1685"/>
  <c r="R30" i="1685"/>
  <c r="R29" i="1685"/>
  <c r="R28" i="1685"/>
  <c r="L16" i="1685" s="1"/>
  <c r="D16" i="1685" s="1"/>
  <c r="R27" i="1685"/>
  <c r="D27" i="1685"/>
  <c r="R26" i="1685"/>
  <c r="L26" i="1685"/>
  <c r="D26" i="1685"/>
  <c r="R25" i="1685"/>
  <c r="L25" i="1685"/>
  <c r="D25" i="1685"/>
  <c r="R24" i="1685"/>
  <c r="D24" i="1685"/>
  <c r="R23" i="1685"/>
  <c r="R22" i="1685"/>
  <c r="L22" i="1685"/>
  <c r="D22" i="1685" s="1"/>
  <c r="R21" i="1685"/>
  <c r="D21" i="1685"/>
  <c r="R20" i="1685"/>
  <c r="L20" i="1685"/>
  <c r="D20" i="1685"/>
  <c r="R19" i="1685"/>
  <c r="L19" i="1685"/>
  <c r="D19" i="1685"/>
  <c r="R18" i="1685"/>
  <c r="D18" i="1685"/>
  <c r="R17" i="1685"/>
  <c r="D17" i="1685"/>
  <c r="R16" i="1685"/>
  <c r="R15" i="1685"/>
  <c r="D15" i="1685"/>
  <c r="R14" i="1685"/>
  <c r="D14" i="1685"/>
  <c r="R13" i="1685"/>
  <c r="D13" i="1685"/>
  <c r="R12" i="1685"/>
  <c r="R11" i="1685"/>
  <c r="L11" i="1685"/>
  <c r="D11" i="1685"/>
  <c r="L10" i="1685"/>
  <c r="D10" i="1685" s="1"/>
  <c r="L9" i="1685"/>
  <c r="D9" i="1685"/>
  <c r="L8" i="1685"/>
  <c r="D8" i="1685" s="1"/>
  <c r="L7" i="1685"/>
  <c r="D7" i="1685"/>
  <c r="R6" i="1685"/>
  <c r="L6" i="1685"/>
  <c r="D6" i="1685" s="1"/>
  <c r="R5" i="1685"/>
  <c r="R4" i="1685"/>
  <c r="R52" i="1684"/>
  <c r="R51" i="1684"/>
  <c r="D50" i="1684"/>
  <c r="R49" i="1684"/>
  <c r="D49" i="1684"/>
  <c r="R48" i="1684"/>
  <c r="D48" i="1684"/>
  <c r="D46" i="1684"/>
  <c r="D45" i="1684"/>
  <c r="R44" i="1684"/>
  <c r="D44" i="1684"/>
  <c r="R42" i="1684"/>
  <c r="D42" i="1684"/>
  <c r="R41" i="1684"/>
  <c r="D41" i="1684"/>
  <c r="R40" i="1684"/>
  <c r="D40" i="1684"/>
  <c r="R39" i="1684"/>
  <c r="L20" i="1684" s="1"/>
  <c r="D20" i="1684" s="1"/>
  <c r="H39" i="1684"/>
  <c r="D39" i="1684"/>
  <c r="R38" i="1684"/>
  <c r="L9" i="1684" s="1"/>
  <c r="D9" i="1684" s="1"/>
  <c r="H38" i="1684"/>
  <c r="D38" i="1684"/>
  <c r="R37" i="1684"/>
  <c r="H37" i="1684"/>
  <c r="G49" i="1684" s="1"/>
  <c r="D37" i="1684"/>
  <c r="R36" i="1684"/>
  <c r="H36" i="1684"/>
  <c r="D36" i="1684"/>
  <c r="R35" i="1684"/>
  <c r="H35" i="1684"/>
  <c r="D35" i="1684"/>
  <c r="R34" i="1684"/>
  <c r="H34" i="1684"/>
  <c r="D34" i="1684"/>
  <c r="R33" i="1684"/>
  <c r="R32" i="1684"/>
  <c r="L11" i="1684" s="1"/>
  <c r="D11" i="1684" s="1"/>
  <c r="R31" i="1684"/>
  <c r="R30" i="1684"/>
  <c r="R29" i="1684"/>
  <c r="R28" i="1684"/>
  <c r="L16" i="1684" s="1"/>
  <c r="D16" i="1684" s="1"/>
  <c r="D28" i="1684"/>
  <c r="R27" i="1684"/>
  <c r="D27" i="1684"/>
  <c r="R26" i="1684"/>
  <c r="L26" i="1684"/>
  <c r="D26" i="1684"/>
  <c r="R25" i="1684"/>
  <c r="L25" i="1684"/>
  <c r="D25" i="1684"/>
  <c r="R24" i="1684"/>
  <c r="L24" i="1684"/>
  <c r="D24" i="1684"/>
  <c r="R23" i="1684"/>
  <c r="L23" i="1684"/>
  <c r="D23" i="1684" s="1"/>
  <c r="R22" i="1684"/>
  <c r="L22" i="1684"/>
  <c r="D22" i="1684"/>
  <c r="R21" i="1684"/>
  <c r="D21" i="1684"/>
  <c r="R20" i="1684"/>
  <c r="R19" i="1684"/>
  <c r="L19" i="1684"/>
  <c r="D19" i="1684" s="1"/>
  <c r="R18" i="1684"/>
  <c r="D18" i="1684"/>
  <c r="R17" i="1684"/>
  <c r="L17" i="1684"/>
  <c r="D17" i="1684" s="1"/>
  <c r="R16" i="1684"/>
  <c r="R15" i="1684"/>
  <c r="D15" i="1684"/>
  <c r="R14" i="1684"/>
  <c r="D14" i="1684"/>
  <c r="R13" i="1684"/>
  <c r="D13" i="1684"/>
  <c r="R12" i="1684"/>
  <c r="L12" i="1684"/>
  <c r="D12" i="1684"/>
  <c r="R11" i="1684"/>
  <c r="L10" i="1684"/>
  <c r="D10" i="1684"/>
  <c r="L8" i="1684"/>
  <c r="D8" i="1684"/>
  <c r="L7" i="1684"/>
  <c r="D7" i="1684"/>
  <c r="R6" i="1684"/>
  <c r="L6" i="1684"/>
  <c r="D6" i="1684"/>
  <c r="R5" i="1684"/>
  <c r="R4" i="1684"/>
  <c r="R52" i="1683"/>
  <c r="R51" i="1683"/>
  <c r="D50" i="1683"/>
  <c r="R49" i="1683"/>
  <c r="D49" i="1683"/>
  <c r="R48" i="1683"/>
  <c r="D48" i="1683"/>
  <c r="D46" i="1683"/>
  <c r="D45" i="1683"/>
  <c r="R44" i="1683"/>
  <c r="D44" i="1683"/>
  <c r="R42" i="1683"/>
  <c r="D42" i="1683"/>
  <c r="R41" i="1683"/>
  <c r="L7" i="1683" s="1"/>
  <c r="D7" i="1683" s="1"/>
  <c r="D41" i="1683"/>
  <c r="R40" i="1683"/>
  <c r="D40" i="1683"/>
  <c r="R39" i="1683"/>
  <c r="H39" i="1683"/>
  <c r="D39" i="1683"/>
  <c r="R38" i="1683"/>
  <c r="H38" i="1683"/>
  <c r="D38" i="1683"/>
  <c r="R37" i="1683"/>
  <c r="H37" i="1683"/>
  <c r="D37" i="1683"/>
  <c r="R36" i="1683"/>
  <c r="H36" i="1683"/>
  <c r="D36" i="1683"/>
  <c r="R35" i="1683"/>
  <c r="H35" i="1683"/>
  <c r="D35" i="1683"/>
  <c r="R34" i="1683"/>
  <c r="L12" i="1683" s="1"/>
  <c r="H34" i="1683"/>
  <c r="D34" i="1683"/>
  <c r="R33" i="1683"/>
  <c r="R32" i="1683"/>
  <c r="R31" i="1683"/>
  <c r="R30" i="1683"/>
  <c r="R29" i="1683"/>
  <c r="R28" i="1683"/>
  <c r="D28" i="1683"/>
  <c r="R27" i="1683"/>
  <c r="D27" i="1683"/>
  <c r="R26" i="1683"/>
  <c r="L26" i="1683"/>
  <c r="D26" i="1683"/>
  <c r="R25" i="1683"/>
  <c r="L25" i="1683"/>
  <c r="D25" i="1683"/>
  <c r="R24" i="1683"/>
  <c r="L24" i="1683"/>
  <c r="D24" i="1683"/>
  <c r="R23" i="1683"/>
  <c r="D23" i="1683"/>
  <c r="R22" i="1683"/>
  <c r="D22" i="1683"/>
  <c r="R21" i="1683"/>
  <c r="D21" i="1683"/>
  <c r="R20" i="1683"/>
  <c r="L20" i="1683"/>
  <c r="D20" i="1683"/>
  <c r="R19" i="1683"/>
  <c r="D19" i="1683"/>
  <c r="R18" i="1683"/>
  <c r="D18" i="1683"/>
  <c r="R17" i="1683"/>
  <c r="L17" i="1683"/>
  <c r="D17" i="1683"/>
  <c r="R16" i="1683"/>
  <c r="L16" i="1683"/>
  <c r="D16" i="1683" s="1"/>
  <c r="R15" i="1683"/>
  <c r="D15" i="1683"/>
  <c r="R14" i="1683"/>
  <c r="D14" i="1683"/>
  <c r="R13" i="1683"/>
  <c r="D13" i="1683"/>
  <c r="R12" i="1683"/>
  <c r="R11" i="1683"/>
  <c r="L11" i="1683"/>
  <c r="D11" i="1683" s="1"/>
  <c r="L10" i="1683"/>
  <c r="D10" i="1683"/>
  <c r="L9" i="1683"/>
  <c r="D9" i="1683" s="1"/>
  <c r="L8" i="1683"/>
  <c r="D8" i="1683"/>
  <c r="R6" i="1683"/>
  <c r="L6" i="1683"/>
  <c r="D6" i="1683" s="1"/>
  <c r="R5" i="1683"/>
  <c r="R4" i="1683"/>
  <c r="R52" i="1682"/>
  <c r="R51" i="1682"/>
  <c r="D50" i="1682"/>
  <c r="R49" i="1682"/>
  <c r="G49" i="1682"/>
  <c r="D49" i="1682"/>
  <c r="R48" i="1682"/>
  <c r="D48" i="1682"/>
  <c r="D46" i="1682"/>
  <c r="D45" i="1682"/>
  <c r="D44" i="1682"/>
  <c r="R42" i="1682"/>
  <c r="L6" i="1682" s="1"/>
  <c r="D6" i="1682" s="1"/>
  <c r="D42" i="1682"/>
  <c r="R41" i="1682"/>
  <c r="L7" i="1682" s="1"/>
  <c r="D7" i="1682" s="1"/>
  <c r="D41" i="1682"/>
  <c r="R40" i="1682"/>
  <c r="D40" i="1682"/>
  <c r="R39" i="1682"/>
  <c r="D39" i="1682"/>
  <c r="R38" i="1682"/>
  <c r="L9" i="1682" s="1"/>
  <c r="D9" i="1682" s="1"/>
  <c r="D38" i="1682"/>
  <c r="R37" i="1682"/>
  <c r="D37" i="1682"/>
  <c r="R36" i="1682"/>
  <c r="L10" i="1682" s="1"/>
  <c r="D10" i="1682" s="1"/>
  <c r="D36" i="1682"/>
  <c r="R35" i="1682"/>
  <c r="D35" i="1682"/>
  <c r="R34" i="1682"/>
  <c r="L12" i="1682" s="1"/>
  <c r="D12" i="1682" s="1"/>
  <c r="D34" i="1682"/>
  <c r="D54" i="1682" s="1"/>
  <c r="H14" i="1682" s="1"/>
  <c r="R33" i="1682"/>
  <c r="L23" i="1682" s="1"/>
  <c r="D23" i="1682" s="1"/>
  <c r="R32" i="1682"/>
  <c r="R31" i="1682"/>
  <c r="R30" i="1682"/>
  <c r="R29" i="1682"/>
  <c r="R28" i="1682"/>
  <c r="D28" i="1682"/>
  <c r="R27" i="1682"/>
  <c r="D27" i="1682"/>
  <c r="R26" i="1682"/>
  <c r="L26" i="1682"/>
  <c r="D26" i="1682"/>
  <c r="R25" i="1682"/>
  <c r="L25" i="1682"/>
  <c r="D25" i="1682"/>
  <c r="R24" i="1682"/>
  <c r="D24" i="1682"/>
  <c r="R23" i="1682"/>
  <c r="R22" i="1682"/>
  <c r="L22" i="1682"/>
  <c r="D22" i="1682"/>
  <c r="R21" i="1682"/>
  <c r="D21" i="1682"/>
  <c r="R20" i="1682"/>
  <c r="L20" i="1682"/>
  <c r="D20" i="1682"/>
  <c r="R19" i="1682"/>
  <c r="L19" i="1682"/>
  <c r="D19" i="1682"/>
  <c r="R18" i="1682"/>
  <c r="D18" i="1682"/>
  <c r="R17" i="1682"/>
  <c r="D17" i="1682"/>
  <c r="R16" i="1682"/>
  <c r="L16" i="1682"/>
  <c r="D16" i="1682" s="1"/>
  <c r="S15" i="1682"/>
  <c r="R15" i="1682"/>
  <c r="D15" i="1682"/>
  <c r="S14" i="1682"/>
  <c r="R14" i="1682"/>
  <c r="D14" i="1682"/>
  <c r="R13" i="1682"/>
  <c r="D13" i="1682"/>
  <c r="R12" i="1682"/>
  <c r="R11" i="1682"/>
  <c r="L11" i="1682"/>
  <c r="D11" i="1682" s="1"/>
  <c r="L8" i="1682"/>
  <c r="D8" i="1682"/>
  <c r="R6" i="1682"/>
  <c r="R5" i="1682"/>
  <c r="R4" i="1682"/>
  <c r="C20" i="1678"/>
  <c r="C12" i="1678"/>
  <c r="G51" i="1696" l="1"/>
  <c r="H15" i="1697"/>
  <c r="H29" i="1697" s="1"/>
  <c r="G51" i="1697" s="1"/>
  <c r="H15" i="1695"/>
  <c r="H29" i="1695" s="1"/>
  <c r="G51" i="1695" s="1"/>
  <c r="H15" i="1693"/>
  <c r="H29" i="1693" s="1"/>
  <c r="G51" i="1693" s="1"/>
  <c r="H15" i="1692"/>
  <c r="H29" i="1692" s="1"/>
  <c r="G51" i="1692" s="1"/>
  <c r="H15" i="1691"/>
  <c r="H29" i="1691" s="1"/>
  <c r="G51" i="1691" s="1"/>
  <c r="H15" i="1689"/>
  <c r="H29" i="1689" s="1"/>
  <c r="G51" i="1689" s="1"/>
  <c r="H15" i="1688"/>
  <c r="H29" i="1688" s="1"/>
  <c r="G51" i="1688" s="1"/>
  <c r="G49" i="1683"/>
  <c r="D54" i="1685"/>
  <c r="H14" i="1685" s="1"/>
  <c r="D54" i="1684"/>
  <c r="H14" i="1684" s="1"/>
  <c r="D54" i="1683"/>
  <c r="H14" i="1683" s="1"/>
  <c r="D29" i="1685"/>
  <c r="H13" i="1685" s="1"/>
  <c r="D29" i="1684"/>
  <c r="H13" i="1684" s="1"/>
  <c r="D12" i="1683"/>
  <c r="D29" i="1683" s="1"/>
  <c r="H13" i="1683" s="1"/>
  <c r="D29" i="1682"/>
  <c r="H13" i="1682" s="1"/>
  <c r="H15" i="1682" s="1"/>
  <c r="H29" i="1682" s="1"/>
  <c r="G51" i="1682"/>
  <c r="H16" i="1676"/>
  <c r="H15" i="1685" l="1"/>
  <c r="H29" i="1685" s="1"/>
  <c r="G51" i="1685" s="1"/>
  <c r="H15" i="1684"/>
  <c r="H29" i="1684" s="1"/>
  <c r="G51" i="1684" s="1"/>
  <c r="H15" i="1683"/>
  <c r="H29" i="1683" s="1"/>
  <c r="G51" i="1683" s="1"/>
  <c r="L28" i="1676"/>
  <c r="L25" i="1671" l="1"/>
  <c r="L25" i="1675"/>
  <c r="C12" i="1672" l="1"/>
  <c r="C12" i="1671"/>
  <c r="H16" i="1672"/>
  <c r="H16" i="1668" l="1"/>
  <c r="H16" i="1666"/>
  <c r="C12" i="1668" l="1"/>
  <c r="C12" i="1667"/>
  <c r="L28" i="1666"/>
  <c r="H29" i="1681" l="1"/>
  <c r="R52" i="1681"/>
  <c r="R51" i="1681"/>
  <c r="D50" i="1681"/>
  <c r="R49" i="1681"/>
  <c r="D49" i="1681"/>
  <c r="R48" i="1681"/>
  <c r="D48" i="1681"/>
  <c r="D46" i="1681"/>
  <c r="D45" i="1681"/>
  <c r="R44" i="1681"/>
  <c r="L28" i="1681" s="1"/>
  <c r="D28" i="1681" s="1"/>
  <c r="D44" i="1681"/>
  <c r="R42" i="1681"/>
  <c r="D42" i="1681"/>
  <c r="R41" i="1681"/>
  <c r="L7" i="1681" s="1"/>
  <c r="D7" i="1681" s="1"/>
  <c r="D41" i="1681"/>
  <c r="D54" i="1681" s="1"/>
  <c r="H14" i="1681" s="1"/>
  <c r="R40" i="1681"/>
  <c r="D40" i="1681"/>
  <c r="R39" i="1681"/>
  <c r="H39" i="1681"/>
  <c r="D39" i="1681"/>
  <c r="R38" i="1681"/>
  <c r="H38" i="1681"/>
  <c r="D38" i="1681"/>
  <c r="R37" i="1681"/>
  <c r="H37" i="1681"/>
  <c r="D37" i="1681"/>
  <c r="R36" i="1681"/>
  <c r="H36" i="1681"/>
  <c r="D36" i="1681"/>
  <c r="R35" i="1681"/>
  <c r="L19" i="1681" s="1"/>
  <c r="D19" i="1681" s="1"/>
  <c r="H35" i="1681"/>
  <c r="D35" i="1681"/>
  <c r="R34" i="1681"/>
  <c r="H34" i="1681"/>
  <c r="G49" i="1681" s="1"/>
  <c r="D34" i="1681"/>
  <c r="R33" i="1681"/>
  <c r="R32" i="1681"/>
  <c r="R31" i="1681"/>
  <c r="R30" i="1681"/>
  <c r="R29" i="1681"/>
  <c r="R28" i="1681"/>
  <c r="R27" i="1681"/>
  <c r="D27" i="1681"/>
  <c r="R26" i="1681"/>
  <c r="L26" i="1681"/>
  <c r="D26" i="1681"/>
  <c r="R25" i="1681"/>
  <c r="L25" i="1681"/>
  <c r="D25" i="1681" s="1"/>
  <c r="R24" i="1681"/>
  <c r="L24" i="1681"/>
  <c r="D24" i="1681"/>
  <c r="R23" i="1681"/>
  <c r="L23" i="1681"/>
  <c r="D23" i="1681"/>
  <c r="R22" i="1681"/>
  <c r="L22" i="1681"/>
  <c r="D22" i="1681"/>
  <c r="R21" i="1681"/>
  <c r="L17" i="1681" s="1"/>
  <c r="D17" i="1681" s="1"/>
  <c r="D21" i="1681"/>
  <c r="R20" i="1681"/>
  <c r="L20" i="1681"/>
  <c r="D20" i="1681"/>
  <c r="R19" i="1681"/>
  <c r="R18" i="1681"/>
  <c r="D18" i="1681"/>
  <c r="R17" i="1681"/>
  <c r="R16" i="1681"/>
  <c r="L16" i="1681"/>
  <c r="D16" i="1681"/>
  <c r="R15" i="1681"/>
  <c r="D15" i="1681"/>
  <c r="R14" i="1681"/>
  <c r="D14" i="1681"/>
  <c r="R13" i="1681"/>
  <c r="D13" i="1681"/>
  <c r="R12" i="1681"/>
  <c r="L12" i="1681"/>
  <c r="D12" i="1681"/>
  <c r="R11" i="1681"/>
  <c r="L11" i="1681"/>
  <c r="D11" i="1681"/>
  <c r="L10" i="1681"/>
  <c r="D10" i="1681" s="1"/>
  <c r="L9" i="1681"/>
  <c r="D9" i="1681"/>
  <c r="L8" i="1681"/>
  <c r="D8" i="1681" s="1"/>
  <c r="R6" i="1681"/>
  <c r="L6" i="1681"/>
  <c r="D6" i="1681"/>
  <c r="R5" i="1681"/>
  <c r="R4" i="1681"/>
  <c r="D29" i="1681" l="1"/>
  <c r="H13" i="1681" s="1"/>
  <c r="H15" i="1681" s="1"/>
  <c r="G51" i="1681" s="1"/>
  <c r="L28" i="1663"/>
  <c r="H16" i="1663" l="1"/>
  <c r="H16" i="1662"/>
  <c r="C12" i="1664"/>
  <c r="C21" i="1664"/>
  <c r="L28" i="1662"/>
  <c r="L23" i="1662"/>
  <c r="L25" i="1662"/>
  <c r="C6" i="1660" l="1"/>
  <c r="C21" i="1659" l="1"/>
  <c r="L23" i="1658"/>
  <c r="L25" i="1658"/>
  <c r="H16" i="1660"/>
  <c r="H16" i="1659"/>
  <c r="H38" i="1659"/>
  <c r="H39" i="1659"/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L28" i="1680" s="1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R34" i="1680"/>
  <c r="L12" i="1680" s="1"/>
  <c r="D12" i="1680" s="1"/>
  <c r="H34" i="1680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R35" i="1679"/>
  <c r="L19" i="1679" s="1"/>
  <c r="D19" i="1679" s="1"/>
  <c r="H35" i="1679"/>
  <c r="D35" i="1679"/>
  <c r="R34" i="1679"/>
  <c r="H34" i="1679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D34" i="1678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D34" i="1676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L28" i="1675" s="1"/>
  <c r="D28" i="1675" s="1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D34" i="1675"/>
  <c r="R33" i="1675"/>
  <c r="R32" i="1675"/>
  <c r="R31" i="1675"/>
  <c r="R30" i="1675"/>
  <c r="R29" i="1675"/>
  <c r="R28" i="1675"/>
  <c r="L16" i="1675" s="1"/>
  <c r="D16" i="1675" s="1"/>
  <c r="R27" i="1675"/>
  <c r="D27" i="1675"/>
  <c r="R26" i="1675"/>
  <c r="L26" i="1675"/>
  <c r="D26" i="1675"/>
  <c r="R25" i="1675"/>
  <c r="D25" i="1675"/>
  <c r="R24" i="1675"/>
  <c r="L24" i="1675"/>
  <c r="D24" i="1675"/>
  <c r="R23" i="1675"/>
  <c r="L23" i="1675"/>
  <c r="D23" i="1675"/>
  <c r="R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L28" i="1674" s="1"/>
  <c r="D44" i="1674"/>
  <c r="R42" i="1674"/>
  <c r="L6" i="1674" s="1"/>
  <c r="D6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D34" i="1674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L28" i="1672" s="1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R35" i="1672"/>
  <c r="L19" i="1672" s="1"/>
  <c r="D19" i="1672" s="1"/>
  <c r="H35" i="1672"/>
  <c r="D35" i="1672"/>
  <c r="R34" i="1672"/>
  <c r="H34" i="1672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R35" i="1671"/>
  <c r="L19" i="1671" s="1"/>
  <c r="D19" i="1671" s="1"/>
  <c r="H35" i="1671"/>
  <c r="D35" i="1671"/>
  <c r="R34" i="1671"/>
  <c r="H34" i="167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D36" i="1668"/>
  <c r="R35" i="1668"/>
  <c r="H35" i="1668"/>
  <c r="D35" i="1668"/>
  <c r="R34" i="1668"/>
  <c r="H34" i="1668"/>
  <c r="D34" i="1668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D34" i="1667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G49" i="1666" s="1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D34" i="1663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D34" i="1662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D34" i="1660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42" i="1659"/>
  <c r="R41" i="1659"/>
  <c r="D41" i="1659"/>
  <c r="R40" i="1659"/>
  <c r="D40" i="1659"/>
  <c r="R39" i="1659"/>
  <c r="D39" i="1659"/>
  <c r="R38" i="1659"/>
  <c r="L9" i="1659" s="1"/>
  <c r="D9" i="1659" s="1"/>
  <c r="D38" i="1659"/>
  <c r="R37" i="1659"/>
  <c r="H37" i="1659"/>
  <c r="D37" i="1659"/>
  <c r="R36" i="1659"/>
  <c r="H36" i="1659"/>
  <c r="D36" i="1659"/>
  <c r="R35" i="1659"/>
  <c r="H35" i="1659"/>
  <c r="D35" i="1659"/>
  <c r="R34" i="1659"/>
  <c r="H34" i="1659"/>
  <c r="D34" i="1659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D34" i="1658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D25" i="1658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G49" i="1680" l="1"/>
  <c r="G49" i="1679"/>
  <c r="G49" i="1678"/>
  <c r="D54" i="1680"/>
  <c r="H14" i="1680" s="1"/>
  <c r="D54" i="1679"/>
  <c r="H14" i="1679" s="1"/>
  <c r="D54" i="1678"/>
  <c r="H14" i="1678" s="1"/>
  <c r="G49" i="1676"/>
  <c r="G49" i="1675"/>
  <c r="G49" i="1674"/>
  <c r="D54" i="1676"/>
  <c r="H14" i="1676" s="1"/>
  <c r="D54" i="1675"/>
  <c r="H14" i="1675" s="1"/>
  <c r="D54" i="1674"/>
  <c r="H14" i="1674" s="1"/>
  <c r="D29" i="1674"/>
  <c r="H13" i="1674" s="1"/>
  <c r="D54" i="1672"/>
  <c r="H14" i="1672" s="1"/>
  <c r="D54" i="1671"/>
  <c r="H14" i="1671" s="1"/>
  <c r="D29" i="1671"/>
  <c r="H13" i="1671" s="1"/>
  <c r="G49" i="1672"/>
  <c r="G49" i="1671"/>
  <c r="G49" i="1670"/>
  <c r="G49" i="1668"/>
  <c r="G49" i="1667"/>
  <c r="D54" i="1668"/>
  <c r="H14" i="1668" s="1"/>
  <c r="D54" i="1667"/>
  <c r="H14" i="1667" s="1"/>
  <c r="D54" i="1666"/>
  <c r="H14" i="1666" s="1"/>
  <c r="G49" i="1664"/>
  <c r="G49" i="1663"/>
  <c r="G49" i="1662"/>
  <c r="D54" i="1664"/>
  <c r="H14" i="1664" s="1"/>
  <c r="D54" i="1663"/>
  <c r="H14" i="1663" s="1"/>
  <c r="D29" i="1663"/>
  <c r="H13" i="1663" s="1"/>
  <c r="D54" i="1662"/>
  <c r="H14" i="1662" s="1"/>
  <c r="D54" i="1660"/>
  <c r="H14" i="1660" s="1"/>
  <c r="D54" i="1659"/>
  <c r="H14" i="1659" s="1"/>
  <c r="D29" i="1659"/>
  <c r="H13" i="1659" s="1"/>
  <c r="D54" i="1658"/>
  <c r="H14" i="1658" s="1"/>
  <c r="G49" i="1660"/>
  <c r="G49" i="1659"/>
  <c r="G49" i="1658"/>
  <c r="G49" i="1656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D29" i="1679"/>
  <c r="H13" i="1679" s="1"/>
  <c r="D29" i="1678"/>
  <c r="H13" i="1678" s="1"/>
  <c r="D29" i="1677"/>
  <c r="H13" i="1677" s="1"/>
  <c r="H15" i="1677" s="1"/>
  <c r="H29" i="1677" s="1"/>
  <c r="G51" i="1677" s="1"/>
  <c r="D29" i="1676"/>
  <c r="H13" i="1676" s="1"/>
  <c r="H15" i="1676" s="1"/>
  <c r="H29" i="1676" s="1"/>
  <c r="D29" i="1675"/>
  <c r="H13" i="1675" s="1"/>
  <c r="G51" i="1673"/>
  <c r="D29" i="1672"/>
  <c r="H13" i="1672" s="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D29" i="1667"/>
  <c r="H13" i="1667" s="1"/>
  <c r="D29" i="1666"/>
  <c r="H13" i="1666" s="1"/>
  <c r="D29" i="1665"/>
  <c r="H13" i="1665" s="1"/>
  <c r="H15" i="1665" s="1"/>
  <c r="H29" i="1665" s="1"/>
  <c r="G51" i="1665" s="1"/>
  <c r="D29" i="1664"/>
  <c r="H13" i="1664" s="1"/>
  <c r="D29" i="1662"/>
  <c r="H13" i="1662" s="1"/>
  <c r="D29" i="1661"/>
  <c r="H13" i="1661" s="1"/>
  <c r="H15" i="1661" s="1"/>
  <c r="H29" i="1661" s="1"/>
  <c r="G51" i="1661" s="1"/>
  <c r="D29" i="1660"/>
  <c r="H13" i="1660" s="1"/>
  <c r="D29" i="1658"/>
  <c r="H13" i="1658" s="1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H15" i="1680" l="1"/>
  <c r="H29" i="1680" s="1"/>
  <c r="G51" i="1680" s="1"/>
  <c r="H15" i="1679"/>
  <c r="H29" i="1679" s="1"/>
  <c r="G51" i="1679" s="1"/>
  <c r="H15" i="1678"/>
  <c r="H29" i="1678" s="1"/>
  <c r="G51" i="1678" s="1"/>
  <c r="G51" i="1676"/>
  <c r="H15" i="1675"/>
  <c r="H29" i="1675" s="1"/>
  <c r="G51" i="1675" s="1"/>
  <c r="H15" i="1674"/>
  <c r="H29" i="1674" s="1"/>
  <c r="G51" i="1674" s="1"/>
  <c r="H15" i="1672"/>
  <c r="H29" i="1672" s="1"/>
  <c r="G51" i="1672" s="1"/>
  <c r="H15" i="1671"/>
  <c r="H29" i="1671" s="1"/>
  <c r="G51" i="1671" s="1"/>
  <c r="H15" i="1668"/>
  <c r="H29" i="1668" s="1"/>
  <c r="G51" i="1668" s="1"/>
  <c r="H15" i="1667"/>
  <c r="H29" i="1667" s="1"/>
  <c r="G51" i="1667" s="1"/>
  <c r="H15" i="1666"/>
  <c r="H29" i="1666" s="1"/>
  <c r="G51" i="1666" s="1"/>
  <c r="H15" i="1664"/>
  <c r="H29" i="1664" s="1"/>
  <c r="G51" i="1664" s="1"/>
  <c r="H15" i="1663"/>
  <c r="H29" i="1663" s="1"/>
  <c r="G51" i="1663" s="1"/>
  <c r="H15" i="1662"/>
  <c r="H29" i="1662" s="1"/>
  <c r="G51" i="1662" s="1"/>
  <c r="H15" i="1660"/>
  <c r="H29" i="1660" s="1"/>
  <c r="G51" i="1660" s="1"/>
  <c r="H15" i="1659"/>
  <c r="H29" i="1659" s="1"/>
  <c r="G51" i="1659" s="1"/>
  <c r="H15" i="1658"/>
  <c r="H29" i="1658" s="1"/>
  <c r="G51" i="1658" s="1"/>
  <c r="H15" i="1656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<sst xmlns="http://schemas.openxmlformats.org/spreadsheetml/2006/main" count="8805" uniqueCount="208">
  <si>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</si>
  <si>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</si>
  <si>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</si>
  <si>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</si>
  <si>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</si>
  <si>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</si>
  <si>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</si>
  <si>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</si>
  <si>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</si>
  <si>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</si>
  <si>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</si>
  <si>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</si>
  <si>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</si>
  <si>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</si>
  <si>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</si>
  <si>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</si>
  <si>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</si>
  <si>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</si>
  <si>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</si>
  <si>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</si>
  <si>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</si>
  <si>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</si>
  <si>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</si>
  <si>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</si>
  <si>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</si>
  <si>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</si>
  <si>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</si>
  <si>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</si>
  <si>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</si>
  <si>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</si>
  <si>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</si>
  <si>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</si>
  <si>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</si>
  <si>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</si>
  <si>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</si>
  <si>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</si>
  <si>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</si>
  <si>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</si>
  <si>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</si>
  <si>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</si>
  <si>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</si>
  <si>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</si>
  <si>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</si>
  <si>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</si>
  <si>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</si>
  <si>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</si>
  <si>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</si>
  <si>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</si>
  <si>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</si>
  <si>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</si>
  <si>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</si>
  <si>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</si>
  <si>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</si>
  <si>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</si>
  <si>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</si>
  <si>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</si>
  <si>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</si>
  <si>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</si>
  <si>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</si>
  <si>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</si>
  <si>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</si>
  <si>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</si>
  <si>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</si>
  <si>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</si>
  <si>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</si>
  <si>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</si>
  <si>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</si>
  <si>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</si>
  <si>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</si>
  <si>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</si>
  <si>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</si>
  <si>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</si>
  <si>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</si>
  <si>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</si>
  <si>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</si>
  <si>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</si>
  <si>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</si>
  <si>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</si>
  <si>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</si>
  <si>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</si>
  <si>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</si>
  <si>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</si>
  <si>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</si>
  <si>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</si>
  <si>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</si>
  <si>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</si>
  <si>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</si>
  <si>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</si>
  <si>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</si>
  <si>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</si>
  <si>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</si>
  <si>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</si>
  <si>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</si>
  <si>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</si>
  <si>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</si>
  <si>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</si>
  <si>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</si>
  <si>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</si>
  <si>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</si>
  <si>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</si>
  <si>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</si>
  <si>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</si>
  <si>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</si>
  <si>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</si>
  <si>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</si>
  <si>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</si>
  <si>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</si>
  <si>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</si>
  <si>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</si>
  <si>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</si>
  <si>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</si>
  <si>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</si>
  <si>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</si>
  <si>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</si>
  <si>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</si>
  <si>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</si>
  <si>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</si>
  <si>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</si>
  <si>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</si>
  <si>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</si>
  <si>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</si>
  <si>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</si>
  <si>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</si>
  <si>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</si>
  <si>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</si>
  <si>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</si>
  <si>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</si>
  <si>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</si>
  <si>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</si>
  <si>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</si>
  <si>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</si>
  <si>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</si>
  <si>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</si>
  <si>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</si>
  <si>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</si>
  <si>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</si>
  <si>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</si>
  <si>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</si>
  <si>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</si>
  <si>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</si>
  <si>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</si>
  <si>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</si>
  <si>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</si>
  <si>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</si>
  <si>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</si>
  <si>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</si>
  <si>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</si>
  <si>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</si>
  <si>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</si>
  <si>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</si>
  <si>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</si>
  <si>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</si>
  <si>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</si>
  <si>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</si>
  <si>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</si>
  <si>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</si>
  <si>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</si>
  <si>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</si>
  <si>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</si>
  <si>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</si>
  <si>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</si>
  <si>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</si>
  <si>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</si>
  <si>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</si>
  <si>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</si>
  <si>
    <t>143397</t>
  </si>
  <si>
    <t>JMCC</t>
  </si>
  <si>
    <t>VILMA TAGULOB</t>
  </si>
  <si>
    <t>SMLB BOTT.</t>
  </si>
  <si>
    <t>FB BOTT.</t>
  </si>
  <si>
    <t>144962</t>
  </si>
  <si>
    <t>140911</t>
  </si>
  <si>
    <t>47909</t>
  </si>
  <si>
    <t>42941</t>
  </si>
  <si>
    <t>GRACE CHIONG</t>
  </si>
  <si>
    <t>JEROME ENCLONAR</t>
  </si>
  <si>
    <t>PORMAN NONOY</t>
  </si>
  <si>
    <t xml:space="preserve">SHORT / OVER </t>
  </si>
  <si>
    <t>LOPEZ, GINA GRACE A.</t>
  </si>
  <si>
    <t>1B</t>
  </si>
  <si>
    <t xml:space="preserve">                             GINA GRACE A. LOPEZ</t>
  </si>
  <si>
    <t>PSBC</t>
  </si>
  <si>
    <t>2090009399</t>
  </si>
  <si>
    <t>METROBANK</t>
  </si>
  <si>
    <t>3593251</t>
  </si>
  <si>
    <t>42944</t>
  </si>
  <si>
    <t>EASTCOEST</t>
  </si>
  <si>
    <t>81341</t>
  </si>
  <si>
    <t>140922</t>
  </si>
  <si>
    <t>2000005718</t>
  </si>
  <si>
    <t>2000007209</t>
  </si>
  <si>
    <t>1st  Valley Bank</t>
  </si>
  <si>
    <t>4820789</t>
  </si>
  <si>
    <t>42947</t>
  </si>
  <si>
    <t>PPC/RHC/SMLC</t>
  </si>
  <si>
    <t>145716</t>
  </si>
  <si>
    <t>146830</t>
  </si>
  <si>
    <t>2000007203</t>
  </si>
  <si>
    <t>135263</t>
  </si>
  <si>
    <t>47919</t>
  </si>
  <si>
    <t>200002719</t>
  </si>
  <si>
    <t>143411</t>
  </si>
  <si>
    <t>145002</t>
  </si>
  <si>
    <t>SDC/PAMC/CBC</t>
  </si>
  <si>
    <t>FBAC/FBLC/FBLYC</t>
  </si>
  <si>
    <t>PPG</t>
  </si>
  <si>
    <t>BOSS RIE</t>
  </si>
  <si>
    <t>43585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</si>
</sst>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6" xfId="0" applyFont="1" applyBorder="1" applyAlignment="1">
      <alignment horizontal="right"/>
    </xf>
    <xf numFmtId="0" fontId="23" fillId="0" borderId="21" xfId="0" applyFont="1" applyBorder="1"/>
    <xf numFmtId="0" fontId="24" fillId="0" borderId="16" xfId="0" applyFont="1" applyBorder="1"/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647701</xdr:colOff>
      <xdr:row>53</xdr:row>
      <xdr:rowOff>23131</xdr:rowOff>
    </xdr:from>
    <xdr:to>
      <xdr:col>3</xdr:col>
      <xdr:colOff>514351</xdr:colOff>
      <xdr:row>59</xdr:row>
      <xdr:rowOff>123824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BAA89C-DFEC-4C98-BED9-5E5567367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1" y="10386331"/>
          <a:ext cx="1485900" cy="124369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C133EB-54DD-4738-8E4B-3FF4182EC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17F768-3464-46CC-8A1E-95D0CDC88F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4F7F86-D206-4C37-97BF-CC71B0941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367E31-1BE1-43E0-80FF-F8C1C8BE7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2A158-035F-4FBF-9948-75F8AA9BA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1AF431-7176-40E9-A605-8741F145B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19EBB3-162D-4402-8CEC-849EE7DE1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8EE3F9-F1A0-4EC1-8B29-34094E6F7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1147CA-7BA0-4FB0-B421-E87C06147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79066-A9E5-46E8-8A54-84EDB6CAC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0DB6B-8FDC-468A-AD44-189665F9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CD7F49-724B-4CA2-815F-E7990AA21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5C9621-A135-409D-989A-C64FCC7D2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0A89F-7122-48BA-BB51-ECB44B9729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5EEBDE-B0AB-454F-B57D-4BD0ADF7F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86E68A-D29A-4DED-9ED1-F744A48CB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FB3CFB-5D37-4517-950B-D4B033CFB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08AD8-8D01-4AF0-A726-7A3072873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B72A3F-127E-415E-A2F6-94AD871CD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7D4E91-A7FB-4D71-B23F-201AA46BE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0D86A-D4B1-4A86-A71F-53366D1FA2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F346A2-436F-4DCB-BCD2-3C1D067D9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AE52B6-9019-4EF5-92A8-69C20C5D4A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7DC988-4E1E-4595-97C0-A9501CAE1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2" t="s">
        <v>1</v>
      </c>
      <c r="O1" s="212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3" t="s">
        <v>7</v>
      </c>
      <c r="B4" s="164"/>
      <c r="C4" s="164"/>
      <c r="D4" s="165"/>
      <c r="F4" s="213" t="s">
        <v>8</v>
      </c>
      <c r="G4" s="215"/>
      <c r="H4" s="217" t="s">
        <v>9</v>
      </c>
      <c r="I4" s="219"/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223" t="s">
        <v>16</v>
      </c>
      <c r="G6" s="225"/>
      <c r="H6" s="226"/>
      <c r="I6" s="226"/>
      <c r="J6" s="2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231" t="s">
        <v>21</v>
      </c>
      <c r="G8" s="232"/>
      <c r="H8" s="233"/>
      <c r="I8" s="233"/>
      <c r="J8" s="2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223" t="s">
        <v>26</v>
      </c>
      <c r="G10" s="238"/>
      <c r="H10" s="239"/>
      <c r="I10" s="239"/>
      <c r="J10" s="240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202" t="s">
        <v>39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207" t="s">
        <v>40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50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88"/>
      <c r="G28" s="61"/>
      <c r="H28" s="196"/>
      <c r="I28" s="197"/>
      <c r="J28" s="19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55</v>
      </c>
      <c r="G29" s="178"/>
      <c r="H29" s="138">
        <f>H15-H16-H17-H18-H19-H20-H22-H23-H24+H26+H27</f>
        <v>0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0"/>
      <c r="I34" s="161"/>
      <c r="J34" s="16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/>
      <c r="H35" s="160"/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/>
      <c r="I36" s="161"/>
      <c r="J36" s="16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0"/>
      <c r="I37" s="161"/>
      <c r="J37" s="16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68</v>
      </c>
      <c r="C38" s="54"/>
      <c r="D38" s="12">
        <f>C38*84</f>
        <v>0</v>
      </c>
      <c r="F38" s="30">
        <v>50</v>
      </c>
      <c r="G38" s="39"/>
      <c r="H38" s="160"/>
      <c r="I38" s="161"/>
      <c r="J38" s="16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70</v>
      </c>
      <c r="C39" s="52"/>
      <c r="D39" s="31">
        <f>C39*4.5</f>
        <v>0</v>
      </c>
      <c r="F39" s="12">
        <v>20</v>
      </c>
      <c r="G39" s="37"/>
      <c r="H39" s="160"/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/>
      <c r="H42" s="161"/>
      <c r="I42" s="161"/>
      <c r="J42" s="16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85" t="s">
        <v>83</v>
      </c>
      <c r="H43" s="152" t="s">
        <v>13</v>
      </c>
      <c r="I43" s="153"/>
      <c r="J43" s="154"/>
      <c r="K43" s="21"/>
      <c r="P43" s="4"/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/>
      <c r="G44" s="76"/>
      <c r="H44" s="155"/>
      <c r="I44" s="155"/>
      <c r="J44" s="155"/>
      <c r="K44" s="21"/>
      <c r="P44" s="4"/>
      <c r="Q44" s="4"/>
      <c r="R44" s="5"/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/>
      <c r="D49" s="12">
        <f>C49*42</f>
        <v>0</v>
      </c>
      <c r="F49" s="136" t="s">
        <v>86</v>
      </c>
      <c r="G49" s="138">
        <f>H34+H35+H36+H37+H38+H39+H40+H41+G42+H44+H45+H46</f>
        <v>0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/>
      <c r="D50" s="12">
        <f>C50*1.5</f>
        <v>0</v>
      </c>
      <c r="F50" s="137"/>
      <c r="G50" s="141"/>
      <c r="H50" s="142"/>
      <c r="I50" s="142"/>
      <c r="J50" s="143"/>
      <c r="P50" s="4"/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128</v>
      </c>
      <c r="G51" s="146">
        <f>G49-H29</f>
        <v>0</v>
      </c>
      <c r="H51" s="147"/>
      <c r="I51" s="147"/>
      <c r="J51" s="1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0</v>
      </c>
      <c r="F54" s="21"/>
      <c r="J54" s="34"/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1</v>
      </c>
      <c r="H4" s="217" t="s">
        <v>9</v>
      </c>
      <c r="I4" s="219">
        <v>45658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84"/>
      <c r="D6" s="13">
        <f t="shared" ref="D6:D28" si="1">C6*L6</f>
        <v>0</v>
      </c>
      <c r="F6" s="223" t="s">
        <v>16</v>
      </c>
      <c r="G6" s="225" t="s">
        <v>129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84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84"/>
      <c r="D8" s="13">
        <f t="shared" si="1"/>
        <v>0</v>
      </c>
      <c r="F8" s="231" t="s">
        <v>21</v>
      </c>
      <c r="G8" s="232" t="s">
        <v>112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84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84"/>
      <c r="D10" s="13">
        <f t="shared" si="1"/>
        <v>0</v>
      </c>
      <c r="F10" s="223" t="s">
        <v>26</v>
      </c>
      <c r="G10" s="238" t="s">
        <v>130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84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84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84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84"/>
      <c r="D14" s="31">
        <f t="shared" si="1"/>
        <v>0</v>
      </c>
      <c r="F14" s="202" t="s">
        <v>39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84"/>
      <c r="D15" s="31">
        <f t="shared" si="1"/>
        <v>0</v>
      </c>
      <c r="F15" s="207" t="s">
        <v>40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137</v>
      </c>
      <c r="C17" s="84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v>1102</v>
      </c>
      <c r="Q19" s="4"/>
      <c r="R19" s="5">
        <f t="shared" si="0"/>
        <v>0</v>
      </c>
    </row>
    <row r="20" spans="1:18" ht="15.75" x14ac:dyDescent="0.25">
      <c r="A20" s="15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127</v>
      </c>
      <c r="C22" s="84"/>
      <c r="D22" s="48">
        <f t="shared" si="1"/>
        <v>0</v>
      </c>
      <c r="F22" s="77"/>
      <c r="G22" s="73"/>
      <c r="H22" s="185"/>
      <c r="I22" s="185"/>
      <c r="J22" s="18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101</v>
      </c>
      <c r="C23" s="84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121</v>
      </c>
      <c r="C24" s="84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136</v>
      </c>
      <c r="C26" s="84"/>
      <c r="D26" s="48">
        <f t="shared" si="1"/>
        <v>0</v>
      </c>
      <c r="F26" s="75"/>
      <c r="G26" s="65"/>
      <c r="H26" s="155"/>
      <c r="I26" s="155"/>
      <c r="J26" s="15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110</v>
      </c>
      <c r="C27" s="84"/>
      <c r="D27" s="44">
        <f t="shared" si="1"/>
        <v>0</v>
      </c>
      <c r="F27" s="71"/>
      <c r="G27" s="85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84"/>
      <c r="D28" s="48">
        <f t="shared" si="1"/>
        <v>0</v>
      </c>
      <c r="F28" s="88"/>
      <c r="G28" s="61"/>
      <c r="H28" s="196"/>
      <c r="I28" s="197"/>
      <c r="J28" s="19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55</v>
      </c>
      <c r="G29" s="178"/>
      <c r="H29" s="138">
        <f>H15-H16-H17-H18-H19-H20-H22-H23-H24+H26+H27+H28</f>
        <v>0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0">
        <f t="shared" ref="H34:H39" si="2">F34*G34</f>
        <v>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/>
      <c r="H35" s="160">
        <f t="shared" si="2"/>
        <v>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>
        <f t="shared" si="2"/>
        <v>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0">
        <f t="shared" si="2"/>
        <v>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/>
      <c r="D38" s="12">
        <f>C38*84</f>
        <v>0</v>
      </c>
      <c r="F38" s="30">
        <v>50</v>
      </c>
      <c r="G38" s="39"/>
      <c r="H38" s="160">
        <f t="shared" si="2"/>
        <v>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/>
      <c r="D39" s="31">
        <f>C39*4.5</f>
        <v>0</v>
      </c>
      <c r="F39" s="12">
        <v>20</v>
      </c>
      <c r="G39" s="37"/>
      <c r="H39" s="160">
        <f t="shared" si="2"/>
        <v>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/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85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/>
      <c r="G44" s="62"/>
      <c r="H44" s="155"/>
      <c r="I44" s="155"/>
      <c r="J44" s="155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/>
      <c r="D49" s="12">
        <f>C49*42</f>
        <v>0</v>
      </c>
      <c r="F49" s="136" t="s">
        <v>86</v>
      </c>
      <c r="G49" s="138">
        <f>H34+H35+H36+H37+H38+H39+H40+H41+G42+H44+H45+H46</f>
        <v>0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/>
      <c r="D50" s="12">
        <f>C50*1.5</f>
        <v>0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131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2</v>
      </c>
      <c r="H4" s="217" t="s">
        <v>9</v>
      </c>
      <c r="I4" s="219">
        <v>45658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223" t="s">
        <v>16</v>
      </c>
      <c r="G6" s="225" t="s">
        <v>140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114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115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202" t="s">
        <v>39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10"/>
      <c r="D15" s="31">
        <f t="shared" si="1"/>
        <v>0</v>
      </c>
      <c r="F15" s="207" t="s">
        <v>40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93</v>
      </c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104</v>
      </c>
      <c r="C22" s="10"/>
      <c r="D22" s="48">
        <f t="shared" si="1"/>
        <v>0</v>
      </c>
      <c r="F22" s="72"/>
      <c r="G22" s="73"/>
      <c r="H22" s="185"/>
      <c r="I22" s="185"/>
      <c r="J22" s="18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107</v>
      </c>
      <c r="C23" s="10"/>
      <c r="D23" s="48">
        <f t="shared" si="1"/>
        <v>0</v>
      </c>
      <c r="F23" s="25"/>
      <c r="G23" s="37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123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105</v>
      </c>
      <c r="C26" s="10"/>
      <c r="D26" s="48">
        <f t="shared" si="1"/>
        <v>0</v>
      </c>
      <c r="F26" s="64"/>
      <c r="G26" s="10"/>
      <c r="H26" s="190"/>
      <c r="I26" s="191"/>
      <c r="J26" s="19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109</v>
      </c>
      <c r="C27" s="10"/>
      <c r="D27" s="44">
        <f t="shared" si="1"/>
        <v>0</v>
      </c>
      <c r="F27" s="14"/>
      <c r="G27" s="14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10"/>
      <c r="D28" s="48">
        <f t="shared" si="1"/>
        <v>0</v>
      </c>
      <c r="F28" s="88"/>
      <c r="G28" s="61"/>
      <c r="H28" s="196"/>
      <c r="I28" s="197"/>
      <c r="J28" s="19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55</v>
      </c>
      <c r="G29" s="178"/>
      <c r="H29" s="138">
        <f>H15-H16-H17-H18-H19-H20-H22-H23-H24+H26+H27</f>
        <v>0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0">
        <f>F34*G34</f>
        <v>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/>
      <c r="H35" s="160">
        <f t="shared" ref="H35:H39" si="2">F35*G35</f>
        <v>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>
        <f>F36*G36</f>
        <v>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0">
        <f t="shared" si="2"/>
        <v>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/>
      <c r="D38" s="12">
        <f>C38*84</f>
        <v>0</v>
      </c>
      <c r="F38" s="30">
        <v>50</v>
      </c>
      <c r="G38" s="39"/>
      <c r="H38" s="160">
        <f t="shared" si="2"/>
        <v>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/>
      <c r="D39" s="31">
        <f>C39*4.5</f>
        <v>0</v>
      </c>
      <c r="F39" s="12">
        <v>20</v>
      </c>
      <c r="G39" s="37"/>
      <c r="H39" s="160">
        <f t="shared" si="2"/>
        <v>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/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85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/>
      <c r="G44" s="62"/>
      <c r="H44" s="155"/>
      <c r="I44" s="155"/>
      <c r="J44" s="155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86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/>
      <c r="D49" s="12">
        <f>C49*42</f>
        <v>0</v>
      </c>
      <c r="F49" s="136" t="s">
        <v>86</v>
      </c>
      <c r="G49" s="138">
        <f>H34+H35+H36+H37+H38+H39+H40+H41+G42+H44+H45+H46</f>
        <v>0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/>
      <c r="D50" s="12">
        <f>C50*1.5</f>
        <v>0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142</v>
      </c>
      <c r="G51" s="146">
        <f>G49-H29</f>
        <v>0</v>
      </c>
      <c r="H51" s="147"/>
      <c r="I51" s="147"/>
      <c r="J51" s="1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3</v>
      </c>
      <c r="H4" s="217" t="s">
        <v>9</v>
      </c>
      <c r="I4" s="219">
        <v>45658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223" t="s">
        <v>16</v>
      </c>
      <c r="G6" s="225" t="s">
        <v>111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119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134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202" t="s">
        <v>39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10"/>
      <c r="D15" s="31">
        <f t="shared" si="1"/>
        <v>0</v>
      </c>
      <c r="F15" s="207" t="s">
        <v>40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113</v>
      </c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/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104</v>
      </c>
      <c r="C22" s="10"/>
      <c r="D22" s="48">
        <f t="shared" si="1"/>
        <v>0</v>
      </c>
      <c r="F22" s="77"/>
      <c r="G22" s="73"/>
      <c r="H22" s="185"/>
      <c r="I22" s="185"/>
      <c r="J22" s="18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107</v>
      </c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101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105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109</v>
      </c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10"/>
      <c r="D28" s="48">
        <f t="shared" si="1"/>
        <v>0</v>
      </c>
      <c r="F28" s="88"/>
      <c r="G28" s="61"/>
      <c r="H28" s="196"/>
      <c r="I28" s="197"/>
      <c r="J28" s="19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55</v>
      </c>
      <c r="G29" s="178"/>
      <c r="H29" s="138">
        <f>H15-H16-H17-H18-H19-H20-H22-H23-H24+H26+H27</f>
        <v>0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0">
        <f>F34*G34</f>
        <v>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/>
      <c r="H35" s="160">
        <f>F35*G35</f>
        <v>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>
        <f t="shared" ref="H36:H39" si="2">F36*G36</f>
        <v>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0">
        <f t="shared" si="2"/>
        <v>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/>
      <c r="D38" s="12">
        <f>C38*84</f>
        <v>0</v>
      </c>
      <c r="F38" s="30">
        <v>50</v>
      </c>
      <c r="G38" s="39"/>
      <c r="H38" s="160">
        <f t="shared" si="2"/>
        <v>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/>
      <c r="D39" s="31">
        <f>C39*4.5</f>
        <v>0</v>
      </c>
      <c r="F39" s="12">
        <v>20</v>
      </c>
      <c r="G39" s="37"/>
      <c r="H39" s="160">
        <f t="shared" si="2"/>
        <v>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/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85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/>
      <c r="G44" s="76"/>
      <c r="H44" s="155"/>
      <c r="I44" s="155"/>
      <c r="J44" s="155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/>
      <c r="D49" s="12">
        <f>C49*42</f>
        <v>0</v>
      </c>
      <c r="F49" s="136" t="s">
        <v>86</v>
      </c>
      <c r="G49" s="138">
        <f>H34+H35+H36+H37+H38+H39+H40+H41+G42+H44+H45+H46</f>
        <v>0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/>
      <c r="D50" s="12">
        <f>C50*1.5</f>
        <v>0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139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2" t="s">
        <v>1</v>
      </c>
      <c r="O1" s="212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3" t="s">
        <v>7</v>
      </c>
      <c r="B4" s="164"/>
      <c r="C4" s="164"/>
      <c r="D4" s="165"/>
      <c r="F4" s="213" t="s">
        <v>8</v>
      </c>
      <c r="G4" s="215"/>
      <c r="H4" s="217" t="s">
        <v>9</v>
      </c>
      <c r="I4" s="219"/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223" t="s">
        <v>16</v>
      </c>
      <c r="G6" s="225"/>
      <c r="H6" s="226"/>
      <c r="I6" s="226"/>
      <c r="J6" s="2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231" t="s">
        <v>21</v>
      </c>
      <c r="G8" s="232"/>
      <c r="H8" s="233"/>
      <c r="I8" s="233"/>
      <c r="J8" s="2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223" t="s">
        <v>26</v>
      </c>
      <c r="G10" s="238"/>
      <c r="H10" s="239"/>
      <c r="I10" s="239"/>
      <c r="J10" s="240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202" t="s">
        <v>39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207" t="s">
        <v>40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50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93"/>
      <c r="G28" s="61"/>
      <c r="H28" s="196"/>
      <c r="I28" s="197"/>
      <c r="J28" s="19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55</v>
      </c>
      <c r="G29" s="178"/>
      <c r="H29" s="138">
        <f>H15-H16-H17-H18-H19-H20-H22-H23-H24+H26+H27</f>
        <v>0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0"/>
      <c r="I34" s="161"/>
      <c r="J34" s="16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/>
      <c r="H35" s="160"/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/>
      <c r="I36" s="161"/>
      <c r="J36" s="16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0"/>
      <c r="I37" s="161"/>
      <c r="J37" s="16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68</v>
      </c>
      <c r="C38" s="54"/>
      <c r="D38" s="12">
        <f>C38*84</f>
        <v>0</v>
      </c>
      <c r="F38" s="30">
        <v>50</v>
      </c>
      <c r="G38" s="39"/>
      <c r="H38" s="160"/>
      <c r="I38" s="161"/>
      <c r="J38" s="16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70</v>
      </c>
      <c r="C39" s="52"/>
      <c r="D39" s="31">
        <f>C39*4.5</f>
        <v>0</v>
      </c>
      <c r="F39" s="12">
        <v>20</v>
      </c>
      <c r="G39" s="37"/>
      <c r="H39" s="160"/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/>
      <c r="H42" s="161"/>
      <c r="I42" s="161"/>
      <c r="J42" s="16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90" t="s">
        <v>83</v>
      </c>
      <c r="H43" s="152" t="s">
        <v>13</v>
      </c>
      <c r="I43" s="153"/>
      <c r="J43" s="154"/>
      <c r="K43" s="21"/>
      <c r="P43" s="4"/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/>
      <c r="G44" s="76"/>
      <c r="H44" s="155"/>
      <c r="I44" s="155"/>
      <c r="J44" s="155"/>
      <c r="K44" s="21"/>
      <c r="P44" s="4"/>
      <c r="Q44" s="4"/>
      <c r="R44" s="5"/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/>
      <c r="D49" s="12">
        <f>C49*42</f>
        <v>0</v>
      </c>
      <c r="F49" s="136" t="s">
        <v>86</v>
      </c>
      <c r="G49" s="138">
        <f>H34+H35+H36+H37+H38+H39+H40+H41+G42+H44+H45+H46</f>
        <v>0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/>
      <c r="D50" s="12">
        <f>C50*1.5</f>
        <v>0</v>
      </c>
      <c r="F50" s="137"/>
      <c r="G50" s="141"/>
      <c r="H50" s="142"/>
      <c r="I50" s="142"/>
      <c r="J50" s="143"/>
      <c r="P50" s="4"/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128</v>
      </c>
      <c r="G51" s="146">
        <f>G49-H29</f>
        <v>0</v>
      </c>
      <c r="H51" s="147"/>
      <c r="I51" s="147"/>
      <c r="J51" s="1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0</v>
      </c>
      <c r="F54" s="21"/>
      <c r="J54" s="34"/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1</v>
      </c>
      <c r="H4" s="217" t="s">
        <v>9</v>
      </c>
      <c r="I4" s="219">
        <v>46024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84"/>
      <c r="D6" s="13">
        <f t="shared" ref="D6:D28" si="1">C6*L6</f>
        <v>0</v>
      </c>
      <c r="F6" s="223" t="s">
        <v>16</v>
      </c>
      <c r="G6" s="225" t="s">
        <v>129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84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84"/>
      <c r="D8" s="13">
        <f t="shared" si="1"/>
        <v>0</v>
      </c>
      <c r="F8" s="231" t="s">
        <v>21</v>
      </c>
      <c r="G8" s="232" t="s">
        <v>112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84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84"/>
      <c r="D10" s="13">
        <f t="shared" si="1"/>
        <v>0</v>
      </c>
      <c r="F10" s="223" t="s">
        <v>26</v>
      </c>
      <c r="G10" s="238" t="s">
        <v>130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84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84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84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84"/>
      <c r="D14" s="31">
        <f t="shared" si="1"/>
        <v>0</v>
      </c>
      <c r="F14" s="202" t="s">
        <v>39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84"/>
      <c r="D15" s="31">
        <f t="shared" si="1"/>
        <v>0</v>
      </c>
      <c r="F15" s="207" t="s">
        <v>40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137</v>
      </c>
      <c r="C17" s="84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v>1102</v>
      </c>
      <c r="Q19" s="4"/>
      <c r="R19" s="5">
        <f t="shared" si="0"/>
        <v>0</v>
      </c>
    </row>
    <row r="20" spans="1:18" ht="15.75" x14ac:dyDescent="0.25">
      <c r="A20" s="15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127</v>
      </c>
      <c r="C22" s="84"/>
      <c r="D22" s="48">
        <f t="shared" si="1"/>
        <v>0</v>
      </c>
      <c r="F22" s="77"/>
      <c r="G22" s="73"/>
      <c r="H22" s="185"/>
      <c r="I22" s="185"/>
      <c r="J22" s="18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101</v>
      </c>
      <c r="C23" s="84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121</v>
      </c>
      <c r="C24" s="84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136</v>
      </c>
      <c r="C26" s="84"/>
      <c r="D26" s="48">
        <f t="shared" si="1"/>
        <v>0</v>
      </c>
      <c r="F26" s="75"/>
      <c r="G26" s="65"/>
      <c r="H26" s="155"/>
      <c r="I26" s="155"/>
      <c r="J26" s="15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110</v>
      </c>
      <c r="C27" s="84"/>
      <c r="D27" s="44">
        <f t="shared" si="1"/>
        <v>0</v>
      </c>
      <c r="F27" s="71"/>
      <c r="G27" s="90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84"/>
      <c r="D28" s="48">
        <f t="shared" si="1"/>
        <v>0</v>
      </c>
      <c r="F28" s="93"/>
      <c r="G28" s="61"/>
      <c r="H28" s="196"/>
      <c r="I28" s="197"/>
      <c r="J28" s="19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55</v>
      </c>
      <c r="G29" s="178"/>
      <c r="H29" s="138">
        <f>H15-H16-H17-H18-H19-H20-H22-H23-H24+H26+H27+H28</f>
        <v>0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0">
        <f t="shared" ref="H34:H39" si="2">F34*G34</f>
        <v>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/>
      <c r="H35" s="160">
        <f t="shared" si="2"/>
        <v>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>
        <f t="shared" si="2"/>
        <v>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0">
        <f t="shared" si="2"/>
        <v>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/>
      <c r="D38" s="12">
        <f>C38*84</f>
        <v>0</v>
      </c>
      <c r="F38" s="30">
        <v>50</v>
      </c>
      <c r="G38" s="39"/>
      <c r="H38" s="160">
        <f t="shared" si="2"/>
        <v>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/>
      <c r="D39" s="31">
        <f>C39*4.5</f>
        <v>0</v>
      </c>
      <c r="F39" s="12">
        <v>20</v>
      </c>
      <c r="G39" s="37"/>
      <c r="H39" s="160">
        <f t="shared" si="2"/>
        <v>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/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90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/>
      <c r="G44" s="62"/>
      <c r="H44" s="155"/>
      <c r="I44" s="155"/>
      <c r="J44" s="155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/>
      <c r="D49" s="12">
        <f>C49*42</f>
        <v>0</v>
      </c>
      <c r="F49" s="136" t="s">
        <v>86</v>
      </c>
      <c r="G49" s="138">
        <f>H34+H35+H36+H37+H38+H39+H40+H41+G42+H44+H45+H46</f>
        <v>0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/>
      <c r="D50" s="12">
        <f>C50*1.5</f>
        <v>0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131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2</v>
      </c>
      <c r="H4" s="217" t="s">
        <v>9</v>
      </c>
      <c r="I4" s="219">
        <v>46024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223" t="s">
        <v>16</v>
      </c>
      <c r="G6" s="225" t="s">
        <v>140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114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115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202" t="s">
        <v>39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10"/>
      <c r="D15" s="31">
        <f t="shared" si="1"/>
        <v>0</v>
      </c>
      <c r="F15" s="207" t="s">
        <v>40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93</v>
      </c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104</v>
      </c>
      <c r="C22" s="10"/>
      <c r="D22" s="48">
        <f t="shared" si="1"/>
        <v>0</v>
      </c>
      <c r="F22" s="72"/>
      <c r="G22" s="73"/>
      <c r="H22" s="185"/>
      <c r="I22" s="185"/>
      <c r="J22" s="18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107</v>
      </c>
      <c r="C23" s="10"/>
      <c r="D23" s="48">
        <f t="shared" si="1"/>
        <v>0</v>
      </c>
      <c r="F23" s="25"/>
      <c r="G23" s="37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123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105</v>
      </c>
      <c r="C26" s="10"/>
      <c r="D26" s="48">
        <f t="shared" si="1"/>
        <v>0</v>
      </c>
      <c r="F26" s="64"/>
      <c r="G26" s="10"/>
      <c r="H26" s="190"/>
      <c r="I26" s="191"/>
      <c r="J26" s="19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109</v>
      </c>
      <c r="C27" s="10"/>
      <c r="D27" s="44">
        <f t="shared" si="1"/>
        <v>0</v>
      </c>
      <c r="F27" s="14"/>
      <c r="G27" s="14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10"/>
      <c r="D28" s="48">
        <f t="shared" si="1"/>
        <v>0</v>
      </c>
      <c r="F28" s="93"/>
      <c r="G28" s="61"/>
      <c r="H28" s="196"/>
      <c r="I28" s="197"/>
      <c r="J28" s="19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55</v>
      </c>
      <c r="G29" s="178"/>
      <c r="H29" s="138">
        <f>H15-H16-H17-H18-H19-H20-H22-H23-H24+H26+H27</f>
        <v>0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0">
        <f>F34*G34</f>
        <v>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/>
      <c r="H35" s="160">
        <f t="shared" ref="H35:H39" si="2">F35*G35</f>
        <v>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>
        <f>F36*G36</f>
        <v>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0">
        <f t="shared" si="2"/>
        <v>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/>
      <c r="D38" s="12">
        <f>C38*84</f>
        <v>0</v>
      </c>
      <c r="F38" s="30">
        <v>50</v>
      </c>
      <c r="G38" s="39"/>
      <c r="H38" s="160">
        <f t="shared" si="2"/>
        <v>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/>
      <c r="D39" s="31">
        <f>C39*4.5</f>
        <v>0</v>
      </c>
      <c r="F39" s="12">
        <v>20</v>
      </c>
      <c r="G39" s="37"/>
      <c r="H39" s="160">
        <f t="shared" si="2"/>
        <v>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/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90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/>
      <c r="G44" s="62"/>
      <c r="H44" s="155"/>
      <c r="I44" s="155"/>
      <c r="J44" s="155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91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/>
      <c r="D49" s="12">
        <f>C49*42</f>
        <v>0</v>
      </c>
      <c r="F49" s="136" t="s">
        <v>86</v>
      </c>
      <c r="G49" s="138">
        <f>H34+H35+H36+H37+H38+H39+H40+H41+G42+H44+H45+H46</f>
        <v>0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/>
      <c r="D50" s="12">
        <f>C50*1.5</f>
        <v>0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142</v>
      </c>
      <c r="G51" s="146">
        <f>G49-H29</f>
        <v>0</v>
      </c>
      <c r="H51" s="147"/>
      <c r="I51" s="147"/>
      <c r="J51" s="1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3</v>
      </c>
      <c r="H4" s="217" t="s">
        <v>9</v>
      </c>
      <c r="I4" s="219">
        <v>46024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480</v>
      </c>
      <c r="D6" s="13">
        <f t="shared" ref="D6:D28" si="1">C6*L6</f>
        <v>365280</v>
      </c>
      <c r="F6" s="223" t="s">
        <v>16</v>
      </c>
      <c r="G6" s="225" t="s">
        <v>111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12</v>
      </c>
      <c r="D7" s="13">
        <f t="shared" si="1"/>
        <v>9372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119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75</v>
      </c>
      <c r="D9" s="13">
        <f t="shared" si="1"/>
        <v>54975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134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6</v>
      </c>
      <c r="D12" s="48">
        <f t="shared" si="1"/>
        <v>5952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4</v>
      </c>
      <c r="D13" s="48">
        <f t="shared" si="1"/>
        <v>1228</v>
      </c>
      <c r="F13" s="244" t="s">
        <v>36</v>
      </c>
      <c r="G13" s="208"/>
      <c r="H13" s="199">
        <f>D29</f>
        <v>443015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18</v>
      </c>
      <c r="D14" s="31">
        <f t="shared" si="1"/>
        <v>198</v>
      </c>
      <c r="F14" s="202" t="s">
        <v>39</v>
      </c>
      <c r="G14" s="203"/>
      <c r="H14" s="204">
        <f>D54</f>
        <v>77991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10"/>
      <c r="D15" s="31">
        <f t="shared" si="1"/>
        <v>0</v>
      </c>
      <c r="F15" s="207" t="s">
        <v>40</v>
      </c>
      <c r="G15" s="208"/>
      <c r="H15" s="209">
        <f>H13-H14</f>
        <v>365024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1758+600+612</f>
        <v>2970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113</v>
      </c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/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104</v>
      </c>
      <c r="C22" s="10">
        <v>8</v>
      </c>
      <c r="D22" s="48">
        <f t="shared" si="1"/>
        <v>5360</v>
      </c>
      <c r="F22" s="77"/>
      <c r="G22" s="73"/>
      <c r="H22" s="185"/>
      <c r="I22" s="185"/>
      <c r="J22" s="18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107</v>
      </c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101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105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109</v>
      </c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10"/>
      <c r="D28" s="48">
        <f t="shared" si="1"/>
        <v>0</v>
      </c>
      <c r="F28" s="93"/>
      <c r="G28" s="61"/>
      <c r="H28" s="196"/>
      <c r="I28" s="197"/>
      <c r="J28" s="19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443015</v>
      </c>
      <c r="F29" s="116" t="s">
        <v>55</v>
      </c>
      <c r="G29" s="178"/>
      <c r="H29" s="138">
        <f>H15-H16-H17-H18-H19-H20-H22-H23-H24+H26+H27</f>
        <v>362054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160">
        <f>F34*G34</f>
        <v>78000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160">
        <f>F35*G35</f>
        <v>43500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>
        <f t="shared" ref="H36:H39" si="2">F36*G36</f>
        <v>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160">
        <f t="shared" si="2"/>
        <v>1000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60">
        <f t="shared" si="2"/>
        <v>50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160">
        <f t="shared" si="2"/>
        <v>20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>
        <v>14</v>
      </c>
      <c r="D42" s="12">
        <f>C42*2.25</f>
        <v>31.5</v>
      </c>
      <c r="F42" s="39" t="s">
        <v>79</v>
      </c>
      <c r="G42" s="160">
        <v>47</v>
      </c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90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155">
        <v>54216</v>
      </c>
      <c r="I44" s="155"/>
      <c r="J44" s="155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1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155">
        <v>188602</v>
      </c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>
        <v>6</v>
      </c>
      <c r="D46" s="12">
        <f>C46*1.5</f>
        <v>9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>
        <v>2</v>
      </c>
      <c r="D49" s="12">
        <f>C49*42</f>
        <v>84</v>
      </c>
      <c r="F49" s="136" t="s">
        <v>86</v>
      </c>
      <c r="G49" s="138">
        <f>H34+H35+H36+H37+H38+H39+H40+H41+G42+H44+H45+H46</f>
        <v>365435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>
        <v>24</v>
      </c>
      <c r="D50" s="12">
        <f>C50*1.5</f>
        <v>36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149</v>
      </c>
      <c r="G51" s="146">
        <f>G49-H29</f>
        <v>3381</v>
      </c>
      <c r="H51" s="147"/>
      <c r="I51" s="147"/>
      <c r="J51" s="1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2" t="s">
        <v>1</v>
      </c>
      <c r="O1" s="212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3" t="s">
        <v>7</v>
      </c>
      <c r="B4" s="164"/>
      <c r="C4" s="164"/>
      <c r="D4" s="165"/>
      <c r="F4" s="213" t="s">
        <v>8</v>
      </c>
      <c r="G4" s="215"/>
      <c r="H4" s="217" t="s">
        <v>9</v>
      </c>
      <c r="I4" s="219"/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223" t="s">
        <v>16</v>
      </c>
      <c r="G6" s="225"/>
      <c r="H6" s="226"/>
      <c r="I6" s="226"/>
      <c r="J6" s="2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231" t="s">
        <v>21</v>
      </c>
      <c r="G8" s="232"/>
      <c r="H8" s="233"/>
      <c r="I8" s="233"/>
      <c r="J8" s="2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223" t="s">
        <v>26</v>
      </c>
      <c r="G10" s="238"/>
      <c r="H10" s="239"/>
      <c r="I10" s="239"/>
      <c r="J10" s="240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202" t="s">
        <v>39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207" t="s">
        <v>40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50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93"/>
      <c r="G28" s="61"/>
      <c r="H28" s="196"/>
      <c r="I28" s="197"/>
      <c r="J28" s="19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55</v>
      </c>
      <c r="G29" s="178"/>
      <c r="H29" s="138">
        <f>H15-H16-H17-H18-H19-H20-H22-H23-H24+H26+H27</f>
        <v>0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0"/>
      <c r="I34" s="161"/>
      <c r="J34" s="16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/>
      <c r="H35" s="160"/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/>
      <c r="I36" s="161"/>
      <c r="J36" s="16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0"/>
      <c r="I37" s="161"/>
      <c r="J37" s="16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68</v>
      </c>
      <c r="C38" s="54"/>
      <c r="D38" s="12">
        <f>C38*84</f>
        <v>0</v>
      </c>
      <c r="F38" s="30">
        <v>50</v>
      </c>
      <c r="G38" s="39"/>
      <c r="H38" s="160"/>
      <c r="I38" s="161"/>
      <c r="J38" s="16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70</v>
      </c>
      <c r="C39" s="52"/>
      <c r="D39" s="31">
        <f>C39*4.5</f>
        <v>0</v>
      </c>
      <c r="F39" s="12">
        <v>20</v>
      </c>
      <c r="G39" s="37"/>
      <c r="H39" s="160"/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/>
      <c r="H42" s="161"/>
      <c r="I42" s="161"/>
      <c r="J42" s="16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90" t="s">
        <v>83</v>
      </c>
      <c r="H43" s="152" t="s">
        <v>13</v>
      </c>
      <c r="I43" s="153"/>
      <c r="J43" s="154"/>
      <c r="K43" s="21"/>
      <c r="P43" s="4"/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/>
      <c r="G44" s="76"/>
      <c r="H44" s="155"/>
      <c r="I44" s="155"/>
      <c r="J44" s="155"/>
      <c r="K44" s="21"/>
      <c r="P44" s="4"/>
      <c r="Q44" s="4"/>
      <c r="R44" s="5"/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/>
      <c r="D49" s="12">
        <f>C49*42</f>
        <v>0</v>
      </c>
      <c r="F49" s="136" t="s">
        <v>86</v>
      </c>
      <c r="G49" s="138">
        <f>H34+H35+H36+H37+H38+H39+H40+H41+G42+H44+H45+H46</f>
        <v>0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/>
      <c r="D50" s="12">
        <f>C50*1.5</f>
        <v>0</v>
      </c>
      <c r="F50" s="137"/>
      <c r="G50" s="141"/>
      <c r="H50" s="142"/>
      <c r="I50" s="142"/>
      <c r="J50" s="143"/>
      <c r="P50" s="4"/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128</v>
      </c>
      <c r="G51" s="146">
        <f>G49-H29</f>
        <v>0</v>
      </c>
      <c r="H51" s="147"/>
      <c r="I51" s="147"/>
      <c r="J51" s="1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0</v>
      </c>
      <c r="F54" s="21"/>
      <c r="J54" s="34"/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1</v>
      </c>
      <c r="H4" s="217" t="s">
        <v>9</v>
      </c>
      <c r="I4" s="257">
        <v>46025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84">
        <v>728</v>
      </c>
      <c r="D6" s="13">
        <f t="shared" ref="D6:D28" si="1">C6*L6</f>
        <v>554008</v>
      </c>
      <c r="F6" s="223" t="s">
        <v>16</v>
      </c>
      <c r="G6" s="225" t="s">
        <v>129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84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84">
        <v>60</v>
      </c>
      <c r="D8" s="13">
        <f t="shared" si="1"/>
        <v>65580</v>
      </c>
      <c r="F8" s="231" t="s">
        <v>21</v>
      </c>
      <c r="G8" s="232" t="s">
        <v>112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84">
        <v>9</v>
      </c>
      <c r="D9" s="13">
        <f t="shared" si="1"/>
        <v>6597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84">
        <v>5</v>
      </c>
      <c r="D10" s="13">
        <f t="shared" si="1"/>
        <v>5160</v>
      </c>
      <c r="F10" s="223" t="s">
        <v>26</v>
      </c>
      <c r="G10" s="238" t="s">
        <v>130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84">
        <v>16</v>
      </c>
      <c r="D11" s="13">
        <f t="shared" si="1"/>
        <v>18720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84">
        <f>23+3</f>
        <v>26</v>
      </c>
      <c r="D12" s="48">
        <f t="shared" si="1"/>
        <v>25792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84">
        <v>21</v>
      </c>
      <c r="D13" s="48">
        <f t="shared" si="1"/>
        <v>6447</v>
      </c>
      <c r="F13" s="244" t="s">
        <v>36</v>
      </c>
      <c r="G13" s="208"/>
      <c r="H13" s="199">
        <f>D29</f>
        <v>685162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84">
        <v>17</v>
      </c>
      <c r="D14" s="31">
        <f t="shared" si="1"/>
        <v>187</v>
      </c>
      <c r="F14" s="202" t="s">
        <v>39</v>
      </c>
      <c r="G14" s="203"/>
      <c r="H14" s="204">
        <f>D54</f>
        <v>145168.5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84">
        <v>1</v>
      </c>
      <c r="D15" s="31">
        <f t="shared" si="1"/>
        <v>620</v>
      </c>
      <c r="F15" s="207" t="s">
        <v>40</v>
      </c>
      <c r="G15" s="208"/>
      <c r="H15" s="209">
        <f>H13-H14</f>
        <v>539993.5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>
        <f>2772</f>
        <v>2772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137</v>
      </c>
      <c r="C17" s="84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v>1102</v>
      </c>
      <c r="Q19" s="4"/>
      <c r="R19" s="5">
        <f t="shared" si="0"/>
        <v>0</v>
      </c>
    </row>
    <row r="20" spans="1:18" ht="15.75" x14ac:dyDescent="0.25">
      <c r="A20" s="15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127</v>
      </c>
      <c r="C22" s="84"/>
      <c r="D22" s="48">
        <f t="shared" si="1"/>
        <v>0</v>
      </c>
      <c r="F22" s="77"/>
      <c r="G22" s="73"/>
      <c r="H22" s="185"/>
      <c r="I22" s="185"/>
      <c r="J22" s="18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101</v>
      </c>
      <c r="C23" s="84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121</v>
      </c>
      <c r="C24" s="84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136</v>
      </c>
      <c r="C26" s="84"/>
      <c r="D26" s="48">
        <f t="shared" si="1"/>
        <v>0</v>
      </c>
      <c r="F26" s="75"/>
      <c r="G26" s="65"/>
      <c r="H26" s="155"/>
      <c r="I26" s="155"/>
      <c r="J26" s="15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110</v>
      </c>
      <c r="C27" s="84"/>
      <c r="D27" s="44">
        <f t="shared" si="1"/>
        <v>0</v>
      </c>
      <c r="F27" s="71"/>
      <c r="G27" s="90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84">
        <v>1</v>
      </c>
      <c r="D28" s="48">
        <f t="shared" si="1"/>
        <v>811</v>
      </c>
      <c r="F28" s="93"/>
      <c r="G28" s="61"/>
      <c r="H28" s="196"/>
      <c r="I28" s="197"/>
      <c r="J28" s="198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685162</v>
      </c>
      <c r="F29" s="116" t="s">
        <v>55</v>
      </c>
      <c r="G29" s="178"/>
      <c r="H29" s="138">
        <f>H15-H16-H17-H18-H19-H20-H22-H23-H24+H26+H27+H28</f>
        <v>537221.5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160">
        <f t="shared" ref="H34:H39" si="2">F34*G34</f>
        <v>229000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60">
        <f t="shared" si="2"/>
        <v>48500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>
        <f t="shared" si="2"/>
        <v>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160">
        <f t="shared" si="2"/>
        <v>200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60">
        <f t="shared" si="2"/>
        <v>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160">
        <f t="shared" si="2"/>
        <v>20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/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90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155">
        <v>258954</v>
      </c>
      <c r="I44" s="155"/>
      <c r="J44" s="15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>
        <v>1</v>
      </c>
      <c r="D49" s="12">
        <f>C49*42</f>
        <v>42</v>
      </c>
      <c r="F49" s="136" t="s">
        <v>86</v>
      </c>
      <c r="G49" s="138">
        <f>H34+H35+H36+H37+H38+H39+H40+H41+G42+H44+H45+H46</f>
        <v>536674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>
        <v>25</v>
      </c>
      <c r="D50" s="12">
        <f>C50*1.5</f>
        <v>37.5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131</v>
      </c>
      <c r="G51" s="245">
        <f>G49-H29</f>
        <v>-547.5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2</v>
      </c>
      <c r="H4" s="217" t="s">
        <v>9</v>
      </c>
      <c r="I4" s="257">
        <v>46025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223" t="s">
        <v>16</v>
      </c>
      <c r="G6" s="225" t="s">
        <v>140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114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115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202" t="s">
        <v>39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10"/>
      <c r="D15" s="31">
        <f t="shared" si="1"/>
        <v>0</v>
      </c>
      <c r="F15" s="207" t="s">
        <v>40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93</v>
      </c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104</v>
      </c>
      <c r="C22" s="10"/>
      <c r="D22" s="48">
        <f t="shared" si="1"/>
        <v>0</v>
      </c>
      <c r="F22" s="72"/>
      <c r="G22" s="73"/>
      <c r="H22" s="185"/>
      <c r="I22" s="185"/>
      <c r="J22" s="18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107</v>
      </c>
      <c r="C23" s="10"/>
      <c r="D23" s="48">
        <f t="shared" si="1"/>
        <v>0</v>
      </c>
      <c r="F23" s="25"/>
      <c r="G23" s="37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123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105</v>
      </c>
      <c r="C26" s="10"/>
      <c r="D26" s="48">
        <f t="shared" si="1"/>
        <v>0</v>
      </c>
      <c r="F26" s="64"/>
      <c r="G26" s="10"/>
      <c r="H26" s="190"/>
      <c r="I26" s="191"/>
      <c r="J26" s="19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109</v>
      </c>
      <c r="C27" s="10"/>
      <c r="D27" s="44">
        <f t="shared" si="1"/>
        <v>0</v>
      </c>
      <c r="F27" s="14"/>
      <c r="G27" s="14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10"/>
      <c r="D28" s="48">
        <f t="shared" si="1"/>
        <v>0</v>
      </c>
      <c r="F28" s="93"/>
      <c r="G28" s="61"/>
      <c r="H28" s="196"/>
      <c r="I28" s="197"/>
      <c r="J28" s="19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55</v>
      </c>
      <c r="G29" s="178"/>
      <c r="H29" s="138">
        <f>H15-H16-H17-H18-H19-H20-H22-H23-H24+H26+H27</f>
        <v>0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0">
        <f>F34*G34</f>
        <v>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/>
      <c r="H35" s="160">
        <f t="shared" ref="H35:H39" si="2">F35*G35</f>
        <v>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>
        <f>F36*G36</f>
        <v>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0">
        <f t="shared" si="2"/>
        <v>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/>
      <c r="D38" s="12">
        <f>C38*84</f>
        <v>0</v>
      </c>
      <c r="F38" s="30">
        <v>50</v>
      </c>
      <c r="G38" s="39"/>
      <c r="H38" s="160">
        <f t="shared" si="2"/>
        <v>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/>
      <c r="D39" s="31">
        <f>C39*4.5</f>
        <v>0</v>
      </c>
      <c r="F39" s="12">
        <v>20</v>
      </c>
      <c r="G39" s="37"/>
      <c r="H39" s="160">
        <f t="shared" si="2"/>
        <v>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/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90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/>
      <c r="G44" s="62"/>
      <c r="H44" s="155"/>
      <c r="I44" s="155"/>
      <c r="J44" s="155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91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/>
      <c r="D49" s="12">
        <f>C49*42</f>
        <v>0</v>
      </c>
      <c r="F49" s="136" t="s">
        <v>86</v>
      </c>
      <c r="G49" s="138">
        <f>H34+H35+H36+H37+H38+H39+H40+H41+G42+H44+H45+H46</f>
        <v>0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/>
      <c r="D50" s="12">
        <f>C50*1.5</f>
        <v>0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142</v>
      </c>
      <c r="G51" s="146">
        <f>G49-H29</f>
        <v>0</v>
      </c>
      <c r="H51" s="147"/>
      <c r="I51" s="147"/>
      <c r="J51" s="1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3</v>
      </c>
      <c r="H4" s="217" t="s">
        <v>9</v>
      </c>
      <c r="I4" s="257">
        <v>46025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480</v>
      </c>
      <c r="D6" s="13">
        <f t="shared" ref="D6:D28" si="1">C6*L6</f>
        <v>365280</v>
      </c>
      <c r="F6" s="223" t="s">
        <v>16</v>
      </c>
      <c r="G6" s="225" t="s">
        <v>111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15</v>
      </c>
      <c r="D7" s="13">
        <f t="shared" si="1"/>
        <v>11715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>
        <v>2</v>
      </c>
      <c r="D8" s="13">
        <f t="shared" si="1"/>
        <v>2186</v>
      </c>
      <c r="F8" s="231" t="s">
        <v>21</v>
      </c>
      <c r="G8" s="232" t="s">
        <v>119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37</v>
      </c>
      <c r="D9" s="13">
        <f t="shared" si="1"/>
        <v>27121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3</v>
      </c>
      <c r="D10" s="13">
        <f t="shared" si="1"/>
        <v>3096</v>
      </c>
      <c r="F10" s="223" t="s">
        <v>26</v>
      </c>
      <c r="G10" s="238" t="s">
        <v>134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2</v>
      </c>
      <c r="D11" s="13">
        <f t="shared" si="1"/>
        <v>2340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10</v>
      </c>
      <c r="D13" s="48">
        <f t="shared" si="1"/>
        <v>3070</v>
      </c>
      <c r="F13" s="244" t="s">
        <v>36</v>
      </c>
      <c r="G13" s="208"/>
      <c r="H13" s="199">
        <f>D29</f>
        <v>419083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202" t="s">
        <v>39</v>
      </c>
      <c r="G14" s="203"/>
      <c r="H14" s="204">
        <f>D54</f>
        <v>68183.25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10">
        <f>1</f>
        <v>1</v>
      </c>
      <c r="D15" s="31">
        <f t="shared" si="1"/>
        <v>620</v>
      </c>
      <c r="F15" s="207" t="s">
        <v>40</v>
      </c>
      <c r="G15" s="208"/>
      <c r="H15" s="209">
        <f>H13-H14</f>
        <v>350899.75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216*6+140*6</f>
        <v>2136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113</v>
      </c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/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185">
        <v>1440</v>
      </c>
      <c r="I22" s="185"/>
      <c r="J22" s="18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95" t="s">
        <v>150</v>
      </c>
      <c r="C23" s="10">
        <v>1</v>
      </c>
      <c r="D23" s="48">
        <f t="shared" si="1"/>
        <v>1175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101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105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109</v>
      </c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10"/>
      <c r="D28" s="48">
        <f t="shared" si="1"/>
        <v>0</v>
      </c>
      <c r="F28" s="93"/>
      <c r="G28" s="61"/>
      <c r="H28" s="196"/>
      <c r="I28" s="197"/>
      <c r="J28" s="198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419083</v>
      </c>
      <c r="F29" s="116" t="s">
        <v>55</v>
      </c>
      <c r="G29" s="178"/>
      <c r="H29" s="138">
        <f>H15-H16-H17-H18-H19-H20-H22-H23-H24+H26+H27</f>
        <v>347323.75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60">
        <f>F34*G34</f>
        <v>133000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160">
        <f>F35*G35</f>
        <v>29000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>
        <f t="shared" ref="H36:H39" si="2">F36*G36</f>
        <v>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160">
        <f t="shared" si="2"/>
        <v>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160">
        <f t="shared" si="2"/>
        <v>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0">
        <f t="shared" si="2"/>
        <v>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0">
        <v>24</v>
      </c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90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155">
        <v>139104</v>
      </c>
      <c r="I44" s="155"/>
      <c r="J44" s="155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1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155">
        <v>45689</v>
      </c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>
        <v>19</v>
      </c>
      <c r="D46" s="12">
        <f>C46*1.5</f>
        <v>28.5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>
        <v>1</v>
      </c>
      <c r="D49" s="12">
        <f>C49*42</f>
        <v>42</v>
      </c>
      <c r="F49" s="136" t="s">
        <v>86</v>
      </c>
      <c r="G49" s="138">
        <f>H34+H35+H36+H37+H38+H39+H40+H41+G42+H44+H45+H46</f>
        <v>346817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>
        <v>7</v>
      </c>
      <c r="D50" s="12">
        <f>C50*1.5</f>
        <v>10.5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139</v>
      </c>
      <c r="G51" s="245">
        <f>G49-H29</f>
        <v>-506.75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2" t="s">
        <v>1</v>
      </c>
      <c r="O1" s="212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3" t="s">
        <v>7</v>
      </c>
      <c r="B4" s="164"/>
      <c r="C4" s="164"/>
      <c r="D4" s="165"/>
      <c r="F4" s="213" t="s">
        <v>8</v>
      </c>
      <c r="G4" s="215"/>
      <c r="H4" s="217" t="s">
        <v>9</v>
      </c>
      <c r="I4" s="219"/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223" t="s">
        <v>16</v>
      </c>
      <c r="G6" s="225"/>
      <c r="H6" s="226"/>
      <c r="I6" s="226"/>
      <c r="J6" s="2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231" t="s">
        <v>21</v>
      </c>
      <c r="G8" s="232"/>
      <c r="H8" s="233"/>
      <c r="I8" s="233"/>
      <c r="J8" s="2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223" t="s">
        <v>26</v>
      </c>
      <c r="G10" s="238"/>
      <c r="H10" s="239"/>
      <c r="I10" s="239"/>
      <c r="J10" s="240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202" t="s">
        <v>39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207" t="s">
        <v>40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50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93"/>
      <c r="G28" s="61"/>
      <c r="H28" s="196"/>
      <c r="I28" s="197"/>
      <c r="J28" s="19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55</v>
      </c>
      <c r="G29" s="178"/>
      <c r="H29" s="138">
        <f>H15-H16-H17-H18-H19-H20-H22-H23-H24+H26+H27</f>
        <v>0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0"/>
      <c r="I34" s="161"/>
      <c r="J34" s="16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/>
      <c r="H35" s="160"/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/>
      <c r="I36" s="161"/>
      <c r="J36" s="16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0"/>
      <c r="I37" s="161"/>
      <c r="J37" s="16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68</v>
      </c>
      <c r="C38" s="54"/>
      <c r="D38" s="12">
        <f>C38*84</f>
        <v>0</v>
      </c>
      <c r="F38" s="30">
        <v>50</v>
      </c>
      <c r="G38" s="39"/>
      <c r="H38" s="160"/>
      <c r="I38" s="161"/>
      <c r="J38" s="16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70</v>
      </c>
      <c r="C39" s="52"/>
      <c r="D39" s="31">
        <f>C39*4.5</f>
        <v>0</v>
      </c>
      <c r="F39" s="12">
        <v>20</v>
      </c>
      <c r="G39" s="37"/>
      <c r="H39" s="160"/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/>
      <c r="H42" s="161"/>
      <c r="I42" s="161"/>
      <c r="J42" s="16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90" t="s">
        <v>83</v>
      </c>
      <c r="H43" s="152" t="s">
        <v>13</v>
      </c>
      <c r="I43" s="153"/>
      <c r="J43" s="154"/>
      <c r="K43" s="21"/>
      <c r="P43" s="4"/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/>
      <c r="G44" s="76"/>
      <c r="H44" s="155"/>
      <c r="I44" s="155"/>
      <c r="J44" s="155"/>
      <c r="K44" s="21"/>
      <c r="P44" s="4"/>
      <c r="Q44" s="4"/>
      <c r="R44" s="5"/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/>
      <c r="D49" s="12">
        <f>C49*42</f>
        <v>0</v>
      </c>
      <c r="F49" s="136" t="s">
        <v>86</v>
      </c>
      <c r="G49" s="138">
        <f>H34+H35+H36+H37+H38+H39+H40+H41+G42+H44+H45+H46</f>
        <v>0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/>
      <c r="D50" s="12">
        <f>C50*1.5</f>
        <v>0</v>
      </c>
      <c r="F50" s="137"/>
      <c r="G50" s="141"/>
      <c r="H50" s="142"/>
      <c r="I50" s="142"/>
      <c r="J50" s="143"/>
      <c r="P50" s="4"/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128</v>
      </c>
      <c r="G51" s="146">
        <f>G49-H29</f>
        <v>0</v>
      </c>
      <c r="H51" s="147"/>
      <c r="I51" s="147"/>
      <c r="J51" s="1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0</v>
      </c>
      <c r="F54" s="21"/>
      <c r="J54" s="34"/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1</v>
      </c>
      <c r="H4" s="217" t="s">
        <v>9</v>
      </c>
      <c r="I4" s="219">
        <v>46027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84">
        <v>463</v>
      </c>
      <c r="D6" s="13">
        <f t="shared" ref="D6:D28" si="1">C6*L6</f>
        <v>352343</v>
      </c>
      <c r="F6" s="223" t="s">
        <v>16</v>
      </c>
      <c r="G6" s="225" t="s">
        <v>129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84">
        <v>7</v>
      </c>
      <c r="D7" s="13">
        <f t="shared" si="1"/>
        <v>5467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84">
        <v>2</v>
      </c>
      <c r="D8" s="13">
        <f t="shared" si="1"/>
        <v>2186</v>
      </c>
      <c r="F8" s="231" t="s">
        <v>21</v>
      </c>
      <c r="G8" s="232" t="s">
        <v>112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84">
        <f>120-5</f>
        <v>115</v>
      </c>
      <c r="D9" s="13">
        <f t="shared" si="1"/>
        <v>84295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84">
        <v>2</v>
      </c>
      <c r="D10" s="13">
        <f t="shared" si="1"/>
        <v>2064</v>
      </c>
      <c r="F10" s="223" t="s">
        <v>26</v>
      </c>
      <c r="G10" s="238" t="s">
        <v>130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84">
        <v>2</v>
      </c>
      <c r="D11" s="13">
        <f t="shared" si="1"/>
        <v>2340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84">
        <v>2</v>
      </c>
      <c r="D12" s="48">
        <f t="shared" si="1"/>
        <v>1984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84">
        <v>24</v>
      </c>
      <c r="D13" s="48">
        <f t="shared" si="1"/>
        <v>7368</v>
      </c>
      <c r="F13" s="244" t="s">
        <v>36</v>
      </c>
      <c r="G13" s="208"/>
      <c r="H13" s="199">
        <f>D29</f>
        <v>463474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84">
        <v>12</v>
      </c>
      <c r="D14" s="31">
        <f t="shared" si="1"/>
        <v>132</v>
      </c>
      <c r="F14" s="202" t="s">
        <v>39</v>
      </c>
      <c r="G14" s="203"/>
      <c r="H14" s="204">
        <f>D54</f>
        <v>115968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84"/>
      <c r="D15" s="31">
        <f t="shared" si="1"/>
        <v>0</v>
      </c>
      <c r="F15" s="207" t="s">
        <v>40</v>
      </c>
      <c r="G15" s="208"/>
      <c r="H15" s="209">
        <f>H13-H14</f>
        <v>347506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>
        <f>2592</f>
        <v>2592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137</v>
      </c>
      <c r="C17" s="84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v>1102</v>
      </c>
      <c r="Q19" s="4"/>
      <c r="R19" s="5">
        <f t="shared" si="0"/>
        <v>0</v>
      </c>
    </row>
    <row r="20" spans="1:18" ht="15.75" x14ac:dyDescent="0.25">
      <c r="A20" s="15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185">
        <v>92560</v>
      </c>
      <c r="I22" s="185"/>
      <c r="J22" s="18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101</v>
      </c>
      <c r="C23" s="84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121</v>
      </c>
      <c r="C24" s="84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155">
        <v>84449</v>
      </c>
      <c r="I26" s="155"/>
      <c r="J26" s="15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110</v>
      </c>
      <c r="C27" s="84"/>
      <c r="D27" s="44">
        <f t="shared" si="1"/>
        <v>0</v>
      </c>
      <c r="F27" s="71"/>
      <c r="G27" s="90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84">
        <v>5</v>
      </c>
      <c r="D28" s="48">
        <f t="shared" si="1"/>
        <v>4055</v>
      </c>
      <c r="F28" s="93"/>
      <c r="G28" s="61"/>
      <c r="H28" s="196"/>
      <c r="I28" s="197"/>
      <c r="J28" s="19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463474</v>
      </c>
      <c r="F29" s="116" t="s">
        <v>55</v>
      </c>
      <c r="G29" s="178"/>
      <c r="H29" s="138">
        <f>H15-H16-H17-H18-H19-H20-H22-H23-H24+H26+H27+H28</f>
        <v>336803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160">
        <f t="shared" ref="H34:H39" si="2">F34*G34</f>
        <v>19000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160">
        <f t="shared" si="2"/>
        <v>500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160">
        <f t="shared" si="2"/>
        <v>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160">
        <f t="shared" si="2"/>
        <v>300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160">
        <f t="shared" si="2"/>
        <v>100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0">
        <f t="shared" si="2"/>
        <v>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>
        <v>8</v>
      </c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90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155">
        <v>188388</v>
      </c>
      <c r="I44" s="155"/>
      <c r="J44" s="15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68</v>
      </c>
      <c r="C45" s="33">
        <v>4</v>
      </c>
      <c r="D45" s="12">
        <f>C45*84</f>
        <v>336</v>
      </c>
      <c r="F45" s="37" t="s">
        <v>156</v>
      </c>
      <c r="G45" s="96" t="s">
        <v>158</v>
      </c>
      <c r="H45" s="155">
        <v>84449</v>
      </c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>
        <v>21</v>
      </c>
      <c r="D46" s="12">
        <f>C46*1.5</f>
        <v>31.5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>
        <v>1</v>
      </c>
      <c r="D49" s="12">
        <f>C49*42</f>
        <v>42</v>
      </c>
      <c r="F49" s="136" t="s">
        <v>86</v>
      </c>
      <c r="G49" s="138">
        <f>H34+H35+H36+H37+H38+H39+H40+H41+G42+H44+H45+H46</f>
        <v>292745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>
        <v>22</v>
      </c>
      <c r="D50" s="12">
        <f>C50*1.5</f>
        <v>33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131</v>
      </c>
      <c r="G51" s="245">
        <f>G49-H29</f>
        <v>-44058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2</v>
      </c>
      <c r="H4" s="217" t="s">
        <v>9</v>
      </c>
      <c r="I4" s="219">
        <v>46027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501</v>
      </c>
      <c r="D6" s="13">
        <f t="shared" ref="D6:D28" si="1">C6*L6</f>
        <v>381261</v>
      </c>
      <c r="F6" s="223" t="s">
        <v>16</v>
      </c>
      <c r="G6" s="225" t="s">
        <v>155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114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8</v>
      </c>
      <c r="D9" s="13">
        <f t="shared" si="1"/>
        <v>5864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115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18</v>
      </c>
      <c r="D13" s="48">
        <f t="shared" si="1"/>
        <v>5526</v>
      </c>
      <c r="F13" s="244" t="s">
        <v>36</v>
      </c>
      <c r="G13" s="208"/>
      <c r="H13" s="199">
        <f>D29</f>
        <v>392761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10</v>
      </c>
      <c r="D14" s="31">
        <f t="shared" si="1"/>
        <v>110</v>
      </c>
      <c r="F14" s="202" t="s">
        <v>39</v>
      </c>
      <c r="G14" s="203"/>
      <c r="H14" s="204">
        <f>D54</f>
        <v>57342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10"/>
      <c r="D15" s="31">
        <f t="shared" si="1"/>
        <v>0</v>
      </c>
      <c r="F15" s="207" t="s">
        <v>40</v>
      </c>
      <c r="G15" s="208"/>
      <c r="H15" s="209">
        <f>H13-H14</f>
        <v>335419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1296+1284</f>
        <v>2580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93</v>
      </c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104</v>
      </c>
      <c r="C22" s="10"/>
      <c r="D22" s="48">
        <f t="shared" si="1"/>
        <v>0</v>
      </c>
      <c r="F22" s="72"/>
      <c r="G22" s="73"/>
      <c r="H22" s="185"/>
      <c r="I22" s="185"/>
      <c r="J22" s="18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107</v>
      </c>
      <c r="C23" s="10"/>
      <c r="D23" s="48">
        <f t="shared" si="1"/>
        <v>0</v>
      </c>
      <c r="F23" s="25"/>
      <c r="G23" s="37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123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105</v>
      </c>
      <c r="C26" s="10"/>
      <c r="D26" s="48">
        <f t="shared" si="1"/>
        <v>0</v>
      </c>
      <c r="F26" s="64"/>
      <c r="G26" s="10"/>
      <c r="H26" s="190"/>
      <c r="I26" s="191"/>
      <c r="J26" s="19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109</v>
      </c>
      <c r="C27" s="10"/>
      <c r="D27" s="44">
        <f t="shared" si="1"/>
        <v>0</v>
      </c>
      <c r="F27" s="14"/>
      <c r="G27" s="14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10"/>
      <c r="D28" s="48">
        <f t="shared" si="1"/>
        <v>0</v>
      </c>
      <c r="F28" s="93"/>
      <c r="G28" s="61"/>
      <c r="H28" s="196"/>
      <c r="I28" s="197"/>
      <c r="J28" s="19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392761</v>
      </c>
      <c r="F29" s="116" t="s">
        <v>55</v>
      </c>
      <c r="G29" s="178"/>
      <c r="H29" s="138">
        <f>H15-H16-H17-H18-H19-H20-H22-H23-H24+H26+H27</f>
        <v>332839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160">
        <f>F34*G34</f>
        <v>186000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60">
        <f t="shared" ref="H35:H39" si="2">F35*G35</f>
        <v>6500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>
        <f>F36*G36</f>
        <v>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160">
        <f t="shared" si="2"/>
        <v>300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60">
        <f t="shared" si="2"/>
        <v>50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/>
      <c r="D39" s="31">
        <f>C39*4.5</f>
        <v>0</v>
      </c>
      <c r="F39" s="12">
        <v>20</v>
      </c>
      <c r="G39" s="37"/>
      <c r="H39" s="160">
        <f t="shared" si="2"/>
        <v>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>
        <v>32</v>
      </c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90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155">
        <v>139756</v>
      </c>
      <c r="I44" s="155"/>
      <c r="J44" s="15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91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>
        <v>6</v>
      </c>
      <c r="D49" s="12">
        <f>C49*42</f>
        <v>252</v>
      </c>
      <c r="F49" s="136" t="s">
        <v>86</v>
      </c>
      <c r="G49" s="138">
        <f>H34+H35+H36+H37+H38+H39+H40+H41+G42+H44+H45+H46</f>
        <v>332638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>
        <v>30</v>
      </c>
      <c r="D50" s="12">
        <f>C50*1.5</f>
        <v>45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161</v>
      </c>
      <c r="G51" s="245">
        <f>G49-H29</f>
        <v>-201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3</v>
      </c>
      <c r="H4" s="217" t="s">
        <v>9</v>
      </c>
      <c r="I4" s="219">
        <v>46027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735</v>
      </c>
      <c r="D6" s="13">
        <f t="shared" ref="D6:D28" si="1">C6*L6</f>
        <v>559335</v>
      </c>
      <c r="F6" s="223" t="s">
        <v>16</v>
      </c>
      <c r="G6" s="225" t="s">
        <v>111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4</v>
      </c>
      <c r="D7" s="13">
        <f t="shared" si="1"/>
        <v>3124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>
        <v>1</v>
      </c>
      <c r="D8" s="13">
        <f t="shared" si="1"/>
        <v>1093</v>
      </c>
      <c r="F8" s="231" t="s">
        <v>21</v>
      </c>
      <c r="G8" s="232" t="s">
        <v>119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114</v>
      </c>
      <c r="D9" s="13">
        <f t="shared" si="1"/>
        <v>83562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3</v>
      </c>
      <c r="D10" s="13">
        <f t="shared" si="1"/>
        <v>3096</v>
      </c>
      <c r="F10" s="223" t="s">
        <v>26</v>
      </c>
      <c r="G10" s="238" t="s">
        <v>134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2</v>
      </c>
      <c r="D11" s="13">
        <f t="shared" si="1"/>
        <v>2340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f>5+1</f>
        <v>6</v>
      </c>
      <c r="D12" s="48">
        <f t="shared" si="1"/>
        <v>5952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22</v>
      </c>
      <c r="D13" s="48">
        <f t="shared" si="1"/>
        <v>6754</v>
      </c>
      <c r="F13" s="244" t="s">
        <v>36</v>
      </c>
      <c r="G13" s="208"/>
      <c r="H13" s="199">
        <f>D29</f>
        <v>667630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202" t="s">
        <v>39</v>
      </c>
      <c r="G14" s="203"/>
      <c r="H14" s="204">
        <f>D54</f>
        <v>100451.25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10"/>
      <c r="D15" s="31">
        <f t="shared" si="1"/>
        <v>0</v>
      </c>
      <c r="F15" s="207" t="s">
        <v>40</v>
      </c>
      <c r="G15" s="208"/>
      <c r="H15" s="209">
        <f>H13-H14</f>
        <v>567178.75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600+1050+456</f>
        <v>2106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113</v>
      </c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>
        <v>50</v>
      </c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104</v>
      </c>
      <c r="C22" s="10"/>
      <c r="D22" s="48">
        <f t="shared" si="1"/>
        <v>0</v>
      </c>
      <c r="F22" s="77"/>
      <c r="G22" s="73"/>
      <c r="H22" s="185"/>
      <c r="I22" s="185"/>
      <c r="J22" s="18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107</v>
      </c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101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105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109</v>
      </c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10">
        <v>2</v>
      </c>
      <c r="D28" s="48">
        <f t="shared" si="1"/>
        <v>1622</v>
      </c>
      <c r="F28" s="93"/>
      <c r="G28" s="61"/>
      <c r="H28" s="196"/>
      <c r="I28" s="197"/>
      <c r="J28" s="19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667630</v>
      </c>
      <c r="F29" s="116" t="s">
        <v>55</v>
      </c>
      <c r="G29" s="178"/>
      <c r="H29" s="138">
        <f>H15-H16-H17-H18-H19-H20-H22-H23-H24+H26+H27</f>
        <v>565022.75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160">
        <f>F34*G34</f>
        <v>242000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160">
        <f>F35*G35</f>
        <v>67500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60">
        <f t="shared" ref="H36:H39" si="2">F36*G36</f>
        <v>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160">
        <f t="shared" si="2"/>
        <v>1000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160">
        <f t="shared" si="2"/>
        <v>50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0">
        <f t="shared" si="2"/>
        <v>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0">
        <v>58</v>
      </c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90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155">
        <v>112763</v>
      </c>
      <c r="I44" s="155"/>
      <c r="J44" s="15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68</v>
      </c>
      <c r="C45" s="33">
        <v>3</v>
      </c>
      <c r="D45" s="12">
        <f>C45*84</f>
        <v>252</v>
      </c>
      <c r="F45" s="97" t="s">
        <v>162</v>
      </c>
      <c r="G45" s="76" t="s">
        <v>164</v>
      </c>
      <c r="H45" s="155">
        <v>142785</v>
      </c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>
        <v>4</v>
      </c>
      <c r="D46" s="12">
        <f>C46*1.5</f>
        <v>6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>
        <v>12</v>
      </c>
      <c r="D49" s="12">
        <f>C49*42</f>
        <v>504</v>
      </c>
      <c r="F49" s="136" t="s">
        <v>86</v>
      </c>
      <c r="G49" s="138">
        <f>H34+H35+H36+H37+H38+H39+H40+H41+G42+H44+H45+H46</f>
        <v>566156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>
        <v>15</v>
      </c>
      <c r="D50" s="12">
        <f>C50*1.5</f>
        <v>22.5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149</v>
      </c>
      <c r="G51" s="146">
        <f>G49-H29</f>
        <v>1133.25</v>
      </c>
      <c r="H51" s="147"/>
      <c r="I51" s="147"/>
      <c r="J51" s="1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2" t="s">
        <v>1</v>
      </c>
      <c r="O1" s="212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3" t="s">
        <v>7</v>
      </c>
      <c r="B4" s="164"/>
      <c r="C4" s="164"/>
      <c r="D4" s="165"/>
      <c r="F4" s="213" t="s">
        <v>8</v>
      </c>
      <c r="G4" s="215"/>
      <c r="H4" s="217" t="s">
        <v>9</v>
      </c>
      <c r="I4" s="219"/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223" t="s">
        <v>16</v>
      </c>
      <c r="G6" s="225"/>
      <c r="H6" s="226"/>
      <c r="I6" s="226"/>
      <c r="J6" s="2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231" t="s">
        <v>21</v>
      </c>
      <c r="G8" s="232"/>
      <c r="H8" s="233"/>
      <c r="I8" s="233"/>
      <c r="J8" s="2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223" t="s">
        <v>26</v>
      </c>
      <c r="G10" s="238"/>
      <c r="H10" s="239"/>
      <c r="I10" s="239"/>
      <c r="J10" s="240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202" t="s">
        <v>39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207" t="s">
        <v>40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50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93"/>
      <c r="G28" s="61"/>
      <c r="H28" s="196"/>
      <c r="I28" s="197"/>
      <c r="J28" s="19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55</v>
      </c>
      <c r="G29" s="178"/>
      <c r="H29" s="138">
        <f>H15-H16-H17-H18-H19-H20-H22-H23-H24+H26+H27</f>
        <v>0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0"/>
      <c r="I34" s="161"/>
      <c r="J34" s="16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/>
      <c r="H35" s="160"/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/>
      <c r="I36" s="161"/>
      <c r="J36" s="16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0"/>
      <c r="I37" s="161"/>
      <c r="J37" s="16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68</v>
      </c>
      <c r="C38" s="54"/>
      <c r="D38" s="12">
        <f>C38*84</f>
        <v>0</v>
      </c>
      <c r="F38" s="30">
        <v>50</v>
      </c>
      <c r="G38" s="39"/>
      <c r="H38" s="160"/>
      <c r="I38" s="161"/>
      <c r="J38" s="16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70</v>
      </c>
      <c r="C39" s="52"/>
      <c r="D39" s="31">
        <f>C39*4.5</f>
        <v>0</v>
      </c>
      <c r="F39" s="12">
        <v>20</v>
      </c>
      <c r="G39" s="37"/>
      <c r="H39" s="160"/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/>
      <c r="H42" s="161"/>
      <c r="I42" s="161"/>
      <c r="J42" s="16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90" t="s">
        <v>83</v>
      </c>
      <c r="H43" s="152" t="s">
        <v>13</v>
      </c>
      <c r="I43" s="153"/>
      <c r="J43" s="154"/>
      <c r="K43" s="21"/>
      <c r="P43" s="4"/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/>
      <c r="G44" s="76"/>
      <c r="H44" s="155"/>
      <c r="I44" s="155"/>
      <c r="J44" s="155"/>
      <c r="K44" s="21"/>
      <c r="P44" s="4"/>
      <c r="Q44" s="4"/>
      <c r="R44" s="5"/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/>
      <c r="D49" s="12">
        <f>C49*42</f>
        <v>0</v>
      </c>
      <c r="F49" s="136" t="s">
        <v>86</v>
      </c>
      <c r="G49" s="138">
        <f>H34+H35+H36+H37+H38+H39+H40+H41+G42+H44+H45+H46</f>
        <v>0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/>
      <c r="D50" s="12">
        <f>C50*1.5</f>
        <v>0</v>
      </c>
      <c r="F50" s="137"/>
      <c r="G50" s="141"/>
      <c r="H50" s="142"/>
      <c r="I50" s="142"/>
      <c r="J50" s="143"/>
      <c r="P50" s="4"/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128</v>
      </c>
      <c r="G51" s="146">
        <f>G49-H29</f>
        <v>0</v>
      </c>
      <c r="H51" s="147"/>
      <c r="I51" s="147"/>
      <c r="J51" s="1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0</v>
      </c>
      <c r="F54" s="21"/>
      <c r="J54" s="34"/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L25" sqref="L2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1</v>
      </c>
      <c r="H4" s="217" t="s">
        <v>9</v>
      </c>
      <c r="I4" s="219">
        <v>46028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84">
        <v>633</v>
      </c>
      <c r="D6" s="13">
        <f t="shared" ref="D6:D28" si="1">C6*L6</f>
        <v>481713</v>
      </c>
      <c r="F6" s="223" t="s">
        <v>16</v>
      </c>
      <c r="G6" s="225" t="s">
        <v>129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84">
        <v>2</v>
      </c>
      <c r="D7" s="13">
        <f t="shared" si="1"/>
        <v>1562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84">
        <v>1</v>
      </c>
      <c r="D8" s="13">
        <f t="shared" si="1"/>
        <v>1093</v>
      </c>
      <c r="F8" s="231" t="s">
        <v>21</v>
      </c>
      <c r="G8" s="232" t="s">
        <v>112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84">
        <v>27</v>
      </c>
      <c r="D9" s="13">
        <f t="shared" si="1"/>
        <v>19791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84">
        <v>1</v>
      </c>
      <c r="D10" s="13">
        <f t="shared" si="1"/>
        <v>1032</v>
      </c>
      <c r="F10" s="223" t="s">
        <v>26</v>
      </c>
      <c r="G10" s="238" t="s">
        <v>130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84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84">
        <v>1</v>
      </c>
      <c r="D12" s="48">
        <f t="shared" si="1"/>
        <v>992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84">
        <v>9</v>
      </c>
      <c r="D13" s="48">
        <f t="shared" si="1"/>
        <v>2763</v>
      </c>
      <c r="F13" s="244" t="s">
        <v>36</v>
      </c>
      <c r="G13" s="208"/>
      <c r="H13" s="199">
        <f>D29</f>
        <v>509943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84"/>
      <c r="D14" s="31">
        <f t="shared" si="1"/>
        <v>0</v>
      </c>
      <c r="F14" s="202" t="s">
        <v>39</v>
      </c>
      <c r="G14" s="203"/>
      <c r="H14" s="204">
        <f>D54</f>
        <v>74673.75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84"/>
      <c r="D15" s="31">
        <f t="shared" si="1"/>
        <v>0</v>
      </c>
      <c r="F15" s="207" t="s">
        <v>40</v>
      </c>
      <c r="G15" s="208"/>
      <c r="H15" s="209">
        <f>H13-H14</f>
        <v>435269.25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137</v>
      </c>
      <c r="C17" s="84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v>1102</v>
      </c>
      <c r="Q19" s="4"/>
      <c r="R19" s="5">
        <f t="shared" si="0"/>
        <v>0</v>
      </c>
    </row>
    <row r="20" spans="1:18" ht="15.75" x14ac:dyDescent="0.25">
      <c r="A20" s="15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127</v>
      </c>
      <c r="C22" s="84"/>
      <c r="D22" s="48">
        <f t="shared" si="1"/>
        <v>0</v>
      </c>
      <c r="F22" s="77"/>
      <c r="G22" s="73"/>
      <c r="H22" s="185"/>
      <c r="I22" s="185"/>
      <c r="J22" s="18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169</v>
      </c>
      <c r="C23" s="84">
        <v>12</v>
      </c>
      <c r="D23" s="48">
        <f t="shared" si="1"/>
        <v>454</v>
      </c>
      <c r="F23" s="77"/>
      <c r="G23" s="79"/>
      <c r="H23" s="251"/>
      <c r="I23" s="252"/>
      <c r="J23" s="252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121</v>
      </c>
      <c r="C24" s="84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136</v>
      </c>
      <c r="C26" s="84"/>
      <c r="D26" s="48">
        <f t="shared" si="1"/>
        <v>0</v>
      </c>
      <c r="F26" s="75"/>
      <c r="G26" s="65"/>
      <c r="H26" s="155"/>
      <c r="I26" s="155"/>
      <c r="J26" s="15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110</v>
      </c>
      <c r="C27" s="84"/>
      <c r="D27" s="44">
        <f t="shared" si="1"/>
        <v>0</v>
      </c>
      <c r="F27" s="71"/>
      <c r="G27" s="90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84"/>
      <c r="D28" s="48">
        <f t="shared" si="1"/>
        <v>0</v>
      </c>
      <c r="F28" s="93"/>
      <c r="G28" s="61"/>
      <c r="H28" s="196"/>
      <c r="I28" s="197"/>
      <c r="J28" s="19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509943</v>
      </c>
      <c r="F29" s="116" t="s">
        <v>55</v>
      </c>
      <c r="G29" s="178"/>
      <c r="H29" s="138">
        <f>H15-H16-H17-H18-H19-H20-H22-H23-H24+H26+H27+H28</f>
        <v>435269.25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225</v>
      </c>
      <c r="H34" s="160">
        <f t="shared" ref="H34:H39" si="2">F34*G34</f>
        <v>225000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>
        <v>300</v>
      </c>
      <c r="H35" s="160">
        <f t="shared" si="2"/>
        <v>150000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0">
        <f t="shared" si="2"/>
        <v>200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>
        <v>641</v>
      </c>
      <c r="D37" s="12">
        <f>C37*111</f>
        <v>71151</v>
      </c>
      <c r="F37" s="12">
        <v>100</v>
      </c>
      <c r="G37" s="39">
        <v>36</v>
      </c>
      <c r="H37" s="160">
        <f t="shared" si="2"/>
        <v>3600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10</v>
      </c>
      <c r="H38" s="160">
        <f t="shared" si="2"/>
        <v>500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160">
        <f t="shared" si="2"/>
        <v>20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0">
        <v>72</v>
      </c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90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>
        <v>3</v>
      </c>
      <c r="D44" s="12">
        <f>C44*120</f>
        <v>360</v>
      </c>
      <c r="F44" s="37" t="s">
        <v>153</v>
      </c>
      <c r="G44" s="62"/>
      <c r="H44" s="155">
        <v>56000</v>
      </c>
      <c r="I44" s="155"/>
      <c r="J44" s="155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1"/>
      <c r="B45" s="27" t="s">
        <v>68</v>
      </c>
      <c r="C45" s="33">
        <v>1</v>
      </c>
      <c r="D45" s="12">
        <f>C45*84</f>
        <v>84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>
        <v>3</v>
      </c>
      <c r="D46" s="12">
        <f>C46*1.5</f>
        <v>4.5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/>
      <c r="D49" s="12">
        <f>C49*42</f>
        <v>0</v>
      </c>
      <c r="F49" s="136" t="s">
        <v>86</v>
      </c>
      <c r="G49" s="138">
        <f>H34+H35+H36+H37+H38+H39+H40+H41+G42+H44+H45+H46</f>
        <v>435392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>
        <v>22</v>
      </c>
      <c r="D50" s="12">
        <f>C50*1.5</f>
        <v>33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149</v>
      </c>
      <c r="G51" s="146">
        <f>G49-H29</f>
        <v>122.75</v>
      </c>
      <c r="H51" s="147"/>
      <c r="I51" s="147"/>
      <c r="J51" s="1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74673.75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2</v>
      </c>
      <c r="H4" s="217" t="s">
        <v>9</v>
      </c>
      <c r="I4" s="219">
        <v>46028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581</v>
      </c>
      <c r="D6" s="13">
        <f t="shared" ref="D6:D28" si="1">C6*L6</f>
        <v>442141</v>
      </c>
      <c r="F6" s="223" t="s">
        <v>16</v>
      </c>
      <c r="G6" s="225" t="s">
        <v>140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3</v>
      </c>
      <c r="D7" s="13">
        <f t="shared" si="1"/>
        <v>2343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114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41</v>
      </c>
      <c r="D9" s="13">
        <f t="shared" si="1"/>
        <v>30053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115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2</v>
      </c>
      <c r="D12" s="48">
        <f t="shared" si="1"/>
        <v>1984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17</v>
      </c>
      <c r="D13" s="48">
        <f t="shared" si="1"/>
        <v>5219</v>
      </c>
      <c r="F13" s="244" t="s">
        <v>36</v>
      </c>
      <c r="G13" s="208"/>
      <c r="H13" s="199">
        <f>D29</f>
        <v>486638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</v>
      </c>
      <c r="D14" s="31">
        <f t="shared" si="1"/>
        <v>11</v>
      </c>
      <c r="F14" s="202" t="s">
        <v>39</v>
      </c>
      <c r="G14" s="203"/>
      <c r="H14" s="204">
        <f>D54</f>
        <v>85668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10">
        <v>1</v>
      </c>
      <c r="D15" s="31">
        <f t="shared" si="1"/>
        <v>620</v>
      </c>
      <c r="F15" s="207" t="s">
        <v>40</v>
      </c>
      <c r="G15" s="208"/>
      <c r="H15" s="209">
        <f>H13-H14</f>
        <v>400970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324*6+201*6</f>
        <v>3150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93</v>
      </c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135</v>
      </c>
      <c r="C21" s="10">
        <f>3+1</f>
        <v>4</v>
      </c>
      <c r="D21" s="48">
        <f t="shared" si="1"/>
        <v>2600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104</v>
      </c>
      <c r="C22" s="10"/>
      <c r="D22" s="48">
        <f t="shared" si="1"/>
        <v>0</v>
      </c>
      <c r="F22" s="72" t="s">
        <v>166</v>
      </c>
      <c r="G22" s="73">
        <v>8133</v>
      </c>
      <c r="H22" s="185">
        <v>131647</v>
      </c>
      <c r="I22" s="185"/>
      <c r="J22" s="18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107</v>
      </c>
      <c r="C23" s="10"/>
      <c r="D23" s="48">
        <f t="shared" si="1"/>
        <v>0</v>
      </c>
      <c r="F23" s="25"/>
      <c r="G23" s="37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101</v>
      </c>
      <c r="C24" s="10">
        <v>1</v>
      </c>
      <c r="D24" s="48">
        <f t="shared" si="1"/>
        <v>1667</v>
      </c>
      <c r="F24" s="38"/>
      <c r="G24" s="37"/>
      <c r="H24" s="186"/>
      <c r="I24" s="155"/>
      <c r="J24" s="15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105</v>
      </c>
      <c r="C26" s="10"/>
      <c r="D26" s="48">
        <f t="shared" si="1"/>
        <v>0</v>
      </c>
      <c r="F26" s="64"/>
      <c r="G26" s="10"/>
      <c r="H26" s="190"/>
      <c r="I26" s="191"/>
      <c r="J26" s="19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109</v>
      </c>
      <c r="C27" s="10"/>
      <c r="D27" s="44">
        <f t="shared" si="1"/>
        <v>0</v>
      </c>
      <c r="F27" s="14"/>
      <c r="G27" s="14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10"/>
      <c r="D28" s="48">
        <f t="shared" si="1"/>
        <v>0</v>
      </c>
      <c r="F28" s="93"/>
      <c r="G28" s="61"/>
      <c r="H28" s="196"/>
      <c r="I28" s="197"/>
      <c r="J28" s="19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486638</v>
      </c>
      <c r="F29" s="116" t="s">
        <v>55</v>
      </c>
      <c r="G29" s="178"/>
      <c r="H29" s="138">
        <f>H15-H16-H17-H18-H19-H20-H22-H23-H24+H26+H27</f>
        <v>266173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39</v>
      </c>
      <c r="H34" s="160">
        <f>F34*G34</f>
        <v>39000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160">
        <f t="shared" ref="H35:H37" si="2">F35*G35</f>
        <v>22500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0">
        <f>F36*G36</f>
        <v>200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>
        <v>758</v>
      </c>
      <c r="D37" s="12">
        <f>C37*111</f>
        <v>84138</v>
      </c>
      <c r="F37" s="12">
        <v>100</v>
      </c>
      <c r="G37" s="39">
        <v>40</v>
      </c>
      <c r="H37" s="160">
        <f t="shared" si="2"/>
        <v>4000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160">
        <f t="shared" ref="H38:H39" si="3">F38*G38</f>
        <v>300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60">
        <f t="shared" si="3"/>
        <v>20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>
        <v>2</v>
      </c>
      <c r="D42" s="12">
        <f>C42*2.25</f>
        <v>4.5</v>
      </c>
      <c r="F42" s="39" t="s">
        <v>79</v>
      </c>
      <c r="G42" s="160">
        <v>18</v>
      </c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90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>
        <v>3</v>
      </c>
      <c r="D44" s="12">
        <f>C44*120</f>
        <v>360</v>
      </c>
      <c r="F44" s="37" t="s">
        <v>147</v>
      </c>
      <c r="G44" s="62" t="s">
        <v>165</v>
      </c>
      <c r="H44" s="155">
        <v>198198</v>
      </c>
      <c r="I44" s="155"/>
      <c r="J44" s="155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>
        <v>24</v>
      </c>
      <c r="D46" s="12">
        <f>C46*1.5</f>
        <v>36</v>
      </c>
      <c r="F46" s="37"/>
      <c r="G46" s="91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>
        <v>2</v>
      </c>
      <c r="D49" s="12">
        <f>C49*42</f>
        <v>84</v>
      </c>
      <c r="F49" s="136" t="s">
        <v>86</v>
      </c>
      <c r="G49" s="138">
        <f>H34+H35+H36+H37+H38+H39+H40+H41+G42+H44+H45+H46</f>
        <v>264236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>
        <v>21</v>
      </c>
      <c r="D50" s="12">
        <f>C50*1.5</f>
        <v>31.5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161</v>
      </c>
      <c r="G51" s="245">
        <f>G49-H29</f>
        <v>-1937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85668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3</v>
      </c>
      <c r="H4" s="217" t="s">
        <v>9</v>
      </c>
      <c r="I4" s="219">
        <v>46028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f>614-273</f>
        <v>341</v>
      </c>
      <c r="D6" s="13">
        <f t="shared" ref="D6:D28" si="1">C6*L6</f>
        <v>259501</v>
      </c>
      <c r="F6" s="223" t="s">
        <v>16</v>
      </c>
      <c r="G6" s="225" t="s">
        <v>111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1</v>
      </c>
      <c r="D7" s="13">
        <f t="shared" si="1"/>
        <v>781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119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13</v>
      </c>
      <c r="D9" s="13">
        <f t="shared" si="1"/>
        <v>9529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134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3</v>
      </c>
      <c r="D12" s="48">
        <f t="shared" si="1"/>
        <v>2976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2</v>
      </c>
      <c r="D13" s="48">
        <f t="shared" si="1"/>
        <v>614</v>
      </c>
      <c r="F13" s="244" t="s">
        <v>36</v>
      </c>
      <c r="G13" s="208"/>
      <c r="H13" s="199">
        <f>D29</f>
        <v>275314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8</v>
      </c>
      <c r="D14" s="31">
        <f t="shared" si="1"/>
        <v>88</v>
      </c>
      <c r="F14" s="202" t="s">
        <v>39</v>
      </c>
      <c r="G14" s="203"/>
      <c r="H14" s="204">
        <f>D54</f>
        <v>52389.75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10"/>
      <c r="D15" s="31">
        <f t="shared" si="1"/>
        <v>0</v>
      </c>
      <c r="F15" s="207" t="s">
        <v>40</v>
      </c>
      <c r="G15" s="208"/>
      <c r="H15" s="209">
        <f>H13-H14</f>
        <v>222924.25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268*6+51*6</f>
        <v>1914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113</v>
      </c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/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104</v>
      </c>
      <c r="C22" s="10"/>
      <c r="D22" s="48">
        <f t="shared" si="1"/>
        <v>0</v>
      </c>
      <c r="F22" s="77" t="s">
        <v>167</v>
      </c>
      <c r="G22" s="73">
        <v>7798</v>
      </c>
      <c r="H22" s="185">
        <v>173644</v>
      </c>
      <c r="I22" s="185"/>
      <c r="J22" s="18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107</v>
      </c>
      <c r="C23" s="10">
        <v>1</v>
      </c>
      <c r="D23" s="48">
        <f t="shared" si="1"/>
        <v>1175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101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105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109</v>
      </c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10"/>
      <c r="D28" s="48">
        <f t="shared" si="1"/>
        <v>0</v>
      </c>
      <c r="F28" s="93"/>
      <c r="G28" s="61"/>
      <c r="H28" s="196"/>
      <c r="I28" s="197"/>
      <c r="J28" s="19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275314</v>
      </c>
      <c r="F29" s="116" t="s">
        <v>55</v>
      </c>
      <c r="G29" s="178"/>
      <c r="H29" s="138">
        <f>H15-H16-H17-H18-H19-H20-H22-H23-H24+H26+H27</f>
        <v>47366.25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26</v>
      </c>
      <c r="H34" s="160">
        <f>F34*G34</f>
        <v>26000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160">
        <f>F35*G35</f>
        <v>17500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160">
        <f t="shared" ref="H36:H39" si="2">F36*G36</f>
        <v>200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34</v>
      </c>
      <c r="H37" s="160">
        <f t="shared" si="2"/>
        <v>3400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60">
        <f t="shared" si="2"/>
        <v>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0">
        <f t="shared" si="2"/>
        <v>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0">
        <v>142</v>
      </c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90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>
        <v>2</v>
      </c>
      <c r="D44" s="12">
        <f>C44*120</f>
        <v>240</v>
      </c>
      <c r="F44" s="37"/>
      <c r="G44" s="76"/>
      <c r="H44" s="155"/>
      <c r="I44" s="155"/>
      <c r="J44" s="155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>
        <v>7</v>
      </c>
      <c r="D46" s="12">
        <f>C46*1.5</f>
        <v>10.5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>
        <v>1</v>
      </c>
      <c r="D49" s="12">
        <f>C49*42</f>
        <v>42</v>
      </c>
      <c r="F49" s="136" t="s">
        <v>86</v>
      </c>
      <c r="G49" s="138">
        <f>H34+H35+H36+H37+H38+H39+H40+H41+G42+H44+H45+H46</f>
        <v>47242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>
        <v>16</v>
      </c>
      <c r="D50" s="12">
        <f>C50*1.5</f>
        <v>24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139</v>
      </c>
      <c r="G51" s="245">
        <f>G49-H29</f>
        <v>-124.25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52389.75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2" t="s">
        <v>1</v>
      </c>
      <c r="O1" s="212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3" t="s">
        <v>7</v>
      </c>
      <c r="B4" s="164"/>
      <c r="C4" s="164"/>
      <c r="D4" s="165"/>
      <c r="F4" s="213" t="s">
        <v>8</v>
      </c>
      <c r="G4" s="215"/>
      <c r="H4" s="217" t="s">
        <v>9</v>
      </c>
      <c r="I4" s="219"/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223" t="s">
        <v>16</v>
      </c>
      <c r="G6" s="225"/>
      <c r="H6" s="226"/>
      <c r="I6" s="226"/>
      <c r="J6" s="2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231" t="s">
        <v>21</v>
      </c>
      <c r="G8" s="232"/>
      <c r="H8" s="233"/>
      <c r="I8" s="233"/>
      <c r="J8" s="2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223" t="s">
        <v>26</v>
      </c>
      <c r="G10" s="238"/>
      <c r="H10" s="239"/>
      <c r="I10" s="239"/>
      <c r="J10" s="240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202" t="s">
        <v>39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207" t="s">
        <v>40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50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93"/>
      <c r="G28" s="61"/>
      <c r="H28" s="196"/>
      <c r="I28" s="197"/>
      <c r="J28" s="19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55</v>
      </c>
      <c r="G29" s="178"/>
      <c r="H29" s="138">
        <f>H15-H16-H17-H18-H19-H20-H22-H23-H24+H26+H27</f>
        <v>0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0"/>
      <c r="I34" s="161"/>
      <c r="J34" s="16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/>
      <c r="H35" s="160"/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/>
      <c r="I36" s="161"/>
      <c r="J36" s="16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0"/>
      <c r="I37" s="161"/>
      <c r="J37" s="16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68</v>
      </c>
      <c r="C38" s="54"/>
      <c r="D38" s="12">
        <f>C38*84</f>
        <v>0</v>
      </c>
      <c r="F38" s="30">
        <v>50</v>
      </c>
      <c r="G38" s="39"/>
      <c r="H38" s="160"/>
      <c r="I38" s="161"/>
      <c r="J38" s="16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70</v>
      </c>
      <c r="C39" s="52"/>
      <c r="D39" s="31">
        <f>C39*4.5</f>
        <v>0</v>
      </c>
      <c r="F39" s="12">
        <v>20</v>
      </c>
      <c r="G39" s="37"/>
      <c r="H39" s="160"/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/>
      <c r="H42" s="161"/>
      <c r="I42" s="161"/>
      <c r="J42" s="16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90" t="s">
        <v>83</v>
      </c>
      <c r="H43" s="152" t="s">
        <v>13</v>
      </c>
      <c r="I43" s="153"/>
      <c r="J43" s="154"/>
      <c r="K43" s="21"/>
      <c r="P43" s="4"/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/>
      <c r="G44" s="76"/>
      <c r="H44" s="155"/>
      <c r="I44" s="155"/>
      <c r="J44" s="155"/>
      <c r="K44" s="21"/>
      <c r="P44" s="4"/>
      <c r="Q44" s="4"/>
      <c r="R44" s="5"/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/>
      <c r="D49" s="12">
        <f>C49*42</f>
        <v>0</v>
      </c>
      <c r="F49" s="136" t="s">
        <v>86</v>
      </c>
      <c r="G49" s="138">
        <f>H34+H35+H36+H37+H38+H39+H40+H41+G42+H44+H45+H46</f>
        <v>0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/>
      <c r="D50" s="12">
        <f>C50*1.5</f>
        <v>0</v>
      </c>
      <c r="F50" s="137"/>
      <c r="G50" s="141"/>
      <c r="H50" s="142"/>
      <c r="I50" s="142"/>
      <c r="J50" s="143"/>
      <c r="P50" s="4"/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128</v>
      </c>
      <c r="G51" s="146">
        <f>G49-H29</f>
        <v>0</v>
      </c>
      <c r="H51" s="147"/>
      <c r="I51" s="147"/>
      <c r="J51" s="1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0</v>
      </c>
      <c r="F54" s="21"/>
      <c r="J54" s="34"/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1</v>
      </c>
      <c r="H4" s="217" t="s">
        <v>9</v>
      </c>
      <c r="I4" s="219">
        <v>46029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84">
        <v>523</v>
      </c>
      <c r="D6" s="13">
        <f t="shared" ref="D6:D28" si="1">C6*L6</f>
        <v>398003</v>
      </c>
      <c r="F6" s="223" t="s">
        <v>16</v>
      </c>
      <c r="G6" s="225" t="s">
        <v>129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84">
        <v>2</v>
      </c>
      <c r="D7" s="13">
        <f t="shared" si="1"/>
        <v>1562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84">
        <v>2</v>
      </c>
      <c r="D8" s="13">
        <f t="shared" si="1"/>
        <v>2186</v>
      </c>
      <c r="F8" s="231" t="s">
        <v>21</v>
      </c>
      <c r="G8" s="232" t="s">
        <v>112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84">
        <v>10</v>
      </c>
      <c r="D9" s="13">
        <f t="shared" si="1"/>
        <v>7330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84"/>
      <c r="D10" s="13">
        <f t="shared" si="1"/>
        <v>0</v>
      </c>
      <c r="F10" s="223" t="s">
        <v>26</v>
      </c>
      <c r="G10" s="238" t="s">
        <v>130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84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84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84">
        <v>13</v>
      </c>
      <c r="D13" s="48">
        <f t="shared" si="1"/>
        <v>3991</v>
      </c>
      <c r="F13" s="244" t="s">
        <v>36</v>
      </c>
      <c r="G13" s="208"/>
      <c r="H13" s="199">
        <f>D29</f>
        <v>416738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84">
        <v>3</v>
      </c>
      <c r="D14" s="31">
        <f t="shared" si="1"/>
        <v>33</v>
      </c>
      <c r="F14" s="202" t="s">
        <v>39</v>
      </c>
      <c r="G14" s="203"/>
      <c r="H14" s="204">
        <f>D54</f>
        <v>113626.5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84"/>
      <c r="D15" s="31">
        <f t="shared" si="1"/>
        <v>0</v>
      </c>
      <c r="F15" s="207" t="s">
        <v>40</v>
      </c>
      <c r="G15" s="208"/>
      <c r="H15" s="209">
        <f>H13-H14</f>
        <v>303111.5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>
        <f>2586</f>
        <v>2586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137</v>
      </c>
      <c r="C17" s="84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v>1102</v>
      </c>
      <c r="Q19" s="4"/>
      <c r="R19" s="5">
        <f t="shared" si="0"/>
        <v>0</v>
      </c>
    </row>
    <row r="20" spans="1:18" ht="15.75" x14ac:dyDescent="0.25">
      <c r="A20" s="158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127</v>
      </c>
      <c r="C22" s="84"/>
      <c r="D22" s="48">
        <f t="shared" si="1"/>
        <v>0</v>
      </c>
      <c r="F22" s="77"/>
      <c r="G22" s="73"/>
      <c r="H22" s="185"/>
      <c r="I22" s="185"/>
      <c r="J22" s="18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169</v>
      </c>
      <c r="C23" s="84">
        <v>12</v>
      </c>
      <c r="D23" s="48">
        <f t="shared" si="1"/>
        <v>454</v>
      </c>
      <c r="F23" s="77"/>
      <c r="G23" s="79"/>
      <c r="H23" s="251"/>
      <c r="I23" s="252"/>
      <c r="J23" s="252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121</v>
      </c>
      <c r="C24" s="84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136</v>
      </c>
      <c r="C26" s="84"/>
      <c r="D26" s="48">
        <f t="shared" si="1"/>
        <v>0</v>
      </c>
      <c r="F26" s="75"/>
      <c r="G26" s="65"/>
      <c r="H26" s="155"/>
      <c r="I26" s="155"/>
      <c r="J26" s="15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110</v>
      </c>
      <c r="C27" s="84"/>
      <c r="D27" s="44">
        <f t="shared" si="1"/>
        <v>0</v>
      </c>
      <c r="F27" s="71"/>
      <c r="G27" s="90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84">
        <v>1</v>
      </c>
      <c r="D28" s="48">
        <f t="shared" si="1"/>
        <v>811</v>
      </c>
      <c r="F28" s="93"/>
      <c r="G28" s="61"/>
      <c r="H28" s="196"/>
      <c r="I28" s="197"/>
      <c r="J28" s="19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416738</v>
      </c>
      <c r="F29" s="116" t="s">
        <v>55</v>
      </c>
      <c r="G29" s="178"/>
      <c r="H29" s="138">
        <f>H15-H16-H17-H18-H19-H20-H22-H23-H24+H26+H27+H28</f>
        <v>300525.5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51</v>
      </c>
      <c r="H34" s="160">
        <f t="shared" ref="H34:H39" si="2">F34*G34</f>
        <v>51000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20</v>
      </c>
      <c r="H35" s="160">
        <f t="shared" si="2"/>
        <v>10000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>
        <f t="shared" si="2"/>
        <v>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>
        <v>1005</v>
      </c>
      <c r="D37" s="12">
        <f>C37*111</f>
        <v>111555</v>
      </c>
      <c r="F37" s="12">
        <v>100</v>
      </c>
      <c r="G37" s="39">
        <v>41</v>
      </c>
      <c r="H37" s="160">
        <f t="shared" si="2"/>
        <v>4100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15</v>
      </c>
      <c r="H38" s="160">
        <f t="shared" si="2"/>
        <v>750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0">
        <f t="shared" si="2"/>
        <v>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>
        <v>30</v>
      </c>
      <c r="D42" s="12">
        <f>C42*2.25</f>
        <v>67.5</v>
      </c>
      <c r="F42" s="39" t="s">
        <v>79</v>
      </c>
      <c r="G42" s="160"/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90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 t="s">
        <v>147</v>
      </c>
      <c r="G44" s="62" t="s">
        <v>170</v>
      </c>
      <c r="H44" s="155">
        <v>234325</v>
      </c>
      <c r="I44" s="155"/>
      <c r="J44" s="15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68</v>
      </c>
      <c r="C45" s="33">
        <v>1</v>
      </c>
      <c r="D45" s="12">
        <f>C45*84</f>
        <v>84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>
        <v>34</v>
      </c>
      <c r="D46" s="12">
        <f>C46*1.5</f>
        <v>51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/>
      <c r="D49" s="12">
        <f>C49*42</f>
        <v>0</v>
      </c>
      <c r="F49" s="136" t="s">
        <v>86</v>
      </c>
      <c r="G49" s="138">
        <f>H34+H35+H36+H37+H38+H39+H40+H41+G42+H44+H45+H46</f>
        <v>300175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>
        <v>10</v>
      </c>
      <c r="D50" s="12">
        <f>C50*1.5</f>
        <v>15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131</v>
      </c>
      <c r="G51" s="245">
        <f>G49-H29</f>
        <v>-350.5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113626.5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2</v>
      </c>
      <c r="H4" s="217" t="s">
        <v>9</v>
      </c>
      <c r="I4" s="219">
        <v>46029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450</v>
      </c>
      <c r="D6" s="13">
        <f t="shared" ref="D6:D28" si="1">C6*L6</f>
        <v>342450</v>
      </c>
      <c r="F6" s="223" t="s">
        <v>16</v>
      </c>
      <c r="G6" s="225" t="s">
        <v>140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114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20</v>
      </c>
      <c r="D9" s="13">
        <f t="shared" si="1"/>
        <v>14660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115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15</v>
      </c>
      <c r="D13" s="48">
        <f t="shared" si="1"/>
        <v>4605</v>
      </c>
      <c r="F13" s="244" t="s">
        <v>36</v>
      </c>
      <c r="G13" s="208"/>
      <c r="H13" s="199">
        <f>D29</f>
        <v>364269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11</v>
      </c>
      <c r="D14" s="31">
        <f t="shared" si="1"/>
        <v>121</v>
      </c>
      <c r="F14" s="202" t="s">
        <v>39</v>
      </c>
      <c r="G14" s="203"/>
      <c r="H14" s="204">
        <f>D54</f>
        <v>53587.5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10"/>
      <c r="D15" s="31">
        <f t="shared" si="1"/>
        <v>0</v>
      </c>
      <c r="F15" s="207" t="s">
        <v>40</v>
      </c>
      <c r="G15" s="208"/>
      <c r="H15" s="209">
        <f>H13-H14</f>
        <v>310681.5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2064</f>
        <v>2064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93</v>
      </c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104</v>
      </c>
      <c r="C22" s="10"/>
      <c r="D22" s="48">
        <f t="shared" si="1"/>
        <v>0</v>
      </c>
      <c r="F22" s="72"/>
      <c r="G22" s="73"/>
      <c r="H22" s="185"/>
      <c r="I22" s="185"/>
      <c r="J22" s="18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107</v>
      </c>
      <c r="C23" s="10"/>
      <c r="D23" s="48">
        <f t="shared" si="1"/>
        <v>0</v>
      </c>
      <c r="F23" s="25"/>
      <c r="G23" s="37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123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105</v>
      </c>
      <c r="C26" s="10"/>
      <c r="D26" s="48">
        <f t="shared" si="1"/>
        <v>0</v>
      </c>
      <c r="F26" s="64" t="s">
        <v>166</v>
      </c>
      <c r="G26" s="59">
        <v>8133</v>
      </c>
      <c r="H26" s="190">
        <v>131647</v>
      </c>
      <c r="I26" s="191"/>
      <c r="J26" s="19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109</v>
      </c>
      <c r="C27" s="10"/>
      <c r="D27" s="44">
        <f t="shared" si="1"/>
        <v>0</v>
      </c>
      <c r="F27" s="14"/>
      <c r="G27" s="14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10">
        <v>3</v>
      </c>
      <c r="D28" s="48">
        <f t="shared" si="1"/>
        <v>2433</v>
      </c>
      <c r="F28" s="93"/>
      <c r="G28" s="61"/>
      <c r="H28" s="196"/>
      <c r="I28" s="197"/>
      <c r="J28" s="19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364269</v>
      </c>
      <c r="F29" s="116" t="s">
        <v>55</v>
      </c>
      <c r="G29" s="178"/>
      <c r="H29" s="138">
        <f>H15-H16-H17-H18-H19-H20-H22-H23-H24+H26+H27</f>
        <v>440264.5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243</v>
      </c>
      <c r="H34" s="160">
        <f>F34*G34</f>
        <v>243000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>
        <v>101</v>
      </c>
      <c r="H35" s="160">
        <f t="shared" ref="H35:H39" si="2">F35*G35</f>
        <v>50500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>
        <f>F36*G36</f>
        <v>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128</v>
      </c>
      <c r="H37" s="160">
        <f t="shared" si="2"/>
        <v>12800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46</v>
      </c>
      <c r="H38" s="160">
        <f t="shared" si="2"/>
        <v>2300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0">
        <f t="shared" si="2"/>
        <v>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>
        <v>71</v>
      </c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90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 t="s">
        <v>147</v>
      </c>
      <c r="G44" s="62" t="s">
        <v>171</v>
      </c>
      <c r="H44" s="155">
        <v>131647</v>
      </c>
      <c r="I44" s="155"/>
      <c r="J44" s="15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91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>
        <v>9</v>
      </c>
      <c r="D49" s="12">
        <f>C49*42</f>
        <v>378</v>
      </c>
      <c r="F49" s="136" t="s">
        <v>86</v>
      </c>
      <c r="G49" s="138">
        <f>H34+H35+H36+H37+H38+H39+H40+H41+G42+H44+H45+H46</f>
        <v>440318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>
        <v>15</v>
      </c>
      <c r="D50" s="12">
        <f>C50*1.5</f>
        <v>22.5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142</v>
      </c>
      <c r="G51" s="146">
        <f>G49-H29</f>
        <v>53.5</v>
      </c>
      <c r="H51" s="147"/>
      <c r="I51" s="147"/>
      <c r="J51" s="1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53587.5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B1D7E-AC3B-4A1A-9DF9-F2224DED70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 t="s">
        <v>179</v>
      </c>
      <c r="H4" s="217" t="s">
        <v>9</v>
      </c>
      <c r="I4" s="219">
        <v>46029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223" t="s">
        <v>16</v>
      </c>
      <c r="G6" s="225" t="s">
        <v>178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/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/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202" t="s">
        <v>39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10"/>
      <c r="D15" s="31">
        <f t="shared" si="1"/>
        <v>0</v>
      </c>
      <c r="F15" s="207" t="s">
        <v>40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93</v>
      </c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104</v>
      </c>
      <c r="C22" s="10"/>
      <c r="D22" s="48">
        <f t="shared" si="1"/>
        <v>0</v>
      </c>
      <c r="F22" s="72"/>
      <c r="G22" s="73"/>
      <c r="H22" s="185"/>
      <c r="I22" s="185"/>
      <c r="J22" s="18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107</v>
      </c>
      <c r="C23" s="10"/>
      <c r="D23" s="48">
        <f t="shared" si="1"/>
        <v>0</v>
      </c>
      <c r="F23" s="25"/>
      <c r="G23" s="37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123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105</v>
      </c>
      <c r="C26" s="10"/>
      <c r="D26" s="48">
        <f t="shared" si="1"/>
        <v>0</v>
      </c>
      <c r="F26" s="64" t="s">
        <v>174</v>
      </c>
      <c r="G26" s="59">
        <v>8269</v>
      </c>
      <c r="H26" s="190">
        <v>7281</v>
      </c>
      <c r="I26" s="191"/>
      <c r="J26" s="19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109</v>
      </c>
      <c r="C27" s="10"/>
      <c r="D27" s="44">
        <f t="shared" si="1"/>
        <v>0</v>
      </c>
      <c r="F27" s="102" t="s">
        <v>175</v>
      </c>
      <c r="G27" s="59">
        <v>8269</v>
      </c>
      <c r="H27" s="190">
        <v>1000</v>
      </c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10"/>
      <c r="D28" s="48">
        <f t="shared" si="1"/>
        <v>0</v>
      </c>
      <c r="F28" s="102" t="s">
        <v>176</v>
      </c>
      <c r="G28" s="59">
        <v>8269</v>
      </c>
      <c r="H28" s="190">
        <v>3130</v>
      </c>
      <c r="I28" s="191"/>
      <c r="J28" s="19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55</v>
      </c>
      <c r="G29" s="178"/>
      <c r="H29" s="138">
        <f>H15-H16-H17-H18-H19-H20-H22-H23-H24+H26+H27+H28</f>
        <v>11411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9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0">
        <f>F34*G34</f>
        <v>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/>
      <c r="H35" s="160">
        <f t="shared" ref="H35:H39" si="2">F35*G35</f>
        <v>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>
        <f>F36*G36</f>
        <v>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0">
        <f t="shared" si="2"/>
        <v>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/>
      <c r="D38" s="12">
        <f>C38*84</f>
        <v>0</v>
      </c>
      <c r="F38" s="30">
        <v>50</v>
      </c>
      <c r="G38" s="39"/>
      <c r="H38" s="160">
        <f t="shared" si="2"/>
        <v>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/>
      <c r="D39" s="31">
        <f>C39*4.5</f>
        <v>0</v>
      </c>
      <c r="F39" s="12">
        <v>20</v>
      </c>
      <c r="G39" s="37"/>
      <c r="H39" s="160">
        <f t="shared" si="2"/>
        <v>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/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101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 t="s">
        <v>153</v>
      </c>
      <c r="G44" s="62"/>
      <c r="H44" s="155">
        <v>11411</v>
      </c>
      <c r="I44" s="155"/>
      <c r="J44" s="15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100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/>
      <c r="D49" s="12">
        <f>C49*42</f>
        <v>0</v>
      </c>
      <c r="F49" s="136" t="s">
        <v>86</v>
      </c>
      <c r="G49" s="138">
        <f>H34+H35+H36+H37+H38+H39+H40+H41+G42+H44+H45+H46</f>
        <v>11411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/>
      <c r="D50" s="12">
        <f>C50*1.5</f>
        <v>0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177</v>
      </c>
      <c r="G51" s="146">
        <f>G49-H29</f>
        <v>0</v>
      </c>
      <c r="H51" s="147"/>
      <c r="I51" s="147"/>
      <c r="J51" s="1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3</v>
      </c>
      <c r="H4" s="217" t="s">
        <v>9</v>
      </c>
      <c r="I4" s="219">
        <v>46029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380</v>
      </c>
      <c r="D6" s="13">
        <f t="shared" ref="D6:D28" si="1">C6*L6</f>
        <v>289180</v>
      </c>
      <c r="F6" s="223" t="s">
        <v>16</v>
      </c>
      <c r="G6" s="225" t="s">
        <v>111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19</v>
      </c>
      <c r="D7" s="13">
        <f t="shared" si="1"/>
        <v>14839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>
        <v>2</v>
      </c>
      <c r="D8" s="13">
        <f t="shared" si="1"/>
        <v>2186</v>
      </c>
      <c r="F8" s="231" t="s">
        <v>21</v>
      </c>
      <c r="G8" s="232" t="s">
        <v>119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84</v>
      </c>
      <c r="D9" s="13">
        <f t="shared" si="1"/>
        <v>61572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1</v>
      </c>
      <c r="D10" s="13">
        <f t="shared" si="1"/>
        <v>1032</v>
      </c>
      <c r="F10" s="223" t="s">
        <v>26</v>
      </c>
      <c r="G10" s="238" t="s">
        <v>134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f>3+1</f>
        <v>4</v>
      </c>
      <c r="D12" s="48">
        <f t="shared" si="1"/>
        <v>3968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14</v>
      </c>
      <c r="D13" s="48">
        <f t="shared" si="1"/>
        <v>4298</v>
      </c>
      <c r="F13" s="244" t="s">
        <v>36</v>
      </c>
      <c r="G13" s="208"/>
      <c r="H13" s="199">
        <f>D29</f>
        <v>383641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6</v>
      </c>
      <c r="D14" s="31">
        <f t="shared" si="1"/>
        <v>66</v>
      </c>
      <c r="F14" s="202" t="s">
        <v>39</v>
      </c>
      <c r="G14" s="203"/>
      <c r="H14" s="204">
        <f>D54</f>
        <v>52228.5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10"/>
      <c r="D15" s="31">
        <f t="shared" si="1"/>
        <v>0</v>
      </c>
      <c r="F15" s="207" t="s">
        <v>40</v>
      </c>
      <c r="G15" s="208"/>
      <c r="H15" s="209">
        <f>H13-H14</f>
        <v>331412.5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v>1248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113</v>
      </c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>
        <v>50</v>
      </c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135</v>
      </c>
      <c r="C21" s="10">
        <f>5+5</f>
        <v>10</v>
      </c>
      <c r="D21" s="48">
        <f t="shared" si="1"/>
        <v>6500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104</v>
      </c>
      <c r="C22" s="10"/>
      <c r="D22" s="48">
        <f t="shared" si="1"/>
        <v>0</v>
      </c>
      <c r="F22" s="77"/>
      <c r="G22" s="73"/>
      <c r="H22" s="185"/>
      <c r="I22" s="185"/>
      <c r="J22" s="18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107</v>
      </c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101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105</v>
      </c>
      <c r="C26" s="10"/>
      <c r="D26" s="48">
        <f t="shared" si="1"/>
        <v>0</v>
      </c>
      <c r="F26" s="64" t="s">
        <v>167</v>
      </c>
      <c r="G26" s="59">
        <v>7798</v>
      </c>
      <c r="H26" s="190">
        <v>173644</v>
      </c>
      <c r="I26" s="191"/>
      <c r="J26" s="19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109</v>
      </c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10"/>
      <c r="D28" s="48">
        <f t="shared" si="1"/>
        <v>0</v>
      </c>
      <c r="F28" s="93"/>
      <c r="G28" s="61"/>
      <c r="H28" s="196"/>
      <c r="I28" s="197"/>
      <c r="J28" s="19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383641</v>
      </c>
      <c r="F29" s="116" t="s">
        <v>55</v>
      </c>
      <c r="G29" s="178"/>
      <c r="H29" s="138">
        <f>H15-H16-H17-H18-H19-H20-H22-H23-H24+H26+H27</f>
        <v>503758.5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160">
        <f>F34*G34</f>
        <v>148000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60">
        <f>F35*G35</f>
        <v>10000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60">
        <f t="shared" ref="H36:H39" si="2">F36*G36</f>
        <v>600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151</v>
      </c>
      <c r="H37" s="160">
        <f t="shared" si="2"/>
        <v>15100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335</v>
      </c>
      <c r="H38" s="160">
        <f t="shared" si="2"/>
        <v>16750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0">
        <f t="shared" si="2"/>
        <v>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>
        <v>4</v>
      </c>
      <c r="D42" s="12">
        <f>C42*2.25</f>
        <v>9</v>
      </c>
      <c r="F42" s="39" t="s">
        <v>79</v>
      </c>
      <c r="G42" s="160">
        <v>175</v>
      </c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90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>
        <v>5</v>
      </c>
      <c r="D44" s="12">
        <f>C44*120</f>
        <v>600</v>
      </c>
      <c r="F44" s="37" t="s">
        <v>147</v>
      </c>
      <c r="G44" s="76" t="s">
        <v>172</v>
      </c>
      <c r="H44" s="155">
        <v>139318</v>
      </c>
      <c r="I44" s="155"/>
      <c r="J44" s="155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1"/>
      <c r="B45" s="27" t="s">
        <v>68</v>
      </c>
      <c r="C45" s="33">
        <v>2</v>
      </c>
      <c r="D45" s="12">
        <f>C45*84</f>
        <v>168</v>
      </c>
      <c r="F45" s="37" t="s">
        <v>147</v>
      </c>
      <c r="G45" s="76" t="s">
        <v>173</v>
      </c>
      <c r="H45" s="155">
        <v>173644</v>
      </c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>
        <v>9</v>
      </c>
      <c r="D46" s="12">
        <f>C46*1.5</f>
        <v>13.5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>
        <v>5</v>
      </c>
      <c r="D49" s="12">
        <f>C49*42</f>
        <v>210</v>
      </c>
      <c r="F49" s="136" t="s">
        <v>86</v>
      </c>
      <c r="G49" s="138">
        <f>H34+H35+H36+H37+H38+H39+H40+H41+G42+H44+H45+H46</f>
        <v>503587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>
        <v>18</v>
      </c>
      <c r="D50" s="12">
        <f>C50*1.5</f>
        <v>27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139</v>
      </c>
      <c r="G51" s="245">
        <f>G49-H29</f>
        <v>-171.5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52228.5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2" t="s">
        <v>1</v>
      </c>
      <c r="O1" s="212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3" t="s">
        <v>7</v>
      </c>
      <c r="B4" s="164"/>
      <c r="C4" s="164"/>
      <c r="D4" s="165"/>
      <c r="F4" s="213" t="s">
        <v>8</v>
      </c>
      <c r="G4" s="215"/>
      <c r="H4" s="217" t="s">
        <v>9</v>
      </c>
      <c r="I4" s="219"/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223" t="s">
        <v>16</v>
      </c>
      <c r="G6" s="225"/>
      <c r="H6" s="226"/>
      <c r="I6" s="226"/>
      <c r="J6" s="2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231" t="s">
        <v>21</v>
      </c>
      <c r="G8" s="232"/>
      <c r="H8" s="233"/>
      <c r="I8" s="233"/>
      <c r="J8" s="2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223" t="s">
        <v>26</v>
      </c>
      <c r="G10" s="238"/>
      <c r="H10" s="239"/>
      <c r="I10" s="239"/>
      <c r="J10" s="240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202" t="s">
        <v>39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207" t="s">
        <v>40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50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93"/>
      <c r="G28" s="61"/>
      <c r="H28" s="196"/>
      <c r="I28" s="197"/>
      <c r="J28" s="19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55</v>
      </c>
      <c r="G29" s="178"/>
      <c r="H29" s="138">
        <f>H15-H16-H17-H18-H19-H20-H22-H23-H24+H26+H27</f>
        <v>0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0"/>
      <c r="I34" s="161"/>
      <c r="J34" s="16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/>
      <c r="H35" s="160"/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/>
      <c r="I36" s="161"/>
      <c r="J36" s="16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0"/>
      <c r="I37" s="161"/>
      <c r="J37" s="16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68</v>
      </c>
      <c r="C38" s="54"/>
      <c r="D38" s="12">
        <f>C38*84</f>
        <v>0</v>
      </c>
      <c r="F38" s="30">
        <v>50</v>
      </c>
      <c r="G38" s="39"/>
      <c r="H38" s="160"/>
      <c r="I38" s="161"/>
      <c r="J38" s="16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70</v>
      </c>
      <c r="C39" s="52"/>
      <c r="D39" s="31">
        <f>C39*4.5</f>
        <v>0</v>
      </c>
      <c r="F39" s="12">
        <v>20</v>
      </c>
      <c r="G39" s="37"/>
      <c r="H39" s="160"/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/>
      <c r="H42" s="161"/>
      <c r="I42" s="161"/>
      <c r="J42" s="16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90" t="s">
        <v>83</v>
      </c>
      <c r="H43" s="152" t="s">
        <v>13</v>
      </c>
      <c r="I43" s="153"/>
      <c r="J43" s="154"/>
      <c r="K43" s="21"/>
      <c r="P43" s="4"/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/>
      <c r="G44" s="76"/>
      <c r="H44" s="155"/>
      <c r="I44" s="155"/>
      <c r="J44" s="155"/>
      <c r="K44" s="21"/>
      <c r="P44" s="4"/>
      <c r="Q44" s="4"/>
      <c r="R44" s="5"/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/>
      <c r="D49" s="12">
        <f>C49*42</f>
        <v>0</v>
      </c>
      <c r="F49" s="136" t="s">
        <v>86</v>
      </c>
      <c r="G49" s="138">
        <f>H34+H35+H36+H37+H38+H39+H40+H41+G42+H44+H45+H46</f>
        <v>0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/>
      <c r="D50" s="12">
        <f>C50*1.5</f>
        <v>0</v>
      </c>
      <c r="F50" s="137"/>
      <c r="G50" s="141"/>
      <c r="H50" s="142"/>
      <c r="I50" s="142"/>
      <c r="J50" s="143"/>
      <c r="P50" s="4"/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128</v>
      </c>
      <c r="G51" s="146">
        <f>G49-H29</f>
        <v>0</v>
      </c>
      <c r="H51" s="147"/>
      <c r="I51" s="147"/>
      <c r="J51" s="1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0</v>
      </c>
      <c r="F54" s="21"/>
      <c r="J54" s="34"/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1</v>
      </c>
      <c r="H4" s="217" t="s">
        <v>9</v>
      </c>
      <c r="I4" s="219">
        <v>46030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84">
        <v>707</v>
      </c>
      <c r="D6" s="13">
        <f t="shared" ref="D6:D28" si="1">C6*L6</f>
        <v>538027</v>
      </c>
      <c r="F6" s="223" t="s">
        <v>16</v>
      </c>
      <c r="G6" s="225" t="s">
        <v>129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84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84"/>
      <c r="D8" s="13">
        <f t="shared" si="1"/>
        <v>0</v>
      </c>
      <c r="F8" s="231" t="s">
        <v>21</v>
      </c>
      <c r="G8" s="232" t="s">
        <v>112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84">
        <v>10</v>
      </c>
      <c r="D9" s="13">
        <f t="shared" si="1"/>
        <v>7330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84"/>
      <c r="D10" s="13">
        <f t="shared" si="1"/>
        <v>0</v>
      </c>
      <c r="F10" s="223" t="s">
        <v>26</v>
      </c>
      <c r="G10" s="238" t="s">
        <v>130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84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84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84">
        <v>26</v>
      </c>
      <c r="D13" s="48">
        <f t="shared" si="1"/>
        <v>7982</v>
      </c>
      <c r="F13" s="244" t="s">
        <v>36</v>
      </c>
      <c r="G13" s="208"/>
      <c r="H13" s="199">
        <f>D29</f>
        <v>555289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84"/>
      <c r="D14" s="31">
        <f t="shared" si="1"/>
        <v>0</v>
      </c>
      <c r="F14" s="202" t="s">
        <v>39</v>
      </c>
      <c r="G14" s="203"/>
      <c r="H14" s="204">
        <f>D54</f>
        <v>79440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84"/>
      <c r="D15" s="31">
        <f t="shared" si="1"/>
        <v>0</v>
      </c>
      <c r="F15" s="207" t="s">
        <v>40</v>
      </c>
      <c r="G15" s="208"/>
      <c r="H15" s="209">
        <f>H13-H14</f>
        <v>475849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>
        <f>3882</f>
        <v>3882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137</v>
      </c>
      <c r="C17" s="84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v>1102</v>
      </c>
      <c r="Q19" s="4"/>
      <c r="R19" s="5">
        <f t="shared" si="0"/>
        <v>0</v>
      </c>
    </row>
    <row r="20" spans="1:18" ht="15.75" x14ac:dyDescent="0.25">
      <c r="A20" s="15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127</v>
      </c>
      <c r="C22" s="84"/>
      <c r="D22" s="48">
        <f t="shared" si="1"/>
        <v>0</v>
      </c>
      <c r="F22" s="77"/>
      <c r="G22" s="73"/>
      <c r="H22" s="185"/>
      <c r="I22" s="185"/>
      <c r="J22" s="18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101</v>
      </c>
      <c r="C23" s="84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121</v>
      </c>
      <c r="C24" s="84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136</v>
      </c>
      <c r="C26" s="84"/>
      <c r="D26" s="48">
        <f t="shared" si="1"/>
        <v>0</v>
      </c>
      <c r="F26" s="75"/>
      <c r="G26" s="65"/>
      <c r="H26" s="155"/>
      <c r="I26" s="155"/>
      <c r="J26" s="15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110</v>
      </c>
      <c r="C27" s="84"/>
      <c r="D27" s="44">
        <f t="shared" si="1"/>
        <v>0</v>
      </c>
      <c r="F27" s="71"/>
      <c r="G27" s="90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84"/>
      <c r="D28" s="48">
        <f t="shared" si="1"/>
        <v>0</v>
      </c>
      <c r="F28" s="93"/>
      <c r="G28" s="61"/>
      <c r="H28" s="196"/>
      <c r="I28" s="197"/>
      <c r="J28" s="19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555289</v>
      </c>
      <c r="F29" s="116" t="s">
        <v>55</v>
      </c>
      <c r="G29" s="178"/>
      <c r="H29" s="138">
        <f>H15-H16-H17-H18-H19-H20-H22-H23-H24+H26+H27+H28</f>
        <v>471967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262</v>
      </c>
      <c r="H34" s="160">
        <f t="shared" ref="H34:H39" si="2">F34*G34</f>
        <v>262000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>
        <v>402</v>
      </c>
      <c r="H35" s="160">
        <f t="shared" si="2"/>
        <v>201000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60">
        <f t="shared" si="2"/>
        <v>600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>
        <v>694</v>
      </c>
      <c r="D37" s="12">
        <f>C37*111</f>
        <v>77034</v>
      </c>
      <c r="F37" s="12">
        <v>100</v>
      </c>
      <c r="G37" s="39">
        <v>68</v>
      </c>
      <c r="H37" s="160">
        <f t="shared" si="2"/>
        <v>6800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160">
        <f t="shared" si="2"/>
        <v>100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/>
      <c r="D39" s="31">
        <f>C39*4.5</f>
        <v>0</v>
      </c>
      <c r="F39" s="12">
        <v>20</v>
      </c>
      <c r="G39" s="37"/>
      <c r="H39" s="160">
        <f t="shared" si="2"/>
        <v>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>
        <v>8</v>
      </c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90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>
        <v>2</v>
      </c>
      <c r="D44" s="12">
        <f>C44*120</f>
        <v>240</v>
      </c>
      <c r="F44" s="37"/>
      <c r="G44" s="62"/>
      <c r="H44" s="155"/>
      <c r="I44" s="155"/>
      <c r="J44" s="15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>
        <v>16</v>
      </c>
      <c r="D49" s="12">
        <f>C49*42</f>
        <v>672</v>
      </c>
      <c r="F49" s="136" t="s">
        <v>86</v>
      </c>
      <c r="G49" s="138">
        <f>H34+H35+H36+H37+H38+H39+H40+H41+G42+H44+H45+H46</f>
        <v>470508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/>
      <c r="D50" s="12">
        <f>C50*1.5</f>
        <v>0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131</v>
      </c>
      <c r="G51" s="245">
        <f>G49-H29</f>
        <v>-1459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79440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2</v>
      </c>
      <c r="H4" s="217" t="s">
        <v>9</v>
      </c>
      <c r="I4" s="219">
        <v>46030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314</v>
      </c>
      <c r="D6" s="13">
        <f t="shared" ref="D6:D28" si="1">C6*L6</f>
        <v>238954</v>
      </c>
      <c r="F6" s="223" t="s">
        <v>16</v>
      </c>
      <c r="G6" s="225" t="s">
        <v>140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5</v>
      </c>
      <c r="D7" s="13">
        <f t="shared" si="1"/>
        <v>3905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114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19</v>
      </c>
      <c r="D9" s="13">
        <f t="shared" si="1"/>
        <v>13927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1</v>
      </c>
      <c r="D10" s="13">
        <f t="shared" si="1"/>
        <v>1032</v>
      </c>
      <c r="F10" s="223" t="s">
        <v>26</v>
      </c>
      <c r="G10" s="238" t="s">
        <v>115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f>2+1+1</f>
        <v>4</v>
      </c>
      <c r="D12" s="48">
        <f t="shared" si="1"/>
        <v>3968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7</v>
      </c>
      <c r="D13" s="48">
        <f t="shared" si="1"/>
        <v>2149</v>
      </c>
      <c r="F13" s="244" t="s">
        <v>36</v>
      </c>
      <c r="G13" s="208"/>
      <c r="H13" s="199">
        <f>D29</f>
        <v>263957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2</v>
      </c>
      <c r="D14" s="31">
        <f t="shared" si="1"/>
        <v>22</v>
      </c>
      <c r="F14" s="202" t="s">
        <v>39</v>
      </c>
      <c r="G14" s="203"/>
      <c r="H14" s="204">
        <f>D54</f>
        <v>52866.75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10"/>
      <c r="D15" s="31">
        <f t="shared" si="1"/>
        <v>0</v>
      </c>
      <c r="F15" s="207" t="s">
        <v>40</v>
      </c>
      <c r="G15" s="208"/>
      <c r="H15" s="209">
        <f>H13-H14</f>
        <v>211090.25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93</v>
      </c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104</v>
      </c>
      <c r="C22" s="10"/>
      <c r="D22" s="48">
        <f t="shared" si="1"/>
        <v>0</v>
      </c>
      <c r="F22" s="72"/>
      <c r="G22" s="73"/>
      <c r="H22" s="185"/>
      <c r="I22" s="185"/>
      <c r="J22" s="18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107</v>
      </c>
      <c r="C23" s="10"/>
      <c r="D23" s="48">
        <f t="shared" si="1"/>
        <v>0</v>
      </c>
      <c r="F23" s="25"/>
      <c r="G23" s="37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123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105</v>
      </c>
      <c r="C26" s="10"/>
      <c r="D26" s="48">
        <f t="shared" si="1"/>
        <v>0</v>
      </c>
      <c r="F26" s="64"/>
      <c r="G26" s="10"/>
      <c r="H26" s="190"/>
      <c r="I26" s="191"/>
      <c r="J26" s="19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109</v>
      </c>
      <c r="C27" s="10"/>
      <c r="D27" s="44">
        <f t="shared" si="1"/>
        <v>0</v>
      </c>
      <c r="F27" s="14"/>
      <c r="G27" s="14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10"/>
      <c r="D28" s="48">
        <f t="shared" si="1"/>
        <v>0</v>
      </c>
      <c r="F28" s="93"/>
      <c r="G28" s="61"/>
      <c r="H28" s="196"/>
      <c r="I28" s="197"/>
      <c r="J28" s="19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263957</v>
      </c>
      <c r="F29" s="116" t="s">
        <v>55</v>
      </c>
      <c r="G29" s="178"/>
      <c r="H29" s="138">
        <f>H15-H16-H17-H18-H19-H20-H22-H23-H24+H26+H27</f>
        <v>211090.25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199</v>
      </c>
      <c r="H34" s="160">
        <f>F34*G34</f>
        <v>199000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60">
        <f t="shared" ref="H35:H39" si="2">F35*G35</f>
        <v>500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>
        <f>F36*G36</f>
        <v>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56</v>
      </c>
      <c r="H37" s="160">
        <f t="shared" si="2"/>
        <v>5600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60">
        <f t="shared" si="2"/>
        <v>50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160">
        <f t="shared" si="2"/>
        <v>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>
        <v>1</v>
      </c>
      <c r="D42" s="12">
        <f>C42*2.25</f>
        <v>2.25</v>
      </c>
      <c r="F42" s="39" t="s">
        <v>79</v>
      </c>
      <c r="G42" s="160">
        <v>10004</v>
      </c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90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>
        <v>2</v>
      </c>
      <c r="D44" s="12">
        <f>C44*120</f>
        <v>240</v>
      </c>
      <c r="F44" s="37"/>
      <c r="G44" s="62"/>
      <c r="H44" s="155"/>
      <c r="I44" s="155"/>
      <c r="J44" s="155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1"/>
      <c r="B45" s="27" t="s">
        <v>68</v>
      </c>
      <c r="C45" s="33">
        <v>1</v>
      </c>
      <c r="D45" s="12">
        <f>C45*84</f>
        <v>84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>
        <v>22</v>
      </c>
      <c r="D46" s="12">
        <f>C46*1.5</f>
        <v>33</v>
      </c>
      <c r="F46" s="37"/>
      <c r="G46" s="91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>
        <v>3</v>
      </c>
      <c r="D49" s="12">
        <f>C49*42</f>
        <v>126</v>
      </c>
      <c r="F49" s="136" t="s">
        <v>86</v>
      </c>
      <c r="G49" s="138">
        <f>H34+H35+H36+H37+H38+H39+H40+H41+G42+H44+H45+H46</f>
        <v>215154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>
        <v>36</v>
      </c>
      <c r="D50" s="12">
        <f>C50*1.5</f>
        <v>54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142</v>
      </c>
      <c r="G51" s="146">
        <f>G49-H29</f>
        <v>4063.75</v>
      </c>
      <c r="H51" s="147"/>
      <c r="I51" s="147"/>
      <c r="J51" s="1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52866.75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3</v>
      </c>
      <c r="H4" s="217" t="s">
        <v>9</v>
      </c>
      <c r="I4" s="219">
        <v>46030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529</v>
      </c>
      <c r="D6" s="13">
        <f t="shared" ref="D6:D28" si="1">C6*L6</f>
        <v>402569</v>
      </c>
      <c r="F6" s="223" t="s">
        <v>16</v>
      </c>
      <c r="G6" s="225" t="s">
        <v>111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15</v>
      </c>
      <c r="D7" s="13">
        <f t="shared" si="1"/>
        <v>11715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>
        <v>2</v>
      </c>
      <c r="D8" s="13">
        <f t="shared" si="1"/>
        <v>2186</v>
      </c>
      <c r="F8" s="231" t="s">
        <v>21</v>
      </c>
      <c r="G8" s="232" t="s">
        <v>119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3</v>
      </c>
      <c r="D10" s="13">
        <f t="shared" si="1"/>
        <v>3096</v>
      </c>
      <c r="F10" s="223" t="s">
        <v>26</v>
      </c>
      <c r="G10" s="238" t="s">
        <v>134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2</v>
      </c>
      <c r="D11" s="13">
        <f t="shared" si="1"/>
        <v>2340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f>8+1+1</f>
        <v>10</v>
      </c>
      <c r="D12" s="48">
        <f t="shared" si="1"/>
        <v>9920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5</v>
      </c>
      <c r="D13" s="48">
        <f t="shared" si="1"/>
        <v>1535</v>
      </c>
      <c r="F13" s="244" t="s">
        <v>36</v>
      </c>
      <c r="G13" s="208"/>
      <c r="H13" s="199">
        <f>D29</f>
        <v>434667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6</v>
      </c>
      <c r="D14" s="31">
        <f t="shared" si="1"/>
        <v>66</v>
      </c>
      <c r="F14" s="202" t="s">
        <v>39</v>
      </c>
      <c r="G14" s="203"/>
      <c r="H14" s="204">
        <f>D54</f>
        <v>66066.75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10">
        <v>2</v>
      </c>
      <c r="D15" s="31">
        <f t="shared" si="1"/>
        <v>1240</v>
      </c>
      <c r="F15" s="207" t="s">
        <v>40</v>
      </c>
      <c r="G15" s="208"/>
      <c r="H15" s="209">
        <f>H13-H14</f>
        <v>368600.25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2772+330</f>
        <v>3102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113</v>
      </c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/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104</v>
      </c>
      <c r="C22" s="10"/>
      <c r="D22" s="48">
        <f t="shared" si="1"/>
        <v>0</v>
      </c>
      <c r="F22" s="77"/>
      <c r="G22" s="73"/>
      <c r="H22" s="185"/>
      <c r="I22" s="185"/>
      <c r="J22" s="18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107</v>
      </c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101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105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109</v>
      </c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10"/>
      <c r="D28" s="48">
        <f t="shared" si="1"/>
        <v>0</v>
      </c>
      <c r="F28" s="93"/>
      <c r="G28" s="61"/>
      <c r="H28" s="196"/>
      <c r="I28" s="197"/>
      <c r="J28" s="19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434667</v>
      </c>
      <c r="F29" s="116" t="s">
        <v>55</v>
      </c>
      <c r="G29" s="178"/>
      <c r="H29" s="138">
        <f>H15-H16-H17-H18-H19-H20-H22-H23-H24+H26+H27</f>
        <v>365498.25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60">
        <f>F34*G34</f>
        <v>41000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60">
        <f>F35*G35</f>
        <v>15000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0">
        <f t="shared" ref="H36:H39" si="2">F36*G36</f>
        <v>200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>
        <v>550</v>
      </c>
      <c r="D37" s="12">
        <f>C37*111</f>
        <v>61050</v>
      </c>
      <c r="F37" s="12">
        <v>100</v>
      </c>
      <c r="G37" s="39">
        <v>73</v>
      </c>
      <c r="H37" s="160">
        <f t="shared" si="2"/>
        <v>7300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2</v>
      </c>
      <c r="H38" s="160">
        <f t="shared" si="2"/>
        <v>100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60">
        <f t="shared" si="2"/>
        <v>20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>
        <v>3</v>
      </c>
      <c r="D42" s="12">
        <f>C42*2.25</f>
        <v>6.75</v>
      </c>
      <c r="F42" s="39" t="s">
        <v>79</v>
      </c>
      <c r="G42" s="160">
        <v>165</v>
      </c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90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>
        <v>21</v>
      </c>
      <c r="D44" s="12">
        <f>C44*120</f>
        <v>2520</v>
      </c>
      <c r="F44" s="37" t="s">
        <v>181</v>
      </c>
      <c r="G44" s="76" t="s">
        <v>182</v>
      </c>
      <c r="H44" s="155">
        <v>301634</v>
      </c>
      <c r="I44" s="155"/>
      <c r="J44" s="155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1"/>
      <c r="B45" s="27" t="s">
        <v>68</v>
      </c>
      <c r="C45" s="33">
        <v>1</v>
      </c>
      <c r="D45" s="12">
        <f>C45*84</f>
        <v>84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>
        <v>4</v>
      </c>
      <c r="D46" s="12">
        <f>C46*1.5</f>
        <v>6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>
        <v>1</v>
      </c>
      <c r="D49" s="12">
        <f>C49*42</f>
        <v>42</v>
      </c>
      <c r="F49" s="136" t="s">
        <v>86</v>
      </c>
      <c r="G49" s="138">
        <f>H34+H35+H36+H37+H38+H39+H40+H41+G42+H44+H45+H46</f>
        <v>365419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>
        <v>1</v>
      </c>
      <c r="D50" s="12">
        <f>C50*1.5</f>
        <v>1.5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139</v>
      </c>
      <c r="G51" s="245">
        <f>G49-H29</f>
        <v>-79.25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66066.75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2" t="s">
        <v>1</v>
      </c>
      <c r="O1" s="212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3" t="s">
        <v>7</v>
      </c>
      <c r="B4" s="164"/>
      <c r="C4" s="164"/>
      <c r="D4" s="165"/>
      <c r="F4" s="213" t="s">
        <v>8</v>
      </c>
      <c r="G4" s="215"/>
      <c r="H4" s="217" t="s">
        <v>9</v>
      </c>
      <c r="I4" s="219"/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223" t="s">
        <v>16</v>
      </c>
      <c r="G6" s="225"/>
      <c r="H6" s="226"/>
      <c r="I6" s="226"/>
      <c r="J6" s="2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231" t="s">
        <v>21</v>
      </c>
      <c r="G8" s="232"/>
      <c r="H8" s="233"/>
      <c r="I8" s="233"/>
      <c r="J8" s="2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223" t="s">
        <v>26</v>
      </c>
      <c r="G10" s="238"/>
      <c r="H10" s="239"/>
      <c r="I10" s="239"/>
      <c r="J10" s="240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202" t="s">
        <v>39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207" t="s">
        <v>40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50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93"/>
      <c r="G28" s="61"/>
      <c r="H28" s="196"/>
      <c r="I28" s="197"/>
      <c r="J28" s="19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55</v>
      </c>
      <c r="G29" s="178"/>
      <c r="H29" s="138">
        <f>H15-H16-H17-H18-H19-H20-H22-H23-H24+H26+H27</f>
        <v>0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0"/>
      <c r="I34" s="161"/>
      <c r="J34" s="16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/>
      <c r="H35" s="160"/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/>
      <c r="I36" s="161"/>
      <c r="J36" s="16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0"/>
      <c r="I37" s="161"/>
      <c r="J37" s="16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68</v>
      </c>
      <c r="C38" s="54"/>
      <c r="D38" s="12">
        <f>C38*84</f>
        <v>0</v>
      </c>
      <c r="F38" s="30">
        <v>50</v>
      </c>
      <c r="G38" s="39"/>
      <c r="H38" s="160"/>
      <c r="I38" s="161"/>
      <c r="J38" s="16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70</v>
      </c>
      <c r="C39" s="52"/>
      <c r="D39" s="31">
        <f>C39*4.5</f>
        <v>0</v>
      </c>
      <c r="F39" s="12">
        <v>20</v>
      </c>
      <c r="G39" s="37"/>
      <c r="H39" s="160"/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/>
      <c r="H42" s="161"/>
      <c r="I42" s="161"/>
      <c r="J42" s="16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90" t="s">
        <v>83</v>
      </c>
      <c r="H43" s="152" t="s">
        <v>13</v>
      </c>
      <c r="I43" s="153"/>
      <c r="J43" s="154"/>
      <c r="K43" s="21"/>
      <c r="P43" s="4"/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/>
      <c r="G44" s="76"/>
      <c r="H44" s="155"/>
      <c r="I44" s="155"/>
      <c r="J44" s="155"/>
      <c r="K44" s="21"/>
      <c r="P44" s="4"/>
      <c r="Q44" s="4"/>
      <c r="R44" s="5"/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/>
      <c r="D49" s="12">
        <f>C49*42</f>
        <v>0</v>
      </c>
      <c r="F49" s="136" t="s">
        <v>86</v>
      </c>
      <c r="G49" s="138">
        <f>H34+H35+H36+H37+H38+H39+H40+H41+G42+H44+H45+H46</f>
        <v>0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/>
      <c r="D50" s="12">
        <f>C50*1.5</f>
        <v>0</v>
      </c>
      <c r="F50" s="137"/>
      <c r="G50" s="141"/>
      <c r="H50" s="142"/>
      <c r="I50" s="142"/>
      <c r="J50" s="143"/>
      <c r="P50" s="4"/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128</v>
      </c>
      <c r="G51" s="146">
        <f>G49-H29</f>
        <v>0</v>
      </c>
      <c r="H51" s="147"/>
      <c r="I51" s="147"/>
      <c r="J51" s="1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0</v>
      </c>
      <c r="F54" s="21"/>
      <c r="J54" s="34"/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1</v>
      </c>
      <c r="H4" s="217" t="s">
        <v>9</v>
      </c>
      <c r="I4" s="219">
        <v>46031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84">
        <v>647</v>
      </c>
      <c r="D6" s="13">
        <f t="shared" ref="D6:D28" si="1">C6*L6</f>
        <v>492367</v>
      </c>
      <c r="F6" s="223" t="s">
        <v>16</v>
      </c>
      <c r="G6" s="225" t="s">
        <v>129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84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84"/>
      <c r="D8" s="13">
        <f t="shared" si="1"/>
        <v>0</v>
      </c>
      <c r="F8" s="231" t="s">
        <v>21</v>
      </c>
      <c r="G8" s="232" t="s">
        <v>112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84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84"/>
      <c r="D10" s="13">
        <f t="shared" si="1"/>
        <v>0</v>
      </c>
      <c r="F10" s="223" t="s">
        <v>26</v>
      </c>
      <c r="G10" s="238" t="s">
        <v>130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84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84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84">
        <v>20</v>
      </c>
      <c r="D13" s="48">
        <f t="shared" si="1"/>
        <v>6140</v>
      </c>
      <c r="F13" s="244" t="s">
        <v>36</v>
      </c>
      <c r="G13" s="208"/>
      <c r="H13" s="199">
        <f>D29</f>
        <v>498507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84"/>
      <c r="D14" s="31">
        <f t="shared" si="1"/>
        <v>0</v>
      </c>
      <c r="F14" s="202" t="s">
        <v>39</v>
      </c>
      <c r="G14" s="203"/>
      <c r="H14" s="204">
        <f>D54</f>
        <v>99282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84"/>
      <c r="D15" s="31">
        <f t="shared" si="1"/>
        <v>0</v>
      </c>
      <c r="F15" s="207" t="s">
        <v>40</v>
      </c>
      <c r="G15" s="208"/>
      <c r="H15" s="209">
        <f>H13-H14</f>
        <v>399225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>
        <v>3882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137</v>
      </c>
      <c r="C17" s="84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v>1102</v>
      </c>
      <c r="Q19" s="4"/>
      <c r="R19" s="5">
        <f t="shared" si="0"/>
        <v>0</v>
      </c>
    </row>
    <row r="20" spans="1:18" ht="15.75" x14ac:dyDescent="0.25">
      <c r="A20" s="15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127</v>
      </c>
      <c r="C22" s="84"/>
      <c r="D22" s="48">
        <f t="shared" si="1"/>
        <v>0</v>
      </c>
      <c r="F22" s="77"/>
      <c r="G22" s="73"/>
      <c r="H22" s="185"/>
      <c r="I22" s="185"/>
      <c r="J22" s="18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101</v>
      </c>
      <c r="C23" s="84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121</v>
      </c>
      <c r="C24" s="84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136</v>
      </c>
      <c r="C26" s="84"/>
      <c r="D26" s="48">
        <f t="shared" si="1"/>
        <v>0</v>
      </c>
      <c r="F26" s="75"/>
      <c r="G26" s="65"/>
      <c r="H26" s="155"/>
      <c r="I26" s="155"/>
      <c r="J26" s="15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110</v>
      </c>
      <c r="C27" s="84"/>
      <c r="D27" s="44">
        <f t="shared" si="1"/>
        <v>0</v>
      </c>
      <c r="F27" s="71"/>
      <c r="G27" s="90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84"/>
      <c r="D28" s="48">
        <f t="shared" si="1"/>
        <v>0</v>
      </c>
      <c r="F28" s="93"/>
      <c r="G28" s="61"/>
      <c r="H28" s="196"/>
      <c r="I28" s="197"/>
      <c r="J28" s="19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498507</v>
      </c>
      <c r="F29" s="116" t="s">
        <v>55</v>
      </c>
      <c r="G29" s="178"/>
      <c r="H29" s="138">
        <f>H15-H16-H17-H18-H19-H20-H22-H23-H24+H26+H27+H28</f>
        <v>395343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395</v>
      </c>
      <c r="H34" s="160">
        <f t="shared" ref="H34:H39" si="2">F34*G34</f>
        <v>395000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/>
      <c r="H35" s="160">
        <f t="shared" si="2"/>
        <v>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>
        <f t="shared" si="2"/>
        <v>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>
        <v>864</v>
      </c>
      <c r="D37" s="12">
        <f>C37*111</f>
        <v>95904</v>
      </c>
      <c r="F37" s="12">
        <v>100</v>
      </c>
      <c r="G37" s="39">
        <v>3</v>
      </c>
      <c r="H37" s="160">
        <f t="shared" si="2"/>
        <v>300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/>
      <c r="D38" s="12">
        <f>C38*84</f>
        <v>0</v>
      </c>
      <c r="F38" s="30">
        <v>50</v>
      </c>
      <c r="G38" s="39"/>
      <c r="H38" s="160">
        <f t="shared" si="2"/>
        <v>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/>
      <c r="D39" s="31">
        <f>C39*4.5</f>
        <v>0</v>
      </c>
      <c r="F39" s="12">
        <v>20</v>
      </c>
      <c r="G39" s="37"/>
      <c r="H39" s="160">
        <f t="shared" si="2"/>
        <v>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>
        <v>13</v>
      </c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90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/>
      <c r="G44" s="62"/>
      <c r="H44" s="155"/>
      <c r="I44" s="155"/>
      <c r="J44" s="155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>
        <v>25</v>
      </c>
      <c r="D48" s="12">
        <f>C48*78</f>
        <v>1950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>
        <v>34</v>
      </c>
      <c r="D49" s="12">
        <f>C49*42</f>
        <v>1428</v>
      </c>
      <c r="F49" s="136" t="s">
        <v>86</v>
      </c>
      <c r="G49" s="138">
        <f>H34+H35+H36+H37+H38+H39+H40+H41+G42+H44+H45+H46</f>
        <v>395313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/>
      <c r="D50" s="12">
        <f>C50*1.5</f>
        <v>0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131</v>
      </c>
      <c r="G51" s="245">
        <f>G49-H29</f>
        <v>-30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99282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2</v>
      </c>
      <c r="H4" s="217" t="s">
        <v>9</v>
      </c>
      <c r="I4" s="219">
        <v>46031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317</v>
      </c>
      <c r="D6" s="13">
        <f t="shared" ref="D6:D28" si="1">C6*L6</f>
        <v>241237</v>
      </c>
      <c r="F6" s="223" t="s">
        <v>16</v>
      </c>
      <c r="G6" s="225" t="s">
        <v>140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9</v>
      </c>
      <c r="D7" s="13">
        <f t="shared" si="1"/>
        <v>7029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114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23</v>
      </c>
      <c r="D9" s="13">
        <f t="shared" si="1"/>
        <v>16859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115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1</v>
      </c>
      <c r="D11" s="13">
        <f t="shared" si="1"/>
        <v>1170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f>1+1</f>
        <v>2</v>
      </c>
      <c r="D12" s="48">
        <f t="shared" si="1"/>
        <v>1984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10</v>
      </c>
      <c r="D13" s="48">
        <f t="shared" si="1"/>
        <v>3070</v>
      </c>
      <c r="F13" s="244" t="s">
        <v>36</v>
      </c>
      <c r="G13" s="208"/>
      <c r="H13" s="199">
        <f>D29</f>
        <v>273073.33333333331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22</v>
      </c>
      <c r="D14" s="31">
        <f t="shared" si="1"/>
        <v>242</v>
      </c>
      <c r="F14" s="202" t="s">
        <v>39</v>
      </c>
      <c r="G14" s="203"/>
      <c r="H14" s="204">
        <f>D54</f>
        <v>45388.5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10">
        <v>2</v>
      </c>
      <c r="D15" s="31">
        <f t="shared" si="1"/>
        <v>1240</v>
      </c>
      <c r="F15" s="207" t="s">
        <v>40</v>
      </c>
      <c r="G15" s="208"/>
      <c r="H15" s="209">
        <f>H13-H14</f>
        <v>227684.83333333331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v>1074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93</v>
      </c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104</v>
      </c>
      <c r="C22" s="10"/>
      <c r="D22" s="48">
        <f t="shared" si="1"/>
        <v>0</v>
      </c>
      <c r="F22" s="72"/>
      <c r="G22" s="73"/>
      <c r="H22" s="185"/>
      <c r="I22" s="185"/>
      <c r="J22" s="18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107</v>
      </c>
      <c r="C23" s="10"/>
      <c r="D23" s="48">
        <f t="shared" si="1"/>
        <v>0</v>
      </c>
      <c r="F23" s="25"/>
      <c r="G23" s="37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123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124</v>
      </c>
      <c r="C25" s="10">
        <v>2</v>
      </c>
      <c r="D25" s="48">
        <f t="shared" si="1"/>
        <v>242.33333333333334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105</v>
      </c>
      <c r="C26" s="10"/>
      <c r="D26" s="48">
        <f t="shared" si="1"/>
        <v>0</v>
      </c>
      <c r="F26" s="64"/>
      <c r="G26" s="10"/>
      <c r="H26" s="190"/>
      <c r="I26" s="191"/>
      <c r="J26" s="19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109</v>
      </c>
      <c r="C27" s="10"/>
      <c r="D27" s="44">
        <f t="shared" si="1"/>
        <v>0</v>
      </c>
      <c r="F27" s="14"/>
      <c r="G27" s="14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10"/>
      <c r="D28" s="48">
        <f t="shared" si="1"/>
        <v>0</v>
      </c>
      <c r="F28" s="93"/>
      <c r="G28" s="61"/>
      <c r="H28" s="196"/>
      <c r="I28" s="197"/>
      <c r="J28" s="19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273073.33333333331</v>
      </c>
      <c r="F29" s="116" t="s">
        <v>55</v>
      </c>
      <c r="G29" s="178"/>
      <c r="H29" s="138">
        <f>H15-H16-H17-H18-H19-H20-H22-H23-H24+H26+H27</f>
        <v>226610.83333333331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160">
        <f>F34*G34</f>
        <v>148000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147</v>
      </c>
      <c r="H35" s="160">
        <f t="shared" ref="H35:H39" si="2">F35*G35</f>
        <v>73500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3</v>
      </c>
      <c r="H36" s="160">
        <f>F36*G36</f>
        <v>600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>
        <v>394</v>
      </c>
      <c r="D37" s="12">
        <f>C37*111</f>
        <v>43734</v>
      </c>
      <c r="F37" s="12">
        <v>100</v>
      </c>
      <c r="G37" s="39">
        <v>29</v>
      </c>
      <c r="H37" s="160">
        <f t="shared" si="2"/>
        <v>2900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60">
        <f t="shared" si="2"/>
        <v>50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0">
        <f t="shared" si="2"/>
        <v>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/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90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>
        <v>1</v>
      </c>
      <c r="D44" s="12">
        <f>C44*120</f>
        <v>120</v>
      </c>
      <c r="F44" s="37"/>
      <c r="G44" s="62"/>
      <c r="H44" s="155"/>
      <c r="I44" s="155"/>
      <c r="J44" s="155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1"/>
      <c r="B45" s="27" t="s">
        <v>68</v>
      </c>
      <c r="C45" s="33">
        <v>2</v>
      </c>
      <c r="D45" s="12">
        <f>C45*84</f>
        <v>168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>
        <v>3</v>
      </c>
      <c r="D46" s="12">
        <f>C46*1.5</f>
        <v>4.5</v>
      </c>
      <c r="F46" s="37"/>
      <c r="G46" s="91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>
        <v>8</v>
      </c>
      <c r="D49" s="12">
        <f>C49*42</f>
        <v>336</v>
      </c>
      <c r="F49" s="136" t="s">
        <v>86</v>
      </c>
      <c r="G49" s="138">
        <f>H34+H35+H36+H37+H38+H39+H40+H41+G42+H44+H45+H46</f>
        <v>225050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>
        <v>20</v>
      </c>
      <c r="D50" s="12">
        <f>C50*1.5</f>
        <v>30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161</v>
      </c>
      <c r="G51" s="245">
        <f>G49-H29</f>
        <v>-1560.8333333333139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45388.5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3</v>
      </c>
      <c r="H4" s="217" t="s">
        <v>9</v>
      </c>
      <c r="I4" s="219">
        <v>46031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344</v>
      </c>
      <c r="D6" s="13">
        <f t="shared" ref="D6:D28" si="1">C6*L6</f>
        <v>261784</v>
      </c>
      <c r="F6" s="223" t="s">
        <v>16</v>
      </c>
      <c r="G6" s="225" t="s">
        <v>111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12</v>
      </c>
      <c r="D7" s="13">
        <f t="shared" si="1"/>
        <v>9372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119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78</v>
      </c>
      <c r="D9" s="13">
        <f t="shared" si="1"/>
        <v>57174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1</v>
      </c>
      <c r="D10" s="13">
        <f t="shared" si="1"/>
        <v>1032</v>
      </c>
      <c r="F10" s="223" t="s">
        <v>26</v>
      </c>
      <c r="G10" s="238" t="s">
        <v>134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f>4+1+1</f>
        <v>6</v>
      </c>
      <c r="D12" s="48">
        <f t="shared" si="1"/>
        <v>5952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10</v>
      </c>
      <c r="D13" s="48">
        <f t="shared" si="1"/>
        <v>3070</v>
      </c>
      <c r="F13" s="244" t="s">
        <v>36</v>
      </c>
      <c r="G13" s="208"/>
      <c r="H13" s="199">
        <f>D29</f>
        <v>341782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14</v>
      </c>
      <c r="D14" s="31">
        <f t="shared" si="1"/>
        <v>154</v>
      </c>
      <c r="F14" s="202" t="s">
        <v>39</v>
      </c>
      <c r="G14" s="203"/>
      <c r="H14" s="204">
        <f>D54</f>
        <v>52036.5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10"/>
      <c r="D15" s="31">
        <f t="shared" si="1"/>
        <v>0</v>
      </c>
      <c r="F15" s="207" t="s">
        <v>40</v>
      </c>
      <c r="G15" s="208"/>
      <c r="H15" s="209">
        <f>H13-H14</f>
        <v>289745.5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684+672</f>
        <v>1356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113</v>
      </c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/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104</v>
      </c>
      <c r="C22" s="10"/>
      <c r="D22" s="48">
        <f t="shared" si="1"/>
        <v>0</v>
      </c>
      <c r="F22" s="77"/>
      <c r="G22" s="73"/>
      <c r="H22" s="185"/>
      <c r="I22" s="185"/>
      <c r="J22" s="18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107</v>
      </c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101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105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109</v>
      </c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10">
        <v>4</v>
      </c>
      <c r="D28" s="48">
        <f t="shared" si="1"/>
        <v>3244</v>
      </c>
      <c r="F28" s="93"/>
      <c r="G28" s="61"/>
      <c r="H28" s="196"/>
      <c r="I28" s="197"/>
      <c r="J28" s="19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341782</v>
      </c>
      <c r="F29" s="116" t="s">
        <v>55</v>
      </c>
      <c r="G29" s="178"/>
      <c r="H29" s="138">
        <f>H15-H16-H17-H18-H19-H20-H22-H23-H24+H26+H27</f>
        <v>288389.5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83</v>
      </c>
      <c r="H34" s="160">
        <f>F34*G34</f>
        <v>83000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60">
        <f>F35*G35</f>
        <v>25000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6</v>
      </c>
      <c r="H36" s="160">
        <f t="shared" ref="H36:H39" si="2">F36*G36</f>
        <v>1200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>
        <v>452</v>
      </c>
      <c r="D37" s="12">
        <f>C37*111</f>
        <v>50172</v>
      </c>
      <c r="F37" s="12">
        <v>100</v>
      </c>
      <c r="G37" s="39">
        <v>171</v>
      </c>
      <c r="H37" s="160">
        <f t="shared" si="2"/>
        <v>17100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49</v>
      </c>
      <c r="H38" s="160">
        <f t="shared" si="2"/>
        <v>2450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160">
        <f t="shared" si="2"/>
        <v>60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>
        <v>4</v>
      </c>
      <c r="D42" s="12">
        <f>C42*2.25</f>
        <v>9</v>
      </c>
      <c r="F42" s="39" t="s">
        <v>79</v>
      </c>
      <c r="G42" s="160">
        <v>16</v>
      </c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90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>
        <v>5</v>
      </c>
      <c r="D44" s="12">
        <f>C44*120</f>
        <v>600</v>
      </c>
      <c r="F44" s="37" t="s">
        <v>183</v>
      </c>
      <c r="G44" s="76" t="s">
        <v>184</v>
      </c>
      <c r="H44" s="155">
        <v>84877</v>
      </c>
      <c r="I44" s="155"/>
      <c r="J44" s="15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185</v>
      </c>
      <c r="H45" s="155">
        <v>74828</v>
      </c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>
        <v>12</v>
      </c>
      <c r="D46" s="12">
        <f>C46*1.5</f>
        <v>18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>
        <v>8</v>
      </c>
      <c r="D49" s="12">
        <f>C49*42</f>
        <v>336</v>
      </c>
      <c r="F49" s="136" t="s">
        <v>86</v>
      </c>
      <c r="G49" s="138">
        <f>H34+H35+H36+H37+H38+H39+H40+H41+G42+H44+H45+H46</f>
        <v>288531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>
        <v>8</v>
      </c>
      <c r="D50" s="12">
        <f>C50*1.5</f>
        <v>12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149</v>
      </c>
      <c r="G51" s="146">
        <f>G49-H29</f>
        <v>141.5</v>
      </c>
      <c r="H51" s="147"/>
      <c r="I51" s="147"/>
      <c r="J51" s="1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52036.5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2" t="s">
        <v>1</v>
      </c>
      <c r="O1" s="212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3" t="s">
        <v>7</v>
      </c>
      <c r="B4" s="164"/>
      <c r="C4" s="164"/>
      <c r="D4" s="165"/>
      <c r="F4" s="213" t="s">
        <v>8</v>
      </c>
      <c r="G4" s="215"/>
      <c r="H4" s="217" t="s">
        <v>9</v>
      </c>
      <c r="I4" s="219"/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223" t="s">
        <v>16</v>
      </c>
      <c r="G6" s="225"/>
      <c r="H6" s="226"/>
      <c r="I6" s="226"/>
      <c r="J6" s="2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231" t="s">
        <v>21</v>
      </c>
      <c r="G8" s="232"/>
      <c r="H8" s="233"/>
      <c r="I8" s="233"/>
      <c r="J8" s="2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223" t="s">
        <v>26</v>
      </c>
      <c r="G10" s="238"/>
      <c r="H10" s="239"/>
      <c r="I10" s="239"/>
      <c r="J10" s="240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202" t="s">
        <v>39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207" t="s">
        <v>40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50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93"/>
      <c r="G28" s="61"/>
      <c r="H28" s="196"/>
      <c r="I28" s="197"/>
      <c r="J28" s="19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55</v>
      </c>
      <c r="G29" s="178"/>
      <c r="H29" s="138">
        <f>H15-H16-H17-H18-H19-H20-H22-H23-H24+H26+H27</f>
        <v>0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0"/>
      <c r="I34" s="161"/>
      <c r="J34" s="16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/>
      <c r="H35" s="160"/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/>
      <c r="I36" s="161"/>
      <c r="J36" s="16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0"/>
      <c r="I37" s="161"/>
      <c r="J37" s="16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68</v>
      </c>
      <c r="C38" s="54"/>
      <c r="D38" s="12">
        <f>C38*84</f>
        <v>0</v>
      </c>
      <c r="F38" s="30">
        <v>50</v>
      </c>
      <c r="G38" s="39"/>
      <c r="H38" s="160"/>
      <c r="I38" s="161"/>
      <c r="J38" s="16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70</v>
      </c>
      <c r="C39" s="52"/>
      <c r="D39" s="31">
        <f>C39*4.5</f>
        <v>0</v>
      </c>
      <c r="F39" s="12">
        <v>20</v>
      </c>
      <c r="G39" s="37"/>
      <c r="H39" s="160"/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/>
      <c r="H42" s="161"/>
      <c r="I42" s="161"/>
      <c r="J42" s="16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90" t="s">
        <v>83</v>
      </c>
      <c r="H43" s="152" t="s">
        <v>13</v>
      </c>
      <c r="I43" s="153"/>
      <c r="J43" s="154"/>
      <c r="K43" s="21"/>
      <c r="P43" s="4"/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/>
      <c r="G44" s="76"/>
      <c r="H44" s="155"/>
      <c r="I44" s="155"/>
      <c r="J44" s="155"/>
      <c r="K44" s="21"/>
      <c r="P44" s="4"/>
      <c r="Q44" s="4"/>
      <c r="R44" s="5"/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/>
      <c r="D49" s="12">
        <f>C49*42</f>
        <v>0</v>
      </c>
      <c r="F49" s="136" t="s">
        <v>86</v>
      </c>
      <c r="G49" s="138">
        <f>H34+H35+H36+H37+H38+H39+H40+H41+G42+H44+H45+H46</f>
        <v>0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/>
      <c r="D50" s="12">
        <f>C50*1.5</f>
        <v>0</v>
      </c>
      <c r="F50" s="137"/>
      <c r="G50" s="141"/>
      <c r="H50" s="142"/>
      <c r="I50" s="142"/>
      <c r="J50" s="143"/>
      <c r="P50" s="4"/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128</v>
      </c>
      <c r="G51" s="146">
        <f>G49-H29</f>
        <v>0</v>
      </c>
      <c r="H51" s="147"/>
      <c r="I51" s="147"/>
      <c r="J51" s="1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0</v>
      </c>
      <c r="F54" s="21"/>
      <c r="J54" s="34"/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1</v>
      </c>
      <c r="H4" s="217" t="s">
        <v>9</v>
      </c>
      <c r="I4" s="219">
        <v>46032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84">
        <v>467</v>
      </c>
      <c r="D6" s="13">
        <f t="shared" ref="D6:D28" si="1">C6*L6</f>
        <v>355387</v>
      </c>
      <c r="F6" s="223" t="s">
        <v>16</v>
      </c>
      <c r="G6" s="225" t="s">
        <v>129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84">
        <v>3</v>
      </c>
      <c r="D7" s="13">
        <f t="shared" si="1"/>
        <v>2343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84">
        <v>70</v>
      </c>
      <c r="D8" s="13">
        <f t="shared" si="1"/>
        <v>76510</v>
      </c>
      <c r="F8" s="231" t="s">
        <v>21</v>
      </c>
      <c r="G8" s="232" t="s">
        <v>112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84">
        <v>20</v>
      </c>
      <c r="D9" s="13">
        <f t="shared" si="1"/>
        <v>14660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84">
        <v>2</v>
      </c>
      <c r="D10" s="13">
        <f t="shared" si="1"/>
        <v>2064</v>
      </c>
      <c r="F10" s="223" t="s">
        <v>26</v>
      </c>
      <c r="G10" s="238" t="s">
        <v>130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84">
        <v>2</v>
      </c>
      <c r="D11" s="13">
        <f t="shared" si="1"/>
        <v>2340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84">
        <v>3</v>
      </c>
      <c r="D12" s="48">
        <f t="shared" si="1"/>
        <v>2976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84">
        <v>8</v>
      </c>
      <c r="D13" s="48">
        <f t="shared" si="1"/>
        <v>2456</v>
      </c>
      <c r="F13" s="244" t="s">
        <v>36</v>
      </c>
      <c r="G13" s="208"/>
      <c r="H13" s="199">
        <f>D29</f>
        <v>458758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84">
        <v>2</v>
      </c>
      <c r="D14" s="31">
        <f t="shared" si="1"/>
        <v>22</v>
      </c>
      <c r="F14" s="202" t="s">
        <v>39</v>
      </c>
      <c r="G14" s="203"/>
      <c r="H14" s="204">
        <f>D54</f>
        <v>63504.75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84"/>
      <c r="D15" s="31">
        <f t="shared" si="1"/>
        <v>0</v>
      </c>
      <c r="F15" s="207" t="s">
        <v>40</v>
      </c>
      <c r="G15" s="208"/>
      <c r="H15" s="209">
        <f>H13-H14</f>
        <v>395253.25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137</v>
      </c>
      <c r="C17" s="84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v>1102</v>
      </c>
      <c r="Q19" s="4"/>
      <c r="R19" s="5">
        <f t="shared" si="0"/>
        <v>0</v>
      </c>
    </row>
    <row r="20" spans="1:18" ht="15.75" x14ac:dyDescent="0.25">
      <c r="A20" s="15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127</v>
      </c>
      <c r="C22" s="84"/>
      <c r="D22" s="48">
        <f t="shared" si="1"/>
        <v>0</v>
      </c>
      <c r="F22" s="77"/>
      <c r="G22" s="73"/>
      <c r="H22" s="185"/>
      <c r="I22" s="185"/>
      <c r="J22" s="18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101</v>
      </c>
      <c r="C23" s="84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121</v>
      </c>
      <c r="C24" s="84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136</v>
      </c>
      <c r="C26" s="84"/>
      <c r="D26" s="48">
        <f t="shared" si="1"/>
        <v>0</v>
      </c>
      <c r="F26" s="75"/>
      <c r="G26" s="65"/>
      <c r="H26" s="155"/>
      <c r="I26" s="155"/>
      <c r="J26" s="15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110</v>
      </c>
      <c r="C27" s="84"/>
      <c r="D27" s="44">
        <f t="shared" si="1"/>
        <v>0</v>
      </c>
      <c r="F27" s="71"/>
      <c r="G27" s="90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84"/>
      <c r="D28" s="48">
        <f t="shared" si="1"/>
        <v>0</v>
      </c>
      <c r="F28" s="93"/>
      <c r="G28" s="61"/>
      <c r="H28" s="196"/>
      <c r="I28" s="197"/>
      <c r="J28" s="19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458758</v>
      </c>
      <c r="F29" s="116" t="s">
        <v>55</v>
      </c>
      <c r="G29" s="178"/>
      <c r="H29" s="138">
        <f>H15-H16-H17-H18-H19-H20-H22-H23-H24+H26+H27+H28</f>
        <v>395253.25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233</v>
      </c>
      <c r="H34" s="160">
        <f t="shared" ref="H34:H39" si="2">F34*G34</f>
        <v>233000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>
        <v>71</v>
      </c>
      <c r="H35" s="160">
        <f t="shared" si="2"/>
        <v>35500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60">
        <f t="shared" si="2"/>
        <v>400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49</v>
      </c>
      <c r="H37" s="160">
        <f t="shared" si="2"/>
        <v>4900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160">
        <f t="shared" si="2"/>
        <v>750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60">
        <f t="shared" si="2"/>
        <v>20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>
        <v>10</v>
      </c>
      <c r="D41" s="12">
        <f>C41*84</f>
        <v>840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0">
        <v>62</v>
      </c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90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>
        <v>71</v>
      </c>
      <c r="D44" s="12">
        <f>C44*120</f>
        <v>8520</v>
      </c>
      <c r="F44" s="37" t="s">
        <v>186</v>
      </c>
      <c r="G44" s="62" t="s">
        <v>187</v>
      </c>
      <c r="H44" s="155">
        <v>73477</v>
      </c>
      <c r="I44" s="155"/>
      <c r="J44" s="15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55">
        <v>20198</v>
      </c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>
        <v>9</v>
      </c>
      <c r="D46" s="12">
        <f>C46*1.5</f>
        <v>13.5</v>
      </c>
      <c r="F46" s="37" t="s">
        <v>153</v>
      </c>
      <c r="G46" s="62"/>
      <c r="H46" s="155">
        <v>27000</v>
      </c>
      <c r="I46" s="155"/>
      <c r="J46" s="155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>
        <v>1</v>
      </c>
      <c r="D49" s="12">
        <f>C49*42</f>
        <v>42</v>
      </c>
      <c r="F49" s="136" t="s">
        <v>86</v>
      </c>
      <c r="G49" s="138">
        <f>H34+H35+H36+H37+H38+H39+H40+H41+G42+H44+H45+H46</f>
        <v>395307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>
        <v>14</v>
      </c>
      <c r="D50" s="12">
        <f>C50*1.5</f>
        <v>21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149</v>
      </c>
      <c r="G51" s="146">
        <f>G49-H29</f>
        <v>53.75</v>
      </c>
      <c r="H51" s="147"/>
      <c r="I51" s="147"/>
      <c r="J51" s="1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63504.75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2</v>
      </c>
      <c r="H4" s="217" t="s">
        <v>9</v>
      </c>
      <c r="I4" s="219">
        <v>46032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264</v>
      </c>
      <c r="D6" s="13">
        <f t="shared" ref="D6:D28" si="1">C6*L6</f>
        <v>200904</v>
      </c>
      <c r="F6" s="223" t="s">
        <v>16</v>
      </c>
      <c r="G6" s="225" t="s">
        <v>140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19</v>
      </c>
      <c r="D7" s="13">
        <f t="shared" si="1"/>
        <v>14839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114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37</v>
      </c>
      <c r="D9" s="13">
        <f t="shared" si="1"/>
        <v>27121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115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2</v>
      </c>
      <c r="D12" s="48">
        <f t="shared" si="1"/>
        <v>1984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9</v>
      </c>
      <c r="D13" s="48">
        <f t="shared" si="1"/>
        <v>2763</v>
      </c>
      <c r="F13" s="244" t="s">
        <v>36</v>
      </c>
      <c r="G13" s="208"/>
      <c r="H13" s="199">
        <f>D29</f>
        <v>250831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23</v>
      </c>
      <c r="D14" s="31">
        <f t="shared" si="1"/>
        <v>253</v>
      </c>
      <c r="F14" s="202" t="s">
        <v>39</v>
      </c>
      <c r="G14" s="203"/>
      <c r="H14" s="204">
        <f>D54</f>
        <v>44389.5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10"/>
      <c r="D15" s="31">
        <f t="shared" si="1"/>
        <v>0</v>
      </c>
      <c r="F15" s="207" t="s">
        <v>40</v>
      </c>
      <c r="G15" s="208"/>
      <c r="H15" s="209">
        <f>H13-H14</f>
        <v>206441.5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v>1176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93</v>
      </c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101</v>
      </c>
      <c r="C22" s="10">
        <v>1</v>
      </c>
      <c r="D22" s="48">
        <f t="shared" si="1"/>
        <v>1667</v>
      </c>
      <c r="F22" s="72"/>
      <c r="G22" s="73"/>
      <c r="H22" s="185"/>
      <c r="I22" s="185"/>
      <c r="J22" s="185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107</v>
      </c>
      <c r="C23" s="10"/>
      <c r="D23" s="48">
        <f t="shared" si="1"/>
        <v>0</v>
      </c>
      <c r="F23" s="25"/>
      <c r="G23" s="37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123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105</v>
      </c>
      <c r="C26" s="10"/>
      <c r="D26" s="48">
        <f t="shared" si="1"/>
        <v>0</v>
      </c>
      <c r="F26" s="64"/>
      <c r="G26" s="10"/>
      <c r="H26" s="190"/>
      <c r="I26" s="191"/>
      <c r="J26" s="19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109</v>
      </c>
      <c r="C27" s="10"/>
      <c r="D27" s="44">
        <f t="shared" si="1"/>
        <v>0</v>
      </c>
      <c r="F27" s="14"/>
      <c r="G27" s="14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10"/>
      <c r="D28" s="48">
        <f t="shared" si="1"/>
        <v>0</v>
      </c>
      <c r="F28" s="93"/>
      <c r="G28" s="61"/>
      <c r="H28" s="196"/>
      <c r="I28" s="197"/>
      <c r="J28" s="19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250831</v>
      </c>
      <c r="F29" s="116" t="s">
        <v>55</v>
      </c>
      <c r="G29" s="178"/>
      <c r="H29" s="138">
        <f>H15-H16-H17-H18-H19-H20-H22-H23-H24+H26+H27</f>
        <v>205265.5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49</v>
      </c>
      <c r="H34" s="160">
        <f>F34*G34</f>
        <v>49000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60">
        <f t="shared" ref="H35:H39" si="2">F35*G35</f>
        <v>16000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4</v>
      </c>
      <c r="H36" s="160">
        <f>F36*G36</f>
        <v>800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>
        <v>370</v>
      </c>
      <c r="D37" s="12">
        <f>C37*111</f>
        <v>41070</v>
      </c>
      <c r="F37" s="12">
        <v>100</v>
      </c>
      <c r="G37" s="39">
        <v>142</v>
      </c>
      <c r="H37" s="160">
        <f t="shared" si="2"/>
        <v>14200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13</v>
      </c>
      <c r="H38" s="160">
        <f t="shared" si="2"/>
        <v>650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0">
        <f t="shared" si="2"/>
        <v>20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>
        <v>16</v>
      </c>
      <c r="D42" s="12">
        <f>C42*2.25</f>
        <v>36</v>
      </c>
      <c r="F42" s="39" t="s">
        <v>79</v>
      </c>
      <c r="G42" s="160">
        <v>34</v>
      </c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90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>
        <v>2</v>
      </c>
      <c r="D44" s="12">
        <f>C44*120</f>
        <v>240</v>
      </c>
      <c r="F44" s="37" t="s">
        <v>147</v>
      </c>
      <c r="G44" s="62" t="s">
        <v>188</v>
      </c>
      <c r="H44" s="155">
        <v>124746</v>
      </c>
      <c r="I44" s="155"/>
      <c r="J44" s="15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>
        <v>2</v>
      </c>
      <c r="D46" s="12">
        <f>C46*1.5</f>
        <v>3</v>
      </c>
      <c r="F46" s="37"/>
      <c r="G46" s="91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>
        <v>1</v>
      </c>
      <c r="D49" s="12">
        <f>C49*42</f>
        <v>42</v>
      </c>
      <c r="F49" s="136" t="s">
        <v>86</v>
      </c>
      <c r="G49" s="138">
        <f>H34+H35+H36+H37+H38+H39+H40+H41+G42+H44+H45+H46</f>
        <v>205450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>
        <v>17</v>
      </c>
      <c r="D50" s="12">
        <f>C50*1.5</f>
        <v>25.5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142</v>
      </c>
      <c r="G51" s="146">
        <f>G49-H29</f>
        <v>184.5</v>
      </c>
      <c r="H51" s="147"/>
      <c r="I51" s="147"/>
      <c r="J51" s="1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44389.5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3</v>
      </c>
      <c r="H4" s="217" t="s">
        <v>9</v>
      </c>
      <c r="I4" s="219">
        <v>46032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394</v>
      </c>
      <c r="D6" s="13">
        <f t="shared" ref="D6:D28" si="1">C6*L6</f>
        <v>299834</v>
      </c>
      <c r="F6" s="223" t="s">
        <v>16</v>
      </c>
      <c r="G6" s="225" t="s">
        <v>111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3</v>
      </c>
      <c r="D7" s="13">
        <f t="shared" si="1"/>
        <v>2343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119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11</v>
      </c>
      <c r="D9" s="13">
        <f t="shared" si="1"/>
        <v>8063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2</v>
      </c>
      <c r="D10" s="13">
        <f t="shared" si="1"/>
        <v>2064</v>
      </c>
      <c r="F10" s="223" t="s">
        <v>26</v>
      </c>
      <c r="G10" s="238" t="s">
        <v>134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2</v>
      </c>
      <c r="D12" s="48">
        <f t="shared" si="1"/>
        <v>1984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6</v>
      </c>
      <c r="D13" s="48">
        <f t="shared" si="1"/>
        <v>1842</v>
      </c>
      <c r="F13" s="244" t="s">
        <v>36</v>
      </c>
      <c r="G13" s="208"/>
      <c r="H13" s="199">
        <f>D29</f>
        <v>317305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202" t="s">
        <v>39</v>
      </c>
      <c r="G14" s="203"/>
      <c r="H14" s="204">
        <f>D54</f>
        <v>75464.25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10"/>
      <c r="D15" s="31">
        <f t="shared" si="1"/>
        <v>0</v>
      </c>
      <c r="F15" s="207" t="s">
        <v>40</v>
      </c>
      <c r="G15" s="208"/>
      <c r="H15" s="209">
        <f>H13-H14</f>
        <v>241840.75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342+1296+666</f>
        <v>2304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113</v>
      </c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/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104</v>
      </c>
      <c r="C22" s="10"/>
      <c r="D22" s="48">
        <f t="shared" si="1"/>
        <v>0</v>
      </c>
      <c r="F22" s="77"/>
      <c r="G22" s="73"/>
      <c r="H22" s="185"/>
      <c r="I22" s="185"/>
      <c r="J22" s="18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95" t="s">
        <v>150</v>
      </c>
      <c r="C23" s="10">
        <v>1</v>
      </c>
      <c r="D23" s="48">
        <f t="shared" si="1"/>
        <v>1175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101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105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109</v>
      </c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10"/>
      <c r="D28" s="48">
        <f t="shared" si="1"/>
        <v>0</v>
      </c>
      <c r="F28" s="93"/>
      <c r="G28" s="61"/>
      <c r="H28" s="196"/>
      <c r="I28" s="197"/>
      <c r="J28" s="19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317305</v>
      </c>
      <c r="F29" s="116" t="s">
        <v>55</v>
      </c>
      <c r="G29" s="178"/>
      <c r="H29" s="138">
        <f>H15-H16-H17-H18-H19-H20-H22-H23-H24+H26+H27</f>
        <v>239536.75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51</v>
      </c>
      <c r="H34" s="160">
        <f>F34*G34</f>
        <v>51000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10</v>
      </c>
      <c r="H35" s="160">
        <f>F35*G35</f>
        <v>5000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>
        <f t="shared" ref="H36:H39" si="2">F36*G36</f>
        <v>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>
        <v>627</v>
      </c>
      <c r="D37" s="12">
        <f>C37*111</f>
        <v>69597</v>
      </c>
      <c r="F37" s="12">
        <v>100</v>
      </c>
      <c r="G37" s="39">
        <v>1</v>
      </c>
      <c r="H37" s="160">
        <f t="shared" si="2"/>
        <v>100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>
        <v>48</v>
      </c>
      <c r="D38" s="12">
        <f>C38*84</f>
        <v>4032</v>
      </c>
      <c r="F38" s="30">
        <v>50</v>
      </c>
      <c r="G38" s="39">
        <v>2</v>
      </c>
      <c r="H38" s="160">
        <f t="shared" si="2"/>
        <v>100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60">
        <f t="shared" si="2"/>
        <v>40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0">
        <v>38</v>
      </c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90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>
        <v>1</v>
      </c>
      <c r="D44" s="12">
        <f>C44*120</f>
        <v>120</v>
      </c>
      <c r="F44" s="37" t="s">
        <v>156</v>
      </c>
      <c r="G44" s="76" t="s">
        <v>189</v>
      </c>
      <c r="H44" s="155">
        <v>44070</v>
      </c>
      <c r="I44" s="155"/>
      <c r="J44" s="15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 t="s">
        <v>156</v>
      </c>
      <c r="G45" s="76" t="s">
        <v>190</v>
      </c>
      <c r="H45" s="155">
        <v>139104</v>
      </c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>
        <v>16</v>
      </c>
      <c r="D49" s="12">
        <f>C49*42</f>
        <v>672</v>
      </c>
      <c r="F49" s="136" t="s">
        <v>86</v>
      </c>
      <c r="G49" s="138">
        <f>H34+H35+H36+H37+H38+H39+H40+H41+G42+H44+H45+H46</f>
        <v>239452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/>
      <c r="D50" s="12">
        <f>C50*1.5</f>
        <v>0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139</v>
      </c>
      <c r="G51" s="245">
        <f>G49-H29</f>
        <v>-84.75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75464.25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2" t="s">
        <v>1</v>
      </c>
      <c r="O1" s="212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3" t="s">
        <v>7</v>
      </c>
      <c r="B4" s="164"/>
      <c r="C4" s="164"/>
      <c r="D4" s="165"/>
      <c r="F4" s="213" t="s">
        <v>8</v>
      </c>
      <c r="G4" s="215"/>
      <c r="H4" s="217" t="s">
        <v>9</v>
      </c>
      <c r="I4" s="219"/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223" t="s">
        <v>16</v>
      </c>
      <c r="G6" s="225"/>
      <c r="H6" s="226"/>
      <c r="I6" s="226"/>
      <c r="J6" s="2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231" t="s">
        <v>21</v>
      </c>
      <c r="G8" s="232"/>
      <c r="H8" s="233"/>
      <c r="I8" s="233"/>
      <c r="J8" s="2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223" t="s">
        <v>26</v>
      </c>
      <c r="G10" s="238"/>
      <c r="H10" s="239"/>
      <c r="I10" s="239"/>
      <c r="J10" s="240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202" t="s">
        <v>39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207" t="s">
        <v>40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50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93"/>
      <c r="G28" s="61"/>
      <c r="H28" s="196"/>
      <c r="I28" s="197"/>
      <c r="J28" s="19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55</v>
      </c>
      <c r="G29" s="178"/>
      <c r="H29" s="138">
        <f>H15-H16-H17-H18-H19-H20-H22-H23-H24+H26+H27</f>
        <v>0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0"/>
      <c r="I34" s="161"/>
      <c r="J34" s="16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/>
      <c r="H35" s="160"/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/>
      <c r="I36" s="161"/>
      <c r="J36" s="16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0"/>
      <c r="I37" s="161"/>
      <c r="J37" s="16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68</v>
      </c>
      <c r="C38" s="54"/>
      <c r="D38" s="12">
        <f>C38*84</f>
        <v>0</v>
      </c>
      <c r="F38" s="30">
        <v>50</v>
      </c>
      <c r="G38" s="39"/>
      <c r="H38" s="160"/>
      <c r="I38" s="161"/>
      <c r="J38" s="16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70</v>
      </c>
      <c r="C39" s="52"/>
      <c r="D39" s="31">
        <f>C39*4.5</f>
        <v>0</v>
      </c>
      <c r="F39" s="12">
        <v>20</v>
      </c>
      <c r="G39" s="37"/>
      <c r="H39" s="160"/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/>
      <c r="H42" s="161"/>
      <c r="I42" s="161"/>
      <c r="J42" s="16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90" t="s">
        <v>83</v>
      </c>
      <c r="H43" s="152" t="s">
        <v>13</v>
      </c>
      <c r="I43" s="153"/>
      <c r="J43" s="154"/>
      <c r="K43" s="21"/>
      <c r="P43" s="4"/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/>
      <c r="G44" s="76"/>
      <c r="H44" s="155"/>
      <c r="I44" s="155"/>
      <c r="J44" s="155"/>
      <c r="K44" s="21"/>
      <c r="P44" s="4"/>
      <c r="Q44" s="4"/>
      <c r="R44" s="5"/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/>
      <c r="D49" s="12">
        <f>C49*42</f>
        <v>0</v>
      </c>
      <c r="F49" s="136" t="s">
        <v>86</v>
      </c>
      <c r="G49" s="138">
        <f>H34+H35+H36+H37+H38+H39+H40+H41+G42+H44+H45+H46</f>
        <v>0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/>
      <c r="D50" s="12">
        <f>C50*1.5</f>
        <v>0</v>
      </c>
      <c r="F50" s="137"/>
      <c r="G50" s="141"/>
      <c r="H50" s="142"/>
      <c r="I50" s="142"/>
      <c r="J50" s="143"/>
      <c r="P50" s="4"/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128</v>
      </c>
      <c r="G51" s="146">
        <f>G49-H29</f>
        <v>0</v>
      </c>
      <c r="H51" s="147"/>
      <c r="I51" s="147"/>
      <c r="J51" s="1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0</v>
      </c>
      <c r="F54" s="21"/>
      <c r="J54" s="34"/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1</v>
      </c>
      <c r="H4" s="217" t="s">
        <v>9</v>
      </c>
      <c r="I4" s="219">
        <v>46034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84">
        <v>233</v>
      </c>
      <c r="D6" s="13">
        <f t="shared" ref="D6:D28" si="1">C6*L6</f>
        <v>177313</v>
      </c>
      <c r="F6" s="223" t="s">
        <v>16</v>
      </c>
      <c r="G6" s="225" t="s">
        <v>129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84">
        <v>12</v>
      </c>
      <c r="D7" s="13">
        <f t="shared" si="1"/>
        <v>9372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84">
        <v>3</v>
      </c>
      <c r="D8" s="13">
        <f t="shared" si="1"/>
        <v>3279</v>
      </c>
      <c r="F8" s="231" t="s">
        <v>21</v>
      </c>
      <c r="G8" s="232" t="s">
        <v>112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84">
        <v>20</v>
      </c>
      <c r="D9" s="13">
        <f t="shared" si="1"/>
        <v>14660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84">
        <v>3</v>
      </c>
      <c r="D10" s="13">
        <f t="shared" si="1"/>
        <v>3096</v>
      </c>
      <c r="F10" s="223" t="s">
        <v>26</v>
      </c>
      <c r="G10" s="238" t="s">
        <v>130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84">
        <v>3</v>
      </c>
      <c r="D11" s="13">
        <f t="shared" si="1"/>
        <v>3510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84">
        <f>4+1</f>
        <v>5</v>
      </c>
      <c r="D12" s="48">
        <f t="shared" si="1"/>
        <v>4960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84">
        <v>7</v>
      </c>
      <c r="D13" s="48">
        <f t="shared" si="1"/>
        <v>2149</v>
      </c>
      <c r="F13" s="244" t="s">
        <v>36</v>
      </c>
      <c r="G13" s="208"/>
      <c r="H13" s="199">
        <f>D29</f>
        <v>228543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84">
        <v>19</v>
      </c>
      <c r="D14" s="31">
        <f t="shared" si="1"/>
        <v>209</v>
      </c>
      <c r="F14" s="202" t="s">
        <v>39</v>
      </c>
      <c r="G14" s="203"/>
      <c r="H14" s="204">
        <f>D54</f>
        <v>28542.75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84"/>
      <c r="D15" s="31">
        <f t="shared" si="1"/>
        <v>0</v>
      </c>
      <c r="F15" s="207" t="s">
        <v>40</v>
      </c>
      <c r="G15" s="208"/>
      <c r="H15" s="209">
        <f>H13-H14</f>
        <v>200000.25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137</v>
      </c>
      <c r="C17" s="84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v>1102</v>
      </c>
      <c r="Q19" s="4"/>
      <c r="R19" s="5">
        <f t="shared" si="0"/>
        <v>0</v>
      </c>
    </row>
    <row r="20" spans="1:18" ht="15.75" x14ac:dyDescent="0.25">
      <c r="A20" s="158"/>
      <c r="B20" s="83" t="s">
        <v>125</v>
      </c>
      <c r="C20" s="84">
        <f>1+3</f>
        <v>4</v>
      </c>
      <c r="D20" s="13">
        <f t="shared" si="1"/>
        <v>4700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127</v>
      </c>
      <c r="C22" s="84"/>
      <c r="D22" s="48">
        <f t="shared" si="1"/>
        <v>0</v>
      </c>
      <c r="F22" s="77" t="s">
        <v>159</v>
      </c>
      <c r="G22" s="73">
        <v>8418</v>
      </c>
      <c r="H22" s="185">
        <v>99507</v>
      </c>
      <c r="I22" s="185"/>
      <c r="J22" s="18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101</v>
      </c>
      <c r="C23" s="84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121</v>
      </c>
      <c r="C24" s="84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136</v>
      </c>
      <c r="C26" s="84"/>
      <c r="D26" s="48">
        <f t="shared" si="1"/>
        <v>0</v>
      </c>
      <c r="F26" s="75" t="s">
        <v>159</v>
      </c>
      <c r="G26" s="65">
        <v>8315</v>
      </c>
      <c r="H26" s="155">
        <v>92560</v>
      </c>
      <c r="I26" s="155"/>
      <c r="J26" s="15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110</v>
      </c>
      <c r="C27" s="84"/>
      <c r="D27" s="44">
        <f t="shared" si="1"/>
        <v>0</v>
      </c>
      <c r="F27" s="71"/>
      <c r="G27" s="90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84">
        <v>5</v>
      </c>
      <c r="D28" s="48">
        <f t="shared" si="1"/>
        <v>4055</v>
      </c>
      <c r="F28" s="93"/>
      <c r="G28" s="61"/>
      <c r="H28" s="196"/>
      <c r="I28" s="197"/>
      <c r="J28" s="19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228543</v>
      </c>
      <c r="F29" s="116" t="s">
        <v>55</v>
      </c>
      <c r="G29" s="178"/>
      <c r="H29" s="138">
        <f>H15-H16-H17-H18-H19-H20-H22-H23-H24+H26+H27+H28</f>
        <v>193053.25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42</v>
      </c>
      <c r="H34" s="160">
        <f t="shared" ref="H34:H39" si="2">F34*G34</f>
        <v>42000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29</v>
      </c>
      <c r="H35" s="160">
        <f t="shared" si="2"/>
        <v>14500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>
        <v>36</v>
      </c>
      <c r="D36" s="12">
        <f>C36*1.5</f>
        <v>54</v>
      </c>
      <c r="F36" s="12">
        <v>200</v>
      </c>
      <c r="G36" s="37"/>
      <c r="H36" s="160">
        <f t="shared" si="2"/>
        <v>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6</v>
      </c>
      <c r="H37" s="160">
        <f t="shared" si="2"/>
        <v>600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>
        <v>79</v>
      </c>
      <c r="D38" s="12">
        <f>C38*84</f>
        <v>6636</v>
      </c>
      <c r="F38" s="30">
        <v>50</v>
      </c>
      <c r="G38" s="39">
        <v>2</v>
      </c>
      <c r="H38" s="160">
        <f t="shared" si="2"/>
        <v>100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0">
        <f t="shared" si="2"/>
        <v>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0">
        <v>159</v>
      </c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90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>
        <v>7</v>
      </c>
      <c r="D44" s="12">
        <f>C44*120</f>
        <v>840</v>
      </c>
      <c r="F44" s="37" t="s">
        <v>153</v>
      </c>
      <c r="G44" s="62"/>
      <c r="H44" s="155">
        <v>11432</v>
      </c>
      <c r="I44" s="155"/>
      <c r="J44" s="15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68</v>
      </c>
      <c r="C45" s="33">
        <v>6</v>
      </c>
      <c r="D45" s="12">
        <f>C45*84</f>
        <v>504</v>
      </c>
      <c r="F45" s="37" t="s">
        <v>153</v>
      </c>
      <c r="G45" s="62"/>
      <c r="H45" s="155">
        <v>30888</v>
      </c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>
        <v>5</v>
      </c>
      <c r="D46" s="12">
        <f>C46*1.5</f>
        <v>7.5</v>
      </c>
      <c r="F46" s="37" t="s">
        <v>156</v>
      </c>
      <c r="G46" s="96" t="s">
        <v>158</v>
      </c>
      <c r="H46" s="155">
        <v>92560</v>
      </c>
      <c r="I46" s="155"/>
      <c r="J46" s="155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/>
      <c r="D49" s="12">
        <f>C49*42</f>
        <v>0</v>
      </c>
      <c r="F49" s="136" t="s">
        <v>86</v>
      </c>
      <c r="G49" s="138">
        <f>H34+H35+H36+H37+H38+H39+H40+H41+G42+H44+H45+H46</f>
        <v>192239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>
        <v>42</v>
      </c>
      <c r="D50" s="12">
        <f>C50*1.5</f>
        <v>63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131</v>
      </c>
      <c r="G51" s="245">
        <f>G49-H29</f>
        <v>-814.25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28542.75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2</v>
      </c>
      <c r="H4" s="217" t="s">
        <v>9</v>
      </c>
      <c r="I4" s="219">
        <v>46034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351</v>
      </c>
      <c r="D6" s="13">
        <f t="shared" ref="D6:D28" si="1">C6*L6</f>
        <v>267111</v>
      </c>
      <c r="F6" s="223" t="s">
        <v>16</v>
      </c>
      <c r="G6" s="225" t="s">
        <v>140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11</v>
      </c>
      <c r="D7" s="13">
        <f t="shared" si="1"/>
        <v>8591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114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110</v>
      </c>
      <c r="D9" s="13">
        <f t="shared" si="1"/>
        <v>80630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115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13</v>
      </c>
      <c r="D13" s="48">
        <f t="shared" si="1"/>
        <v>3991</v>
      </c>
      <c r="F13" s="244" t="s">
        <v>36</v>
      </c>
      <c r="G13" s="208"/>
      <c r="H13" s="199">
        <f>D29</f>
        <v>360378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5</v>
      </c>
      <c r="D14" s="31">
        <f t="shared" si="1"/>
        <v>55</v>
      </c>
      <c r="F14" s="202" t="s">
        <v>39</v>
      </c>
      <c r="G14" s="203"/>
      <c r="H14" s="204">
        <f>D54</f>
        <v>53643.75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10"/>
      <c r="D15" s="31">
        <f t="shared" si="1"/>
        <v>0</v>
      </c>
      <c r="F15" s="207" t="s">
        <v>40</v>
      </c>
      <c r="G15" s="208"/>
      <c r="H15" s="209">
        <f>H13-H14</f>
        <v>306734.25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2652</f>
        <v>2652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93</v>
      </c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104</v>
      </c>
      <c r="C22" s="10"/>
      <c r="D22" s="48">
        <f t="shared" si="1"/>
        <v>0</v>
      </c>
      <c r="F22" s="72"/>
      <c r="G22" s="73"/>
      <c r="H22" s="185"/>
      <c r="I22" s="185"/>
      <c r="J22" s="18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107</v>
      </c>
      <c r="C23" s="10"/>
      <c r="D23" s="48">
        <f t="shared" si="1"/>
        <v>0</v>
      </c>
      <c r="F23" s="25"/>
      <c r="G23" s="37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123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105</v>
      </c>
      <c r="C26" s="10"/>
      <c r="D26" s="48">
        <f t="shared" si="1"/>
        <v>0</v>
      </c>
      <c r="F26" s="64"/>
      <c r="G26" s="10"/>
      <c r="H26" s="190"/>
      <c r="I26" s="191"/>
      <c r="J26" s="19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109</v>
      </c>
      <c r="C27" s="10"/>
      <c r="D27" s="44">
        <f t="shared" si="1"/>
        <v>0</v>
      </c>
      <c r="F27" s="14"/>
      <c r="G27" s="14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10"/>
      <c r="D28" s="48">
        <f t="shared" si="1"/>
        <v>0</v>
      </c>
      <c r="F28" s="93"/>
      <c r="G28" s="61"/>
      <c r="H28" s="196"/>
      <c r="I28" s="197"/>
      <c r="J28" s="198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360378</v>
      </c>
      <c r="F29" s="116" t="s">
        <v>55</v>
      </c>
      <c r="G29" s="178"/>
      <c r="H29" s="138">
        <f>H15-H16-H17-H18-H19-H20-H22-H23-H24+H26+H27</f>
        <v>304082.25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160">
        <f>F34*G34</f>
        <v>123000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>
        <v>267</v>
      </c>
      <c r="H35" s="160">
        <f t="shared" ref="H35:H39" si="2">F35*G35</f>
        <v>133500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0">
        <f>F36*G36</f>
        <v>200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>
        <v>471</v>
      </c>
      <c r="D37" s="12">
        <f>C37*111</f>
        <v>52281</v>
      </c>
      <c r="F37" s="12">
        <v>100</v>
      </c>
      <c r="G37" s="39">
        <v>384</v>
      </c>
      <c r="H37" s="160">
        <f t="shared" si="2"/>
        <v>38400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177</v>
      </c>
      <c r="H38" s="160">
        <f t="shared" si="2"/>
        <v>8850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0">
        <f t="shared" si="2"/>
        <v>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>
        <v>5</v>
      </c>
      <c r="D42" s="12">
        <f>C42*2.25</f>
        <v>11.25</v>
      </c>
      <c r="F42" s="39" t="s">
        <v>79</v>
      </c>
      <c r="G42" s="160">
        <v>61</v>
      </c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90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/>
      <c r="G44" s="62"/>
      <c r="H44" s="155"/>
      <c r="I44" s="155"/>
      <c r="J44" s="155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>
        <v>6</v>
      </c>
      <c r="D46" s="12">
        <f>C46*1.5</f>
        <v>9</v>
      </c>
      <c r="F46" s="37"/>
      <c r="G46" s="91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>
        <v>2</v>
      </c>
      <c r="D49" s="12">
        <f>C49*42</f>
        <v>84</v>
      </c>
      <c r="F49" s="136" t="s">
        <v>86</v>
      </c>
      <c r="G49" s="138">
        <f>H34+H35+H36+H37+H38+H39+H40+H41+G42+H44+H45+H46</f>
        <v>304011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>
        <v>17</v>
      </c>
      <c r="D50" s="12">
        <f>C50*1.5</f>
        <v>25.5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161</v>
      </c>
      <c r="G51" s="245">
        <f>G49-H29</f>
        <v>-71.25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53643.75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3</v>
      </c>
      <c r="H4" s="217" t="s">
        <v>9</v>
      </c>
      <c r="I4" s="219">
        <v>46034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437</v>
      </c>
      <c r="D6" s="13">
        <f t="shared" ref="D6:D28" si="1">C6*L6</f>
        <v>332557</v>
      </c>
      <c r="F6" s="223" t="s">
        <v>16</v>
      </c>
      <c r="G6" s="225" t="s">
        <v>111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4</v>
      </c>
      <c r="D7" s="13">
        <f t="shared" si="1"/>
        <v>3124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119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114</v>
      </c>
      <c r="D9" s="13">
        <f t="shared" si="1"/>
        <v>83562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134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f>4+1</f>
        <v>5</v>
      </c>
      <c r="D12" s="48">
        <f t="shared" si="1"/>
        <v>4960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13</v>
      </c>
      <c r="D13" s="48">
        <f t="shared" si="1"/>
        <v>3991</v>
      </c>
      <c r="F13" s="244" t="s">
        <v>36</v>
      </c>
      <c r="G13" s="208"/>
      <c r="H13" s="199">
        <f>D29</f>
        <v>429225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20</v>
      </c>
      <c r="D14" s="31">
        <f t="shared" si="1"/>
        <v>220</v>
      </c>
      <c r="F14" s="202" t="s">
        <v>39</v>
      </c>
      <c r="G14" s="203"/>
      <c r="H14" s="204">
        <f>D54</f>
        <v>84082.5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10"/>
      <c r="D15" s="31">
        <f t="shared" si="1"/>
        <v>0</v>
      </c>
      <c r="F15" s="207" t="s">
        <v>40</v>
      </c>
      <c r="G15" s="208"/>
      <c r="H15" s="209">
        <f>H13-H14</f>
        <v>345142.5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1026+312</f>
        <v>1338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113</v>
      </c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>
        <v>50</v>
      </c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104</v>
      </c>
      <c r="C22" s="10"/>
      <c r="D22" s="48">
        <f t="shared" si="1"/>
        <v>0</v>
      </c>
      <c r="F22" s="77"/>
      <c r="G22" s="73"/>
      <c r="H22" s="185"/>
      <c r="I22" s="185"/>
      <c r="J22" s="18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107</v>
      </c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101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105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109</v>
      </c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10">
        <v>1</v>
      </c>
      <c r="D28" s="48">
        <f t="shared" si="1"/>
        <v>811</v>
      </c>
      <c r="F28" s="93"/>
      <c r="G28" s="61"/>
      <c r="H28" s="196"/>
      <c r="I28" s="197"/>
      <c r="J28" s="19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429225</v>
      </c>
      <c r="F29" s="116" t="s">
        <v>55</v>
      </c>
      <c r="G29" s="178"/>
      <c r="H29" s="138">
        <f>H15-H16-H17-H18-H19-H20-H22-H23-H24+H26+H27</f>
        <v>343754.5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66</v>
      </c>
      <c r="H34" s="160">
        <f>F34*G34</f>
        <v>66000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160">
        <f>F35*G35</f>
        <v>17500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60">
        <f t="shared" ref="H36:H39" si="2">F36*G36</f>
        <v>600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>
        <v>706</v>
      </c>
      <c r="D37" s="12">
        <f>C37*111</f>
        <v>78366</v>
      </c>
      <c r="F37" s="12">
        <v>100</v>
      </c>
      <c r="G37" s="39">
        <v>84</v>
      </c>
      <c r="H37" s="160">
        <f t="shared" si="2"/>
        <v>8400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>
        <v>37</v>
      </c>
      <c r="D38" s="12">
        <f>C38*84</f>
        <v>3108</v>
      </c>
      <c r="F38" s="30">
        <v>50</v>
      </c>
      <c r="G38" s="39">
        <v>35</v>
      </c>
      <c r="H38" s="160">
        <f t="shared" si="2"/>
        <v>1750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/>
      <c r="D39" s="31">
        <f>C39*4.5</f>
        <v>0</v>
      </c>
      <c r="F39" s="12">
        <v>20</v>
      </c>
      <c r="G39" s="37"/>
      <c r="H39" s="160">
        <f t="shared" si="2"/>
        <v>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>
        <v>8</v>
      </c>
      <c r="D42" s="12">
        <f>C42*2.25</f>
        <v>18</v>
      </c>
      <c r="F42" s="39" t="s">
        <v>79</v>
      </c>
      <c r="G42" s="160"/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90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>
        <v>2</v>
      </c>
      <c r="D44" s="12">
        <f>C44*120</f>
        <v>240</v>
      </c>
      <c r="F44" s="113" t="s">
        <v>191</v>
      </c>
      <c r="G44" s="76" t="s">
        <v>192</v>
      </c>
      <c r="H44" s="155">
        <v>140724</v>
      </c>
      <c r="I44" s="155"/>
      <c r="J44" s="15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68</v>
      </c>
      <c r="C45" s="33">
        <v>3</v>
      </c>
      <c r="D45" s="12">
        <f>C45*84</f>
        <v>252</v>
      </c>
      <c r="F45" s="37" t="s">
        <v>147</v>
      </c>
      <c r="G45" s="76" t="s">
        <v>193</v>
      </c>
      <c r="H45" s="155">
        <v>108088</v>
      </c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>
        <v>17</v>
      </c>
      <c r="D46" s="12">
        <f>C46*1.5</f>
        <v>25.5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>
        <v>5</v>
      </c>
      <c r="D49" s="12">
        <f>C49*42</f>
        <v>210</v>
      </c>
      <c r="F49" s="136" t="s">
        <v>86</v>
      </c>
      <c r="G49" s="138">
        <f>H34+H35+H36+H37+H38+H39+H40+H41+G42+H44+H45+H46</f>
        <v>343062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>
        <v>14</v>
      </c>
      <c r="D50" s="12">
        <f>C50*1.5</f>
        <v>21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139</v>
      </c>
      <c r="G51" s="245">
        <f>G49-H29</f>
        <v>-692.5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84082.5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435D0-A781-43B0-BB54-63A5594375B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2" t="s">
        <v>1</v>
      </c>
      <c r="O1" s="212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3" t="s">
        <v>7</v>
      </c>
      <c r="B4" s="164"/>
      <c r="C4" s="164"/>
      <c r="D4" s="165"/>
      <c r="F4" s="213" t="s">
        <v>8</v>
      </c>
      <c r="G4" s="215"/>
      <c r="H4" s="217" t="s">
        <v>9</v>
      </c>
      <c r="I4" s="219"/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223" t="s">
        <v>16</v>
      </c>
      <c r="G6" s="225"/>
      <c r="H6" s="226"/>
      <c r="I6" s="226"/>
      <c r="J6" s="2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231" t="s">
        <v>21</v>
      </c>
      <c r="G8" s="232"/>
      <c r="H8" s="233"/>
      <c r="I8" s="233"/>
      <c r="J8" s="2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223" t="s">
        <v>26</v>
      </c>
      <c r="G10" s="238"/>
      <c r="H10" s="239"/>
      <c r="I10" s="239"/>
      <c r="J10" s="240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202" t="s">
        <v>39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207" t="s">
        <v>40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50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04"/>
      <c r="G28" s="61"/>
      <c r="H28" s="196"/>
      <c r="I28" s="197"/>
      <c r="J28" s="19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55</v>
      </c>
      <c r="G29" s="178"/>
      <c r="H29" s="138">
        <f>H15-H16-H17-H18-H19-H20-H22-H23-H24+H26+H27</f>
        <v>0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0"/>
      <c r="I34" s="161"/>
      <c r="J34" s="16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/>
      <c r="H35" s="160"/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/>
      <c r="I36" s="161"/>
      <c r="J36" s="16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0"/>
      <c r="I37" s="161"/>
      <c r="J37" s="16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68</v>
      </c>
      <c r="C38" s="54"/>
      <c r="D38" s="12">
        <f>C38*84</f>
        <v>0</v>
      </c>
      <c r="F38" s="30">
        <v>50</v>
      </c>
      <c r="G38" s="39"/>
      <c r="H38" s="160"/>
      <c r="I38" s="161"/>
      <c r="J38" s="16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70</v>
      </c>
      <c r="C39" s="52"/>
      <c r="D39" s="31">
        <f>C39*4.5</f>
        <v>0</v>
      </c>
      <c r="F39" s="12">
        <v>20</v>
      </c>
      <c r="G39" s="37"/>
      <c r="H39" s="160"/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/>
      <c r="H42" s="161"/>
      <c r="I42" s="161"/>
      <c r="J42" s="16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107" t="s">
        <v>83</v>
      </c>
      <c r="H43" s="152" t="s">
        <v>13</v>
      </c>
      <c r="I43" s="153"/>
      <c r="J43" s="154"/>
      <c r="K43" s="21"/>
      <c r="P43" s="4"/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/>
      <c r="G44" s="76"/>
      <c r="H44" s="155"/>
      <c r="I44" s="155"/>
      <c r="J44" s="155"/>
      <c r="K44" s="21"/>
      <c r="P44" s="4"/>
      <c r="Q44" s="4"/>
      <c r="R44" s="5"/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/>
      <c r="D49" s="12">
        <f>C49*42</f>
        <v>0</v>
      </c>
      <c r="F49" s="136" t="s">
        <v>86</v>
      </c>
      <c r="G49" s="138">
        <f>H34+H35+H36+H37+H38+H39+H40+H41+G42+H44+H45+H46</f>
        <v>0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/>
      <c r="D50" s="12">
        <f>C50*1.5</f>
        <v>0</v>
      </c>
      <c r="F50" s="137"/>
      <c r="G50" s="141"/>
      <c r="H50" s="142"/>
      <c r="I50" s="142"/>
      <c r="J50" s="143"/>
      <c r="P50" s="4"/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128</v>
      </c>
      <c r="G51" s="146">
        <f>G49-H29</f>
        <v>0</v>
      </c>
      <c r="H51" s="147"/>
      <c r="I51" s="147"/>
      <c r="J51" s="1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0</v>
      </c>
      <c r="F54" s="21"/>
      <c r="J54" s="34"/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AF96F-764A-49BB-A36E-4DC837A8A00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1</v>
      </c>
      <c r="H4" s="217" t="s">
        <v>9</v>
      </c>
      <c r="I4" s="219">
        <v>46035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84">
        <v>355</v>
      </c>
      <c r="D6" s="13">
        <f t="shared" ref="D6:D28" si="1">C6*L6</f>
        <v>270155</v>
      </c>
      <c r="F6" s="223" t="s">
        <v>16</v>
      </c>
      <c r="G6" s="225" t="s">
        <v>129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84">
        <v>3</v>
      </c>
      <c r="D7" s="13">
        <f t="shared" si="1"/>
        <v>2343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84"/>
      <c r="D8" s="13">
        <f t="shared" si="1"/>
        <v>0</v>
      </c>
      <c r="F8" s="231" t="s">
        <v>21</v>
      </c>
      <c r="G8" s="232" t="s">
        <v>112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84">
        <v>20</v>
      </c>
      <c r="D9" s="13">
        <f t="shared" si="1"/>
        <v>14660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84">
        <v>5</v>
      </c>
      <c r="D10" s="13">
        <f t="shared" si="1"/>
        <v>5160</v>
      </c>
      <c r="F10" s="223" t="s">
        <v>26</v>
      </c>
      <c r="G10" s="238" t="s">
        <v>130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84">
        <v>5</v>
      </c>
      <c r="D11" s="13">
        <f t="shared" si="1"/>
        <v>5850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84">
        <v>6</v>
      </c>
      <c r="D12" s="48">
        <f t="shared" si="1"/>
        <v>5952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84">
        <v>8</v>
      </c>
      <c r="D13" s="48">
        <f t="shared" si="1"/>
        <v>2456</v>
      </c>
      <c r="F13" s="244" t="s">
        <v>36</v>
      </c>
      <c r="G13" s="208"/>
      <c r="H13" s="199">
        <f>D29</f>
        <v>308880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84">
        <v>23</v>
      </c>
      <c r="D14" s="31">
        <f t="shared" si="1"/>
        <v>253</v>
      </c>
      <c r="F14" s="202" t="s">
        <v>39</v>
      </c>
      <c r="G14" s="203"/>
      <c r="H14" s="204">
        <f>D54</f>
        <v>123354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84"/>
      <c r="D15" s="31">
        <f t="shared" si="1"/>
        <v>0</v>
      </c>
      <c r="F15" s="207" t="s">
        <v>40</v>
      </c>
      <c r="G15" s="208"/>
      <c r="H15" s="209">
        <f>H13-H14</f>
        <v>185526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>
        <f>1314</f>
        <v>1314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137</v>
      </c>
      <c r="C17" s="84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v>1102</v>
      </c>
      <c r="Q19" s="4"/>
      <c r="R19" s="5">
        <f t="shared" si="0"/>
        <v>0</v>
      </c>
    </row>
    <row r="20" spans="1:18" ht="15.75" x14ac:dyDescent="0.25">
      <c r="A20" s="15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127</v>
      </c>
      <c r="C22" s="84"/>
      <c r="D22" s="48">
        <f t="shared" si="1"/>
        <v>0</v>
      </c>
      <c r="F22" s="77"/>
      <c r="G22" s="73"/>
      <c r="H22" s="185"/>
      <c r="I22" s="185"/>
      <c r="J22" s="18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101</v>
      </c>
      <c r="C23" s="84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121</v>
      </c>
      <c r="C24" s="84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136</v>
      </c>
      <c r="C26" s="84"/>
      <c r="D26" s="48">
        <f t="shared" si="1"/>
        <v>0</v>
      </c>
      <c r="F26" s="75"/>
      <c r="G26" s="65"/>
      <c r="H26" s="155"/>
      <c r="I26" s="155"/>
      <c r="J26" s="15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110</v>
      </c>
      <c r="C27" s="84"/>
      <c r="D27" s="44">
        <f t="shared" si="1"/>
        <v>0</v>
      </c>
      <c r="F27" s="71"/>
      <c r="G27" s="107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84">
        <v>1</v>
      </c>
      <c r="D28" s="48">
        <f t="shared" si="1"/>
        <v>811</v>
      </c>
      <c r="F28" s="104"/>
      <c r="G28" s="61"/>
      <c r="H28" s="196"/>
      <c r="I28" s="197"/>
      <c r="J28" s="19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308880</v>
      </c>
      <c r="F29" s="116" t="s">
        <v>55</v>
      </c>
      <c r="G29" s="178"/>
      <c r="H29" s="138">
        <f>H15-H16-H17-H18-H19-H20-H22-H23-H24+H26+H27+H28</f>
        <v>184212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78</v>
      </c>
      <c r="H34" s="160">
        <f t="shared" ref="H34:H39" si="2">F34*G34</f>
        <v>78000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160">
        <f t="shared" si="2"/>
        <v>10500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>
        <f t="shared" si="2"/>
        <v>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>
        <v>1045</v>
      </c>
      <c r="D37" s="12">
        <f>C37*111</f>
        <v>115995</v>
      </c>
      <c r="F37" s="12">
        <v>100</v>
      </c>
      <c r="G37" s="39">
        <v>8</v>
      </c>
      <c r="H37" s="160">
        <f t="shared" si="2"/>
        <v>800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>
        <v>23</v>
      </c>
      <c r="D38" s="12">
        <f>C38*84</f>
        <v>1932</v>
      </c>
      <c r="F38" s="30">
        <v>50</v>
      </c>
      <c r="G38" s="39">
        <v>7</v>
      </c>
      <c r="H38" s="160">
        <f t="shared" si="2"/>
        <v>350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0">
        <f t="shared" si="2"/>
        <v>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>
        <v>20</v>
      </c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107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>
        <v>19</v>
      </c>
      <c r="D44" s="12">
        <f>C44*120</f>
        <v>2280</v>
      </c>
      <c r="F44" s="37" t="s">
        <v>147</v>
      </c>
      <c r="G44" s="62" t="s">
        <v>195</v>
      </c>
      <c r="H44" s="155">
        <v>69378</v>
      </c>
      <c r="I44" s="155"/>
      <c r="J44" s="15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55">
        <v>25500</v>
      </c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>
        <v>22</v>
      </c>
      <c r="D46" s="12">
        <f>C46*1.5</f>
        <v>33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/>
      <c r="D49" s="12">
        <f>C49*42</f>
        <v>0</v>
      </c>
      <c r="F49" s="136" t="s">
        <v>86</v>
      </c>
      <c r="G49" s="138">
        <f>H34+H35+H36+H37+H38+H39+H40+H41+G42+H44+H45+H46</f>
        <v>184548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>
        <v>1</v>
      </c>
      <c r="D50" s="12">
        <f>C50*1.5</f>
        <v>1.5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149</v>
      </c>
      <c r="G51" s="146">
        <f>G49-H29</f>
        <v>336</v>
      </c>
      <c r="H51" s="147"/>
      <c r="I51" s="147"/>
      <c r="J51" s="1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123354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9F3C-999B-4470-A701-EA35174B52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2</v>
      </c>
      <c r="H4" s="217" t="s">
        <v>9</v>
      </c>
      <c r="I4" s="219">
        <v>46035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f>394-63</f>
        <v>331</v>
      </c>
      <c r="D6" s="13">
        <f t="shared" ref="D6:D28" si="1">C6*L6</f>
        <v>251891</v>
      </c>
      <c r="F6" s="223" t="s">
        <v>16</v>
      </c>
      <c r="G6" s="225" t="s">
        <v>140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6</v>
      </c>
      <c r="D7" s="13">
        <f t="shared" si="1"/>
        <v>4686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114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f>54-14</f>
        <v>40</v>
      </c>
      <c r="D9" s="13">
        <f t="shared" si="1"/>
        <v>29320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115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3</v>
      </c>
      <c r="D12" s="48">
        <f t="shared" si="1"/>
        <v>2976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8</v>
      </c>
      <c r="D13" s="48">
        <f t="shared" si="1"/>
        <v>2456</v>
      </c>
      <c r="F13" s="244" t="s">
        <v>36</v>
      </c>
      <c r="G13" s="208"/>
      <c r="H13" s="199">
        <f>D29</f>
        <v>295463.33333333331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22</v>
      </c>
      <c r="D14" s="31">
        <f t="shared" si="1"/>
        <v>242</v>
      </c>
      <c r="F14" s="202" t="s">
        <v>39</v>
      </c>
      <c r="G14" s="203"/>
      <c r="H14" s="204">
        <f>D54</f>
        <v>42937.5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10"/>
      <c r="D15" s="31">
        <f t="shared" si="1"/>
        <v>0</v>
      </c>
      <c r="F15" s="207" t="s">
        <v>40</v>
      </c>
      <c r="G15" s="208"/>
      <c r="H15" s="209">
        <f>H13-H14</f>
        <v>252525.83333333331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v>1182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93</v>
      </c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114" t="s">
        <v>194</v>
      </c>
      <c r="C20" s="10">
        <f>1+1</f>
        <v>2</v>
      </c>
      <c r="D20" s="13">
        <f t="shared" si="1"/>
        <v>2350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104</v>
      </c>
      <c r="C22" s="10"/>
      <c r="D22" s="48">
        <f t="shared" si="1"/>
        <v>0</v>
      </c>
      <c r="F22" s="72"/>
      <c r="G22" s="73"/>
      <c r="H22" s="185"/>
      <c r="I22" s="185"/>
      <c r="J22" s="18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107</v>
      </c>
      <c r="C23" s="10"/>
      <c r="D23" s="48">
        <f t="shared" si="1"/>
        <v>0</v>
      </c>
      <c r="F23" s="25"/>
      <c r="G23" s="37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123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105</v>
      </c>
      <c r="C26" s="10"/>
      <c r="D26" s="48">
        <f t="shared" si="1"/>
        <v>0</v>
      </c>
      <c r="F26" s="64"/>
      <c r="G26" s="10"/>
      <c r="H26" s="190"/>
      <c r="I26" s="191"/>
      <c r="J26" s="19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109</v>
      </c>
      <c r="C27" s="10"/>
      <c r="D27" s="44">
        <f t="shared" si="1"/>
        <v>0</v>
      </c>
      <c r="F27" s="14"/>
      <c r="G27" s="14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10">
        <v>2</v>
      </c>
      <c r="D28" s="48">
        <f t="shared" si="1"/>
        <v>242.33333333333334</v>
      </c>
      <c r="F28" s="104"/>
      <c r="G28" s="61"/>
      <c r="H28" s="196"/>
      <c r="I28" s="197"/>
      <c r="J28" s="198"/>
      <c r="L28" s="47">
        <f>700/6+4.5</f>
        <v>121.16666666666667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295463.33333333331</v>
      </c>
      <c r="F29" s="116" t="s">
        <v>55</v>
      </c>
      <c r="G29" s="178"/>
      <c r="H29" s="138">
        <f>H15-H16-H17-H18-H19-H20-H22-H23-H24+H26+H27</f>
        <v>251343.83333333331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93</v>
      </c>
      <c r="H34" s="160">
        <f>F34*G34</f>
        <v>93000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160">
        <f t="shared" ref="H35:H39" si="2">F35*G35</f>
        <v>14000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160">
        <f>F36*G36</f>
        <v>1400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100</v>
      </c>
      <c r="H37" s="160">
        <f t="shared" si="2"/>
        <v>10000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>
        <v>21</v>
      </c>
      <c r="D38" s="12">
        <f>C38*84</f>
        <v>1764</v>
      </c>
      <c r="F38" s="30">
        <v>50</v>
      </c>
      <c r="G38" s="39">
        <v>4</v>
      </c>
      <c r="H38" s="160">
        <f t="shared" si="2"/>
        <v>200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0">
        <f t="shared" si="2"/>
        <v>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>
        <v>12</v>
      </c>
      <c r="D42" s="12">
        <f>C42*2.25</f>
        <v>27</v>
      </c>
      <c r="F42" s="39" t="s">
        <v>79</v>
      </c>
      <c r="G42" s="160">
        <v>50</v>
      </c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107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 t="s">
        <v>147</v>
      </c>
      <c r="G44" s="62" t="s">
        <v>196</v>
      </c>
      <c r="H44" s="155">
        <v>131773</v>
      </c>
      <c r="I44" s="155"/>
      <c r="J44" s="15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68</v>
      </c>
      <c r="C45" s="33">
        <v>1</v>
      </c>
      <c r="D45" s="12">
        <f>C45*84</f>
        <v>84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106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>
        <v>30</v>
      </c>
      <c r="D49" s="12">
        <f>C49*42</f>
        <v>1260</v>
      </c>
      <c r="F49" s="136" t="s">
        <v>86</v>
      </c>
      <c r="G49" s="138">
        <f>H34+H35+H36+H37+H38+H39+H40+H41+G42+H44+H45+H46</f>
        <v>250423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>
        <v>8</v>
      </c>
      <c r="D50" s="12">
        <f>C50*1.5</f>
        <v>12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161</v>
      </c>
      <c r="G51" s="245">
        <f>G49-H29</f>
        <v>-920.83333333331393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42937.5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7A12E-9992-4A31-9BCC-46FD40EA0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3</v>
      </c>
      <c r="H4" s="217" t="s">
        <v>9</v>
      </c>
      <c r="I4" s="219">
        <v>46035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363</v>
      </c>
      <c r="D6" s="13">
        <f t="shared" ref="D6:D28" si="1">C6*L6</f>
        <v>276243</v>
      </c>
      <c r="F6" s="223" t="s">
        <v>16</v>
      </c>
      <c r="G6" s="225" t="s">
        <v>111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7</v>
      </c>
      <c r="D7" s="13">
        <f t="shared" si="1"/>
        <v>5467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119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15</v>
      </c>
      <c r="D9" s="13">
        <f t="shared" si="1"/>
        <v>10995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3</v>
      </c>
      <c r="D10" s="13">
        <f t="shared" si="1"/>
        <v>3096</v>
      </c>
      <c r="F10" s="223" t="s">
        <v>26</v>
      </c>
      <c r="G10" s="238" t="s">
        <v>134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12</v>
      </c>
      <c r="D13" s="48">
        <f t="shared" si="1"/>
        <v>3684</v>
      </c>
      <c r="F13" s="244" t="s">
        <v>36</v>
      </c>
      <c r="G13" s="208"/>
      <c r="H13" s="199">
        <f>D29</f>
        <v>302382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5</v>
      </c>
      <c r="D14" s="31">
        <f t="shared" si="1"/>
        <v>55</v>
      </c>
      <c r="F14" s="202" t="s">
        <v>39</v>
      </c>
      <c r="G14" s="203"/>
      <c r="H14" s="204">
        <f>D54</f>
        <v>67329.75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10"/>
      <c r="D15" s="31">
        <f t="shared" si="1"/>
        <v>0</v>
      </c>
      <c r="F15" s="207" t="s">
        <v>40</v>
      </c>
      <c r="G15" s="208"/>
      <c r="H15" s="209">
        <f>H13-H14</f>
        <v>235052.25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1296+324</f>
        <v>1620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113</v>
      </c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/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104</v>
      </c>
      <c r="C22" s="10"/>
      <c r="D22" s="48">
        <f t="shared" si="1"/>
        <v>0</v>
      </c>
      <c r="F22" s="77"/>
      <c r="G22" s="73"/>
      <c r="H22" s="185"/>
      <c r="I22" s="185"/>
      <c r="J22" s="18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95" t="s">
        <v>150</v>
      </c>
      <c r="C23" s="10">
        <v>1</v>
      </c>
      <c r="D23" s="48">
        <f t="shared" si="1"/>
        <v>1175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101</v>
      </c>
      <c r="C24" s="10">
        <v>1</v>
      </c>
      <c r="D24" s="48">
        <f t="shared" si="1"/>
        <v>1667</v>
      </c>
      <c r="F24" s="38"/>
      <c r="G24" s="37"/>
      <c r="H24" s="186"/>
      <c r="I24" s="155"/>
      <c r="J24" s="15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105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109</v>
      </c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10"/>
      <c r="D28" s="48">
        <f t="shared" si="1"/>
        <v>0</v>
      </c>
      <c r="F28" s="104"/>
      <c r="G28" s="61"/>
      <c r="H28" s="196"/>
      <c r="I28" s="197"/>
      <c r="J28" s="19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302382</v>
      </c>
      <c r="F29" s="116" t="s">
        <v>55</v>
      </c>
      <c r="G29" s="178"/>
      <c r="H29" s="138">
        <f>H15-H16-H17-H18-H19-H20-H22-H23-H24+H26+H27</f>
        <v>233432.25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87</v>
      </c>
      <c r="H34" s="160">
        <f>F34*G34</f>
        <v>87000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48</v>
      </c>
      <c r="H35" s="160">
        <f>F35*G35</f>
        <v>24000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160">
        <f t="shared" ref="H36:H39" si="2">F36*G36</f>
        <v>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>
        <v>568</v>
      </c>
      <c r="D37" s="12">
        <f>C37*111</f>
        <v>63048</v>
      </c>
      <c r="F37" s="12">
        <v>100</v>
      </c>
      <c r="G37" s="39">
        <v>39</v>
      </c>
      <c r="H37" s="160">
        <f t="shared" si="2"/>
        <v>3900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27</v>
      </c>
      <c r="H38" s="160">
        <f t="shared" si="2"/>
        <v>1350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0">
        <f t="shared" si="2"/>
        <v>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0">
        <v>59</v>
      </c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107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 t="s">
        <v>156</v>
      </c>
      <c r="G44" s="76" t="s">
        <v>197</v>
      </c>
      <c r="H44" s="155">
        <v>117189</v>
      </c>
      <c r="I44" s="155"/>
      <c r="J44" s="15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/>
      <c r="D49" s="12">
        <f>C49*42</f>
        <v>0</v>
      </c>
      <c r="F49" s="136" t="s">
        <v>86</v>
      </c>
      <c r="G49" s="138">
        <f>H34+H35+H36+H37+H38+H39+H40+H41+G42+H44+H45+H46</f>
        <v>233498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>
        <v>2</v>
      </c>
      <c r="D50" s="12">
        <f>C50*1.5</f>
        <v>3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149</v>
      </c>
      <c r="G51" s="146">
        <f>G49-H29</f>
        <v>65.75</v>
      </c>
      <c r="H51" s="147"/>
      <c r="I51" s="147"/>
      <c r="J51" s="1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67329.75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09A9C-F6F9-49C7-A02F-E12D7DC3E9C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2" t="s">
        <v>1</v>
      </c>
      <c r="O1" s="212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3" t="s">
        <v>7</v>
      </c>
      <c r="B4" s="164"/>
      <c r="C4" s="164"/>
      <c r="D4" s="165"/>
      <c r="F4" s="213" t="s">
        <v>8</v>
      </c>
      <c r="G4" s="215"/>
      <c r="H4" s="217" t="s">
        <v>9</v>
      </c>
      <c r="I4" s="219"/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223" t="s">
        <v>16</v>
      </c>
      <c r="G6" s="225"/>
      <c r="H6" s="226"/>
      <c r="I6" s="226"/>
      <c r="J6" s="2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231" t="s">
        <v>21</v>
      </c>
      <c r="G8" s="232"/>
      <c r="H8" s="233"/>
      <c r="I8" s="233"/>
      <c r="J8" s="2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223" t="s">
        <v>26</v>
      </c>
      <c r="G10" s="238"/>
      <c r="H10" s="239"/>
      <c r="I10" s="239"/>
      <c r="J10" s="240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202" t="s">
        <v>39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207" t="s">
        <v>40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50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11"/>
      <c r="G28" s="61"/>
      <c r="H28" s="196"/>
      <c r="I28" s="197"/>
      <c r="J28" s="19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55</v>
      </c>
      <c r="G29" s="178"/>
      <c r="H29" s="138">
        <f>H15-H16-H17-H18-H19-H20-H22-H23-H24+H26+H27</f>
        <v>0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0"/>
      <c r="I34" s="161"/>
      <c r="J34" s="16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/>
      <c r="H35" s="160"/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/>
      <c r="I36" s="161"/>
      <c r="J36" s="16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0"/>
      <c r="I37" s="161"/>
      <c r="J37" s="16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68</v>
      </c>
      <c r="C38" s="54"/>
      <c r="D38" s="12">
        <f>C38*84</f>
        <v>0</v>
      </c>
      <c r="F38" s="30">
        <v>50</v>
      </c>
      <c r="G38" s="39"/>
      <c r="H38" s="160"/>
      <c r="I38" s="161"/>
      <c r="J38" s="16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70</v>
      </c>
      <c r="C39" s="52"/>
      <c r="D39" s="31">
        <f>C39*4.5</f>
        <v>0</v>
      </c>
      <c r="F39" s="12">
        <v>20</v>
      </c>
      <c r="G39" s="37"/>
      <c r="H39" s="160"/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/>
      <c r="H42" s="161"/>
      <c r="I42" s="161"/>
      <c r="J42" s="16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108" t="s">
        <v>83</v>
      </c>
      <c r="H43" s="152" t="s">
        <v>13</v>
      </c>
      <c r="I43" s="153"/>
      <c r="J43" s="154"/>
      <c r="K43" s="21"/>
      <c r="P43" s="4"/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/>
      <c r="G44" s="76"/>
      <c r="H44" s="155"/>
      <c r="I44" s="155"/>
      <c r="J44" s="155"/>
      <c r="K44" s="21"/>
      <c r="P44" s="4"/>
      <c r="Q44" s="4"/>
      <c r="R44" s="5"/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/>
      <c r="D49" s="12">
        <f>C49*42</f>
        <v>0</v>
      </c>
      <c r="F49" s="136" t="s">
        <v>86</v>
      </c>
      <c r="G49" s="138">
        <f>H34+H35+H36+H37+H38+H39+H40+H41+G42+H44+H45+H46</f>
        <v>0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/>
      <c r="D50" s="12">
        <f>C50*1.5</f>
        <v>0</v>
      </c>
      <c r="F50" s="137"/>
      <c r="G50" s="141"/>
      <c r="H50" s="142"/>
      <c r="I50" s="142"/>
      <c r="J50" s="143"/>
      <c r="P50" s="4"/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128</v>
      </c>
      <c r="G51" s="146">
        <f>G49-H29</f>
        <v>0</v>
      </c>
      <c r="H51" s="147"/>
      <c r="I51" s="147"/>
      <c r="J51" s="1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0</v>
      </c>
      <c r="F54" s="21"/>
      <c r="J54" s="34"/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B20F5-1FE7-47A9-9712-2C45168303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1</v>
      </c>
      <c r="H4" s="217" t="s">
        <v>9</v>
      </c>
      <c r="I4" s="219">
        <v>46036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84"/>
      <c r="D6" s="13">
        <f t="shared" ref="D6:D28" si="1">C6*L6</f>
        <v>0</v>
      </c>
      <c r="F6" s="223" t="s">
        <v>16</v>
      </c>
      <c r="G6" s="225" t="s">
        <v>129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84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84"/>
      <c r="D8" s="13">
        <f t="shared" si="1"/>
        <v>0</v>
      </c>
      <c r="F8" s="231" t="s">
        <v>21</v>
      </c>
      <c r="G8" s="232" t="s">
        <v>112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84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84"/>
      <c r="D10" s="13">
        <f t="shared" si="1"/>
        <v>0</v>
      </c>
      <c r="F10" s="223" t="s">
        <v>26</v>
      </c>
      <c r="G10" s="238" t="s">
        <v>130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84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84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84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84"/>
      <c r="D14" s="31">
        <f t="shared" si="1"/>
        <v>0</v>
      </c>
      <c r="F14" s="202" t="s">
        <v>39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84"/>
      <c r="D15" s="31">
        <f t="shared" si="1"/>
        <v>0</v>
      </c>
      <c r="F15" s="207" t="s">
        <v>40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137</v>
      </c>
      <c r="C17" s="84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v>1102</v>
      </c>
      <c r="Q19" s="4"/>
      <c r="R19" s="5">
        <f t="shared" si="0"/>
        <v>0</v>
      </c>
    </row>
    <row r="20" spans="1:18" ht="15.75" x14ac:dyDescent="0.25">
      <c r="A20" s="15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127</v>
      </c>
      <c r="C22" s="84"/>
      <c r="D22" s="48">
        <f t="shared" si="1"/>
        <v>0</v>
      </c>
      <c r="F22" s="77"/>
      <c r="G22" s="73"/>
      <c r="H22" s="185"/>
      <c r="I22" s="185"/>
      <c r="J22" s="18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101</v>
      </c>
      <c r="C23" s="84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121</v>
      </c>
      <c r="C24" s="84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136</v>
      </c>
      <c r="C26" s="84"/>
      <c r="D26" s="48">
        <f t="shared" si="1"/>
        <v>0</v>
      </c>
      <c r="F26" s="75"/>
      <c r="G26" s="65"/>
      <c r="H26" s="155"/>
      <c r="I26" s="155"/>
      <c r="J26" s="15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110</v>
      </c>
      <c r="C27" s="84"/>
      <c r="D27" s="44">
        <f t="shared" si="1"/>
        <v>0</v>
      </c>
      <c r="F27" s="71"/>
      <c r="G27" s="108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84"/>
      <c r="D28" s="48">
        <f t="shared" si="1"/>
        <v>0</v>
      </c>
      <c r="F28" s="111"/>
      <c r="G28" s="61"/>
      <c r="H28" s="196"/>
      <c r="I28" s="197"/>
      <c r="J28" s="19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55</v>
      </c>
      <c r="G29" s="178"/>
      <c r="H29" s="138">
        <f>H15-H16-H17-H18-H19-H20-H22-H23-H24+H26+H27+H28</f>
        <v>0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0">
        <f t="shared" ref="H34:H39" si="2">F34*G34</f>
        <v>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/>
      <c r="H35" s="160">
        <f t="shared" si="2"/>
        <v>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>
        <f t="shared" si="2"/>
        <v>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0">
        <f t="shared" si="2"/>
        <v>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/>
      <c r="D38" s="12">
        <f>C38*84</f>
        <v>0</v>
      </c>
      <c r="F38" s="30">
        <v>50</v>
      </c>
      <c r="G38" s="39"/>
      <c r="H38" s="160">
        <f t="shared" si="2"/>
        <v>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/>
      <c r="D39" s="31">
        <f>C39*4.5</f>
        <v>0</v>
      </c>
      <c r="F39" s="12">
        <v>20</v>
      </c>
      <c r="G39" s="37"/>
      <c r="H39" s="160">
        <f t="shared" si="2"/>
        <v>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/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108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/>
      <c r="G44" s="62"/>
      <c r="H44" s="155"/>
      <c r="I44" s="155"/>
      <c r="J44" s="15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/>
      <c r="D49" s="12">
        <f>C49*42</f>
        <v>0</v>
      </c>
      <c r="F49" s="136" t="s">
        <v>86</v>
      </c>
      <c r="G49" s="138">
        <f>H34+H35+H36+H37+H38+H39+H40+H41+G42+H44+H45+H46</f>
        <v>0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/>
      <c r="D50" s="12">
        <f>C50*1.5</f>
        <v>0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131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80A9-8B03-4023-809A-82C2B2065F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2</v>
      </c>
      <c r="H4" s="217" t="s">
        <v>9</v>
      </c>
      <c r="I4" s="219">
        <v>46036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509</v>
      </c>
      <c r="D6" s="13">
        <f t="shared" ref="D6:D28" si="1">C6*L6</f>
        <v>387349</v>
      </c>
      <c r="F6" s="223" t="s">
        <v>16</v>
      </c>
      <c r="G6" s="225" t="s">
        <v>140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114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82</v>
      </c>
      <c r="D9" s="13">
        <f t="shared" si="1"/>
        <v>60106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115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19</v>
      </c>
      <c r="D13" s="48">
        <f t="shared" si="1"/>
        <v>5833</v>
      </c>
      <c r="F13" s="244" t="s">
        <v>36</v>
      </c>
      <c r="G13" s="208"/>
      <c r="H13" s="199">
        <f>D29</f>
        <v>453420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202" t="s">
        <v>39</v>
      </c>
      <c r="G14" s="203"/>
      <c r="H14" s="204">
        <f>D54</f>
        <v>80525.25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10"/>
      <c r="D15" s="31">
        <f t="shared" si="1"/>
        <v>0</v>
      </c>
      <c r="F15" s="207" t="s">
        <v>40</v>
      </c>
      <c r="G15" s="208"/>
      <c r="H15" s="209">
        <f>H13-H14</f>
        <v>372894.75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235*6+350*6</f>
        <v>3510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93</v>
      </c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104</v>
      </c>
      <c r="C22" s="10"/>
      <c r="D22" s="48">
        <f t="shared" si="1"/>
        <v>0</v>
      </c>
      <c r="F22" s="72"/>
      <c r="G22" s="73"/>
      <c r="H22" s="185"/>
      <c r="I22" s="185"/>
      <c r="J22" s="18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107</v>
      </c>
      <c r="C23" s="10"/>
      <c r="D23" s="48">
        <f t="shared" si="1"/>
        <v>0</v>
      </c>
      <c r="F23" s="25"/>
      <c r="G23" s="37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123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105</v>
      </c>
      <c r="C26" s="10"/>
      <c r="D26" s="48">
        <f t="shared" si="1"/>
        <v>0</v>
      </c>
      <c r="F26" s="64"/>
      <c r="G26" s="10"/>
      <c r="H26" s="190"/>
      <c r="I26" s="191"/>
      <c r="J26" s="19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109</v>
      </c>
      <c r="C27" s="10"/>
      <c r="D27" s="44">
        <f t="shared" si="1"/>
        <v>0</v>
      </c>
      <c r="F27" s="14"/>
      <c r="G27" s="14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10"/>
      <c r="D28" s="48">
        <f t="shared" si="1"/>
        <v>0</v>
      </c>
      <c r="F28" s="111"/>
      <c r="G28" s="61"/>
      <c r="H28" s="196"/>
      <c r="I28" s="197"/>
      <c r="J28" s="19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453420</v>
      </c>
      <c r="F29" s="116" t="s">
        <v>55</v>
      </c>
      <c r="G29" s="178"/>
      <c r="H29" s="138">
        <f>H15-H16-H17-H18-H19-H20-H22-H23-H24+H26+H27</f>
        <v>369384.75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160">
        <f>F34*G34</f>
        <v>101000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>
        <v>96</v>
      </c>
      <c r="H35" s="160">
        <f t="shared" ref="H35:H39" si="2">F35*G35</f>
        <v>48000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>
        <f>F36*G36</f>
        <v>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>
        <v>715</v>
      </c>
      <c r="D37" s="12">
        <f>C37*111</f>
        <v>79365</v>
      </c>
      <c r="F37" s="12">
        <v>100</v>
      </c>
      <c r="G37" s="39">
        <v>3</v>
      </c>
      <c r="H37" s="160">
        <f t="shared" si="2"/>
        <v>300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0">
        <f t="shared" si="2"/>
        <v>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0">
        <f t="shared" si="2"/>
        <v>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>
        <v>3</v>
      </c>
      <c r="D42" s="12">
        <f>C42*2.25</f>
        <v>6.75</v>
      </c>
      <c r="F42" s="39" t="s">
        <v>79</v>
      </c>
      <c r="G42" s="160">
        <v>4035</v>
      </c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108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 t="s">
        <v>147</v>
      </c>
      <c r="G44" s="62" t="s">
        <v>198</v>
      </c>
      <c r="H44" s="155">
        <v>216075</v>
      </c>
      <c r="I44" s="155"/>
      <c r="J44" s="15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>
        <v>35</v>
      </c>
      <c r="D46" s="12">
        <f>C46*1.5</f>
        <v>52.5</v>
      </c>
      <c r="F46" s="37"/>
      <c r="G46" s="109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>
        <v>3</v>
      </c>
      <c r="D49" s="12">
        <f>C49*42</f>
        <v>126</v>
      </c>
      <c r="F49" s="136" t="s">
        <v>86</v>
      </c>
      <c r="G49" s="138">
        <f>H34+H35+H36+H37+H38+H39+H40+H41+G42+H44+H45+H46</f>
        <v>369410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>
        <v>23</v>
      </c>
      <c r="D50" s="12">
        <f>C50*1.5</f>
        <v>34.5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142</v>
      </c>
      <c r="G51" s="146">
        <f>G49-H29</f>
        <v>25.25</v>
      </c>
      <c r="H51" s="147"/>
      <c r="I51" s="147"/>
      <c r="J51" s="1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80525.25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6A9B0-77A8-40FF-9B79-B0FECAABF35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3</v>
      </c>
      <c r="H4" s="217" t="s">
        <v>9</v>
      </c>
      <c r="I4" s="219">
        <v>46036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205</v>
      </c>
      <c r="D6" s="13">
        <f t="shared" ref="D6:D28" si="1">C6*L6</f>
        <v>156005</v>
      </c>
      <c r="F6" s="223" t="s">
        <v>16</v>
      </c>
      <c r="G6" s="225" t="s">
        <v>111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119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5</v>
      </c>
      <c r="D9" s="13">
        <f t="shared" si="1"/>
        <v>3665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2</v>
      </c>
      <c r="D10" s="13">
        <f t="shared" si="1"/>
        <v>2064</v>
      </c>
      <c r="F10" s="223" t="s">
        <v>26</v>
      </c>
      <c r="G10" s="238" t="s">
        <v>134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1</v>
      </c>
      <c r="D12" s="48">
        <f t="shared" si="1"/>
        <v>992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7</v>
      </c>
      <c r="D13" s="48">
        <f t="shared" si="1"/>
        <v>2149</v>
      </c>
      <c r="F13" s="244" t="s">
        <v>36</v>
      </c>
      <c r="G13" s="208"/>
      <c r="H13" s="199">
        <f>D29</f>
        <v>164919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4</v>
      </c>
      <c r="D14" s="31">
        <f t="shared" si="1"/>
        <v>44</v>
      </c>
      <c r="F14" s="202" t="s">
        <v>39</v>
      </c>
      <c r="G14" s="203"/>
      <c r="H14" s="204">
        <f>D54</f>
        <v>24184.5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10"/>
      <c r="D15" s="31">
        <f t="shared" si="1"/>
        <v>0</v>
      </c>
      <c r="F15" s="207" t="s">
        <v>40</v>
      </c>
      <c r="G15" s="208"/>
      <c r="H15" s="209">
        <f>H13-H14</f>
        <v>140734.5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128*6+50*6</f>
        <v>1068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113</v>
      </c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/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104</v>
      </c>
      <c r="C22" s="10"/>
      <c r="D22" s="48">
        <f t="shared" si="1"/>
        <v>0</v>
      </c>
      <c r="F22" s="77"/>
      <c r="G22" s="73"/>
      <c r="H22" s="185"/>
      <c r="I22" s="185"/>
      <c r="J22" s="18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107</v>
      </c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101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105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109</v>
      </c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10"/>
      <c r="D28" s="48">
        <f t="shared" si="1"/>
        <v>0</v>
      </c>
      <c r="F28" s="111"/>
      <c r="G28" s="61"/>
      <c r="H28" s="196"/>
      <c r="I28" s="197"/>
      <c r="J28" s="19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164919</v>
      </c>
      <c r="F29" s="116" t="s">
        <v>55</v>
      </c>
      <c r="G29" s="178"/>
      <c r="H29" s="138">
        <f>H15-H16-H17-H18-H19-H20-H22-H23-H24+H26+H27</f>
        <v>139666.5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38</v>
      </c>
      <c r="H34" s="160">
        <f>F34*G34</f>
        <v>38000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160">
        <f>F35*G35</f>
        <v>17000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>
        <f t="shared" ref="H36:H39" si="2">F36*G36</f>
        <v>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>
        <v>210</v>
      </c>
      <c r="D37" s="12">
        <f>C37*111</f>
        <v>23310</v>
      </c>
      <c r="F37" s="12">
        <v>100</v>
      </c>
      <c r="G37" s="39">
        <v>2</v>
      </c>
      <c r="H37" s="160">
        <f t="shared" si="2"/>
        <v>200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/>
      <c r="D38" s="12">
        <f>C38*84</f>
        <v>0</v>
      </c>
      <c r="F38" s="30">
        <v>50</v>
      </c>
      <c r="G38" s="39"/>
      <c r="H38" s="160">
        <f t="shared" si="2"/>
        <v>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/>
      <c r="D39" s="31">
        <f>C39*4.5</f>
        <v>0</v>
      </c>
      <c r="F39" s="12">
        <v>20</v>
      </c>
      <c r="G39" s="37"/>
      <c r="H39" s="160">
        <f t="shared" si="2"/>
        <v>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/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108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>
        <v>1</v>
      </c>
      <c r="D44" s="12">
        <f>C44*120</f>
        <v>120</v>
      </c>
      <c r="F44" s="37" t="s">
        <v>147</v>
      </c>
      <c r="G44" s="76" t="s">
        <v>199</v>
      </c>
      <c r="H44" s="155">
        <v>84323</v>
      </c>
      <c r="I44" s="155"/>
      <c r="J44" s="15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>
        <v>4</v>
      </c>
      <c r="D49" s="12">
        <f>C49*42</f>
        <v>168</v>
      </c>
      <c r="F49" s="136" t="s">
        <v>86</v>
      </c>
      <c r="G49" s="138">
        <f>H34+H35+H36+H37+H38+H39+H40+H41+G42+H44+H45+H46</f>
        <v>139523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>
        <v>23</v>
      </c>
      <c r="D50" s="12">
        <f>C50*1.5</f>
        <v>34.5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139</v>
      </c>
      <c r="G51" s="245">
        <f>G49-H29</f>
        <v>-143.5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24184.5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33036-3E20-4C50-BB00-4CDC7B5352E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2" t="s">
        <v>1</v>
      </c>
      <c r="O1" s="212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3" t="s">
        <v>7</v>
      </c>
      <c r="B4" s="164"/>
      <c r="C4" s="164"/>
      <c r="D4" s="165"/>
      <c r="F4" s="213" t="s">
        <v>8</v>
      </c>
      <c r="G4" s="215"/>
      <c r="H4" s="217" t="s">
        <v>9</v>
      </c>
      <c r="I4" s="219"/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223" t="s">
        <v>16</v>
      </c>
      <c r="G6" s="225"/>
      <c r="H6" s="226"/>
      <c r="I6" s="226"/>
      <c r="J6" s="2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231" t="s">
        <v>21</v>
      </c>
      <c r="G8" s="232"/>
      <c r="H8" s="233"/>
      <c r="I8" s="233"/>
      <c r="J8" s="2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223" t="s">
        <v>26</v>
      </c>
      <c r="G10" s="238"/>
      <c r="H10" s="239"/>
      <c r="I10" s="239"/>
      <c r="J10" s="240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202" t="s">
        <v>39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207" t="s">
        <v>40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50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11"/>
      <c r="G28" s="61"/>
      <c r="H28" s="196"/>
      <c r="I28" s="197"/>
      <c r="J28" s="19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55</v>
      </c>
      <c r="G29" s="178"/>
      <c r="H29" s="138">
        <f>H15-H16-H17-H18-H19-H20-H22-H23-H24+H26+H27</f>
        <v>0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0"/>
      <c r="I34" s="161"/>
      <c r="J34" s="16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/>
      <c r="H35" s="160"/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/>
      <c r="I36" s="161"/>
      <c r="J36" s="16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0"/>
      <c r="I37" s="161"/>
      <c r="J37" s="16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68</v>
      </c>
      <c r="C38" s="54"/>
      <c r="D38" s="12">
        <f>C38*84</f>
        <v>0</v>
      </c>
      <c r="F38" s="30">
        <v>50</v>
      </c>
      <c r="G38" s="39"/>
      <c r="H38" s="160"/>
      <c r="I38" s="161"/>
      <c r="J38" s="16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70</v>
      </c>
      <c r="C39" s="52"/>
      <c r="D39" s="31">
        <f>C39*4.5</f>
        <v>0</v>
      </c>
      <c r="F39" s="12">
        <v>20</v>
      </c>
      <c r="G39" s="37"/>
      <c r="H39" s="160"/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/>
      <c r="H42" s="161"/>
      <c r="I42" s="161"/>
      <c r="J42" s="16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108" t="s">
        <v>83</v>
      </c>
      <c r="H43" s="152" t="s">
        <v>13</v>
      </c>
      <c r="I43" s="153"/>
      <c r="J43" s="154"/>
      <c r="K43" s="21"/>
      <c r="P43" s="4"/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/>
      <c r="G44" s="76"/>
      <c r="H44" s="155"/>
      <c r="I44" s="155"/>
      <c r="J44" s="155"/>
      <c r="K44" s="21"/>
      <c r="P44" s="4"/>
      <c r="Q44" s="4"/>
      <c r="R44" s="5"/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/>
      <c r="D49" s="12">
        <f>C49*42</f>
        <v>0</v>
      </c>
      <c r="F49" s="136" t="s">
        <v>86</v>
      </c>
      <c r="G49" s="138">
        <f>H34+H35+H36+H37+H38+H39+H40+H41+G42+H44+H45+H46</f>
        <v>0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/>
      <c r="D50" s="12">
        <f>C50*1.5</f>
        <v>0</v>
      </c>
      <c r="F50" s="137"/>
      <c r="G50" s="141"/>
      <c r="H50" s="142"/>
      <c r="I50" s="142"/>
      <c r="J50" s="143"/>
      <c r="P50" s="4"/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128</v>
      </c>
      <c r="G51" s="146">
        <f>G49-H29</f>
        <v>0</v>
      </c>
      <c r="H51" s="147"/>
      <c r="I51" s="147"/>
      <c r="J51" s="1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0</v>
      </c>
      <c r="F54" s="21"/>
      <c r="J54" s="34"/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7CF-D19C-4D6A-810D-1A453C022A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1</v>
      </c>
      <c r="H4" s="217" t="s">
        <v>9</v>
      </c>
      <c r="I4" s="219">
        <v>46037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84">
        <v>503</v>
      </c>
      <c r="D6" s="13">
        <f t="shared" ref="D6:D28" si="1">C6*L6</f>
        <v>382783</v>
      </c>
      <c r="F6" s="223" t="s">
        <v>16</v>
      </c>
      <c r="G6" s="225" t="s">
        <v>129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84">
        <v>25</v>
      </c>
      <c r="D7" s="13">
        <f t="shared" si="1"/>
        <v>19525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84"/>
      <c r="D8" s="13">
        <f t="shared" si="1"/>
        <v>0</v>
      </c>
      <c r="F8" s="231" t="s">
        <v>21</v>
      </c>
      <c r="G8" s="232" t="s">
        <v>112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84">
        <v>10</v>
      </c>
      <c r="D9" s="13">
        <f t="shared" si="1"/>
        <v>7330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84"/>
      <c r="D10" s="13">
        <f t="shared" si="1"/>
        <v>0</v>
      </c>
      <c r="F10" s="223" t="s">
        <v>26</v>
      </c>
      <c r="G10" s="238" t="s">
        <v>130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84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84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84">
        <v>16</v>
      </c>
      <c r="D13" s="48">
        <f t="shared" si="1"/>
        <v>4912</v>
      </c>
      <c r="F13" s="244" t="s">
        <v>36</v>
      </c>
      <c r="G13" s="208"/>
      <c r="H13" s="199">
        <f>D29</f>
        <v>414803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84">
        <v>23</v>
      </c>
      <c r="D14" s="31">
        <f t="shared" si="1"/>
        <v>253</v>
      </c>
      <c r="F14" s="202" t="s">
        <v>39</v>
      </c>
      <c r="G14" s="203"/>
      <c r="H14" s="204">
        <f>D54</f>
        <v>93813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84"/>
      <c r="D15" s="31">
        <f t="shared" si="1"/>
        <v>0</v>
      </c>
      <c r="F15" s="207" t="s">
        <v>40</v>
      </c>
      <c r="G15" s="208"/>
      <c r="H15" s="209">
        <f>H13-H14</f>
        <v>320990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>
        <f>432*6</f>
        <v>2592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137</v>
      </c>
      <c r="C17" s="84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v>1102</v>
      </c>
      <c r="Q19" s="4"/>
      <c r="R19" s="5">
        <f t="shared" si="0"/>
        <v>0</v>
      </c>
    </row>
    <row r="20" spans="1:18" ht="15.75" x14ac:dyDescent="0.25">
      <c r="A20" s="15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127</v>
      </c>
      <c r="C22" s="84"/>
      <c r="D22" s="48">
        <f t="shared" si="1"/>
        <v>0</v>
      </c>
      <c r="F22" s="77"/>
      <c r="G22" s="73"/>
      <c r="H22" s="185"/>
      <c r="I22" s="185"/>
      <c r="J22" s="18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101</v>
      </c>
      <c r="C23" s="84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121</v>
      </c>
      <c r="C24" s="84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136</v>
      </c>
      <c r="C26" s="84"/>
      <c r="D26" s="48">
        <f t="shared" si="1"/>
        <v>0</v>
      </c>
      <c r="F26" s="75"/>
      <c r="G26" s="65"/>
      <c r="H26" s="155"/>
      <c r="I26" s="155"/>
      <c r="J26" s="15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110</v>
      </c>
      <c r="C27" s="84"/>
      <c r="D27" s="44">
        <f t="shared" si="1"/>
        <v>0</v>
      </c>
      <c r="F27" s="71"/>
      <c r="G27" s="108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84"/>
      <c r="D28" s="48">
        <f t="shared" si="1"/>
        <v>0</v>
      </c>
      <c r="F28" s="111"/>
      <c r="G28" s="61"/>
      <c r="H28" s="196"/>
      <c r="I28" s="197"/>
      <c r="J28" s="19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414803</v>
      </c>
      <c r="F29" s="116" t="s">
        <v>55</v>
      </c>
      <c r="G29" s="178"/>
      <c r="H29" s="138">
        <f>H15-H16-H17-H18-H19-H20-H22-H23-H24+H26+H27+H28</f>
        <v>318398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>
        <v>8</v>
      </c>
      <c r="D34" s="30">
        <f>C34*120</f>
        <v>960</v>
      </c>
      <c r="F34" s="12">
        <v>1000</v>
      </c>
      <c r="G34" s="40">
        <v>61</v>
      </c>
      <c r="H34" s="160">
        <f t="shared" ref="H34:H39" si="2">F34*G34</f>
        <v>61000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160">
        <f t="shared" si="2"/>
        <v>3000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160">
        <f t="shared" si="2"/>
        <v>600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>
        <v>659</v>
      </c>
      <c r="D37" s="12">
        <f>C37*111</f>
        <v>73149</v>
      </c>
      <c r="F37" s="12">
        <v>100</v>
      </c>
      <c r="G37" s="39">
        <v>11</v>
      </c>
      <c r="H37" s="160">
        <f t="shared" si="2"/>
        <v>1100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>
        <v>70</v>
      </c>
      <c r="D38" s="12">
        <f>C38*84</f>
        <v>5880</v>
      </c>
      <c r="F38" s="30">
        <v>50</v>
      </c>
      <c r="G38" s="39">
        <v>8</v>
      </c>
      <c r="H38" s="160">
        <f t="shared" si="2"/>
        <v>400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60">
        <f t="shared" si="2"/>
        <v>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>
        <v>105</v>
      </c>
      <c r="D40" s="12">
        <f>C40*111</f>
        <v>11655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>
        <v>38</v>
      </c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108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>
        <v>12</v>
      </c>
      <c r="D44" s="12">
        <f>C44*120</f>
        <v>1440</v>
      </c>
      <c r="F44" s="37" t="s">
        <v>147</v>
      </c>
      <c r="G44" s="62" t="s">
        <v>202</v>
      </c>
      <c r="H44" s="155">
        <v>252228</v>
      </c>
      <c r="I44" s="155"/>
      <c r="J44" s="15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>
        <v>23</v>
      </c>
      <c r="D46" s="12">
        <f>C46*1.5</f>
        <v>34.5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/>
      <c r="D49" s="12">
        <f>C49*42</f>
        <v>0</v>
      </c>
      <c r="F49" s="136" t="s">
        <v>86</v>
      </c>
      <c r="G49" s="138">
        <f>H34+H35+H36+H37+H38+H39+H40+H41+G42+H44+H45+H46</f>
        <v>318366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>
        <v>13</v>
      </c>
      <c r="D50" s="12">
        <f>C50*1.5</f>
        <v>19.5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131</v>
      </c>
      <c r="G51" s="245">
        <f>G49-H29</f>
        <v>-32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93813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AEBCD-BA6C-4638-81AC-A0B39A6F58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2</v>
      </c>
      <c r="H4" s="217" t="s">
        <v>9</v>
      </c>
      <c r="I4" s="219">
        <v>46037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285</v>
      </c>
      <c r="D6" s="13">
        <f t="shared" ref="D6:D28" si="1">C6*L6</f>
        <v>216885</v>
      </c>
      <c r="F6" s="223" t="s">
        <v>16</v>
      </c>
      <c r="G6" s="225" t="s">
        <v>140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3</v>
      </c>
      <c r="D7" s="13">
        <f t="shared" si="1"/>
        <v>2343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114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21</v>
      </c>
      <c r="D9" s="13">
        <f t="shared" si="1"/>
        <v>15393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115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13</v>
      </c>
      <c r="D13" s="48">
        <f t="shared" si="1"/>
        <v>3991</v>
      </c>
      <c r="F13" s="244" t="s">
        <v>36</v>
      </c>
      <c r="G13" s="208"/>
      <c r="H13" s="199">
        <f>D29</f>
        <v>238821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19</v>
      </c>
      <c r="D14" s="31">
        <f t="shared" si="1"/>
        <v>209</v>
      </c>
      <c r="F14" s="202" t="s">
        <v>39</v>
      </c>
      <c r="G14" s="203"/>
      <c r="H14" s="204">
        <f>D54</f>
        <v>59093.25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10"/>
      <c r="D15" s="31">
        <f t="shared" si="1"/>
        <v>0</v>
      </c>
      <c r="F15" s="207" t="s">
        <v>40</v>
      </c>
      <c r="G15" s="208"/>
      <c r="H15" s="209">
        <f>H13-H14</f>
        <v>179727.75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216*6</f>
        <v>1296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93</v>
      </c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104</v>
      </c>
      <c r="C22" s="10"/>
      <c r="D22" s="48">
        <f t="shared" si="1"/>
        <v>0</v>
      </c>
      <c r="F22" s="72"/>
      <c r="G22" s="73"/>
      <c r="H22" s="185"/>
      <c r="I22" s="185"/>
      <c r="J22" s="18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107</v>
      </c>
      <c r="C23" s="10"/>
      <c r="D23" s="48">
        <f t="shared" si="1"/>
        <v>0</v>
      </c>
      <c r="F23" s="25"/>
      <c r="G23" s="37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123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105</v>
      </c>
      <c r="C26" s="10"/>
      <c r="D26" s="48">
        <f t="shared" si="1"/>
        <v>0</v>
      </c>
      <c r="F26" s="64"/>
      <c r="G26" s="10"/>
      <c r="H26" s="190"/>
      <c r="I26" s="191"/>
      <c r="J26" s="19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109</v>
      </c>
      <c r="C27" s="10"/>
      <c r="D27" s="44">
        <f t="shared" si="1"/>
        <v>0</v>
      </c>
      <c r="F27" s="14"/>
      <c r="G27" s="14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10"/>
      <c r="D28" s="48">
        <f t="shared" si="1"/>
        <v>0</v>
      </c>
      <c r="F28" s="111"/>
      <c r="G28" s="61"/>
      <c r="H28" s="196"/>
      <c r="I28" s="197"/>
      <c r="J28" s="19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238821</v>
      </c>
      <c r="F29" s="116" t="s">
        <v>55</v>
      </c>
      <c r="G29" s="178"/>
      <c r="H29" s="138">
        <f>H15-H16-H17-H18-H19-H20-H22-H23-H24+H26+H27</f>
        <v>178431.75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60">
        <f>F34*G34</f>
        <v>44000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60">
        <f t="shared" ref="H35:H39" si="2">F35*G35</f>
        <v>11000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0">
        <f>F36*G36</f>
        <v>200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>
        <v>521</v>
      </c>
      <c r="D37" s="12">
        <f>C37*111</f>
        <v>57831</v>
      </c>
      <c r="F37" s="12">
        <v>100</v>
      </c>
      <c r="G37" s="39">
        <v>45</v>
      </c>
      <c r="H37" s="160">
        <f t="shared" si="2"/>
        <v>4500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21</v>
      </c>
      <c r="H38" s="160">
        <f t="shared" si="2"/>
        <v>1050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0">
        <f t="shared" si="2"/>
        <v>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0">
        <v>243</v>
      </c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108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 t="s">
        <v>147</v>
      </c>
      <c r="G44" s="62" t="s">
        <v>201</v>
      </c>
      <c r="H44" s="155">
        <v>117436</v>
      </c>
      <c r="I44" s="155"/>
      <c r="J44" s="15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109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>
        <v>9</v>
      </c>
      <c r="D49" s="12">
        <f>C49*42</f>
        <v>378</v>
      </c>
      <c r="F49" s="136" t="s">
        <v>86</v>
      </c>
      <c r="G49" s="138">
        <f>H34+H35+H36+H37+H38+H39+H40+H41+G42+H44+H45+H46</f>
        <v>178429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>
        <v>44</v>
      </c>
      <c r="D50" s="12">
        <f>C50*1.5</f>
        <v>66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161</v>
      </c>
      <c r="G51" s="245">
        <f>G49-H29</f>
        <v>-2.75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59093.25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592F-D0CB-4A32-B713-7F1C876436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3</v>
      </c>
      <c r="H4" s="217" t="s">
        <v>9</v>
      </c>
      <c r="I4" s="219">
        <v>46037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421</v>
      </c>
      <c r="D6" s="13">
        <f t="shared" ref="D6:D28" si="1">C6*L6</f>
        <v>320381</v>
      </c>
      <c r="F6" s="223" t="s">
        <v>16</v>
      </c>
      <c r="G6" s="225" t="s">
        <v>111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119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15</v>
      </c>
      <c r="D9" s="13">
        <f t="shared" si="1"/>
        <v>10995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134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1</v>
      </c>
      <c r="D11" s="13">
        <f t="shared" si="1"/>
        <v>1170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5</v>
      </c>
      <c r="D13" s="48">
        <f t="shared" si="1"/>
        <v>1535</v>
      </c>
      <c r="F13" s="244" t="s">
        <v>36</v>
      </c>
      <c r="G13" s="208"/>
      <c r="H13" s="199">
        <f>D29</f>
        <v>334136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5</v>
      </c>
      <c r="D14" s="31">
        <f t="shared" si="1"/>
        <v>55</v>
      </c>
      <c r="F14" s="202" t="s">
        <v>39</v>
      </c>
      <c r="G14" s="203"/>
      <c r="H14" s="204">
        <f>D54</f>
        <v>59604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10"/>
      <c r="D15" s="31">
        <f t="shared" si="1"/>
        <v>0</v>
      </c>
      <c r="F15" s="207" t="s">
        <v>40</v>
      </c>
      <c r="G15" s="208"/>
      <c r="H15" s="209">
        <f>H13-H14</f>
        <v>274532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291*6+56*6</f>
        <v>2082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113</v>
      </c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/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104</v>
      </c>
      <c r="C22" s="10"/>
      <c r="D22" s="48">
        <f t="shared" si="1"/>
        <v>0</v>
      </c>
      <c r="F22" s="77"/>
      <c r="G22" s="73"/>
      <c r="H22" s="185"/>
      <c r="I22" s="185"/>
      <c r="J22" s="18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107</v>
      </c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101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105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109</v>
      </c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10"/>
      <c r="D28" s="48">
        <f t="shared" si="1"/>
        <v>0</v>
      </c>
      <c r="F28" s="111"/>
      <c r="G28" s="61"/>
      <c r="H28" s="196"/>
      <c r="I28" s="197"/>
      <c r="J28" s="19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334136</v>
      </c>
      <c r="F29" s="116" t="s">
        <v>55</v>
      </c>
      <c r="G29" s="178"/>
      <c r="H29" s="138">
        <f>H15-H16-H17-H18-H19-H20-H22-H23-H24+H26+H27</f>
        <v>272450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78</v>
      </c>
      <c r="H34" s="160">
        <f>F34*G34</f>
        <v>78000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0">
        <f>F35*G35</f>
        <v>7000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0">
        <f t="shared" ref="H36:H39" si="2">F36*G36</f>
        <v>200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>
        <v>522</v>
      </c>
      <c r="D37" s="12">
        <f>C37*111</f>
        <v>57942</v>
      </c>
      <c r="F37" s="12">
        <v>100</v>
      </c>
      <c r="G37" s="39">
        <v>30</v>
      </c>
      <c r="H37" s="160">
        <f t="shared" si="2"/>
        <v>3000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126</v>
      </c>
      <c r="H38" s="160">
        <f t="shared" si="2"/>
        <v>6300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0">
        <f t="shared" si="2"/>
        <v>20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>
        <v>2</v>
      </c>
      <c r="D42" s="12">
        <f>C42*2.25</f>
        <v>4.5</v>
      </c>
      <c r="F42" s="39" t="s">
        <v>79</v>
      </c>
      <c r="G42" s="160">
        <v>38</v>
      </c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108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 t="s">
        <v>156</v>
      </c>
      <c r="G44" s="76" t="s">
        <v>200</v>
      </c>
      <c r="H44" s="155">
        <v>177449</v>
      </c>
      <c r="I44" s="155"/>
      <c r="J44" s="15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68</v>
      </c>
      <c r="C45" s="33">
        <v>1</v>
      </c>
      <c r="D45" s="12">
        <f>C45*84</f>
        <v>84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>
        <v>8</v>
      </c>
      <c r="D46" s="12">
        <f>C46*1.5</f>
        <v>12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/>
      <c r="D49" s="12">
        <f>C49*42</f>
        <v>0</v>
      </c>
      <c r="F49" s="136" t="s">
        <v>86</v>
      </c>
      <c r="G49" s="138">
        <f>H34+H35+H36+H37+H38+H39+H40+H41+G42+H44+H45+H46</f>
        <v>272007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>
        <v>20</v>
      </c>
      <c r="D50" s="12">
        <f>C50*1.5</f>
        <v>30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139</v>
      </c>
      <c r="G51" s="245">
        <f>G49-H29</f>
        <v>-443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59604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DA0-3B6A-491C-9C8E-7B711F6366B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2" t="s">
        <v>1</v>
      </c>
      <c r="O1" s="212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3" t="s">
        <v>7</v>
      </c>
      <c r="B4" s="164"/>
      <c r="C4" s="164"/>
      <c r="D4" s="165"/>
      <c r="F4" s="213" t="s">
        <v>8</v>
      </c>
      <c r="G4" s="215"/>
      <c r="H4" s="217" t="s">
        <v>9</v>
      </c>
      <c r="I4" s="219"/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223" t="s">
        <v>16</v>
      </c>
      <c r="G6" s="225"/>
      <c r="H6" s="226"/>
      <c r="I6" s="226"/>
      <c r="J6" s="2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231" t="s">
        <v>21</v>
      </c>
      <c r="G8" s="232"/>
      <c r="H8" s="233"/>
      <c r="I8" s="233"/>
      <c r="J8" s="2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223" t="s">
        <v>26</v>
      </c>
      <c r="G10" s="238"/>
      <c r="H10" s="239"/>
      <c r="I10" s="239"/>
      <c r="J10" s="240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202" t="s">
        <v>39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207" t="s">
        <v>40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50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11"/>
      <c r="G28" s="61"/>
      <c r="H28" s="196"/>
      <c r="I28" s="197"/>
      <c r="J28" s="19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55</v>
      </c>
      <c r="G29" s="178"/>
      <c r="H29" s="138">
        <f>H15-H16-H17-H18-H19-H20-H22-H23-H24+H26+H27</f>
        <v>0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0"/>
      <c r="I34" s="161"/>
      <c r="J34" s="16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/>
      <c r="H35" s="160"/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/>
      <c r="I36" s="161"/>
      <c r="J36" s="16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0"/>
      <c r="I37" s="161"/>
      <c r="J37" s="16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68</v>
      </c>
      <c r="C38" s="54"/>
      <c r="D38" s="12">
        <f>C38*84</f>
        <v>0</v>
      </c>
      <c r="F38" s="30">
        <v>50</v>
      </c>
      <c r="G38" s="39"/>
      <c r="H38" s="160"/>
      <c r="I38" s="161"/>
      <c r="J38" s="16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70</v>
      </c>
      <c r="C39" s="52"/>
      <c r="D39" s="31">
        <f>C39*4.5</f>
        <v>0</v>
      </c>
      <c r="F39" s="12">
        <v>20</v>
      </c>
      <c r="G39" s="37"/>
      <c r="H39" s="160"/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/>
      <c r="H42" s="161"/>
      <c r="I42" s="161"/>
      <c r="J42" s="16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108" t="s">
        <v>83</v>
      </c>
      <c r="H43" s="152" t="s">
        <v>13</v>
      </c>
      <c r="I43" s="153"/>
      <c r="J43" s="154"/>
      <c r="K43" s="21"/>
      <c r="P43" s="4"/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/>
      <c r="G44" s="76"/>
      <c r="H44" s="155"/>
      <c r="I44" s="155"/>
      <c r="J44" s="155"/>
      <c r="K44" s="21"/>
      <c r="P44" s="4"/>
      <c r="Q44" s="4"/>
      <c r="R44" s="5"/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/>
      <c r="D49" s="12">
        <f>C49*42</f>
        <v>0</v>
      </c>
      <c r="F49" s="136" t="s">
        <v>86</v>
      </c>
      <c r="G49" s="138">
        <f>H34+H35+H36+H37+H38+H39+H40+H41+G42+H44+H45+H46</f>
        <v>0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/>
      <c r="D50" s="12">
        <f>C50*1.5</f>
        <v>0</v>
      </c>
      <c r="F50" s="137"/>
      <c r="G50" s="141"/>
      <c r="H50" s="142"/>
      <c r="I50" s="142"/>
      <c r="J50" s="143"/>
      <c r="P50" s="4"/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128</v>
      </c>
      <c r="G51" s="146">
        <f>G49-H29</f>
        <v>0</v>
      </c>
      <c r="H51" s="147"/>
      <c r="I51" s="147"/>
      <c r="J51" s="1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0</v>
      </c>
      <c r="F54" s="21"/>
      <c r="J54" s="34"/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0BBDF-472B-4131-8C5C-02F8C36714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1</v>
      </c>
      <c r="H4" s="217" t="s">
        <v>9</v>
      </c>
      <c r="I4" s="219">
        <v>46038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84">
        <v>210</v>
      </c>
      <c r="D6" s="13">
        <f t="shared" ref="D6:D28" si="1">C6*L6</f>
        <v>159810</v>
      </c>
      <c r="F6" s="223" t="s">
        <v>16</v>
      </c>
      <c r="G6" s="225" t="s">
        <v>129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84">
        <v>11</v>
      </c>
      <c r="D7" s="13">
        <f t="shared" si="1"/>
        <v>8591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84"/>
      <c r="D8" s="13">
        <f t="shared" si="1"/>
        <v>0</v>
      </c>
      <c r="F8" s="231" t="s">
        <v>21</v>
      </c>
      <c r="G8" s="232" t="s">
        <v>112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84">
        <v>51</v>
      </c>
      <c r="D9" s="13">
        <f t="shared" si="1"/>
        <v>37383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84"/>
      <c r="D10" s="13">
        <f t="shared" si="1"/>
        <v>0</v>
      </c>
      <c r="F10" s="223" t="s">
        <v>26</v>
      </c>
      <c r="G10" s="238" t="s">
        <v>130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84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84">
        <f>3+2</f>
        <v>5</v>
      </c>
      <c r="D12" s="48">
        <f t="shared" si="1"/>
        <v>4960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84">
        <v>6</v>
      </c>
      <c r="D13" s="48">
        <f t="shared" si="1"/>
        <v>1842</v>
      </c>
      <c r="F13" s="244" t="s">
        <v>36</v>
      </c>
      <c r="G13" s="208"/>
      <c r="H13" s="199">
        <f>D29</f>
        <v>213357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84">
        <v>11</v>
      </c>
      <c r="D14" s="31">
        <f t="shared" si="1"/>
        <v>121</v>
      </c>
      <c r="F14" s="202" t="s">
        <v>39</v>
      </c>
      <c r="G14" s="203"/>
      <c r="H14" s="204">
        <f>D54</f>
        <v>30288.75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84"/>
      <c r="D15" s="31">
        <f t="shared" si="1"/>
        <v>0</v>
      </c>
      <c r="F15" s="207" t="s">
        <v>40</v>
      </c>
      <c r="G15" s="208"/>
      <c r="H15" s="209">
        <f>H13-H14</f>
        <v>183068.25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137</v>
      </c>
      <c r="C17" s="84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9">
        <v>313.88</v>
      </c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5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127</v>
      </c>
      <c r="C22" s="84"/>
      <c r="D22" s="48">
        <f t="shared" si="1"/>
        <v>0</v>
      </c>
      <c r="F22" s="77"/>
      <c r="G22" s="73"/>
      <c r="H22" s="185"/>
      <c r="I22" s="185"/>
      <c r="J22" s="18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101</v>
      </c>
      <c r="C23" s="84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121</v>
      </c>
      <c r="C24" s="84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136</v>
      </c>
      <c r="C26" s="84"/>
      <c r="D26" s="48">
        <f t="shared" si="1"/>
        <v>0</v>
      </c>
      <c r="F26" s="75"/>
      <c r="G26" s="65"/>
      <c r="H26" s="155"/>
      <c r="I26" s="155"/>
      <c r="J26" s="15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110</v>
      </c>
      <c r="C27" s="84"/>
      <c r="D27" s="44">
        <f t="shared" si="1"/>
        <v>0</v>
      </c>
      <c r="F27" s="71"/>
      <c r="G27" s="108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84"/>
      <c r="D28" s="48">
        <f t="shared" si="1"/>
        <v>0</v>
      </c>
      <c r="F28" s="111"/>
      <c r="G28" s="61"/>
      <c r="H28" s="196"/>
      <c r="I28" s="197"/>
      <c r="J28" s="19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213357</v>
      </c>
      <c r="F29" s="116" t="s">
        <v>55</v>
      </c>
      <c r="G29" s="178"/>
      <c r="H29" s="138">
        <f>H15-H16-H17-H18-H19-H20-H22-H23-H24+H26+H27+H28</f>
        <v>182754.37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149</v>
      </c>
      <c r="H34" s="160">
        <f t="shared" ref="H34:H39" si="2">F34*G34</f>
        <v>149000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>
        <v>56</v>
      </c>
      <c r="H35" s="160">
        <f t="shared" si="2"/>
        <v>28000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160">
        <f t="shared" si="2"/>
        <v>600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>
        <v>48</v>
      </c>
      <c r="H37" s="160">
        <f t="shared" si="2"/>
        <v>4800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7</v>
      </c>
      <c r="H38" s="160">
        <f t="shared" si="2"/>
        <v>350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0">
        <f t="shared" si="2"/>
        <v>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>
        <v>1</v>
      </c>
      <c r="D42" s="12">
        <f>C42*2.25</f>
        <v>2.25</v>
      </c>
      <c r="F42" s="39" t="s">
        <v>79</v>
      </c>
      <c r="G42" s="160">
        <v>131</v>
      </c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108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>
        <v>6</v>
      </c>
      <c r="D44" s="12">
        <f>C44*120</f>
        <v>720</v>
      </c>
      <c r="F44" s="37"/>
      <c r="G44" s="62"/>
      <c r="H44" s="155"/>
      <c r="I44" s="155"/>
      <c r="J44" s="15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>
        <v>18</v>
      </c>
      <c r="D46" s="12">
        <f>C46*1.5</f>
        <v>27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>
        <v>2</v>
      </c>
      <c r="D49" s="12">
        <f>C49*42</f>
        <v>84</v>
      </c>
      <c r="F49" s="136" t="s">
        <v>86</v>
      </c>
      <c r="G49" s="138">
        <f>H34+H35+H36+H37+H38+H39+H40+H41+G42+H44+H45+H46</f>
        <v>182881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>
        <v>20</v>
      </c>
      <c r="D50" s="12">
        <f>C50*1.5</f>
        <v>30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149</v>
      </c>
      <c r="G51" s="146">
        <f>G49-H29</f>
        <v>126.63000000000466</v>
      </c>
      <c r="H51" s="147"/>
      <c r="I51" s="147"/>
      <c r="J51" s="1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30288.75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B18EE-7BDF-4E14-811A-CE4FCA4B5B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2</v>
      </c>
      <c r="H4" s="217" t="s">
        <v>9</v>
      </c>
      <c r="I4" s="219">
        <v>46038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346</v>
      </c>
      <c r="D6" s="13">
        <f t="shared" ref="D6:D28" si="1">C6*L6</f>
        <v>263306</v>
      </c>
      <c r="F6" s="223" t="s">
        <v>16</v>
      </c>
      <c r="G6" s="225" t="s">
        <v>140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1</v>
      </c>
      <c r="D7" s="13">
        <f t="shared" si="1"/>
        <v>781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114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18</v>
      </c>
      <c r="D9" s="13">
        <f t="shared" si="1"/>
        <v>13194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1</v>
      </c>
      <c r="D10" s="13">
        <f t="shared" si="1"/>
        <v>1032</v>
      </c>
      <c r="F10" s="223" t="s">
        <v>26</v>
      </c>
      <c r="G10" s="238" t="s">
        <v>115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14</v>
      </c>
      <c r="D13" s="48">
        <f t="shared" si="1"/>
        <v>4298</v>
      </c>
      <c r="F13" s="244" t="s">
        <v>36</v>
      </c>
      <c r="G13" s="208"/>
      <c r="H13" s="199">
        <f>D29</f>
        <v>282677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6</v>
      </c>
      <c r="D14" s="31">
        <f t="shared" si="1"/>
        <v>66</v>
      </c>
      <c r="F14" s="202" t="s">
        <v>39</v>
      </c>
      <c r="G14" s="203"/>
      <c r="H14" s="204">
        <f>D54</f>
        <v>41862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10"/>
      <c r="D15" s="31">
        <f t="shared" si="1"/>
        <v>0</v>
      </c>
      <c r="F15" s="207" t="s">
        <v>40</v>
      </c>
      <c r="G15" s="208"/>
      <c r="H15" s="209">
        <f>H13-H14</f>
        <v>240815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1296</f>
        <v>1296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93</v>
      </c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104</v>
      </c>
      <c r="C22" s="10"/>
      <c r="D22" s="48">
        <f t="shared" si="1"/>
        <v>0</v>
      </c>
      <c r="F22" s="72"/>
      <c r="G22" s="73"/>
      <c r="H22" s="185"/>
      <c r="I22" s="185"/>
      <c r="J22" s="18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107</v>
      </c>
      <c r="C23" s="10"/>
      <c r="D23" s="48">
        <f t="shared" si="1"/>
        <v>0</v>
      </c>
      <c r="F23" s="25"/>
      <c r="G23" s="37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123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105</v>
      </c>
      <c r="C26" s="10"/>
      <c r="D26" s="48">
        <f t="shared" si="1"/>
        <v>0</v>
      </c>
      <c r="F26" s="64"/>
      <c r="G26" s="10"/>
      <c r="H26" s="190"/>
      <c r="I26" s="191"/>
      <c r="J26" s="19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109</v>
      </c>
      <c r="C27" s="10"/>
      <c r="D27" s="44">
        <f t="shared" si="1"/>
        <v>0</v>
      </c>
      <c r="F27" s="14"/>
      <c r="G27" s="14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10"/>
      <c r="D28" s="48">
        <f t="shared" si="1"/>
        <v>0</v>
      </c>
      <c r="F28" s="111"/>
      <c r="G28" s="61"/>
      <c r="H28" s="196"/>
      <c r="I28" s="197"/>
      <c r="J28" s="19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282677</v>
      </c>
      <c r="F29" s="116" t="s">
        <v>55</v>
      </c>
      <c r="G29" s="178"/>
      <c r="H29" s="138">
        <f>H15-H16-H17-H18-H19-H20-H22-H23-H24+H26+H27</f>
        <v>239519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160">
        <f>F34*G34</f>
        <v>180000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24</v>
      </c>
      <c r="H35" s="160">
        <f t="shared" ref="H35:H39" si="2">F35*G35</f>
        <v>12000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2</v>
      </c>
      <c r="H36" s="160">
        <f>F36*G36</f>
        <v>400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>
        <v>366</v>
      </c>
      <c r="D37" s="12">
        <f>C37*111</f>
        <v>40626</v>
      </c>
      <c r="F37" s="12">
        <v>100</v>
      </c>
      <c r="G37" s="39">
        <v>338</v>
      </c>
      <c r="H37" s="160">
        <f t="shared" si="2"/>
        <v>33800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208</v>
      </c>
      <c r="H38" s="160">
        <f t="shared" si="2"/>
        <v>10400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60">
        <f t="shared" si="2"/>
        <v>20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>
        <v>103</v>
      </c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108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 t="s">
        <v>153</v>
      </c>
      <c r="G44" s="62" t="s">
        <v>206</v>
      </c>
      <c r="H44" s="155">
        <v>3308</v>
      </c>
      <c r="I44" s="155"/>
      <c r="J44" s="15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109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>
        <v>7</v>
      </c>
      <c r="D49" s="12">
        <f>C49*42</f>
        <v>294</v>
      </c>
      <c r="F49" s="136" t="s">
        <v>86</v>
      </c>
      <c r="G49" s="138">
        <f>H34+H35+H36+H37+H38+H39+H40+H41+G42+H44+H45+H46</f>
        <v>240031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>
        <v>13</v>
      </c>
      <c r="D50" s="12">
        <f>C50*1.5</f>
        <v>19.5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142</v>
      </c>
      <c r="G51" s="146">
        <f>G49-H29</f>
        <v>512</v>
      </c>
      <c r="H51" s="147"/>
      <c r="I51" s="147"/>
      <c r="J51" s="1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41862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E0117-E2EB-4ACC-AD48-797593FB3126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3</v>
      </c>
      <c r="H4" s="217" t="s">
        <v>9</v>
      </c>
      <c r="I4" s="219">
        <v>46038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241</v>
      </c>
      <c r="D6" s="13">
        <f t="shared" ref="D6:D28" si="1">C6*L6</f>
        <v>183401</v>
      </c>
      <c r="F6" s="223" t="s">
        <v>16</v>
      </c>
      <c r="G6" s="225" t="s">
        <v>111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2</v>
      </c>
      <c r="D7" s="13">
        <f t="shared" si="1"/>
        <v>1562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>
        <v>10</v>
      </c>
      <c r="D8" s="13">
        <f t="shared" si="1"/>
        <v>10930</v>
      </c>
      <c r="F8" s="231" t="s">
        <v>21</v>
      </c>
      <c r="G8" s="232" t="s">
        <v>119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107</v>
      </c>
      <c r="D9" s="13">
        <f t="shared" si="1"/>
        <v>78431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10</v>
      </c>
      <c r="D10" s="13">
        <f t="shared" si="1"/>
        <v>10320</v>
      </c>
      <c r="F10" s="223" t="s">
        <v>26</v>
      </c>
      <c r="G10" s="238" t="s">
        <v>134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20</v>
      </c>
      <c r="D11" s="13">
        <f t="shared" si="1"/>
        <v>23400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f>21+3+3</f>
        <v>27</v>
      </c>
      <c r="D12" s="48">
        <f t="shared" si="1"/>
        <v>26784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2</v>
      </c>
      <c r="D13" s="48">
        <f t="shared" si="1"/>
        <v>614</v>
      </c>
      <c r="F13" s="244" t="s">
        <v>36</v>
      </c>
      <c r="G13" s="208"/>
      <c r="H13" s="199">
        <f>D29</f>
        <v>400123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4</v>
      </c>
      <c r="D14" s="31">
        <f t="shared" si="1"/>
        <v>44</v>
      </c>
      <c r="F14" s="202" t="s">
        <v>39</v>
      </c>
      <c r="G14" s="203"/>
      <c r="H14" s="204">
        <f>D54</f>
        <v>77359.5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10">
        <f>15</f>
        <v>15</v>
      </c>
      <c r="D15" s="31">
        <f t="shared" si="1"/>
        <v>9300</v>
      </c>
      <c r="F15" s="207" t="s">
        <v>40</v>
      </c>
      <c r="G15" s="208"/>
      <c r="H15" s="209">
        <f>H13-H14</f>
        <v>322763.5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10">
        <v>1</v>
      </c>
      <c r="D16" s="48">
        <f t="shared" si="1"/>
        <v>1702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113</v>
      </c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10">
        <v>11</v>
      </c>
      <c r="D18" s="48">
        <f t="shared" si="1"/>
        <v>6820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15" t="s">
        <v>204</v>
      </c>
      <c r="C19" s="10">
        <f>4</f>
        <v>4</v>
      </c>
      <c r="D19" s="48">
        <f t="shared" si="1"/>
        <v>4408</v>
      </c>
      <c r="F19" s="56"/>
      <c r="G19" s="68" t="s">
        <v>50</v>
      </c>
      <c r="H19" s="256"/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104</v>
      </c>
      <c r="C22" s="10"/>
      <c r="D22" s="48">
        <f t="shared" si="1"/>
        <v>0</v>
      </c>
      <c r="F22" s="77"/>
      <c r="G22" s="73"/>
      <c r="H22" s="185"/>
      <c r="I22" s="185"/>
      <c r="J22" s="18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107</v>
      </c>
      <c r="C23" s="10">
        <f>10+10</f>
        <v>20</v>
      </c>
      <c r="D23" s="48">
        <f t="shared" si="1"/>
        <v>23500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138</v>
      </c>
      <c r="C24" s="10">
        <v>1</v>
      </c>
      <c r="D24" s="48">
        <f t="shared" si="1"/>
        <v>1277</v>
      </c>
      <c r="F24" s="38"/>
      <c r="G24" s="37"/>
      <c r="H24" s="186"/>
      <c r="I24" s="155"/>
      <c r="J24" s="155"/>
      <c r="L24" s="47">
        <f>R31</f>
        <v>1277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95" t="s">
        <v>203</v>
      </c>
      <c r="C25" s="10">
        <f>1+1+1</f>
        <v>3</v>
      </c>
      <c r="D25" s="48">
        <f t="shared" si="1"/>
        <v>4746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205</v>
      </c>
      <c r="C26" s="10">
        <v>1</v>
      </c>
      <c r="D26" s="48">
        <f t="shared" si="1"/>
        <v>1242</v>
      </c>
      <c r="F26" s="64"/>
      <c r="G26" s="59"/>
      <c r="H26" s="190"/>
      <c r="I26" s="191"/>
      <c r="J26" s="192"/>
      <c r="L26" s="47">
        <f>R37</f>
        <v>1242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109</v>
      </c>
      <c r="C27" s="10">
        <v>1</v>
      </c>
      <c r="D27" s="44">
        <f t="shared" si="1"/>
        <v>1582</v>
      </c>
      <c r="F27" s="25"/>
      <c r="G27" s="80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10">
        <v>10</v>
      </c>
      <c r="D28" s="48">
        <f t="shared" si="1"/>
        <v>8110</v>
      </c>
      <c r="F28" s="111"/>
      <c r="G28" s="61"/>
      <c r="H28" s="196"/>
      <c r="I28" s="197"/>
      <c r="J28" s="19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400123</v>
      </c>
      <c r="F29" s="116" t="s">
        <v>55</v>
      </c>
      <c r="G29" s="178"/>
      <c r="H29" s="138">
        <f>H15-H16-H17-H18-H19-H20-H22-H23-H24+H26+H27</f>
        <v>322763.5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23</v>
      </c>
      <c r="H34" s="160">
        <f>F34*G34</f>
        <v>23000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>
        <v>8</v>
      </c>
      <c r="D35" s="30">
        <f>C35*84</f>
        <v>672</v>
      </c>
      <c r="F35" s="58">
        <v>500</v>
      </c>
      <c r="G35" s="41">
        <v>2</v>
      </c>
      <c r="H35" s="160">
        <f>F35*G35</f>
        <v>1000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60">
        <f t="shared" ref="H36:H39" si="2">F36*G36</f>
        <v>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>
        <v>216</v>
      </c>
      <c r="D37" s="12">
        <f>C37*111</f>
        <v>23976</v>
      </c>
      <c r="F37" s="12">
        <v>100</v>
      </c>
      <c r="G37" s="39">
        <v>5</v>
      </c>
      <c r="H37" s="160">
        <f t="shared" si="2"/>
        <v>500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>
        <v>512</v>
      </c>
      <c r="D38" s="12">
        <f>C38*84</f>
        <v>43008</v>
      </c>
      <c r="F38" s="30">
        <v>50</v>
      </c>
      <c r="G38" s="39">
        <v>2</v>
      </c>
      <c r="H38" s="160">
        <f t="shared" si="2"/>
        <v>100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0">
        <f t="shared" si="2"/>
        <v>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>
        <v>32</v>
      </c>
      <c r="D41" s="12">
        <f>C41*84</f>
        <v>2688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>
        <v>4</v>
      </c>
      <c r="D42" s="12">
        <f>C42*2.25</f>
        <v>9</v>
      </c>
      <c r="F42" s="39" t="s">
        <v>79</v>
      </c>
      <c r="G42" s="160">
        <v>2</v>
      </c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108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>
        <v>4</v>
      </c>
      <c r="D44" s="12">
        <f>C44*120</f>
        <v>480</v>
      </c>
      <c r="F44" s="37" t="s">
        <v>147</v>
      </c>
      <c r="G44" s="76" t="s">
        <v>207</v>
      </c>
      <c r="H44" s="155">
        <v>296913</v>
      </c>
      <c r="I44" s="155"/>
      <c r="J44" s="15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68</v>
      </c>
      <c r="C45" s="33">
        <v>71</v>
      </c>
      <c r="D45" s="12">
        <f>C45*84</f>
        <v>5964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>
        <v>2</v>
      </c>
      <c r="D46" s="12">
        <f>C46*1.5</f>
        <v>3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>
        <v>1</v>
      </c>
      <c r="D49" s="12">
        <f>C49*42</f>
        <v>42</v>
      </c>
      <c r="F49" s="136" t="s">
        <v>86</v>
      </c>
      <c r="G49" s="138">
        <f>H34+H35+H36+H37+H38+H39+H40+H41+G42+H44+H45+H46</f>
        <v>321515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>
        <v>22</v>
      </c>
      <c r="D50" s="12">
        <f>C50*1.5</f>
        <v>33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139</v>
      </c>
      <c r="G51" s="245">
        <f>G49-H29</f>
        <v>-1248.5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77359.5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E3E87-005A-4067-89B1-5F54B2CFA3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2" t="s">
        <v>1</v>
      </c>
      <c r="O1" s="212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3" t="s">
        <v>7</v>
      </c>
      <c r="B4" s="164"/>
      <c r="C4" s="164"/>
      <c r="D4" s="165"/>
      <c r="F4" s="213" t="s">
        <v>8</v>
      </c>
      <c r="G4" s="215"/>
      <c r="H4" s="217" t="s">
        <v>9</v>
      </c>
      <c r="I4" s="219"/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223" t="s">
        <v>16</v>
      </c>
      <c r="G6" s="225"/>
      <c r="H6" s="226"/>
      <c r="I6" s="226"/>
      <c r="J6" s="2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231" t="s">
        <v>21</v>
      </c>
      <c r="G8" s="232"/>
      <c r="H8" s="233"/>
      <c r="I8" s="233"/>
      <c r="J8" s="2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223" t="s">
        <v>26</v>
      </c>
      <c r="G10" s="238"/>
      <c r="H10" s="239"/>
      <c r="I10" s="239"/>
      <c r="J10" s="240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202" t="s">
        <v>39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207" t="s">
        <v>40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50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11"/>
      <c r="G28" s="61"/>
      <c r="H28" s="196"/>
      <c r="I28" s="197"/>
      <c r="J28" s="19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55</v>
      </c>
      <c r="G29" s="178"/>
      <c r="H29" s="138">
        <f>H15-H16-H17-H18-H19-H20-H22-H23-H24+H26+H27</f>
        <v>0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0"/>
      <c r="I34" s="161"/>
      <c r="J34" s="16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/>
      <c r="H35" s="160"/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/>
      <c r="I36" s="161"/>
      <c r="J36" s="16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0"/>
      <c r="I37" s="161"/>
      <c r="J37" s="16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68</v>
      </c>
      <c r="C38" s="54"/>
      <c r="D38" s="12">
        <f>C38*84</f>
        <v>0</v>
      </c>
      <c r="F38" s="30">
        <v>50</v>
      </c>
      <c r="G38" s="39"/>
      <c r="H38" s="160"/>
      <c r="I38" s="161"/>
      <c r="J38" s="16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70</v>
      </c>
      <c r="C39" s="52"/>
      <c r="D39" s="31">
        <f>C39*4.5</f>
        <v>0</v>
      </c>
      <c r="F39" s="12">
        <v>20</v>
      </c>
      <c r="G39" s="37"/>
      <c r="H39" s="160"/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/>
      <c r="H42" s="161"/>
      <c r="I42" s="161"/>
      <c r="J42" s="16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108" t="s">
        <v>83</v>
      </c>
      <c r="H43" s="152" t="s">
        <v>13</v>
      </c>
      <c r="I43" s="153"/>
      <c r="J43" s="154"/>
      <c r="K43" s="21"/>
      <c r="P43" s="4"/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/>
      <c r="G44" s="76"/>
      <c r="H44" s="155"/>
      <c r="I44" s="155"/>
      <c r="J44" s="155"/>
      <c r="K44" s="21"/>
      <c r="P44" s="4"/>
      <c r="Q44" s="4"/>
      <c r="R44" s="5"/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/>
      <c r="D49" s="12">
        <f>C49*42</f>
        <v>0</v>
      </c>
      <c r="F49" s="136" t="s">
        <v>86</v>
      </c>
      <c r="G49" s="138">
        <f>H34+H35+H36+H37+H38+H39+H40+H41+G42+H44+H45+H46</f>
        <v>0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/>
      <c r="D50" s="12">
        <f>C50*1.5</f>
        <v>0</v>
      </c>
      <c r="F50" s="137"/>
      <c r="G50" s="141"/>
      <c r="H50" s="142"/>
      <c r="I50" s="142"/>
      <c r="J50" s="143"/>
      <c r="P50" s="4"/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128</v>
      </c>
      <c r="G51" s="146">
        <f>G49-H29</f>
        <v>0</v>
      </c>
      <c r="H51" s="147"/>
      <c r="I51" s="147"/>
      <c r="J51" s="1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0</v>
      </c>
      <c r="F54" s="21"/>
      <c r="J54" s="34"/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878C5-181C-4BA8-83C6-4A3575D4D5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1</v>
      </c>
      <c r="H4" s="217" t="s">
        <v>9</v>
      </c>
      <c r="I4" s="219">
        <v>46039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84"/>
      <c r="D6" s="13">
        <f t="shared" ref="D6:D28" si="1">C6*L6</f>
        <v>0</v>
      </c>
      <c r="F6" s="223" t="s">
        <v>16</v>
      </c>
      <c r="G6" s="225" t="s">
        <v>129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84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84"/>
      <c r="D8" s="13">
        <f t="shared" si="1"/>
        <v>0</v>
      </c>
      <c r="F8" s="231" t="s">
        <v>21</v>
      </c>
      <c r="G8" s="232" t="s">
        <v>112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84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84"/>
      <c r="D10" s="13">
        <f t="shared" si="1"/>
        <v>0</v>
      </c>
      <c r="F10" s="223" t="s">
        <v>26</v>
      </c>
      <c r="G10" s="238" t="s">
        <v>130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84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84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84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84"/>
      <c r="D14" s="31">
        <f t="shared" si="1"/>
        <v>0</v>
      </c>
      <c r="F14" s="202" t="s">
        <v>39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84"/>
      <c r="D15" s="31">
        <f t="shared" si="1"/>
        <v>0</v>
      </c>
      <c r="F15" s="207" t="s">
        <v>40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137</v>
      </c>
      <c r="C17" s="84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v>1102</v>
      </c>
      <c r="Q19" s="4"/>
      <c r="R19" s="5">
        <f t="shared" si="0"/>
        <v>0</v>
      </c>
    </row>
    <row r="20" spans="1:18" ht="15.75" x14ac:dyDescent="0.25">
      <c r="A20" s="15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127</v>
      </c>
      <c r="C22" s="84"/>
      <c r="D22" s="48">
        <f t="shared" si="1"/>
        <v>0</v>
      </c>
      <c r="F22" s="77"/>
      <c r="G22" s="73"/>
      <c r="H22" s="185"/>
      <c r="I22" s="185"/>
      <c r="J22" s="18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101</v>
      </c>
      <c r="C23" s="84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121</v>
      </c>
      <c r="C24" s="84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136</v>
      </c>
      <c r="C26" s="84"/>
      <c r="D26" s="48">
        <f t="shared" si="1"/>
        <v>0</v>
      </c>
      <c r="F26" s="75"/>
      <c r="G26" s="65"/>
      <c r="H26" s="155"/>
      <c r="I26" s="155"/>
      <c r="J26" s="15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110</v>
      </c>
      <c r="C27" s="84"/>
      <c r="D27" s="44">
        <f t="shared" si="1"/>
        <v>0</v>
      </c>
      <c r="F27" s="71"/>
      <c r="G27" s="108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84"/>
      <c r="D28" s="48">
        <f t="shared" si="1"/>
        <v>0</v>
      </c>
      <c r="F28" s="111"/>
      <c r="G28" s="61"/>
      <c r="H28" s="196"/>
      <c r="I28" s="197"/>
      <c r="J28" s="19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55</v>
      </c>
      <c r="G29" s="178"/>
      <c r="H29" s="138">
        <f>H15-H16-H17-H18-H19-H20-H22-H23-H24+H26+H27+H28</f>
        <v>0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0">
        <f t="shared" ref="H34:H39" si="2">F34*G34</f>
        <v>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/>
      <c r="H35" s="160">
        <f t="shared" si="2"/>
        <v>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>
        <f t="shared" si="2"/>
        <v>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0">
        <f t="shared" si="2"/>
        <v>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/>
      <c r="D38" s="12">
        <f>C38*84</f>
        <v>0</v>
      </c>
      <c r="F38" s="30">
        <v>50</v>
      </c>
      <c r="G38" s="39"/>
      <c r="H38" s="160">
        <f t="shared" si="2"/>
        <v>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/>
      <c r="D39" s="31">
        <f>C39*4.5</f>
        <v>0</v>
      </c>
      <c r="F39" s="12">
        <v>20</v>
      </c>
      <c r="G39" s="37"/>
      <c r="H39" s="160">
        <f t="shared" si="2"/>
        <v>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/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108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/>
      <c r="G44" s="62"/>
      <c r="H44" s="155"/>
      <c r="I44" s="155"/>
      <c r="J44" s="15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/>
      <c r="D49" s="12">
        <f>C49*42</f>
        <v>0</v>
      </c>
      <c r="F49" s="136" t="s">
        <v>86</v>
      </c>
      <c r="G49" s="138">
        <f>H34+H35+H36+H37+H38+H39+H40+H41+G42+H44+H45+H46</f>
        <v>0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/>
      <c r="D50" s="12">
        <f>C50*1.5</f>
        <v>0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131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0EB48-92EF-4D63-BBC6-C6D6485C8BD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2</v>
      </c>
      <c r="H4" s="217" t="s">
        <v>9</v>
      </c>
      <c r="I4" s="219">
        <v>46039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223" t="s">
        <v>16</v>
      </c>
      <c r="G6" s="225" t="s">
        <v>140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114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115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202" t="s">
        <v>39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10"/>
      <c r="D15" s="31">
        <f t="shared" si="1"/>
        <v>0</v>
      </c>
      <c r="F15" s="207" t="s">
        <v>40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93</v>
      </c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104</v>
      </c>
      <c r="C22" s="10"/>
      <c r="D22" s="48">
        <f t="shared" si="1"/>
        <v>0</v>
      </c>
      <c r="F22" s="72"/>
      <c r="G22" s="73"/>
      <c r="H22" s="185"/>
      <c r="I22" s="185"/>
      <c r="J22" s="18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107</v>
      </c>
      <c r="C23" s="10"/>
      <c r="D23" s="48">
        <f t="shared" si="1"/>
        <v>0</v>
      </c>
      <c r="F23" s="25"/>
      <c r="G23" s="37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123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105</v>
      </c>
      <c r="C26" s="10"/>
      <c r="D26" s="48">
        <f t="shared" si="1"/>
        <v>0</v>
      </c>
      <c r="F26" s="64"/>
      <c r="G26" s="10"/>
      <c r="H26" s="190"/>
      <c r="I26" s="191"/>
      <c r="J26" s="19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109</v>
      </c>
      <c r="C27" s="10"/>
      <c r="D27" s="44">
        <f t="shared" si="1"/>
        <v>0</v>
      </c>
      <c r="F27" s="14"/>
      <c r="G27" s="14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10"/>
      <c r="D28" s="48">
        <f t="shared" si="1"/>
        <v>0</v>
      </c>
      <c r="F28" s="111"/>
      <c r="G28" s="61"/>
      <c r="H28" s="196"/>
      <c r="I28" s="197"/>
      <c r="J28" s="19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55</v>
      </c>
      <c r="G29" s="178"/>
      <c r="H29" s="138">
        <f>H15-H16-H17-H18-H19-H20-H22-H23-H24+H26+H27</f>
        <v>0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0">
        <f>F34*G34</f>
        <v>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/>
      <c r="H35" s="160">
        <f t="shared" ref="H35:H39" si="2">F35*G35</f>
        <v>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>
        <f>F36*G36</f>
        <v>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0">
        <f t="shared" si="2"/>
        <v>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/>
      <c r="D38" s="12">
        <f>C38*84</f>
        <v>0</v>
      </c>
      <c r="F38" s="30">
        <v>50</v>
      </c>
      <c r="G38" s="39"/>
      <c r="H38" s="160">
        <f t="shared" si="2"/>
        <v>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/>
      <c r="D39" s="31">
        <f>C39*4.5</f>
        <v>0</v>
      </c>
      <c r="F39" s="12">
        <v>20</v>
      </c>
      <c r="G39" s="37"/>
      <c r="H39" s="160">
        <f t="shared" si="2"/>
        <v>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/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108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/>
      <c r="G44" s="62"/>
      <c r="H44" s="155"/>
      <c r="I44" s="155"/>
      <c r="J44" s="15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109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/>
      <c r="D49" s="12">
        <f>C49*42</f>
        <v>0</v>
      </c>
      <c r="F49" s="136" t="s">
        <v>86</v>
      </c>
      <c r="G49" s="138">
        <f>H34+H35+H36+H37+H38+H39+H40+H41+G42+H44+H45+H46</f>
        <v>0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/>
      <c r="D50" s="12">
        <f>C50*1.5</f>
        <v>0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142</v>
      </c>
      <c r="G51" s="146">
        <f>G49-H29</f>
        <v>0</v>
      </c>
      <c r="H51" s="147"/>
      <c r="I51" s="147"/>
      <c r="J51" s="1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DEBB5-562F-43BE-A6E6-00B6C2D43D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3</v>
      </c>
      <c r="H4" s="217" t="s">
        <v>9</v>
      </c>
      <c r="I4" s="219">
        <v>46039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223" t="s">
        <v>16</v>
      </c>
      <c r="G6" s="225" t="s">
        <v>111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119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134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202" t="s">
        <v>39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10"/>
      <c r="D15" s="31">
        <f t="shared" si="1"/>
        <v>0</v>
      </c>
      <c r="F15" s="207" t="s">
        <v>40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113</v>
      </c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/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104</v>
      </c>
      <c r="C22" s="10"/>
      <c r="D22" s="48">
        <f t="shared" si="1"/>
        <v>0</v>
      </c>
      <c r="F22" s="77"/>
      <c r="G22" s="73"/>
      <c r="H22" s="185"/>
      <c r="I22" s="185"/>
      <c r="J22" s="18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107</v>
      </c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101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105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109</v>
      </c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10"/>
      <c r="D28" s="48">
        <f t="shared" si="1"/>
        <v>0</v>
      </c>
      <c r="F28" s="111"/>
      <c r="G28" s="61"/>
      <c r="H28" s="196"/>
      <c r="I28" s="197"/>
      <c r="J28" s="19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55</v>
      </c>
      <c r="G29" s="178"/>
      <c r="H29" s="138">
        <f>H15-H16-H17-H18-H19-H20-H22-H23-H24+H26+H27</f>
        <v>0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0">
        <f>F34*G34</f>
        <v>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/>
      <c r="H35" s="160">
        <f>F35*G35</f>
        <v>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>
        <f t="shared" ref="H36:H39" si="2">F36*G36</f>
        <v>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0">
        <f t="shared" si="2"/>
        <v>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/>
      <c r="D38" s="12">
        <f>C38*84</f>
        <v>0</v>
      </c>
      <c r="F38" s="30">
        <v>50</v>
      </c>
      <c r="G38" s="39"/>
      <c r="H38" s="160">
        <f t="shared" si="2"/>
        <v>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/>
      <c r="D39" s="31">
        <f>C39*4.5</f>
        <v>0</v>
      </c>
      <c r="F39" s="12">
        <v>20</v>
      </c>
      <c r="G39" s="37"/>
      <c r="H39" s="160">
        <f t="shared" si="2"/>
        <v>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/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108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/>
      <c r="G44" s="76"/>
      <c r="H44" s="155"/>
      <c r="I44" s="155"/>
      <c r="J44" s="15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/>
      <c r="D49" s="12">
        <f>C49*42</f>
        <v>0</v>
      </c>
      <c r="F49" s="136" t="s">
        <v>86</v>
      </c>
      <c r="G49" s="138">
        <f>H34+H35+H36+H37+H38+H39+H40+H41+G42+H44+H45+H46</f>
        <v>0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/>
      <c r="D50" s="12">
        <f>C50*1.5</f>
        <v>0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139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50515-980C-48CF-98E5-A126F545398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2" t="s">
        <v>1</v>
      </c>
      <c r="O1" s="212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3" t="s">
        <v>7</v>
      </c>
      <c r="B4" s="164"/>
      <c r="C4" s="164"/>
      <c r="D4" s="165"/>
      <c r="F4" s="213" t="s">
        <v>8</v>
      </c>
      <c r="G4" s="215"/>
      <c r="H4" s="217" t="s">
        <v>9</v>
      </c>
      <c r="I4" s="219"/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223" t="s">
        <v>16</v>
      </c>
      <c r="G6" s="225"/>
      <c r="H6" s="226"/>
      <c r="I6" s="226"/>
      <c r="J6" s="2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231" t="s">
        <v>21</v>
      </c>
      <c r="G8" s="232"/>
      <c r="H8" s="233"/>
      <c r="I8" s="233"/>
      <c r="J8" s="2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223" t="s">
        <v>26</v>
      </c>
      <c r="G10" s="238"/>
      <c r="H10" s="239"/>
      <c r="I10" s="239"/>
      <c r="J10" s="240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202" t="s">
        <v>39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207" t="s">
        <v>40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50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11"/>
      <c r="G28" s="61"/>
      <c r="H28" s="196"/>
      <c r="I28" s="197"/>
      <c r="J28" s="19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55</v>
      </c>
      <c r="G29" s="178"/>
      <c r="H29" s="138">
        <f>H15-H16-H17-H18-H19-H20-H22-H23-H24+H26+H27</f>
        <v>0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0"/>
      <c r="I34" s="161"/>
      <c r="J34" s="16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/>
      <c r="H35" s="160"/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/>
      <c r="I36" s="161"/>
      <c r="J36" s="16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0"/>
      <c r="I37" s="161"/>
      <c r="J37" s="16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68</v>
      </c>
      <c r="C38" s="54"/>
      <c r="D38" s="12">
        <f>C38*84</f>
        <v>0</v>
      </c>
      <c r="F38" s="30">
        <v>50</v>
      </c>
      <c r="G38" s="39"/>
      <c r="H38" s="160"/>
      <c r="I38" s="161"/>
      <c r="J38" s="16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70</v>
      </c>
      <c r="C39" s="52"/>
      <c r="D39" s="31">
        <f>C39*4.5</f>
        <v>0</v>
      </c>
      <c r="F39" s="12">
        <v>20</v>
      </c>
      <c r="G39" s="37"/>
      <c r="H39" s="160"/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/>
      <c r="H42" s="161"/>
      <c r="I42" s="161"/>
      <c r="J42" s="16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108" t="s">
        <v>83</v>
      </c>
      <c r="H43" s="152" t="s">
        <v>13</v>
      </c>
      <c r="I43" s="153"/>
      <c r="J43" s="154"/>
      <c r="K43" s="21"/>
      <c r="P43" s="4"/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/>
      <c r="G44" s="76"/>
      <c r="H44" s="155"/>
      <c r="I44" s="155"/>
      <c r="J44" s="155"/>
      <c r="K44" s="21"/>
      <c r="P44" s="4"/>
      <c r="Q44" s="4"/>
      <c r="R44" s="5"/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/>
      <c r="D49" s="12">
        <f>C49*42</f>
        <v>0</v>
      </c>
      <c r="F49" s="136" t="s">
        <v>86</v>
      </c>
      <c r="G49" s="138">
        <f>H34+H35+H36+H37+H38+H39+H40+H41+G42+H44+H45+H46</f>
        <v>0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/>
      <c r="D50" s="12">
        <f>C50*1.5</f>
        <v>0</v>
      </c>
      <c r="F50" s="137"/>
      <c r="G50" s="141"/>
      <c r="H50" s="142"/>
      <c r="I50" s="142"/>
      <c r="J50" s="143"/>
      <c r="P50" s="4"/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128</v>
      </c>
      <c r="G51" s="146">
        <f>G49-H29</f>
        <v>0</v>
      </c>
      <c r="H51" s="147"/>
      <c r="I51" s="147"/>
      <c r="J51" s="1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0</v>
      </c>
      <c r="F54" s="21"/>
      <c r="J54" s="34"/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D4AEF-B715-4981-804F-5DC1F75F6C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1</v>
      </c>
      <c r="H4" s="217" t="s">
        <v>9</v>
      </c>
      <c r="I4" s="219">
        <v>46041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84"/>
      <c r="D6" s="13">
        <f t="shared" ref="D6:D28" si="1">C6*L6</f>
        <v>0</v>
      </c>
      <c r="F6" s="223" t="s">
        <v>16</v>
      </c>
      <c r="G6" s="225" t="s">
        <v>129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84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84"/>
      <c r="D8" s="13">
        <f t="shared" si="1"/>
        <v>0</v>
      </c>
      <c r="F8" s="231" t="s">
        <v>21</v>
      </c>
      <c r="G8" s="232" t="s">
        <v>112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84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84"/>
      <c r="D10" s="13">
        <f t="shared" si="1"/>
        <v>0</v>
      </c>
      <c r="F10" s="223" t="s">
        <v>26</v>
      </c>
      <c r="G10" s="238" t="s">
        <v>130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84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84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84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84"/>
      <c r="D14" s="31">
        <f t="shared" si="1"/>
        <v>0</v>
      </c>
      <c r="F14" s="202" t="s">
        <v>39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84"/>
      <c r="D15" s="31">
        <f t="shared" si="1"/>
        <v>0</v>
      </c>
      <c r="F15" s="207" t="s">
        <v>40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137</v>
      </c>
      <c r="C17" s="84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80"/>
      <c r="I19" s="180"/>
      <c r="J19" s="180"/>
      <c r="L19" s="6">
        <v>1102</v>
      </c>
      <c r="Q19" s="4"/>
      <c r="R19" s="5">
        <f t="shared" si="0"/>
        <v>0</v>
      </c>
    </row>
    <row r="20" spans="1:18" ht="15.75" x14ac:dyDescent="0.25">
      <c r="A20" s="158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127</v>
      </c>
      <c r="C22" s="84"/>
      <c r="D22" s="48">
        <f t="shared" si="1"/>
        <v>0</v>
      </c>
      <c r="F22" s="77"/>
      <c r="G22" s="73"/>
      <c r="H22" s="185"/>
      <c r="I22" s="185"/>
      <c r="J22" s="18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101</v>
      </c>
      <c r="C23" s="84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121</v>
      </c>
      <c r="C24" s="84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136</v>
      </c>
      <c r="C26" s="84"/>
      <c r="D26" s="48">
        <f t="shared" si="1"/>
        <v>0</v>
      </c>
      <c r="F26" s="75"/>
      <c r="G26" s="65"/>
      <c r="H26" s="155"/>
      <c r="I26" s="155"/>
      <c r="J26" s="155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110</v>
      </c>
      <c r="C27" s="84"/>
      <c r="D27" s="44">
        <f t="shared" si="1"/>
        <v>0</v>
      </c>
      <c r="F27" s="71"/>
      <c r="G27" s="108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84"/>
      <c r="D28" s="48">
        <f t="shared" si="1"/>
        <v>0</v>
      </c>
      <c r="F28" s="111"/>
      <c r="G28" s="61"/>
      <c r="H28" s="196"/>
      <c r="I28" s="197"/>
      <c r="J28" s="19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55</v>
      </c>
      <c r="G29" s="178"/>
      <c r="H29" s="138">
        <f>H15-H16-H17-H18-H19-H20-H22-H23-H24+H26+H27+H28</f>
        <v>0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0">
        <f t="shared" ref="H34:H39" si="2">F34*G34</f>
        <v>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/>
      <c r="H35" s="160">
        <f t="shared" si="2"/>
        <v>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>
        <f t="shared" si="2"/>
        <v>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0">
        <f t="shared" si="2"/>
        <v>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/>
      <c r="D38" s="12">
        <f>C38*84</f>
        <v>0</v>
      </c>
      <c r="F38" s="30">
        <v>50</v>
      </c>
      <c r="G38" s="39"/>
      <c r="H38" s="160">
        <f t="shared" si="2"/>
        <v>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/>
      <c r="D39" s="31">
        <f>C39*4.5</f>
        <v>0</v>
      </c>
      <c r="F39" s="12">
        <v>20</v>
      </c>
      <c r="G39" s="37"/>
      <c r="H39" s="160">
        <f t="shared" si="2"/>
        <v>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/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108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/>
      <c r="G44" s="62"/>
      <c r="H44" s="155"/>
      <c r="I44" s="155"/>
      <c r="J44" s="15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/>
      <c r="D49" s="12">
        <f>C49*42</f>
        <v>0</v>
      </c>
      <c r="F49" s="136" t="s">
        <v>86</v>
      </c>
      <c r="G49" s="138">
        <f>H34+H35+H36+H37+H38+H39+H40+H41+G42+H44+H45+H46</f>
        <v>0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/>
      <c r="D50" s="12">
        <f>C50*1.5</f>
        <v>0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131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260E0-1753-4068-8330-7995D1A13BE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2</v>
      </c>
      <c r="H4" s="217" t="s">
        <v>9</v>
      </c>
      <c r="I4" s="219">
        <v>46041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223" t="s">
        <v>16</v>
      </c>
      <c r="G6" s="225" t="s">
        <v>140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114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115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202" t="s">
        <v>39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10"/>
      <c r="D15" s="31">
        <f t="shared" si="1"/>
        <v>0</v>
      </c>
      <c r="F15" s="207" t="s">
        <v>40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93</v>
      </c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0"/>
      <c r="I20" s="180"/>
      <c r="J20" s="18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104</v>
      </c>
      <c r="C22" s="10"/>
      <c r="D22" s="48">
        <f t="shared" si="1"/>
        <v>0</v>
      </c>
      <c r="F22" s="72"/>
      <c r="G22" s="73"/>
      <c r="H22" s="185"/>
      <c r="I22" s="185"/>
      <c r="J22" s="18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107</v>
      </c>
      <c r="C23" s="10"/>
      <c r="D23" s="48">
        <f t="shared" si="1"/>
        <v>0</v>
      </c>
      <c r="F23" s="25"/>
      <c r="G23" s="37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123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105</v>
      </c>
      <c r="C26" s="10"/>
      <c r="D26" s="48">
        <f t="shared" si="1"/>
        <v>0</v>
      </c>
      <c r="F26" s="64"/>
      <c r="G26" s="10"/>
      <c r="H26" s="190"/>
      <c r="I26" s="191"/>
      <c r="J26" s="19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109</v>
      </c>
      <c r="C27" s="10"/>
      <c r="D27" s="44">
        <f t="shared" si="1"/>
        <v>0</v>
      </c>
      <c r="F27" s="14"/>
      <c r="G27" s="14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10"/>
      <c r="D28" s="48">
        <f t="shared" si="1"/>
        <v>0</v>
      </c>
      <c r="F28" s="111"/>
      <c r="G28" s="61"/>
      <c r="H28" s="196"/>
      <c r="I28" s="197"/>
      <c r="J28" s="19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55</v>
      </c>
      <c r="G29" s="178"/>
      <c r="H29" s="138">
        <f>H15-H16-H17-H18-H19-H20-H22-H23-H24+H26+H27</f>
        <v>0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0">
        <f>F34*G34</f>
        <v>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/>
      <c r="H35" s="160">
        <f t="shared" ref="H35:H39" si="2">F35*G35</f>
        <v>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>
        <f>F36*G36</f>
        <v>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0">
        <f t="shared" si="2"/>
        <v>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/>
      <c r="D38" s="12">
        <f>C38*84</f>
        <v>0</v>
      </c>
      <c r="F38" s="30">
        <v>50</v>
      </c>
      <c r="G38" s="39"/>
      <c r="H38" s="160">
        <f t="shared" si="2"/>
        <v>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/>
      <c r="D39" s="31">
        <f>C39*4.5</f>
        <v>0</v>
      </c>
      <c r="F39" s="12">
        <v>20</v>
      </c>
      <c r="G39" s="37"/>
      <c r="H39" s="160">
        <f t="shared" si="2"/>
        <v>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/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108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/>
      <c r="G44" s="62"/>
      <c r="H44" s="155"/>
      <c r="I44" s="155"/>
      <c r="J44" s="15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109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/>
      <c r="D49" s="12">
        <f>C49*42</f>
        <v>0</v>
      </c>
      <c r="F49" s="136" t="s">
        <v>86</v>
      </c>
      <c r="G49" s="138">
        <f>H34+H35+H36+H37+H38+H39+H40+H41+G42+H44+H45+H46</f>
        <v>0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/>
      <c r="D50" s="12">
        <f>C50*1.5</f>
        <v>0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142</v>
      </c>
      <c r="G51" s="146">
        <f>G49-H29</f>
        <v>0</v>
      </c>
      <c r="H51" s="147"/>
      <c r="I51" s="147"/>
      <c r="J51" s="14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6DA73-110F-49BD-9DD0-A2B1E89FB0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3</v>
      </c>
      <c r="H4" s="217" t="s">
        <v>9</v>
      </c>
      <c r="I4" s="219">
        <v>46041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223" t="s">
        <v>16</v>
      </c>
      <c r="G6" s="225" t="s">
        <v>111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119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134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202" t="s">
        <v>39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38</v>
      </c>
      <c r="C15" s="10"/>
      <c r="D15" s="31">
        <f t="shared" si="1"/>
        <v>0</v>
      </c>
      <c r="F15" s="207" t="s">
        <v>40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t="s">
        <v>113</v>
      </c>
      <c r="C17" s="10"/>
      <c r="D17" s="48">
        <f t="shared" si="1"/>
        <v>0</v>
      </c>
      <c r="F17" s="56"/>
      <c r="G17" s="66" t="s">
        <v>45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/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2" t="s">
        <v>13</v>
      </c>
      <c r="I21" s="183"/>
      <c r="J21" s="18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104</v>
      </c>
      <c r="C22" s="10"/>
      <c r="D22" s="48">
        <f t="shared" si="1"/>
        <v>0</v>
      </c>
      <c r="F22" s="77"/>
      <c r="G22" s="73"/>
      <c r="H22" s="185"/>
      <c r="I22" s="185"/>
      <c r="J22" s="18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107</v>
      </c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101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7" t="s">
        <v>13</v>
      </c>
      <c r="I25" s="188"/>
      <c r="J25" s="189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105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109</v>
      </c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97</v>
      </c>
      <c r="C28" s="10"/>
      <c r="D28" s="48">
        <f t="shared" si="1"/>
        <v>0</v>
      </c>
      <c r="F28" s="111"/>
      <c r="G28" s="61"/>
      <c r="H28" s="196"/>
      <c r="I28" s="197"/>
      <c r="J28" s="19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55</v>
      </c>
      <c r="G29" s="178"/>
      <c r="H29" s="138">
        <f>H15-H16-H17-H18-H19-H20-H22-H23-H24+H26+H27</f>
        <v>0</v>
      </c>
      <c r="I29" s="139"/>
      <c r="J29" s="14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58</v>
      </c>
      <c r="B32" s="164"/>
      <c r="C32" s="164"/>
      <c r="D32" s="165"/>
      <c r="F32" s="166" t="s">
        <v>59</v>
      </c>
      <c r="G32" s="167"/>
      <c r="H32" s="167"/>
      <c r="I32" s="167"/>
      <c r="J32" s="16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166" t="s">
        <v>13</v>
      </c>
      <c r="I33" s="167"/>
      <c r="J33" s="16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0">
        <f>F34*G34</f>
        <v>0</v>
      </c>
      <c r="I34" s="161"/>
      <c r="J34" s="16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68</v>
      </c>
      <c r="C35" s="52"/>
      <c r="D35" s="30">
        <f>C35*84</f>
        <v>0</v>
      </c>
      <c r="F35" s="58">
        <v>500</v>
      </c>
      <c r="G35" s="41"/>
      <c r="H35" s="160">
        <f>F35*G35</f>
        <v>0</v>
      </c>
      <c r="I35" s="161"/>
      <c r="J35" s="16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70</v>
      </c>
      <c r="C36" s="10"/>
      <c r="D36" s="12">
        <f>C36*1.5</f>
        <v>0</v>
      </c>
      <c r="F36" s="12">
        <v>200</v>
      </c>
      <c r="G36" s="37"/>
      <c r="H36" s="160">
        <f t="shared" ref="H36:H39" si="2">F36*G36</f>
        <v>0</v>
      </c>
      <c r="I36" s="161"/>
      <c r="J36" s="16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0">
        <f t="shared" si="2"/>
        <v>0</v>
      </c>
      <c r="I37" s="161"/>
      <c r="J37" s="16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68</v>
      </c>
      <c r="C38" s="54"/>
      <c r="D38" s="12">
        <f>C38*84</f>
        <v>0</v>
      </c>
      <c r="F38" s="30">
        <v>50</v>
      </c>
      <c r="G38" s="39"/>
      <c r="H38" s="160">
        <f t="shared" si="2"/>
        <v>0</v>
      </c>
      <c r="I38" s="161"/>
      <c r="J38" s="16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70</v>
      </c>
      <c r="C39" s="52"/>
      <c r="D39" s="31">
        <f>C39*4.5</f>
        <v>0</v>
      </c>
      <c r="F39" s="12">
        <v>20</v>
      </c>
      <c r="G39" s="37"/>
      <c r="H39" s="160">
        <f t="shared" si="2"/>
        <v>0</v>
      </c>
      <c r="I39" s="161"/>
      <c r="J39" s="16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68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70</v>
      </c>
      <c r="C42" s="11"/>
      <c r="D42" s="12">
        <f>C42*2.25</f>
        <v>0</v>
      </c>
      <c r="F42" s="39" t="s">
        <v>79</v>
      </c>
      <c r="G42" s="160"/>
      <c r="H42" s="161"/>
      <c r="I42" s="161"/>
      <c r="J42" s="16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81</v>
      </c>
      <c r="C43" s="11"/>
      <c r="D43" s="12"/>
      <c r="F43" s="59" t="s">
        <v>82</v>
      </c>
      <c r="G43" s="108" t="s">
        <v>83</v>
      </c>
      <c r="H43" s="152" t="s">
        <v>13</v>
      </c>
      <c r="I43" s="153"/>
      <c r="J43" s="15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1"/>
      <c r="B44" s="27" t="s">
        <v>66</v>
      </c>
      <c r="C44" s="10"/>
      <c r="D44" s="12">
        <f>C44*120</f>
        <v>0</v>
      </c>
      <c r="F44" s="37"/>
      <c r="G44" s="76"/>
      <c r="H44" s="155"/>
      <c r="I44" s="155"/>
      <c r="J44" s="155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68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70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66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68</v>
      </c>
      <c r="C49" s="33"/>
      <c r="D49" s="12">
        <f>C49*42</f>
        <v>0</v>
      </c>
      <c r="F49" s="136" t="s">
        <v>86</v>
      </c>
      <c r="G49" s="138">
        <f>H34+H35+H36+H37+H38+H39+H40+H41+G42+H44+H45+H46</f>
        <v>0</v>
      </c>
      <c r="H49" s="139"/>
      <c r="I49" s="139"/>
      <c r="J49" s="14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70</v>
      </c>
      <c r="C50" s="11"/>
      <c r="D50" s="12">
        <f>C50*1.5</f>
        <v>0</v>
      </c>
      <c r="F50" s="137"/>
      <c r="G50" s="141"/>
      <c r="H50" s="142"/>
      <c r="I50" s="142"/>
      <c r="J50" s="143"/>
      <c r="O50" t="s">
        <v>144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139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6" t="s">
        <v>90</v>
      </c>
      <c r="B54" s="117"/>
      <c r="C54" s="118"/>
      <c r="D54" s="12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91</v>
      </c>
      <c r="B58" s="125"/>
      <c r="C58" s="125"/>
      <c r="D58" s="126"/>
      <c r="F58" s="124" t="s">
        <v>92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66</vt:i4>
      </vt:variant>
      <vt:variant>
        <vt:lpstr>Named Ranges</vt:lpstr>
      </vt:variant>
      <vt:variant>
        <vt:i4>65</vt:i4>
      </vt:variant>
    </vt:vector>
  </HeadingPairs>
  <TitlesOfParts>
    <vt:vector size="131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R2B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(13)</vt:lpstr>
      <vt:lpstr>01,13 R1</vt:lpstr>
      <vt:lpstr>01,13 R2</vt:lpstr>
      <vt:lpstr>01,13 R3</vt:lpstr>
      <vt:lpstr>(14)</vt:lpstr>
      <vt:lpstr>01,14 R1 NO TRIP</vt:lpstr>
      <vt:lpstr>01,14 R2</vt:lpstr>
      <vt:lpstr>01,14 R3</vt:lpstr>
      <vt:lpstr>(15)</vt:lpstr>
      <vt:lpstr>01,15 R1</vt:lpstr>
      <vt:lpstr>01,15 R2</vt:lpstr>
      <vt:lpstr>01,15 R3</vt:lpstr>
      <vt:lpstr>(16)</vt:lpstr>
      <vt:lpstr>01,16 R1</vt:lpstr>
      <vt:lpstr>01,16 R2</vt:lpstr>
      <vt:lpstr>01,16 R3</vt:lpstr>
      <vt:lpstr>(17)</vt:lpstr>
      <vt:lpstr>01,17 R1</vt:lpstr>
      <vt:lpstr>01,17 R2</vt:lpstr>
      <vt:lpstr>01,17 R3</vt:lpstr>
      <vt:lpstr>(19)</vt:lpstr>
      <vt:lpstr>01,19 R1</vt:lpstr>
      <vt:lpstr>01,19 R2</vt:lpstr>
      <vt:lpstr>01,19 R3</vt:lpstr>
      <vt:lpstr>'(01)'!Print_Area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R2B'!Print_Area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  <vt:lpstr>'01,13 R1'!Print_Area</vt:lpstr>
      <vt:lpstr>'01,13 R2'!Print_Area</vt:lpstr>
      <vt:lpstr>'01,13 R3'!Print_Area</vt:lpstr>
      <vt:lpstr>'01,14 R1 NO TRIP'!Print_Area</vt:lpstr>
      <vt:lpstr>'01,14 R2'!Print_Area</vt:lpstr>
      <vt:lpstr>'01,14 R3'!Print_Area</vt:lpstr>
      <vt:lpstr>'01,15 R1'!Print_Area</vt:lpstr>
      <vt:lpstr>'01,15 R2'!Print_Area</vt:lpstr>
      <vt:lpstr>'01,15 R3'!Print_Area</vt:lpstr>
      <vt:lpstr>'01,16 R1'!Print_Area</vt:lpstr>
      <vt:lpstr>'01,16 R2'!Print_Area</vt:lpstr>
      <vt:lpstr>'01,16 R3'!Print_Area</vt:lpstr>
      <vt:lpstr>'01,17 R1'!Print_Area</vt:lpstr>
      <vt:lpstr>'01,17 R2'!Print_Area</vt:lpstr>
      <vt:lpstr>'01,17 R3'!Print_Area</vt:lpstr>
      <vt:lpstr>'01,19 R1'!Print_Area</vt:lpstr>
      <vt:lpstr>'01,19 R2'!Print_Area</vt:lpstr>
      <vt:lpstr>'01,19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2026-01-17T01:02:06Z</cp:lastPrinted>
  <dcterms:created xsi:type="dcterms:W3CDTF">2024-09-01T23:36:50Z</dcterms:created>
  <dcterms:modified xsi:type="dcterms:W3CDTF">2026-01-17T01:03:02Z</dcterms:modified>
</cp:coreProperties>
</file>