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D0C0115-2B1B-4311-9312-496EF9B4E60D}" xr6:coauthVersionLast="45" xr6:coauthVersionMax="47" xr10:uidLastSave="{00000000-0000-0000-0000-000000000000}"/>
  <bookViews>
    <workbookView xWindow="-120" yWindow="-120" windowWidth="29040" windowHeight="15840" firstSheet="25" activeTab="33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D54" i="1672" l="1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 s="1"/>
  <c r="G51" i="1674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72" l="1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<sst xmlns="http://schemas.openxmlformats.org/spreadsheetml/2006/main" count="5548" uniqueCount="186">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</sst>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8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86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75</v>
      </c>
      <c r="D9" s="13">
        <f t="shared" si="1"/>
        <v>54975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4</v>
      </c>
      <c r="D13" s="48">
        <f t="shared" si="1"/>
        <v>1228</v>
      </c>
      <c r="F13" s="142" t="s">
        <v>36</v>
      </c>
      <c r="G13" s="143"/>
      <c r="H13" s="144">
        <f>D29</f>
        <v>443015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18</v>
      </c>
      <c r="D14" s="31">
        <f t="shared" si="1"/>
        <v>198</v>
      </c>
      <c r="F14" s="147" t="s">
        <v>39</v>
      </c>
      <c r="G14" s="148"/>
      <c r="H14" s="149">
        <f>D54</f>
        <v>77991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365024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1758+600+612</f>
        <v>2970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>
        <v>8</v>
      </c>
      <c r="D22" s="48">
        <f t="shared" si="1"/>
        <v>5360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443015</v>
      </c>
      <c r="F29" s="165" t="s">
        <v>55</v>
      </c>
      <c r="G29" s="166"/>
      <c r="H29" s="169">
        <f>H15-H16-H17-H18-H19-H20-H22-H23-H24+H26+H27</f>
        <v>362054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7">
        <f>F34*G34</f>
        <v>78000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7">
        <f>F35*G35</f>
        <v>43500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7">
        <v>47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81">
        <v>54216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81">
        <v>188602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6</v>
      </c>
      <c r="D46" s="12">
        <f>C46*1.5</f>
        <v>9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365435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24</v>
      </c>
      <c r="D50" s="12">
        <f>C50*1.5</f>
        <v>36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3381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728</v>
      </c>
      <c r="D6" s="13">
        <f t="shared" ref="D6:D28" si="1">C6*L6</f>
        <v>554008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60</v>
      </c>
      <c r="D8" s="13">
        <f t="shared" si="1"/>
        <v>65580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9</v>
      </c>
      <c r="D9" s="13">
        <f t="shared" si="1"/>
        <v>6597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5</v>
      </c>
      <c r="D10" s="13">
        <f t="shared" si="1"/>
        <v>5160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16</v>
      </c>
      <c r="D11" s="13">
        <f t="shared" si="1"/>
        <v>18720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f>23+3</f>
        <v>26</v>
      </c>
      <c r="D12" s="48">
        <f t="shared" si="1"/>
        <v>25792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21</v>
      </c>
      <c r="D13" s="48">
        <f t="shared" si="1"/>
        <v>6447</v>
      </c>
      <c r="F13" s="142" t="s">
        <v>36</v>
      </c>
      <c r="G13" s="143"/>
      <c r="H13" s="144">
        <f>D29</f>
        <v>685162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17</v>
      </c>
      <c r="D14" s="31">
        <f t="shared" si="1"/>
        <v>187</v>
      </c>
      <c r="F14" s="147" t="s">
        <v>39</v>
      </c>
      <c r="G14" s="148"/>
      <c r="H14" s="149">
        <f>D54</f>
        <v>145168.5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>
        <v>1</v>
      </c>
      <c r="D15" s="31">
        <f t="shared" si="1"/>
        <v>620</v>
      </c>
      <c r="F15" s="152" t="s">
        <v>40</v>
      </c>
      <c r="G15" s="143"/>
      <c r="H15" s="153">
        <f>H13-H14</f>
        <v>539993.5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2772</f>
        <v>2772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685162</v>
      </c>
      <c r="F29" s="165" t="s">
        <v>55</v>
      </c>
      <c r="G29" s="166"/>
      <c r="H29" s="169">
        <f>H15-H16-H17-H18-H19-H20-H22-H23-H24+H26+H27+H28</f>
        <v>537221.5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7">
        <f t="shared" ref="H34:H39" si="2">F34*G34</f>
        <v>229000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7">
        <f t="shared" si="2"/>
        <v>48500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7">
        <f t="shared" si="2"/>
        <v>200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81">
        <v>258954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536674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25</v>
      </c>
      <c r="D50" s="12">
        <f>C50*1.5</f>
        <v>37.5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-547.5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37</v>
      </c>
      <c r="D9" s="13">
        <f t="shared" si="1"/>
        <v>27121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419083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68183.25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f>1</f>
        <v>1</v>
      </c>
      <c r="D15" s="31">
        <f t="shared" si="1"/>
        <v>620</v>
      </c>
      <c r="F15" s="152" t="s">
        <v>40</v>
      </c>
      <c r="G15" s="143"/>
      <c r="H15" s="153">
        <f>H13-H14</f>
        <v>350899.75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216*6+140*6</f>
        <v>2136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9">
        <v>1440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419083</v>
      </c>
      <c r="F29" s="165" t="s">
        <v>55</v>
      </c>
      <c r="G29" s="166"/>
      <c r="H29" s="169">
        <f>H15-H16-H17-H18-H19-H20-H22-H23-H24+H26+H27</f>
        <v>347323.75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7">
        <f>F34*G34</f>
        <v>133000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7">
        <f>F35*G35</f>
        <v>29000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7">
        <v>24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81">
        <v>139104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81">
        <v>45689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19</v>
      </c>
      <c r="D46" s="12">
        <f>C46*1.5</f>
        <v>28.5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346817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7</v>
      </c>
      <c r="D50" s="12">
        <f>C50*1.5</f>
        <v>10.5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-506.75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463</v>
      </c>
      <c r="D6" s="13">
        <f t="shared" ref="D6:D28" si="1">C6*L6</f>
        <v>352343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7</v>
      </c>
      <c r="D7" s="13">
        <f t="shared" si="1"/>
        <v>5467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f>120-5</f>
        <v>115</v>
      </c>
      <c r="D9" s="13">
        <f t="shared" si="1"/>
        <v>84295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2</v>
      </c>
      <c r="D10" s="13">
        <f t="shared" si="1"/>
        <v>2064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24</v>
      </c>
      <c r="D13" s="48">
        <f t="shared" si="1"/>
        <v>7368</v>
      </c>
      <c r="F13" s="142" t="s">
        <v>36</v>
      </c>
      <c r="G13" s="143"/>
      <c r="H13" s="144">
        <f>D29</f>
        <v>463474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12</v>
      </c>
      <c r="D14" s="31">
        <f t="shared" si="1"/>
        <v>132</v>
      </c>
      <c r="F14" s="147" t="s">
        <v>39</v>
      </c>
      <c r="G14" s="148"/>
      <c r="H14" s="149">
        <f>D54</f>
        <v>115968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347506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2592</f>
        <v>2592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9">
        <v>92560</v>
      </c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81">
        <v>84449</v>
      </c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5</v>
      </c>
      <c r="D28" s="48">
        <f t="shared" si="1"/>
        <v>4055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463474</v>
      </c>
      <c r="F29" s="165" t="s">
        <v>55</v>
      </c>
      <c r="G29" s="166"/>
      <c r="H29" s="169">
        <f>H15-H16-H17-H18-H19-H20-H22-H23-H24+H26+H27+H28</f>
        <v>336803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7">
        <f t="shared" ref="H34:H39" si="2">F34*G34</f>
        <v>19000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7">
        <f t="shared" si="2"/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81">
        <v>188388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81">
        <v>84449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21</v>
      </c>
      <c r="D46" s="12">
        <f>C46*1.5</f>
        <v>31.5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292745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-44058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501</v>
      </c>
      <c r="D6" s="13">
        <f t="shared" ref="D6:D28" si="1">C6*L6</f>
        <v>381261</v>
      </c>
      <c r="F6" s="120" t="s">
        <v>16</v>
      </c>
      <c r="G6" s="122" t="s">
        <v>155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</v>
      </c>
      <c r="D9" s="13">
        <f t="shared" si="1"/>
        <v>5864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18</v>
      </c>
      <c r="D13" s="48">
        <f t="shared" si="1"/>
        <v>5526</v>
      </c>
      <c r="F13" s="142" t="s">
        <v>36</v>
      </c>
      <c r="G13" s="143"/>
      <c r="H13" s="144">
        <f>D29</f>
        <v>392761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10</v>
      </c>
      <c r="D14" s="31">
        <f t="shared" si="1"/>
        <v>110</v>
      </c>
      <c r="F14" s="147" t="s">
        <v>39</v>
      </c>
      <c r="G14" s="148"/>
      <c r="H14" s="149">
        <f>D54</f>
        <v>57342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335419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1296+1284</f>
        <v>2580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392761</v>
      </c>
      <c r="F29" s="165" t="s">
        <v>55</v>
      </c>
      <c r="G29" s="166"/>
      <c r="H29" s="169">
        <f>H15-H16-H17-H18-H19-H20-H22-H23-H24+H26+H27</f>
        <v>332839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7">
        <f>F34*G34</f>
        <v>186000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7">
        <f t="shared" ref="H35:H39" si="2">F35*G35</f>
        <v>6500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32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81">
        <v>139756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6</v>
      </c>
      <c r="D49" s="12">
        <f>C49*42</f>
        <v>252</v>
      </c>
      <c r="F49" s="222" t="s">
        <v>86</v>
      </c>
      <c r="G49" s="169">
        <f>H34+H35+H36+H37+H38+H39+H40+H41+G42+H44+H45+H46</f>
        <v>332638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30</v>
      </c>
      <c r="D50" s="12">
        <f>C50*1.5</f>
        <v>45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-201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735</v>
      </c>
      <c r="D6" s="13">
        <f t="shared" ref="D6:D28" si="1">C6*L6</f>
        <v>559335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4</v>
      </c>
      <c r="D7" s="13">
        <f t="shared" si="1"/>
        <v>3124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1</v>
      </c>
      <c r="D8" s="13">
        <f t="shared" si="1"/>
        <v>1093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114</v>
      </c>
      <c r="D9" s="13">
        <f t="shared" si="1"/>
        <v>83562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5+1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22</v>
      </c>
      <c r="D13" s="48">
        <f t="shared" si="1"/>
        <v>6754</v>
      </c>
      <c r="F13" s="142" t="s">
        <v>36</v>
      </c>
      <c r="G13" s="143"/>
      <c r="H13" s="144">
        <f>D29</f>
        <v>667630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12</v>
      </c>
      <c r="D14" s="31">
        <f t="shared" si="1"/>
        <v>132</v>
      </c>
      <c r="F14" s="147" t="s">
        <v>39</v>
      </c>
      <c r="G14" s="148"/>
      <c r="H14" s="149">
        <f>D54</f>
        <v>100451.25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567178.75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600+1050+456</f>
        <v>2106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2</v>
      </c>
      <c r="D28" s="48">
        <f t="shared" si="1"/>
        <v>1622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667630</v>
      </c>
      <c r="F29" s="165" t="s">
        <v>55</v>
      </c>
      <c r="G29" s="166"/>
      <c r="H29" s="169">
        <f>H15-H16-H17-H18-H19-H20-H22-H23-H24+H26+H27</f>
        <v>565022.75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7">
        <f>F34*G34</f>
        <v>242000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7">
        <f>F35*G35</f>
        <v>67500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7">
        <v>58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81">
        <v>112763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81">
        <v>142785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12</v>
      </c>
      <c r="D49" s="12">
        <f>C49*42</f>
        <v>504</v>
      </c>
      <c r="F49" s="222" t="s">
        <v>86</v>
      </c>
      <c r="G49" s="169">
        <f>H34+H35+H36+H37+H38+H39+H40+H41+G42+H44+H45+H46</f>
        <v>566156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1133.25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633</v>
      </c>
      <c r="D6" s="13">
        <f t="shared" ref="D6:D28" si="1">C6*L6</f>
        <v>481713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1</v>
      </c>
      <c r="D8" s="13">
        <f t="shared" si="1"/>
        <v>1093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27</v>
      </c>
      <c r="D9" s="13">
        <f t="shared" si="1"/>
        <v>19791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1</v>
      </c>
      <c r="D10" s="13">
        <f t="shared" si="1"/>
        <v>1032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1</v>
      </c>
      <c r="D12" s="48">
        <f t="shared" si="1"/>
        <v>992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9</v>
      </c>
      <c r="D13" s="48">
        <f t="shared" si="1"/>
        <v>2763</v>
      </c>
      <c r="F13" s="142" t="s">
        <v>36</v>
      </c>
      <c r="G13" s="143"/>
      <c r="H13" s="144">
        <f>D29</f>
        <v>509943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74673.75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435269.25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509943</v>
      </c>
      <c r="F29" s="165" t="s">
        <v>55</v>
      </c>
      <c r="G29" s="166"/>
      <c r="H29" s="169">
        <f>H15-H16-H17-H18-H19-H20-H22-H23-H24+H26+H27+H28</f>
        <v>435269.25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97">
        <f t="shared" ref="H34:H39" si="2">F34*G34</f>
        <v>225000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97">
        <f t="shared" si="2"/>
        <v>150000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si="2"/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97">
        <f t="shared" si="2"/>
        <v>3600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97">
        <f t="shared" si="2"/>
        <v>500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72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81">
        <v>56000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435392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122.75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581</v>
      </c>
      <c r="D6" s="13">
        <f t="shared" ref="D6:D28" si="1">C6*L6</f>
        <v>442141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3</v>
      </c>
      <c r="D7" s="13">
        <f t="shared" si="1"/>
        <v>2343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41</v>
      </c>
      <c r="D9" s="13">
        <f t="shared" si="1"/>
        <v>30053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17</v>
      </c>
      <c r="D13" s="48">
        <f t="shared" si="1"/>
        <v>5219</v>
      </c>
      <c r="F13" s="142" t="s">
        <v>36</v>
      </c>
      <c r="G13" s="143"/>
      <c r="H13" s="144">
        <f>D29</f>
        <v>486638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</v>
      </c>
      <c r="D14" s="31">
        <f t="shared" si="1"/>
        <v>11</v>
      </c>
      <c r="F14" s="147" t="s">
        <v>39</v>
      </c>
      <c r="G14" s="148"/>
      <c r="H14" s="149">
        <f>D54</f>
        <v>85668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1</v>
      </c>
      <c r="D15" s="31">
        <f t="shared" si="1"/>
        <v>620</v>
      </c>
      <c r="F15" s="152" t="s">
        <v>40</v>
      </c>
      <c r="G15" s="143"/>
      <c r="H15" s="153">
        <f>H13-H14</f>
        <v>400970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324*6+201*6</f>
        <v>3150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9">
        <v>131647</v>
      </c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>
        <v>1</v>
      </c>
      <c r="D24" s="48">
        <f t="shared" si="1"/>
        <v>1667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486638</v>
      </c>
      <c r="F29" s="165" t="s">
        <v>55</v>
      </c>
      <c r="G29" s="166"/>
      <c r="H29" s="169">
        <f>H15-H16-H17-H18-H19-H20-H22-H23-H24+H26+H27</f>
        <v>266173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97">
        <f>F34*G34</f>
        <v>39000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97">
        <f t="shared" ref="H35:H37" si="2">F35*G35</f>
        <v>22500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97">
        <f t="shared" si="2"/>
        <v>4000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97">
        <f t="shared" ref="H38:H39" si="3">F38*G38</f>
        <v>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97">
        <f t="shared" si="3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2</v>
      </c>
      <c r="D42" s="12">
        <f>C42*2.25</f>
        <v>4.5</v>
      </c>
      <c r="F42" s="39" t="s">
        <v>79</v>
      </c>
      <c r="G42" s="197">
        <v>18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81">
        <v>198198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24</v>
      </c>
      <c r="D46" s="12">
        <f>C46*1.5</f>
        <v>36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264236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21</v>
      </c>
      <c r="D50" s="12">
        <f>C50*1.5</f>
        <v>31.5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-1937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f>614-273</f>
        <v>341</v>
      </c>
      <c r="D6" s="13">
        <f t="shared" ref="D6:D28" si="1">C6*L6</f>
        <v>259501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</v>
      </c>
      <c r="D7" s="13">
        <f t="shared" si="1"/>
        <v>781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13</v>
      </c>
      <c r="D9" s="13">
        <f t="shared" si="1"/>
        <v>9529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3</v>
      </c>
      <c r="D12" s="48">
        <f t="shared" si="1"/>
        <v>2976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</v>
      </c>
      <c r="D13" s="48">
        <f t="shared" si="1"/>
        <v>614</v>
      </c>
      <c r="F13" s="142" t="s">
        <v>36</v>
      </c>
      <c r="G13" s="143"/>
      <c r="H13" s="144">
        <f>D29</f>
        <v>275314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8</v>
      </c>
      <c r="D14" s="31">
        <f t="shared" si="1"/>
        <v>88</v>
      </c>
      <c r="F14" s="147" t="s">
        <v>39</v>
      </c>
      <c r="G14" s="148"/>
      <c r="H14" s="149">
        <f>D54</f>
        <v>52389.75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222924.25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268*6+51*6</f>
        <v>1914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9">
        <v>173644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275314</v>
      </c>
      <c r="F29" s="165" t="s">
        <v>55</v>
      </c>
      <c r="G29" s="166"/>
      <c r="H29" s="169">
        <f>H15-H16-H17-H18-H19-H20-H22-H23-H24+H26+H27</f>
        <v>47366.25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97">
        <f>F34*G34</f>
        <v>26000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97">
        <f>F35*G35</f>
        <v>17500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97">
        <f t="shared" si="2"/>
        <v>3400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142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7</v>
      </c>
      <c r="D46" s="12">
        <f>C46*1.5</f>
        <v>10.5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47242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16</v>
      </c>
      <c r="D50" s="12">
        <f>C50*1.5</f>
        <v>24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-124.25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523</v>
      </c>
      <c r="D6" s="13">
        <f t="shared" ref="D6:D28" si="1">C6*L6</f>
        <v>398003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13</v>
      </c>
      <c r="D13" s="48">
        <f t="shared" si="1"/>
        <v>3991</v>
      </c>
      <c r="F13" s="142" t="s">
        <v>36</v>
      </c>
      <c r="G13" s="143"/>
      <c r="H13" s="144">
        <f>D29</f>
        <v>416738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3</v>
      </c>
      <c r="D14" s="31">
        <f t="shared" si="1"/>
        <v>33</v>
      </c>
      <c r="F14" s="147" t="s">
        <v>39</v>
      </c>
      <c r="G14" s="148"/>
      <c r="H14" s="149">
        <f>D54</f>
        <v>113626.5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303111.5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2586</f>
        <v>2586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416738</v>
      </c>
      <c r="F29" s="165" t="s">
        <v>55</v>
      </c>
      <c r="G29" s="166"/>
      <c r="H29" s="169">
        <f>H15-H16-H17-H18-H19-H20-H22-H23-H24+H26+H27+H28</f>
        <v>300525.5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97">
        <f t="shared" ref="H34:H39" si="2">F34*G34</f>
        <v>51000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97">
        <f t="shared" si="2"/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97">
        <f t="shared" si="2"/>
        <v>4100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97">
        <f t="shared" si="2"/>
        <v>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30</v>
      </c>
      <c r="D42" s="12">
        <f>C42*2.25</f>
        <v>67.5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81">
        <v>234325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34</v>
      </c>
      <c r="D46" s="12">
        <f>C46*1.5</f>
        <v>51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300175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10</v>
      </c>
      <c r="D50" s="12">
        <f>C50*1.5</f>
        <v>15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-350.5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450</v>
      </c>
      <c r="D6" s="13">
        <f t="shared" ref="D6:D28" si="1">C6*L6</f>
        <v>342450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20</v>
      </c>
      <c r="D9" s="13">
        <f t="shared" si="1"/>
        <v>14660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15</v>
      </c>
      <c r="D13" s="48">
        <f t="shared" si="1"/>
        <v>4605</v>
      </c>
      <c r="F13" s="142" t="s">
        <v>36</v>
      </c>
      <c r="G13" s="143"/>
      <c r="H13" s="144">
        <f>D29</f>
        <v>364269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11</v>
      </c>
      <c r="D14" s="31">
        <f t="shared" si="1"/>
        <v>121</v>
      </c>
      <c r="F14" s="147" t="s">
        <v>39</v>
      </c>
      <c r="G14" s="148"/>
      <c r="H14" s="149">
        <f>D54</f>
        <v>53587.5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310681.5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2064</f>
        <v>2064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5">
        <v>131647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3</v>
      </c>
      <c r="D28" s="48">
        <f t="shared" si="1"/>
        <v>2433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364269</v>
      </c>
      <c r="F29" s="165" t="s">
        <v>55</v>
      </c>
      <c r="G29" s="166"/>
      <c r="H29" s="169">
        <f>H15-H16-H17-H18-H19-H20-H22-H23-H24+H26+H27</f>
        <v>440264.5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97">
        <f>F34*G34</f>
        <v>243000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97">
        <f t="shared" ref="H35:H39" si="2">F35*G35</f>
        <v>50500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97">
        <f t="shared" si="2"/>
        <v>12800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97">
        <f t="shared" si="2"/>
        <v>2300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71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81">
        <v>131647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9</v>
      </c>
      <c r="D49" s="12">
        <f>C49*42</f>
        <v>378</v>
      </c>
      <c r="F49" s="222" t="s">
        <v>86</v>
      </c>
      <c r="G49" s="169">
        <f>H34+H35+H36+H37+H38+H39+H40+H41+G42+H44+H45+H46</f>
        <v>440318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53.5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 t="s">
        <v>179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178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5">
        <v>7281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5">
        <v>1000</v>
      </c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5">
        <v>3130</v>
      </c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11411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101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153</v>
      </c>
      <c r="G44" s="62"/>
      <c r="H44" s="181">
        <v>11411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100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11411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177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380</v>
      </c>
      <c r="D6" s="13">
        <f t="shared" ref="D6:D28" si="1">C6*L6</f>
        <v>289180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19</v>
      </c>
      <c r="D7" s="13">
        <f t="shared" si="1"/>
        <v>14839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84</v>
      </c>
      <c r="D9" s="13">
        <f t="shared" si="1"/>
        <v>61572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3+1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14</v>
      </c>
      <c r="D13" s="48">
        <f t="shared" si="1"/>
        <v>4298</v>
      </c>
      <c r="F13" s="142" t="s">
        <v>36</v>
      </c>
      <c r="G13" s="143"/>
      <c r="H13" s="144">
        <f>D29</f>
        <v>383641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52228.5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331412.5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1248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5">
        <v>173644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383641</v>
      </c>
      <c r="F29" s="165" t="s">
        <v>55</v>
      </c>
      <c r="G29" s="166"/>
      <c r="H29" s="169">
        <f>H15-H16-H17-H18-H19-H20-H22-H23-H24+H26+H27</f>
        <v>503758.5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7">
        <f>F35*G35</f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ref="H36:H39" si="2"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97">
        <f t="shared" si="2"/>
        <v>15100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97">
        <f t="shared" si="2"/>
        <v>16750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175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81">
        <v>139318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81">
        <v>173644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9</v>
      </c>
      <c r="D46" s="12">
        <f>C46*1.5</f>
        <v>13.5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5</v>
      </c>
      <c r="D49" s="12">
        <f>C49*42</f>
        <v>210</v>
      </c>
      <c r="F49" s="222" t="s">
        <v>86</v>
      </c>
      <c r="G49" s="169">
        <f>H34+H35+H36+H37+H38+H39+H40+H41+G42+H44+H45+H46</f>
        <v>503587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18</v>
      </c>
      <c r="D50" s="12">
        <f>C50*1.5</f>
        <v>27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-171.5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707</v>
      </c>
      <c r="D6" s="13">
        <f t="shared" ref="D6:D28" si="1">C6*L6</f>
        <v>538027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26</v>
      </c>
      <c r="D13" s="48">
        <f t="shared" si="1"/>
        <v>7982</v>
      </c>
      <c r="F13" s="142" t="s">
        <v>36</v>
      </c>
      <c r="G13" s="143"/>
      <c r="H13" s="144">
        <f>D29</f>
        <v>555289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79440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475849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3882</f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555289</v>
      </c>
      <c r="F29" s="165" t="s">
        <v>55</v>
      </c>
      <c r="G29" s="166"/>
      <c r="H29" s="169">
        <f>H15-H16-H17-H18-H19-H20-H22-H23-H24+H26+H27+H28</f>
        <v>471967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97">
        <f t="shared" ref="H34:H39" si="2">F34*G34</f>
        <v>262000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97">
        <f t="shared" si="2"/>
        <v>201000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si="2"/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97">
        <f t="shared" si="2"/>
        <v>6800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16</v>
      </c>
      <c r="D49" s="12">
        <f>C49*42</f>
        <v>672</v>
      </c>
      <c r="F49" s="222" t="s">
        <v>86</v>
      </c>
      <c r="G49" s="169">
        <f>H34+H35+H36+H37+H38+H39+H40+H41+G42+H44+H45+H46</f>
        <v>470508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-1459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314</v>
      </c>
      <c r="D6" s="13">
        <f t="shared" ref="D6:D28" si="1">C6*L6</f>
        <v>238954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5</v>
      </c>
      <c r="D7" s="13">
        <f t="shared" si="1"/>
        <v>3905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19</v>
      </c>
      <c r="D9" s="13">
        <f t="shared" si="1"/>
        <v>13927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2+1+1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7</v>
      </c>
      <c r="D13" s="48">
        <f t="shared" si="1"/>
        <v>2149</v>
      </c>
      <c r="F13" s="142" t="s">
        <v>36</v>
      </c>
      <c r="G13" s="143"/>
      <c r="H13" s="144">
        <f>D29</f>
        <v>263957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</v>
      </c>
      <c r="D14" s="31">
        <f t="shared" si="1"/>
        <v>22</v>
      </c>
      <c r="F14" s="147" t="s">
        <v>39</v>
      </c>
      <c r="G14" s="148"/>
      <c r="H14" s="149">
        <f>D54</f>
        <v>52866.75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211090.25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263957</v>
      </c>
      <c r="F29" s="165" t="s">
        <v>55</v>
      </c>
      <c r="G29" s="166"/>
      <c r="H29" s="169">
        <f>H15-H16-H17-H18-H19-H20-H22-H23-H24+H26+H27</f>
        <v>211090.25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97">
        <f>F34*G34</f>
        <v>199000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7">
        <f t="shared" ref="H35:H39" si="2">F35*G35</f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97">
        <f t="shared" si="2"/>
        <v>5600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</v>
      </c>
      <c r="D42" s="12">
        <f>C42*2.25</f>
        <v>2.25</v>
      </c>
      <c r="F42" s="39" t="s">
        <v>79</v>
      </c>
      <c r="G42" s="197">
        <v>10004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22</v>
      </c>
      <c r="D46" s="12">
        <f>C46*1.5</f>
        <v>33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</v>
      </c>
      <c r="D49" s="12">
        <f>C49*42</f>
        <v>126</v>
      </c>
      <c r="F49" s="222" t="s">
        <v>86</v>
      </c>
      <c r="G49" s="169">
        <f>H34+H35+H36+H37+H38+H39+H40+H41+G42+H44+H45+H46</f>
        <v>215154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36</v>
      </c>
      <c r="D50" s="12">
        <f>C50*1.5</f>
        <v>54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4063.75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529</v>
      </c>
      <c r="D6" s="13">
        <f t="shared" ref="D6:D28" si="1">C6*L6</f>
        <v>402569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8+1+1</f>
        <v>10</v>
      </c>
      <c r="D12" s="48">
        <f t="shared" si="1"/>
        <v>9920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5</v>
      </c>
      <c r="D13" s="48">
        <f t="shared" si="1"/>
        <v>1535</v>
      </c>
      <c r="F13" s="142" t="s">
        <v>36</v>
      </c>
      <c r="G13" s="143"/>
      <c r="H13" s="144">
        <f>D29</f>
        <v>434667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66066.75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368600.25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2772+330</f>
        <v>3102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434667</v>
      </c>
      <c r="F29" s="165" t="s">
        <v>55</v>
      </c>
      <c r="G29" s="166"/>
      <c r="H29" s="169">
        <f>H15-H16-H17-H18-H19-H20-H22-H23-H24+H26+H27</f>
        <v>365498.25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7">
        <f>F34*G34</f>
        <v>41000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97">
        <f>F35*G35</f>
        <v>15000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97">
        <f t="shared" si="2"/>
        <v>7300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</v>
      </c>
      <c r="D42" s="12">
        <f>C42*2.25</f>
        <v>6.75</v>
      </c>
      <c r="F42" s="39" t="s">
        <v>79</v>
      </c>
      <c r="G42" s="197">
        <v>165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81">
        <v>301634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365419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</v>
      </c>
      <c r="D50" s="12">
        <f>C50*1.5</f>
        <v>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-79.25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647</v>
      </c>
      <c r="D6" s="13">
        <f t="shared" ref="D6:D28" si="1">C6*L6</f>
        <v>492367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20</v>
      </c>
      <c r="D13" s="48">
        <f t="shared" si="1"/>
        <v>6140</v>
      </c>
      <c r="F13" s="142" t="s">
        <v>36</v>
      </c>
      <c r="G13" s="143"/>
      <c r="H13" s="144">
        <f>D29</f>
        <v>498507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99282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399225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498507</v>
      </c>
      <c r="F29" s="165" t="s">
        <v>55</v>
      </c>
      <c r="G29" s="166"/>
      <c r="H29" s="169">
        <f>H15-H16-H17-H18-H19-H20-H22-H23-H24+H26+H27+H28</f>
        <v>395343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97">
        <f t="shared" ref="H34:H39" si="2">F34*G34</f>
        <v>395000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13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34</v>
      </c>
      <c r="D49" s="12">
        <f>C49*42</f>
        <v>1428</v>
      </c>
      <c r="F49" s="222" t="s">
        <v>86</v>
      </c>
      <c r="G49" s="169">
        <f>H34+H35+H36+H37+H38+H39+H40+H41+G42+H44+H45+H46</f>
        <v>395313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317</v>
      </c>
      <c r="D6" s="13">
        <f t="shared" ref="D6:D28" si="1">C6*L6</f>
        <v>241237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9</v>
      </c>
      <c r="D7" s="13">
        <f t="shared" si="1"/>
        <v>7029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23</v>
      </c>
      <c r="D9" s="13">
        <f t="shared" si="1"/>
        <v>16859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1</v>
      </c>
      <c r="D11" s="13">
        <f t="shared" si="1"/>
        <v>1170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1+1</f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273073.33333333331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22</v>
      </c>
      <c r="D14" s="31">
        <f t="shared" si="1"/>
        <v>242</v>
      </c>
      <c r="F14" s="147" t="s">
        <v>39</v>
      </c>
      <c r="G14" s="148"/>
      <c r="H14" s="149">
        <f>D54</f>
        <v>45388.5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227684.83333333331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1074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273073.33333333331</v>
      </c>
      <c r="F29" s="165" t="s">
        <v>55</v>
      </c>
      <c r="G29" s="166"/>
      <c r="H29" s="169">
        <f>H15-H16-H17-H18-H19-H20-H22-H23-H24+H26+H27</f>
        <v>226610.83333333331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97">
        <f t="shared" ref="H35:H39" si="2">F35*G35</f>
        <v>73500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97">
        <f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97">
        <f t="shared" si="2"/>
        <v>2900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225050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20</v>
      </c>
      <c r="D50" s="12">
        <f>C50*1.5</f>
        <v>30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-1560.8333333333139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344</v>
      </c>
      <c r="D6" s="13">
        <f t="shared" ref="D6:D28" si="1">C6*L6</f>
        <v>261784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78</v>
      </c>
      <c r="D9" s="13">
        <f t="shared" si="1"/>
        <v>57174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4+1+1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341782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14</v>
      </c>
      <c r="D14" s="31">
        <f t="shared" si="1"/>
        <v>154</v>
      </c>
      <c r="F14" s="147" t="s">
        <v>39</v>
      </c>
      <c r="G14" s="148"/>
      <c r="H14" s="149">
        <f>D54</f>
        <v>52036.5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289745.5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684+672</f>
        <v>1356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4</v>
      </c>
      <c r="D28" s="48">
        <f t="shared" si="1"/>
        <v>3244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341782</v>
      </c>
      <c r="F29" s="165" t="s">
        <v>55</v>
      </c>
      <c r="G29" s="166"/>
      <c r="H29" s="169">
        <f>H15-H16-H17-H18-H19-H20-H22-H23-H24+H26+H27</f>
        <v>288389.5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97">
        <f>F34*G34</f>
        <v>83000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97">
        <f>F35*G35</f>
        <v>25000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97">
        <f t="shared" ref="H36:H39" si="2">F36*G36</f>
        <v>1200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97">
        <f t="shared" si="2"/>
        <v>17100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97">
        <f t="shared" si="2"/>
        <v>2450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97">
        <f t="shared" si="2"/>
        <v>60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16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81">
        <v>84877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81">
        <v>74828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12</v>
      </c>
      <c r="D46" s="12">
        <f>C46*1.5</f>
        <v>18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288531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8</v>
      </c>
      <c r="D50" s="12">
        <f>C50*1.5</f>
        <v>12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141.5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L26" sqref="L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2026-01-10T03:42:31Z</cp:lastPrinted>
  <dcterms:created xsi:type="dcterms:W3CDTF">2024-09-01T23:36:50Z</dcterms:created>
  <dcterms:modified xsi:type="dcterms:W3CDTF">2026-01-10T03:52:13Z</dcterms:modified>
</cp:coreProperties>
</file>