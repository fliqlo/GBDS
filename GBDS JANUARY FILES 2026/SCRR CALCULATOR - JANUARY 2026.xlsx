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6373C25-B7AA-488B-88CF-15F8A626269C}" xr6:coauthVersionLast="45" xr6:coauthVersionMax="47" xr10:uidLastSave="{00000000-0000-0000-0000-000000000000}"/>
  <bookViews>
    <workbookView xWindow="-120" yWindow="-120" windowWidth="29040" windowHeight="15840" firstSheet="38" activeTab="49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G49" i="1705" s="1"/>
  <c r="D34" i="1705"/>
  <c r="D54" i="1705" s="1"/>
  <c r="H14" i="1705" s="1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L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G49" i="1704" s="1"/>
  <c r="D34" i="1704"/>
  <c r="D54" i="1704" s="1"/>
  <c r="H14" i="1704" s="1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G49" i="1703" s="1"/>
  <c r="D34" i="1703"/>
  <c r="D54" i="1703" s="1"/>
  <c r="H14" i="1703" s="1"/>
  <c r="R33" i="1703"/>
  <c r="R32" i="1703"/>
  <c r="R31" i="1703"/>
  <c r="R30" i="1703"/>
  <c r="R29" i="1703"/>
  <c r="R28" i="1703"/>
  <c r="R27" i="1703"/>
  <c r="D27" i="1703"/>
  <c r="R26" i="1703"/>
  <c r="L26" i="1703"/>
  <c r="D26" i="1703"/>
  <c r="R25" i="1703"/>
  <c r="L25" i="1703"/>
  <c r="D25" i="1703" s="1"/>
  <c r="R24" i="1703"/>
  <c r="L24" i="1703"/>
  <c r="D24" i="1703" s="1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G49" i="1701" s="1"/>
  <c r="D34" i="1701"/>
  <c r="D54" i="1701" s="1"/>
  <c r="H14" i="1701" s="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29" i="1700" s="1"/>
  <c r="H13" i="1700" s="1"/>
  <c r="H15" i="1700" s="1"/>
  <c r="H29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D54" i="1700" s="1"/>
  <c r="H14" i="1700" s="1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G49" i="1699" s="1"/>
  <c r="D34" i="1699"/>
  <c r="D54" i="1699" s="1"/>
  <c r="H14" i="1699" s="1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29" i="1697" s="1"/>
  <c r="H13" i="1697" s="1"/>
  <c r="H15" i="1697" s="1"/>
  <c r="H29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G49" i="1697" s="1"/>
  <c r="D34" i="1697"/>
  <c r="D54" i="1697" s="1"/>
  <c r="H14" i="1697" s="1"/>
  <c r="R33" i="1697"/>
  <c r="R32" i="1697"/>
  <c r="R31" i="1697"/>
  <c r="R30" i="1697"/>
  <c r="R29" i="1697"/>
  <c r="R28" i="1697"/>
  <c r="L28" i="1697"/>
  <c r="D28" i="1697"/>
  <c r="R27" i="1697"/>
  <c r="D27" i="1697"/>
  <c r="R26" i="1697"/>
  <c r="L26" i="1697"/>
  <c r="D26" i="1697" s="1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D54" i="1696" s="1"/>
  <c r="H14" i="1696" s="1"/>
  <c r="R35" i="1696"/>
  <c r="L19" i="1696" s="1"/>
  <c r="D19" i="1696" s="1"/>
  <c r="H35" i="1696"/>
  <c r="D35" i="1696"/>
  <c r="R34" i="1696"/>
  <c r="L12" i="1696" s="1"/>
  <c r="D12" i="1696" s="1"/>
  <c r="H34" i="1696"/>
  <c r="G49" i="1696" s="1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G49" i="1695" s="1"/>
  <c r="D36" i="1695"/>
  <c r="D54" i="1695" s="1"/>
  <c r="H14" i="1695" s="1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D54" i="1693" s="1"/>
  <c r="H14" i="1693" s="1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G49" i="1693" s="1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G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D54" i="1692" s="1"/>
  <c r="H14" i="1692" s="1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D29" i="1692" s="1"/>
  <c r="H13" i="1692" s="1"/>
  <c r="H15" i="1692" s="1"/>
  <c r="H29" i="1692" s="1"/>
  <c r="R5" i="1692"/>
  <c r="R4" i="1692"/>
  <c r="D54" i="1691"/>
  <c r="H14" i="1691" s="1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G49" i="1691" s="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689" l="1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H15" i="1704" s="1"/>
  <c r="H29" i="1704" s="1"/>
  <c r="G51" i="1704" s="1"/>
  <c r="D29" i="1703"/>
  <c r="H13" i="1703" s="1"/>
  <c r="H15" i="1703" s="1"/>
  <c r="H29" i="1703" s="1"/>
  <c r="G51" i="1703" s="1"/>
  <c r="D29" i="1702"/>
  <c r="H13" i="1702" s="1"/>
  <c r="H15" i="1702" s="1"/>
  <c r="H29" i="1702" s="1"/>
  <c r="G51" i="1702"/>
  <c r="D29" i="1701"/>
  <c r="H13" i="1701" s="1"/>
  <c r="H15" i="1701" s="1"/>
  <c r="H29" i="1701" s="1"/>
  <c r="G51" i="1701" s="1"/>
  <c r="G51" i="1700"/>
  <c r="D29" i="1699"/>
  <c r="H13" i="1699" s="1"/>
  <c r="H15" i="1699" s="1"/>
  <c r="H29" i="1699" s="1"/>
  <c r="G51" i="1699" s="1"/>
  <c r="D29" i="1698"/>
  <c r="H13" i="1698" s="1"/>
  <c r="H15" i="1698" s="1"/>
  <c r="H29" i="1698" s="1"/>
  <c r="G51" i="1698"/>
  <c r="G51" i="1697"/>
  <c r="D29" i="1696"/>
  <c r="H13" i="1696" s="1"/>
  <c r="H15" i="1696" s="1"/>
  <c r="H29" i="1696" s="1"/>
  <c r="G51" i="1696"/>
  <c r="D29" i="1695"/>
  <c r="H13" i="1695" s="1"/>
  <c r="H15" i="1695" s="1"/>
  <c r="H29" i="1695" s="1"/>
  <c r="G51" i="1695"/>
  <c r="G51" i="1694"/>
  <c r="D29" i="1693"/>
  <c r="H13" i="1693" s="1"/>
  <c r="H15" i="1693" s="1"/>
  <c r="H29" i="1693" s="1"/>
  <c r="G51" i="1693" s="1"/>
  <c r="G51" i="1692"/>
  <c r="G51" i="1691"/>
  <c r="D29" i="1691"/>
  <c r="H13" i="1691" s="1"/>
  <c r="H15" i="1691" s="1"/>
  <c r="H29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689" l="1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<sst xmlns="http://schemas.openxmlformats.org/spreadsheetml/2006/main" count="8795" uniqueCount="200">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</sst>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AE52B6-9019-4EF5-92A8-69C20C5D4A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88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85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45658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/>
      <c r="D6" s="13">
        <f t="shared" ref="D6:D28" si="1">C6*L6</f>
        <v>0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85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88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H15-H16-H17-H18-H19-H20-H22-H23-H24+H26+H27+H28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85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45658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88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ref="H35:H39" si="2"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85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86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45658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88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85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46024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/>
      <c r="D6" s="13">
        <f t="shared" ref="D6:D28" si="1">C6*L6</f>
        <v>0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H15-H16-H17-H18-H19-H20-H22-H23-H24+H26+H27+H28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46024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ref="H35:H39" si="2"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91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46024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480</v>
      </c>
      <c r="D6" s="13">
        <f t="shared" ref="D6:D28" si="1">C6*L6</f>
        <v>365280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12</v>
      </c>
      <c r="D7" s="13">
        <f t="shared" si="1"/>
        <v>9372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75</v>
      </c>
      <c r="D9" s="13">
        <f t="shared" si="1"/>
        <v>54975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6</v>
      </c>
      <c r="D12" s="48">
        <f t="shared" si="1"/>
        <v>5952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4</v>
      </c>
      <c r="D13" s="48">
        <f t="shared" si="1"/>
        <v>1228</v>
      </c>
      <c r="F13" s="243" t="s">
        <v>36</v>
      </c>
      <c r="G13" s="207"/>
      <c r="H13" s="198">
        <f>D29</f>
        <v>443015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18</v>
      </c>
      <c r="D14" s="31">
        <f t="shared" si="1"/>
        <v>198</v>
      </c>
      <c r="F14" s="201" t="s">
        <v>39</v>
      </c>
      <c r="G14" s="202"/>
      <c r="H14" s="203">
        <f>D54</f>
        <v>77991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365024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1758+600+612</f>
        <v>2970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>
        <v>8</v>
      </c>
      <c r="D22" s="48">
        <f t="shared" si="1"/>
        <v>5360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443015</v>
      </c>
      <c r="F29" s="115" t="s">
        <v>55</v>
      </c>
      <c r="G29" s="177"/>
      <c r="H29" s="137">
        <f>H15-H16-H17-H18-H19-H20-H22-H23-H24+H26+H27</f>
        <v>362054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59">
        <f>F34*G34</f>
        <v>78000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59">
        <f>F35*G35</f>
        <v>43500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59">
        <f t="shared" si="2"/>
        <v>1000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9">
        <f t="shared" si="2"/>
        <v>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14</v>
      </c>
      <c r="D42" s="12">
        <f>C42*2.25</f>
        <v>31.5</v>
      </c>
      <c r="F42" s="39" t="s">
        <v>79</v>
      </c>
      <c r="G42" s="159">
        <v>47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54">
        <v>54216</v>
      </c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54">
        <v>188602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6</v>
      </c>
      <c r="D46" s="12">
        <f>C46*1.5</f>
        <v>9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2</v>
      </c>
      <c r="D49" s="12">
        <f>C49*42</f>
        <v>84</v>
      </c>
      <c r="F49" s="135" t="s">
        <v>86</v>
      </c>
      <c r="G49" s="137">
        <f>H34+H35+H36+H37+H38+H39+H40+H41+G42+H44+H45+H46</f>
        <v>365435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24</v>
      </c>
      <c r="D50" s="12">
        <f>C50*1.5</f>
        <v>36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149</v>
      </c>
      <c r="G51" s="145">
        <f>G49-H29</f>
        <v>3381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56">
        <v>46025</v>
      </c>
      <c r="J4" s="25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58"/>
      <c r="J5" s="25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728</v>
      </c>
      <c r="D6" s="13">
        <f t="shared" ref="D6:D28" si="1">C6*L6</f>
        <v>554008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>
        <v>60</v>
      </c>
      <c r="D8" s="13">
        <f t="shared" si="1"/>
        <v>65580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>
        <v>9</v>
      </c>
      <c r="D9" s="13">
        <f t="shared" si="1"/>
        <v>6597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>
        <v>5</v>
      </c>
      <c r="D10" s="13">
        <f t="shared" si="1"/>
        <v>5160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>
        <v>16</v>
      </c>
      <c r="D11" s="13">
        <f t="shared" si="1"/>
        <v>18720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>
        <f>23+3</f>
        <v>26</v>
      </c>
      <c r="D12" s="48">
        <f t="shared" si="1"/>
        <v>25792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21</v>
      </c>
      <c r="D13" s="48">
        <f t="shared" si="1"/>
        <v>6447</v>
      </c>
      <c r="F13" s="243" t="s">
        <v>36</v>
      </c>
      <c r="G13" s="207"/>
      <c r="H13" s="198">
        <f>D29</f>
        <v>685162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>
        <v>17</v>
      </c>
      <c r="D14" s="31">
        <f t="shared" si="1"/>
        <v>187</v>
      </c>
      <c r="F14" s="201" t="s">
        <v>39</v>
      </c>
      <c r="G14" s="202"/>
      <c r="H14" s="203">
        <f>D54</f>
        <v>145168.5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>
        <v>1</v>
      </c>
      <c r="D15" s="31">
        <f t="shared" si="1"/>
        <v>620</v>
      </c>
      <c r="F15" s="206" t="s">
        <v>40</v>
      </c>
      <c r="G15" s="207"/>
      <c r="H15" s="208">
        <f>H13-H14</f>
        <v>539993.5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2772</f>
        <v>2772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>
        <v>1</v>
      </c>
      <c r="D28" s="48">
        <f t="shared" si="1"/>
        <v>811</v>
      </c>
      <c r="F28" s="93"/>
      <c r="G28" s="61"/>
      <c r="H28" s="195"/>
      <c r="I28" s="196"/>
      <c r="J28" s="197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685162</v>
      </c>
      <c r="F29" s="115" t="s">
        <v>55</v>
      </c>
      <c r="G29" s="177"/>
      <c r="H29" s="137">
        <f>H15-H16-H17-H18-H19-H20-H22-H23-H24+H26+H27+H28</f>
        <v>537221.5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59">
        <f t="shared" ref="H34:H39" si="2">F34*G34</f>
        <v>229000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59">
        <f t="shared" si="2"/>
        <v>48500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59">
        <f t="shared" si="2"/>
        <v>200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54">
        <v>258954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</v>
      </c>
      <c r="D49" s="12">
        <f>C49*42</f>
        <v>42</v>
      </c>
      <c r="F49" s="135" t="s">
        <v>86</v>
      </c>
      <c r="G49" s="137">
        <f>H34+H35+H36+H37+H38+H39+H40+H41+G42+H44+H45+H46</f>
        <v>536674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25</v>
      </c>
      <c r="D50" s="12">
        <f>C50*1.5</f>
        <v>37.5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-547.5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56">
        <v>46025</v>
      </c>
      <c r="J4" s="25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58"/>
      <c r="J5" s="25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ref="H35:H39" si="2"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91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56">
        <v>46025</v>
      </c>
      <c r="J4" s="25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58"/>
      <c r="J5" s="25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480</v>
      </c>
      <c r="D6" s="13">
        <f t="shared" ref="D6:D28" si="1">C6*L6</f>
        <v>365280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15</v>
      </c>
      <c r="D7" s="13">
        <f t="shared" si="1"/>
        <v>11715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2</v>
      </c>
      <c r="D8" s="13">
        <f t="shared" si="1"/>
        <v>2186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37</v>
      </c>
      <c r="D9" s="13">
        <f t="shared" si="1"/>
        <v>27121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3</v>
      </c>
      <c r="D10" s="13">
        <f t="shared" si="1"/>
        <v>3096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2</v>
      </c>
      <c r="D11" s="13">
        <f t="shared" si="1"/>
        <v>2340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243" t="s">
        <v>36</v>
      </c>
      <c r="G13" s="207"/>
      <c r="H13" s="198">
        <f>D29</f>
        <v>419083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68183.25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>
        <f>1</f>
        <v>1</v>
      </c>
      <c r="D15" s="31">
        <f t="shared" si="1"/>
        <v>620</v>
      </c>
      <c r="F15" s="206" t="s">
        <v>40</v>
      </c>
      <c r="G15" s="207"/>
      <c r="H15" s="208">
        <f>H13-H14</f>
        <v>350899.75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216*6+140*6</f>
        <v>2136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84">
        <v>1440</v>
      </c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95" t="s">
        <v>150</v>
      </c>
      <c r="C23" s="10">
        <v>1</v>
      </c>
      <c r="D23" s="48">
        <f t="shared" si="1"/>
        <v>1175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419083</v>
      </c>
      <c r="F29" s="115" t="s">
        <v>55</v>
      </c>
      <c r="G29" s="177"/>
      <c r="H29" s="137">
        <f>H15-H16-H17-H18-H19-H20-H22-H23-H24+H26+H27</f>
        <v>347323.75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59">
        <f>F34*G34</f>
        <v>133000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59">
        <f>F35*G35</f>
        <v>29000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9">
        <v>24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54">
        <v>139104</v>
      </c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54">
        <v>45689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19</v>
      </c>
      <c r="D46" s="12">
        <f>C46*1.5</f>
        <v>28.5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</v>
      </c>
      <c r="D49" s="12">
        <f>C49*42</f>
        <v>42</v>
      </c>
      <c r="F49" s="135" t="s">
        <v>86</v>
      </c>
      <c r="G49" s="137">
        <f>H34+H35+H36+H37+H38+H39+H40+H41+G42+H44+H45+H46</f>
        <v>346817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7</v>
      </c>
      <c r="D50" s="12">
        <f>C50*1.5</f>
        <v>10.5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-506.75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46027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463</v>
      </c>
      <c r="D6" s="13">
        <f t="shared" ref="D6:D28" si="1">C6*L6</f>
        <v>352343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>
        <v>7</v>
      </c>
      <c r="D7" s="13">
        <f t="shared" si="1"/>
        <v>5467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>
        <v>2</v>
      </c>
      <c r="D8" s="13">
        <f t="shared" si="1"/>
        <v>2186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>
        <f>120-5</f>
        <v>115</v>
      </c>
      <c r="D9" s="13">
        <f t="shared" si="1"/>
        <v>84295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>
        <v>2</v>
      </c>
      <c r="D10" s="13">
        <f t="shared" si="1"/>
        <v>2064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>
        <v>2</v>
      </c>
      <c r="D11" s="13">
        <f t="shared" si="1"/>
        <v>2340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>
        <v>2</v>
      </c>
      <c r="D12" s="48">
        <f t="shared" si="1"/>
        <v>1984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24</v>
      </c>
      <c r="D13" s="48">
        <f t="shared" si="1"/>
        <v>7368</v>
      </c>
      <c r="F13" s="243" t="s">
        <v>36</v>
      </c>
      <c r="G13" s="207"/>
      <c r="H13" s="198">
        <f>D29</f>
        <v>463474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>
        <v>12</v>
      </c>
      <c r="D14" s="31">
        <f t="shared" si="1"/>
        <v>132</v>
      </c>
      <c r="F14" s="201" t="s">
        <v>39</v>
      </c>
      <c r="G14" s="202"/>
      <c r="H14" s="203">
        <f>D54</f>
        <v>115968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347506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2592</f>
        <v>2592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84">
        <v>92560</v>
      </c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54">
        <v>84449</v>
      </c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>
        <v>5</v>
      </c>
      <c r="D28" s="48">
        <f t="shared" si="1"/>
        <v>4055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463474</v>
      </c>
      <c r="F29" s="115" t="s">
        <v>55</v>
      </c>
      <c r="G29" s="177"/>
      <c r="H29" s="137">
        <f>H15-H16-H17-H18-H19-H20-H22-H23-H24+H26+H27+H28</f>
        <v>336803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59">
        <f t="shared" ref="H34:H39" si="2">F34*G34</f>
        <v>19000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59">
        <f t="shared" si="2"/>
        <v>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59">
        <f t="shared" si="2"/>
        <v>300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59">
        <f t="shared" si="2"/>
        <v>100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>
        <v>8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54">
        <v>188388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54">
        <v>84449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21</v>
      </c>
      <c r="D46" s="12">
        <f>C46*1.5</f>
        <v>31.5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</v>
      </c>
      <c r="D49" s="12">
        <f>C49*42</f>
        <v>42</v>
      </c>
      <c r="F49" s="135" t="s">
        <v>86</v>
      </c>
      <c r="G49" s="137">
        <f>H34+H35+H36+H37+H38+H39+H40+H41+G42+H44+H45+H46</f>
        <v>292745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22</v>
      </c>
      <c r="D50" s="12">
        <f>C50*1.5</f>
        <v>33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-44058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46027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501</v>
      </c>
      <c r="D6" s="13">
        <f t="shared" ref="D6:D28" si="1">C6*L6</f>
        <v>381261</v>
      </c>
      <c r="F6" s="222" t="s">
        <v>16</v>
      </c>
      <c r="G6" s="224" t="s">
        <v>155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8</v>
      </c>
      <c r="D9" s="13">
        <f t="shared" si="1"/>
        <v>5864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18</v>
      </c>
      <c r="D13" s="48">
        <f t="shared" si="1"/>
        <v>5526</v>
      </c>
      <c r="F13" s="243" t="s">
        <v>36</v>
      </c>
      <c r="G13" s="207"/>
      <c r="H13" s="198">
        <f>D29</f>
        <v>392761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10</v>
      </c>
      <c r="D14" s="31">
        <f t="shared" si="1"/>
        <v>110</v>
      </c>
      <c r="F14" s="201" t="s">
        <v>39</v>
      </c>
      <c r="G14" s="202"/>
      <c r="H14" s="203">
        <f>D54</f>
        <v>57342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335419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1296+1284</f>
        <v>2580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392761</v>
      </c>
      <c r="F29" s="115" t="s">
        <v>55</v>
      </c>
      <c r="G29" s="177"/>
      <c r="H29" s="137">
        <f>H15-H16-H17-H18-H19-H20-H22-H23-H24+H26+H27</f>
        <v>332839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59">
        <f>F34*G34</f>
        <v>186000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59">
        <f t="shared" ref="H35:H39" si="2">F35*G35</f>
        <v>6500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59">
        <f t="shared" si="2"/>
        <v>300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9">
        <f t="shared" si="2"/>
        <v>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>
        <v>32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54">
        <v>139756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91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6</v>
      </c>
      <c r="D49" s="12">
        <f>C49*42</f>
        <v>252</v>
      </c>
      <c r="F49" s="135" t="s">
        <v>86</v>
      </c>
      <c r="G49" s="137">
        <f>H34+H35+H36+H37+H38+H39+H40+H41+G42+H44+H45+H46</f>
        <v>332638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30</v>
      </c>
      <c r="D50" s="12">
        <f>C50*1.5</f>
        <v>45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161</v>
      </c>
      <c r="G51" s="244">
        <f>G49-H29</f>
        <v>-201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46027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735</v>
      </c>
      <c r="D6" s="13">
        <f t="shared" ref="D6:D28" si="1">C6*L6</f>
        <v>559335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4</v>
      </c>
      <c r="D7" s="13">
        <f t="shared" si="1"/>
        <v>3124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1</v>
      </c>
      <c r="D8" s="13">
        <f t="shared" si="1"/>
        <v>1093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114</v>
      </c>
      <c r="D9" s="13">
        <f t="shared" si="1"/>
        <v>83562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3</v>
      </c>
      <c r="D10" s="13">
        <f t="shared" si="1"/>
        <v>3096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2</v>
      </c>
      <c r="D11" s="13">
        <f t="shared" si="1"/>
        <v>2340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5+1</f>
        <v>6</v>
      </c>
      <c r="D12" s="48">
        <f t="shared" si="1"/>
        <v>5952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22</v>
      </c>
      <c r="D13" s="48">
        <f t="shared" si="1"/>
        <v>6754</v>
      </c>
      <c r="F13" s="243" t="s">
        <v>36</v>
      </c>
      <c r="G13" s="207"/>
      <c r="H13" s="198">
        <f>D29</f>
        <v>667630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</v>
      </c>
      <c r="F14" s="201" t="s">
        <v>39</v>
      </c>
      <c r="G14" s="202"/>
      <c r="H14" s="203">
        <f>D54</f>
        <v>100451.25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567178.75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600+1050+456</f>
        <v>2106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>
        <v>50</v>
      </c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>
        <v>2</v>
      </c>
      <c r="D28" s="48">
        <f t="shared" si="1"/>
        <v>1622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667630</v>
      </c>
      <c r="F29" s="115" t="s">
        <v>55</v>
      </c>
      <c r="G29" s="177"/>
      <c r="H29" s="137">
        <f>H15-H16-H17-H18-H19-H20-H22-H23-H24+H26+H27</f>
        <v>565022.75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59">
        <f>F34*G34</f>
        <v>242000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59">
        <f>F35*G35</f>
        <v>67500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59">
        <f t="shared" si="2"/>
        <v>1000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59">
        <f t="shared" si="2"/>
        <v>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9">
        <v>58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54">
        <v>112763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54">
        <v>142785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4</v>
      </c>
      <c r="D46" s="12">
        <f>C46*1.5</f>
        <v>6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12</v>
      </c>
      <c r="D49" s="12">
        <f>C49*42</f>
        <v>504</v>
      </c>
      <c r="F49" s="135" t="s">
        <v>86</v>
      </c>
      <c r="G49" s="137">
        <f>H34+H35+H36+H37+H38+H39+H40+H41+G42+H44+H45+H46</f>
        <v>566156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15</v>
      </c>
      <c r="D50" s="12">
        <f>C50*1.5</f>
        <v>22.5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149</v>
      </c>
      <c r="G51" s="145">
        <f>G49-H29</f>
        <v>1133.25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46028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633</v>
      </c>
      <c r="D6" s="13">
        <f t="shared" ref="D6:D28" si="1">C6*L6</f>
        <v>481713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>
        <v>2</v>
      </c>
      <c r="D7" s="13">
        <f t="shared" si="1"/>
        <v>1562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>
        <v>1</v>
      </c>
      <c r="D8" s="13">
        <f t="shared" si="1"/>
        <v>1093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>
        <v>27</v>
      </c>
      <c r="D9" s="13">
        <f t="shared" si="1"/>
        <v>19791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>
        <v>1</v>
      </c>
      <c r="D10" s="13">
        <f t="shared" si="1"/>
        <v>1032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>
        <v>1</v>
      </c>
      <c r="D12" s="48">
        <f t="shared" si="1"/>
        <v>992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9</v>
      </c>
      <c r="D13" s="48">
        <f t="shared" si="1"/>
        <v>2763</v>
      </c>
      <c r="F13" s="243" t="s">
        <v>36</v>
      </c>
      <c r="G13" s="207"/>
      <c r="H13" s="198">
        <f>D29</f>
        <v>509943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74673.75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435269.25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169</v>
      </c>
      <c r="C23" s="84">
        <v>12</v>
      </c>
      <c r="D23" s="48">
        <f t="shared" si="1"/>
        <v>454</v>
      </c>
      <c r="F23" s="77"/>
      <c r="G23" s="79"/>
      <c r="H23" s="250"/>
      <c r="I23" s="251"/>
      <c r="J23" s="251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509943</v>
      </c>
      <c r="F29" s="115" t="s">
        <v>55</v>
      </c>
      <c r="G29" s="177"/>
      <c r="H29" s="137">
        <f>H15-H16-H17-H18-H19-H20-H22-H23-H24+H26+H27+H28</f>
        <v>435269.25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59">
        <f t="shared" ref="H34:H39" si="2">F34*G34</f>
        <v>225000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59">
        <f t="shared" si="2"/>
        <v>150000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9">
        <f t="shared" si="2"/>
        <v>200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59">
        <f t="shared" si="2"/>
        <v>3600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59">
        <f t="shared" si="2"/>
        <v>500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9">
        <v>72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54">
        <v>56000</v>
      </c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3</v>
      </c>
      <c r="D46" s="12">
        <f>C46*1.5</f>
        <v>4.5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435392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22</v>
      </c>
      <c r="D50" s="12">
        <f>C50*1.5</f>
        <v>33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149</v>
      </c>
      <c r="G51" s="145">
        <f>G49-H29</f>
        <v>122.75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46028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581</v>
      </c>
      <c r="D6" s="13">
        <f t="shared" ref="D6:D28" si="1">C6*L6</f>
        <v>442141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3</v>
      </c>
      <c r="D7" s="13">
        <f t="shared" si="1"/>
        <v>2343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41</v>
      </c>
      <c r="D9" s="13">
        <f t="shared" si="1"/>
        <v>30053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2</v>
      </c>
      <c r="D12" s="48">
        <f t="shared" si="1"/>
        <v>1984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17</v>
      </c>
      <c r="D13" s="48">
        <f t="shared" si="1"/>
        <v>5219</v>
      </c>
      <c r="F13" s="243" t="s">
        <v>36</v>
      </c>
      <c r="G13" s="207"/>
      <c r="H13" s="198">
        <f>D29</f>
        <v>486638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</v>
      </c>
      <c r="D14" s="31">
        <f t="shared" si="1"/>
        <v>11</v>
      </c>
      <c r="F14" s="201" t="s">
        <v>39</v>
      </c>
      <c r="G14" s="202"/>
      <c r="H14" s="203">
        <f>D54</f>
        <v>85668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>
        <v>1</v>
      </c>
      <c r="D15" s="31">
        <f t="shared" si="1"/>
        <v>620</v>
      </c>
      <c r="F15" s="206" t="s">
        <v>40</v>
      </c>
      <c r="G15" s="207"/>
      <c r="H15" s="208">
        <f>H13-H14</f>
        <v>400970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324*6+201*6</f>
        <v>3150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84">
        <v>131647</v>
      </c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>
        <v>1</v>
      </c>
      <c r="D24" s="48">
        <f t="shared" si="1"/>
        <v>1667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486638</v>
      </c>
      <c r="F29" s="115" t="s">
        <v>55</v>
      </c>
      <c r="G29" s="177"/>
      <c r="H29" s="137">
        <f>H15-H16-H17-H18-H19-H20-H22-H23-H24+H26+H27</f>
        <v>266173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59">
        <f>F34*G34</f>
        <v>39000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59">
        <f t="shared" ref="H35:H37" si="2">F35*G35</f>
        <v>22500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9">
        <f>F36*G36</f>
        <v>200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59">
        <f t="shared" si="2"/>
        <v>4000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59">
        <f t="shared" ref="H38:H39" si="3">F38*G38</f>
        <v>300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59">
        <f t="shared" si="3"/>
        <v>20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2</v>
      </c>
      <c r="D42" s="12">
        <f>C42*2.25</f>
        <v>4.5</v>
      </c>
      <c r="F42" s="39" t="s">
        <v>79</v>
      </c>
      <c r="G42" s="159">
        <v>18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54">
        <v>198198</v>
      </c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24</v>
      </c>
      <c r="D46" s="12">
        <f>C46*1.5</f>
        <v>36</v>
      </c>
      <c r="F46" s="37"/>
      <c r="G46" s="91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2</v>
      </c>
      <c r="D49" s="12">
        <f>C49*42</f>
        <v>84</v>
      </c>
      <c r="F49" s="135" t="s">
        <v>86</v>
      </c>
      <c r="G49" s="137">
        <f>H34+H35+H36+H37+H38+H39+H40+H41+G42+H44+H45+H46</f>
        <v>264236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21</v>
      </c>
      <c r="D50" s="12">
        <f>C50*1.5</f>
        <v>31.5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161</v>
      </c>
      <c r="G51" s="244">
        <f>G49-H29</f>
        <v>-1937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46028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f>614-273</f>
        <v>341</v>
      </c>
      <c r="D6" s="13">
        <f t="shared" ref="D6:D28" si="1">C6*L6</f>
        <v>259501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</v>
      </c>
      <c r="D7" s="13">
        <f t="shared" si="1"/>
        <v>781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13</v>
      </c>
      <c r="D9" s="13">
        <f t="shared" si="1"/>
        <v>9529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3</v>
      </c>
      <c r="D12" s="48">
        <f t="shared" si="1"/>
        <v>2976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2</v>
      </c>
      <c r="D13" s="48">
        <f t="shared" si="1"/>
        <v>614</v>
      </c>
      <c r="F13" s="243" t="s">
        <v>36</v>
      </c>
      <c r="G13" s="207"/>
      <c r="H13" s="198">
        <f>D29</f>
        <v>275314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8</v>
      </c>
      <c r="D14" s="31">
        <f t="shared" si="1"/>
        <v>88</v>
      </c>
      <c r="F14" s="201" t="s">
        <v>39</v>
      </c>
      <c r="G14" s="202"/>
      <c r="H14" s="203">
        <f>D54</f>
        <v>52389.75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222924.25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268*6+51*6</f>
        <v>1914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84">
        <v>173644</v>
      </c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>
        <v>1</v>
      </c>
      <c r="D23" s="48">
        <f t="shared" si="1"/>
        <v>1175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275314</v>
      </c>
      <c r="F29" s="115" t="s">
        <v>55</v>
      </c>
      <c r="G29" s="177"/>
      <c r="H29" s="137">
        <f>H15-H16-H17-H18-H19-H20-H22-H23-H24+H26+H27</f>
        <v>47366.25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59">
        <f>F34*G34</f>
        <v>26000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59">
        <f>F35*G35</f>
        <v>17500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59">
        <f t="shared" ref="H36:H39" si="2">F36*G36</f>
        <v>200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59">
        <f t="shared" si="2"/>
        <v>3400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9">
        <v>142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2</v>
      </c>
      <c r="D44" s="12">
        <f>C44*120</f>
        <v>240</v>
      </c>
      <c r="F44" s="37"/>
      <c r="G44" s="76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7</v>
      </c>
      <c r="D46" s="12">
        <f>C46*1.5</f>
        <v>10.5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</v>
      </c>
      <c r="D49" s="12">
        <f>C49*42</f>
        <v>42</v>
      </c>
      <c r="F49" s="135" t="s">
        <v>86</v>
      </c>
      <c r="G49" s="137">
        <f>H34+H35+H36+H37+H38+H39+H40+H41+G42+H44+H45+H46</f>
        <v>47242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16</v>
      </c>
      <c r="D50" s="12">
        <f>C50*1.5</f>
        <v>24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-124.25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46029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523</v>
      </c>
      <c r="D6" s="13">
        <f t="shared" ref="D6:D28" si="1">C6*L6</f>
        <v>398003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>
        <v>2</v>
      </c>
      <c r="D7" s="13">
        <f t="shared" si="1"/>
        <v>1562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>
        <v>2</v>
      </c>
      <c r="D8" s="13">
        <f t="shared" si="1"/>
        <v>2186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>
        <v>10</v>
      </c>
      <c r="D9" s="13">
        <f t="shared" si="1"/>
        <v>7330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13</v>
      </c>
      <c r="D13" s="48">
        <f t="shared" si="1"/>
        <v>3991</v>
      </c>
      <c r="F13" s="243" t="s">
        <v>36</v>
      </c>
      <c r="G13" s="207"/>
      <c r="H13" s="198">
        <f>D29</f>
        <v>416738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>
        <v>3</v>
      </c>
      <c r="D14" s="31">
        <f t="shared" si="1"/>
        <v>33</v>
      </c>
      <c r="F14" s="201" t="s">
        <v>39</v>
      </c>
      <c r="G14" s="202"/>
      <c r="H14" s="203">
        <f>D54</f>
        <v>113626.5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303111.5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2586</f>
        <v>2586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169</v>
      </c>
      <c r="C23" s="84">
        <v>12</v>
      </c>
      <c r="D23" s="48">
        <f t="shared" si="1"/>
        <v>454</v>
      </c>
      <c r="F23" s="77"/>
      <c r="G23" s="79"/>
      <c r="H23" s="250"/>
      <c r="I23" s="251"/>
      <c r="J23" s="251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>
        <v>1</v>
      </c>
      <c r="D28" s="48">
        <f t="shared" si="1"/>
        <v>811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416738</v>
      </c>
      <c r="F29" s="115" t="s">
        <v>55</v>
      </c>
      <c r="G29" s="177"/>
      <c r="H29" s="137">
        <f>H15-H16-H17-H18-H19-H20-H22-H23-H24+H26+H27+H28</f>
        <v>300525.5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59">
        <f t="shared" ref="H34:H39" si="2">F34*G34</f>
        <v>51000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59">
        <f t="shared" si="2"/>
        <v>10000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59">
        <f t="shared" si="2"/>
        <v>4100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59">
        <f t="shared" si="2"/>
        <v>750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30</v>
      </c>
      <c r="D42" s="12">
        <f>C42*2.25</f>
        <v>67.5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54">
        <v>234325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34</v>
      </c>
      <c r="D46" s="12">
        <f>C46*1.5</f>
        <v>51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300175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10</v>
      </c>
      <c r="D50" s="12">
        <f>C50*1.5</f>
        <v>15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-350.5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46029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450</v>
      </c>
      <c r="D6" s="13">
        <f t="shared" ref="D6:D28" si="1">C6*L6</f>
        <v>342450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20</v>
      </c>
      <c r="D9" s="13">
        <f t="shared" si="1"/>
        <v>14660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15</v>
      </c>
      <c r="D13" s="48">
        <f t="shared" si="1"/>
        <v>4605</v>
      </c>
      <c r="F13" s="243" t="s">
        <v>36</v>
      </c>
      <c r="G13" s="207"/>
      <c r="H13" s="198">
        <f>D29</f>
        <v>364269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11</v>
      </c>
      <c r="D14" s="31">
        <f t="shared" si="1"/>
        <v>121</v>
      </c>
      <c r="F14" s="201" t="s">
        <v>39</v>
      </c>
      <c r="G14" s="202"/>
      <c r="H14" s="203">
        <f>D54</f>
        <v>53587.5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310681.5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2064</f>
        <v>2064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89">
        <v>131647</v>
      </c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>
        <v>3</v>
      </c>
      <c r="D28" s="48">
        <f t="shared" si="1"/>
        <v>2433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364269</v>
      </c>
      <c r="F29" s="115" t="s">
        <v>55</v>
      </c>
      <c r="G29" s="177"/>
      <c r="H29" s="137">
        <f>H15-H16-H17-H18-H19-H20-H22-H23-H24+H26+H27</f>
        <v>440264.5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59">
        <f>F34*G34</f>
        <v>243000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59">
        <f t="shared" ref="H35:H39" si="2">F35*G35</f>
        <v>50500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59">
        <f t="shared" si="2"/>
        <v>12800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59">
        <f t="shared" si="2"/>
        <v>2300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>
        <v>71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54">
        <v>131647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91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9</v>
      </c>
      <c r="D49" s="12">
        <f>C49*42</f>
        <v>378</v>
      </c>
      <c r="F49" s="135" t="s">
        <v>86</v>
      </c>
      <c r="G49" s="137">
        <f>H34+H35+H36+H37+H38+H39+H40+H41+G42+H44+H45+H46</f>
        <v>440318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15</v>
      </c>
      <c r="D50" s="12">
        <f>C50*1.5</f>
        <v>22.5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53.5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 t="s">
        <v>179</v>
      </c>
      <c r="H4" s="216" t="s">
        <v>9</v>
      </c>
      <c r="I4" s="218">
        <v>46029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178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89">
        <v>7281</v>
      </c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189">
        <v>1000</v>
      </c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189">
        <v>3130</v>
      </c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H15-H16-H17-H18-H19-H20-H22-H23-H24+H26+H27+H28</f>
        <v>11411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ref="H35:H39" si="2"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1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 t="s">
        <v>153</v>
      </c>
      <c r="G44" s="62"/>
      <c r="H44" s="154">
        <v>11411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100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11411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177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46029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380</v>
      </c>
      <c r="D6" s="13">
        <f t="shared" ref="D6:D28" si="1">C6*L6</f>
        <v>289180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19</v>
      </c>
      <c r="D7" s="13">
        <f t="shared" si="1"/>
        <v>14839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2</v>
      </c>
      <c r="D8" s="13">
        <f t="shared" si="1"/>
        <v>2186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84</v>
      </c>
      <c r="D9" s="13">
        <f t="shared" si="1"/>
        <v>61572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3+1</f>
        <v>4</v>
      </c>
      <c r="D12" s="48">
        <f t="shared" si="1"/>
        <v>3968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14</v>
      </c>
      <c r="D13" s="48">
        <f t="shared" si="1"/>
        <v>4298</v>
      </c>
      <c r="F13" s="243" t="s">
        <v>36</v>
      </c>
      <c r="G13" s="207"/>
      <c r="H13" s="198">
        <f>D29</f>
        <v>383641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6</v>
      </c>
      <c r="D14" s="31">
        <f t="shared" si="1"/>
        <v>66</v>
      </c>
      <c r="F14" s="201" t="s">
        <v>39</v>
      </c>
      <c r="G14" s="202"/>
      <c r="H14" s="203">
        <f>D54</f>
        <v>52228.5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331412.5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v>1248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>
        <v>50</v>
      </c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89">
        <v>173644</v>
      </c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383641</v>
      </c>
      <c r="F29" s="115" t="s">
        <v>55</v>
      </c>
      <c r="G29" s="177"/>
      <c r="H29" s="137">
        <f>H15-H16-H17-H18-H19-H20-H22-H23-H24+H26+H27</f>
        <v>503758.5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59">
        <f>F34*G34</f>
        <v>148000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59">
        <f>F35*G35</f>
        <v>10000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9">
        <f t="shared" ref="H36:H39" si="2">F36*G36</f>
        <v>600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59">
        <f t="shared" si="2"/>
        <v>15100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59">
        <f t="shared" si="2"/>
        <v>16750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4</v>
      </c>
      <c r="D42" s="12">
        <f>C42*2.25</f>
        <v>9</v>
      </c>
      <c r="F42" s="39" t="s">
        <v>79</v>
      </c>
      <c r="G42" s="159">
        <v>175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54">
        <v>139318</v>
      </c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54">
        <v>173644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9</v>
      </c>
      <c r="D46" s="12">
        <f>C46*1.5</f>
        <v>13.5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5</v>
      </c>
      <c r="D49" s="12">
        <f>C49*42</f>
        <v>210</v>
      </c>
      <c r="F49" s="135" t="s">
        <v>86</v>
      </c>
      <c r="G49" s="137">
        <f>H34+H35+H36+H37+H38+H39+H40+H41+G42+H44+H45+H46</f>
        <v>503587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18</v>
      </c>
      <c r="D50" s="12">
        <f>C50*1.5</f>
        <v>27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-171.5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46030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707</v>
      </c>
      <c r="D6" s="13">
        <f t="shared" ref="D6:D28" si="1">C6*L6</f>
        <v>538027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>
        <v>10</v>
      </c>
      <c r="D9" s="13">
        <f t="shared" si="1"/>
        <v>7330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26</v>
      </c>
      <c r="D13" s="48">
        <f t="shared" si="1"/>
        <v>7982</v>
      </c>
      <c r="F13" s="243" t="s">
        <v>36</v>
      </c>
      <c r="G13" s="207"/>
      <c r="H13" s="198">
        <f>D29</f>
        <v>555289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79440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475849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3882</f>
        <v>3882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555289</v>
      </c>
      <c r="F29" s="115" t="s">
        <v>55</v>
      </c>
      <c r="G29" s="177"/>
      <c r="H29" s="137">
        <f>H15-H16-H17-H18-H19-H20-H22-H23-H24+H26+H27+H28</f>
        <v>471967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159">
        <f t="shared" ref="H34:H39" si="2">F34*G34</f>
        <v>262000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159">
        <f t="shared" si="2"/>
        <v>201000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9">
        <f t="shared" si="2"/>
        <v>600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159">
        <f t="shared" si="2"/>
        <v>6800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59">
        <f t="shared" si="2"/>
        <v>100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>
        <v>8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2</v>
      </c>
      <c r="D44" s="12">
        <f>C44*120</f>
        <v>240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16</v>
      </c>
      <c r="D49" s="12">
        <f>C49*42</f>
        <v>672</v>
      </c>
      <c r="F49" s="135" t="s">
        <v>86</v>
      </c>
      <c r="G49" s="137">
        <f>H34+H35+H36+H37+H38+H39+H40+H41+G42+H44+H45+H46</f>
        <v>470508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-1459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46030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314</v>
      </c>
      <c r="D6" s="13">
        <f t="shared" ref="D6:D28" si="1">C6*L6</f>
        <v>238954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5</v>
      </c>
      <c r="D7" s="13">
        <f t="shared" si="1"/>
        <v>3905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19</v>
      </c>
      <c r="D9" s="13">
        <f t="shared" si="1"/>
        <v>13927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2+1+1</f>
        <v>4</v>
      </c>
      <c r="D12" s="48">
        <f t="shared" si="1"/>
        <v>3968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7</v>
      </c>
      <c r="D13" s="48">
        <f t="shared" si="1"/>
        <v>2149</v>
      </c>
      <c r="F13" s="243" t="s">
        <v>36</v>
      </c>
      <c r="G13" s="207"/>
      <c r="H13" s="198">
        <f>D29</f>
        <v>263957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2</v>
      </c>
      <c r="D14" s="31">
        <f t="shared" si="1"/>
        <v>22</v>
      </c>
      <c r="F14" s="201" t="s">
        <v>39</v>
      </c>
      <c r="G14" s="202"/>
      <c r="H14" s="203">
        <f>D54</f>
        <v>52866.75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211090.25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263957</v>
      </c>
      <c r="F29" s="115" t="s">
        <v>55</v>
      </c>
      <c r="G29" s="177"/>
      <c r="H29" s="137">
        <f>H15-H16-H17-H18-H19-H20-H22-H23-H24+H26+H27</f>
        <v>211090.25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159">
        <f>F34*G34</f>
        <v>199000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9">
        <f t="shared" ref="H35:H39" si="2">F35*G35</f>
        <v>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159">
        <f t="shared" si="2"/>
        <v>5600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9">
        <f t="shared" si="2"/>
        <v>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1</v>
      </c>
      <c r="D42" s="12">
        <f>C42*2.25</f>
        <v>2.25</v>
      </c>
      <c r="F42" s="39" t="s">
        <v>79</v>
      </c>
      <c r="G42" s="159">
        <v>10004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2</v>
      </c>
      <c r="D44" s="12">
        <f>C44*120</f>
        <v>240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22</v>
      </c>
      <c r="D46" s="12">
        <f>C46*1.5</f>
        <v>33</v>
      </c>
      <c r="F46" s="37"/>
      <c r="G46" s="91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3</v>
      </c>
      <c r="D49" s="12">
        <f>C49*42</f>
        <v>126</v>
      </c>
      <c r="F49" s="135" t="s">
        <v>86</v>
      </c>
      <c r="G49" s="137">
        <f>H34+H35+H36+H37+H38+H39+H40+H41+G42+H44+H45+H46</f>
        <v>215154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36</v>
      </c>
      <c r="D50" s="12">
        <f>C50*1.5</f>
        <v>54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4063.75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46030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529</v>
      </c>
      <c r="D6" s="13">
        <f t="shared" ref="D6:D28" si="1">C6*L6</f>
        <v>402569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15</v>
      </c>
      <c r="D7" s="13">
        <f t="shared" si="1"/>
        <v>11715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2</v>
      </c>
      <c r="D8" s="13">
        <f t="shared" si="1"/>
        <v>2186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3</v>
      </c>
      <c r="D10" s="13">
        <f t="shared" si="1"/>
        <v>3096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2</v>
      </c>
      <c r="D11" s="13">
        <f t="shared" si="1"/>
        <v>2340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8+1+1</f>
        <v>10</v>
      </c>
      <c r="D12" s="48">
        <f t="shared" si="1"/>
        <v>9920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5</v>
      </c>
      <c r="D13" s="48">
        <f t="shared" si="1"/>
        <v>1535</v>
      </c>
      <c r="F13" s="243" t="s">
        <v>36</v>
      </c>
      <c r="G13" s="207"/>
      <c r="H13" s="198">
        <f>D29</f>
        <v>434667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6</v>
      </c>
      <c r="D14" s="31">
        <f t="shared" si="1"/>
        <v>66</v>
      </c>
      <c r="F14" s="201" t="s">
        <v>39</v>
      </c>
      <c r="G14" s="202"/>
      <c r="H14" s="203">
        <f>D54</f>
        <v>66066.75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>
        <v>2</v>
      </c>
      <c r="D15" s="31">
        <f t="shared" si="1"/>
        <v>1240</v>
      </c>
      <c r="F15" s="206" t="s">
        <v>40</v>
      </c>
      <c r="G15" s="207"/>
      <c r="H15" s="208">
        <f>H13-H14</f>
        <v>368600.25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2772+330</f>
        <v>3102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434667</v>
      </c>
      <c r="F29" s="115" t="s">
        <v>55</v>
      </c>
      <c r="G29" s="177"/>
      <c r="H29" s="137">
        <f>H15-H16-H17-H18-H19-H20-H22-H23-H24+H26+H27</f>
        <v>365498.25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59">
        <f>F34*G34</f>
        <v>41000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59">
        <f>F35*G35</f>
        <v>15000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9">
        <f t="shared" ref="H36:H39" si="2">F36*G36</f>
        <v>200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159">
        <f t="shared" si="2"/>
        <v>7300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159">
        <f t="shared" si="2"/>
        <v>100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3</v>
      </c>
      <c r="D42" s="12">
        <f>C42*2.25</f>
        <v>6.75</v>
      </c>
      <c r="F42" s="39" t="s">
        <v>79</v>
      </c>
      <c r="G42" s="159">
        <v>165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54">
        <v>301634</v>
      </c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4</v>
      </c>
      <c r="D46" s="12">
        <f>C46*1.5</f>
        <v>6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</v>
      </c>
      <c r="D49" s="12">
        <f>C49*42</f>
        <v>42</v>
      </c>
      <c r="F49" s="135" t="s">
        <v>86</v>
      </c>
      <c r="G49" s="137">
        <f>H34+H35+H36+H37+H38+H39+H40+H41+G42+H44+H45+H46</f>
        <v>365419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</v>
      </c>
      <c r="D50" s="12">
        <f>C50*1.5</f>
        <v>1.5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-79.25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46031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647</v>
      </c>
      <c r="D6" s="13">
        <f t="shared" ref="D6:D28" si="1">C6*L6</f>
        <v>492367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20</v>
      </c>
      <c r="D13" s="48">
        <f t="shared" si="1"/>
        <v>6140</v>
      </c>
      <c r="F13" s="243" t="s">
        <v>36</v>
      </c>
      <c r="G13" s="207"/>
      <c r="H13" s="198">
        <f>D29</f>
        <v>498507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99282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399225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v>3882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498507</v>
      </c>
      <c r="F29" s="115" t="s">
        <v>55</v>
      </c>
      <c r="G29" s="177"/>
      <c r="H29" s="137">
        <f>H15-H16-H17-H18-H19-H20-H22-H23-H24+H26+H27+H28</f>
        <v>395343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159">
        <f t="shared" ref="H34:H39" si="2">F34*G34</f>
        <v>395000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159">
        <f t="shared" si="2"/>
        <v>300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>
        <v>13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34</v>
      </c>
      <c r="D49" s="12">
        <f>C49*42</f>
        <v>1428</v>
      </c>
      <c r="F49" s="135" t="s">
        <v>86</v>
      </c>
      <c r="G49" s="137">
        <f>H34+H35+H36+H37+H38+H39+H40+H41+G42+H44+H45+H46</f>
        <v>395313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-30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46031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317</v>
      </c>
      <c r="D6" s="13">
        <f t="shared" ref="D6:D28" si="1">C6*L6</f>
        <v>241237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9</v>
      </c>
      <c r="D7" s="13">
        <f t="shared" si="1"/>
        <v>7029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23</v>
      </c>
      <c r="D9" s="13">
        <f t="shared" si="1"/>
        <v>16859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1</v>
      </c>
      <c r="D11" s="13">
        <f t="shared" si="1"/>
        <v>1170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1+1</f>
        <v>2</v>
      </c>
      <c r="D12" s="48">
        <f t="shared" si="1"/>
        <v>1984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243" t="s">
        <v>36</v>
      </c>
      <c r="G13" s="207"/>
      <c r="H13" s="198">
        <f>D29</f>
        <v>273073.33333333331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22</v>
      </c>
      <c r="D14" s="31">
        <f t="shared" si="1"/>
        <v>242</v>
      </c>
      <c r="F14" s="201" t="s">
        <v>39</v>
      </c>
      <c r="G14" s="202"/>
      <c r="H14" s="203">
        <f>D54</f>
        <v>45388.5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>
        <v>2</v>
      </c>
      <c r="D15" s="31">
        <f t="shared" si="1"/>
        <v>1240</v>
      </c>
      <c r="F15" s="206" t="s">
        <v>40</v>
      </c>
      <c r="G15" s="207"/>
      <c r="H15" s="208">
        <f>H13-H14</f>
        <v>227684.83333333331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v>1074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273073.33333333331</v>
      </c>
      <c r="F29" s="115" t="s">
        <v>55</v>
      </c>
      <c r="G29" s="177"/>
      <c r="H29" s="137">
        <f>H15-H16-H17-H18-H19-H20-H22-H23-H24+H26+H27</f>
        <v>226610.83333333331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59">
        <f>F34*G34</f>
        <v>148000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159">
        <f t="shared" ref="H35:H39" si="2">F35*G35</f>
        <v>73500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159">
        <f>F36*G36</f>
        <v>600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159">
        <f t="shared" si="2"/>
        <v>2900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9">
        <f t="shared" si="2"/>
        <v>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1</v>
      </c>
      <c r="D44" s="12">
        <f>C44*120</f>
        <v>120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>
        <v>2</v>
      </c>
      <c r="D45" s="12">
        <f>C45*84</f>
        <v>168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3</v>
      </c>
      <c r="D46" s="12">
        <f>C46*1.5</f>
        <v>4.5</v>
      </c>
      <c r="F46" s="37"/>
      <c r="G46" s="91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8</v>
      </c>
      <c r="D49" s="12">
        <f>C49*42</f>
        <v>336</v>
      </c>
      <c r="F49" s="135" t="s">
        <v>86</v>
      </c>
      <c r="G49" s="137">
        <f>H34+H35+H36+H37+H38+H39+H40+H41+G42+H44+H45+H46</f>
        <v>225050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20</v>
      </c>
      <c r="D50" s="12">
        <f>C50*1.5</f>
        <v>30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161</v>
      </c>
      <c r="G51" s="244">
        <f>G49-H29</f>
        <v>-1560.8333333333139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46031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344</v>
      </c>
      <c r="D6" s="13">
        <f t="shared" ref="D6:D28" si="1">C6*L6</f>
        <v>261784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12</v>
      </c>
      <c r="D7" s="13">
        <f t="shared" si="1"/>
        <v>9372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78</v>
      </c>
      <c r="D9" s="13">
        <f t="shared" si="1"/>
        <v>57174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4+1+1</f>
        <v>6</v>
      </c>
      <c r="D12" s="48">
        <f t="shared" si="1"/>
        <v>5952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243" t="s">
        <v>36</v>
      </c>
      <c r="G13" s="207"/>
      <c r="H13" s="198">
        <f>D29</f>
        <v>341782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14</v>
      </c>
      <c r="D14" s="31">
        <f t="shared" si="1"/>
        <v>154</v>
      </c>
      <c r="F14" s="201" t="s">
        <v>39</v>
      </c>
      <c r="G14" s="202"/>
      <c r="H14" s="203">
        <f>D54</f>
        <v>52036.5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289745.5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684+672</f>
        <v>1356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>
        <v>4</v>
      </c>
      <c r="D28" s="48">
        <f t="shared" si="1"/>
        <v>3244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341782</v>
      </c>
      <c r="F29" s="115" t="s">
        <v>55</v>
      </c>
      <c r="G29" s="177"/>
      <c r="H29" s="137">
        <f>H15-H16-H17-H18-H19-H20-H22-H23-H24+H26+H27</f>
        <v>288389.5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159">
        <f>F34*G34</f>
        <v>83000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59">
        <f>F35*G35</f>
        <v>25000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159">
        <f t="shared" ref="H36:H39" si="2">F36*G36</f>
        <v>1200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159">
        <f t="shared" si="2"/>
        <v>17100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159">
        <f t="shared" si="2"/>
        <v>2450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59">
        <f t="shared" si="2"/>
        <v>60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4</v>
      </c>
      <c r="D42" s="12">
        <f>C42*2.25</f>
        <v>9</v>
      </c>
      <c r="F42" s="39" t="s">
        <v>79</v>
      </c>
      <c r="G42" s="159">
        <v>16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54">
        <v>84877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54">
        <v>74828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12</v>
      </c>
      <c r="D46" s="12">
        <f>C46*1.5</f>
        <v>18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8</v>
      </c>
      <c r="D49" s="12">
        <f>C49*42</f>
        <v>336</v>
      </c>
      <c r="F49" s="135" t="s">
        <v>86</v>
      </c>
      <c r="G49" s="137">
        <f>H34+H35+H36+H37+H38+H39+H40+H41+G42+H44+H45+H46</f>
        <v>288531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8</v>
      </c>
      <c r="D50" s="12">
        <f>C50*1.5</f>
        <v>12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149</v>
      </c>
      <c r="G51" s="145">
        <f>G49-H29</f>
        <v>141.5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46032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467</v>
      </c>
      <c r="D6" s="13">
        <f t="shared" ref="D6:D28" si="1">C6*L6</f>
        <v>355387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>
        <v>3</v>
      </c>
      <c r="D7" s="13">
        <f t="shared" si="1"/>
        <v>2343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>
        <v>70</v>
      </c>
      <c r="D8" s="13">
        <f t="shared" si="1"/>
        <v>76510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>
        <v>20</v>
      </c>
      <c r="D9" s="13">
        <f t="shared" si="1"/>
        <v>14660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>
        <v>2</v>
      </c>
      <c r="D10" s="13">
        <f t="shared" si="1"/>
        <v>2064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>
        <v>2</v>
      </c>
      <c r="D11" s="13">
        <f t="shared" si="1"/>
        <v>2340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>
        <v>3</v>
      </c>
      <c r="D12" s="48">
        <f t="shared" si="1"/>
        <v>2976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8</v>
      </c>
      <c r="D13" s="48">
        <f t="shared" si="1"/>
        <v>2456</v>
      </c>
      <c r="F13" s="243" t="s">
        <v>36</v>
      </c>
      <c r="G13" s="207"/>
      <c r="H13" s="198">
        <f>D29</f>
        <v>458758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>
        <v>2</v>
      </c>
      <c r="D14" s="31">
        <f t="shared" si="1"/>
        <v>22</v>
      </c>
      <c r="F14" s="201" t="s">
        <v>39</v>
      </c>
      <c r="G14" s="202"/>
      <c r="H14" s="203">
        <f>D54</f>
        <v>63504.75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395253.25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458758</v>
      </c>
      <c r="F29" s="115" t="s">
        <v>55</v>
      </c>
      <c r="G29" s="177"/>
      <c r="H29" s="137">
        <f>H15-H16-H17-H18-H19-H20-H22-H23-H24+H26+H27+H28</f>
        <v>395253.25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159">
        <f t="shared" ref="H34:H39" si="2">F34*G34</f>
        <v>233000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159">
        <f t="shared" si="2"/>
        <v>35500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9">
        <f t="shared" si="2"/>
        <v>400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159">
        <f t="shared" si="2"/>
        <v>4900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59">
        <f t="shared" si="2"/>
        <v>750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9">
        <v>62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54">
        <v>73477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54">
        <v>20198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54">
        <v>27000</v>
      </c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</v>
      </c>
      <c r="D49" s="12">
        <f>C49*42</f>
        <v>42</v>
      </c>
      <c r="F49" s="135" t="s">
        <v>86</v>
      </c>
      <c r="G49" s="137">
        <f>H34+H35+H36+H37+H38+H39+H40+H41+G42+H44+H45+H46</f>
        <v>395307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14</v>
      </c>
      <c r="D50" s="12">
        <f>C50*1.5</f>
        <v>21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149</v>
      </c>
      <c r="G51" s="145">
        <f>G49-H29</f>
        <v>53.75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46032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264</v>
      </c>
      <c r="D6" s="13">
        <f t="shared" ref="D6:D28" si="1">C6*L6</f>
        <v>200904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19</v>
      </c>
      <c r="D7" s="13">
        <f t="shared" si="1"/>
        <v>14839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37</v>
      </c>
      <c r="D9" s="13">
        <f t="shared" si="1"/>
        <v>27121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2</v>
      </c>
      <c r="D12" s="48">
        <f t="shared" si="1"/>
        <v>1984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9</v>
      </c>
      <c r="D13" s="48">
        <f t="shared" si="1"/>
        <v>2763</v>
      </c>
      <c r="F13" s="243" t="s">
        <v>36</v>
      </c>
      <c r="G13" s="207"/>
      <c r="H13" s="198">
        <f>D29</f>
        <v>250831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23</v>
      </c>
      <c r="D14" s="31">
        <f t="shared" si="1"/>
        <v>253</v>
      </c>
      <c r="F14" s="201" t="s">
        <v>39</v>
      </c>
      <c r="G14" s="202"/>
      <c r="H14" s="203">
        <f>D54</f>
        <v>44389.5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206441.5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v>1176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101</v>
      </c>
      <c r="C22" s="10">
        <v>1</v>
      </c>
      <c r="D22" s="48">
        <f t="shared" si="1"/>
        <v>1667</v>
      </c>
      <c r="F22" s="72"/>
      <c r="G22" s="73"/>
      <c r="H22" s="184"/>
      <c r="I22" s="184"/>
      <c r="J22" s="184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250831</v>
      </c>
      <c r="F29" s="115" t="s">
        <v>55</v>
      </c>
      <c r="G29" s="177"/>
      <c r="H29" s="137">
        <f>H15-H16-H17-H18-H19-H20-H22-H23-H24+H26+H27</f>
        <v>205265.5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159">
        <f>F34*G34</f>
        <v>49000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9">
        <f t="shared" ref="H35:H39" si="2">F35*G35</f>
        <v>16000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159">
        <f>F36*G36</f>
        <v>800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159">
        <f t="shared" si="2"/>
        <v>14200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159">
        <f t="shared" si="2"/>
        <v>650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16</v>
      </c>
      <c r="D42" s="12">
        <f>C42*2.25</f>
        <v>36</v>
      </c>
      <c r="F42" s="39" t="s">
        <v>79</v>
      </c>
      <c r="G42" s="159">
        <v>34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54">
        <v>124746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2</v>
      </c>
      <c r="D46" s="12">
        <f>C46*1.5</f>
        <v>3</v>
      </c>
      <c r="F46" s="37"/>
      <c r="G46" s="91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</v>
      </c>
      <c r="D49" s="12">
        <f>C49*42</f>
        <v>42</v>
      </c>
      <c r="F49" s="135" t="s">
        <v>86</v>
      </c>
      <c r="G49" s="137">
        <f>H34+H35+H36+H37+H38+H39+H40+H41+G42+H44+H45+H46</f>
        <v>205450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17</v>
      </c>
      <c r="D50" s="12">
        <f>C50*1.5</f>
        <v>25.5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184.5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46032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394</v>
      </c>
      <c r="D6" s="13">
        <f t="shared" ref="D6:D28" si="1">C6*L6</f>
        <v>299834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3</v>
      </c>
      <c r="D7" s="13">
        <f t="shared" si="1"/>
        <v>2343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11</v>
      </c>
      <c r="D9" s="13">
        <f t="shared" si="1"/>
        <v>8063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2</v>
      </c>
      <c r="D10" s="13">
        <f t="shared" si="1"/>
        <v>2064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2</v>
      </c>
      <c r="D12" s="48">
        <f t="shared" si="1"/>
        <v>1984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6</v>
      </c>
      <c r="D13" s="48">
        <f t="shared" si="1"/>
        <v>1842</v>
      </c>
      <c r="F13" s="243" t="s">
        <v>36</v>
      </c>
      <c r="G13" s="207"/>
      <c r="H13" s="198">
        <f>D29</f>
        <v>317305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75464.25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241840.75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342+1296+666</f>
        <v>2304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95" t="s">
        <v>150</v>
      </c>
      <c r="C23" s="10">
        <v>1</v>
      </c>
      <c r="D23" s="48">
        <f t="shared" si="1"/>
        <v>1175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317305</v>
      </c>
      <c r="F29" s="115" t="s">
        <v>55</v>
      </c>
      <c r="G29" s="177"/>
      <c r="H29" s="137">
        <f>H15-H16-H17-H18-H19-H20-H22-H23-H24+H26+H27</f>
        <v>239536.75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159">
        <f>F34*G34</f>
        <v>51000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159">
        <f>F35*G35</f>
        <v>5000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159">
        <f t="shared" si="2"/>
        <v>100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159">
        <f t="shared" si="2"/>
        <v>100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9">
        <f t="shared" si="2"/>
        <v>40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9">
        <v>38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54">
        <v>44070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54">
        <v>139104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16</v>
      </c>
      <c r="D49" s="12">
        <f>C49*42</f>
        <v>672</v>
      </c>
      <c r="F49" s="135" t="s">
        <v>86</v>
      </c>
      <c r="G49" s="137">
        <f>H34+H35+H36+H37+H38+H39+H40+H41+G42+H44+H45+H46</f>
        <v>239452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-84.75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46034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233</v>
      </c>
      <c r="D6" s="13">
        <f t="shared" ref="D6:D28" si="1">C6*L6</f>
        <v>177313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>
        <v>12</v>
      </c>
      <c r="D7" s="13">
        <f t="shared" si="1"/>
        <v>9372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>
        <v>3</v>
      </c>
      <c r="D8" s="13">
        <f t="shared" si="1"/>
        <v>3279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>
        <v>20</v>
      </c>
      <c r="D9" s="13">
        <f t="shared" si="1"/>
        <v>14660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>
        <v>3</v>
      </c>
      <c r="D10" s="13">
        <f t="shared" si="1"/>
        <v>3096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>
        <v>3</v>
      </c>
      <c r="D11" s="13">
        <f t="shared" si="1"/>
        <v>3510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>
        <f>4+1</f>
        <v>5</v>
      </c>
      <c r="D12" s="48">
        <f t="shared" si="1"/>
        <v>4960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7</v>
      </c>
      <c r="D13" s="48">
        <f t="shared" si="1"/>
        <v>2149</v>
      </c>
      <c r="F13" s="243" t="s">
        <v>36</v>
      </c>
      <c r="G13" s="207"/>
      <c r="H13" s="198">
        <f>D29</f>
        <v>228543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>
        <v>19</v>
      </c>
      <c r="D14" s="31">
        <f t="shared" si="1"/>
        <v>209</v>
      </c>
      <c r="F14" s="201" t="s">
        <v>39</v>
      </c>
      <c r="G14" s="202"/>
      <c r="H14" s="203">
        <f>D54</f>
        <v>28542.75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200000.25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184">
        <v>99507</v>
      </c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54">
        <v>92560</v>
      </c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>
        <v>5</v>
      </c>
      <c r="D28" s="48">
        <f t="shared" si="1"/>
        <v>4055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228543</v>
      </c>
      <c r="F29" s="115" t="s">
        <v>55</v>
      </c>
      <c r="G29" s="177"/>
      <c r="H29" s="137">
        <f>H15-H16-H17-H18-H19-H20-H22-H23-H24+H26+H27+H28</f>
        <v>193053.25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159">
        <f t="shared" ref="H34:H39" si="2">F34*G34</f>
        <v>42000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159">
        <f t="shared" si="2"/>
        <v>14500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159">
        <f t="shared" si="2"/>
        <v>600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159">
        <f t="shared" si="2"/>
        <v>100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9">
        <v>159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54">
        <v>11432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54">
        <v>30888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54">
        <v>92560</v>
      </c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192239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42</v>
      </c>
      <c r="D50" s="12">
        <f>C50*1.5</f>
        <v>63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-814.25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46034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351</v>
      </c>
      <c r="D6" s="13">
        <f t="shared" ref="D6:D28" si="1">C6*L6</f>
        <v>267111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11</v>
      </c>
      <c r="D7" s="13">
        <f t="shared" si="1"/>
        <v>8591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110</v>
      </c>
      <c r="D9" s="13">
        <f t="shared" si="1"/>
        <v>80630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13</v>
      </c>
      <c r="D13" s="48">
        <f t="shared" si="1"/>
        <v>3991</v>
      </c>
      <c r="F13" s="243" t="s">
        <v>36</v>
      </c>
      <c r="G13" s="207"/>
      <c r="H13" s="198">
        <f>D29</f>
        <v>360378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5</v>
      </c>
      <c r="D14" s="31">
        <f t="shared" si="1"/>
        <v>55</v>
      </c>
      <c r="F14" s="201" t="s">
        <v>39</v>
      </c>
      <c r="G14" s="202"/>
      <c r="H14" s="203">
        <f>D54</f>
        <v>53643.75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306734.25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2652</f>
        <v>2652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360378</v>
      </c>
      <c r="F29" s="115" t="s">
        <v>55</v>
      </c>
      <c r="G29" s="177"/>
      <c r="H29" s="137">
        <f>H15-H16-H17-H18-H19-H20-H22-H23-H24+H26+H27</f>
        <v>304082.25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59">
        <f>F34*G34</f>
        <v>123000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159">
        <f t="shared" ref="H35:H39" si="2">F35*G35</f>
        <v>133500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9">
        <f>F36*G36</f>
        <v>200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159">
        <f t="shared" si="2"/>
        <v>38400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159">
        <f t="shared" si="2"/>
        <v>8850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9">
        <v>61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6</v>
      </c>
      <c r="D46" s="12">
        <f>C46*1.5</f>
        <v>9</v>
      </c>
      <c r="F46" s="37"/>
      <c r="G46" s="91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2</v>
      </c>
      <c r="D49" s="12">
        <f>C49*42</f>
        <v>84</v>
      </c>
      <c r="F49" s="135" t="s">
        <v>86</v>
      </c>
      <c r="G49" s="137">
        <f>H34+H35+H36+H37+H38+H39+H40+H41+G42+H44+H45+H46</f>
        <v>304011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17</v>
      </c>
      <c r="D50" s="12">
        <f>C50*1.5</f>
        <v>25.5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161</v>
      </c>
      <c r="G51" s="244">
        <f>G49-H29</f>
        <v>-71.25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46034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437</v>
      </c>
      <c r="D6" s="13">
        <f t="shared" ref="D6:D28" si="1">C6*L6</f>
        <v>332557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4</v>
      </c>
      <c r="D7" s="13">
        <f t="shared" si="1"/>
        <v>3124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114</v>
      </c>
      <c r="D9" s="13">
        <f t="shared" si="1"/>
        <v>83562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4+1</f>
        <v>5</v>
      </c>
      <c r="D12" s="48">
        <f t="shared" si="1"/>
        <v>4960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13</v>
      </c>
      <c r="D13" s="48">
        <f t="shared" si="1"/>
        <v>3991</v>
      </c>
      <c r="F13" s="243" t="s">
        <v>36</v>
      </c>
      <c r="G13" s="207"/>
      <c r="H13" s="198">
        <f>D29</f>
        <v>429225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20</v>
      </c>
      <c r="D14" s="31">
        <f t="shared" si="1"/>
        <v>220</v>
      </c>
      <c r="F14" s="201" t="s">
        <v>39</v>
      </c>
      <c r="G14" s="202"/>
      <c r="H14" s="203">
        <f>D54</f>
        <v>84082.5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345142.5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1026+312</f>
        <v>1338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>
        <v>50</v>
      </c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>
        <v>1</v>
      </c>
      <c r="D28" s="48">
        <f t="shared" si="1"/>
        <v>811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429225</v>
      </c>
      <c r="F29" s="115" t="s">
        <v>55</v>
      </c>
      <c r="G29" s="177"/>
      <c r="H29" s="137">
        <f>H15-H16-H17-H18-H19-H20-H22-H23-H24+H26+H27</f>
        <v>343754.5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159">
        <f>F34*G34</f>
        <v>66000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59">
        <f>F35*G35</f>
        <v>17500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9">
        <f t="shared" ref="H36:H39" si="2">F36*G36</f>
        <v>600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159">
        <f t="shared" si="2"/>
        <v>8400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159">
        <f t="shared" si="2"/>
        <v>1750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8</v>
      </c>
      <c r="D42" s="12">
        <f>C42*2.25</f>
        <v>18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54">
        <v>140724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54">
        <v>108088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17</v>
      </c>
      <c r="D46" s="12">
        <f>C46*1.5</f>
        <v>25.5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5</v>
      </c>
      <c r="D49" s="12">
        <f>C49*42</f>
        <v>210</v>
      </c>
      <c r="F49" s="135" t="s">
        <v>86</v>
      </c>
      <c r="G49" s="137">
        <f>H34+H35+H36+H37+H38+H39+H40+H41+G42+H44+H45+H46</f>
        <v>343062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14</v>
      </c>
      <c r="D50" s="12">
        <f>C50*1.5</f>
        <v>21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-692.5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04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7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46035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355</v>
      </c>
      <c r="D6" s="13">
        <f t="shared" ref="D6:D28" si="1">C6*L6</f>
        <v>270155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>
        <v>3</v>
      </c>
      <c r="D7" s="13">
        <f t="shared" si="1"/>
        <v>2343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>
        <v>20</v>
      </c>
      <c r="D9" s="13">
        <f t="shared" si="1"/>
        <v>14660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>
        <v>5</v>
      </c>
      <c r="D10" s="13">
        <f t="shared" si="1"/>
        <v>5160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>
        <v>5</v>
      </c>
      <c r="D11" s="13">
        <f t="shared" si="1"/>
        <v>5850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>
        <v>6</v>
      </c>
      <c r="D12" s="48">
        <f t="shared" si="1"/>
        <v>5952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8</v>
      </c>
      <c r="D13" s="48">
        <f t="shared" si="1"/>
        <v>2456</v>
      </c>
      <c r="F13" s="243" t="s">
        <v>36</v>
      </c>
      <c r="G13" s="207"/>
      <c r="H13" s="198">
        <f>D29</f>
        <v>308880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>
        <v>23</v>
      </c>
      <c r="D14" s="31">
        <f t="shared" si="1"/>
        <v>253</v>
      </c>
      <c r="F14" s="201" t="s">
        <v>39</v>
      </c>
      <c r="G14" s="202"/>
      <c r="H14" s="203">
        <f>D54</f>
        <v>123354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185526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1314</f>
        <v>1314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107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>
        <v>1</v>
      </c>
      <c r="D28" s="48">
        <f t="shared" si="1"/>
        <v>811</v>
      </c>
      <c r="F28" s="104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308880</v>
      </c>
      <c r="F29" s="115" t="s">
        <v>55</v>
      </c>
      <c r="G29" s="177"/>
      <c r="H29" s="137">
        <f>H15-H16-H17-H18-H19-H20-H22-H23-H24+H26+H27+H28</f>
        <v>184212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159">
        <f t="shared" ref="H34:H39" si="2">F34*G34</f>
        <v>78000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59">
        <f t="shared" si="2"/>
        <v>10500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159">
        <f t="shared" si="2"/>
        <v>800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159">
        <f t="shared" si="2"/>
        <v>350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>
        <v>20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7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154">
        <v>69378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54">
        <v>25500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22</v>
      </c>
      <c r="D46" s="12">
        <f>C46*1.5</f>
        <v>33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184548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</v>
      </c>
      <c r="D50" s="12">
        <f>C50*1.5</f>
        <v>1.5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149</v>
      </c>
      <c r="G51" s="145">
        <f>G49-H29</f>
        <v>336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46035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f>394-63</f>
        <v>331</v>
      </c>
      <c r="D6" s="13">
        <f t="shared" ref="D6:D28" si="1">C6*L6</f>
        <v>251891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6</v>
      </c>
      <c r="D7" s="13">
        <f t="shared" si="1"/>
        <v>4686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f>54-14</f>
        <v>40</v>
      </c>
      <c r="D9" s="13">
        <f t="shared" si="1"/>
        <v>29320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3</v>
      </c>
      <c r="D12" s="48">
        <f t="shared" si="1"/>
        <v>2976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8</v>
      </c>
      <c r="D13" s="48">
        <f t="shared" si="1"/>
        <v>2456</v>
      </c>
      <c r="F13" s="243" t="s">
        <v>36</v>
      </c>
      <c r="G13" s="207"/>
      <c r="H13" s="198">
        <f>D29</f>
        <v>295463.33333333331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22</v>
      </c>
      <c r="D14" s="31">
        <f t="shared" si="1"/>
        <v>242</v>
      </c>
      <c r="F14" s="201" t="s">
        <v>39</v>
      </c>
      <c r="G14" s="202"/>
      <c r="H14" s="203">
        <f>D54</f>
        <v>42937.5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252525.83333333331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v>1182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195"/>
      <c r="I28" s="196"/>
      <c r="J28" s="197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295463.33333333331</v>
      </c>
      <c r="F29" s="115" t="s">
        <v>55</v>
      </c>
      <c r="G29" s="177"/>
      <c r="H29" s="137">
        <f>H15-H16-H17-H18-H19-H20-H22-H23-H24+H26+H27</f>
        <v>251343.83333333331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159">
        <f>F34*G34</f>
        <v>93000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59">
        <f t="shared" ref="H35:H39" si="2">F35*G35</f>
        <v>14000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159">
        <f>F36*G36</f>
        <v>1400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159">
        <f t="shared" si="2"/>
        <v>10000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159">
        <f t="shared" si="2"/>
        <v>200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12</v>
      </c>
      <c r="D42" s="12">
        <f>C42*2.25</f>
        <v>27</v>
      </c>
      <c r="F42" s="39" t="s">
        <v>79</v>
      </c>
      <c r="G42" s="159">
        <v>50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7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154">
        <v>131773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106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30</v>
      </c>
      <c r="D49" s="12">
        <f>C49*42</f>
        <v>1260</v>
      </c>
      <c r="F49" s="135" t="s">
        <v>86</v>
      </c>
      <c r="G49" s="137">
        <f>H34+H35+H36+H37+H38+H39+H40+H41+G42+H44+H45+H46</f>
        <v>250423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8</v>
      </c>
      <c r="D50" s="12">
        <f>C50*1.5</f>
        <v>12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161</v>
      </c>
      <c r="G51" s="244">
        <f>G49-H29</f>
        <v>-920.83333333331393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46035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363</v>
      </c>
      <c r="D6" s="13">
        <f t="shared" ref="D6:D28" si="1">C6*L6</f>
        <v>276243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7</v>
      </c>
      <c r="D7" s="13">
        <f t="shared" si="1"/>
        <v>5467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15</v>
      </c>
      <c r="D9" s="13">
        <f t="shared" si="1"/>
        <v>10995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3</v>
      </c>
      <c r="D10" s="13">
        <f t="shared" si="1"/>
        <v>3096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12</v>
      </c>
      <c r="D13" s="48">
        <f t="shared" si="1"/>
        <v>3684</v>
      </c>
      <c r="F13" s="243" t="s">
        <v>36</v>
      </c>
      <c r="G13" s="207"/>
      <c r="H13" s="198">
        <f>D29</f>
        <v>302382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5</v>
      </c>
      <c r="D14" s="31">
        <f t="shared" si="1"/>
        <v>55</v>
      </c>
      <c r="F14" s="201" t="s">
        <v>39</v>
      </c>
      <c r="G14" s="202"/>
      <c r="H14" s="203">
        <f>D54</f>
        <v>67329.75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235052.25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1296+324</f>
        <v>1620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95" t="s">
        <v>150</v>
      </c>
      <c r="C23" s="10">
        <v>1</v>
      </c>
      <c r="D23" s="48">
        <f t="shared" si="1"/>
        <v>1175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>
        <v>1</v>
      </c>
      <c r="D24" s="48">
        <f t="shared" si="1"/>
        <v>1667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04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302382</v>
      </c>
      <c r="F29" s="115" t="s">
        <v>55</v>
      </c>
      <c r="G29" s="177"/>
      <c r="H29" s="137">
        <f>H15-H16-H17-H18-H19-H20-H22-H23-H24+H26+H27</f>
        <v>233432.25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159">
        <f>F34*G34</f>
        <v>87000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159">
        <f>F35*G35</f>
        <v>24000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159">
        <f t="shared" si="2"/>
        <v>3900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159">
        <f t="shared" si="2"/>
        <v>1350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9">
        <v>59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7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154">
        <v>117189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233498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</v>
      </c>
      <c r="D50" s="12">
        <f>C50*1.5</f>
        <v>3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149</v>
      </c>
      <c r="G51" s="145">
        <f>G49-H29</f>
        <v>65.75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11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46036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/>
      <c r="D6" s="13">
        <f t="shared" ref="D6:D28" si="1">C6*L6</f>
        <v>0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108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H15-H16-H17-H18-H19-H20-H22-H23-H24+H26+H27+H28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46036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509</v>
      </c>
      <c r="D6" s="13">
        <f t="shared" ref="D6:D28" si="1">C6*L6</f>
        <v>387349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82</v>
      </c>
      <c r="D9" s="13">
        <f t="shared" si="1"/>
        <v>60106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19</v>
      </c>
      <c r="D13" s="48">
        <f t="shared" si="1"/>
        <v>5833</v>
      </c>
      <c r="F13" s="243" t="s">
        <v>36</v>
      </c>
      <c r="G13" s="207"/>
      <c r="H13" s="198">
        <f>D29</f>
        <v>453420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</v>
      </c>
      <c r="F14" s="201" t="s">
        <v>39</v>
      </c>
      <c r="G14" s="202"/>
      <c r="H14" s="203">
        <f>D54</f>
        <v>80525.25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372894.75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235*6+350*6</f>
        <v>3510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453420</v>
      </c>
      <c r="F29" s="115" t="s">
        <v>55</v>
      </c>
      <c r="G29" s="177"/>
      <c r="H29" s="137">
        <f>H15-H16-H17-H18-H19-H20-H22-H23-H24+H26+H27</f>
        <v>369384.75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59">
        <f>F34*G34</f>
        <v>101000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159">
        <f t="shared" ref="H35:H39" si="2">F35*G35</f>
        <v>48000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159">
        <f t="shared" si="2"/>
        <v>300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3</v>
      </c>
      <c r="D42" s="12">
        <f>C42*2.25</f>
        <v>6.75</v>
      </c>
      <c r="F42" s="39" t="s">
        <v>79</v>
      </c>
      <c r="G42" s="159">
        <v>4035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154">
        <v>216075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35</v>
      </c>
      <c r="D46" s="12">
        <f>C46*1.5</f>
        <v>52.5</v>
      </c>
      <c r="F46" s="37"/>
      <c r="G46" s="109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3</v>
      </c>
      <c r="D49" s="12">
        <f>C49*42</f>
        <v>126</v>
      </c>
      <c r="F49" s="135" t="s">
        <v>86</v>
      </c>
      <c r="G49" s="137">
        <f>H34+H35+H36+H37+H38+H39+H40+H41+G42+H44+H45+H46</f>
        <v>369410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23</v>
      </c>
      <c r="D50" s="12">
        <f>C50*1.5</f>
        <v>34.5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25.25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46036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205</v>
      </c>
      <c r="D6" s="13">
        <f t="shared" ref="D6:D28" si="1">C6*L6</f>
        <v>156005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5</v>
      </c>
      <c r="D9" s="13">
        <f t="shared" si="1"/>
        <v>3665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2</v>
      </c>
      <c r="D10" s="13">
        <f t="shared" si="1"/>
        <v>2064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7</v>
      </c>
      <c r="D13" s="48">
        <f t="shared" si="1"/>
        <v>2149</v>
      </c>
      <c r="F13" s="243" t="s">
        <v>36</v>
      </c>
      <c r="G13" s="207"/>
      <c r="H13" s="198">
        <f>D29</f>
        <v>164919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4</v>
      </c>
      <c r="D14" s="31">
        <f t="shared" si="1"/>
        <v>44</v>
      </c>
      <c r="F14" s="201" t="s">
        <v>39</v>
      </c>
      <c r="G14" s="202"/>
      <c r="H14" s="203">
        <f>D54</f>
        <v>23962.5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140956.5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128*6+50*6</f>
        <v>1068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164919</v>
      </c>
      <c r="F29" s="115" t="s">
        <v>55</v>
      </c>
      <c r="G29" s="177"/>
      <c r="H29" s="137">
        <f>H15-H16-H17-H18-H19-H20-H22-H23-H24+H26+H27</f>
        <v>139888.5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159">
        <f>F34*G34</f>
        <v>38000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59">
        <f>F35*G35</f>
        <v>17000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208</v>
      </c>
      <c r="D37" s="12">
        <f>C37*111</f>
        <v>23088</v>
      </c>
      <c r="F37" s="12">
        <v>100</v>
      </c>
      <c r="G37" s="39">
        <v>2</v>
      </c>
      <c r="H37" s="159">
        <f t="shared" si="2"/>
        <v>200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154">
        <v>84323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4</v>
      </c>
      <c r="D49" s="12">
        <f>C49*42</f>
        <v>168</v>
      </c>
      <c r="F49" s="135" t="s">
        <v>86</v>
      </c>
      <c r="G49" s="137">
        <f>H34+H35+H36+H37+H38+H39+H40+H41+G42+H44+H45+H46</f>
        <v>139523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23</v>
      </c>
      <c r="D50" s="12">
        <f>C50*1.5</f>
        <v>34.5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-365.5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23962.5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11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46037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/>
      <c r="D6" s="13">
        <f t="shared" ref="D6:D28" si="1">C6*L6</f>
        <v>0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108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H15-H16-H17-H18-H19-H20-H22-H23-H24+H26+H27+H28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46037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ref="H35:H39" si="2"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109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46037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11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46038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/>
      <c r="D6" s="13">
        <f t="shared" ref="D6:D28" si="1">C6*L6</f>
        <v>0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108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H15-H16-H17-H18-H19-H20-H22-H23-H24+H26+H27+H28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46038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ref="H35:H39" si="2"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109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46038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11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46039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/>
      <c r="D6" s="13">
        <f t="shared" ref="D6:D28" si="1">C6*L6</f>
        <v>0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108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H15-H16-H17-H18-H19-H20-H22-H23-H24+H26+H27+H28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46039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ref="H35:H39" si="2"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109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46039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11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46041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/>
      <c r="D6" s="13">
        <f t="shared" ref="D6:D28" si="1">C6*L6</f>
        <v>0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108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H15-H16-H17-H18-H19-H20-H22-H23-H24+H26+H27+H28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46041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ref="H35:H39" si="2"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109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46041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66</vt:i4>
      </vt:variant>
      <vt:variant>
        <vt:lpstr>Named Ranges</vt:lpstr>
      </vt:variant>
      <vt:variant>
        <vt:i4>65</vt:i4>
      </vt:variant>
    </vt:vector>
  </HeadingPairs>
  <TitlesOfParts>
    <vt:vector size="131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2026-01-15T00:32:17Z</cp:lastPrinted>
  <dcterms:created xsi:type="dcterms:W3CDTF">2024-09-01T23:36:50Z</dcterms:created>
  <dcterms:modified xsi:type="dcterms:W3CDTF">2026-01-15T00:39:25Z</dcterms:modified>
</cp:coreProperties>
</file>