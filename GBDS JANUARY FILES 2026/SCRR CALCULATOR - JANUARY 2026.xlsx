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1C974DC-B68E-48E5-9356-91B23B139733}" xr6:coauthVersionLast="45" xr6:coauthVersionMax="47" xr10:uidLastSave="{00000000-0000-0000-0000-000000000000}"/>
  <bookViews>
    <workbookView xWindow="-120" yWindow="-120" windowWidth="29040" windowHeight="15840" firstSheet="71" activeTab="80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 NO TRIP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 NO TRIP'!$A$1:$J$60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17" l="1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D34" i="1720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R37" i="1719"/>
  <c r="H37" i="1719"/>
  <c r="D37" i="1719"/>
  <c r="R36" i="1719"/>
  <c r="H36" i="1719"/>
  <c r="D36" i="1719"/>
  <c r="R35" i="1719"/>
  <c r="H35" i="1719"/>
  <c r="D35" i="1719"/>
  <c r="R34" i="1719"/>
  <c r="H34" i="1719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54" i="1720" l="1"/>
  <c r="H14" i="1720" s="1"/>
  <c r="D54" i="1719"/>
  <c r="H14" i="1719" s="1"/>
  <c r="G49" i="1720"/>
  <c r="G49" i="1719"/>
  <c r="G49" i="1717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D29" i="1719"/>
  <c r="H13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20" l="1"/>
  <c r="H29" i="1720" s="1"/>
  <c r="G51" i="1720" s="1"/>
  <c r="H15" i="1719"/>
  <c r="H29" i="1719" s="1"/>
  <c r="G51" i="1719" s="1"/>
  <c r="G51" i="1717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<sst xmlns="http://schemas.openxmlformats.org/spreadsheetml/2006/main" count="12052" uniqueCount="226">
  <si>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</si>
  <si>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</si>
  <si>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</si>
  <si>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</si>
  <si>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</si>
  <si>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</si>
  <si>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</si>
  <si>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</si>
  <si>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</si>
  <si>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</si>
  <si>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</si>
  <si>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</si>
  <si>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</si>
  <si>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</si>
  <si>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</si>
  <si>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</si>
  <si>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</si>
  <si>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</si>
  <si>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</si>
  <si>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</si>
  <si>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</si>
  <si>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</si>
  <si>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</si>
  <si>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</si>
  <si>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</si>
  <si>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</si>
  <si>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</si>
  <si>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</si>
  <si>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</si>
  <si>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</si>
  <si>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</si>
  <si>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</si>
  <si>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</si>
  <si>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</si>
  <si>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</si>
  <si>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</si>
  <si>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</si>
  <si>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</si>
  <si>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</si>
  <si>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</si>
  <si>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</si>
  <si>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</si>
  <si>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</si>
  <si>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</si>
  <si>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</si>
  <si>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</si>
  <si>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</si>
  <si>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</si>
  <si>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</si>
  <si>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</si>
  <si>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</si>
  <si>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</si>
  <si>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</si>
  <si>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</si>
  <si>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</si>
  <si>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</si>
  <si>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</si>
  <si>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</si>
  <si>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</si>
  <si>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</si>
  <si>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</si>
  <si>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</si>
  <si>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</si>
  <si>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</si>
  <si>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</si>
  <si>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</si>
  <si>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</si>
  <si>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</si>
  <si>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</si>
  <si>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</si>
  <si>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</si>
  <si>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</si>
  <si>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</si>
  <si>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</si>
  <si>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</si>
  <si>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</si>
  <si>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</si>
  <si>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</si>
  <si>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</si>
  <si>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</si>
  <si>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</si>
  <si>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</si>
  <si>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</si>
  <si>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</si>
  <si>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</si>
  <si>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</si>
  <si>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</si>
  <si>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</si>
  <si>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</si>
  <si>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</si>
  <si>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</si>
  <si>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</si>
  <si>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</si>
  <si>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</si>
  <si>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</si>
  <si>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</si>
  <si>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</si>
  <si>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</si>
  <si>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</si>
  <si>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</si>
  <si>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</si>
  <si>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</si>
  <si>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</si>
  <si>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</si>
  <si>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</si>
  <si>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</si>
  <si>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</si>
  <si>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</si>
  <si>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</si>
  <si>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</si>
  <si>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</si>
  <si>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</si>
  <si>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</si>
  <si>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</si>
  <si>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</si>
  <si>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</si>
  <si>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</si>
  <si>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</si>
  <si>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</si>
  <si>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</si>
  <si>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</si>
  <si>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</si>
  <si>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</si>
  <si>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</si>
  <si>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</si>
  <si>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</si>
  <si>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</si>
  <si>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</si>
  <si>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</si>
  <si>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</si>
  <si>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</si>
  <si>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</si>
  <si>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</si>
  <si>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</si>
  <si>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</si>
  <si>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</si>
  <si>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</si>
  <si>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</si>
  <si>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</si>
  <si>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</si>
  <si>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</si>
  <si>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</si>
  <si>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</si>
  <si>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</si>
  <si>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</si>
  <si>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</si>
  <si>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</si>
  <si>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</si>
  <si>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</si>
  <si>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</si>
  <si>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</si>
  <si>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</si>
  <si>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</si>
  <si>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</si>
  <si>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</si>
  <si>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</si>
  <si>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</si>
  <si>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</si>
  <si>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</si>
  <si>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</si>
  <si>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</si>
  <si>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</si>
  <si>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</si>
  <si>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</si>
  <si>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</si>
  <si>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</si>
  <si>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</si>
  <si>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</si>
  <si>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</si>
  <si>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</si>
  <si>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</si>
  <si>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</si>
  <si>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</si>
  <si>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</si>
  <si>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</si>
  <si>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</si>
  <si>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</si>
  <si>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</si>
  <si>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</si>
  <si>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</si>
  <si>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</si>
  <si>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</si>
  <si>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</si>
  <si>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</si>
  <si>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</si>
  <si>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</si>
  <si>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</si>
  <si>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</si>
  <si>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</si>
  <si>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</si>
  <si>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</si>
  <si>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</si>
  <si>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</si>
  <si>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</si>
  <si>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</si>
  <si>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</si>
  <si>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</si>
  <si>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</si>
  <si>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</si>
  <si>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</si>
  <si>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</si>
  <si>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</si>
  <si>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</si>
  <si>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</si>
  <si>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</si>
  <si>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</si>
  <si>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</si>
  <si>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</si>
  <si>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</si>
  <si>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</si>
  <si>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</si>
  <si>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</si>
  <si>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</si>
  <si>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</si>
  <si>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</si>
  <si>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</si>
  <si>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</si>
  <si>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</si>
  <si>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</si>
  <si>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</si>
  <si>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</si>
  <si>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</si>
  <si>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</si>
  <si>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</si>
  <si>
    <t xml:space="preserve">                           GINA GRACE A. LOPEZ</t>
  </si>
  <si>
    <t xml:space="preserve">                             ESTEMARK PORMENTO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</si>
</sst>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609600</xdr:colOff>
      <xdr:row>53</xdr:row>
      <xdr:rowOff>21370</xdr:rowOff>
    </xdr:from>
    <xdr:to>
      <xdr:col>3</xdr:col>
      <xdr:colOff>523875</xdr:colOff>
      <xdr:row>59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B4C3C3-54BF-4A60-A7BE-73D82DA08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384570"/>
          <a:ext cx="1533525" cy="128355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47</xdr:row>
      <xdr:rowOff>52841</xdr:rowOff>
    </xdr:from>
    <xdr:to>
      <xdr:col>3</xdr:col>
      <xdr:colOff>1219199</xdr:colOff>
      <xdr:row>65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A2C4E1D-7026-49D5-8FD1-50CF2D55F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234941"/>
          <a:ext cx="2647949" cy="352855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85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8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75</v>
      </c>
      <c r="D9" s="13">
        <f t="shared" si="1"/>
        <v>54975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4</v>
      </c>
      <c r="D13" s="48">
        <f t="shared" si="1"/>
        <v>1228</v>
      </c>
      <c r="F13" s="163" t="s">
        <v>36</v>
      </c>
      <c r="G13" s="164"/>
      <c r="H13" s="165">
        <f>D29</f>
        <v>443015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77991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365024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1758+600+612</f>
        <v>2970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>
        <v>8</v>
      </c>
      <c r="D22" s="48">
        <f t="shared" si="1"/>
        <v>5360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443015</v>
      </c>
      <c r="F29" s="186" t="s">
        <v>55</v>
      </c>
      <c r="G29" s="187"/>
      <c r="H29" s="190">
        <f>H15-H16-H17-H18-H19-H20-H22-H23-H24+H26+H27</f>
        <v>362054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8">
        <f>F35*G35</f>
        <v>43500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8">
        <v>47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02">
        <v>54216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02">
        <v>188602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365435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24</v>
      </c>
      <c r="D50" s="12">
        <f>C50*1.5</f>
        <v>36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3381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728</v>
      </c>
      <c r="D6" s="13">
        <f t="shared" ref="D6:D28" si="1">C6*L6</f>
        <v>554008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9</v>
      </c>
      <c r="D9" s="13">
        <f t="shared" si="1"/>
        <v>6597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16</v>
      </c>
      <c r="D11" s="13">
        <f t="shared" si="1"/>
        <v>18720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23+3</f>
        <v>26</v>
      </c>
      <c r="D12" s="48">
        <f t="shared" si="1"/>
        <v>25792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685162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145168.5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539993.5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2772</f>
        <v>2772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685162</v>
      </c>
      <c r="F29" s="186" t="s">
        <v>55</v>
      </c>
      <c r="G29" s="187"/>
      <c r="H29" s="190">
        <f>H15-H16-H17-H18-H19-H20-H22-H23-H24+H26+H27+H28</f>
        <v>537221.5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8">
        <f t="shared" ref="H34:H39" si="2">F34*G34</f>
        <v>229000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8">
        <f t="shared" si="2"/>
        <v>48500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02">
        <v>258954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536674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25</v>
      </c>
      <c r="D50" s="12">
        <f>C50*1.5</f>
        <v>37.5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-547.5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419083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68183.25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350899.75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216*6+140*6</f>
        <v>2136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0">
        <v>1440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419083</v>
      </c>
      <c r="F29" s="186" t="s">
        <v>55</v>
      </c>
      <c r="G29" s="187"/>
      <c r="H29" s="190">
        <f>H15-H16-H17-H18-H19-H20-H22-H23-H24+H26+H27</f>
        <v>347323.75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8">
        <f>F34*G34</f>
        <v>133000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8">
        <f>F35*G35</f>
        <v>29000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02">
        <v>139104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02">
        <v>45689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346817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-506.75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463</v>
      </c>
      <c r="D6" s="13">
        <f t="shared" ref="D6:D28" si="1">C6*L6</f>
        <v>352343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f>120-5</f>
        <v>115</v>
      </c>
      <c r="D9" s="13">
        <f t="shared" si="1"/>
        <v>84295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24</v>
      </c>
      <c r="D13" s="48">
        <f t="shared" si="1"/>
        <v>7368</v>
      </c>
      <c r="F13" s="163" t="s">
        <v>36</v>
      </c>
      <c r="G13" s="164"/>
      <c r="H13" s="165">
        <f>D29</f>
        <v>463474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12</v>
      </c>
      <c r="D14" s="31">
        <f t="shared" si="1"/>
        <v>132</v>
      </c>
      <c r="F14" s="168" t="s">
        <v>39</v>
      </c>
      <c r="G14" s="169"/>
      <c r="H14" s="170">
        <f>D54</f>
        <v>115968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347506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2592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0">
        <v>92560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02">
        <v>84449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463474</v>
      </c>
      <c r="F29" s="186" t="s">
        <v>55</v>
      </c>
      <c r="G29" s="187"/>
      <c r="H29" s="190">
        <f>H15-H16-H17-H18-H19-H20-H22-H23-H24+H26+H27+H28</f>
        <v>336803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8">
        <f t="shared" ref="H34:H39" si="2">F34*G34</f>
        <v>19000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02">
        <v>188388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02">
        <v>84449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21</v>
      </c>
      <c r="D46" s="12">
        <f>C46*1.5</f>
        <v>31.5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292745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-44058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501</v>
      </c>
      <c r="D6" s="13">
        <f t="shared" ref="D6:D28" si="1">C6*L6</f>
        <v>381261</v>
      </c>
      <c r="F6" s="141" t="s">
        <v>16</v>
      </c>
      <c r="G6" s="143" t="s">
        <v>155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</v>
      </c>
      <c r="D9" s="13">
        <f t="shared" si="1"/>
        <v>5864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18</v>
      </c>
      <c r="D13" s="48">
        <f t="shared" si="1"/>
        <v>5526</v>
      </c>
      <c r="F13" s="163" t="s">
        <v>36</v>
      </c>
      <c r="G13" s="164"/>
      <c r="H13" s="165">
        <f>D29</f>
        <v>392761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39</v>
      </c>
      <c r="G14" s="169"/>
      <c r="H14" s="170">
        <f>D54</f>
        <v>57342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335419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1296+1284</f>
        <v>2580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392761</v>
      </c>
      <c r="F29" s="186" t="s">
        <v>55</v>
      </c>
      <c r="G29" s="187"/>
      <c r="H29" s="190">
        <f>H15-H16-H17-H18-H19-H20-H22-H23-H24+H26+H27</f>
        <v>332839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8">
        <f>F34*G34</f>
        <v>186000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8">
        <f t="shared" ref="H35:H39" si="2">F35*G35</f>
        <v>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02">
        <v>139756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332638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30</v>
      </c>
      <c r="D50" s="12">
        <f>C50*1.5</f>
        <v>45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-201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735</v>
      </c>
      <c r="D6" s="13">
        <f t="shared" ref="D6:D28" si="1">C6*L6</f>
        <v>559335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5+1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667630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100451.25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567178.75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600+1050+456</f>
        <v>2106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667630</v>
      </c>
      <c r="F29" s="186" t="s">
        <v>55</v>
      </c>
      <c r="G29" s="187"/>
      <c r="H29" s="190">
        <f>H15-H16-H17-H18-H19-H20-H22-H23-H24+H26+H27</f>
        <v>565022.75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8">
        <f>F34*G34</f>
        <v>242000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8">
        <f>F35*G35</f>
        <v>67500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58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02">
        <v>112763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02">
        <v>142785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12</v>
      </c>
      <c r="D49" s="12">
        <f>C49*42</f>
        <v>504</v>
      </c>
      <c r="F49" s="243" t="s">
        <v>86</v>
      </c>
      <c r="G49" s="190">
        <f>H34+H35+H36+H37+H38+H39+H40+H41+G42+H44+H45+H46</f>
        <v>566156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1133.25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633</v>
      </c>
      <c r="D6" s="13">
        <f t="shared" ref="D6:D28" si="1">C6*L6</f>
        <v>481713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509943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74673.75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435269.25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509943</v>
      </c>
      <c r="F29" s="186" t="s">
        <v>55</v>
      </c>
      <c r="G29" s="187"/>
      <c r="H29" s="190">
        <f>H15-H16-H17-H18-H19-H20-H22-H23-H24+H26+H27+H28</f>
        <v>435269.25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8">
        <f t="shared" ref="H34:H39" si="2">F34*G34</f>
        <v>225000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8">
        <f t="shared" si="2"/>
        <v>150000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8">
        <f t="shared" si="2"/>
        <v>3600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72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02">
        <v>56000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435392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122.75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581</v>
      </c>
      <c r="D6" s="13">
        <f t="shared" ref="D6:D28" si="1">C6*L6</f>
        <v>442141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41</v>
      </c>
      <c r="D9" s="13">
        <f t="shared" si="1"/>
        <v>30053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486638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</v>
      </c>
      <c r="D14" s="31">
        <f t="shared" si="1"/>
        <v>11</v>
      </c>
      <c r="F14" s="168" t="s">
        <v>39</v>
      </c>
      <c r="G14" s="169"/>
      <c r="H14" s="170">
        <f>D54</f>
        <v>85668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400970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324*6+201*6</f>
        <v>3150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0">
        <v>131647</v>
      </c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486638</v>
      </c>
      <c r="F29" s="186" t="s">
        <v>55</v>
      </c>
      <c r="G29" s="187"/>
      <c r="H29" s="190">
        <f>H15-H16-H17-H18-H19-H20-H22-H23-H24+H26+H27</f>
        <v>266173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8">
        <f>F34*G34</f>
        <v>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8">
        <f t="shared" ref="H35:H37" si="2">F35*G35</f>
        <v>22500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8">
        <f t="shared" si="2"/>
        <v>4000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8">
        <f t="shared" ref="H38:H39" si="3">F38*G38</f>
        <v>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3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18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02">
        <v>198198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24</v>
      </c>
      <c r="D46" s="12">
        <f>C46*1.5</f>
        <v>36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264236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21</v>
      </c>
      <c r="D50" s="12">
        <f>C50*1.5</f>
        <v>31.5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-1937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614-273</f>
        <v>341</v>
      </c>
      <c r="D6" s="13">
        <f t="shared" ref="D6:D28" si="1">C6*L6</f>
        <v>259501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13</v>
      </c>
      <c r="D9" s="13">
        <f t="shared" si="1"/>
        <v>9529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275314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68" t="s">
        <v>39</v>
      </c>
      <c r="G14" s="169"/>
      <c r="H14" s="170">
        <f>D54</f>
        <v>52389.75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222924.25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268*6+51*6</f>
        <v>1914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0">
        <v>173644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275314</v>
      </c>
      <c r="F29" s="186" t="s">
        <v>55</v>
      </c>
      <c r="G29" s="187"/>
      <c r="H29" s="190">
        <f>H15-H16-H17-H18-H19-H20-H22-H23-H24+H26+H27</f>
        <v>47366.25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8">
        <f>F34*G34</f>
        <v>26000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8">
        <f t="shared" si="2"/>
        <v>3400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142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7</v>
      </c>
      <c r="D46" s="12">
        <f>C46*1.5</f>
        <v>10.5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47242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16</v>
      </c>
      <c r="D50" s="12">
        <f>C50*1.5</f>
        <v>24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523</v>
      </c>
      <c r="D6" s="13">
        <f t="shared" ref="D6:D28" si="1">C6*L6</f>
        <v>398003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13</v>
      </c>
      <c r="D13" s="48">
        <f t="shared" si="1"/>
        <v>3991</v>
      </c>
      <c r="F13" s="163" t="s">
        <v>36</v>
      </c>
      <c r="G13" s="164"/>
      <c r="H13" s="165">
        <f>D29</f>
        <v>416738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3</v>
      </c>
      <c r="D14" s="31">
        <f t="shared" si="1"/>
        <v>33</v>
      </c>
      <c r="F14" s="168" t="s">
        <v>39</v>
      </c>
      <c r="G14" s="169"/>
      <c r="H14" s="170">
        <f>D54</f>
        <v>113626.5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303111.5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2586</f>
        <v>2586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416738</v>
      </c>
      <c r="F29" s="186" t="s">
        <v>55</v>
      </c>
      <c r="G29" s="187"/>
      <c r="H29" s="190">
        <f>H15-H16-H17-H18-H19-H20-H22-H23-H24+H26+H27+H28</f>
        <v>300525.5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8">
        <f t="shared" ref="H34:H39" si="2"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8">
        <f t="shared" si="2"/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8">
        <f t="shared" si="2"/>
        <v>4100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02">
        <v>234325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34</v>
      </c>
      <c r="D46" s="12">
        <f>C46*1.5</f>
        <v>51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300175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10</v>
      </c>
      <c r="D50" s="12">
        <f>C50*1.5</f>
        <v>15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-350.5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450</v>
      </c>
      <c r="D6" s="13">
        <f t="shared" ref="D6:D28" si="1">C6*L6</f>
        <v>342450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364269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39</v>
      </c>
      <c r="G14" s="169"/>
      <c r="H14" s="170">
        <f>D54</f>
        <v>53587.5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310681.5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2064</f>
        <v>2064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6">
        <v>131647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364269</v>
      </c>
      <c r="F29" s="186" t="s">
        <v>55</v>
      </c>
      <c r="G29" s="187"/>
      <c r="H29" s="190">
        <f>H15-H16-H17-H18-H19-H20-H22-H23-H24+H26+H27</f>
        <v>440264.5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8">
        <f>F34*G34</f>
        <v>243000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8">
        <f t="shared" ref="H35:H39" si="2">F35*G35</f>
        <v>50500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8">
        <f t="shared" si="2"/>
        <v>12800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8">
        <f t="shared" si="2"/>
        <v>2300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71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02">
        <v>131647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440318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 t="s">
        <v>179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178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6">
        <v>7281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6">
        <v>1000</v>
      </c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6">
        <v>3130</v>
      </c>
      <c r="I28" s="207"/>
      <c r="J28" s="20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11411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1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/>
      <c r="H44" s="202">
        <v>11411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0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11411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177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380</v>
      </c>
      <c r="D6" s="13">
        <f t="shared" ref="D6:D28" si="1">C6*L6</f>
        <v>289180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84</v>
      </c>
      <c r="D9" s="13">
        <f t="shared" si="1"/>
        <v>61572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3+1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383641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52228.5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331412.5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6">
        <v>173644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383641</v>
      </c>
      <c r="F29" s="186" t="s">
        <v>55</v>
      </c>
      <c r="G29" s="187"/>
      <c r="H29" s="190">
        <f>H15-H16-H17-H18-H19-H20-H22-H23-H24+H26+H27</f>
        <v>503758.5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8">
        <f>F35*G35</f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8">
        <f t="shared" si="2"/>
        <v>15100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8">
        <f t="shared" si="2"/>
        <v>16750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175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02">
        <v>139318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02">
        <v>173644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503587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-171.5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707</v>
      </c>
      <c r="D6" s="13">
        <f t="shared" ref="D6:D28" si="1">C6*L6</f>
        <v>538027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26</v>
      </c>
      <c r="D13" s="48">
        <f t="shared" si="1"/>
        <v>7982</v>
      </c>
      <c r="F13" s="163" t="s">
        <v>36</v>
      </c>
      <c r="G13" s="164"/>
      <c r="H13" s="165">
        <f>D29</f>
        <v>555289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79440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475849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3882</f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555289</v>
      </c>
      <c r="F29" s="186" t="s">
        <v>55</v>
      </c>
      <c r="G29" s="187"/>
      <c r="H29" s="190">
        <f>H15-H16-H17-H18-H19-H20-H22-H23-H24+H26+H27+H28</f>
        <v>471967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8">
        <f t="shared" ref="H34:H39" si="2">F34*G34</f>
        <v>262000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8">
        <f t="shared" si="2"/>
        <v>201000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8">
        <f t="shared" si="2"/>
        <v>6800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470508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-1459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314</v>
      </c>
      <c r="D6" s="13">
        <f t="shared" ref="D6:D28" si="1">C6*L6</f>
        <v>238954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19</v>
      </c>
      <c r="D9" s="13">
        <f t="shared" si="1"/>
        <v>13927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2+1+1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263957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52866.75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211090.25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263957</v>
      </c>
      <c r="F29" s="186" t="s">
        <v>55</v>
      </c>
      <c r="G29" s="187"/>
      <c r="H29" s="190">
        <f>H15-H16-H17-H18-H19-H20-H22-H23-H24+H26+H27</f>
        <v>211090.25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8">
        <f>F34*G34</f>
        <v>199000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8">
        <f t="shared" ref="H35:H39" si="2">F35*G35</f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8">
        <f t="shared" si="2"/>
        <v>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10004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215154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36</v>
      </c>
      <c r="D50" s="12">
        <f>C50*1.5</f>
        <v>54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4063.75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529</v>
      </c>
      <c r="D6" s="13">
        <f t="shared" ref="D6:D28" si="1">C6*L6</f>
        <v>402569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8+1+1</f>
        <v>10</v>
      </c>
      <c r="D12" s="48">
        <f t="shared" si="1"/>
        <v>9920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434667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66066.75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368600.25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2772+330</f>
        <v>3102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434667</v>
      </c>
      <c r="F29" s="186" t="s">
        <v>55</v>
      </c>
      <c r="G29" s="187"/>
      <c r="H29" s="190">
        <f>H15-H16-H17-H18-H19-H20-H22-H23-H24+H26+H27</f>
        <v>365498.25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8">
        <f>F34*G34</f>
        <v>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8">
        <f>F35*G35</f>
        <v>15000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8">
        <f t="shared" si="2"/>
        <v>7300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165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02">
        <v>301634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365419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-79.25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647</v>
      </c>
      <c r="D6" s="13">
        <f t="shared" ref="D6:D28" si="1">C6*L6</f>
        <v>492367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498507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99282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399225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498507</v>
      </c>
      <c r="F29" s="186" t="s">
        <v>55</v>
      </c>
      <c r="G29" s="187"/>
      <c r="H29" s="190">
        <f>H15-H16-H17-H18-H19-H20-H22-H23-H24+H26+H27+H28</f>
        <v>395343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8">
        <f t="shared" ref="H34:H39" si="2">F34*G34</f>
        <v>395000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34</v>
      </c>
      <c r="D49" s="12">
        <f>C49*42</f>
        <v>1428</v>
      </c>
      <c r="F49" s="243" t="s">
        <v>86</v>
      </c>
      <c r="G49" s="190">
        <f>H34+H35+H36+H37+H38+H39+H40+H41+G42+H44+H45+H46</f>
        <v>395313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317</v>
      </c>
      <c r="D6" s="13">
        <f t="shared" ref="D6:D28" si="1">C6*L6</f>
        <v>241237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23</v>
      </c>
      <c r="D9" s="13">
        <f t="shared" si="1"/>
        <v>16859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1+1</f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273073.33333333331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45388.5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227684.83333333331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1074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273073.33333333331</v>
      </c>
      <c r="F29" s="186" t="s">
        <v>55</v>
      </c>
      <c r="G29" s="187"/>
      <c r="H29" s="190">
        <f>H15-H16-H17-H18-H19-H20-H22-H23-H24+H26+H27</f>
        <v>226610.83333333331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8">
        <f t="shared" ref="H35:H39" si="2">F35*G35</f>
        <v>73500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8">
        <f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8">
        <f t="shared" si="2"/>
        <v>2900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225050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-1560.8333333333139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78</v>
      </c>
      <c r="D9" s="13">
        <f t="shared" si="1"/>
        <v>57174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341782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68" t="s">
        <v>39</v>
      </c>
      <c r="G14" s="169"/>
      <c r="H14" s="170">
        <f>D54</f>
        <v>52036.5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289745.5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684+672</f>
        <v>1356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4</v>
      </c>
      <c r="D28" s="48">
        <f t="shared" si="1"/>
        <v>3244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341782</v>
      </c>
      <c r="F29" s="186" t="s">
        <v>55</v>
      </c>
      <c r="G29" s="187"/>
      <c r="H29" s="190">
        <f>H15-H16-H17-H18-H19-H20-H22-H23-H24+H26+H27</f>
        <v>288389.5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8">
        <f>F34*G34</f>
        <v>83000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8">
        <f>F35*G35</f>
        <v>25000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8">
        <f t="shared" ref="H36:H39" si="2">F36*G36</f>
        <v>1200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8">
        <f t="shared" si="2"/>
        <v>17100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8">
        <f t="shared" si="2"/>
        <v>60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16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02">
        <v>84877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02">
        <v>74828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288531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141.5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467</v>
      </c>
      <c r="D6" s="13">
        <f t="shared" ref="D6:D28" si="1">C6*L6</f>
        <v>355387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70</v>
      </c>
      <c r="D8" s="13">
        <f t="shared" si="1"/>
        <v>76510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458758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63504.75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395253.25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458758</v>
      </c>
      <c r="F29" s="186" t="s">
        <v>55</v>
      </c>
      <c r="G29" s="187"/>
      <c r="H29" s="190">
        <f>H15-H16-H17-H18-H19-H20-H22-H23-H24+H26+H27+H28</f>
        <v>395253.25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8">
        <f t="shared" ref="H34:H39" si="2">F34*G34</f>
        <v>233000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8">
        <f t="shared" si="2"/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62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02">
        <v>73477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20198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02">
        <v>27000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395307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264</v>
      </c>
      <c r="D6" s="13">
        <f t="shared" ref="D6:D28" si="1">C6*L6</f>
        <v>200904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250831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44389.5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206441.5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101</v>
      </c>
      <c r="C22" s="10">
        <v>1</v>
      </c>
      <c r="D22" s="48">
        <f t="shared" si="1"/>
        <v>1667</v>
      </c>
      <c r="F22" s="72"/>
      <c r="G22" s="73"/>
      <c r="H22" s="200"/>
      <c r="I22" s="200"/>
      <c r="J22" s="20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250831</v>
      </c>
      <c r="F29" s="186" t="s">
        <v>55</v>
      </c>
      <c r="G29" s="187"/>
      <c r="H29" s="190">
        <f>H15-H16-H17-H18-H19-H20-H22-H23-H24+H26+H27</f>
        <v>205265.5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8">
        <f>F34*G34</f>
        <v>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8">
        <f t="shared" ref="H35:H39" si="2">F35*G35</f>
        <v>16000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8">
        <f>F36*G36</f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8">
        <f t="shared" si="2"/>
        <v>14200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8">
        <f t="shared" si="2"/>
        <v>650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16</v>
      </c>
      <c r="D42" s="12">
        <f>C42*2.25</f>
        <v>36</v>
      </c>
      <c r="F42" s="39" t="s">
        <v>79</v>
      </c>
      <c r="G42" s="218">
        <v>34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02">
        <v>124746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205450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184.5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394</v>
      </c>
      <c r="D6" s="13">
        <f t="shared" ref="D6:D28" si="1">C6*L6</f>
        <v>299834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</v>
      </c>
      <c r="D9" s="13">
        <f t="shared" si="1"/>
        <v>8063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317305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75464.25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241840.75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342+1296+666</f>
        <v>2304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317305</v>
      </c>
      <c r="F29" s="186" t="s">
        <v>55</v>
      </c>
      <c r="G29" s="187"/>
      <c r="H29" s="190">
        <f>H15-H16-H17-H18-H19-H20-H22-H23-H24+H26+H27</f>
        <v>239536.75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8">
        <f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8">
        <f>F35*G35</f>
        <v>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02">
        <v>44070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02">
        <v>139104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239452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-84.75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233</v>
      </c>
      <c r="D6" s="13">
        <f t="shared" ref="D6:D28" si="1">C6*L6</f>
        <v>177313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3</v>
      </c>
      <c r="D8" s="13">
        <f t="shared" si="1"/>
        <v>3279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3</v>
      </c>
      <c r="D11" s="13">
        <f t="shared" si="1"/>
        <v>3510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7</v>
      </c>
      <c r="D13" s="48">
        <f t="shared" si="1"/>
        <v>2149</v>
      </c>
      <c r="F13" s="163" t="s">
        <v>36</v>
      </c>
      <c r="G13" s="164"/>
      <c r="H13" s="165">
        <f>D29</f>
        <v>228543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19</v>
      </c>
      <c r="D14" s="31">
        <f t="shared" si="1"/>
        <v>209</v>
      </c>
      <c r="F14" s="168" t="s">
        <v>39</v>
      </c>
      <c r="G14" s="169"/>
      <c r="H14" s="170">
        <f>D54</f>
        <v>28542.75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200000.25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0">
        <v>99507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02">
        <v>92560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228543</v>
      </c>
      <c r="F29" s="186" t="s">
        <v>55</v>
      </c>
      <c r="G29" s="187"/>
      <c r="H29" s="190">
        <f>H15-H16-H17-H18-H19-H20-H22-H23-H24+H26+H27+H28</f>
        <v>193053.25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8">
        <f t="shared" ref="H34:H39" si="2">F34*G34</f>
        <v>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8">
        <f t="shared" si="2"/>
        <v>14500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159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02">
        <v>11432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02">
        <v>30888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02">
        <v>92560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192239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42</v>
      </c>
      <c r="D50" s="12">
        <f>C50*1.5</f>
        <v>63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-814.25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110</v>
      </c>
      <c r="D9" s="13">
        <f t="shared" si="1"/>
        <v>80630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360378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53643.75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306734.25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2652</f>
        <v>2652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360378</v>
      </c>
      <c r="F29" s="186" t="s">
        <v>55</v>
      </c>
      <c r="G29" s="187"/>
      <c r="H29" s="190">
        <f>H15-H16-H17-H18-H19-H20-H22-H23-H24+H26+H27</f>
        <v>304082.25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8">
        <f t="shared" ref="H35:H39" si="2">F35*G35</f>
        <v>133500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8">
        <f t="shared" si="2"/>
        <v>38400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8">
        <f t="shared" si="2"/>
        <v>8850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8">
        <v>61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304011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-71.25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437</v>
      </c>
      <c r="D6" s="13">
        <f t="shared" ref="D6:D28" si="1">C6*L6</f>
        <v>332557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429225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20</v>
      </c>
      <c r="D14" s="31">
        <f t="shared" si="1"/>
        <v>220</v>
      </c>
      <c r="F14" s="168" t="s">
        <v>39</v>
      </c>
      <c r="G14" s="169"/>
      <c r="H14" s="170">
        <f>D54</f>
        <v>84082.5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345142.5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1026+312</f>
        <v>1338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429225</v>
      </c>
      <c r="F29" s="186" t="s">
        <v>55</v>
      </c>
      <c r="G29" s="187"/>
      <c r="H29" s="190">
        <f>H15-H16-H17-H18-H19-H20-H22-H23-H24+H26+H27</f>
        <v>343754.5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8">
        <f>F34*G34</f>
        <v>66000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8">
        <f t="shared" si="2"/>
        <v>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8">
        <f t="shared" si="2"/>
        <v>1750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8</v>
      </c>
      <c r="D42" s="12">
        <f>C42*2.25</f>
        <v>18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02">
        <v>140724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02">
        <v>108088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17</v>
      </c>
      <c r="D46" s="12">
        <f>C46*1.5</f>
        <v>25.5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343062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-692.5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4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355</v>
      </c>
      <c r="D6" s="13">
        <f t="shared" ref="D6:D28" si="1">C6*L6</f>
        <v>270155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5</v>
      </c>
      <c r="D11" s="13">
        <f t="shared" si="1"/>
        <v>5850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308880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123354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185526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1314</f>
        <v>1314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7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308880</v>
      </c>
      <c r="F29" s="186" t="s">
        <v>55</v>
      </c>
      <c r="G29" s="187"/>
      <c r="H29" s="190">
        <f>H15-H16-H17-H18-H19-H20-H22-H23-H24+H26+H27+H28</f>
        <v>184212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8">
        <f t="shared" ref="H34:H39" si="2"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8">
        <f t="shared" si="2"/>
        <v>10500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20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02">
        <v>69378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25500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184548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394-63</f>
        <v>331</v>
      </c>
      <c r="D6" s="13">
        <f t="shared" ref="D6:D28" si="1">C6*L6</f>
        <v>251891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f>54-14</f>
        <v>40</v>
      </c>
      <c r="D9" s="13">
        <f t="shared" si="1"/>
        <v>29320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295463.33333333331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42937.5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252525.83333333331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2"/>
      <c r="I28" s="213"/>
      <c r="J28" s="21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295463.33333333331</v>
      </c>
      <c r="F29" s="186" t="s">
        <v>55</v>
      </c>
      <c r="G29" s="187"/>
      <c r="H29" s="190">
        <f>H15-H16-H17-H18-H19-H20-H22-H23-H24+H26+H27</f>
        <v>251343.83333333331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8">
        <f>F34*G34</f>
        <v>93000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8">
        <f t="shared" ref="H35:H39" si="2">F35*G35</f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8">
        <f>F36*G36</f>
        <v>1400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8">
        <f t="shared" si="2"/>
        <v>10000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218">
        <v>50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02">
        <v>131773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30</v>
      </c>
      <c r="D49" s="12">
        <f>C49*42</f>
        <v>1260</v>
      </c>
      <c r="F49" s="243" t="s">
        <v>86</v>
      </c>
      <c r="G49" s="190">
        <f>H34+H35+H36+H37+H38+H39+H40+H41+G42+H44+H45+H46</f>
        <v>250423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-920.83333333331393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302382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67329.75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235052.25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1296+324</f>
        <v>1620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302382</v>
      </c>
      <c r="F29" s="186" t="s">
        <v>55</v>
      </c>
      <c r="G29" s="187"/>
      <c r="H29" s="190">
        <f>H15-H16-H17-H18-H19-H20-H22-H23-H24+H26+H27</f>
        <v>233432.25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8">
        <f>F34*G34</f>
        <v>87000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8">
        <f>F35*G35</f>
        <v>24000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8">
        <f t="shared" si="2"/>
        <v>3900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8">
        <f t="shared" si="2"/>
        <v>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02">
        <v>117189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233498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65.75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509</v>
      </c>
      <c r="D6" s="13">
        <f t="shared" ref="D6:D28" si="1">C6*L6</f>
        <v>387349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82</v>
      </c>
      <c r="D9" s="13">
        <f t="shared" si="1"/>
        <v>60106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163" t="s">
        <v>36</v>
      </c>
      <c r="G13" s="164"/>
      <c r="H13" s="165">
        <f>D29</f>
        <v>453420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80525.25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372894.75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235*6+350*6</f>
        <v>3510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453420</v>
      </c>
      <c r="F29" s="186" t="s">
        <v>55</v>
      </c>
      <c r="G29" s="187"/>
      <c r="H29" s="190">
        <f>H15-H16-H17-H18-H19-H20-H22-H23-H24+H26+H27</f>
        <v>369384.75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8">
        <f>F34*G34</f>
        <v>101000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8">
        <f t="shared" ref="H35:H39" si="2">F35*G35</f>
        <v>48000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4035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02">
        <v>216075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35</v>
      </c>
      <c r="D46" s="12">
        <f>C46*1.5</f>
        <v>52.5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369410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25.25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205</v>
      </c>
      <c r="D6" s="13">
        <f t="shared" ref="D6:D28" si="1">C6*L6</f>
        <v>156005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</v>
      </c>
      <c r="D9" s="13">
        <f t="shared" si="1"/>
        <v>3665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164919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24184.5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140734.5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128*6+50*6</f>
        <v>1068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164919</v>
      </c>
      <c r="F29" s="186" t="s">
        <v>55</v>
      </c>
      <c r="G29" s="187"/>
      <c r="H29" s="190">
        <f>H15-H16-H17-H18-H19-H20-H22-H23-H24+H26+H27</f>
        <v>139666.5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8">
        <f>F34*G34</f>
        <v>38000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8">
        <f>F35*G35</f>
        <v>17000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02">
        <v>84323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4</v>
      </c>
      <c r="D49" s="12">
        <f>C49*42</f>
        <v>168</v>
      </c>
      <c r="F49" s="243" t="s">
        <v>86</v>
      </c>
      <c r="G49" s="190">
        <f>H34+H35+H36+H37+H38+H39+H40+H41+G42+H44+H45+H46</f>
        <v>139523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-143.5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503</v>
      </c>
      <c r="D6" s="13">
        <f t="shared" ref="D6:D28" si="1">C6*L6</f>
        <v>382783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25</v>
      </c>
      <c r="D7" s="13">
        <f t="shared" si="1"/>
        <v>19525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16</v>
      </c>
      <c r="D13" s="48">
        <f t="shared" si="1"/>
        <v>4912</v>
      </c>
      <c r="F13" s="163" t="s">
        <v>36</v>
      </c>
      <c r="G13" s="164"/>
      <c r="H13" s="165">
        <f>D29</f>
        <v>414803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93813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320990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432*6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414803</v>
      </c>
      <c r="F29" s="186" t="s">
        <v>55</v>
      </c>
      <c r="G29" s="187"/>
      <c r="H29" s="190">
        <f>H15-H16-H17-H18-H19-H20-H22-H23-H24+H26+H27+H28</f>
        <v>318398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8">
        <f t="shared" ref="H34:H39" si="2">F34*G34</f>
        <v>61000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 t="shared" si="2"/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8">
        <f t="shared" si="2"/>
        <v>1100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8">
        <f t="shared" si="2"/>
        <v>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02">
        <v>252228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318366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285</v>
      </c>
      <c r="D6" s="13">
        <f t="shared" ref="D6:D28" si="1">C6*L6</f>
        <v>216885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21</v>
      </c>
      <c r="D9" s="13">
        <f t="shared" si="1"/>
        <v>15393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238821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19</v>
      </c>
      <c r="D14" s="31">
        <f t="shared" si="1"/>
        <v>209</v>
      </c>
      <c r="F14" s="168" t="s">
        <v>39</v>
      </c>
      <c r="G14" s="169"/>
      <c r="H14" s="170">
        <f>D54</f>
        <v>59093.25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179727.75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238821</v>
      </c>
      <c r="F29" s="186" t="s">
        <v>55</v>
      </c>
      <c r="G29" s="187"/>
      <c r="H29" s="190">
        <f>H15-H16-H17-H18-H19-H20-H22-H23-H24+H26+H27</f>
        <v>178431.75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8">
        <f>F34*G34</f>
        <v>44000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8">
        <f t="shared" ref="H35:H39" si="2">F35*G35</f>
        <v>11000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8">
        <f t="shared" si="2"/>
        <v>4500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8">
        <f t="shared" si="2"/>
        <v>1050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02">
        <v>117436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178429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44</v>
      </c>
      <c r="D50" s="12">
        <f>C50*1.5</f>
        <v>66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421</v>
      </c>
      <c r="D6" s="13">
        <f t="shared" ref="D6:D28" si="1">C6*L6</f>
        <v>320381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334136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59604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274532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291*6+56*6</f>
        <v>2082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334136</v>
      </c>
      <c r="F29" s="186" t="s">
        <v>55</v>
      </c>
      <c r="G29" s="187"/>
      <c r="H29" s="190">
        <f>H15-H16-H17-H18-H19-H20-H22-H23-H24+H26+H27</f>
        <v>272450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8">
        <f>F35*G35</f>
        <v>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8">
        <f t="shared" si="2"/>
        <v>3000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8">
        <f t="shared" si="2"/>
        <v>6300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02">
        <v>177449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272007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-443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210</v>
      </c>
      <c r="D6" s="13">
        <f t="shared" ref="D6:D28" si="1">C6*L6</f>
        <v>159810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3+2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163" t="s">
        <v>36</v>
      </c>
      <c r="G13" s="164"/>
      <c r="H13" s="165">
        <f>D29</f>
        <v>213357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11</v>
      </c>
      <c r="D14" s="31">
        <f t="shared" si="1"/>
        <v>121</v>
      </c>
      <c r="F14" s="168" t="s">
        <v>39</v>
      </c>
      <c r="G14" s="169"/>
      <c r="H14" s="170">
        <f>D54</f>
        <v>30288.75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183068.25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7">
        <v>313.88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213357</v>
      </c>
      <c r="F29" s="186" t="s">
        <v>55</v>
      </c>
      <c r="G29" s="187"/>
      <c r="H29" s="190">
        <f>H15-H16-H17-H18-H19-H20-H22-H23-H24+H26+H27+H28</f>
        <v>182754.37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8">
        <f t="shared" ref="H34:H39" si="2">F34*G34</f>
        <v>149000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8">
        <f t="shared" si="2"/>
        <v>28000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8">
        <f t="shared" si="2"/>
        <v>4800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182881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126.63000000000466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346</v>
      </c>
      <c r="D6" s="13">
        <f t="shared" ref="D6:D28" si="1">C6*L6</f>
        <v>263306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18</v>
      </c>
      <c r="D9" s="13">
        <f t="shared" si="1"/>
        <v>13194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282677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41862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240815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282677</v>
      </c>
      <c r="F29" s="186" t="s">
        <v>55</v>
      </c>
      <c r="G29" s="187"/>
      <c r="H29" s="190">
        <f>H15-H16-H17-H18-H19-H20-H22-H23-H24+H26+H27</f>
        <v>239519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8">
        <f>F34*G34</f>
        <v>180000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8">
        <f t="shared" ref="H35:H39" si="2">F35*G35</f>
        <v>12000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8">
        <f>F36*G36</f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8">
        <f t="shared" si="2"/>
        <v>33800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8">
        <f t="shared" si="2"/>
        <v>10400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103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02">
        <v>3308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240031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512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241</v>
      </c>
      <c r="D6" s="13">
        <f t="shared" ref="D6:D28" si="1">C6*L6</f>
        <v>183401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10</v>
      </c>
      <c r="D8" s="13">
        <f t="shared" si="1"/>
        <v>10930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107</v>
      </c>
      <c r="D9" s="13">
        <f t="shared" si="1"/>
        <v>78431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20</v>
      </c>
      <c r="D11" s="13">
        <f t="shared" si="1"/>
        <v>23400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21+3+3</f>
        <v>27</v>
      </c>
      <c r="D12" s="48">
        <f t="shared" si="1"/>
        <v>26784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400123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77359.5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15</f>
        <v>15</v>
      </c>
      <c r="D15" s="31">
        <f t="shared" si="1"/>
        <v>9300</v>
      </c>
      <c r="F15" s="173" t="s">
        <v>40</v>
      </c>
      <c r="G15" s="164"/>
      <c r="H15" s="174">
        <f>H13-H14</f>
        <v>322763.5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138</v>
      </c>
      <c r="C24" s="10">
        <v>1</v>
      </c>
      <c r="D24" s="48">
        <f t="shared" si="1"/>
        <v>1277</v>
      </c>
      <c r="F24" s="38"/>
      <c r="G24" s="37"/>
      <c r="H24" s="201"/>
      <c r="I24" s="202"/>
      <c r="J24" s="20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205</v>
      </c>
      <c r="C26" s="10">
        <v>1</v>
      </c>
      <c r="D26" s="48">
        <f t="shared" si="1"/>
        <v>1242</v>
      </c>
      <c r="F26" s="64"/>
      <c r="G26" s="59"/>
      <c r="H26" s="206"/>
      <c r="I26" s="207"/>
      <c r="J26" s="20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>
        <v>1</v>
      </c>
      <c r="D27" s="44">
        <f t="shared" si="1"/>
        <v>1582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400123</v>
      </c>
      <c r="F29" s="186" t="s">
        <v>55</v>
      </c>
      <c r="G29" s="187"/>
      <c r="H29" s="190">
        <f>H15-H16-H17-H18-H19-H20-H22-H23-H24+H26+H27</f>
        <v>322763.5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8">
        <f>F34*G34</f>
        <v>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8">
        <f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02">
        <v>296913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71</v>
      </c>
      <c r="D45" s="12">
        <f>C45*84</f>
        <v>5964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321515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347</v>
      </c>
      <c r="D6" s="13">
        <f t="shared" ref="D6:D28" si="1">C6*L6</f>
        <v>264067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360136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6</v>
      </c>
      <c r="D14" s="31">
        <f t="shared" si="1"/>
        <v>66</v>
      </c>
      <c r="F14" s="168" t="s">
        <v>39</v>
      </c>
      <c r="G14" s="169"/>
      <c r="H14" s="170">
        <f>D54</f>
        <v>47431.5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312704.5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2</v>
      </c>
      <c r="D28" s="48">
        <f t="shared" si="1"/>
        <v>1622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360136</v>
      </c>
      <c r="F29" s="186" t="s">
        <v>55</v>
      </c>
      <c r="G29" s="187"/>
      <c r="H29" s="190">
        <f>H15-H16-H17-H18-H19-H20-H22-H23-H24+H26+H27+H28</f>
        <v>312704.5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18">
        <f t="shared" ref="H34:H39" si="2">F34*G34</f>
        <v>268000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18">
        <f t="shared" si="2"/>
        <v>5400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18">
        <f t="shared" si="2"/>
        <v>2050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18">
        <f t="shared" si="2"/>
        <v>1140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67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02">
        <v>458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313215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510.5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156</v>
      </c>
      <c r="D6" s="13">
        <f t="shared" ref="D6:D28" si="1">C6*L6</f>
        <v>118716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39</v>
      </c>
      <c r="D9" s="13">
        <f t="shared" si="1"/>
        <v>28587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150960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23091.75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127868.25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150960</v>
      </c>
      <c r="F29" s="186" t="s">
        <v>55</v>
      </c>
      <c r="G29" s="187"/>
      <c r="H29" s="190">
        <f>H15-H16-H17-H18-H19-H20-H22-H23-H24+H26+H27</f>
        <v>127868.25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18">
        <f t="shared" si="2"/>
        <v>950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623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125173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-2695.25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231</v>
      </c>
      <c r="D6" s="13">
        <f t="shared" ref="D6:D28" si="1">C6*L6</f>
        <v>175791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33</v>
      </c>
      <c r="D9" s="13">
        <f t="shared" si="1"/>
        <v>24189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205815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83061.75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122753.25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468+648</f>
        <v>1116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205815</v>
      </c>
      <c r="F29" s="186" t="s">
        <v>55</v>
      </c>
      <c r="G29" s="187"/>
      <c r="H29" s="190">
        <f>H15-H16-H17-H18-H19-H20-H22-H23-H24+H26+H27</f>
        <v>121637.25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18">
        <f>F34*G34</f>
        <v>84000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18">
        <f>F35*G35</f>
        <v>21500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18">
        <f t="shared" ref="H36:H39" si="2">F36*G36</f>
        <v>1000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18">
        <f t="shared" si="2"/>
        <v>12200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</v>
      </c>
      <c r="D44" s="12">
        <f>C44*120</f>
        <v>1200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121200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-437.25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168</v>
      </c>
      <c r="D6" s="13">
        <f t="shared" ref="D6:D28" si="1">C6*L6</f>
        <v>127848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11</v>
      </c>
      <c r="D8" s="13">
        <f t="shared" si="1"/>
        <v>12023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21</v>
      </c>
      <c r="D10" s="13">
        <f t="shared" si="1"/>
        <v>21672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29</v>
      </c>
      <c r="D11" s="13">
        <f t="shared" si="1"/>
        <v>33930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15+6</f>
        <v>21</v>
      </c>
      <c r="D12" s="48">
        <f t="shared" si="1"/>
        <v>20832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</v>
      </c>
      <c r="D13" s="48">
        <f t="shared" si="1"/>
        <v>614</v>
      </c>
      <c r="F13" s="163" t="s">
        <v>36</v>
      </c>
      <c r="G13" s="164"/>
      <c r="H13" s="165">
        <f>D29</f>
        <v>346953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68" t="s">
        <v>39</v>
      </c>
      <c r="G14" s="169"/>
      <c r="H14" s="170">
        <f>D54</f>
        <v>73926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16</f>
        <v>16</v>
      </c>
      <c r="D15" s="31">
        <f t="shared" si="1"/>
        <v>9920</v>
      </c>
      <c r="F15" s="173" t="s">
        <v>40</v>
      </c>
      <c r="G15" s="164"/>
      <c r="H15" s="174">
        <f>H13-H14</f>
        <v>273027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208</v>
      </c>
      <c r="C24" s="84">
        <v>1</v>
      </c>
      <c r="D24" s="48">
        <f t="shared" si="1"/>
        <v>1728</v>
      </c>
      <c r="F24" s="77"/>
      <c r="G24" s="79"/>
      <c r="H24" s="253"/>
      <c r="I24" s="254"/>
      <c r="J24" s="25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02"/>
      <c r="I26" s="202"/>
      <c r="J26" s="20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346953</v>
      </c>
      <c r="F29" s="186" t="s">
        <v>55</v>
      </c>
      <c r="G29" s="187"/>
      <c r="H29" s="190">
        <f>H15-H16-H17-H18-H19-H20-H22-H23-H24+H26+H27+H28</f>
        <v>273027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18">
        <f t="shared" ref="H34:H39" si="2">F34*G34</f>
        <v>45000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18">
        <f t="shared" si="2"/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18">
        <f t="shared" si="2"/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02">
        <v>164812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02">
        <v>20176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02">
        <v>26000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273161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5</v>
      </c>
      <c r="D50" s="12">
        <f>C50*1.5</f>
        <v>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134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250</v>
      </c>
      <c r="D6" s="13">
        <f t="shared" ref="D6:D28" si="1">C6*L6</f>
        <v>190250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231241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34290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196951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266*6</f>
        <v>1596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231241</v>
      </c>
      <c r="F29" s="186" t="s">
        <v>55</v>
      </c>
      <c r="G29" s="187"/>
      <c r="H29" s="190">
        <f>H15-H16-H17-H18-H19-H20-H22-H23-H24+H26+H27</f>
        <v>195355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18">
        <f>F34*G34</f>
        <v>139000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18">
        <f t="shared" ref="H35:H39" si="2">F35*G35</f>
        <v>53500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63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19</v>
      </c>
      <c r="D49" s="12">
        <f>C49*42</f>
        <v>798</v>
      </c>
      <c r="F49" s="243" t="s">
        <v>86</v>
      </c>
      <c r="G49" s="190">
        <f>H34+H35+H36+H37+H38+H39+H40+H41+G42+H44+H45+H46</f>
        <v>195363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8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499</v>
      </c>
      <c r="D6" s="13">
        <f t="shared" ref="D6:D28" si="1">C6*L6</f>
        <v>379739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86</v>
      </c>
      <c r="D9" s="13">
        <f t="shared" si="1"/>
        <v>63038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448931.5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79731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369200.5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318*6</f>
        <v>1908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0">
        <v>127768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1"/>
      <c r="I24" s="202"/>
      <c r="J24" s="20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448931.5</v>
      </c>
      <c r="F29" s="186" t="s">
        <v>55</v>
      </c>
      <c r="G29" s="187"/>
      <c r="H29" s="190">
        <f>H15-H16-H17-H18-H19-H20-H22-H23-H24+H26+H27</f>
        <v>239524.5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8">
        <f>F34*G34</f>
        <v>12000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8">
        <f>F35*G35</f>
        <v>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02">
        <v>20442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147</v>
      </c>
      <c r="G45" s="76"/>
      <c r="H45" s="202">
        <v>203392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</v>
      </c>
      <c r="D46" s="12">
        <f>C46*1.5</f>
        <v>1.5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27</v>
      </c>
      <c r="D49" s="12">
        <f>C49*42</f>
        <v>1134</v>
      </c>
      <c r="F49" s="243" t="s">
        <v>86</v>
      </c>
      <c r="G49" s="190">
        <f>H34+H35+H36+H37+H38+H39+H40+H41+G42+H44+H45+H46</f>
        <v>239834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309.5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772</v>
      </c>
      <c r="D6" s="13">
        <f t="shared" ref="D6:D28" si="1">C6*L6</f>
        <v>587492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50</v>
      </c>
      <c r="D7" s="13">
        <f t="shared" si="1"/>
        <v>39050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63</v>
      </c>
      <c r="D9" s="13">
        <f t="shared" si="1"/>
        <v>46179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28</v>
      </c>
      <c r="D13" s="48">
        <f t="shared" si="1"/>
        <v>8596</v>
      </c>
      <c r="F13" s="163" t="s">
        <v>36</v>
      </c>
      <c r="G13" s="164"/>
      <c r="H13" s="165">
        <f>D29</f>
        <v>684428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</v>
      </c>
      <c r="D14" s="31">
        <f t="shared" si="1"/>
        <v>11</v>
      </c>
      <c r="F14" s="168" t="s">
        <v>39</v>
      </c>
      <c r="G14" s="169"/>
      <c r="H14" s="170">
        <f>D54</f>
        <v>157947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526481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2646+2574</f>
        <v>5220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684428</v>
      </c>
      <c r="F29" s="186" t="s">
        <v>55</v>
      </c>
      <c r="G29" s="187"/>
      <c r="H29" s="190">
        <f>H15-H16-H17-H18-H19-H20-H22-H23-H24+H26+H27+H28</f>
        <v>521261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18">
        <f t="shared" ref="H34:H39" si="2">F34*G34</f>
        <v>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18">
        <f t="shared" si="2"/>
        <v>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02">
        <v>288122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02">
        <v>222876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16</v>
      </c>
      <c r="D46" s="12">
        <f>C46*1.5</f>
        <v>24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75</v>
      </c>
      <c r="D49" s="12">
        <f>C49*42</f>
        <v>3150</v>
      </c>
      <c r="F49" s="243" t="s">
        <v>86</v>
      </c>
      <c r="G49" s="190">
        <f>H34+H35+H36+H37+H38+H39+H40+H41+G42+H44+H45+H46</f>
        <v>521325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474-64</f>
        <v>410</v>
      </c>
      <c r="D6" s="13">
        <f t="shared" ref="D6:D28" si="1">C6*L6</f>
        <v>312010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336779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73817.25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262961.75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216*6+1224</f>
        <v>2520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336779</v>
      </c>
      <c r="F29" s="186" t="s">
        <v>55</v>
      </c>
      <c r="G29" s="187"/>
      <c r="H29" s="190">
        <f>H15-H16-H17-H18-H19-H20-H22-H23-H24+H26+H27</f>
        <v>260441.75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18">
        <f>F34*G34</f>
        <v>10000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8">
        <f t="shared" ref="H35:H39" si="2"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02">
        <v>117513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02">
        <v>131604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17</v>
      </c>
      <c r="D49" s="12">
        <f>C49*42</f>
        <v>714</v>
      </c>
      <c r="F49" s="243" t="s">
        <v>86</v>
      </c>
      <c r="G49" s="190">
        <f>H34+H35+H36+H37+H38+H39+H40+H41+G42+H44+H45+H46</f>
        <v>260490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48.25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162</v>
      </c>
      <c r="D6" s="13">
        <f t="shared" ref="D6:D28" si="1">C6*L6</f>
        <v>123282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30</v>
      </c>
      <c r="D9" s="13">
        <f t="shared" si="1"/>
        <v>21990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156237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22064.25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134172.75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372</f>
        <v>372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156237</v>
      </c>
      <c r="F29" s="186" t="s">
        <v>55</v>
      </c>
      <c r="G29" s="187"/>
      <c r="H29" s="190">
        <f>H15-H16-H17-H18-H19-H20-H22-H23-H24+H26+H27</f>
        <v>133800.75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18">
        <f>F34*G34</f>
        <v>124000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18">
        <f>F35*G35</f>
        <v>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48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133698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-102.75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584</v>
      </c>
      <c r="D6" s="13">
        <f t="shared" ref="D6:D28" si="1">C6*L6</f>
        <v>444424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46</v>
      </c>
      <c r="D9" s="13">
        <f t="shared" si="1"/>
        <v>33718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498306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117753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380553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2802</f>
        <v>2802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0">
        <v>86324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02">
        <v>99507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498306</v>
      </c>
      <c r="F29" s="186" t="s">
        <v>55</v>
      </c>
      <c r="G29" s="187"/>
      <c r="H29" s="190">
        <f>H15-H16-H17-H18-H19-H20-H22-H23-H24+H26+H27+H28</f>
        <v>390934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18">
        <f t="shared" ref="H34:H39" si="2">F34*G34</f>
        <v>201000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8">
        <f t="shared" si="2"/>
        <v>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18">
        <f t="shared" si="2"/>
        <v>2400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18">
        <f t="shared" si="2"/>
        <v>35600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18">
        <f t="shared" si="2"/>
        <v>11350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15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02">
        <v>32860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02">
        <v>99507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390732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221</v>
      </c>
      <c r="G51" s="257">
        <f>G49-H29</f>
        <v>-202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336</v>
      </c>
      <c r="D6" s="13">
        <f t="shared" ref="D6:D28" si="1">C6*L6</f>
        <v>255696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282218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15</v>
      </c>
      <c r="D14" s="31">
        <f t="shared" si="1"/>
        <v>165</v>
      </c>
      <c r="F14" s="168" t="s">
        <v>39</v>
      </c>
      <c r="G14" s="169"/>
      <c r="H14" s="170">
        <f>D54</f>
        <v>36882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245336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1248</f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282218</v>
      </c>
      <c r="F29" s="186" t="s">
        <v>55</v>
      </c>
      <c r="G29" s="187"/>
      <c r="H29" s="190">
        <f>H15-H16-H17-H18-H19-H20-H22-H23-H24+H26+H27</f>
        <v>244088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18">
        <f>F34*G34</f>
        <v>211000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18">
        <f t="shared" ref="H35:H39" si="2">F35*G35</f>
        <v>32000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8">
        <f t="shared" si="2"/>
        <v>700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8">
        <f t="shared" si="2"/>
        <v>250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244180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92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435</v>
      </c>
      <c r="D6" s="13">
        <f t="shared" ref="D6:D28" si="1">C6*L6</f>
        <v>331035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85</v>
      </c>
      <c r="D9" s="13">
        <f t="shared" si="1"/>
        <v>62305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414974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67197.75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347776.25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600+630+1248</f>
        <v>2478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414974</v>
      </c>
      <c r="F29" s="186" t="s">
        <v>55</v>
      </c>
      <c r="G29" s="187"/>
      <c r="H29" s="190">
        <f>H15-H16-H17-H18-H19-H20-H22-H23-H24+H26+H27</f>
        <v>345248.25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18">
        <f>F34*G34</f>
        <v>141000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02">
        <v>132552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02">
        <v>68636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345319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70.75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662</v>
      </c>
      <c r="D6" s="13">
        <f t="shared" ref="D6:D28" si="1">C6*L6</f>
        <v>503782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52</v>
      </c>
      <c r="D9" s="13">
        <f t="shared" si="1"/>
        <v>38116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550407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89728.5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460678.5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4182</f>
        <v>4182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550407</v>
      </c>
      <c r="F29" s="186" t="s">
        <v>55</v>
      </c>
      <c r="G29" s="187"/>
      <c r="H29" s="190">
        <f>H15-H16-H17-H18-H19-H20-H22-H23-H24+H26+H27+H28</f>
        <v>456496.5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18">
        <f t="shared" ref="H34:H39" si="2">F34*G34</f>
        <v>400000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18">
        <f t="shared" si="2"/>
        <v>46500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18">
        <f t="shared" si="2"/>
        <v>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02">
        <v>6000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20</v>
      </c>
      <c r="D49" s="12">
        <f>C49*42</f>
        <v>840</v>
      </c>
      <c r="F49" s="243" t="s">
        <v>86</v>
      </c>
      <c r="G49" s="190">
        <f>H34+H35+H36+H37+H38+H39+H40+H41+G42+H44+H45+H46</f>
        <v>456790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293.5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292484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43891.5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248592.5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1944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292484</v>
      </c>
      <c r="F29" s="186" t="s">
        <v>55</v>
      </c>
      <c r="G29" s="187"/>
      <c r="H29" s="190">
        <f>H15-H16-H17-H18-H19-H20-H22-H23-H24+H26+H27</f>
        <v>246648.5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18">
        <f>F34*G34</f>
        <v>246000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11</v>
      </c>
      <c r="D49" s="12">
        <f>C49*42</f>
        <v>462</v>
      </c>
      <c r="F49" s="243" t="s">
        <v>86</v>
      </c>
      <c r="G49" s="190">
        <f>H34+H35+H36+H37+H38+H39+H40+H41+G42+H44+H45+H46</f>
        <v>246580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-68.5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587</v>
      </c>
      <c r="D6" s="13">
        <f t="shared" ref="D6:D28" si="1">C6*L6</f>
        <v>446707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81</v>
      </c>
      <c r="D9" s="13">
        <f t="shared" si="1"/>
        <v>59373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28</v>
      </c>
      <c r="D13" s="48">
        <f t="shared" si="1"/>
        <v>8596</v>
      </c>
      <c r="F13" s="163" t="s">
        <v>36</v>
      </c>
      <c r="G13" s="164"/>
      <c r="H13" s="165">
        <f>D29</f>
        <v>518120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77724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440396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2424+1296+300</f>
        <v>4020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518120</v>
      </c>
      <c r="F29" s="186" t="s">
        <v>55</v>
      </c>
      <c r="G29" s="187"/>
      <c r="H29" s="190">
        <f>H15-H16-H17-H18-H19-H20-H22-H23-H24+H26+H27</f>
        <v>436376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8">
        <f>F34*G34</f>
        <v>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18">
        <f t="shared" si="2"/>
        <v>1800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02">
        <v>141165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02">
        <v>263329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20</v>
      </c>
      <c r="D46" s="12">
        <f>C46*1.5</f>
        <v>30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434708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-1668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132</v>
      </c>
      <c r="D6" s="13">
        <f t="shared" ref="D6:D28" si="1">C6*L6</f>
        <v>100452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8</v>
      </c>
      <c r="D7" s="13">
        <f t="shared" si="1"/>
        <v>6248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</v>
      </c>
      <c r="D13" s="48">
        <f t="shared" si="1"/>
        <v>614</v>
      </c>
      <c r="F13" s="163" t="s">
        <v>36</v>
      </c>
      <c r="G13" s="164"/>
      <c r="H13" s="165">
        <f>D29</f>
        <v>123193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4</v>
      </c>
      <c r="D14" s="31">
        <f t="shared" si="1"/>
        <v>44</v>
      </c>
      <c r="F14" s="168" t="s">
        <v>39</v>
      </c>
      <c r="G14" s="169"/>
      <c r="H14" s="170">
        <f>D54</f>
        <v>17837.25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105355.75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123193</v>
      </c>
      <c r="F29" s="186" t="s">
        <v>55</v>
      </c>
      <c r="G29" s="187"/>
      <c r="H29" s="190">
        <f>H15-H16-H17-H18-H19-H20-H22-H23-H24+H26+H27+H28</f>
        <v>105355.75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18">
        <f t="shared" ref="H34:H39" si="2">F34*G34</f>
        <v>85000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8">
        <f t="shared" si="2"/>
        <v>15000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8">
        <f t="shared" si="2"/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153</v>
      </c>
      <c r="D37" s="12">
        <f>C37*111</f>
        <v>16983</v>
      </c>
      <c r="F37" s="12">
        <v>100</v>
      </c>
      <c r="G37" s="39">
        <v>38</v>
      </c>
      <c r="H37" s="218">
        <f t="shared" si="2"/>
        <v>3800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23</v>
      </c>
      <c r="H38" s="218">
        <f t="shared" si="2"/>
        <v>1150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</v>
      </c>
      <c r="D46" s="12">
        <f>C46*1.5</f>
        <v>1.5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105388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44</v>
      </c>
      <c r="D50" s="12">
        <f>C50*1.5</f>
        <v>66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32.25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17837.25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224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184</v>
      </c>
      <c r="D6" s="13">
        <f t="shared" ref="D6:D28" si="1">C6*L6</f>
        <v>140024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168509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</v>
      </c>
      <c r="D14" s="31">
        <f t="shared" si="1"/>
        <v>11</v>
      </c>
      <c r="F14" s="168" t="s">
        <v>39</v>
      </c>
      <c r="G14" s="169"/>
      <c r="H14" s="170">
        <f>D54</f>
        <v>24777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143732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168509</v>
      </c>
      <c r="F29" s="186" t="s">
        <v>55</v>
      </c>
      <c r="G29" s="187"/>
      <c r="H29" s="190">
        <f>H15-H16-H17-H18-H19-H20-H22-H23-H24+H26+H27</f>
        <v>143732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143</v>
      </c>
      <c r="H34" s="218">
        <f>F34*G34</f>
        <v>143000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11</v>
      </c>
      <c r="H37" s="218">
        <f t="shared" si="2"/>
        <v>1100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8">
        <f t="shared" si="2"/>
        <v>250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45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5</v>
      </c>
      <c r="D46" s="12">
        <f>C46*1.5</f>
        <v>7.5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144595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863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24777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225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 NO TRIP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 NO TRIP'!Print_Area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2026-01-24T00:59:45Z</cp:lastPrinted>
  <dcterms:created xsi:type="dcterms:W3CDTF">2024-09-01T23:36:50Z</dcterms:created>
  <dcterms:modified xsi:type="dcterms:W3CDTF">2026-01-24T01:01:18Z</dcterms:modified>
</cp:coreProperties>
</file>