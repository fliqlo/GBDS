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50AFEF45-159F-4354-B072-05DE5626FA80}" xr6:coauthVersionLast="45" xr6:coauthVersionMax="47" xr10:uidLastSave="{00000000-0000-0000-0000-000000000000}"/>
  <bookViews>
    <workbookView xWindow="-120" yWindow="-120" windowWidth="29040" windowHeight="15840" firstSheet="54" activeTab="61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  <sheet name="(20)" sheetId="1706" r:id="rId67"/>
    <sheet name="01,20 R1" sheetId="1707" r:id="rId68"/>
    <sheet name="01,20 R2" sheetId="1708" r:id="rId69"/>
    <sheet name="01,20 R3" sheetId="1709" r:id="rId70"/>
    <sheet name="(21)" sheetId="1710" r:id="rId71"/>
    <sheet name="01,21 R1" sheetId="1711" r:id="rId72"/>
    <sheet name="01,21 R2" sheetId="1712" r:id="rId73"/>
    <sheet name="01,21 R3" sheetId="1713" r:id="rId74"/>
    <sheet name="(22)" sheetId="1714" r:id="rId75"/>
    <sheet name="01,22 R1" sheetId="1715" r:id="rId76"/>
    <sheet name="01,22 R2" sheetId="1716" r:id="rId77"/>
    <sheet name="01,22 R3" sheetId="1717" r:id="rId78"/>
    <sheet name="(23)" sheetId="1718" r:id="rId79"/>
    <sheet name="01,23 R1" sheetId="1719" r:id="rId80"/>
    <sheet name="01,23 R2" sheetId="1720" r:id="rId81"/>
    <sheet name="01,23 R3" sheetId="1721" r:id="rId82"/>
    <sheet name="(24)" sheetId="1722" r:id="rId83"/>
    <sheet name="01,24 R1" sheetId="1723" r:id="rId84"/>
    <sheet name="01,24 R2" sheetId="1724" r:id="rId85"/>
    <sheet name="01,24 R3" sheetId="1725" r:id="rId86"/>
    <sheet name="(26)" sheetId="1726" r:id="rId87"/>
    <sheet name="01,26 R1" sheetId="1727" r:id="rId88"/>
    <sheet name="01,26 R2" sheetId="1728" r:id="rId89"/>
    <sheet name="01,26 R3" sheetId="1729" r:id="rId90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'(26)'!$A$1:$J$60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  <definedName name="_xlnm.Print_Area" localSheetId="67">'01,20 R1'!$A$1:$J$60</definedName>
    <definedName name="_xlnm.Print_Area" localSheetId="68">'01,20 R2'!$A$1:$J$60</definedName>
    <definedName name="_xlnm.Print_Area" localSheetId="69">'01,20 R3'!$A$1:$J$60</definedName>
    <definedName name="_xlnm.Print_Area" localSheetId="71">'01,21 R1'!$A$1:$J$60</definedName>
    <definedName name="_xlnm.Print_Area" localSheetId="72">'01,21 R2'!$A$1:$J$60</definedName>
    <definedName name="_xlnm.Print_Area" localSheetId="73">'01,21 R3'!$A$1:$J$60</definedName>
    <definedName name="_xlnm.Print_Area" localSheetId="75">'01,22 R1'!$A$1:$J$60</definedName>
    <definedName name="_xlnm.Print_Area" localSheetId="76">'01,22 R2'!$A$1:$J$60</definedName>
    <definedName name="_xlnm.Print_Area" localSheetId="77">'01,22 R3'!$A$1:$J$60</definedName>
    <definedName name="_xlnm.Print_Area" localSheetId="79">'01,23 R1'!$A$1:$J$60</definedName>
    <definedName name="_xlnm.Print_Area" localSheetId="80">'01,23 R2'!$A$1:$J$60</definedName>
    <definedName name="_xlnm.Print_Area" localSheetId="81">'01,23 R3'!$A$1:$J$60</definedName>
    <definedName name="_xlnm.Print_Area" localSheetId="83">'01,24 R1'!$A$1:$J$60</definedName>
    <definedName name="_xlnm.Print_Area" localSheetId="84">'01,24 R2'!$A$1:$J$60</definedName>
    <definedName name="_xlnm.Print_Area" localSheetId="85">'01,24 R3'!$A$1:$J$60</definedName>
    <definedName name="_xlnm.Print_Area" localSheetId="87">'01,26 R1'!$A$1:$J$60</definedName>
    <definedName name="_xlnm.Print_Area" localSheetId="88">'01,26 R2'!$A$1:$J$60</definedName>
    <definedName name="_xlnm.Print_Area" localSheetId="89">'01,26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01" l="1"/>
  <c r="R52" i="1729" l="1"/>
  <c r="R51" i="1729"/>
  <c r="D50" i="1729"/>
  <c r="R49" i="1729"/>
  <c r="D49" i="1729"/>
  <c r="R48" i="1729"/>
  <c r="D48" i="1729"/>
  <c r="D46" i="1729"/>
  <c r="D45" i="1729"/>
  <c r="R44" i="1729"/>
  <c r="D44" i="1729"/>
  <c r="R42" i="1729"/>
  <c r="L6" i="1729" s="1"/>
  <c r="D6" i="1729" s="1"/>
  <c r="D42" i="1729"/>
  <c r="R41" i="1729"/>
  <c r="D41" i="1729"/>
  <c r="R40" i="1729"/>
  <c r="D40" i="1729"/>
  <c r="R39" i="1729"/>
  <c r="H39" i="1729"/>
  <c r="D39" i="1729"/>
  <c r="R38" i="1729"/>
  <c r="L9" i="1729" s="1"/>
  <c r="D9" i="1729" s="1"/>
  <c r="H38" i="1729"/>
  <c r="D38" i="1729"/>
  <c r="R37" i="1729"/>
  <c r="H37" i="1729"/>
  <c r="D37" i="1729"/>
  <c r="R36" i="1729"/>
  <c r="H36" i="1729"/>
  <c r="G49" i="1729" s="1"/>
  <c r="D36" i="1729"/>
  <c r="R35" i="1729"/>
  <c r="H35" i="1729"/>
  <c r="D35" i="1729"/>
  <c r="R34" i="1729"/>
  <c r="L12" i="1729" s="1"/>
  <c r="D12" i="1729" s="1"/>
  <c r="H34" i="1729"/>
  <c r="D34" i="1729"/>
  <c r="D54" i="1729" s="1"/>
  <c r="H14" i="1729" s="1"/>
  <c r="R33" i="1729"/>
  <c r="R32" i="1729"/>
  <c r="R31" i="1729"/>
  <c r="R30" i="1729"/>
  <c r="R29" i="1729"/>
  <c r="R28" i="1729"/>
  <c r="L28" i="1729"/>
  <c r="D28" i="1729"/>
  <c r="R27" i="1729"/>
  <c r="D27" i="1729"/>
  <c r="R26" i="1729"/>
  <c r="L26" i="1729"/>
  <c r="D26" i="1729" s="1"/>
  <c r="R25" i="1729"/>
  <c r="L25" i="1729"/>
  <c r="D25" i="1729" s="1"/>
  <c r="R24" i="1729"/>
  <c r="D24" i="1729"/>
  <c r="R23" i="1729"/>
  <c r="L23" i="1729"/>
  <c r="D23" i="1729" s="1"/>
  <c r="R22" i="1729"/>
  <c r="L22" i="1729"/>
  <c r="D22" i="1729"/>
  <c r="R21" i="1729"/>
  <c r="D21" i="1729"/>
  <c r="R20" i="1729"/>
  <c r="L20" i="1729"/>
  <c r="D20" i="1729" s="1"/>
  <c r="R19" i="1729"/>
  <c r="L19" i="1729"/>
  <c r="D19" i="1729" s="1"/>
  <c r="R18" i="1729"/>
  <c r="D18" i="1729"/>
  <c r="R17" i="1729"/>
  <c r="D17" i="1729"/>
  <c r="R16" i="1729"/>
  <c r="L16" i="1729"/>
  <c r="D16" i="1729"/>
  <c r="R15" i="1729"/>
  <c r="D15" i="1729"/>
  <c r="R14" i="1729"/>
  <c r="D14" i="1729"/>
  <c r="R13" i="1729"/>
  <c r="D13" i="1729"/>
  <c r="R12" i="1729"/>
  <c r="R11" i="1729"/>
  <c r="L11" i="1729"/>
  <c r="D11" i="1729"/>
  <c r="L10" i="1729"/>
  <c r="D10" i="1729"/>
  <c r="L8" i="1729"/>
  <c r="D8" i="1729"/>
  <c r="L7" i="1729"/>
  <c r="D7" i="1729"/>
  <c r="R6" i="1729"/>
  <c r="R5" i="1729"/>
  <c r="R4" i="1729"/>
  <c r="R52" i="1728"/>
  <c r="R51" i="1728"/>
  <c r="D50" i="1728"/>
  <c r="R49" i="1728"/>
  <c r="D49" i="1728"/>
  <c r="R48" i="1728"/>
  <c r="D48" i="1728"/>
  <c r="D46" i="1728"/>
  <c r="D45" i="1728"/>
  <c r="R44" i="1728"/>
  <c r="L28" i="1728" s="1"/>
  <c r="D28" i="1728" s="1"/>
  <c r="D44" i="1728"/>
  <c r="R42" i="1728"/>
  <c r="D42" i="1728"/>
  <c r="R41" i="1728"/>
  <c r="D41" i="1728"/>
  <c r="R40" i="1728"/>
  <c r="D40" i="1728"/>
  <c r="R39" i="1728"/>
  <c r="H39" i="1728"/>
  <c r="D39" i="1728"/>
  <c r="R38" i="1728"/>
  <c r="H38" i="1728"/>
  <c r="D38" i="1728"/>
  <c r="R37" i="1728"/>
  <c r="H37" i="1728"/>
  <c r="D37" i="1728"/>
  <c r="R36" i="1728"/>
  <c r="L10" i="1728" s="1"/>
  <c r="D10" i="1728" s="1"/>
  <c r="H36" i="1728"/>
  <c r="D36" i="1728"/>
  <c r="R35" i="1728"/>
  <c r="H35" i="1728"/>
  <c r="D35" i="1728"/>
  <c r="R34" i="1728"/>
  <c r="L12" i="1728" s="1"/>
  <c r="D12" i="1728" s="1"/>
  <c r="H34" i="1728"/>
  <c r="G49" i="1728" s="1"/>
  <c r="D34" i="1728"/>
  <c r="D54" i="1728" s="1"/>
  <c r="H14" i="1728" s="1"/>
  <c r="R33" i="1728"/>
  <c r="R32" i="1728"/>
  <c r="R31" i="1728"/>
  <c r="R30" i="1728"/>
  <c r="R29" i="1728"/>
  <c r="R28" i="1728"/>
  <c r="L16" i="1728" s="1"/>
  <c r="D16" i="1728" s="1"/>
  <c r="R27" i="1728"/>
  <c r="D27" i="1728"/>
  <c r="R26" i="1728"/>
  <c r="L26" i="1728"/>
  <c r="D26" i="1728"/>
  <c r="R25" i="1728"/>
  <c r="L25" i="1728"/>
  <c r="D25" i="1728"/>
  <c r="R24" i="1728"/>
  <c r="L24" i="1728"/>
  <c r="D24" i="1728" s="1"/>
  <c r="R23" i="1728"/>
  <c r="L23" i="1728"/>
  <c r="D23" i="1728" s="1"/>
  <c r="R22" i="1728"/>
  <c r="L22" i="1728"/>
  <c r="D22" i="1728" s="1"/>
  <c r="R21" i="1728"/>
  <c r="D21" i="1728"/>
  <c r="R20" i="1728"/>
  <c r="L20" i="1728"/>
  <c r="D20" i="1728" s="1"/>
  <c r="R19" i="1728"/>
  <c r="L19" i="1728"/>
  <c r="D19" i="1728"/>
  <c r="R18" i="1728"/>
  <c r="D18" i="1728"/>
  <c r="R17" i="1728"/>
  <c r="L17" i="1728"/>
  <c r="D17" i="1728" s="1"/>
  <c r="R16" i="1728"/>
  <c r="R15" i="1728"/>
  <c r="D15" i="1728"/>
  <c r="R14" i="1728"/>
  <c r="D14" i="1728"/>
  <c r="R13" i="1728"/>
  <c r="D13" i="1728"/>
  <c r="R12" i="1728"/>
  <c r="R11" i="1728"/>
  <c r="L11" i="1728"/>
  <c r="D11" i="1728"/>
  <c r="L9" i="1728"/>
  <c r="D9" i="1728"/>
  <c r="L8" i="1728"/>
  <c r="D8" i="1728" s="1"/>
  <c r="L7" i="1728"/>
  <c r="D7" i="1728"/>
  <c r="R6" i="1728"/>
  <c r="L6" i="1728"/>
  <c r="D6" i="1728" s="1"/>
  <c r="R5" i="1728"/>
  <c r="R4" i="1728"/>
  <c r="R52" i="1727"/>
  <c r="R51" i="1727"/>
  <c r="D50" i="1727"/>
  <c r="R49" i="1727"/>
  <c r="D49" i="1727"/>
  <c r="R48" i="1727"/>
  <c r="D48" i="1727"/>
  <c r="D46" i="1727"/>
  <c r="D45" i="1727"/>
  <c r="R44" i="1727"/>
  <c r="D44" i="1727"/>
  <c r="R42" i="1727"/>
  <c r="L6" i="1727" s="1"/>
  <c r="D6" i="1727" s="1"/>
  <c r="D42" i="1727"/>
  <c r="R41" i="1727"/>
  <c r="D41" i="1727"/>
  <c r="R40" i="1727"/>
  <c r="D40" i="1727"/>
  <c r="R39" i="1727"/>
  <c r="H39" i="1727"/>
  <c r="D39" i="1727"/>
  <c r="R38" i="1727"/>
  <c r="H38" i="1727"/>
  <c r="D38" i="1727"/>
  <c r="D54" i="1727" s="1"/>
  <c r="H14" i="1727" s="1"/>
  <c r="R37" i="1727"/>
  <c r="H37" i="1727"/>
  <c r="D37" i="1727"/>
  <c r="R36" i="1727"/>
  <c r="H36" i="1727"/>
  <c r="D36" i="1727"/>
  <c r="R35" i="1727"/>
  <c r="H35" i="1727"/>
  <c r="D35" i="1727"/>
  <c r="R34" i="1727"/>
  <c r="L12" i="1727" s="1"/>
  <c r="D12" i="1727" s="1"/>
  <c r="H34" i="1727"/>
  <c r="G49" i="1727" s="1"/>
  <c r="D34" i="1727"/>
  <c r="R33" i="1727"/>
  <c r="R32" i="1727"/>
  <c r="R31" i="1727"/>
  <c r="R30" i="1727"/>
  <c r="R29" i="1727"/>
  <c r="R28" i="1727"/>
  <c r="L16" i="1727" s="1"/>
  <c r="D16" i="1727" s="1"/>
  <c r="L28" i="1727"/>
  <c r="D28" i="1727"/>
  <c r="R27" i="1727"/>
  <c r="D27" i="1727"/>
  <c r="R26" i="1727"/>
  <c r="L26" i="1727"/>
  <c r="D26" i="1727" s="1"/>
  <c r="R25" i="1727"/>
  <c r="L25" i="1727"/>
  <c r="D25" i="1727"/>
  <c r="R24" i="1727"/>
  <c r="L24" i="1727"/>
  <c r="D24" i="1727" s="1"/>
  <c r="R23" i="1727"/>
  <c r="D23" i="1727"/>
  <c r="R22" i="1727"/>
  <c r="D22" i="1727"/>
  <c r="R21" i="1727"/>
  <c r="D21" i="1727"/>
  <c r="R20" i="1727"/>
  <c r="L20" i="1727"/>
  <c r="D20" i="1727"/>
  <c r="R19" i="1727"/>
  <c r="D19" i="1727"/>
  <c r="R18" i="1727"/>
  <c r="D18" i="1727"/>
  <c r="R17" i="1727"/>
  <c r="L17" i="1727"/>
  <c r="D17" i="1727" s="1"/>
  <c r="R16" i="1727"/>
  <c r="R15" i="1727"/>
  <c r="D15" i="1727"/>
  <c r="R14" i="1727"/>
  <c r="D14" i="1727"/>
  <c r="R13" i="1727"/>
  <c r="D13" i="1727"/>
  <c r="R12" i="1727"/>
  <c r="R11" i="1727"/>
  <c r="L11" i="1727"/>
  <c r="D11" i="1727" s="1"/>
  <c r="L10" i="1727"/>
  <c r="D10" i="1727" s="1"/>
  <c r="L9" i="1727"/>
  <c r="D9" i="1727"/>
  <c r="L8" i="1727"/>
  <c r="D8" i="1727" s="1"/>
  <c r="L7" i="1727"/>
  <c r="D7" i="1727" s="1"/>
  <c r="R6" i="1727"/>
  <c r="R5" i="1727"/>
  <c r="R4" i="1727"/>
  <c r="R52" i="1726"/>
  <c r="R51" i="1726"/>
  <c r="D50" i="1726"/>
  <c r="R49" i="1726"/>
  <c r="G49" i="1726"/>
  <c r="D49" i="1726"/>
  <c r="R48" i="1726"/>
  <c r="D48" i="1726"/>
  <c r="D46" i="1726"/>
  <c r="D45" i="1726"/>
  <c r="D44" i="1726"/>
  <c r="R42" i="1726"/>
  <c r="D42" i="1726"/>
  <c r="R41" i="1726"/>
  <c r="L7" i="1726" s="1"/>
  <c r="D7" i="1726" s="1"/>
  <c r="D41" i="1726"/>
  <c r="R40" i="1726"/>
  <c r="D40" i="1726"/>
  <c r="R39" i="1726"/>
  <c r="D39" i="1726"/>
  <c r="R38" i="1726"/>
  <c r="L9" i="1726" s="1"/>
  <c r="D9" i="1726" s="1"/>
  <c r="D38" i="1726"/>
  <c r="R37" i="1726"/>
  <c r="D37" i="1726"/>
  <c r="R36" i="1726"/>
  <c r="L10" i="1726" s="1"/>
  <c r="D10" i="1726" s="1"/>
  <c r="D36" i="1726"/>
  <c r="R35" i="1726"/>
  <c r="D35" i="1726"/>
  <c r="R34" i="1726"/>
  <c r="L12" i="1726" s="1"/>
  <c r="D12" i="1726" s="1"/>
  <c r="D34" i="1726"/>
  <c r="D54" i="1726" s="1"/>
  <c r="H14" i="1726" s="1"/>
  <c r="R33" i="1726"/>
  <c r="L23" i="1726" s="1"/>
  <c r="D23" i="1726" s="1"/>
  <c r="R32" i="1726"/>
  <c r="L11" i="1726" s="1"/>
  <c r="D11" i="1726" s="1"/>
  <c r="R31" i="1726"/>
  <c r="R30" i="1726"/>
  <c r="R29" i="1726"/>
  <c r="R28" i="1726"/>
  <c r="D28" i="1726"/>
  <c r="R27" i="1726"/>
  <c r="D27" i="1726"/>
  <c r="R26" i="1726"/>
  <c r="L26" i="1726"/>
  <c r="D26" i="1726"/>
  <c r="R25" i="1726"/>
  <c r="L25" i="1726"/>
  <c r="D25" i="1726"/>
  <c r="R24" i="1726"/>
  <c r="D24" i="1726"/>
  <c r="R23" i="1726"/>
  <c r="R22" i="1726"/>
  <c r="L22" i="1726"/>
  <c r="D22" i="1726" s="1"/>
  <c r="R21" i="1726"/>
  <c r="D21" i="1726"/>
  <c r="R20" i="1726"/>
  <c r="L20" i="1726"/>
  <c r="D20" i="1726"/>
  <c r="R19" i="1726"/>
  <c r="L19" i="1726"/>
  <c r="D19" i="1726"/>
  <c r="R18" i="1726"/>
  <c r="D18" i="1726"/>
  <c r="R17" i="1726"/>
  <c r="D17" i="1726"/>
  <c r="R16" i="1726"/>
  <c r="L16" i="1726"/>
  <c r="D16" i="1726" s="1"/>
  <c r="S15" i="1726"/>
  <c r="R15" i="1726"/>
  <c r="D15" i="1726"/>
  <c r="S14" i="1726"/>
  <c r="R14" i="1726"/>
  <c r="D14" i="1726"/>
  <c r="R13" i="1726"/>
  <c r="D13" i="1726"/>
  <c r="R12" i="1726"/>
  <c r="R11" i="1726"/>
  <c r="L8" i="1726"/>
  <c r="D8" i="1726" s="1"/>
  <c r="R6" i="1726"/>
  <c r="L6" i="1726"/>
  <c r="D6" i="1726"/>
  <c r="R5" i="1726"/>
  <c r="R4" i="1726"/>
  <c r="R52" i="1725"/>
  <c r="R51" i="1725"/>
  <c r="D50" i="1725"/>
  <c r="R49" i="1725"/>
  <c r="D49" i="1725"/>
  <c r="R48" i="1725"/>
  <c r="D48" i="1725"/>
  <c r="D46" i="1725"/>
  <c r="D45" i="1725"/>
  <c r="R44" i="1725"/>
  <c r="D44" i="1725"/>
  <c r="R42" i="1725"/>
  <c r="D42" i="1725"/>
  <c r="R41" i="1725"/>
  <c r="L7" i="1725" s="1"/>
  <c r="D7" i="1725" s="1"/>
  <c r="D41" i="1725"/>
  <c r="R40" i="1725"/>
  <c r="D40" i="1725"/>
  <c r="R39" i="1725"/>
  <c r="H39" i="1725"/>
  <c r="D39" i="1725"/>
  <c r="R38" i="1725"/>
  <c r="L9" i="1725" s="1"/>
  <c r="D9" i="1725" s="1"/>
  <c r="H38" i="1725"/>
  <c r="D38" i="1725"/>
  <c r="R37" i="1725"/>
  <c r="H37" i="1725"/>
  <c r="D37" i="1725"/>
  <c r="R36" i="1725"/>
  <c r="L10" i="1725" s="1"/>
  <c r="D10" i="1725" s="1"/>
  <c r="H36" i="1725"/>
  <c r="D36" i="1725"/>
  <c r="R35" i="1725"/>
  <c r="L19" i="1725" s="1"/>
  <c r="D19" i="1725" s="1"/>
  <c r="H35" i="1725"/>
  <c r="D35" i="1725"/>
  <c r="R34" i="1725"/>
  <c r="L12" i="1725" s="1"/>
  <c r="D12" i="1725" s="1"/>
  <c r="H34" i="1725"/>
  <c r="G49" i="1725" s="1"/>
  <c r="D34" i="1725"/>
  <c r="D54" i="1725" s="1"/>
  <c r="H14" i="1725" s="1"/>
  <c r="R33" i="1725"/>
  <c r="R32" i="1725"/>
  <c r="L11" i="1725" s="1"/>
  <c r="D11" i="1725" s="1"/>
  <c r="R31" i="1725"/>
  <c r="R30" i="1725"/>
  <c r="R29" i="1725"/>
  <c r="R28" i="1725"/>
  <c r="L28" i="1725"/>
  <c r="D28" i="1725"/>
  <c r="R27" i="1725"/>
  <c r="D27" i="1725"/>
  <c r="R26" i="1725"/>
  <c r="L26" i="1725"/>
  <c r="D26" i="1725" s="1"/>
  <c r="R25" i="1725"/>
  <c r="L25" i="1725"/>
  <c r="D25" i="1725"/>
  <c r="R24" i="1725"/>
  <c r="D24" i="1725"/>
  <c r="R23" i="1725"/>
  <c r="L23" i="1725"/>
  <c r="D23" i="1725" s="1"/>
  <c r="R22" i="1725"/>
  <c r="L22" i="1725"/>
  <c r="D22" i="1725"/>
  <c r="R21" i="1725"/>
  <c r="D21" i="1725"/>
  <c r="R20" i="1725"/>
  <c r="L20" i="1725"/>
  <c r="D20" i="1725" s="1"/>
  <c r="R19" i="1725"/>
  <c r="R18" i="1725"/>
  <c r="D18" i="1725"/>
  <c r="R17" i="1725"/>
  <c r="D17" i="1725"/>
  <c r="R16" i="1725"/>
  <c r="L16" i="1725"/>
  <c r="D16" i="1725" s="1"/>
  <c r="R15" i="1725"/>
  <c r="D15" i="1725"/>
  <c r="R14" i="1725"/>
  <c r="D14" i="1725"/>
  <c r="R13" i="1725"/>
  <c r="D13" i="1725"/>
  <c r="R12" i="1725"/>
  <c r="R11" i="1725"/>
  <c r="L8" i="1725"/>
  <c r="D8" i="1725"/>
  <c r="R6" i="1725"/>
  <c r="L6" i="1725"/>
  <c r="D6" i="1725" s="1"/>
  <c r="R5" i="1725"/>
  <c r="R4" i="1725"/>
  <c r="R52" i="1724"/>
  <c r="R51" i="1724"/>
  <c r="D50" i="1724"/>
  <c r="R49" i="1724"/>
  <c r="D49" i="1724"/>
  <c r="R48" i="1724"/>
  <c r="D48" i="1724"/>
  <c r="D46" i="1724"/>
  <c r="D45" i="1724"/>
  <c r="R44" i="1724"/>
  <c r="L28" i="1724" s="1"/>
  <c r="D28" i="1724" s="1"/>
  <c r="D44" i="1724"/>
  <c r="R42" i="1724"/>
  <c r="L6" i="1724" s="1"/>
  <c r="D6" i="1724" s="1"/>
  <c r="D42" i="1724"/>
  <c r="R41" i="1724"/>
  <c r="D41" i="1724"/>
  <c r="R40" i="1724"/>
  <c r="D40" i="1724"/>
  <c r="R39" i="1724"/>
  <c r="H39" i="1724"/>
  <c r="D39" i="1724"/>
  <c r="R38" i="1724"/>
  <c r="L9" i="1724" s="1"/>
  <c r="D9" i="1724" s="1"/>
  <c r="H38" i="1724"/>
  <c r="D38" i="1724"/>
  <c r="R37" i="1724"/>
  <c r="H37" i="1724"/>
  <c r="D37" i="1724"/>
  <c r="R36" i="1724"/>
  <c r="L10" i="1724" s="1"/>
  <c r="D10" i="1724" s="1"/>
  <c r="H36" i="1724"/>
  <c r="D36" i="1724"/>
  <c r="R35" i="1724"/>
  <c r="H35" i="1724"/>
  <c r="G49" i="1724" s="1"/>
  <c r="D35" i="1724"/>
  <c r="R34" i="1724"/>
  <c r="L12" i="1724" s="1"/>
  <c r="D12" i="1724" s="1"/>
  <c r="H34" i="1724"/>
  <c r="D34" i="1724"/>
  <c r="D54" i="1724" s="1"/>
  <c r="H14" i="1724" s="1"/>
  <c r="R33" i="1724"/>
  <c r="R32" i="1724"/>
  <c r="R31" i="1724"/>
  <c r="R30" i="1724"/>
  <c r="R29" i="1724"/>
  <c r="R28" i="1724"/>
  <c r="L16" i="1724" s="1"/>
  <c r="D16" i="1724" s="1"/>
  <c r="R27" i="1724"/>
  <c r="D27" i="1724"/>
  <c r="R26" i="1724"/>
  <c r="L26" i="1724"/>
  <c r="D26" i="1724" s="1"/>
  <c r="R25" i="1724"/>
  <c r="L25" i="1724"/>
  <c r="D25" i="1724"/>
  <c r="R24" i="1724"/>
  <c r="L24" i="1724"/>
  <c r="D24" i="1724"/>
  <c r="R23" i="1724"/>
  <c r="L23" i="1724"/>
  <c r="D23" i="1724"/>
  <c r="R22" i="1724"/>
  <c r="L22" i="1724"/>
  <c r="D22" i="1724" s="1"/>
  <c r="R21" i="1724"/>
  <c r="D21" i="1724"/>
  <c r="R20" i="1724"/>
  <c r="L20" i="1724"/>
  <c r="D20" i="1724"/>
  <c r="R19" i="1724"/>
  <c r="L19" i="1724"/>
  <c r="D19" i="1724"/>
  <c r="R18" i="1724"/>
  <c r="D18" i="1724"/>
  <c r="R17" i="1724"/>
  <c r="L17" i="1724"/>
  <c r="D17" i="1724"/>
  <c r="R16" i="1724"/>
  <c r="R15" i="1724"/>
  <c r="D15" i="1724"/>
  <c r="R14" i="1724"/>
  <c r="D14" i="1724"/>
  <c r="R13" i="1724"/>
  <c r="D13" i="1724"/>
  <c r="R12" i="1724"/>
  <c r="R11" i="1724"/>
  <c r="L11" i="1724"/>
  <c r="D11" i="1724"/>
  <c r="L8" i="1724"/>
  <c r="D8" i="1724"/>
  <c r="L7" i="1724"/>
  <c r="D7" i="1724"/>
  <c r="R6" i="1724"/>
  <c r="R5" i="1724"/>
  <c r="R4" i="1724"/>
  <c r="R52" i="1723"/>
  <c r="R51" i="1723"/>
  <c r="D50" i="1723"/>
  <c r="R49" i="1723"/>
  <c r="D49" i="1723"/>
  <c r="R48" i="1723"/>
  <c r="D48" i="1723"/>
  <c r="D46" i="1723"/>
  <c r="D45" i="1723"/>
  <c r="R44" i="1723"/>
  <c r="D44" i="1723"/>
  <c r="R42" i="1723"/>
  <c r="L6" i="1723" s="1"/>
  <c r="D6" i="1723" s="1"/>
  <c r="D42" i="1723"/>
  <c r="R41" i="1723"/>
  <c r="D41" i="1723"/>
  <c r="R40" i="1723"/>
  <c r="D40" i="1723"/>
  <c r="R39" i="1723"/>
  <c r="L20" i="1723" s="1"/>
  <c r="D20" i="1723" s="1"/>
  <c r="H39" i="1723"/>
  <c r="D39" i="1723"/>
  <c r="R38" i="1723"/>
  <c r="H38" i="1723"/>
  <c r="D38" i="1723"/>
  <c r="R37" i="1723"/>
  <c r="H37" i="1723"/>
  <c r="D37" i="1723"/>
  <c r="R36" i="1723"/>
  <c r="H36" i="1723"/>
  <c r="D36" i="1723"/>
  <c r="R35" i="1723"/>
  <c r="H35" i="1723"/>
  <c r="D35" i="1723"/>
  <c r="R34" i="1723"/>
  <c r="L12" i="1723" s="1"/>
  <c r="D12" i="1723" s="1"/>
  <c r="H34" i="1723"/>
  <c r="G49" i="1723" s="1"/>
  <c r="D34" i="1723"/>
  <c r="D54" i="1723" s="1"/>
  <c r="H14" i="1723" s="1"/>
  <c r="R33" i="1723"/>
  <c r="R32" i="1723"/>
  <c r="R31" i="1723"/>
  <c r="R30" i="1723"/>
  <c r="R29" i="1723"/>
  <c r="R28" i="1723"/>
  <c r="L28" i="1723"/>
  <c r="D28" i="1723"/>
  <c r="R27" i="1723"/>
  <c r="D27" i="1723"/>
  <c r="R26" i="1723"/>
  <c r="L26" i="1723"/>
  <c r="D26" i="1723"/>
  <c r="R25" i="1723"/>
  <c r="L25" i="1723"/>
  <c r="D25" i="1723"/>
  <c r="R24" i="1723"/>
  <c r="L24" i="1723"/>
  <c r="D24" i="1723" s="1"/>
  <c r="R23" i="1723"/>
  <c r="D23" i="1723"/>
  <c r="R22" i="1723"/>
  <c r="D22" i="1723"/>
  <c r="R21" i="1723"/>
  <c r="D21" i="1723"/>
  <c r="R20" i="1723"/>
  <c r="R19" i="1723"/>
  <c r="D19" i="1723"/>
  <c r="R18" i="1723"/>
  <c r="D18" i="1723"/>
  <c r="R17" i="1723"/>
  <c r="L17" i="1723"/>
  <c r="D17" i="1723" s="1"/>
  <c r="R16" i="1723"/>
  <c r="L16" i="1723"/>
  <c r="D16" i="1723" s="1"/>
  <c r="R15" i="1723"/>
  <c r="D15" i="1723"/>
  <c r="R14" i="1723"/>
  <c r="D14" i="1723"/>
  <c r="R13" i="1723"/>
  <c r="D13" i="1723"/>
  <c r="R12" i="1723"/>
  <c r="R11" i="1723"/>
  <c r="L11" i="1723"/>
  <c r="D11" i="1723" s="1"/>
  <c r="L10" i="1723"/>
  <c r="D10" i="1723"/>
  <c r="L9" i="1723"/>
  <c r="D9" i="1723" s="1"/>
  <c r="L8" i="1723"/>
  <c r="D8" i="1723" s="1"/>
  <c r="L7" i="1723"/>
  <c r="D7" i="1723"/>
  <c r="R6" i="1723"/>
  <c r="R5" i="1723"/>
  <c r="R4" i="1723"/>
  <c r="R52" i="1722"/>
  <c r="R51" i="1722"/>
  <c r="D50" i="1722"/>
  <c r="R49" i="1722"/>
  <c r="G49" i="1722"/>
  <c r="D49" i="1722"/>
  <c r="R48" i="1722"/>
  <c r="D48" i="1722"/>
  <c r="D46" i="1722"/>
  <c r="D45" i="1722"/>
  <c r="D44" i="1722"/>
  <c r="R42" i="1722"/>
  <c r="D42" i="1722"/>
  <c r="R41" i="1722"/>
  <c r="L7" i="1722" s="1"/>
  <c r="D7" i="1722" s="1"/>
  <c r="D41" i="1722"/>
  <c r="R40" i="1722"/>
  <c r="L8" i="1722" s="1"/>
  <c r="D8" i="1722" s="1"/>
  <c r="D40" i="1722"/>
  <c r="R39" i="1722"/>
  <c r="D39" i="1722"/>
  <c r="R38" i="1722"/>
  <c r="L9" i="1722" s="1"/>
  <c r="D9" i="1722" s="1"/>
  <c r="D38" i="1722"/>
  <c r="R37" i="1722"/>
  <c r="D37" i="1722"/>
  <c r="D54" i="1722" s="1"/>
  <c r="H14" i="1722" s="1"/>
  <c r="R36" i="1722"/>
  <c r="D36" i="1722"/>
  <c r="R35" i="1722"/>
  <c r="L19" i="1722" s="1"/>
  <c r="D19" i="1722" s="1"/>
  <c r="D35" i="1722"/>
  <c r="R34" i="1722"/>
  <c r="D34" i="1722"/>
  <c r="R33" i="1722"/>
  <c r="R32" i="1722"/>
  <c r="L11" i="1722" s="1"/>
  <c r="D11" i="1722" s="1"/>
  <c r="R31" i="1722"/>
  <c r="R30" i="1722"/>
  <c r="R29" i="1722"/>
  <c r="R28" i="1722"/>
  <c r="D28" i="1722"/>
  <c r="R27" i="1722"/>
  <c r="D27" i="1722"/>
  <c r="R26" i="1722"/>
  <c r="L26" i="1722"/>
  <c r="D26" i="1722" s="1"/>
  <c r="R25" i="1722"/>
  <c r="L25" i="1722"/>
  <c r="D25" i="1722"/>
  <c r="R24" i="1722"/>
  <c r="D24" i="1722"/>
  <c r="R23" i="1722"/>
  <c r="L23" i="1722"/>
  <c r="D23" i="1722" s="1"/>
  <c r="R22" i="1722"/>
  <c r="L22" i="1722"/>
  <c r="D22" i="1722"/>
  <c r="R21" i="1722"/>
  <c r="D21" i="1722"/>
  <c r="R20" i="1722"/>
  <c r="L20" i="1722"/>
  <c r="D20" i="1722" s="1"/>
  <c r="R19" i="1722"/>
  <c r="R18" i="1722"/>
  <c r="D18" i="1722"/>
  <c r="R17" i="1722"/>
  <c r="D17" i="1722"/>
  <c r="R16" i="1722"/>
  <c r="L16" i="1722"/>
  <c r="D16" i="1722" s="1"/>
  <c r="S15" i="1722"/>
  <c r="R15" i="1722"/>
  <c r="D15" i="1722"/>
  <c r="S14" i="1722"/>
  <c r="R14" i="1722"/>
  <c r="D14" i="1722"/>
  <c r="R13" i="1722"/>
  <c r="D13" i="1722"/>
  <c r="R12" i="1722"/>
  <c r="L12" i="1722"/>
  <c r="D12" i="1722" s="1"/>
  <c r="R11" i="1722"/>
  <c r="L10" i="1722"/>
  <c r="D10" i="1722"/>
  <c r="R6" i="1722"/>
  <c r="L6" i="1722"/>
  <c r="D6" i="1722"/>
  <c r="R5" i="1722"/>
  <c r="R4" i="1722"/>
  <c r="R52" i="1721"/>
  <c r="L22" i="1721" s="1"/>
  <c r="D22" i="1721" s="1"/>
  <c r="R51" i="1721"/>
  <c r="D50" i="1721"/>
  <c r="R49" i="1721"/>
  <c r="D49" i="1721"/>
  <c r="R48" i="1721"/>
  <c r="D48" i="1721"/>
  <c r="D46" i="1721"/>
  <c r="D45" i="1721"/>
  <c r="R44" i="1721"/>
  <c r="D44" i="1721"/>
  <c r="R42" i="1721"/>
  <c r="L6" i="1721" s="1"/>
  <c r="D6" i="1721" s="1"/>
  <c r="D42" i="1721"/>
  <c r="R41" i="1721"/>
  <c r="L7" i="1721" s="1"/>
  <c r="D7" i="1721" s="1"/>
  <c r="D41" i="1721"/>
  <c r="R40" i="1721"/>
  <c r="D40" i="1721"/>
  <c r="R39" i="1721"/>
  <c r="H39" i="1721"/>
  <c r="D39" i="1721"/>
  <c r="R38" i="1721"/>
  <c r="H38" i="1721"/>
  <c r="D38" i="1721"/>
  <c r="D54" i="1721" s="1"/>
  <c r="H14" i="1721" s="1"/>
  <c r="R37" i="1721"/>
  <c r="H37" i="1721"/>
  <c r="D37" i="1721"/>
  <c r="R36" i="1721"/>
  <c r="L10" i="1721" s="1"/>
  <c r="D10" i="1721" s="1"/>
  <c r="H36" i="1721"/>
  <c r="D36" i="1721"/>
  <c r="R35" i="1721"/>
  <c r="L19" i="1721" s="1"/>
  <c r="D19" i="1721" s="1"/>
  <c r="H35" i="1721"/>
  <c r="D35" i="1721"/>
  <c r="R34" i="1721"/>
  <c r="H34" i="1721"/>
  <c r="G49" i="1721" s="1"/>
  <c r="D34" i="1721"/>
  <c r="R33" i="1721"/>
  <c r="R32" i="1721"/>
  <c r="R31" i="1721"/>
  <c r="R30" i="1721"/>
  <c r="R29" i="1721"/>
  <c r="R28" i="1721"/>
  <c r="L28" i="1721"/>
  <c r="D28" i="1721"/>
  <c r="R27" i="1721"/>
  <c r="D27" i="1721"/>
  <c r="R26" i="1721"/>
  <c r="L26" i="1721"/>
  <c r="D26" i="1721" s="1"/>
  <c r="R25" i="1721"/>
  <c r="L25" i="1721"/>
  <c r="D25" i="1721"/>
  <c r="R24" i="1721"/>
  <c r="D24" i="1721"/>
  <c r="R23" i="1721"/>
  <c r="L23" i="1721"/>
  <c r="D23" i="1721" s="1"/>
  <c r="R22" i="1721"/>
  <c r="R21" i="1721"/>
  <c r="D21" i="1721"/>
  <c r="R20" i="1721"/>
  <c r="L20" i="1721"/>
  <c r="D20" i="1721" s="1"/>
  <c r="R19" i="1721"/>
  <c r="R18" i="1721"/>
  <c r="D18" i="1721"/>
  <c r="R17" i="1721"/>
  <c r="D17" i="1721"/>
  <c r="R16" i="1721"/>
  <c r="L16" i="1721"/>
  <c r="D16" i="1721" s="1"/>
  <c r="R15" i="1721"/>
  <c r="D15" i="1721"/>
  <c r="R14" i="1721"/>
  <c r="D14" i="1721"/>
  <c r="R13" i="1721"/>
  <c r="D13" i="1721"/>
  <c r="R12" i="1721"/>
  <c r="L12" i="1721"/>
  <c r="D12" i="1721" s="1"/>
  <c r="R11" i="1721"/>
  <c r="L11" i="1721"/>
  <c r="D11" i="1721"/>
  <c r="L9" i="1721"/>
  <c r="D9" i="1721"/>
  <c r="L8" i="1721"/>
  <c r="D8" i="1721"/>
  <c r="R6" i="1721"/>
  <c r="R5" i="1721"/>
  <c r="R4" i="1721"/>
  <c r="R52" i="1720"/>
  <c r="R51" i="1720"/>
  <c r="D50" i="1720"/>
  <c r="R49" i="1720"/>
  <c r="D49" i="1720"/>
  <c r="R48" i="1720"/>
  <c r="D48" i="1720"/>
  <c r="D46" i="1720"/>
  <c r="D45" i="1720"/>
  <c r="R44" i="1720"/>
  <c r="D44" i="1720"/>
  <c r="R42" i="1720"/>
  <c r="D42" i="1720"/>
  <c r="R41" i="1720"/>
  <c r="D41" i="1720"/>
  <c r="R40" i="1720"/>
  <c r="D40" i="1720"/>
  <c r="R39" i="1720"/>
  <c r="H39" i="1720"/>
  <c r="D39" i="1720"/>
  <c r="R38" i="1720"/>
  <c r="H38" i="1720"/>
  <c r="D38" i="1720"/>
  <c r="R37" i="1720"/>
  <c r="H37" i="1720"/>
  <c r="D37" i="1720"/>
  <c r="R36" i="1720"/>
  <c r="L10" i="1720" s="1"/>
  <c r="D10" i="1720" s="1"/>
  <c r="H36" i="1720"/>
  <c r="D36" i="1720"/>
  <c r="R35" i="1720"/>
  <c r="H35" i="1720"/>
  <c r="D35" i="1720"/>
  <c r="R34" i="1720"/>
  <c r="H34" i="1720"/>
  <c r="G49" i="1720" s="1"/>
  <c r="D34" i="1720"/>
  <c r="D54" i="1720" s="1"/>
  <c r="H14" i="1720" s="1"/>
  <c r="R33" i="1720"/>
  <c r="R32" i="1720"/>
  <c r="R31" i="1720"/>
  <c r="R30" i="1720"/>
  <c r="R29" i="1720"/>
  <c r="R28" i="1720"/>
  <c r="L28" i="1720"/>
  <c r="D28" i="1720"/>
  <c r="R27" i="1720"/>
  <c r="D27" i="1720"/>
  <c r="R26" i="1720"/>
  <c r="L26" i="1720"/>
  <c r="D26" i="1720" s="1"/>
  <c r="R25" i="1720"/>
  <c r="L25" i="1720"/>
  <c r="D25" i="1720"/>
  <c r="R24" i="1720"/>
  <c r="L24" i="1720"/>
  <c r="D24" i="1720"/>
  <c r="R23" i="1720"/>
  <c r="L23" i="1720"/>
  <c r="D23" i="1720"/>
  <c r="R22" i="1720"/>
  <c r="L22" i="1720"/>
  <c r="D22" i="1720" s="1"/>
  <c r="R21" i="1720"/>
  <c r="L17" i="1720" s="1"/>
  <c r="D17" i="1720" s="1"/>
  <c r="D21" i="1720"/>
  <c r="R20" i="1720"/>
  <c r="L20" i="1720"/>
  <c r="D20" i="1720" s="1"/>
  <c r="R19" i="1720"/>
  <c r="L19" i="1720"/>
  <c r="D19" i="1720" s="1"/>
  <c r="R18" i="1720"/>
  <c r="D18" i="1720"/>
  <c r="R17" i="1720"/>
  <c r="R16" i="1720"/>
  <c r="L16" i="1720"/>
  <c r="D16" i="1720" s="1"/>
  <c r="R15" i="1720"/>
  <c r="D15" i="1720"/>
  <c r="R14" i="1720"/>
  <c r="D14" i="1720"/>
  <c r="R13" i="1720"/>
  <c r="D13" i="1720"/>
  <c r="R12" i="1720"/>
  <c r="L12" i="1720"/>
  <c r="D12" i="1720" s="1"/>
  <c r="R11" i="1720"/>
  <c r="L11" i="1720"/>
  <c r="D11" i="1720"/>
  <c r="L9" i="1720"/>
  <c r="D9" i="1720"/>
  <c r="L8" i="1720"/>
  <c r="D8" i="1720" s="1"/>
  <c r="L7" i="1720"/>
  <c r="D7" i="1720"/>
  <c r="R6" i="1720"/>
  <c r="L6" i="1720"/>
  <c r="D6" i="1720"/>
  <c r="R5" i="1720"/>
  <c r="R4" i="1720"/>
  <c r="R52" i="1719"/>
  <c r="R51" i="1719"/>
  <c r="D50" i="1719"/>
  <c r="R49" i="1719"/>
  <c r="D49" i="1719"/>
  <c r="R48" i="1719"/>
  <c r="D48" i="1719"/>
  <c r="D46" i="1719"/>
  <c r="D45" i="1719"/>
  <c r="R44" i="1719"/>
  <c r="D44" i="1719"/>
  <c r="R42" i="1719"/>
  <c r="L6" i="1719" s="1"/>
  <c r="D6" i="1719" s="1"/>
  <c r="D42" i="1719"/>
  <c r="R41" i="1719"/>
  <c r="L7" i="1719" s="1"/>
  <c r="D7" i="1719" s="1"/>
  <c r="D41" i="1719"/>
  <c r="R40" i="1719"/>
  <c r="D40" i="1719"/>
  <c r="R39" i="1719"/>
  <c r="L20" i="1719" s="1"/>
  <c r="D20" i="1719" s="1"/>
  <c r="H39" i="1719"/>
  <c r="D39" i="1719"/>
  <c r="R38" i="1719"/>
  <c r="H38" i="1719"/>
  <c r="D38" i="1719"/>
  <c r="D54" i="1719" s="1"/>
  <c r="H14" i="1719" s="1"/>
  <c r="R37" i="1719"/>
  <c r="H37" i="1719"/>
  <c r="D37" i="1719"/>
  <c r="R36" i="1719"/>
  <c r="H36" i="1719"/>
  <c r="D36" i="1719"/>
  <c r="R35" i="1719"/>
  <c r="H35" i="1719"/>
  <c r="D35" i="1719"/>
  <c r="R34" i="1719"/>
  <c r="H34" i="1719"/>
  <c r="G49" i="1719" s="1"/>
  <c r="D34" i="1719"/>
  <c r="R33" i="1719"/>
  <c r="R32" i="1719"/>
  <c r="L11" i="1719" s="1"/>
  <c r="D11" i="1719" s="1"/>
  <c r="R31" i="1719"/>
  <c r="R30" i="1719"/>
  <c r="R29" i="1719"/>
  <c r="R28" i="1719"/>
  <c r="L28" i="1719"/>
  <c r="D28" i="1719"/>
  <c r="R27" i="1719"/>
  <c r="D27" i="1719"/>
  <c r="R26" i="1719"/>
  <c r="L26" i="1719"/>
  <c r="D26" i="1719"/>
  <c r="R25" i="1719"/>
  <c r="L25" i="1719"/>
  <c r="D25" i="1719"/>
  <c r="R24" i="1719"/>
  <c r="L24" i="1719"/>
  <c r="D24" i="1719" s="1"/>
  <c r="R23" i="1719"/>
  <c r="D23" i="1719"/>
  <c r="R22" i="1719"/>
  <c r="D22" i="1719"/>
  <c r="R21" i="1719"/>
  <c r="D21" i="1719"/>
  <c r="R20" i="1719"/>
  <c r="R19" i="1719"/>
  <c r="D19" i="1719"/>
  <c r="R18" i="1719"/>
  <c r="D18" i="1719"/>
  <c r="R17" i="1719"/>
  <c r="L17" i="1719"/>
  <c r="D17" i="1719" s="1"/>
  <c r="R16" i="1719"/>
  <c r="L16" i="1719"/>
  <c r="D16" i="1719" s="1"/>
  <c r="R15" i="1719"/>
  <c r="D15" i="1719"/>
  <c r="R14" i="1719"/>
  <c r="D14" i="1719"/>
  <c r="R13" i="1719"/>
  <c r="D13" i="1719"/>
  <c r="R12" i="1719"/>
  <c r="L12" i="1719"/>
  <c r="D12" i="1719"/>
  <c r="R11" i="1719"/>
  <c r="L10" i="1719"/>
  <c r="D10" i="1719"/>
  <c r="L9" i="1719"/>
  <c r="D9" i="1719"/>
  <c r="L8" i="1719"/>
  <c r="D8" i="1719" s="1"/>
  <c r="R6" i="1719"/>
  <c r="R5" i="1719"/>
  <c r="R4" i="1719"/>
  <c r="R52" i="1718"/>
  <c r="R51" i="1718"/>
  <c r="D50" i="1718"/>
  <c r="R49" i="1718"/>
  <c r="G49" i="1718"/>
  <c r="D49" i="1718"/>
  <c r="R48" i="1718"/>
  <c r="D48" i="1718"/>
  <c r="D46" i="1718"/>
  <c r="D45" i="1718"/>
  <c r="D44" i="1718"/>
  <c r="R42" i="1718"/>
  <c r="L6" i="1718" s="1"/>
  <c r="D6" i="1718" s="1"/>
  <c r="D42" i="1718"/>
  <c r="R41" i="1718"/>
  <c r="L7" i="1718" s="1"/>
  <c r="D7" i="1718" s="1"/>
  <c r="D41" i="1718"/>
  <c r="R40" i="1718"/>
  <c r="D40" i="1718"/>
  <c r="R39" i="1718"/>
  <c r="D39" i="1718"/>
  <c r="R38" i="1718"/>
  <c r="L9" i="1718" s="1"/>
  <c r="D9" i="1718" s="1"/>
  <c r="D38" i="1718"/>
  <c r="R37" i="1718"/>
  <c r="D37" i="1718"/>
  <c r="R36" i="1718"/>
  <c r="L10" i="1718" s="1"/>
  <c r="D10" i="1718" s="1"/>
  <c r="D36" i="1718"/>
  <c r="R35" i="1718"/>
  <c r="D35" i="1718"/>
  <c r="R34" i="1718"/>
  <c r="L12" i="1718" s="1"/>
  <c r="D12" i="1718" s="1"/>
  <c r="D34" i="1718"/>
  <c r="D54" i="1718" s="1"/>
  <c r="H14" i="1718" s="1"/>
  <c r="R33" i="1718"/>
  <c r="L23" i="1718" s="1"/>
  <c r="D23" i="1718" s="1"/>
  <c r="R32" i="1718"/>
  <c r="R31" i="1718"/>
  <c r="R30" i="1718"/>
  <c r="R29" i="1718"/>
  <c r="R28" i="1718"/>
  <c r="D28" i="1718"/>
  <c r="R27" i="1718"/>
  <c r="D27" i="1718"/>
  <c r="R26" i="1718"/>
  <c r="L26" i="1718"/>
  <c r="D26" i="1718"/>
  <c r="R25" i="1718"/>
  <c r="L25" i="1718"/>
  <c r="D25" i="1718"/>
  <c r="R24" i="1718"/>
  <c r="D24" i="1718"/>
  <c r="R23" i="1718"/>
  <c r="R22" i="1718"/>
  <c r="L22" i="1718"/>
  <c r="D22" i="1718" s="1"/>
  <c r="R21" i="1718"/>
  <c r="D21" i="1718"/>
  <c r="R20" i="1718"/>
  <c r="L20" i="1718"/>
  <c r="D20" i="1718"/>
  <c r="R19" i="1718"/>
  <c r="L19" i="1718"/>
  <c r="D19" i="1718"/>
  <c r="R18" i="1718"/>
  <c r="D18" i="1718"/>
  <c r="R17" i="1718"/>
  <c r="D17" i="1718"/>
  <c r="R16" i="1718"/>
  <c r="L16" i="1718"/>
  <c r="D16" i="1718" s="1"/>
  <c r="S15" i="1718"/>
  <c r="R15" i="1718"/>
  <c r="D15" i="1718"/>
  <c r="S14" i="1718"/>
  <c r="R14" i="1718"/>
  <c r="D14" i="1718"/>
  <c r="R13" i="1718"/>
  <c r="D13" i="1718"/>
  <c r="R12" i="1718"/>
  <c r="R11" i="1718"/>
  <c r="L11" i="1718"/>
  <c r="D11" i="1718" s="1"/>
  <c r="L8" i="1718"/>
  <c r="D8" i="1718"/>
  <c r="R6" i="1718"/>
  <c r="R5" i="1718"/>
  <c r="R4" i="1718"/>
  <c r="R52" i="1717"/>
  <c r="R51" i="1717"/>
  <c r="D50" i="1717"/>
  <c r="R49" i="1717"/>
  <c r="D49" i="1717"/>
  <c r="R48" i="1717"/>
  <c r="D48" i="1717"/>
  <c r="D46" i="1717"/>
  <c r="D45" i="1717"/>
  <c r="R44" i="1717"/>
  <c r="L28" i="1717" s="1"/>
  <c r="D28" i="1717" s="1"/>
  <c r="D44" i="1717"/>
  <c r="R42" i="1717"/>
  <c r="L6" i="1717" s="1"/>
  <c r="D6" i="1717" s="1"/>
  <c r="D42" i="1717"/>
  <c r="R41" i="1717"/>
  <c r="D41" i="1717"/>
  <c r="R40" i="1717"/>
  <c r="D40" i="1717"/>
  <c r="R39" i="1717"/>
  <c r="H39" i="1717"/>
  <c r="D39" i="1717"/>
  <c r="R38" i="1717"/>
  <c r="L9" i="1717" s="1"/>
  <c r="D9" i="1717" s="1"/>
  <c r="H38" i="1717"/>
  <c r="D38" i="1717"/>
  <c r="R37" i="1717"/>
  <c r="H37" i="1717"/>
  <c r="D37" i="1717"/>
  <c r="R36" i="1717"/>
  <c r="L10" i="1717" s="1"/>
  <c r="D10" i="1717" s="1"/>
  <c r="H36" i="1717"/>
  <c r="D36" i="1717"/>
  <c r="R35" i="1717"/>
  <c r="H35" i="1717"/>
  <c r="D35" i="1717"/>
  <c r="R34" i="1717"/>
  <c r="L12" i="1717" s="1"/>
  <c r="D12" i="1717" s="1"/>
  <c r="H34" i="1717"/>
  <c r="G49" i="1717" s="1"/>
  <c r="D34" i="1717"/>
  <c r="D54" i="1717" s="1"/>
  <c r="H14" i="1717" s="1"/>
  <c r="R33" i="1717"/>
  <c r="R32" i="1717"/>
  <c r="R31" i="1717"/>
  <c r="R30" i="1717"/>
  <c r="R29" i="1717"/>
  <c r="R28" i="1717"/>
  <c r="R27" i="1717"/>
  <c r="D27" i="1717"/>
  <c r="R26" i="1717"/>
  <c r="L26" i="1717"/>
  <c r="D26" i="1717"/>
  <c r="R25" i="1717"/>
  <c r="L25" i="1717"/>
  <c r="D25" i="1717" s="1"/>
  <c r="R24" i="1717"/>
  <c r="D24" i="1717"/>
  <c r="R23" i="1717"/>
  <c r="L23" i="1717"/>
  <c r="D23" i="1717"/>
  <c r="R22" i="1717"/>
  <c r="L22" i="1717"/>
  <c r="D22" i="1717"/>
  <c r="R21" i="1717"/>
  <c r="D21" i="1717"/>
  <c r="R20" i="1717"/>
  <c r="L20" i="1717"/>
  <c r="D20" i="1717"/>
  <c r="R19" i="1717"/>
  <c r="L19" i="1717"/>
  <c r="D19" i="1717"/>
  <c r="R18" i="1717"/>
  <c r="D18" i="1717"/>
  <c r="R17" i="1717"/>
  <c r="D17" i="1717"/>
  <c r="R16" i="1717"/>
  <c r="L16" i="1717"/>
  <c r="D16" i="1717" s="1"/>
  <c r="R15" i="1717"/>
  <c r="D15" i="1717"/>
  <c r="R14" i="1717"/>
  <c r="D14" i="1717"/>
  <c r="R13" i="1717"/>
  <c r="D13" i="1717"/>
  <c r="R12" i="1717"/>
  <c r="R11" i="1717"/>
  <c r="L11" i="1717"/>
  <c r="D11" i="1717"/>
  <c r="L8" i="1717"/>
  <c r="D8" i="1717"/>
  <c r="L7" i="1717"/>
  <c r="D7" i="1717"/>
  <c r="R6" i="1717"/>
  <c r="R5" i="1717"/>
  <c r="R4" i="1717"/>
  <c r="R52" i="1716"/>
  <c r="R51" i="1716"/>
  <c r="D50" i="1716"/>
  <c r="R49" i="1716"/>
  <c r="D49" i="1716"/>
  <c r="R48" i="1716"/>
  <c r="D48" i="1716"/>
  <c r="D46" i="1716"/>
  <c r="D45" i="1716"/>
  <c r="R44" i="1716"/>
  <c r="L28" i="1716" s="1"/>
  <c r="D28" i="1716" s="1"/>
  <c r="D44" i="1716"/>
  <c r="R42" i="1716"/>
  <c r="L6" i="1716" s="1"/>
  <c r="D6" i="1716" s="1"/>
  <c r="D42" i="1716"/>
  <c r="R41" i="1716"/>
  <c r="D41" i="1716"/>
  <c r="R40" i="1716"/>
  <c r="D40" i="1716"/>
  <c r="R39" i="1716"/>
  <c r="L20" i="1716" s="1"/>
  <c r="D20" i="1716" s="1"/>
  <c r="H39" i="1716"/>
  <c r="D39" i="1716"/>
  <c r="R38" i="1716"/>
  <c r="H38" i="1716"/>
  <c r="D38" i="1716"/>
  <c r="R37" i="1716"/>
  <c r="H37" i="1716"/>
  <c r="D37" i="1716"/>
  <c r="R36" i="1716"/>
  <c r="L10" i="1716" s="1"/>
  <c r="D10" i="1716" s="1"/>
  <c r="H36" i="1716"/>
  <c r="D36" i="1716"/>
  <c r="R35" i="1716"/>
  <c r="H35" i="1716"/>
  <c r="D35" i="1716"/>
  <c r="R34" i="1716"/>
  <c r="L12" i="1716" s="1"/>
  <c r="D12" i="1716" s="1"/>
  <c r="H34" i="1716"/>
  <c r="G49" i="1716" s="1"/>
  <c r="D34" i="1716"/>
  <c r="D54" i="1716" s="1"/>
  <c r="H14" i="1716" s="1"/>
  <c r="R33" i="1716"/>
  <c r="R32" i="1716"/>
  <c r="R31" i="1716"/>
  <c r="R30" i="1716"/>
  <c r="R29" i="1716"/>
  <c r="R28" i="1716"/>
  <c r="R27" i="1716"/>
  <c r="D27" i="1716"/>
  <c r="R26" i="1716"/>
  <c r="L26" i="1716"/>
  <c r="D26" i="1716"/>
  <c r="R25" i="1716"/>
  <c r="L25" i="1716"/>
  <c r="D25" i="1716" s="1"/>
  <c r="R24" i="1716"/>
  <c r="L24" i="1716"/>
  <c r="D24" i="1716"/>
  <c r="R23" i="1716"/>
  <c r="L23" i="1716"/>
  <c r="D23" i="1716" s="1"/>
  <c r="R22" i="1716"/>
  <c r="L22" i="1716"/>
  <c r="D22" i="1716" s="1"/>
  <c r="R21" i="1716"/>
  <c r="D21" i="1716"/>
  <c r="R20" i="1716"/>
  <c r="R19" i="1716"/>
  <c r="L19" i="1716"/>
  <c r="D19" i="1716" s="1"/>
  <c r="R18" i="1716"/>
  <c r="D18" i="1716"/>
  <c r="R17" i="1716"/>
  <c r="L17" i="1716"/>
  <c r="D17" i="1716" s="1"/>
  <c r="R16" i="1716"/>
  <c r="L16" i="1716"/>
  <c r="D16" i="1716" s="1"/>
  <c r="R15" i="1716"/>
  <c r="D15" i="1716"/>
  <c r="R14" i="1716"/>
  <c r="D14" i="1716"/>
  <c r="R13" i="1716"/>
  <c r="D13" i="1716"/>
  <c r="R12" i="1716"/>
  <c r="R11" i="1716"/>
  <c r="L11" i="1716"/>
  <c r="D11" i="1716"/>
  <c r="L9" i="1716"/>
  <c r="D9" i="1716"/>
  <c r="L8" i="1716"/>
  <c r="D8" i="1716" s="1"/>
  <c r="L7" i="1716"/>
  <c r="D7" i="1716" s="1"/>
  <c r="R6" i="1716"/>
  <c r="R5" i="1716"/>
  <c r="R4" i="1716"/>
  <c r="R52" i="1715"/>
  <c r="R51" i="1715"/>
  <c r="D50" i="1715"/>
  <c r="R49" i="1715"/>
  <c r="D49" i="1715"/>
  <c r="R48" i="1715"/>
  <c r="D48" i="1715"/>
  <c r="D46" i="1715"/>
  <c r="D45" i="1715"/>
  <c r="R44" i="1715"/>
  <c r="D44" i="1715"/>
  <c r="R42" i="1715"/>
  <c r="L6" i="1715" s="1"/>
  <c r="D6" i="1715" s="1"/>
  <c r="D29" i="1715" s="1"/>
  <c r="H13" i="1715" s="1"/>
  <c r="H15" i="1715" s="1"/>
  <c r="H29" i="1715" s="1"/>
  <c r="D42" i="1715"/>
  <c r="R41" i="1715"/>
  <c r="D41" i="1715"/>
  <c r="R40" i="1715"/>
  <c r="D40" i="1715"/>
  <c r="R39" i="1715"/>
  <c r="L20" i="1715" s="1"/>
  <c r="D20" i="1715" s="1"/>
  <c r="H39" i="1715"/>
  <c r="D39" i="1715"/>
  <c r="R38" i="1715"/>
  <c r="H38" i="1715"/>
  <c r="D38" i="1715"/>
  <c r="R37" i="1715"/>
  <c r="H37" i="1715"/>
  <c r="D37" i="1715"/>
  <c r="R36" i="1715"/>
  <c r="H36" i="1715"/>
  <c r="D36" i="1715"/>
  <c r="R35" i="1715"/>
  <c r="H35" i="1715"/>
  <c r="D35" i="1715"/>
  <c r="R34" i="1715"/>
  <c r="H34" i="1715"/>
  <c r="G49" i="1715" s="1"/>
  <c r="D34" i="1715"/>
  <c r="D54" i="1715" s="1"/>
  <c r="H14" i="1715" s="1"/>
  <c r="R33" i="1715"/>
  <c r="R32" i="1715"/>
  <c r="R31" i="1715"/>
  <c r="R30" i="1715"/>
  <c r="R29" i="1715"/>
  <c r="R28" i="1715"/>
  <c r="L28" i="1715"/>
  <c r="D28" i="1715"/>
  <c r="R27" i="1715"/>
  <c r="D27" i="1715"/>
  <c r="R26" i="1715"/>
  <c r="L26" i="1715"/>
  <c r="D26" i="1715"/>
  <c r="R25" i="1715"/>
  <c r="L25" i="1715"/>
  <c r="D25" i="1715" s="1"/>
  <c r="R24" i="1715"/>
  <c r="L24" i="1715"/>
  <c r="D24" i="1715"/>
  <c r="R23" i="1715"/>
  <c r="D23" i="1715"/>
  <c r="R22" i="1715"/>
  <c r="D22" i="1715"/>
  <c r="R21" i="1715"/>
  <c r="D21" i="1715"/>
  <c r="R20" i="1715"/>
  <c r="R19" i="1715"/>
  <c r="D19" i="1715"/>
  <c r="R18" i="1715"/>
  <c r="D18" i="1715"/>
  <c r="R17" i="1715"/>
  <c r="L17" i="1715"/>
  <c r="D17" i="1715"/>
  <c r="R16" i="1715"/>
  <c r="L16" i="1715"/>
  <c r="D16" i="1715" s="1"/>
  <c r="R15" i="1715"/>
  <c r="D15" i="1715"/>
  <c r="R14" i="1715"/>
  <c r="D14" i="1715"/>
  <c r="R13" i="1715"/>
  <c r="D13" i="1715"/>
  <c r="R12" i="1715"/>
  <c r="L12" i="1715"/>
  <c r="D12" i="1715"/>
  <c r="R11" i="1715"/>
  <c r="L11" i="1715"/>
  <c r="D11" i="1715"/>
  <c r="L10" i="1715"/>
  <c r="D10" i="1715" s="1"/>
  <c r="L9" i="1715"/>
  <c r="D9" i="1715" s="1"/>
  <c r="L8" i="1715"/>
  <c r="D8" i="1715" s="1"/>
  <c r="L7" i="1715"/>
  <c r="D7" i="1715"/>
  <c r="R6" i="1715"/>
  <c r="R5" i="1715"/>
  <c r="R4" i="1715"/>
  <c r="R52" i="1714"/>
  <c r="R51" i="1714"/>
  <c r="D50" i="1714"/>
  <c r="R49" i="1714"/>
  <c r="G49" i="1714"/>
  <c r="D49" i="1714"/>
  <c r="R48" i="1714"/>
  <c r="D48" i="1714"/>
  <c r="D46" i="1714"/>
  <c r="D45" i="1714"/>
  <c r="D44" i="1714"/>
  <c r="R42" i="1714"/>
  <c r="D42" i="1714"/>
  <c r="R41" i="1714"/>
  <c r="L7" i="1714" s="1"/>
  <c r="D7" i="1714" s="1"/>
  <c r="D41" i="1714"/>
  <c r="R40" i="1714"/>
  <c r="L8" i="1714" s="1"/>
  <c r="D8" i="1714" s="1"/>
  <c r="D40" i="1714"/>
  <c r="R39" i="1714"/>
  <c r="D39" i="1714"/>
  <c r="R38" i="1714"/>
  <c r="D38" i="1714"/>
  <c r="R37" i="1714"/>
  <c r="D37" i="1714"/>
  <c r="R36" i="1714"/>
  <c r="L10" i="1714" s="1"/>
  <c r="D10" i="1714" s="1"/>
  <c r="D36" i="1714"/>
  <c r="R35" i="1714"/>
  <c r="D35" i="1714"/>
  <c r="R34" i="1714"/>
  <c r="L12" i="1714" s="1"/>
  <c r="D12" i="1714" s="1"/>
  <c r="D34" i="1714"/>
  <c r="D54" i="1714" s="1"/>
  <c r="H14" i="1714" s="1"/>
  <c r="R33" i="1714"/>
  <c r="L23" i="1714" s="1"/>
  <c r="D23" i="1714" s="1"/>
  <c r="R32" i="1714"/>
  <c r="L11" i="1714" s="1"/>
  <c r="D11" i="1714" s="1"/>
  <c r="R31" i="1714"/>
  <c r="R30" i="1714"/>
  <c r="R29" i="1714"/>
  <c r="R28" i="1714"/>
  <c r="L16" i="1714" s="1"/>
  <c r="D16" i="1714" s="1"/>
  <c r="D28" i="1714"/>
  <c r="R27" i="1714"/>
  <c r="D27" i="1714"/>
  <c r="R26" i="1714"/>
  <c r="L26" i="1714"/>
  <c r="D26" i="1714"/>
  <c r="R25" i="1714"/>
  <c r="L25" i="1714"/>
  <c r="D25" i="1714"/>
  <c r="R24" i="1714"/>
  <c r="D24" i="1714"/>
  <c r="R23" i="1714"/>
  <c r="R22" i="1714"/>
  <c r="L22" i="1714"/>
  <c r="D22" i="1714" s="1"/>
  <c r="R21" i="1714"/>
  <c r="D21" i="1714"/>
  <c r="R20" i="1714"/>
  <c r="L20" i="1714"/>
  <c r="D20" i="1714"/>
  <c r="R19" i="1714"/>
  <c r="L19" i="1714"/>
  <c r="D19" i="1714"/>
  <c r="R18" i="1714"/>
  <c r="D18" i="1714"/>
  <c r="R17" i="1714"/>
  <c r="D17" i="1714"/>
  <c r="R16" i="1714"/>
  <c r="S15" i="1714"/>
  <c r="R15" i="1714"/>
  <c r="D15" i="1714"/>
  <c r="S14" i="1714"/>
  <c r="R14" i="1714"/>
  <c r="D14" i="1714"/>
  <c r="R13" i="1714"/>
  <c r="D13" i="1714"/>
  <c r="R12" i="1714"/>
  <c r="R11" i="1714"/>
  <c r="L9" i="1714"/>
  <c r="D9" i="1714" s="1"/>
  <c r="R6" i="1714"/>
  <c r="L6" i="1714"/>
  <c r="D6" i="1714"/>
  <c r="R5" i="1714"/>
  <c r="R4" i="1714"/>
  <c r="R52" i="1713"/>
  <c r="L22" i="1713" s="1"/>
  <c r="D22" i="1713" s="1"/>
  <c r="R51" i="1713"/>
  <c r="D50" i="1713"/>
  <c r="R49" i="1713"/>
  <c r="D49" i="1713"/>
  <c r="R48" i="1713"/>
  <c r="D48" i="1713"/>
  <c r="D46" i="1713"/>
  <c r="D45" i="1713"/>
  <c r="R44" i="1713"/>
  <c r="L28" i="1713" s="1"/>
  <c r="D28" i="1713" s="1"/>
  <c r="D44" i="1713"/>
  <c r="R42" i="1713"/>
  <c r="L6" i="1713" s="1"/>
  <c r="D6" i="1713" s="1"/>
  <c r="D42" i="1713"/>
  <c r="R41" i="1713"/>
  <c r="D41" i="1713"/>
  <c r="R40" i="1713"/>
  <c r="D40" i="1713"/>
  <c r="R39" i="1713"/>
  <c r="H39" i="1713"/>
  <c r="D39" i="1713"/>
  <c r="R38" i="1713"/>
  <c r="H38" i="1713"/>
  <c r="D38" i="1713"/>
  <c r="R37" i="1713"/>
  <c r="H37" i="1713"/>
  <c r="D37" i="1713"/>
  <c r="R36" i="1713"/>
  <c r="L10" i="1713" s="1"/>
  <c r="D10" i="1713" s="1"/>
  <c r="H36" i="1713"/>
  <c r="D36" i="1713"/>
  <c r="R35" i="1713"/>
  <c r="L19" i="1713" s="1"/>
  <c r="D19" i="1713" s="1"/>
  <c r="H35" i="1713"/>
  <c r="D35" i="1713"/>
  <c r="R34" i="1713"/>
  <c r="H34" i="1713"/>
  <c r="G49" i="1713" s="1"/>
  <c r="D34" i="1713"/>
  <c r="D54" i="1713" s="1"/>
  <c r="H14" i="1713" s="1"/>
  <c r="R33" i="1713"/>
  <c r="R32" i="1713"/>
  <c r="R31" i="1713"/>
  <c r="R30" i="1713"/>
  <c r="R29" i="1713"/>
  <c r="R28" i="1713"/>
  <c r="R27" i="1713"/>
  <c r="D27" i="1713"/>
  <c r="R26" i="1713"/>
  <c r="L26" i="1713"/>
  <c r="D26" i="1713"/>
  <c r="R25" i="1713"/>
  <c r="L25" i="1713"/>
  <c r="D25" i="1713" s="1"/>
  <c r="R24" i="1713"/>
  <c r="D24" i="1713"/>
  <c r="R23" i="1713"/>
  <c r="L23" i="1713"/>
  <c r="D23" i="1713"/>
  <c r="R22" i="1713"/>
  <c r="R21" i="1713"/>
  <c r="D21" i="1713"/>
  <c r="R20" i="1713"/>
  <c r="L20" i="1713"/>
  <c r="D20" i="1713"/>
  <c r="R19" i="1713"/>
  <c r="R18" i="1713"/>
  <c r="D18" i="1713"/>
  <c r="R17" i="1713"/>
  <c r="D17" i="1713"/>
  <c r="R16" i="1713"/>
  <c r="L16" i="1713"/>
  <c r="D16" i="1713" s="1"/>
  <c r="R15" i="1713"/>
  <c r="D15" i="1713"/>
  <c r="R14" i="1713"/>
  <c r="D14" i="1713"/>
  <c r="R13" i="1713"/>
  <c r="D13" i="1713"/>
  <c r="R12" i="1713"/>
  <c r="L12" i="1713"/>
  <c r="D12" i="1713" s="1"/>
  <c r="R11" i="1713"/>
  <c r="L11" i="1713"/>
  <c r="D11" i="1713"/>
  <c r="L9" i="1713"/>
  <c r="D9" i="1713"/>
  <c r="L8" i="1713"/>
  <c r="D8" i="1713" s="1"/>
  <c r="L7" i="1713"/>
  <c r="D7" i="1713"/>
  <c r="R6" i="1713"/>
  <c r="R5" i="1713"/>
  <c r="R4" i="1713"/>
  <c r="R52" i="1712"/>
  <c r="R51" i="1712"/>
  <c r="D50" i="1712"/>
  <c r="R49" i="1712"/>
  <c r="D49" i="1712"/>
  <c r="R48" i="1712"/>
  <c r="D48" i="1712"/>
  <c r="D46" i="1712"/>
  <c r="D45" i="1712"/>
  <c r="R44" i="1712"/>
  <c r="D44" i="1712"/>
  <c r="R42" i="1712"/>
  <c r="L6" i="1712" s="1"/>
  <c r="D6" i="1712" s="1"/>
  <c r="D42" i="1712"/>
  <c r="R41" i="1712"/>
  <c r="D41" i="1712"/>
  <c r="R40" i="1712"/>
  <c r="L8" i="1712" s="1"/>
  <c r="D8" i="1712" s="1"/>
  <c r="D40" i="1712"/>
  <c r="R39" i="1712"/>
  <c r="H39" i="1712"/>
  <c r="D39" i="1712"/>
  <c r="R38" i="1712"/>
  <c r="H38" i="1712"/>
  <c r="D38" i="1712"/>
  <c r="R37" i="1712"/>
  <c r="H37" i="1712"/>
  <c r="D37" i="1712"/>
  <c r="R36" i="1712"/>
  <c r="L10" i="1712" s="1"/>
  <c r="D10" i="1712" s="1"/>
  <c r="H36" i="1712"/>
  <c r="D36" i="1712"/>
  <c r="R35" i="1712"/>
  <c r="H35" i="1712"/>
  <c r="G49" i="1712" s="1"/>
  <c r="D35" i="1712"/>
  <c r="R34" i="1712"/>
  <c r="H34" i="1712"/>
  <c r="D34" i="1712"/>
  <c r="D54" i="1712" s="1"/>
  <c r="H14" i="1712" s="1"/>
  <c r="R33" i="1712"/>
  <c r="R32" i="1712"/>
  <c r="R31" i="1712"/>
  <c r="R30" i="1712"/>
  <c r="R29" i="1712"/>
  <c r="R28" i="1712"/>
  <c r="L16" i="1712" s="1"/>
  <c r="D16" i="1712" s="1"/>
  <c r="L28" i="1712"/>
  <c r="D28" i="1712" s="1"/>
  <c r="R27" i="1712"/>
  <c r="D27" i="1712"/>
  <c r="R26" i="1712"/>
  <c r="L26" i="1712"/>
  <c r="D26" i="1712" s="1"/>
  <c r="R25" i="1712"/>
  <c r="L25" i="1712"/>
  <c r="D25" i="1712" s="1"/>
  <c r="R24" i="1712"/>
  <c r="L24" i="1712"/>
  <c r="D24" i="1712"/>
  <c r="R23" i="1712"/>
  <c r="L23" i="1712"/>
  <c r="D23" i="1712"/>
  <c r="R22" i="1712"/>
  <c r="L22" i="1712"/>
  <c r="D22" i="1712" s="1"/>
  <c r="R21" i="1712"/>
  <c r="D21" i="1712"/>
  <c r="R20" i="1712"/>
  <c r="L20" i="1712"/>
  <c r="D20" i="1712"/>
  <c r="R19" i="1712"/>
  <c r="L19" i="1712"/>
  <c r="D19" i="1712"/>
  <c r="R18" i="1712"/>
  <c r="D18" i="1712"/>
  <c r="R17" i="1712"/>
  <c r="L17" i="1712"/>
  <c r="D17" i="1712"/>
  <c r="R16" i="1712"/>
  <c r="R15" i="1712"/>
  <c r="D15" i="1712"/>
  <c r="R14" i="1712"/>
  <c r="D14" i="1712"/>
  <c r="R13" i="1712"/>
  <c r="D13" i="1712"/>
  <c r="R12" i="1712"/>
  <c r="L12" i="1712"/>
  <c r="D12" i="1712"/>
  <c r="R11" i="1712"/>
  <c r="L11" i="1712"/>
  <c r="D11" i="1712" s="1"/>
  <c r="L9" i="1712"/>
  <c r="D9" i="1712" s="1"/>
  <c r="L7" i="1712"/>
  <c r="D7" i="1712" s="1"/>
  <c r="R6" i="1712"/>
  <c r="R5" i="1712"/>
  <c r="R4" i="1712"/>
  <c r="R52" i="1711"/>
  <c r="R51" i="1711"/>
  <c r="D50" i="1711"/>
  <c r="R49" i="1711"/>
  <c r="G49" i="1711"/>
  <c r="D49" i="1711"/>
  <c r="R48" i="1711"/>
  <c r="D48" i="1711"/>
  <c r="D46" i="1711"/>
  <c r="D45" i="1711"/>
  <c r="R44" i="1711"/>
  <c r="L28" i="1711" s="1"/>
  <c r="D28" i="1711" s="1"/>
  <c r="D44" i="1711"/>
  <c r="R42" i="1711"/>
  <c r="D42" i="1711"/>
  <c r="R41" i="1711"/>
  <c r="L7" i="1711" s="1"/>
  <c r="D7" i="1711" s="1"/>
  <c r="D41" i="1711"/>
  <c r="R40" i="1711"/>
  <c r="D40" i="1711"/>
  <c r="R39" i="1711"/>
  <c r="L20" i="1711" s="1"/>
  <c r="D20" i="1711" s="1"/>
  <c r="H39" i="1711"/>
  <c r="D39" i="1711"/>
  <c r="R38" i="1711"/>
  <c r="L9" i="1711" s="1"/>
  <c r="D9" i="1711" s="1"/>
  <c r="H38" i="1711"/>
  <c r="D38" i="1711"/>
  <c r="D54" i="1711" s="1"/>
  <c r="H14" i="1711" s="1"/>
  <c r="R37" i="1711"/>
  <c r="H37" i="1711"/>
  <c r="D37" i="1711"/>
  <c r="R36" i="1711"/>
  <c r="H36" i="1711"/>
  <c r="D36" i="1711"/>
  <c r="R35" i="1711"/>
  <c r="H35" i="1711"/>
  <c r="D35" i="1711"/>
  <c r="R34" i="1711"/>
  <c r="H34" i="1711"/>
  <c r="D34" i="1711"/>
  <c r="R33" i="1711"/>
  <c r="R32" i="1711"/>
  <c r="L11" i="1711" s="1"/>
  <c r="D11" i="1711" s="1"/>
  <c r="R31" i="1711"/>
  <c r="R30" i="1711"/>
  <c r="R29" i="1711"/>
  <c r="R28" i="1711"/>
  <c r="L16" i="1711" s="1"/>
  <c r="D16" i="1711" s="1"/>
  <c r="R27" i="1711"/>
  <c r="D27" i="1711"/>
  <c r="R26" i="1711"/>
  <c r="L26" i="1711"/>
  <c r="D26" i="1711"/>
  <c r="R25" i="1711"/>
  <c r="L25" i="1711"/>
  <c r="D25" i="1711" s="1"/>
  <c r="R24" i="1711"/>
  <c r="L24" i="1711"/>
  <c r="D24" i="1711" s="1"/>
  <c r="R23" i="1711"/>
  <c r="D23" i="1711"/>
  <c r="R22" i="1711"/>
  <c r="D22" i="1711"/>
  <c r="R21" i="1711"/>
  <c r="D21" i="1711"/>
  <c r="R20" i="1711"/>
  <c r="R19" i="1711"/>
  <c r="D19" i="1711"/>
  <c r="R18" i="1711"/>
  <c r="D18" i="1711"/>
  <c r="R17" i="1711"/>
  <c r="L17" i="1711"/>
  <c r="D17" i="1711" s="1"/>
  <c r="R16" i="1711"/>
  <c r="R15" i="1711"/>
  <c r="D15" i="1711"/>
  <c r="R14" i="1711"/>
  <c r="D14" i="1711"/>
  <c r="R13" i="1711"/>
  <c r="D13" i="1711"/>
  <c r="R12" i="1711"/>
  <c r="L12" i="1711"/>
  <c r="D12" i="1711" s="1"/>
  <c r="R11" i="1711"/>
  <c r="L10" i="1711"/>
  <c r="D10" i="1711" s="1"/>
  <c r="L8" i="1711"/>
  <c r="D8" i="1711" s="1"/>
  <c r="R6" i="1711"/>
  <c r="L6" i="1711"/>
  <c r="D6" i="1711" s="1"/>
  <c r="R5" i="1711"/>
  <c r="R4" i="1711"/>
  <c r="R52" i="1710"/>
  <c r="R51" i="1710"/>
  <c r="D50" i="1710"/>
  <c r="R49" i="1710"/>
  <c r="G49" i="1710"/>
  <c r="D49" i="1710"/>
  <c r="R48" i="1710"/>
  <c r="D48" i="1710"/>
  <c r="D46" i="1710"/>
  <c r="D45" i="1710"/>
  <c r="D44" i="1710"/>
  <c r="R42" i="1710"/>
  <c r="D42" i="1710"/>
  <c r="R41" i="1710"/>
  <c r="L7" i="1710" s="1"/>
  <c r="D7" i="1710" s="1"/>
  <c r="D41" i="1710"/>
  <c r="R40" i="1710"/>
  <c r="L8" i="1710" s="1"/>
  <c r="D8" i="1710" s="1"/>
  <c r="D40" i="1710"/>
  <c r="R39" i="1710"/>
  <c r="D39" i="1710"/>
  <c r="R38" i="1710"/>
  <c r="L9" i="1710" s="1"/>
  <c r="D9" i="1710" s="1"/>
  <c r="D38" i="1710"/>
  <c r="R37" i="1710"/>
  <c r="D37" i="1710"/>
  <c r="R36" i="1710"/>
  <c r="L10" i="1710" s="1"/>
  <c r="D10" i="1710" s="1"/>
  <c r="D36" i="1710"/>
  <c r="R35" i="1710"/>
  <c r="L19" i="1710" s="1"/>
  <c r="D19" i="1710" s="1"/>
  <c r="D35" i="1710"/>
  <c r="D54" i="1710" s="1"/>
  <c r="H14" i="1710" s="1"/>
  <c r="R34" i="1710"/>
  <c r="D34" i="1710"/>
  <c r="R33" i="1710"/>
  <c r="R32" i="1710"/>
  <c r="R31" i="1710"/>
  <c r="R30" i="1710"/>
  <c r="R29" i="1710"/>
  <c r="R28" i="1710"/>
  <c r="L16" i="1710" s="1"/>
  <c r="D16" i="1710" s="1"/>
  <c r="D28" i="1710"/>
  <c r="R27" i="1710"/>
  <c r="D27" i="1710"/>
  <c r="R26" i="1710"/>
  <c r="L26" i="1710"/>
  <c r="D26" i="1710"/>
  <c r="R25" i="1710"/>
  <c r="L25" i="1710"/>
  <c r="D25" i="1710"/>
  <c r="R24" i="1710"/>
  <c r="D24" i="1710"/>
  <c r="R23" i="1710"/>
  <c r="L23" i="1710"/>
  <c r="D23" i="1710"/>
  <c r="R22" i="1710"/>
  <c r="L22" i="1710"/>
  <c r="D22" i="1710" s="1"/>
  <c r="R21" i="1710"/>
  <c r="D21" i="1710"/>
  <c r="R20" i="1710"/>
  <c r="L20" i="1710"/>
  <c r="D20" i="1710"/>
  <c r="R19" i="1710"/>
  <c r="R18" i="1710"/>
  <c r="D18" i="1710"/>
  <c r="R17" i="1710"/>
  <c r="D17" i="1710"/>
  <c r="R16" i="1710"/>
  <c r="S15" i="1710"/>
  <c r="R15" i="1710"/>
  <c r="D15" i="1710"/>
  <c r="S14" i="1710"/>
  <c r="R14" i="1710"/>
  <c r="D14" i="1710"/>
  <c r="R13" i="1710"/>
  <c r="D13" i="1710"/>
  <c r="R12" i="1710"/>
  <c r="L12" i="1710"/>
  <c r="D12" i="1710"/>
  <c r="R11" i="1710"/>
  <c r="L11" i="1710"/>
  <c r="D11" i="1710" s="1"/>
  <c r="R6" i="1710"/>
  <c r="L6" i="1710"/>
  <c r="D6" i="1710"/>
  <c r="R5" i="1710"/>
  <c r="R4" i="1710"/>
  <c r="R52" i="1709"/>
  <c r="L22" i="1709" s="1"/>
  <c r="D22" i="1709" s="1"/>
  <c r="R51" i="1709"/>
  <c r="D50" i="1709"/>
  <c r="R49" i="1709"/>
  <c r="D49" i="1709"/>
  <c r="R48" i="1709"/>
  <c r="D48" i="1709"/>
  <c r="D46" i="1709"/>
  <c r="D45" i="1709"/>
  <c r="R44" i="1709"/>
  <c r="L28" i="1709" s="1"/>
  <c r="D28" i="1709" s="1"/>
  <c r="D44" i="1709"/>
  <c r="R42" i="1709"/>
  <c r="D42" i="1709"/>
  <c r="R41" i="1709"/>
  <c r="D41" i="1709"/>
  <c r="R40" i="1709"/>
  <c r="D40" i="1709"/>
  <c r="R39" i="1709"/>
  <c r="H39" i="1709"/>
  <c r="D39" i="1709"/>
  <c r="R38" i="1709"/>
  <c r="L9" i="1709" s="1"/>
  <c r="D9" i="1709" s="1"/>
  <c r="H38" i="1709"/>
  <c r="G49" i="1709" s="1"/>
  <c r="D38" i="1709"/>
  <c r="R37" i="1709"/>
  <c r="H37" i="1709"/>
  <c r="D37" i="1709"/>
  <c r="R36" i="1709"/>
  <c r="H36" i="1709"/>
  <c r="D36" i="1709"/>
  <c r="R35" i="1709"/>
  <c r="H35" i="1709"/>
  <c r="D35" i="1709"/>
  <c r="R34" i="1709"/>
  <c r="H34" i="1709"/>
  <c r="D34" i="1709"/>
  <c r="D54" i="1709" s="1"/>
  <c r="H14" i="1709" s="1"/>
  <c r="R33" i="1709"/>
  <c r="L23" i="1709" s="1"/>
  <c r="D23" i="1709" s="1"/>
  <c r="R32" i="1709"/>
  <c r="L11" i="1709" s="1"/>
  <c r="D11" i="1709" s="1"/>
  <c r="R31" i="1709"/>
  <c r="R30" i="1709"/>
  <c r="R29" i="1709"/>
  <c r="R28" i="1709"/>
  <c r="R27" i="1709"/>
  <c r="D27" i="1709"/>
  <c r="R26" i="1709"/>
  <c r="L26" i="1709"/>
  <c r="D26" i="1709"/>
  <c r="R25" i="1709"/>
  <c r="L25" i="1709"/>
  <c r="D25" i="1709"/>
  <c r="R24" i="1709"/>
  <c r="D24" i="1709"/>
  <c r="R23" i="1709"/>
  <c r="R22" i="1709"/>
  <c r="R21" i="1709"/>
  <c r="D21" i="1709"/>
  <c r="R20" i="1709"/>
  <c r="L20" i="1709"/>
  <c r="D20" i="1709"/>
  <c r="R19" i="1709"/>
  <c r="L19" i="1709"/>
  <c r="D19" i="1709"/>
  <c r="R18" i="1709"/>
  <c r="D18" i="1709"/>
  <c r="R17" i="1709"/>
  <c r="D17" i="1709"/>
  <c r="R16" i="1709"/>
  <c r="L16" i="1709"/>
  <c r="D16" i="1709"/>
  <c r="R15" i="1709"/>
  <c r="D15" i="1709"/>
  <c r="R14" i="1709"/>
  <c r="D14" i="1709"/>
  <c r="R13" i="1709"/>
  <c r="D13" i="1709"/>
  <c r="R12" i="1709"/>
  <c r="L12" i="1709"/>
  <c r="D12" i="1709" s="1"/>
  <c r="R11" i="1709"/>
  <c r="L10" i="1709"/>
  <c r="D10" i="1709"/>
  <c r="L8" i="1709"/>
  <c r="D8" i="1709"/>
  <c r="L7" i="1709"/>
  <c r="D7" i="1709"/>
  <c r="R6" i="1709"/>
  <c r="L6" i="1709"/>
  <c r="D6" i="1709"/>
  <c r="D29" i="1709" s="1"/>
  <c r="H13" i="1709" s="1"/>
  <c r="H15" i="1709" s="1"/>
  <c r="H29" i="1709" s="1"/>
  <c r="R5" i="1709"/>
  <c r="R4" i="1709"/>
  <c r="R52" i="1708"/>
  <c r="R51" i="1708"/>
  <c r="D50" i="1708"/>
  <c r="R49" i="1708"/>
  <c r="D49" i="1708"/>
  <c r="R48" i="1708"/>
  <c r="D48" i="1708"/>
  <c r="D46" i="1708"/>
  <c r="D45" i="1708"/>
  <c r="R44" i="1708"/>
  <c r="D44" i="1708"/>
  <c r="R42" i="1708"/>
  <c r="D42" i="1708"/>
  <c r="R41" i="1708"/>
  <c r="L7" i="1708" s="1"/>
  <c r="D7" i="1708" s="1"/>
  <c r="D41" i="1708"/>
  <c r="R40" i="1708"/>
  <c r="L8" i="1708" s="1"/>
  <c r="D8" i="1708" s="1"/>
  <c r="D40" i="1708"/>
  <c r="R39" i="1708"/>
  <c r="H39" i="1708"/>
  <c r="D39" i="1708"/>
  <c r="R38" i="1708"/>
  <c r="H38" i="1708"/>
  <c r="D38" i="1708"/>
  <c r="R37" i="1708"/>
  <c r="H37" i="1708"/>
  <c r="D37" i="1708"/>
  <c r="R36" i="1708"/>
  <c r="H36" i="1708"/>
  <c r="D36" i="1708"/>
  <c r="R35" i="1708"/>
  <c r="L19" i="1708" s="1"/>
  <c r="D19" i="1708" s="1"/>
  <c r="H35" i="1708"/>
  <c r="D35" i="1708"/>
  <c r="D54" i="1708" s="1"/>
  <c r="H14" i="1708" s="1"/>
  <c r="R34" i="1708"/>
  <c r="H34" i="1708"/>
  <c r="G49" i="1708" s="1"/>
  <c r="D34" i="1708"/>
  <c r="R33" i="1708"/>
  <c r="R32" i="1708"/>
  <c r="R31" i="1708"/>
  <c r="R30" i="1708"/>
  <c r="R29" i="1708"/>
  <c r="R28" i="1708"/>
  <c r="L28" i="1708"/>
  <c r="D28" i="1708"/>
  <c r="R27" i="1708"/>
  <c r="D27" i="1708"/>
  <c r="R26" i="1708"/>
  <c r="L26" i="1708"/>
  <c r="D26" i="1708"/>
  <c r="R25" i="1708"/>
  <c r="L25" i="1708"/>
  <c r="D25" i="1708"/>
  <c r="R24" i="1708"/>
  <c r="L24" i="1708"/>
  <c r="D24" i="1708" s="1"/>
  <c r="R23" i="1708"/>
  <c r="L23" i="1708"/>
  <c r="D23" i="1708" s="1"/>
  <c r="R22" i="1708"/>
  <c r="L22" i="1708"/>
  <c r="D22" i="1708"/>
  <c r="R21" i="1708"/>
  <c r="L17" i="1708" s="1"/>
  <c r="D17" i="1708" s="1"/>
  <c r="D21" i="1708"/>
  <c r="R20" i="1708"/>
  <c r="L20" i="1708"/>
  <c r="D20" i="1708"/>
  <c r="R19" i="1708"/>
  <c r="R18" i="1708"/>
  <c r="D18" i="1708"/>
  <c r="R17" i="1708"/>
  <c r="R16" i="1708"/>
  <c r="L16" i="1708"/>
  <c r="D16" i="1708"/>
  <c r="R15" i="1708"/>
  <c r="D15" i="1708"/>
  <c r="R14" i="1708"/>
  <c r="D14" i="1708"/>
  <c r="R13" i="1708"/>
  <c r="D13" i="1708"/>
  <c r="R12" i="1708"/>
  <c r="L12" i="1708"/>
  <c r="D12" i="1708"/>
  <c r="R11" i="1708"/>
  <c r="L11" i="1708"/>
  <c r="D11" i="1708"/>
  <c r="L10" i="1708"/>
  <c r="D10" i="1708"/>
  <c r="L9" i="1708"/>
  <c r="D9" i="1708" s="1"/>
  <c r="R6" i="1708"/>
  <c r="L6" i="1708"/>
  <c r="D6" i="1708" s="1"/>
  <c r="R5" i="1708"/>
  <c r="R4" i="1708"/>
  <c r="R52" i="1707"/>
  <c r="R51" i="1707"/>
  <c r="D50" i="1707"/>
  <c r="R49" i="1707"/>
  <c r="D49" i="1707"/>
  <c r="R48" i="1707"/>
  <c r="D48" i="1707"/>
  <c r="D46" i="1707"/>
  <c r="D45" i="1707"/>
  <c r="R44" i="1707"/>
  <c r="D44" i="1707"/>
  <c r="R42" i="1707"/>
  <c r="L6" i="1707" s="1"/>
  <c r="D6" i="1707" s="1"/>
  <c r="D42" i="1707"/>
  <c r="R41" i="1707"/>
  <c r="L7" i="1707" s="1"/>
  <c r="D7" i="1707" s="1"/>
  <c r="D41" i="1707"/>
  <c r="D54" i="1707" s="1"/>
  <c r="H14" i="1707" s="1"/>
  <c r="R40" i="1707"/>
  <c r="D40" i="1707"/>
  <c r="R39" i="1707"/>
  <c r="H39" i="1707"/>
  <c r="D39" i="1707"/>
  <c r="R38" i="1707"/>
  <c r="H38" i="1707"/>
  <c r="D38" i="1707"/>
  <c r="R37" i="1707"/>
  <c r="H37" i="1707"/>
  <c r="D37" i="1707"/>
  <c r="R36" i="1707"/>
  <c r="H36" i="1707"/>
  <c r="D36" i="1707"/>
  <c r="R35" i="1707"/>
  <c r="H35" i="1707"/>
  <c r="G49" i="1707" s="1"/>
  <c r="D35" i="1707"/>
  <c r="R34" i="1707"/>
  <c r="H34" i="1707"/>
  <c r="D34" i="1707"/>
  <c r="R33" i="1707"/>
  <c r="R32" i="1707"/>
  <c r="R31" i="1707"/>
  <c r="R30" i="1707"/>
  <c r="R29" i="1707"/>
  <c r="R28" i="1707"/>
  <c r="L16" i="1707" s="1"/>
  <c r="D16" i="1707" s="1"/>
  <c r="L28" i="1707"/>
  <c r="D28" i="1707"/>
  <c r="R27" i="1707"/>
  <c r="D27" i="1707"/>
  <c r="R26" i="1707"/>
  <c r="L26" i="1707"/>
  <c r="D26" i="1707" s="1"/>
  <c r="R25" i="1707"/>
  <c r="L25" i="1707"/>
  <c r="D25" i="1707" s="1"/>
  <c r="R24" i="1707"/>
  <c r="L24" i="1707"/>
  <c r="D24" i="1707"/>
  <c r="R23" i="1707"/>
  <c r="D23" i="1707"/>
  <c r="R22" i="1707"/>
  <c r="D22" i="1707"/>
  <c r="R21" i="1707"/>
  <c r="D21" i="1707"/>
  <c r="R20" i="1707"/>
  <c r="L20" i="1707"/>
  <c r="D20" i="1707"/>
  <c r="R19" i="1707"/>
  <c r="D19" i="1707"/>
  <c r="R18" i="1707"/>
  <c r="D18" i="1707"/>
  <c r="R17" i="1707"/>
  <c r="L17" i="1707"/>
  <c r="D17" i="1707"/>
  <c r="R16" i="1707"/>
  <c r="R15" i="1707"/>
  <c r="D15" i="1707"/>
  <c r="R14" i="1707"/>
  <c r="D14" i="1707"/>
  <c r="R13" i="1707"/>
  <c r="D13" i="1707"/>
  <c r="R12" i="1707"/>
  <c r="L12" i="1707"/>
  <c r="D12" i="1707"/>
  <c r="R11" i="1707"/>
  <c r="L11" i="1707"/>
  <c r="D11" i="1707"/>
  <c r="L10" i="1707"/>
  <c r="D10" i="1707"/>
  <c r="L9" i="1707"/>
  <c r="D9" i="1707"/>
  <c r="L8" i="1707"/>
  <c r="D8" i="1707" s="1"/>
  <c r="R6" i="1707"/>
  <c r="R5" i="1707"/>
  <c r="R4" i="1707"/>
  <c r="R52" i="1706"/>
  <c r="R51" i="1706"/>
  <c r="D50" i="1706"/>
  <c r="R49" i="1706"/>
  <c r="G49" i="1706"/>
  <c r="D49" i="1706"/>
  <c r="R48" i="1706"/>
  <c r="D48" i="1706"/>
  <c r="D46" i="1706"/>
  <c r="D45" i="1706"/>
  <c r="D44" i="1706"/>
  <c r="R42" i="1706"/>
  <c r="D42" i="1706"/>
  <c r="R41" i="1706"/>
  <c r="L7" i="1706" s="1"/>
  <c r="D7" i="1706" s="1"/>
  <c r="D41" i="1706"/>
  <c r="R40" i="1706"/>
  <c r="D40" i="1706"/>
  <c r="R39" i="1706"/>
  <c r="D39" i="1706"/>
  <c r="R38" i="1706"/>
  <c r="D38" i="1706"/>
  <c r="R37" i="1706"/>
  <c r="D37" i="1706"/>
  <c r="R36" i="1706"/>
  <c r="L10" i="1706" s="1"/>
  <c r="D10" i="1706" s="1"/>
  <c r="D36" i="1706"/>
  <c r="R35" i="1706"/>
  <c r="L19" i="1706" s="1"/>
  <c r="D19" i="1706" s="1"/>
  <c r="D35" i="1706"/>
  <c r="D54" i="1706" s="1"/>
  <c r="H14" i="1706" s="1"/>
  <c r="R34" i="1706"/>
  <c r="D34" i="1706"/>
  <c r="R33" i="1706"/>
  <c r="R32" i="1706"/>
  <c r="L11" i="1706" s="1"/>
  <c r="D11" i="1706" s="1"/>
  <c r="R31" i="1706"/>
  <c r="R30" i="1706"/>
  <c r="R29" i="1706"/>
  <c r="R28" i="1706"/>
  <c r="L16" i="1706" s="1"/>
  <c r="D16" i="1706" s="1"/>
  <c r="D28" i="1706"/>
  <c r="R27" i="1706"/>
  <c r="D27" i="1706"/>
  <c r="R26" i="1706"/>
  <c r="L26" i="1706"/>
  <c r="D26" i="1706"/>
  <c r="R25" i="1706"/>
  <c r="L25" i="1706"/>
  <c r="D25" i="1706"/>
  <c r="R24" i="1706"/>
  <c r="D24" i="1706"/>
  <c r="R23" i="1706"/>
  <c r="L23" i="1706"/>
  <c r="D23" i="1706"/>
  <c r="R22" i="1706"/>
  <c r="L22" i="1706"/>
  <c r="D22" i="1706"/>
  <c r="R21" i="1706"/>
  <c r="D21" i="1706"/>
  <c r="R20" i="1706"/>
  <c r="L20" i="1706"/>
  <c r="D20" i="1706"/>
  <c r="R19" i="1706"/>
  <c r="R18" i="1706"/>
  <c r="D18" i="1706"/>
  <c r="R17" i="1706"/>
  <c r="D17" i="1706"/>
  <c r="R16" i="1706"/>
  <c r="S15" i="1706"/>
  <c r="R15" i="1706"/>
  <c r="D15" i="1706"/>
  <c r="S14" i="1706"/>
  <c r="R14" i="1706"/>
  <c r="D14" i="1706"/>
  <c r="R13" i="1706"/>
  <c r="D13" i="1706"/>
  <c r="R12" i="1706"/>
  <c r="L12" i="1706"/>
  <c r="D12" i="1706"/>
  <c r="R11" i="1706"/>
  <c r="L9" i="1706"/>
  <c r="D9" i="1706"/>
  <c r="L8" i="1706"/>
  <c r="D8" i="1706" s="1"/>
  <c r="R6" i="1706"/>
  <c r="L6" i="1706"/>
  <c r="D6" i="1706"/>
  <c r="R5" i="1706"/>
  <c r="R4" i="1706"/>
  <c r="D29" i="1729" l="1"/>
  <c r="H13" i="1729" s="1"/>
  <c r="H15" i="1729" s="1"/>
  <c r="H29" i="1729" s="1"/>
  <c r="G51" i="1729" s="1"/>
  <c r="D29" i="1728"/>
  <c r="H13" i="1728" s="1"/>
  <c r="H15" i="1728" s="1"/>
  <c r="H29" i="1728" s="1"/>
  <c r="G51" i="1728" s="1"/>
  <c r="D29" i="1727"/>
  <c r="H13" i="1727" s="1"/>
  <c r="H15" i="1727" s="1"/>
  <c r="H29" i="1727" s="1"/>
  <c r="G51" i="1727"/>
  <c r="D29" i="1726"/>
  <c r="H13" i="1726" s="1"/>
  <c r="H15" i="1726" s="1"/>
  <c r="H29" i="1726" s="1"/>
  <c r="G51" i="1726" s="1"/>
  <c r="D29" i="1725"/>
  <c r="H13" i="1725" s="1"/>
  <c r="H15" i="1725" s="1"/>
  <c r="H29" i="1725" s="1"/>
  <c r="G51" i="1725" s="1"/>
  <c r="D29" i="1724"/>
  <c r="H13" i="1724" s="1"/>
  <c r="H15" i="1724" s="1"/>
  <c r="H29" i="1724" s="1"/>
  <c r="G51" i="1724" s="1"/>
  <c r="D29" i="1723"/>
  <c r="H13" i="1723" s="1"/>
  <c r="H15" i="1723" s="1"/>
  <c r="H29" i="1723" s="1"/>
  <c r="G51" i="1723"/>
  <c r="D29" i="1722"/>
  <c r="H13" i="1722" s="1"/>
  <c r="H15" i="1722" s="1"/>
  <c r="H29" i="1722" s="1"/>
  <c r="G51" i="1722" s="1"/>
  <c r="D29" i="1721"/>
  <c r="H13" i="1721" s="1"/>
  <c r="H15" i="1721" s="1"/>
  <c r="H29" i="1721" s="1"/>
  <c r="G51" i="1721" s="1"/>
  <c r="D29" i="1720"/>
  <c r="H13" i="1720" s="1"/>
  <c r="H15" i="1720" s="1"/>
  <c r="H29" i="1720" s="1"/>
  <c r="G51" i="1720"/>
  <c r="D29" i="1719"/>
  <c r="H13" i="1719" s="1"/>
  <c r="H15" i="1719" s="1"/>
  <c r="H29" i="1719" s="1"/>
  <c r="G51" i="1719" s="1"/>
  <c r="D29" i="1718"/>
  <c r="H13" i="1718" s="1"/>
  <c r="H15" i="1718" s="1"/>
  <c r="H29" i="1718" s="1"/>
  <c r="G51" i="1718" s="1"/>
  <c r="D29" i="1717"/>
  <c r="H13" i="1717" s="1"/>
  <c r="H15" i="1717" s="1"/>
  <c r="H29" i="1717" s="1"/>
  <c r="G51" i="1717" s="1"/>
  <c r="D29" i="1716"/>
  <c r="H13" i="1716" s="1"/>
  <c r="H15" i="1716" s="1"/>
  <c r="H29" i="1716" s="1"/>
  <c r="G51" i="1716"/>
  <c r="G51" i="1715"/>
  <c r="D29" i="1714"/>
  <c r="H13" i="1714" s="1"/>
  <c r="H15" i="1714" s="1"/>
  <c r="H29" i="1714" s="1"/>
  <c r="G51" i="1714" s="1"/>
  <c r="D29" i="1713"/>
  <c r="H13" i="1713" s="1"/>
  <c r="H15" i="1713" s="1"/>
  <c r="H29" i="1713" s="1"/>
  <c r="G51" i="1713"/>
  <c r="D29" i="1712"/>
  <c r="H13" i="1712" s="1"/>
  <c r="H15" i="1712" s="1"/>
  <c r="H29" i="1712" s="1"/>
  <c r="G51" i="1712" s="1"/>
  <c r="D29" i="1711"/>
  <c r="H13" i="1711" s="1"/>
  <c r="H15" i="1711" s="1"/>
  <c r="H29" i="1711" s="1"/>
  <c r="G51" i="1711"/>
  <c r="D29" i="1710"/>
  <c r="H13" i="1710" s="1"/>
  <c r="H15" i="1710" s="1"/>
  <c r="H29" i="1710" s="1"/>
  <c r="G51" i="1710" s="1"/>
  <c r="G51" i="1709"/>
  <c r="D29" i="1708"/>
  <c r="H13" i="1708" s="1"/>
  <c r="H15" i="1708" s="1"/>
  <c r="H29" i="1708" s="1"/>
  <c r="G51" i="1708"/>
  <c r="D29" i="1707"/>
  <c r="H13" i="1707" s="1"/>
  <c r="H15" i="1707" s="1"/>
  <c r="H29" i="1707" s="1"/>
  <c r="G51" i="1707"/>
  <c r="D29" i="1706"/>
  <c r="H13" i="1706" s="1"/>
  <c r="H15" i="1706" s="1"/>
  <c r="H29" i="1706" s="1"/>
  <c r="G51" i="1706" s="1"/>
  <c r="C37" i="1700"/>
  <c r="H16" i="1696" l="1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G49" i="1705" s="1"/>
  <c r="D34" i="1705"/>
  <c r="D54" i="1705" s="1"/>
  <c r="H14" i="1705" s="1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L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G49" i="1704" s="1"/>
  <c r="D34" i="1704"/>
  <c r="D54" i="1704" s="1"/>
  <c r="H14" i="1704" s="1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G49" i="1703" s="1"/>
  <c r="D34" i="1703"/>
  <c r="D54" i="1703" s="1"/>
  <c r="H14" i="1703" s="1"/>
  <c r="R33" i="1703"/>
  <c r="R32" i="1703"/>
  <c r="R31" i="1703"/>
  <c r="R30" i="1703"/>
  <c r="R29" i="1703"/>
  <c r="R28" i="1703"/>
  <c r="R27" i="1703"/>
  <c r="D27" i="1703"/>
  <c r="R26" i="1703"/>
  <c r="L26" i="1703"/>
  <c r="D26" i="1703"/>
  <c r="R25" i="1703"/>
  <c r="L25" i="1703"/>
  <c r="D25" i="1703" s="1"/>
  <c r="R24" i="1703"/>
  <c r="L24" i="1703"/>
  <c r="D24" i="1703" s="1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701" l="1"/>
  <c r="G49" i="1699"/>
  <c r="D54" i="170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H15" i="1704" s="1"/>
  <c r="H29" i="1704" s="1"/>
  <c r="G51" i="1704" s="1"/>
  <c r="D29" i="1703"/>
  <c r="H13" i="1703" s="1"/>
  <c r="H15" i="1703" s="1"/>
  <c r="H29" i="1703" s="1"/>
  <c r="G51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1" l="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<sst xmlns="http://schemas.openxmlformats.org/spreadsheetml/2006/main" count="12022" uniqueCount="208">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</sst>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AE52B6-9019-4EF5-92A8-69C20C5D4A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03D84-9A41-49AA-A864-948F9B005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74B25F-48C3-403E-BB26-DA7B8263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5DEAAA-EB1E-4021-910F-D1E541E6D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4EC06D-3EDD-470E-A5F3-FFA5AC147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46B8A7-EAB1-4CA3-92A2-9B23D0103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ED343-FF7C-43DA-B18B-0B7D86F6C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241254-31E4-477A-8295-E2664AD2ED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CA31F0-D1A1-49FE-AE96-923761C5C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F53035-0E30-4334-8434-50436D62F8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9EAFA8-6F5F-4DD6-A26C-C123DAF82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43C2DB-6BEA-4160-9528-652B41300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B1FB7C-020F-4024-8991-9FB896742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60DE-4E2F-4997-BF69-D4903D429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66559C-5B0E-4362-BFE4-D85A1B1685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0BC28F-E80C-4229-9F5B-5DC80AB9DD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D10632-2CAA-4B21-89B3-F2D67A046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BCB99-1DDA-47E8-82A0-BB2150903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1CEE15-7AF6-45A5-983B-2BC7EC2CD6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944A5F-6F39-460F-A41A-9776951B4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F563C2-1E7F-43E3-83A8-2C65626EA4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E3C4D-FA27-4109-9029-2578C58F2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015AD-9C7E-4904-9462-6ED7E37B9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826F28-01C8-4EFE-9D56-E3A50EA88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A88C61-DAD2-4E18-8444-38A1A63E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45658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85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45658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86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45658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88"/>
      <c r="G28" s="61"/>
      <c r="H28" s="209"/>
      <c r="I28" s="210"/>
      <c r="J28" s="211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85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139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46024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46024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46024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480</v>
      </c>
      <c r="D6" s="13">
        <f t="shared" ref="D6:D28" si="1">C6*L6</f>
        <v>365280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12</v>
      </c>
      <c r="D7" s="13">
        <f t="shared" si="1"/>
        <v>9372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75</v>
      </c>
      <c r="D9" s="13">
        <f t="shared" si="1"/>
        <v>54975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6</v>
      </c>
      <c r="D12" s="48">
        <f t="shared" si="1"/>
        <v>5952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4</v>
      </c>
      <c r="D13" s="48">
        <f t="shared" si="1"/>
        <v>1228</v>
      </c>
      <c r="F13" s="160" t="s">
        <v>36</v>
      </c>
      <c r="G13" s="161"/>
      <c r="H13" s="162">
        <f>D29</f>
        <v>443015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18</v>
      </c>
      <c r="D14" s="31">
        <f t="shared" si="1"/>
        <v>198</v>
      </c>
      <c r="F14" s="165" t="s">
        <v>39</v>
      </c>
      <c r="G14" s="166"/>
      <c r="H14" s="167">
        <f>D54</f>
        <v>77991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365024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1758+600+612</f>
        <v>2970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>
        <v>8</v>
      </c>
      <c r="D22" s="48">
        <f t="shared" si="1"/>
        <v>5360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443015</v>
      </c>
      <c r="F29" s="183" t="s">
        <v>55</v>
      </c>
      <c r="G29" s="184"/>
      <c r="H29" s="187">
        <f>H15-H16-H17-H18-H19-H20-H22-H23-H24+H26+H27</f>
        <v>362054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215">
        <f>F34*G34</f>
        <v>78000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15">
        <f>F35*G35</f>
        <v>43500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215">
        <f t="shared" si="2"/>
        <v>1000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5">
        <v>47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99">
        <v>54216</v>
      </c>
      <c r="I44" s="199"/>
      <c r="J44" s="199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99">
        <v>188602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6</v>
      </c>
      <c r="D46" s="12">
        <f>C46*1.5</f>
        <v>9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2</v>
      </c>
      <c r="D49" s="12">
        <f>C49*42</f>
        <v>84</v>
      </c>
      <c r="F49" s="240" t="s">
        <v>86</v>
      </c>
      <c r="G49" s="187">
        <f>H34+H35+H36+H37+H38+H39+H40+H41+G42+H44+H45+H46</f>
        <v>365435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24</v>
      </c>
      <c r="D50" s="12">
        <f>C50*1.5</f>
        <v>36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149</v>
      </c>
      <c r="G51" s="244">
        <f>G49-H29</f>
        <v>3381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262">
        <v>46025</v>
      </c>
      <c r="J4" s="2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264"/>
      <c r="J5" s="2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728</v>
      </c>
      <c r="D6" s="13">
        <f t="shared" ref="D6:D28" si="1">C6*L6</f>
        <v>554008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60</v>
      </c>
      <c r="D8" s="13">
        <f t="shared" si="1"/>
        <v>65580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9</v>
      </c>
      <c r="D9" s="13">
        <f t="shared" si="1"/>
        <v>6597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5</v>
      </c>
      <c r="D10" s="13">
        <f t="shared" si="1"/>
        <v>5160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16</v>
      </c>
      <c r="D11" s="13">
        <f t="shared" si="1"/>
        <v>18720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23+3</f>
        <v>26</v>
      </c>
      <c r="D12" s="48">
        <f t="shared" si="1"/>
        <v>25792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21</v>
      </c>
      <c r="D13" s="48">
        <f t="shared" si="1"/>
        <v>6447</v>
      </c>
      <c r="F13" s="160" t="s">
        <v>36</v>
      </c>
      <c r="G13" s="161"/>
      <c r="H13" s="162">
        <f>D29</f>
        <v>685162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17</v>
      </c>
      <c r="D14" s="31">
        <f t="shared" si="1"/>
        <v>187</v>
      </c>
      <c r="F14" s="165" t="s">
        <v>39</v>
      </c>
      <c r="G14" s="166"/>
      <c r="H14" s="167">
        <f>D54</f>
        <v>145168.5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>
        <v>1</v>
      </c>
      <c r="D15" s="31">
        <f t="shared" si="1"/>
        <v>620</v>
      </c>
      <c r="F15" s="170" t="s">
        <v>40</v>
      </c>
      <c r="G15" s="161"/>
      <c r="H15" s="171">
        <f>H13-H14</f>
        <v>539993.5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2772</f>
        <v>2772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</v>
      </c>
      <c r="D28" s="48">
        <f t="shared" si="1"/>
        <v>811</v>
      </c>
      <c r="F28" s="93"/>
      <c r="G28" s="61"/>
      <c r="H28" s="209"/>
      <c r="I28" s="210"/>
      <c r="J28" s="211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685162</v>
      </c>
      <c r="F29" s="183" t="s">
        <v>55</v>
      </c>
      <c r="G29" s="184"/>
      <c r="H29" s="187">
        <f>H15-H16-H17-H18-H19-H20-H22-H23-H24+H26+H27+H28</f>
        <v>537221.5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215">
        <f t="shared" ref="H34:H39" si="2">F34*G34</f>
        <v>229000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15">
        <f t="shared" si="2"/>
        <v>48500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215">
        <f t="shared" si="2"/>
        <v>200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99">
        <v>258954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536674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25</v>
      </c>
      <c r="D50" s="12">
        <f>C50*1.5</f>
        <v>37.5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4">
        <f>G49-H29</f>
        <v>-547.5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262">
        <v>46025</v>
      </c>
      <c r="J4" s="2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264"/>
      <c r="J5" s="2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262">
        <v>46025</v>
      </c>
      <c r="J4" s="2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264"/>
      <c r="J5" s="2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480</v>
      </c>
      <c r="D6" s="13">
        <f t="shared" ref="D6:D28" si="1">C6*L6</f>
        <v>365280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15</v>
      </c>
      <c r="D7" s="13">
        <f t="shared" si="1"/>
        <v>11715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2</v>
      </c>
      <c r="D8" s="13">
        <f t="shared" si="1"/>
        <v>2186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37</v>
      </c>
      <c r="D9" s="13">
        <f t="shared" si="1"/>
        <v>27121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3096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2340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10</v>
      </c>
      <c r="D13" s="48">
        <f t="shared" si="1"/>
        <v>3070</v>
      </c>
      <c r="F13" s="160" t="s">
        <v>36</v>
      </c>
      <c r="G13" s="161"/>
      <c r="H13" s="162">
        <f>D29</f>
        <v>419083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68183.25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f>1</f>
        <v>1</v>
      </c>
      <c r="D15" s="31">
        <f t="shared" si="1"/>
        <v>620</v>
      </c>
      <c r="F15" s="170" t="s">
        <v>40</v>
      </c>
      <c r="G15" s="161"/>
      <c r="H15" s="171">
        <f>H13-H14</f>
        <v>350899.75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216*6+140*6</f>
        <v>2136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97">
        <v>1440</v>
      </c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95" t="s">
        <v>150</v>
      </c>
      <c r="C23" s="10">
        <v>1</v>
      </c>
      <c r="D23" s="48">
        <f t="shared" si="1"/>
        <v>1175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419083</v>
      </c>
      <c r="F29" s="183" t="s">
        <v>55</v>
      </c>
      <c r="G29" s="184"/>
      <c r="H29" s="187">
        <f>H15-H16-H17-H18-H19-H20-H22-H23-H24+H26+H27</f>
        <v>347323.75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5">
        <f>F34*G34</f>
        <v>133000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15">
        <f>F35*G35</f>
        <v>29000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24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99">
        <v>139104</v>
      </c>
      <c r="I44" s="199"/>
      <c r="J44" s="199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99">
        <v>45689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19</v>
      </c>
      <c r="D46" s="12">
        <f>C46*1.5</f>
        <v>28.5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346817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7</v>
      </c>
      <c r="D50" s="12">
        <f>C50*1.5</f>
        <v>10.5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139</v>
      </c>
      <c r="G51" s="254">
        <f>G49-H29</f>
        <v>-506.75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46027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463</v>
      </c>
      <c r="D6" s="13">
        <f t="shared" ref="D6:D28" si="1">C6*L6</f>
        <v>352343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7</v>
      </c>
      <c r="D7" s="13">
        <f t="shared" si="1"/>
        <v>5467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2</v>
      </c>
      <c r="D8" s="13">
        <f t="shared" si="1"/>
        <v>2186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f>120-5</f>
        <v>115</v>
      </c>
      <c r="D9" s="13">
        <f t="shared" si="1"/>
        <v>84295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2064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2</v>
      </c>
      <c r="D11" s="13">
        <f t="shared" si="1"/>
        <v>2340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2</v>
      </c>
      <c r="D12" s="48">
        <f t="shared" si="1"/>
        <v>1984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24</v>
      </c>
      <c r="D13" s="48">
        <f t="shared" si="1"/>
        <v>7368</v>
      </c>
      <c r="F13" s="160" t="s">
        <v>36</v>
      </c>
      <c r="G13" s="161"/>
      <c r="H13" s="162">
        <f>D29</f>
        <v>463474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12</v>
      </c>
      <c r="D14" s="31">
        <f t="shared" si="1"/>
        <v>132</v>
      </c>
      <c r="F14" s="165" t="s">
        <v>39</v>
      </c>
      <c r="G14" s="166"/>
      <c r="H14" s="167">
        <f>D54</f>
        <v>115968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347506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2592</f>
        <v>2592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97">
        <v>92560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99">
        <v>84449</v>
      </c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5</v>
      </c>
      <c r="D28" s="48">
        <f t="shared" si="1"/>
        <v>4055</v>
      </c>
      <c r="F28" s="93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463474</v>
      </c>
      <c r="F29" s="183" t="s">
        <v>55</v>
      </c>
      <c r="G29" s="184"/>
      <c r="H29" s="187">
        <f>H15-H16-H17-H18-H19-H20-H22-H23-H24+H26+H27+H28</f>
        <v>336803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215">
        <f t="shared" ref="H34:H39" si="2">F34*G34</f>
        <v>19000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15">
        <f t="shared" si="2"/>
        <v>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8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99">
        <v>188388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99">
        <v>84449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21</v>
      </c>
      <c r="D46" s="12">
        <f>C46*1.5</f>
        <v>31.5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292745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4">
        <f>G49-H29</f>
        <v>-44058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46027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501</v>
      </c>
      <c r="D6" s="13">
        <f t="shared" ref="D6:D28" si="1">C6*L6</f>
        <v>381261</v>
      </c>
      <c r="F6" s="138" t="s">
        <v>16</v>
      </c>
      <c r="G6" s="140" t="s">
        <v>155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8</v>
      </c>
      <c r="D9" s="13">
        <f t="shared" si="1"/>
        <v>5864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18</v>
      </c>
      <c r="D13" s="48">
        <f t="shared" si="1"/>
        <v>5526</v>
      </c>
      <c r="F13" s="160" t="s">
        <v>36</v>
      </c>
      <c r="G13" s="161"/>
      <c r="H13" s="162">
        <f>D29</f>
        <v>392761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10</v>
      </c>
      <c r="D14" s="31">
        <f t="shared" si="1"/>
        <v>110</v>
      </c>
      <c r="F14" s="165" t="s">
        <v>39</v>
      </c>
      <c r="G14" s="166"/>
      <c r="H14" s="167">
        <f>D54</f>
        <v>57342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335419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1296+1284</f>
        <v>2580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392761</v>
      </c>
      <c r="F29" s="183" t="s">
        <v>55</v>
      </c>
      <c r="G29" s="184"/>
      <c r="H29" s="187">
        <f>H15-H16-H17-H18-H19-H20-H22-H23-H24+H26+H27</f>
        <v>332839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215">
        <f>F34*G34</f>
        <v>186000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5">
        <f t="shared" ref="H35:H39" si="2">F35*G35</f>
        <v>6500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32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99">
        <v>139756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6</v>
      </c>
      <c r="D49" s="12">
        <f>C49*42</f>
        <v>252</v>
      </c>
      <c r="F49" s="240" t="s">
        <v>86</v>
      </c>
      <c r="G49" s="187">
        <f>H34+H35+H36+H37+H38+H39+H40+H41+G42+H44+H45+H46</f>
        <v>332638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30</v>
      </c>
      <c r="D50" s="12">
        <f>C50*1.5</f>
        <v>45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161</v>
      </c>
      <c r="G51" s="254">
        <f>G49-H29</f>
        <v>-201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46027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735</v>
      </c>
      <c r="D6" s="13">
        <f t="shared" ref="D6:D28" si="1">C6*L6</f>
        <v>559335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4</v>
      </c>
      <c r="D7" s="13">
        <f t="shared" si="1"/>
        <v>3124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</v>
      </c>
      <c r="D8" s="13">
        <f t="shared" si="1"/>
        <v>1093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114</v>
      </c>
      <c r="D9" s="13">
        <f t="shared" si="1"/>
        <v>83562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3096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2340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5+1</f>
        <v>6</v>
      </c>
      <c r="D12" s="48">
        <f t="shared" si="1"/>
        <v>5952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22</v>
      </c>
      <c r="D13" s="48">
        <f t="shared" si="1"/>
        <v>6754</v>
      </c>
      <c r="F13" s="160" t="s">
        <v>36</v>
      </c>
      <c r="G13" s="161"/>
      <c r="H13" s="162">
        <f>D29</f>
        <v>667630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12</v>
      </c>
      <c r="D14" s="31">
        <f t="shared" si="1"/>
        <v>132</v>
      </c>
      <c r="F14" s="165" t="s">
        <v>39</v>
      </c>
      <c r="G14" s="166"/>
      <c r="H14" s="167">
        <f>D54</f>
        <v>100451.25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567178.75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600+1050+456</f>
        <v>2106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>
        <v>50</v>
      </c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2</v>
      </c>
      <c r="D28" s="48">
        <f t="shared" si="1"/>
        <v>1622</v>
      </c>
      <c r="F28" s="93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667630</v>
      </c>
      <c r="F29" s="183" t="s">
        <v>55</v>
      </c>
      <c r="G29" s="184"/>
      <c r="H29" s="187">
        <f>H15-H16-H17-H18-H19-H20-H22-H23-H24+H26+H27</f>
        <v>565022.75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215">
        <f>F34*G34</f>
        <v>242000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215">
        <f>F35*G35</f>
        <v>67500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215">
        <f t="shared" si="2"/>
        <v>1000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5">
        <v>58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99">
        <v>112763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99">
        <v>142785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4</v>
      </c>
      <c r="D46" s="12">
        <f>C46*1.5</f>
        <v>6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12</v>
      </c>
      <c r="D49" s="12">
        <f>C49*42</f>
        <v>504</v>
      </c>
      <c r="F49" s="240" t="s">
        <v>86</v>
      </c>
      <c r="G49" s="187">
        <f>H34+H35+H36+H37+H38+H39+H40+H41+G42+H44+H45+H46</f>
        <v>566156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15</v>
      </c>
      <c r="D50" s="12">
        <f>C50*1.5</f>
        <v>22.5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149</v>
      </c>
      <c r="G51" s="244">
        <f>G49-H29</f>
        <v>1133.25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46028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633</v>
      </c>
      <c r="D6" s="13">
        <f t="shared" ref="D6:D28" si="1">C6*L6</f>
        <v>481713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2</v>
      </c>
      <c r="D7" s="13">
        <f t="shared" si="1"/>
        <v>1562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1</v>
      </c>
      <c r="D8" s="13">
        <f t="shared" si="1"/>
        <v>1093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27</v>
      </c>
      <c r="D9" s="13">
        <f t="shared" si="1"/>
        <v>19791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1</v>
      </c>
      <c r="D10" s="13">
        <f t="shared" si="1"/>
        <v>1032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9</v>
      </c>
      <c r="D13" s="48">
        <f t="shared" si="1"/>
        <v>2763</v>
      </c>
      <c r="F13" s="160" t="s">
        <v>36</v>
      </c>
      <c r="G13" s="161"/>
      <c r="H13" s="162">
        <f>D29</f>
        <v>509943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74673.75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435269.25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169</v>
      </c>
      <c r="C23" s="84">
        <v>12</v>
      </c>
      <c r="D23" s="48">
        <f t="shared" si="1"/>
        <v>454</v>
      </c>
      <c r="F23" s="77"/>
      <c r="G23" s="79"/>
      <c r="H23" s="250"/>
      <c r="I23" s="251"/>
      <c r="J23" s="251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509943</v>
      </c>
      <c r="F29" s="183" t="s">
        <v>55</v>
      </c>
      <c r="G29" s="184"/>
      <c r="H29" s="187">
        <f>H15-H16-H17-H18-H19-H20-H22-H23-H24+H26+H27+H28</f>
        <v>435269.25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215">
        <f t="shared" ref="H34:H39" si="2">F34*G34</f>
        <v>225000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215">
        <f t="shared" si="2"/>
        <v>150000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si="2"/>
        <v>200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215">
        <f t="shared" si="2"/>
        <v>3600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215">
        <f t="shared" si="2"/>
        <v>500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>
        <v>72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99">
        <v>56000</v>
      </c>
      <c r="I44" s="199"/>
      <c r="J44" s="199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</v>
      </c>
      <c r="D46" s="12">
        <f>C46*1.5</f>
        <v>4.5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435392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149</v>
      </c>
      <c r="G51" s="244">
        <f>G49-H29</f>
        <v>122.75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46028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581</v>
      </c>
      <c r="D6" s="13">
        <f t="shared" ref="D6:D28" si="1">C6*L6</f>
        <v>442141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</v>
      </c>
      <c r="D7" s="13">
        <f t="shared" si="1"/>
        <v>2343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41</v>
      </c>
      <c r="D9" s="13">
        <f t="shared" si="1"/>
        <v>30053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1984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17</v>
      </c>
      <c r="D13" s="48">
        <f t="shared" si="1"/>
        <v>5219</v>
      </c>
      <c r="F13" s="160" t="s">
        <v>36</v>
      </c>
      <c r="G13" s="161"/>
      <c r="H13" s="162">
        <f>D29</f>
        <v>486638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</v>
      </c>
      <c r="D14" s="31">
        <f t="shared" si="1"/>
        <v>11</v>
      </c>
      <c r="F14" s="165" t="s">
        <v>39</v>
      </c>
      <c r="G14" s="166"/>
      <c r="H14" s="167">
        <f>D54</f>
        <v>85668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1</v>
      </c>
      <c r="D15" s="31">
        <f t="shared" si="1"/>
        <v>620</v>
      </c>
      <c r="F15" s="170" t="s">
        <v>40</v>
      </c>
      <c r="G15" s="161"/>
      <c r="H15" s="171">
        <f>H13-H14</f>
        <v>400970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324*6+201*6</f>
        <v>3150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97">
        <v>131647</v>
      </c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>
        <v>1</v>
      </c>
      <c r="D24" s="48">
        <f t="shared" si="1"/>
        <v>1667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486638</v>
      </c>
      <c r="F29" s="183" t="s">
        <v>55</v>
      </c>
      <c r="G29" s="184"/>
      <c r="H29" s="187">
        <f>H15-H16-H17-H18-H19-H20-H22-H23-H24+H26+H27</f>
        <v>266173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215">
        <f>F34*G34</f>
        <v>39000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15">
        <f t="shared" ref="H35:H37" si="2">F35*G35</f>
        <v>22500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215">
        <f t="shared" si="2"/>
        <v>4000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15">
        <f t="shared" ref="H38:H39" si="3">F38*G38</f>
        <v>300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5">
        <f t="shared" si="3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>
        <v>18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99">
        <v>198198</v>
      </c>
      <c r="I44" s="199"/>
      <c r="J44" s="199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24</v>
      </c>
      <c r="D46" s="12">
        <f>C46*1.5</f>
        <v>36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2</v>
      </c>
      <c r="D49" s="12">
        <f>C49*42</f>
        <v>84</v>
      </c>
      <c r="F49" s="240" t="s">
        <v>86</v>
      </c>
      <c r="G49" s="187">
        <f>H34+H35+H36+H37+H38+H39+H40+H41+G42+H44+H45+H46</f>
        <v>264236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21</v>
      </c>
      <c r="D50" s="12">
        <f>C50*1.5</f>
        <v>31.5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161</v>
      </c>
      <c r="G51" s="254">
        <f>G49-H29</f>
        <v>-1937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46028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f>614-273</f>
        <v>341</v>
      </c>
      <c r="D6" s="13">
        <f t="shared" ref="D6:D28" si="1">C6*L6</f>
        <v>259501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</v>
      </c>
      <c r="D7" s="13">
        <f t="shared" si="1"/>
        <v>781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13</v>
      </c>
      <c r="D9" s="13">
        <f t="shared" si="1"/>
        <v>9529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</v>
      </c>
      <c r="D13" s="48">
        <f t="shared" si="1"/>
        <v>614</v>
      </c>
      <c r="F13" s="160" t="s">
        <v>36</v>
      </c>
      <c r="G13" s="161"/>
      <c r="H13" s="162">
        <f>D29</f>
        <v>275314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8</v>
      </c>
      <c r="D14" s="31">
        <f t="shared" si="1"/>
        <v>88</v>
      </c>
      <c r="F14" s="165" t="s">
        <v>39</v>
      </c>
      <c r="G14" s="166"/>
      <c r="H14" s="167">
        <f>D54</f>
        <v>52389.75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222924.25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268*6+51*6</f>
        <v>1914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97">
        <v>173644</v>
      </c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>
        <v>1</v>
      </c>
      <c r="D23" s="48">
        <f t="shared" si="1"/>
        <v>1175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275314</v>
      </c>
      <c r="F29" s="183" t="s">
        <v>55</v>
      </c>
      <c r="G29" s="184"/>
      <c r="H29" s="187">
        <f>H15-H16-H17-H18-H19-H20-H22-H23-H24+H26+H27</f>
        <v>47366.25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215">
        <f>F34*G34</f>
        <v>26000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15">
        <f>F35*G35</f>
        <v>17500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15">
        <f t="shared" ref="H36:H39" si="2">F36*G36</f>
        <v>200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215">
        <f t="shared" si="2"/>
        <v>3400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>
        <v>142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/>
      <c r="G44" s="76"/>
      <c r="H44" s="199"/>
      <c r="I44" s="199"/>
      <c r="J44" s="199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7</v>
      </c>
      <c r="D46" s="12">
        <f>C46*1.5</f>
        <v>10.5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47242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16</v>
      </c>
      <c r="D50" s="12">
        <f>C50*1.5</f>
        <v>24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139</v>
      </c>
      <c r="G51" s="254">
        <f>G49-H29</f>
        <v>-124.25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46029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523</v>
      </c>
      <c r="D6" s="13">
        <f t="shared" ref="D6:D28" si="1">C6*L6</f>
        <v>398003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2</v>
      </c>
      <c r="D7" s="13">
        <f t="shared" si="1"/>
        <v>1562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2</v>
      </c>
      <c r="D8" s="13">
        <f t="shared" si="1"/>
        <v>2186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10</v>
      </c>
      <c r="D9" s="13">
        <f t="shared" si="1"/>
        <v>7330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13</v>
      </c>
      <c r="D13" s="48">
        <f t="shared" si="1"/>
        <v>3991</v>
      </c>
      <c r="F13" s="160" t="s">
        <v>36</v>
      </c>
      <c r="G13" s="161"/>
      <c r="H13" s="162">
        <f>D29</f>
        <v>416738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3</v>
      </c>
      <c r="D14" s="31">
        <f t="shared" si="1"/>
        <v>33</v>
      </c>
      <c r="F14" s="165" t="s">
        <v>39</v>
      </c>
      <c r="G14" s="166"/>
      <c r="H14" s="167">
        <f>D54</f>
        <v>113626.5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303111.5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2586</f>
        <v>2586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169</v>
      </c>
      <c r="C23" s="84">
        <v>12</v>
      </c>
      <c r="D23" s="48">
        <f t="shared" si="1"/>
        <v>454</v>
      </c>
      <c r="F23" s="77"/>
      <c r="G23" s="79"/>
      <c r="H23" s="250"/>
      <c r="I23" s="251"/>
      <c r="J23" s="251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</v>
      </c>
      <c r="D28" s="48">
        <f t="shared" si="1"/>
        <v>811</v>
      </c>
      <c r="F28" s="93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416738</v>
      </c>
      <c r="F29" s="183" t="s">
        <v>55</v>
      </c>
      <c r="G29" s="184"/>
      <c r="H29" s="187">
        <f>H15-H16-H17-H18-H19-H20-H22-H23-H24+H26+H27+H28</f>
        <v>300525.5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215">
        <f t="shared" ref="H34:H39" si="2">F34*G34</f>
        <v>51000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215">
        <f t="shared" si="2"/>
        <v>10000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215">
        <f t="shared" si="2"/>
        <v>4100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215">
        <f t="shared" si="2"/>
        <v>750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30</v>
      </c>
      <c r="D42" s="12">
        <f>C42*2.25</f>
        <v>67.5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99">
        <v>234325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34</v>
      </c>
      <c r="D46" s="12">
        <f>C46*1.5</f>
        <v>51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300175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10</v>
      </c>
      <c r="D50" s="12">
        <f>C50*1.5</f>
        <v>15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4">
        <f>G49-H29</f>
        <v>-350.5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46029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450</v>
      </c>
      <c r="D6" s="13">
        <f t="shared" ref="D6:D28" si="1">C6*L6</f>
        <v>342450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20</v>
      </c>
      <c r="D9" s="13">
        <f t="shared" si="1"/>
        <v>14660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15</v>
      </c>
      <c r="D13" s="48">
        <f t="shared" si="1"/>
        <v>4605</v>
      </c>
      <c r="F13" s="160" t="s">
        <v>36</v>
      </c>
      <c r="G13" s="161"/>
      <c r="H13" s="162">
        <f>D29</f>
        <v>364269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11</v>
      </c>
      <c r="D14" s="31">
        <f t="shared" si="1"/>
        <v>121</v>
      </c>
      <c r="F14" s="165" t="s">
        <v>39</v>
      </c>
      <c r="G14" s="166"/>
      <c r="H14" s="167">
        <f>D54</f>
        <v>53587.5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310681.5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2064</f>
        <v>2064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203">
        <v>131647</v>
      </c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3</v>
      </c>
      <c r="D28" s="48">
        <f t="shared" si="1"/>
        <v>2433</v>
      </c>
      <c r="F28" s="93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364269</v>
      </c>
      <c r="F29" s="183" t="s">
        <v>55</v>
      </c>
      <c r="G29" s="184"/>
      <c r="H29" s="187">
        <f>H15-H16-H17-H18-H19-H20-H22-H23-H24+H26+H27</f>
        <v>440264.5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215">
        <f>F34*G34</f>
        <v>243000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215">
        <f t="shared" ref="H35:H39" si="2">F35*G35</f>
        <v>50500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215">
        <f t="shared" si="2"/>
        <v>12800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215">
        <f t="shared" si="2"/>
        <v>2300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71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99">
        <v>131647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9</v>
      </c>
      <c r="D49" s="12">
        <f>C49*42</f>
        <v>378</v>
      </c>
      <c r="F49" s="240" t="s">
        <v>86</v>
      </c>
      <c r="G49" s="187">
        <f>H34+H35+H36+H37+H38+H39+H40+H41+G42+H44+H45+H46</f>
        <v>440318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15</v>
      </c>
      <c r="D50" s="12">
        <f>C50*1.5</f>
        <v>22.5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142</v>
      </c>
      <c r="G51" s="244">
        <f>G49-H29</f>
        <v>53.5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 t="s">
        <v>179</v>
      </c>
      <c r="H4" s="129" t="s">
        <v>9</v>
      </c>
      <c r="I4" s="131">
        <v>46029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178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203">
        <v>7281</v>
      </c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203">
        <v>1000</v>
      </c>
      <c r="I27" s="204"/>
      <c r="J27" s="205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203">
        <v>3130</v>
      </c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11411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1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153</v>
      </c>
      <c r="G44" s="62"/>
      <c r="H44" s="199">
        <v>11411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0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11411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177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46029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380</v>
      </c>
      <c r="D6" s="13">
        <f t="shared" ref="D6:D28" si="1">C6*L6</f>
        <v>289180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19</v>
      </c>
      <c r="D7" s="13">
        <f t="shared" si="1"/>
        <v>14839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2</v>
      </c>
      <c r="D8" s="13">
        <f t="shared" si="1"/>
        <v>2186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84</v>
      </c>
      <c r="D9" s="13">
        <f t="shared" si="1"/>
        <v>61572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3+1</f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14</v>
      </c>
      <c r="D13" s="48">
        <f t="shared" si="1"/>
        <v>4298</v>
      </c>
      <c r="F13" s="160" t="s">
        <v>36</v>
      </c>
      <c r="G13" s="161"/>
      <c r="H13" s="162">
        <f>D29</f>
        <v>383641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6</v>
      </c>
      <c r="D14" s="31">
        <f t="shared" si="1"/>
        <v>66</v>
      </c>
      <c r="F14" s="165" t="s">
        <v>39</v>
      </c>
      <c r="G14" s="166"/>
      <c r="H14" s="167">
        <f>D54</f>
        <v>52228.5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331412.5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1248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>
        <v>50</v>
      </c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203">
        <v>173644</v>
      </c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383641</v>
      </c>
      <c r="F29" s="183" t="s">
        <v>55</v>
      </c>
      <c r="G29" s="184"/>
      <c r="H29" s="187">
        <f>H15-H16-H17-H18-H19-H20-H22-H23-H24+H26+H27</f>
        <v>503758.5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15">
        <f>F34*G34</f>
        <v>148000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5">
        <f>F35*G35</f>
        <v>10000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5">
        <f t="shared" ref="H36:H39" si="2">F36*G36</f>
        <v>600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215">
        <f t="shared" si="2"/>
        <v>15100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215">
        <f t="shared" si="2"/>
        <v>16750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175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99">
        <v>139318</v>
      </c>
      <c r="I44" s="199"/>
      <c r="J44" s="199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99">
        <v>173644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9</v>
      </c>
      <c r="D46" s="12">
        <f>C46*1.5</f>
        <v>13.5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5</v>
      </c>
      <c r="D49" s="12">
        <f>C49*42</f>
        <v>210</v>
      </c>
      <c r="F49" s="240" t="s">
        <v>86</v>
      </c>
      <c r="G49" s="187">
        <f>H34+H35+H36+H37+H38+H39+H40+H41+G42+H44+H45+H46</f>
        <v>503587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18</v>
      </c>
      <c r="D50" s="12">
        <f>C50*1.5</f>
        <v>27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139</v>
      </c>
      <c r="G51" s="254">
        <f>G49-H29</f>
        <v>-171.5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46030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707</v>
      </c>
      <c r="D6" s="13">
        <f t="shared" ref="D6:D28" si="1">C6*L6</f>
        <v>538027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10</v>
      </c>
      <c r="D9" s="13">
        <f t="shared" si="1"/>
        <v>7330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26</v>
      </c>
      <c r="D13" s="48">
        <f t="shared" si="1"/>
        <v>7982</v>
      </c>
      <c r="F13" s="160" t="s">
        <v>36</v>
      </c>
      <c r="G13" s="161"/>
      <c r="H13" s="162">
        <f>D29</f>
        <v>555289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79440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475849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3882</f>
        <v>3882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93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555289</v>
      </c>
      <c r="F29" s="183" t="s">
        <v>55</v>
      </c>
      <c r="G29" s="184"/>
      <c r="H29" s="187">
        <f>H15-H16-H17-H18-H19-H20-H22-H23-H24+H26+H27+H28</f>
        <v>471967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215">
        <f t="shared" ref="H34:H39" si="2">F34*G34</f>
        <v>262000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215">
        <f t="shared" si="2"/>
        <v>201000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5">
        <f t="shared" si="2"/>
        <v>600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215">
        <f t="shared" si="2"/>
        <v>6800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8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16</v>
      </c>
      <c r="D49" s="12">
        <f>C49*42</f>
        <v>672</v>
      </c>
      <c r="F49" s="240" t="s">
        <v>86</v>
      </c>
      <c r="G49" s="187">
        <f>H34+H35+H36+H37+H38+H39+H40+H41+G42+H44+H45+H46</f>
        <v>470508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4">
        <f>G49-H29</f>
        <v>-1459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46030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314</v>
      </c>
      <c r="D6" s="13">
        <f t="shared" ref="D6:D28" si="1">C6*L6</f>
        <v>238954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5</v>
      </c>
      <c r="D7" s="13">
        <f t="shared" si="1"/>
        <v>3905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19</v>
      </c>
      <c r="D9" s="13">
        <f t="shared" si="1"/>
        <v>13927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2+1+1</f>
        <v>4</v>
      </c>
      <c r="D12" s="48">
        <f t="shared" si="1"/>
        <v>3968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7</v>
      </c>
      <c r="D13" s="48">
        <f t="shared" si="1"/>
        <v>2149</v>
      </c>
      <c r="F13" s="160" t="s">
        <v>36</v>
      </c>
      <c r="G13" s="161"/>
      <c r="H13" s="162">
        <f>D29</f>
        <v>263957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</v>
      </c>
      <c r="D14" s="31">
        <f t="shared" si="1"/>
        <v>22</v>
      </c>
      <c r="F14" s="165" t="s">
        <v>39</v>
      </c>
      <c r="G14" s="166"/>
      <c r="H14" s="167">
        <f>D54</f>
        <v>52866.75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211090.25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263957</v>
      </c>
      <c r="F29" s="183" t="s">
        <v>55</v>
      </c>
      <c r="G29" s="184"/>
      <c r="H29" s="187">
        <f>H15-H16-H17-H18-H19-H20-H22-H23-H24+H26+H27</f>
        <v>211090.25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215">
        <f>F34*G34</f>
        <v>199000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5">
        <f t="shared" ref="H35:H39" si="2">F35*G35</f>
        <v>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215">
        <f t="shared" si="2"/>
        <v>5600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10004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22</v>
      </c>
      <c r="D46" s="12">
        <f>C46*1.5</f>
        <v>33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3</v>
      </c>
      <c r="D49" s="12">
        <f>C49*42</f>
        <v>126</v>
      </c>
      <c r="F49" s="240" t="s">
        <v>86</v>
      </c>
      <c r="G49" s="187">
        <f>H34+H35+H36+H37+H38+H39+H40+H41+G42+H44+H45+H46</f>
        <v>215154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36</v>
      </c>
      <c r="D50" s="12">
        <f>C50*1.5</f>
        <v>54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142</v>
      </c>
      <c r="G51" s="244">
        <f>G49-H29</f>
        <v>4063.75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46030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529</v>
      </c>
      <c r="D6" s="13">
        <f t="shared" ref="D6:D28" si="1">C6*L6</f>
        <v>402569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15</v>
      </c>
      <c r="D7" s="13">
        <f t="shared" si="1"/>
        <v>11715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2</v>
      </c>
      <c r="D8" s="13">
        <f t="shared" si="1"/>
        <v>2186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3096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</v>
      </c>
      <c r="D11" s="13">
        <f t="shared" si="1"/>
        <v>2340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8+1+1</f>
        <v>10</v>
      </c>
      <c r="D12" s="48">
        <f t="shared" si="1"/>
        <v>9920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434667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6</v>
      </c>
      <c r="D14" s="31">
        <f t="shared" si="1"/>
        <v>66</v>
      </c>
      <c r="F14" s="165" t="s">
        <v>39</v>
      </c>
      <c r="G14" s="166"/>
      <c r="H14" s="167">
        <f>D54</f>
        <v>66066.75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2</v>
      </c>
      <c r="D15" s="31">
        <f t="shared" si="1"/>
        <v>1240</v>
      </c>
      <c r="F15" s="170" t="s">
        <v>40</v>
      </c>
      <c r="G15" s="161"/>
      <c r="H15" s="171">
        <f>H13-H14</f>
        <v>368600.25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2772+330</f>
        <v>3102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434667</v>
      </c>
      <c r="F29" s="183" t="s">
        <v>55</v>
      </c>
      <c r="G29" s="184"/>
      <c r="H29" s="187">
        <f>H15-H16-H17-H18-H19-H20-H22-H23-H24+H26+H27</f>
        <v>365498.25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15">
        <f>F34*G34</f>
        <v>41000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15">
        <f>F35*G35</f>
        <v>15000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ref="H36:H39" si="2">F36*G36</f>
        <v>200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215">
        <f t="shared" si="2"/>
        <v>7300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3</v>
      </c>
      <c r="D42" s="12">
        <f>C42*2.25</f>
        <v>6.75</v>
      </c>
      <c r="F42" s="39" t="s">
        <v>79</v>
      </c>
      <c r="G42" s="215">
        <v>165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99">
        <v>301634</v>
      </c>
      <c r="I44" s="199"/>
      <c r="J44" s="199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4</v>
      </c>
      <c r="D46" s="12">
        <f>C46*1.5</f>
        <v>6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365419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</v>
      </c>
      <c r="D50" s="12">
        <f>C50*1.5</f>
        <v>1.5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139</v>
      </c>
      <c r="G51" s="254">
        <f>G49-H29</f>
        <v>-79.25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46031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647</v>
      </c>
      <c r="D6" s="13">
        <f t="shared" ref="D6:D28" si="1">C6*L6</f>
        <v>492367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20</v>
      </c>
      <c r="D13" s="48">
        <f t="shared" si="1"/>
        <v>6140</v>
      </c>
      <c r="F13" s="160" t="s">
        <v>36</v>
      </c>
      <c r="G13" s="161"/>
      <c r="H13" s="162">
        <f>D29</f>
        <v>498507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99282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399225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v>3882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498507</v>
      </c>
      <c r="F29" s="183" t="s">
        <v>55</v>
      </c>
      <c r="G29" s="184"/>
      <c r="H29" s="187">
        <f>H15-H16-H17-H18-H19-H20-H22-H23-H24+H26+H27+H28</f>
        <v>395343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215">
        <f t="shared" ref="H34:H39" si="2">F34*G34</f>
        <v>395000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13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34</v>
      </c>
      <c r="D49" s="12">
        <f>C49*42</f>
        <v>1428</v>
      </c>
      <c r="F49" s="240" t="s">
        <v>86</v>
      </c>
      <c r="G49" s="187">
        <f>H34+H35+H36+H37+H38+H39+H40+H41+G42+H44+H45+H46</f>
        <v>395313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4">
        <f>G49-H29</f>
        <v>-30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46031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317</v>
      </c>
      <c r="D6" s="13">
        <f t="shared" ref="D6:D28" si="1">C6*L6</f>
        <v>241237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9</v>
      </c>
      <c r="D7" s="13">
        <f t="shared" si="1"/>
        <v>7029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23</v>
      </c>
      <c r="D9" s="13">
        <f t="shared" si="1"/>
        <v>16859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1170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1+1</f>
        <v>2</v>
      </c>
      <c r="D12" s="48">
        <f t="shared" si="1"/>
        <v>1984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10</v>
      </c>
      <c r="D13" s="48">
        <f t="shared" si="1"/>
        <v>3070</v>
      </c>
      <c r="F13" s="160" t="s">
        <v>36</v>
      </c>
      <c r="G13" s="161"/>
      <c r="H13" s="162">
        <f>D29</f>
        <v>273073.33333333331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22</v>
      </c>
      <c r="D14" s="31">
        <f t="shared" si="1"/>
        <v>242</v>
      </c>
      <c r="F14" s="165" t="s">
        <v>39</v>
      </c>
      <c r="G14" s="166"/>
      <c r="H14" s="167">
        <f>D54</f>
        <v>45388.5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v>2</v>
      </c>
      <c r="D15" s="31">
        <f t="shared" si="1"/>
        <v>1240</v>
      </c>
      <c r="F15" s="170" t="s">
        <v>40</v>
      </c>
      <c r="G15" s="161"/>
      <c r="H15" s="171">
        <f>H13-H14</f>
        <v>227684.83333333331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1074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273073.33333333331</v>
      </c>
      <c r="F29" s="183" t="s">
        <v>55</v>
      </c>
      <c r="G29" s="184"/>
      <c r="H29" s="187">
        <f>H15-H16-H17-H18-H19-H20-H22-H23-H24+H26+H27</f>
        <v>226610.83333333331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15">
        <f>F34*G34</f>
        <v>148000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215">
        <f t="shared" ref="H35:H39" si="2">F35*G35</f>
        <v>73500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215">
        <f>F36*G36</f>
        <v>600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215">
        <f t="shared" si="2"/>
        <v>2900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5">
        <f t="shared" si="2"/>
        <v>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9"/>
      <c r="B45" s="27" t="s">
        <v>68</v>
      </c>
      <c r="C45" s="33">
        <v>2</v>
      </c>
      <c r="D45" s="12">
        <f>C45*84</f>
        <v>168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</v>
      </c>
      <c r="D46" s="12">
        <f>C46*1.5</f>
        <v>4.5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8</v>
      </c>
      <c r="D49" s="12">
        <f>C49*42</f>
        <v>336</v>
      </c>
      <c r="F49" s="240" t="s">
        <v>86</v>
      </c>
      <c r="G49" s="187">
        <f>H34+H35+H36+H37+H38+H39+H40+H41+G42+H44+H45+H46</f>
        <v>225050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20</v>
      </c>
      <c r="D50" s="12">
        <f>C50*1.5</f>
        <v>30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161</v>
      </c>
      <c r="G51" s="254">
        <f>G49-H29</f>
        <v>-1560.8333333333139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46031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344</v>
      </c>
      <c r="D6" s="13">
        <f t="shared" ref="D6:D28" si="1">C6*L6</f>
        <v>261784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12</v>
      </c>
      <c r="D7" s="13">
        <f t="shared" si="1"/>
        <v>9372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78</v>
      </c>
      <c r="D9" s="13">
        <f t="shared" si="1"/>
        <v>57174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4+1+1</f>
        <v>6</v>
      </c>
      <c r="D12" s="48">
        <f t="shared" si="1"/>
        <v>5952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10</v>
      </c>
      <c r="D13" s="48">
        <f t="shared" si="1"/>
        <v>3070</v>
      </c>
      <c r="F13" s="160" t="s">
        <v>36</v>
      </c>
      <c r="G13" s="161"/>
      <c r="H13" s="162">
        <f>D29</f>
        <v>341782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14</v>
      </c>
      <c r="D14" s="31">
        <f t="shared" si="1"/>
        <v>154</v>
      </c>
      <c r="F14" s="165" t="s">
        <v>39</v>
      </c>
      <c r="G14" s="166"/>
      <c r="H14" s="167">
        <f>D54</f>
        <v>52036.5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289745.5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684+672</f>
        <v>1356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4</v>
      </c>
      <c r="D28" s="48">
        <f t="shared" si="1"/>
        <v>3244</v>
      </c>
      <c r="F28" s="93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341782</v>
      </c>
      <c r="F29" s="183" t="s">
        <v>55</v>
      </c>
      <c r="G29" s="184"/>
      <c r="H29" s="187">
        <f>H15-H16-H17-H18-H19-H20-H22-H23-H24+H26+H27</f>
        <v>288389.5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215">
        <f>F34*G34</f>
        <v>83000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15">
        <f>F35*G35</f>
        <v>25000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215">
        <f t="shared" ref="H36:H39" si="2">F36*G36</f>
        <v>1200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215">
        <f t="shared" si="2"/>
        <v>17100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215">
        <f t="shared" si="2"/>
        <v>2450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15">
        <f t="shared" si="2"/>
        <v>60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16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99">
        <v>84877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99">
        <v>74828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12</v>
      </c>
      <c r="D46" s="12">
        <f>C46*1.5</f>
        <v>18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8</v>
      </c>
      <c r="D49" s="12">
        <f>C49*42</f>
        <v>336</v>
      </c>
      <c r="F49" s="240" t="s">
        <v>86</v>
      </c>
      <c r="G49" s="187">
        <f>H34+H35+H36+H37+H38+H39+H40+H41+G42+H44+H45+H46</f>
        <v>288531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8</v>
      </c>
      <c r="D50" s="12">
        <f>C50*1.5</f>
        <v>12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149</v>
      </c>
      <c r="G51" s="244">
        <f>G49-H29</f>
        <v>141.5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46032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467</v>
      </c>
      <c r="D6" s="13">
        <f t="shared" ref="D6:D28" si="1">C6*L6</f>
        <v>355387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3</v>
      </c>
      <c r="D7" s="13">
        <f t="shared" si="1"/>
        <v>2343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70</v>
      </c>
      <c r="D8" s="13">
        <f t="shared" si="1"/>
        <v>76510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20</v>
      </c>
      <c r="D9" s="13">
        <f t="shared" si="1"/>
        <v>14660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2</v>
      </c>
      <c r="D10" s="13">
        <f t="shared" si="1"/>
        <v>2064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2</v>
      </c>
      <c r="D11" s="13">
        <f t="shared" si="1"/>
        <v>2340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8</v>
      </c>
      <c r="D13" s="48">
        <f t="shared" si="1"/>
        <v>2456</v>
      </c>
      <c r="F13" s="160" t="s">
        <v>36</v>
      </c>
      <c r="G13" s="161"/>
      <c r="H13" s="162">
        <f>D29</f>
        <v>458758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2</v>
      </c>
      <c r="D14" s="31">
        <f t="shared" si="1"/>
        <v>22</v>
      </c>
      <c r="F14" s="165" t="s">
        <v>39</v>
      </c>
      <c r="G14" s="166"/>
      <c r="H14" s="167">
        <f>D54</f>
        <v>63504.75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395253.25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93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458758</v>
      </c>
      <c r="F29" s="183" t="s">
        <v>55</v>
      </c>
      <c r="G29" s="184"/>
      <c r="H29" s="187">
        <f>H15-H16-H17-H18-H19-H20-H22-H23-H24+H26+H27+H28</f>
        <v>395253.25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215">
        <f t="shared" ref="H34:H39" si="2">F34*G34</f>
        <v>233000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215">
        <f t="shared" si="2"/>
        <v>35500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5">
        <f t="shared" si="2"/>
        <v>400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215">
        <f t="shared" si="2"/>
        <v>4900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15">
        <f t="shared" si="2"/>
        <v>750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5">
        <v>62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99">
        <v>73477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99">
        <v>20198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99">
        <v>27000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395307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14</v>
      </c>
      <c r="D50" s="12">
        <f>C50*1.5</f>
        <v>21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149</v>
      </c>
      <c r="G51" s="244">
        <f>G49-H29</f>
        <v>53.75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46032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264</v>
      </c>
      <c r="D6" s="13">
        <f t="shared" ref="D6:D28" si="1">C6*L6</f>
        <v>200904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19</v>
      </c>
      <c r="D7" s="13">
        <f t="shared" si="1"/>
        <v>14839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37</v>
      </c>
      <c r="D9" s="13">
        <f t="shared" si="1"/>
        <v>27121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1984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9</v>
      </c>
      <c r="D13" s="48">
        <f t="shared" si="1"/>
        <v>2763</v>
      </c>
      <c r="F13" s="160" t="s">
        <v>36</v>
      </c>
      <c r="G13" s="161"/>
      <c r="H13" s="162">
        <f>D29</f>
        <v>250831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23</v>
      </c>
      <c r="D14" s="31">
        <f t="shared" si="1"/>
        <v>253</v>
      </c>
      <c r="F14" s="165" t="s">
        <v>39</v>
      </c>
      <c r="G14" s="166"/>
      <c r="H14" s="167">
        <f>D54</f>
        <v>44389.5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206441.5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1176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101</v>
      </c>
      <c r="C22" s="10">
        <v>1</v>
      </c>
      <c r="D22" s="48">
        <f t="shared" si="1"/>
        <v>1667</v>
      </c>
      <c r="F22" s="72"/>
      <c r="G22" s="73"/>
      <c r="H22" s="197"/>
      <c r="I22" s="197"/>
      <c r="J22" s="197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250831</v>
      </c>
      <c r="F29" s="183" t="s">
        <v>55</v>
      </c>
      <c r="G29" s="184"/>
      <c r="H29" s="187">
        <f>H15-H16-H17-H18-H19-H20-H22-H23-H24+H26+H27</f>
        <v>205265.5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215">
        <f>F34*G34</f>
        <v>49000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5">
        <f t="shared" ref="H35:H39" si="2">F35*G35</f>
        <v>16000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215">
        <f>F36*G36</f>
        <v>800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215">
        <f t="shared" si="2"/>
        <v>14200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215">
        <f t="shared" si="2"/>
        <v>650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16</v>
      </c>
      <c r="D42" s="12">
        <f>C42*2.25</f>
        <v>36</v>
      </c>
      <c r="F42" s="39" t="s">
        <v>79</v>
      </c>
      <c r="G42" s="215">
        <v>34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99">
        <v>124746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</v>
      </c>
      <c r="D46" s="12">
        <f>C46*1.5</f>
        <v>3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205450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17</v>
      </c>
      <c r="D50" s="12">
        <f>C50*1.5</f>
        <v>25.5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142</v>
      </c>
      <c r="G51" s="244">
        <f>G49-H29</f>
        <v>184.5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46032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394</v>
      </c>
      <c r="D6" s="13">
        <f t="shared" ref="D6:D28" si="1">C6*L6</f>
        <v>299834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</v>
      </c>
      <c r="D7" s="13">
        <f t="shared" si="1"/>
        <v>2343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</v>
      </c>
      <c r="D9" s="13">
        <f t="shared" si="1"/>
        <v>8063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2064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2</v>
      </c>
      <c r="D12" s="48">
        <f t="shared" si="1"/>
        <v>1984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317305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75464.25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241840.75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342+1296+666</f>
        <v>2304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95" t="s">
        <v>150</v>
      </c>
      <c r="C23" s="10">
        <v>1</v>
      </c>
      <c r="D23" s="48">
        <f t="shared" si="1"/>
        <v>1175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317305</v>
      </c>
      <c r="F29" s="183" t="s">
        <v>55</v>
      </c>
      <c r="G29" s="184"/>
      <c r="H29" s="187">
        <f>H15-H16-H17-H18-H19-H20-H22-H23-H24+H26+H27</f>
        <v>239536.75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215">
        <f>F34*G34</f>
        <v>51000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215">
        <f>F35*G35</f>
        <v>5000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215">
        <f t="shared" si="2"/>
        <v>100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5">
        <f t="shared" si="2"/>
        <v>40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>
        <v>38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99">
        <v>44070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99">
        <v>139104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16</v>
      </c>
      <c r="D49" s="12">
        <f>C49*42</f>
        <v>672</v>
      </c>
      <c r="F49" s="240" t="s">
        <v>86</v>
      </c>
      <c r="G49" s="187">
        <f>H34+H35+H36+H37+H38+H39+H40+H41+G42+H44+H45+H46</f>
        <v>239452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139</v>
      </c>
      <c r="G51" s="254">
        <f>G49-H29</f>
        <v>-84.75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46034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233</v>
      </c>
      <c r="D6" s="13">
        <f t="shared" ref="D6:D28" si="1">C6*L6</f>
        <v>177313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12</v>
      </c>
      <c r="D7" s="13">
        <f t="shared" si="1"/>
        <v>9372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3</v>
      </c>
      <c r="D8" s="13">
        <f t="shared" si="1"/>
        <v>3279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20</v>
      </c>
      <c r="D9" s="13">
        <f t="shared" si="1"/>
        <v>14660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3</v>
      </c>
      <c r="D10" s="13">
        <f t="shared" si="1"/>
        <v>3096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3</v>
      </c>
      <c r="D11" s="13">
        <f t="shared" si="1"/>
        <v>3510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4+1</f>
        <v>5</v>
      </c>
      <c r="D12" s="48">
        <f t="shared" si="1"/>
        <v>4960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7</v>
      </c>
      <c r="D13" s="48">
        <f t="shared" si="1"/>
        <v>2149</v>
      </c>
      <c r="F13" s="160" t="s">
        <v>36</v>
      </c>
      <c r="G13" s="161"/>
      <c r="H13" s="162">
        <f>D29</f>
        <v>228543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19</v>
      </c>
      <c r="D14" s="31">
        <f t="shared" si="1"/>
        <v>209</v>
      </c>
      <c r="F14" s="165" t="s">
        <v>39</v>
      </c>
      <c r="G14" s="166"/>
      <c r="H14" s="167">
        <f>D54</f>
        <v>28542.75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200000.25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197">
        <v>99507</v>
      </c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99">
        <v>92560</v>
      </c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9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5</v>
      </c>
      <c r="D28" s="48">
        <f t="shared" si="1"/>
        <v>4055</v>
      </c>
      <c r="F28" s="93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228543</v>
      </c>
      <c r="F29" s="183" t="s">
        <v>55</v>
      </c>
      <c r="G29" s="184"/>
      <c r="H29" s="187">
        <f>H15-H16-H17-H18-H19-H20-H22-H23-H24+H26+H27+H28</f>
        <v>193053.25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215">
        <f t="shared" ref="H34:H39" si="2">F34*G34</f>
        <v>42000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215">
        <f t="shared" si="2"/>
        <v>14500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215">
        <f t="shared" si="2"/>
        <v>600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5">
        <v>159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99">
        <v>11432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99">
        <v>30888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99">
        <v>92560</v>
      </c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192239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42</v>
      </c>
      <c r="D50" s="12">
        <f>C50*1.5</f>
        <v>63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4">
        <f>G49-H29</f>
        <v>-814.25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46034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351</v>
      </c>
      <c r="D6" s="13">
        <f t="shared" ref="D6:D28" si="1">C6*L6</f>
        <v>267111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11</v>
      </c>
      <c r="D7" s="13">
        <f t="shared" si="1"/>
        <v>8591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110</v>
      </c>
      <c r="D9" s="13">
        <f t="shared" si="1"/>
        <v>80630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360378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53643.75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306734.25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2652</f>
        <v>2652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93"/>
      <c r="G28" s="61"/>
      <c r="H28" s="209"/>
      <c r="I28" s="210"/>
      <c r="J28" s="211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360378</v>
      </c>
      <c r="F29" s="183" t="s">
        <v>55</v>
      </c>
      <c r="G29" s="184"/>
      <c r="H29" s="187">
        <f>H15-H16-H17-H18-H19-H20-H22-H23-H24+H26+H27</f>
        <v>304082.25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15">
        <f>F34*G34</f>
        <v>123000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215">
        <f t="shared" ref="H35:H39" si="2">F35*G35</f>
        <v>133500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215">
        <f t="shared" si="2"/>
        <v>38400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215">
        <f t="shared" si="2"/>
        <v>8850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5">
        <v>61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6</v>
      </c>
      <c r="D46" s="12">
        <f>C46*1.5</f>
        <v>9</v>
      </c>
      <c r="F46" s="37"/>
      <c r="G46" s="91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2</v>
      </c>
      <c r="D49" s="12">
        <f>C49*42</f>
        <v>84</v>
      </c>
      <c r="F49" s="240" t="s">
        <v>86</v>
      </c>
      <c r="G49" s="187">
        <f>H34+H35+H36+H37+H38+H39+H40+H41+G42+H44+H45+H46</f>
        <v>304011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17</v>
      </c>
      <c r="D50" s="12">
        <f>C50*1.5</f>
        <v>25.5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161</v>
      </c>
      <c r="G51" s="254">
        <f>G49-H29</f>
        <v>-71.25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46034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437</v>
      </c>
      <c r="D6" s="13">
        <f t="shared" ref="D6:D28" si="1">C6*L6</f>
        <v>332557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4</v>
      </c>
      <c r="D7" s="13">
        <f t="shared" si="1"/>
        <v>3124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114</v>
      </c>
      <c r="D9" s="13">
        <f t="shared" si="1"/>
        <v>83562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4+1</f>
        <v>5</v>
      </c>
      <c r="D12" s="48">
        <f t="shared" si="1"/>
        <v>4960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429225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20</v>
      </c>
      <c r="D14" s="31">
        <f t="shared" si="1"/>
        <v>220</v>
      </c>
      <c r="F14" s="165" t="s">
        <v>39</v>
      </c>
      <c r="G14" s="166"/>
      <c r="H14" s="167">
        <f>D54</f>
        <v>84082.5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345142.5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1026+312</f>
        <v>1338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>
        <v>50</v>
      </c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</v>
      </c>
      <c r="D28" s="48">
        <f t="shared" si="1"/>
        <v>811</v>
      </c>
      <c r="F28" s="93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429225</v>
      </c>
      <c r="F29" s="183" t="s">
        <v>55</v>
      </c>
      <c r="G29" s="184"/>
      <c r="H29" s="187">
        <f>H15-H16-H17-H18-H19-H20-H22-H23-H24+H26+H27</f>
        <v>343754.5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215">
        <f>F34*G34</f>
        <v>66000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15">
        <f>F35*G35</f>
        <v>17500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5">
        <f t="shared" ref="H36:H39" si="2">F36*G36</f>
        <v>600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215">
        <f t="shared" si="2"/>
        <v>8400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215">
        <f t="shared" si="2"/>
        <v>1750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8</v>
      </c>
      <c r="D42" s="12">
        <f>C42*2.25</f>
        <v>18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9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99">
        <v>140724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99">
        <v>108088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17</v>
      </c>
      <c r="D46" s="12">
        <f>C46*1.5</f>
        <v>25.5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5</v>
      </c>
      <c r="D49" s="12">
        <f>C49*42</f>
        <v>210</v>
      </c>
      <c r="F49" s="240" t="s">
        <v>86</v>
      </c>
      <c r="G49" s="187">
        <f>H34+H35+H36+H37+H38+H39+H40+H41+G42+H44+H45+H46</f>
        <v>343062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14</v>
      </c>
      <c r="D50" s="12">
        <f>C50*1.5</f>
        <v>21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139</v>
      </c>
      <c r="G51" s="254">
        <f>G49-H29</f>
        <v>-692.5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04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7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46035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355</v>
      </c>
      <c r="D6" s="13">
        <f t="shared" ref="D6:D28" si="1">C6*L6</f>
        <v>270155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3</v>
      </c>
      <c r="D7" s="13">
        <f t="shared" si="1"/>
        <v>2343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20</v>
      </c>
      <c r="D9" s="13">
        <f t="shared" si="1"/>
        <v>14660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5</v>
      </c>
      <c r="D10" s="13">
        <f t="shared" si="1"/>
        <v>5160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>
        <v>5</v>
      </c>
      <c r="D11" s="13">
        <f t="shared" si="1"/>
        <v>5850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6</v>
      </c>
      <c r="D12" s="48">
        <f t="shared" si="1"/>
        <v>5952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8</v>
      </c>
      <c r="D13" s="48">
        <f t="shared" si="1"/>
        <v>2456</v>
      </c>
      <c r="F13" s="160" t="s">
        <v>36</v>
      </c>
      <c r="G13" s="161"/>
      <c r="H13" s="162">
        <f>D29</f>
        <v>308880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23</v>
      </c>
      <c r="D14" s="31">
        <f t="shared" si="1"/>
        <v>253</v>
      </c>
      <c r="F14" s="165" t="s">
        <v>39</v>
      </c>
      <c r="G14" s="166"/>
      <c r="H14" s="167">
        <f>D54</f>
        <v>123354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185526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1314</f>
        <v>1314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7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1</v>
      </c>
      <c r="D28" s="48">
        <f t="shared" si="1"/>
        <v>811</v>
      </c>
      <c r="F28" s="104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308880</v>
      </c>
      <c r="F29" s="183" t="s">
        <v>55</v>
      </c>
      <c r="G29" s="184"/>
      <c r="H29" s="187">
        <f>H15-H16-H17-H18-H19-H20-H22-H23-H24+H26+H27+H28</f>
        <v>184212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215">
        <f t="shared" ref="H34:H39" si="2">F34*G34</f>
        <v>78000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15">
        <f t="shared" si="2"/>
        <v>10500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215">
        <f t="shared" si="2"/>
        <v>800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215">
        <f t="shared" si="2"/>
        <v>350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20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7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199">
        <v>69378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99">
        <v>25500</v>
      </c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22</v>
      </c>
      <c r="D46" s="12">
        <f>C46*1.5</f>
        <v>33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184548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</v>
      </c>
      <c r="D50" s="12">
        <f>C50*1.5</f>
        <v>1.5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149</v>
      </c>
      <c r="G51" s="244">
        <f>G49-H29</f>
        <v>336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46035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f>394-63</f>
        <v>331</v>
      </c>
      <c r="D6" s="13">
        <f t="shared" ref="D6:D28" si="1">C6*L6</f>
        <v>251891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6</v>
      </c>
      <c r="D7" s="13">
        <f t="shared" si="1"/>
        <v>4686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f>54-14</f>
        <v>40</v>
      </c>
      <c r="D9" s="13">
        <f t="shared" si="1"/>
        <v>29320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295463.33333333331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22</v>
      </c>
      <c r="D14" s="31">
        <f t="shared" si="1"/>
        <v>242</v>
      </c>
      <c r="F14" s="165" t="s">
        <v>39</v>
      </c>
      <c r="G14" s="166"/>
      <c r="H14" s="167">
        <f>D54</f>
        <v>42937.5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252525.83333333331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v>1182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09"/>
      <c r="I28" s="210"/>
      <c r="J28" s="211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295463.33333333331</v>
      </c>
      <c r="F29" s="183" t="s">
        <v>55</v>
      </c>
      <c r="G29" s="184"/>
      <c r="H29" s="187">
        <f>H15-H16-H17-H18-H19-H20-H22-H23-H24+H26+H27</f>
        <v>251343.83333333331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215">
        <f>F34*G34</f>
        <v>93000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15">
        <f t="shared" ref="H35:H39" si="2">F35*G35</f>
        <v>14000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15">
        <f>F36*G36</f>
        <v>1400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215">
        <f t="shared" si="2"/>
        <v>10000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215">
        <f t="shared" si="2"/>
        <v>200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12</v>
      </c>
      <c r="D42" s="12">
        <f>C42*2.25</f>
        <v>27</v>
      </c>
      <c r="F42" s="39" t="s">
        <v>79</v>
      </c>
      <c r="G42" s="215">
        <v>50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7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199">
        <v>131773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6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30</v>
      </c>
      <c r="D49" s="12">
        <f>C49*42</f>
        <v>1260</v>
      </c>
      <c r="F49" s="240" t="s">
        <v>86</v>
      </c>
      <c r="G49" s="187">
        <f>H34+H35+H36+H37+H38+H39+H40+H41+G42+H44+H45+H46</f>
        <v>250423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8</v>
      </c>
      <c r="D50" s="12">
        <f>C50*1.5</f>
        <v>12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161</v>
      </c>
      <c r="G51" s="254">
        <f>G49-H29</f>
        <v>-920.83333333331393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46035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363</v>
      </c>
      <c r="D6" s="13">
        <f t="shared" ref="D6:D28" si="1">C6*L6</f>
        <v>276243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7</v>
      </c>
      <c r="D7" s="13">
        <f t="shared" si="1"/>
        <v>5467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15</v>
      </c>
      <c r="D9" s="13">
        <f t="shared" si="1"/>
        <v>10995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3</v>
      </c>
      <c r="D10" s="13">
        <f t="shared" si="1"/>
        <v>3096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12</v>
      </c>
      <c r="D13" s="48">
        <f t="shared" si="1"/>
        <v>3684</v>
      </c>
      <c r="F13" s="160" t="s">
        <v>36</v>
      </c>
      <c r="G13" s="161"/>
      <c r="H13" s="162">
        <f>D29</f>
        <v>302382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67329.75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235052.25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1296+324</f>
        <v>1620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95" t="s">
        <v>150</v>
      </c>
      <c r="C23" s="10">
        <v>1</v>
      </c>
      <c r="D23" s="48">
        <f t="shared" si="1"/>
        <v>1175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>
        <v>1</v>
      </c>
      <c r="D24" s="48">
        <f t="shared" si="1"/>
        <v>1667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04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302382</v>
      </c>
      <c r="F29" s="183" t="s">
        <v>55</v>
      </c>
      <c r="G29" s="184"/>
      <c r="H29" s="187">
        <f>H15-H16-H17-H18-H19-H20-H22-H23-H24+H26+H27</f>
        <v>233432.25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215">
        <f>F34*G34</f>
        <v>87000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215">
        <f>F35*G35</f>
        <v>24000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215">
        <f t="shared" si="2"/>
        <v>3900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215">
        <f t="shared" si="2"/>
        <v>1350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5">
        <v>59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7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199">
        <v>117189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233498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</v>
      </c>
      <c r="D50" s="12">
        <f>C50*1.5</f>
        <v>3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149</v>
      </c>
      <c r="G51" s="244">
        <f>G49-H29</f>
        <v>65.75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1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46036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8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1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46036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509</v>
      </c>
      <c r="D6" s="13">
        <f t="shared" ref="D6:D28" si="1">C6*L6</f>
        <v>387349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82</v>
      </c>
      <c r="D9" s="13">
        <f t="shared" si="1"/>
        <v>60106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19</v>
      </c>
      <c r="D13" s="48">
        <f t="shared" si="1"/>
        <v>5833</v>
      </c>
      <c r="F13" s="160" t="s">
        <v>36</v>
      </c>
      <c r="G13" s="161"/>
      <c r="H13" s="162">
        <f>D29</f>
        <v>453420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12</v>
      </c>
      <c r="D14" s="31">
        <f t="shared" si="1"/>
        <v>132</v>
      </c>
      <c r="F14" s="165" t="s">
        <v>39</v>
      </c>
      <c r="G14" s="166"/>
      <c r="H14" s="167">
        <f>D54</f>
        <v>80525.25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372894.75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235*6+350*6</f>
        <v>3510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1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453420</v>
      </c>
      <c r="F29" s="183" t="s">
        <v>55</v>
      </c>
      <c r="G29" s="184"/>
      <c r="H29" s="187">
        <f>H15-H16-H17-H18-H19-H20-H22-H23-H24+H26+H27</f>
        <v>369384.75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15">
        <f>F34*G34</f>
        <v>101000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215">
        <f t="shared" ref="H35:H39" si="2">F35*G35</f>
        <v>48000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215">
        <f t="shared" si="2"/>
        <v>300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3</v>
      </c>
      <c r="D42" s="12">
        <f>C42*2.25</f>
        <v>6.75</v>
      </c>
      <c r="F42" s="39" t="s">
        <v>79</v>
      </c>
      <c r="G42" s="215">
        <v>4035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199">
        <v>216075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35</v>
      </c>
      <c r="D46" s="12">
        <f>C46*1.5</f>
        <v>52.5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3</v>
      </c>
      <c r="D49" s="12">
        <f>C49*42</f>
        <v>126</v>
      </c>
      <c r="F49" s="240" t="s">
        <v>86</v>
      </c>
      <c r="G49" s="187">
        <f>H34+H35+H36+H37+H38+H39+H40+H41+G42+H44+H45+H46</f>
        <v>369410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23</v>
      </c>
      <c r="D50" s="12">
        <f>C50*1.5</f>
        <v>34.5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142</v>
      </c>
      <c r="G51" s="244">
        <f>G49-H29</f>
        <v>25.25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46036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205</v>
      </c>
      <c r="D6" s="13">
        <f t="shared" ref="D6:D28" si="1">C6*L6</f>
        <v>156005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5</v>
      </c>
      <c r="D9" s="13">
        <f t="shared" si="1"/>
        <v>3665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2</v>
      </c>
      <c r="D10" s="13">
        <f t="shared" si="1"/>
        <v>2064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7</v>
      </c>
      <c r="D13" s="48">
        <f t="shared" si="1"/>
        <v>2149</v>
      </c>
      <c r="F13" s="160" t="s">
        <v>36</v>
      </c>
      <c r="G13" s="161"/>
      <c r="H13" s="162">
        <f>D29</f>
        <v>164919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39</v>
      </c>
      <c r="G14" s="166"/>
      <c r="H14" s="167">
        <f>D54</f>
        <v>24184.5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140734.5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128*6+50*6</f>
        <v>1068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1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164919</v>
      </c>
      <c r="F29" s="183" t="s">
        <v>55</v>
      </c>
      <c r="G29" s="184"/>
      <c r="H29" s="187">
        <f>H15-H16-H17-H18-H19-H20-H22-H23-H24+H26+H27</f>
        <v>139666.5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215">
        <f>F34*G34</f>
        <v>38000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15">
        <f>F35*G35</f>
        <v>17000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215">
        <f t="shared" si="2"/>
        <v>200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199">
        <v>84323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4</v>
      </c>
      <c r="D49" s="12">
        <f>C49*42</f>
        <v>168</v>
      </c>
      <c r="F49" s="240" t="s">
        <v>86</v>
      </c>
      <c r="G49" s="187">
        <f>H34+H35+H36+H37+H38+H39+H40+H41+G42+H44+H45+H46</f>
        <v>139523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23</v>
      </c>
      <c r="D50" s="12">
        <f>C50*1.5</f>
        <v>34.5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139</v>
      </c>
      <c r="G51" s="254">
        <f>G49-H29</f>
        <v>-143.5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1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46037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503</v>
      </c>
      <c r="D6" s="13">
        <f t="shared" ref="D6:D28" si="1">C6*L6</f>
        <v>382783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25</v>
      </c>
      <c r="D7" s="13">
        <f t="shared" si="1"/>
        <v>19525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10</v>
      </c>
      <c r="D9" s="13">
        <f t="shared" si="1"/>
        <v>7330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16</v>
      </c>
      <c r="D13" s="48">
        <f t="shared" si="1"/>
        <v>4912</v>
      </c>
      <c r="F13" s="160" t="s">
        <v>36</v>
      </c>
      <c r="G13" s="161"/>
      <c r="H13" s="162">
        <f>D29</f>
        <v>414803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23</v>
      </c>
      <c r="D14" s="31">
        <f t="shared" si="1"/>
        <v>253</v>
      </c>
      <c r="F14" s="165" t="s">
        <v>39</v>
      </c>
      <c r="G14" s="166"/>
      <c r="H14" s="167">
        <f>D54</f>
        <v>93813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320990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>
        <f>432*6</f>
        <v>2592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8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1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414803</v>
      </c>
      <c r="F29" s="183" t="s">
        <v>55</v>
      </c>
      <c r="G29" s="184"/>
      <c r="H29" s="187">
        <f>H15-H16-H17-H18-H19-H20-H22-H23-H24+H26+H27+H28</f>
        <v>318398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215">
        <f t="shared" ref="H34:H39" si="2">F34*G34</f>
        <v>61000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15">
        <f t="shared" si="2"/>
        <v>3000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15">
        <f t="shared" si="2"/>
        <v>600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215">
        <f t="shared" si="2"/>
        <v>1100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215">
        <f t="shared" si="2"/>
        <v>400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38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199">
        <v>252228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23</v>
      </c>
      <c r="D46" s="12">
        <f>C46*1.5</f>
        <v>34.5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318366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13</v>
      </c>
      <c r="D50" s="12">
        <f>C50*1.5</f>
        <v>19.5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4">
        <f>G49-H29</f>
        <v>-32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46037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285</v>
      </c>
      <c r="D6" s="13">
        <f t="shared" ref="D6:D28" si="1">C6*L6</f>
        <v>216885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</v>
      </c>
      <c r="D7" s="13">
        <f t="shared" si="1"/>
        <v>2343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21</v>
      </c>
      <c r="D9" s="13">
        <f t="shared" si="1"/>
        <v>15393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13</v>
      </c>
      <c r="D13" s="48">
        <f t="shared" si="1"/>
        <v>3991</v>
      </c>
      <c r="F13" s="160" t="s">
        <v>36</v>
      </c>
      <c r="G13" s="161"/>
      <c r="H13" s="162">
        <f>D29</f>
        <v>238821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19</v>
      </c>
      <c r="D14" s="31">
        <f t="shared" si="1"/>
        <v>209</v>
      </c>
      <c r="F14" s="165" t="s">
        <v>39</v>
      </c>
      <c r="G14" s="166"/>
      <c r="H14" s="167">
        <f>D54</f>
        <v>59093.25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179727.75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216*6</f>
        <v>1296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1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238821</v>
      </c>
      <c r="F29" s="183" t="s">
        <v>55</v>
      </c>
      <c r="G29" s="184"/>
      <c r="H29" s="187">
        <f>H15-H16-H17-H18-H19-H20-H22-H23-H24+H26+H27</f>
        <v>178431.75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5">
        <f>F34*G34</f>
        <v>44000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15">
        <f t="shared" ref="H35:H39" si="2">F35*G35</f>
        <v>11000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>F36*G36</f>
        <v>200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215">
        <f t="shared" si="2"/>
        <v>4500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215">
        <f t="shared" si="2"/>
        <v>1050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243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199">
        <v>117436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9</v>
      </c>
      <c r="D49" s="12">
        <f>C49*42</f>
        <v>378</v>
      </c>
      <c r="F49" s="240" t="s">
        <v>86</v>
      </c>
      <c r="G49" s="187">
        <f>H34+H35+H36+H37+H38+H39+H40+H41+G42+H44+H45+H46</f>
        <v>178429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44</v>
      </c>
      <c r="D50" s="12">
        <f>C50*1.5</f>
        <v>66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161</v>
      </c>
      <c r="G51" s="254">
        <f>G49-H29</f>
        <v>-2.75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46037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421</v>
      </c>
      <c r="D6" s="13">
        <f t="shared" ref="D6:D28" si="1">C6*L6</f>
        <v>320381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15</v>
      </c>
      <c r="D9" s="13">
        <f t="shared" si="1"/>
        <v>10995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1</v>
      </c>
      <c r="D11" s="13">
        <f t="shared" si="1"/>
        <v>1170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5</v>
      </c>
      <c r="D13" s="48">
        <f t="shared" si="1"/>
        <v>1535</v>
      </c>
      <c r="F13" s="160" t="s">
        <v>36</v>
      </c>
      <c r="G13" s="161"/>
      <c r="H13" s="162">
        <f>D29</f>
        <v>334136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5</v>
      </c>
      <c r="D14" s="31">
        <f t="shared" si="1"/>
        <v>55</v>
      </c>
      <c r="F14" s="165" t="s">
        <v>39</v>
      </c>
      <c r="G14" s="166"/>
      <c r="H14" s="167">
        <f>D54</f>
        <v>59604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274532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291*6+56*6</f>
        <v>2082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1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334136</v>
      </c>
      <c r="F29" s="183" t="s">
        <v>55</v>
      </c>
      <c r="G29" s="184"/>
      <c r="H29" s="187">
        <f>H15-H16-H17-H18-H19-H20-H22-H23-H24+H26+H27</f>
        <v>272450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215">
        <f>F34*G34</f>
        <v>78000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5">
        <f>F35*G35</f>
        <v>7000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5">
        <f t="shared" ref="H36:H39" si="2">F36*G36</f>
        <v>200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215">
        <f t="shared" si="2"/>
        <v>3000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215">
        <f t="shared" si="2"/>
        <v>6300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2</v>
      </c>
      <c r="D42" s="12">
        <f>C42*2.25</f>
        <v>4.5</v>
      </c>
      <c r="F42" s="39" t="s">
        <v>79</v>
      </c>
      <c r="G42" s="215">
        <v>38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199">
        <v>177449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>
        <v>1</v>
      </c>
      <c r="D45" s="12">
        <f>C45*84</f>
        <v>84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8</v>
      </c>
      <c r="D46" s="12">
        <f>C46*1.5</f>
        <v>12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272007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20</v>
      </c>
      <c r="D50" s="12">
        <f>C50*1.5</f>
        <v>30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139</v>
      </c>
      <c r="G51" s="254">
        <f>G49-H29</f>
        <v>-443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1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46038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210</v>
      </c>
      <c r="D6" s="13">
        <f t="shared" ref="D6:D28" si="1">C6*L6</f>
        <v>159810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11</v>
      </c>
      <c r="D7" s="13">
        <f t="shared" si="1"/>
        <v>8591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51</v>
      </c>
      <c r="D9" s="13">
        <f t="shared" si="1"/>
        <v>37383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f>3+2</f>
        <v>5</v>
      </c>
      <c r="D12" s="48">
        <f t="shared" si="1"/>
        <v>4960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6</v>
      </c>
      <c r="D13" s="48">
        <f t="shared" si="1"/>
        <v>1842</v>
      </c>
      <c r="F13" s="160" t="s">
        <v>36</v>
      </c>
      <c r="G13" s="161"/>
      <c r="H13" s="162">
        <f>D29</f>
        <v>213357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11</v>
      </c>
      <c r="D14" s="31">
        <f t="shared" si="1"/>
        <v>121</v>
      </c>
      <c r="F14" s="165" t="s">
        <v>39</v>
      </c>
      <c r="G14" s="166"/>
      <c r="H14" s="167">
        <f>D54</f>
        <v>30288.75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183068.25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74">
        <v>313.88</v>
      </c>
      <c r="I19" s="174"/>
      <c r="J19" s="174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8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1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213357</v>
      </c>
      <c r="F29" s="183" t="s">
        <v>55</v>
      </c>
      <c r="G29" s="184"/>
      <c r="H29" s="187">
        <f>H15-H16-H17-H18-H19-H20-H22-H23-H24+H26+H27+H28</f>
        <v>182754.37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215">
        <f t="shared" ref="H34:H39" si="2">F34*G34</f>
        <v>149000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215">
        <f t="shared" si="2"/>
        <v>28000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15">
        <f t="shared" si="2"/>
        <v>600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215">
        <f t="shared" si="2"/>
        <v>4800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215">
        <f t="shared" si="2"/>
        <v>350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1</v>
      </c>
      <c r="D42" s="12">
        <f>C42*2.25</f>
        <v>2.25</v>
      </c>
      <c r="F42" s="39" t="s">
        <v>79</v>
      </c>
      <c r="G42" s="215">
        <v>131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6</v>
      </c>
      <c r="D44" s="12">
        <f>C44*120</f>
        <v>720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18</v>
      </c>
      <c r="D46" s="12">
        <f>C46*1.5</f>
        <v>27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2</v>
      </c>
      <c r="D49" s="12">
        <f>C49*42</f>
        <v>84</v>
      </c>
      <c r="F49" s="240" t="s">
        <v>86</v>
      </c>
      <c r="G49" s="187">
        <f>H34+H35+H36+H37+H38+H39+H40+H41+G42+H44+H45+H46</f>
        <v>182881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20</v>
      </c>
      <c r="D50" s="12">
        <f>C50*1.5</f>
        <v>30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149</v>
      </c>
      <c r="G51" s="244">
        <f>G49-H29</f>
        <v>126.63000000000466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46038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346</v>
      </c>
      <c r="D6" s="13">
        <f t="shared" ref="D6:D28" si="1">C6*L6</f>
        <v>263306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1</v>
      </c>
      <c r="D7" s="13">
        <f t="shared" si="1"/>
        <v>781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18</v>
      </c>
      <c r="D9" s="13">
        <f t="shared" si="1"/>
        <v>13194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</v>
      </c>
      <c r="D10" s="13">
        <f t="shared" si="1"/>
        <v>1032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14</v>
      </c>
      <c r="D13" s="48">
        <f t="shared" si="1"/>
        <v>4298</v>
      </c>
      <c r="F13" s="160" t="s">
        <v>36</v>
      </c>
      <c r="G13" s="161"/>
      <c r="H13" s="162">
        <f>D29</f>
        <v>282677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6</v>
      </c>
      <c r="D14" s="31">
        <f t="shared" si="1"/>
        <v>66</v>
      </c>
      <c r="F14" s="165" t="s">
        <v>39</v>
      </c>
      <c r="G14" s="166"/>
      <c r="H14" s="167">
        <f>D54</f>
        <v>41862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240815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1296</f>
        <v>1296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1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282677</v>
      </c>
      <c r="F29" s="183" t="s">
        <v>55</v>
      </c>
      <c r="G29" s="184"/>
      <c r="H29" s="187">
        <f>H15-H16-H17-H18-H19-H20-H22-H23-H24+H26+H27</f>
        <v>239519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15">
        <f>F34*G34</f>
        <v>180000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215">
        <f t="shared" ref="H35:H39" si="2">F35*G35</f>
        <v>12000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215">
        <f>F36*G36</f>
        <v>400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215">
        <f t="shared" si="2"/>
        <v>33800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215">
        <f t="shared" si="2"/>
        <v>10400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>
        <v>103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199">
        <v>3308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7</v>
      </c>
      <c r="D49" s="12">
        <f>C49*42</f>
        <v>294</v>
      </c>
      <c r="F49" s="240" t="s">
        <v>86</v>
      </c>
      <c r="G49" s="187">
        <f>H34+H35+H36+H37+H38+H39+H40+H41+G42+H44+H45+H46</f>
        <v>240031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13</v>
      </c>
      <c r="D50" s="12">
        <f>C50*1.5</f>
        <v>19.5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142</v>
      </c>
      <c r="G51" s="244">
        <f>G49-H29</f>
        <v>512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46038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241</v>
      </c>
      <c r="D6" s="13">
        <f t="shared" ref="D6:D28" si="1">C6*L6</f>
        <v>183401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1562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>
        <v>10</v>
      </c>
      <c r="D8" s="13">
        <f t="shared" si="1"/>
        <v>10930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107</v>
      </c>
      <c r="D9" s="13">
        <f t="shared" si="1"/>
        <v>78431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>
        <v>10</v>
      </c>
      <c r="D10" s="13">
        <f t="shared" si="1"/>
        <v>10320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>
        <v>20</v>
      </c>
      <c r="D11" s="13">
        <f t="shared" si="1"/>
        <v>23400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f>21+3+3</f>
        <v>27</v>
      </c>
      <c r="D12" s="48">
        <f t="shared" si="1"/>
        <v>26784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2</v>
      </c>
      <c r="D13" s="48">
        <f t="shared" si="1"/>
        <v>614</v>
      </c>
      <c r="F13" s="160" t="s">
        <v>36</v>
      </c>
      <c r="G13" s="161"/>
      <c r="H13" s="162">
        <f>D29</f>
        <v>400123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39</v>
      </c>
      <c r="G14" s="166"/>
      <c r="H14" s="167">
        <f>D54</f>
        <v>77359.5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>
        <f>15</f>
        <v>15</v>
      </c>
      <c r="D15" s="31">
        <f t="shared" si="1"/>
        <v>9300</v>
      </c>
      <c r="F15" s="170" t="s">
        <v>40</v>
      </c>
      <c r="G15" s="161"/>
      <c r="H15" s="171">
        <f>H13-H14</f>
        <v>322763.5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138</v>
      </c>
      <c r="C24" s="10">
        <v>1</v>
      </c>
      <c r="D24" s="48">
        <f t="shared" si="1"/>
        <v>1277</v>
      </c>
      <c r="F24" s="38"/>
      <c r="G24" s="37"/>
      <c r="H24" s="198"/>
      <c r="I24" s="199"/>
      <c r="J24" s="199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205</v>
      </c>
      <c r="C26" s="10">
        <v>1</v>
      </c>
      <c r="D26" s="48">
        <f t="shared" si="1"/>
        <v>1242</v>
      </c>
      <c r="F26" s="64"/>
      <c r="G26" s="59"/>
      <c r="H26" s="203"/>
      <c r="I26" s="204"/>
      <c r="J26" s="205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>
        <v>1</v>
      </c>
      <c r="D27" s="44">
        <f t="shared" si="1"/>
        <v>1582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>
        <v>10</v>
      </c>
      <c r="D28" s="48">
        <f t="shared" si="1"/>
        <v>8110</v>
      </c>
      <c r="F28" s="111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400123</v>
      </c>
      <c r="F29" s="183" t="s">
        <v>55</v>
      </c>
      <c r="G29" s="184"/>
      <c r="H29" s="187">
        <f>H15-H16-H17-H18-H19-H20-H22-H23-H24+H26+H27</f>
        <v>322763.5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215">
        <f>F34*G34</f>
        <v>23000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215">
        <f>F35*G35</f>
        <v>1000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215">
        <f t="shared" si="2"/>
        <v>500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215">
        <f t="shared" si="2"/>
        <v>100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4</v>
      </c>
      <c r="D42" s="12">
        <f>C42*2.25</f>
        <v>9</v>
      </c>
      <c r="F42" s="39" t="s">
        <v>79</v>
      </c>
      <c r="G42" s="215">
        <v>2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199">
        <v>296913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>
        <v>71</v>
      </c>
      <c r="D45" s="12">
        <f>C45*84</f>
        <v>5964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</v>
      </c>
      <c r="D46" s="12">
        <f>C46*1.5</f>
        <v>3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321515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22</v>
      </c>
      <c r="D50" s="12">
        <f>C50*1.5</f>
        <v>33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139</v>
      </c>
      <c r="G51" s="254">
        <f>G49-H29</f>
        <v>-1248.5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1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46039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>
        <v>347</v>
      </c>
      <c r="D6" s="13">
        <f t="shared" ref="D6:D28" si="1">C6*L6</f>
        <v>264067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>
        <v>6</v>
      </c>
      <c r="D7" s="13">
        <f t="shared" si="1"/>
        <v>4686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>
        <v>60</v>
      </c>
      <c r="D8" s="13">
        <f t="shared" si="1"/>
        <v>65580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>
        <v>20</v>
      </c>
      <c r="D9" s="13">
        <f t="shared" si="1"/>
        <v>14660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>
        <v>3</v>
      </c>
      <c r="D10" s="13">
        <f t="shared" si="1"/>
        <v>3096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>
        <v>3</v>
      </c>
      <c r="D12" s="48">
        <f t="shared" si="1"/>
        <v>2976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>
        <v>9</v>
      </c>
      <c r="D13" s="48">
        <f t="shared" si="1"/>
        <v>2763</v>
      </c>
      <c r="F13" s="160" t="s">
        <v>36</v>
      </c>
      <c r="G13" s="161"/>
      <c r="H13" s="162">
        <f>D29</f>
        <v>360136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>
        <v>6</v>
      </c>
      <c r="D14" s="31">
        <f t="shared" si="1"/>
        <v>66</v>
      </c>
      <c r="F14" s="165" t="s">
        <v>39</v>
      </c>
      <c r="G14" s="166"/>
      <c r="H14" s="167">
        <f>D54</f>
        <v>47431.5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>
        <v>1</v>
      </c>
      <c r="D15" s="31">
        <f t="shared" si="1"/>
        <v>620</v>
      </c>
      <c r="F15" s="170" t="s">
        <v>40</v>
      </c>
      <c r="G15" s="161"/>
      <c r="H15" s="171">
        <f>H13-H14</f>
        <v>312704.5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8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>
        <v>2</v>
      </c>
      <c r="D28" s="48">
        <f t="shared" si="1"/>
        <v>1622</v>
      </c>
      <c r="F28" s="111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360136</v>
      </c>
      <c r="F29" s="183" t="s">
        <v>55</v>
      </c>
      <c r="G29" s="184"/>
      <c r="H29" s="187">
        <f>H15-H16-H17-H18-H19-H20-H22-H23-H24+H26+H27+H28</f>
        <v>312704.5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268</v>
      </c>
      <c r="H34" s="215">
        <f t="shared" ref="H34:H39" si="2">F34*G34</f>
        <v>268000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71</v>
      </c>
      <c r="H35" s="215">
        <f t="shared" si="2"/>
        <v>35500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3</v>
      </c>
      <c r="H36" s="215">
        <f t="shared" si="2"/>
        <v>600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54</v>
      </c>
      <c r="H37" s="215">
        <f t="shared" si="2"/>
        <v>5400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41</v>
      </c>
      <c r="H38" s="215">
        <f t="shared" si="2"/>
        <v>2050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57</v>
      </c>
      <c r="H39" s="215">
        <f t="shared" si="2"/>
        <v>1140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6</v>
      </c>
      <c r="D42" s="12">
        <f>C42*2.25</f>
        <v>13.5</v>
      </c>
      <c r="F42" s="39" t="s">
        <v>79</v>
      </c>
      <c r="G42" s="215">
        <v>67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68</v>
      </c>
      <c r="D44" s="12">
        <f>C44*120</f>
        <v>8160</v>
      </c>
      <c r="F44" s="37" t="s">
        <v>153</v>
      </c>
      <c r="G44" s="62"/>
      <c r="H44" s="199">
        <v>458</v>
      </c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4</v>
      </c>
      <c r="D46" s="12">
        <f>C46*1.5</f>
        <v>6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313215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18</v>
      </c>
      <c r="D50" s="12">
        <f>C50*1.5</f>
        <v>27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149</v>
      </c>
      <c r="G51" s="244">
        <f>G49-H29</f>
        <v>510.5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46039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156</v>
      </c>
      <c r="D6" s="13">
        <f t="shared" ref="D6:D28" si="1">C6*L6</f>
        <v>118716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2</v>
      </c>
      <c r="D7" s="13">
        <f t="shared" si="1"/>
        <v>1562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39</v>
      </c>
      <c r="D9" s="13">
        <f t="shared" si="1"/>
        <v>28587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6</v>
      </c>
      <c r="D13" s="48">
        <f t="shared" si="1"/>
        <v>1842</v>
      </c>
      <c r="F13" s="160" t="s">
        <v>36</v>
      </c>
      <c r="G13" s="161"/>
      <c r="H13" s="162">
        <f>D29</f>
        <v>150960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23</v>
      </c>
      <c r="D14" s="31">
        <f t="shared" si="1"/>
        <v>253</v>
      </c>
      <c r="F14" s="165" t="s">
        <v>39</v>
      </c>
      <c r="G14" s="166"/>
      <c r="H14" s="167">
        <f>D54</f>
        <v>23091.75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127868.25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1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150960</v>
      </c>
      <c r="F29" s="183" t="s">
        <v>55</v>
      </c>
      <c r="G29" s="184"/>
      <c r="H29" s="187">
        <f>H15-H16-H17-H18-H19-H20-H22-H23-H24+H26+H27</f>
        <v>127868.25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15">
        <f>F34*G34</f>
        <v>123000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>
        <v>6</v>
      </c>
      <c r="H37" s="215">
        <f t="shared" si="2"/>
        <v>600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19</v>
      </c>
      <c r="H38" s="215">
        <f t="shared" si="2"/>
        <v>950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3</v>
      </c>
      <c r="D42" s="12">
        <f>C42*2.25</f>
        <v>6.75</v>
      </c>
      <c r="F42" s="39" t="s">
        <v>79</v>
      </c>
      <c r="G42" s="215">
        <v>623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1</v>
      </c>
      <c r="D49" s="12">
        <f>C49*42</f>
        <v>42</v>
      </c>
      <c r="F49" s="240" t="s">
        <v>86</v>
      </c>
      <c r="G49" s="187">
        <f>H34+H35+H36+H37+H38+H39+H40+H41+G42+H44+H45+H46</f>
        <v>125173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18</v>
      </c>
      <c r="D50" s="12">
        <f>C50*1.5</f>
        <v>27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161</v>
      </c>
      <c r="G51" s="254">
        <f>G49-H29</f>
        <v>-2695.25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46039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>
        <v>231</v>
      </c>
      <c r="D6" s="13">
        <f t="shared" ref="D6:D28" si="1">C6*L6</f>
        <v>175791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>
        <v>3</v>
      </c>
      <c r="D7" s="13">
        <f t="shared" si="1"/>
        <v>2343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>
        <v>33</v>
      </c>
      <c r="D9" s="13">
        <f t="shared" si="1"/>
        <v>24189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>
        <v>1</v>
      </c>
      <c r="D12" s="48">
        <f t="shared" si="1"/>
        <v>992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>
        <v>8</v>
      </c>
      <c r="D13" s="48">
        <f t="shared" si="1"/>
        <v>2456</v>
      </c>
      <c r="F13" s="160" t="s">
        <v>36</v>
      </c>
      <c r="G13" s="161"/>
      <c r="H13" s="162">
        <f>D29</f>
        <v>205815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>
        <v>4</v>
      </c>
      <c r="D14" s="31">
        <f t="shared" si="1"/>
        <v>44</v>
      </c>
      <c r="F14" s="165" t="s">
        <v>39</v>
      </c>
      <c r="G14" s="166"/>
      <c r="H14" s="167">
        <f>D54</f>
        <v>83061.75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122753.25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>
        <f>468+648</f>
        <v>1116</v>
      </c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1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205815</v>
      </c>
      <c r="F29" s="183" t="s">
        <v>55</v>
      </c>
      <c r="G29" s="184"/>
      <c r="H29" s="187">
        <f>H15-H16-H17-H18-H19-H20-H22-H23-H24+H26+H27</f>
        <v>121637.25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84</v>
      </c>
      <c r="H34" s="215">
        <f>F34*G34</f>
        <v>84000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>
        <v>43</v>
      </c>
      <c r="H35" s="215">
        <f>F35*G35</f>
        <v>21500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5</v>
      </c>
      <c r="H36" s="215">
        <f t="shared" ref="H36:H39" si="2">F36*G36</f>
        <v>1000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>
        <v>122</v>
      </c>
      <c r="H37" s="215">
        <f t="shared" si="2"/>
        <v>12200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49</v>
      </c>
      <c r="H38" s="215">
        <f t="shared" si="2"/>
        <v>2450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5">
        <f t="shared" si="2"/>
        <v>20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5">
        <v>30</v>
      </c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>
        <v>10</v>
      </c>
      <c r="D44" s="12">
        <f>C44*120</f>
        <v>1200</v>
      </c>
      <c r="F44" s="37"/>
      <c r="G44" s="76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>
        <v>2</v>
      </c>
      <c r="D46" s="12">
        <f>C46*1.5</f>
        <v>3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>
        <v>6</v>
      </c>
      <c r="D49" s="12">
        <f>C49*42</f>
        <v>252</v>
      </c>
      <c r="F49" s="240" t="s">
        <v>86</v>
      </c>
      <c r="G49" s="187">
        <f>H34+H35+H36+H37+H38+H39+H40+H41+G42+H44+H45+H46</f>
        <v>121200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>
        <v>2</v>
      </c>
      <c r="D50" s="12">
        <f>C50*1.5</f>
        <v>3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139</v>
      </c>
      <c r="G51" s="254">
        <f>G49-H29</f>
        <v>-437.25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1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46041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08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1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46041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1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0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46041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1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08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139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B923C-3FD1-46C7-814D-A794C74C3FF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82DE2-3D16-48CE-A1D2-E0978F9D92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46042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2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3B36-1293-494E-B544-2EE0B1F50A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46042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63019-9353-4F98-93BD-BBCCFD92D0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46042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139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199B8-E486-412F-AAE5-218DC8B77AED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D6F3-0619-460B-A1D5-FBEFC324D8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46043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2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42DC5-0EB0-434F-8C74-7D351C7D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46043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6215-47E1-403A-9A63-CCC210FC4F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46043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139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A3A8-1687-4994-A52A-6CBC7951E46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9EB4-42B7-4128-B85B-DDB3437138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46044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2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1858A-297C-4E5E-8E3A-967D0FAE006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46044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B5D2-C704-4E0C-B9B3-00A5609708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46044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139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2855-51B2-47C5-ADBC-B3E52CF8345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4062-E146-4288-8D8B-852BE8AA1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46045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2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8BD85-C2E6-4056-AFA4-AC92F704C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46045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A047-020A-481C-8165-87A0976043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46045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139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D089-3605-4E62-BCA1-1937E60146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9DFAA-E803-4FEA-AC89-5DB0238299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46046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2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C3F4-A70F-4D3D-99D9-AE3ED0880B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46046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7B241-2894-459A-A03A-95F2E7C0C6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46046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139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0163-5914-42F1-B46B-FD040481ECE5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2" t="s">
        <v>7</v>
      </c>
      <c r="B4" s="123"/>
      <c r="C4" s="123"/>
      <c r="D4" s="124"/>
      <c r="F4" s="125" t="s">
        <v>8</v>
      </c>
      <c r="G4" s="127"/>
      <c r="H4" s="129" t="s">
        <v>9</v>
      </c>
      <c r="I4" s="131"/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6"/>
      <c r="B6" s="16"/>
      <c r="C6" s="10"/>
      <c r="D6" s="13">
        <f t="shared" ref="D6:D28" si="1">C6*L6</f>
        <v>0</v>
      </c>
      <c r="F6" s="138" t="s">
        <v>16</v>
      </c>
      <c r="G6" s="140"/>
      <c r="H6" s="141"/>
      <c r="I6" s="141"/>
      <c r="J6" s="14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6"/>
      <c r="B7" s="16"/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6"/>
      <c r="B8" s="16"/>
      <c r="C8" s="10"/>
      <c r="D8" s="13">
        <f t="shared" si="1"/>
        <v>0</v>
      </c>
      <c r="F8" s="146" t="s">
        <v>21</v>
      </c>
      <c r="G8" s="148"/>
      <c r="H8" s="149"/>
      <c r="I8" s="149"/>
      <c r="J8" s="1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6"/>
      <c r="B9" s="16"/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6"/>
      <c r="C10" s="10"/>
      <c r="D10" s="13">
        <f t="shared" si="1"/>
        <v>0</v>
      </c>
      <c r="F10" s="138" t="s">
        <v>26</v>
      </c>
      <c r="G10" s="154"/>
      <c r="H10" s="155"/>
      <c r="I10" s="155"/>
      <c r="J10" s="156"/>
      <c r="K10" s="8"/>
      <c r="L10" s="6">
        <f>R36</f>
        <v>972</v>
      </c>
      <c r="P10" s="4"/>
      <c r="Q10" s="4"/>
      <c r="R10" s="5"/>
    </row>
    <row r="11" spans="1:19" ht="15.75" x14ac:dyDescent="0.25">
      <c r="A11" s="136"/>
      <c r="B11" s="17"/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6"/>
      <c r="B12" s="17"/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6"/>
      <c r="B13" s="17"/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6"/>
      <c r="B14" s="14"/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6"/>
      <c r="B15" s="14"/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/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/>
      <c r="C19" s="10"/>
      <c r="D19" s="48">
        <f t="shared" si="1"/>
        <v>0</v>
      </c>
      <c r="F19" s="56"/>
      <c r="G19" s="68" t="s">
        <v>50</v>
      </c>
      <c r="H19" s="193"/>
      <c r="I19" s="193"/>
      <c r="J19" s="19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/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6"/>
      <c r="B22" s="46"/>
      <c r="C22" s="10"/>
      <c r="D22" s="48">
        <f t="shared" si="1"/>
        <v>0</v>
      </c>
      <c r="F22" s="77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/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/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/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6"/>
      <c r="B27" s="14"/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/>
      <c r="C28" s="10"/>
      <c r="D28" s="48">
        <f t="shared" si="1"/>
        <v>0</v>
      </c>
      <c r="F28" s="117"/>
      <c r="G28" s="61"/>
      <c r="H28" s="209"/>
      <c r="I28" s="210"/>
      <c r="J28" s="21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/>
      <c r="I34" s="216"/>
      <c r="J34" s="21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/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/>
      <c r="I36" s="216"/>
      <c r="J36" s="21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/>
      <c r="I37" s="216"/>
      <c r="J37" s="21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/>
      <c r="I38" s="216"/>
      <c r="J38" s="21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/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P43" s="4"/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P44" s="4"/>
      <c r="Q44" s="4"/>
      <c r="R44" s="5"/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P50" s="4"/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128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89F1-C58C-454B-BFE8-E16D761894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1</v>
      </c>
      <c r="H4" s="129" t="s">
        <v>9</v>
      </c>
      <c r="I4" s="131">
        <v>46048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84"/>
      <c r="D6" s="13">
        <f t="shared" ref="D6:D28" si="1">C6*L6</f>
        <v>0</v>
      </c>
      <c r="F6" s="138" t="s">
        <v>16</v>
      </c>
      <c r="G6" s="140" t="s">
        <v>129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84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84"/>
      <c r="D8" s="13">
        <f t="shared" si="1"/>
        <v>0</v>
      </c>
      <c r="F8" s="146" t="s">
        <v>21</v>
      </c>
      <c r="G8" s="148" t="s">
        <v>112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84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84"/>
      <c r="D10" s="13">
        <f t="shared" si="1"/>
        <v>0</v>
      </c>
      <c r="F10" s="138" t="s">
        <v>26</v>
      </c>
      <c r="G10" s="154" t="s">
        <v>130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84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84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84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84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84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137</v>
      </c>
      <c r="C17" s="84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7"/>
      <c r="I19" s="147"/>
      <c r="J19" s="147"/>
      <c r="L19" s="6">
        <v>1102</v>
      </c>
      <c r="Q19" s="4"/>
      <c r="R19" s="5">
        <f t="shared" si="0"/>
        <v>0</v>
      </c>
    </row>
    <row r="20" spans="1:18" ht="15.75" x14ac:dyDescent="0.25">
      <c r="A20" s="13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127</v>
      </c>
      <c r="C22" s="84"/>
      <c r="D22" s="48">
        <f t="shared" si="1"/>
        <v>0</v>
      </c>
      <c r="F22" s="77"/>
      <c r="G22" s="73"/>
      <c r="H22" s="197"/>
      <c r="I22" s="197"/>
      <c r="J22" s="197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101</v>
      </c>
      <c r="C23" s="84"/>
      <c r="D23" s="48">
        <f t="shared" si="1"/>
        <v>0</v>
      </c>
      <c r="F23" s="77"/>
      <c r="G23" s="79"/>
      <c r="H23" s="250"/>
      <c r="I23" s="251"/>
      <c r="J23" s="25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121</v>
      </c>
      <c r="C24" s="84"/>
      <c r="D24" s="48">
        <f t="shared" si="1"/>
        <v>0</v>
      </c>
      <c r="F24" s="77"/>
      <c r="G24" s="79"/>
      <c r="H24" s="250"/>
      <c r="I24" s="251"/>
      <c r="J24" s="25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136</v>
      </c>
      <c r="C26" s="84"/>
      <c r="D26" s="48">
        <f t="shared" si="1"/>
        <v>0</v>
      </c>
      <c r="F26" s="75"/>
      <c r="G26" s="65"/>
      <c r="H26" s="199"/>
      <c r="I26" s="199"/>
      <c r="J26" s="199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110</v>
      </c>
      <c r="C27" s="84"/>
      <c r="D27" s="44">
        <f t="shared" si="1"/>
        <v>0</v>
      </c>
      <c r="F27" s="71"/>
      <c r="G27" s="120"/>
      <c r="H27" s="252"/>
      <c r="I27" s="253"/>
      <c r="J27" s="25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84"/>
      <c r="D28" s="48">
        <f t="shared" si="1"/>
        <v>0</v>
      </c>
      <c r="F28" s="11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H15-H16-H17-H18-H19-H20-H22-H23-H24+H26+H27+H28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5">
        <f t="shared" ref="H34:H39" si="2"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si="2"/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si="2"/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131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FE158-9855-46D2-80D1-502DCE46756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2</v>
      </c>
      <c r="H4" s="129" t="s">
        <v>9</v>
      </c>
      <c r="I4" s="131">
        <v>46048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140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114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115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93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7"/>
      <c r="I20" s="147"/>
      <c r="J20" s="14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2"/>
      <c r="G22" s="73"/>
      <c r="H22" s="197"/>
      <c r="I22" s="197"/>
      <c r="J22" s="197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25"/>
      <c r="G23" s="37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123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10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14"/>
      <c r="G27" s="14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 t="shared" ref="H35:H39" si="2"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62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62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119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142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62791-BBF1-46BD-AF1D-E6F7D3E6BD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1" t="s">
        <v>1</v>
      </c>
      <c r="O1" s="121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2" t="s">
        <v>7</v>
      </c>
      <c r="B4" s="123"/>
      <c r="C4" s="123"/>
      <c r="D4" s="124"/>
      <c r="F4" s="125" t="s">
        <v>8</v>
      </c>
      <c r="G4" s="127">
        <v>3</v>
      </c>
      <c r="H4" s="129" t="s">
        <v>9</v>
      </c>
      <c r="I4" s="131">
        <v>46048</v>
      </c>
      <c r="J4" s="13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5" t="s">
        <v>7</v>
      </c>
      <c r="B5" s="15" t="s">
        <v>11</v>
      </c>
      <c r="C5" s="9" t="s">
        <v>12</v>
      </c>
      <c r="D5" s="25" t="s">
        <v>13</v>
      </c>
      <c r="F5" s="126"/>
      <c r="G5" s="128"/>
      <c r="H5" s="130"/>
      <c r="I5" s="133"/>
      <c r="J5" s="13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6"/>
      <c r="B6" s="16" t="s">
        <v>15</v>
      </c>
      <c r="C6" s="10"/>
      <c r="D6" s="13">
        <f t="shared" ref="D6:D28" si="1">C6*L6</f>
        <v>0</v>
      </c>
      <c r="F6" s="138" t="s">
        <v>16</v>
      </c>
      <c r="G6" s="140" t="s">
        <v>111</v>
      </c>
      <c r="H6" s="141"/>
      <c r="I6" s="141"/>
      <c r="J6" s="14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6"/>
      <c r="B7" s="16" t="s">
        <v>18</v>
      </c>
      <c r="C7" s="10"/>
      <c r="D7" s="13">
        <f t="shared" si="1"/>
        <v>0</v>
      </c>
      <c r="F7" s="139"/>
      <c r="G7" s="143"/>
      <c r="H7" s="144"/>
      <c r="I7" s="144"/>
      <c r="J7" s="14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6"/>
      <c r="B8" s="16" t="s">
        <v>20</v>
      </c>
      <c r="C8" s="10"/>
      <c r="D8" s="13">
        <f t="shared" si="1"/>
        <v>0</v>
      </c>
      <c r="F8" s="146" t="s">
        <v>21</v>
      </c>
      <c r="G8" s="148" t="s">
        <v>119</v>
      </c>
      <c r="H8" s="149"/>
      <c r="I8" s="149"/>
      <c r="J8" s="1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6"/>
      <c r="B9" s="16" t="s">
        <v>23</v>
      </c>
      <c r="C9" s="10"/>
      <c r="D9" s="13">
        <f t="shared" si="1"/>
        <v>0</v>
      </c>
      <c r="F9" s="139"/>
      <c r="G9" s="151"/>
      <c r="H9" s="152"/>
      <c r="I9" s="152"/>
      <c r="J9" s="1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6"/>
      <c r="B10" t="s">
        <v>25</v>
      </c>
      <c r="C10" s="10"/>
      <c r="D10" s="13">
        <f t="shared" si="1"/>
        <v>0</v>
      </c>
      <c r="F10" s="138" t="s">
        <v>26</v>
      </c>
      <c r="G10" s="154" t="s">
        <v>134</v>
      </c>
      <c r="H10" s="155"/>
      <c r="I10" s="155"/>
      <c r="J10" s="156"/>
      <c r="K10" s="8"/>
      <c r="L10" s="6">
        <f>R36</f>
        <v>1032</v>
      </c>
      <c r="P10" s="4"/>
      <c r="Q10" s="4"/>
      <c r="R10" s="5"/>
    </row>
    <row r="11" spans="1:18" ht="15.75" x14ac:dyDescent="0.25">
      <c r="A11" s="136"/>
      <c r="B11" s="17" t="s">
        <v>28</v>
      </c>
      <c r="C11" s="10"/>
      <c r="D11" s="13">
        <f t="shared" si="1"/>
        <v>0</v>
      </c>
      <c r="F11" s="139"/>
      <c r="G11" s="151"/>
      <c r="H11" s="152"/>
      <c r="I11" s="152"/>
      <c r="J11" s="1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6"/>
      <c r="B12" s="17" t="s">
        <v>30</v>
      </c>
      <c r="C12" s="10"/>
      <c r="D12" s="48">
        <f t="shared" si="1"/>
        <v>0</v>
      </c>
      <c r="F12" s="157" t="s">
        <v>33</v>
      </c>
      <c r="G12" s="158"/>
      <c r="H12" s="158"/>
      <c r="I12" s="158"/>
      <c r="J12" s="1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6"/>
      <c r="B13" s="17" t="s">
        <v>32</v>
      </c>
      <c r="C13" s="10"/>
      <c r="D13" s="48">
        <f t="shared" si="1"/>
        <v>0</v>
      </c>
      <c r="F13" s="160" t="s">
        <v>36</v>
      </c>
      <c r="G13" s="161"/>
      <c r="H13" s="162">
        <f>D29</f>
        <v>0</v>
      </c>
      <c r="I13" s="163"/>
      <c r="J13" s="16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6"/>
      <c r="B14" s="14" t="s">
        <v>35</v>
      </c>
      <c r="C14" s="10"/>
      <c r="D14" s="31">
        <f t="shared" si="1"/>
        <v>0</v>
      </c>
      <c r="F14" s="165" t="s">
        <v>39</v>
      </c>
      <c r="G14" s="166"/>
      <c r="H14" s="167">
        <f>D54</f>
        <v>0</v>
      </c>
      <c r="I14" s="168"/>
      <c r="J14" s="16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6"/>
      <c r="B15" s="14" t="s">
        <v>38</v>
      </c>
      <c r="C15" s="10"/>
      <c r="D15" s="31">
        <f t="shared" si="1"/>
        <v>0</v>
      </c>
      <c r="F15" s="170" t="s">
        <v>40</v>
      </c>
      <c r="G15" s="161"/>
      <c r="H15" s="171">
        <f>H13-H14</f>
        <v>0</v>
      </c>
      <c r="I15" s="172"/>
      <c r="J15" s="17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4"/>
      <c r="I16" s="174"/>
      <c r="J16" s="17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6"/>
      <c r="B17" t="s">
        <v>113</v>
      </c>
      <c r="C17" s="10"/>
      <c r="D17" s="48">
        <f t="shared" si="1"/>
        <v>0</v>
      </c>
      <c r="F17" s="56"/>
      <c r="G17" s="66" t="s">
        <v>45</v>
      </c>
      <c r="H17" s="147"/>
      <c r="I17" s="147"/>
      <c r="J17" s="14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7"/>
      <c r="I18" s="147"/>
      <c r="J18" s="14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1"/>
      <c r="I19" s="261"/>
      <c r="J19" s="26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4"/>
      <c r="I20" s="174"/>
      <c r="J20" s="17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4" t="s">
        <v>13</v>
      </c>
      <c r="I21" s="195"/>
      <c r="J21" s="196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6"/>
      <c r="B22" s="46" t="s">
        <v>104</v>
      </c>
      <c r="C22" s="10"/>
      <c r="D22" s="48">
        <f t="shared" si="1"/>
        <v>0</v>
      </c>
      <c r="F22" s="77"/>
      <c r="G22" s="73"/>
      <c r="H22" s="197"/>
      <c r="I22" s="197"/>
      <c r="J22" s="197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6"/>
      <c r="B23" s="14" t="s">
        <v>107</v>
      </c>
      <c r="C23" s="10"/>
      <c r="D23" s="48">
        <f t="shared" si="1"/>
        <v>0</v>
      </c>
      <c r="F23" s="78"/>
      <c r="G23" s="79"/>
      <c r="H23" s="198"/>
      <c r="I23" s="199"/>
      <c r="J23" s="19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6"/>
      <c r="B24" s="14" t="s">
        <v>101</v>
      </c>
      <c r="C24" s="10"/>
      <c r="D24" s="48">
        <f t="shared" si="1"/>
        <v>0</v>
      </c>
      <c r="F24" s="38"/>
      <c r="G24" s="37"/>
      <c r="H24" s="198"/>
      <c r="I24" s="199"/>
      <c r="J24" s="19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0" t="s">
        <v>13</v>
      </c>
      <c r="I25" s="201"/>
      <c r="J25" s="20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6"/>
      <c r="B26" s="14" t="s">
        <v>105</v>
      </c>
      <c r="C26" s="10"/>
      <c r="D26" s="48">
        <f t="shared" si="1"/>
        <v>0</v>
      </c>
      <c r="F26" s="64"/>
      <c r="G26" s="59"/>
      <c r="H26" s="203"/>
      <c r="I26" s="204"/>
      <c r="J26" s="20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6"/>
      <c r="B27" s="14" t="s">
        <v>109</v>
      </c>
      <c r="C27" s="10"/>
      <c r="D27" s="44">
        <f t="shared" si="1"/>
        <v>0</v>
      </c>
      <c r="F27" s="25"/>
      <c r="G27" s="80"/>
      <c r="H27" s="206"/>
      <c r="I27" s="207"/>
      <c r="J27" s="20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7"/>
      <c r="B28" s="46" t="s">
        <v>97</v>
      </c>
      <c r="C28" s="10"/>
      <c r="D28" s="48">
        <f t="shared" si="1"/>
        <v>0</v>
      </c>
      <c r="F28" s="117"/>
      <c r="G28" s="61"/>
      <c r="H28" s="209"/>
      <c r="I28" s="210"/>
      <c r="J28" s="21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83" t="s">
        <v>55</v>
      </c>
      <c r="G29" s="184"/>
      <c r="H29" s="187">
        <f>H15-H16-H17-H18-H19-H20-H22-H23-H24+H26+H27</f>
        <v>0</v>
      </c>
      <c r="I29" s="188"/>
      <c r="J29" s="18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85"/>
      <c r="G30" s="186"/>
      <c r="H30" s="190"/>
      <c r="I30" s="191"/>
      <c r="J30" s="19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2" t="s">
        <v>58</v>
      </c>
      <c r="B32" s="123"/>
      <c r="C32" s="123"/>
      <c r="D32" s="124"/>
      <c r="F32" s="212" t="s">
        <v>59</v>
      </c>
      <c r="G32" s="213"/>
      <c r="H32" s="213"/>
      <c r="I32" s="213"/>
      <c r="J32" s="21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2" t="s">
        <v>13</v>
      </c>
      <c r="I33" s="213"/>
      <c r="J33" s="21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5">
        <f>F34*G34</f>
        <v>0</v>
      </c>
      <c r="I34" s="216"/>
      <c r="J34" s="21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6"/>
      <c r="B35" s="27" t="s">
        <v>68</v>
      </c>
      <c r="C35" s="52"/>
      <c r="D35" s="30">
        <f>C35*84</f>
        <v>0</v>
      </c>
      <c r="F35" s="58">
        <v>500</v>
      </c>
      <c r="G35" s="41"/>
      <c r="H35" s="215">
        <f>F35*G35</f>
        <v>0</v>
      </c>
      <c r="I35" s="216"/>
      <c r="J35" s="21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7"/>
      <c r="B36" s="26" t="s">
        <v>70</v>
      </c>
      <c r="C36" s="10"/>
      <c r="D36" s="12">
        <f>C36*1.5</f>
        <v>0</v>
      </c>
      <c r="F36" s="12">
        <v>200</v>
      </c>
      <c r="G36" s="37"/>
      <c r="H36" s="215">
        <f t="shared" ref="H36:H39" si="2">F36*G36</f>
        <v>0</v>
      </c>
      <c r="I36" s="216"/>
      <c r="J36" s="21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5">
        <f t="shared" si="2"/>
        <v>0</v>
      </c>
      <c r="I37" s="216"/>
      <c r="J37" s="21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6"/>
      <c r="B38" s="29" t="s">
        <v>68</v>
      </c>
      <c r="C38" s="54"/>
      <c r="D38" s="12">
        <f>C38*84</f>
        <v>0</v>
      </c>
      <c r="F38" s="30">
        <v>50</v>
      </c>
      <c r="G38" s="39"/>
      <c r="H38" s="215">
        <f t="shared" si="2"/>
        <v>0</v>
      </c>
      <c r="I38" s="216"/>
      <c r="J38" s="21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7"/>
      <c r="B39" s="29" t="s">
        <v>70</v>
      </c>
      <c r="C39" s="52"/>
      <c r="D39" s="31">
        <f>C39*4.5</f>
        <v>0</v>
      </c>
      <c r="F39" s="12">
        <v>20</v>
      </c>
      <c r="G39" s="37"/>
      <c r="H39" s="215">
        <f t="shared" si="2"/>
        <v>0</v>
      </c>
      <c r="I39" s="216"/>
      <c r="J39" s="21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5"/>
      <c r="I40" s="216"/>
      <c r="J40" s="21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6"/>
      <c r="B41" s="27" t="s">
        <v>68</v>
      </c>
      <c r="C41" s="10"/>
      <c r="D41" s="12">
        <f>C41*84</f>
        <v>0</v>
      </c>
      <c r="F41" s="12">
        <v>5</v>
      </c>
      <c r="G41" s="42"/>
      <c r="H41" s="215"/>
      <c r="I41" s="216"/>
      <c r="J41" s="21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7"/>
      <c r="B42" s="27" t="s">
        <v>70</v>
      </c>
      <c r="C42" s="11"/>
      <c r="D42" s="12">
        <f>C42*2.25</f>
        <v>0</v>
      </c>
      <c r="F42" s="39" t="s">
        <v>79</v>
      </c>
      <c r="G42" s="215"/>
      <c r="H42" s="216"/>
      <c r="I42" s="216"/>
      <c r="J42" s="21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8" t="s">
        <v>81</v>
      </c>
      <c r="C43" s="11"/>
      <c r="D43" s="12"/>
      <c r="F43" s="59" t="s">
        <v>82</v>
      </c>
      <c r="G43" s="120" t="s">
        <v>83</v>
      </c>
      <c r="H43" s="221" t="s">
        <v>13</v>
      </c>
      <c r="I43" s="222"/>
      <c r="J43" s="22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9"/>
      <c r="B44" s="27" t="s">
        <v>66</v>
      </c>
      <c r="C44" s="10"/>
      <c r="D44" s="12">
        <f>C44*120</f>
        <v>0</v>
      </c>
      <c r="F44" s="37"/>
      <c r="G44" s="76"/>
      <c r="H44" s="199"/>
      <c r="I44" s="199"/>
      <c r="J44" s="199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9"/>
      <c r="B45" s="27" t="s">
        <v>68</v>
      </c>
      <c r="C45" s="33"/>
      <c r="D45" s="12">
        <f>C45*84</f>
        <v>0</v>
      </c>
      <c r="F45" s="37"/>
      <c r="G45" s="76"/>
      <c r="H45" s="199"/>
      <c r="I45" s="199"/>
      <c r="J45" s="199"/>
      <c r="K45" s="21"/>
      <c r="P45" s="4"/>
      <c r="Q45" s="4"/>
      <c r="R45" s="5"/>
    </row>
    <row r="46" spans="1:18" ht="15.75" x14ac:dyDescent="0.25">
      <c r="A46" s="219"/>
      <c r="B46" s="49" t="s">
        <v>70</v>
      </c>
      <c r="C46" s="81"/>
      <c r="D46" s="12">
        <f>C46*1.5</f>
        <v>0</v>
      </c>
      <c r="F46" s="37"/>
      <c r="G46" s="62"/>
      <c r="H46" s="224"/>
      <c r="I46" s="224"/>
      <c r="J46" s="224"/>
      <c r="K46" s="21"/>
      <c r="P46" s="4"/>
      <c r="Q46" s="4"/>
      <c r="R46" s="5"/>
    </row>
    <row r="47" spans="1:18" ht="15.75" x14ac:dyDescent="0.25">
      <c r="A47" s="220"/>
      <c r="B47" s="27"/>
      <c r="C47" s="11"/>
      <c r="D47" s="12"/>
      <c r="F47" s="59"/>
      <c r="G47" s="59"/>
      <c r="H47" s="225"/>
      <c r="I47" s="226"/>
      <c r="J47" s="227"/>
      <c r="K47" s="21"/>
      <c r="P47" s="4"/>
      <c r="Q47" s="4"/>
      <c r="R47" s="5"/>
    </row>
    <row r="48" spans="1:18" ht="15" customHeight="1" x14ac:dyDescent="0.25">
      <c r="A48" s="218" t="s">
        <v>32</v>
      </c>
      <c r="B48" s="27" t="s">
        <v>66</v>
      </c>
      <c r="C48" s="10"/>
      <c r="D48" s="12">
        <f>C48*78</f>
        <v>0</v>
      </c>
      <c r="F48" s="59"/>
      <c r="G48" s="59"/>
      <c r="H48" s="225"/>
      <c r="I48" s="226"/>
      <c r="J48" s="227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9"/>
      <c r="B49" s="29" t="s">
        <v>68</v>
      </c>
      <c r="C49" s="33"/>
      <c r="D49" s="12">
        <f>C49*42</f>
        <v>0</v>
      </c>
      <c r="F49" s="240" t="s">
        <v>86</v>
      </c>
      <c r="G49" s="187">
        <f>H34+H35+H36+H37+H38+H39+H40+H41+G42+H44+H45+H46</f>
        <v>0</v>
      </c>
      <c r="H49" s="188"/>
      <c r="I49" s="188"/>
      <c r="J49" s="18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9"/>
      <c r="B50" s="32" t="s">
        <v>70</v>
      </c>
      <c r="C50" s="11"/>
      <c r="D50" s="12">
        <f>C50*1.5</f>
        <v>0</v>
      </c>
      <c r="F50" s="241"/>
      <c r="G50" s="190"/>
      <c r="H50" s="191"/>
      <c r="I50" s="191"/>
      <c r="J50" s="192"/>
      <c r="O50" t="s">
        <v>144</v>
      </c>
      <c r="P50" s="4">
        <v>1204</v>
      </c>
      <c r="Q50" s="4"/>
      <c r="R50" s="5"/>
    </row>
    <row r="51" spans="1:18" ht="15" customHeight="1" x14ac:dyDescent="0.25">
      <c r="A51" s="219"/>
      <c r="B51" s="27"/>
      <c r="C51" s="10"/>
      <c r="D51" s="31"/>
      <c r="F51" s="242" t="s">
        <v>139</v>
      </c>
      <c r="G51" s="254">
        <f>G49-H29</f>
        <v>0</v>
      </c>
      <c r="H51" s="255"/>
      <c r="I51" s="255"/>
      <c r="J51" s="25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9"/>
      <c r="B52" s="29"/>
      <c r="C52" s="33"/>
      <c r="D52" s="45"/>
      <c r="F52" s="243"/>
      <c r="G52" s="257"/>
      <c r="H52" s="258"/>
      <c r="I52" s="258"/>
      <c r="J52" s="25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3" t="s">
        <v>90</v>
      </c>
      <c r="B54" s="228"/>
      <c r="C54" s="229"/>
      <c r="D54" s="232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5"/>
      <c r="B55" s="230"/>
      <c r="C55" s="231"/>
      <c r="D55" s="23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4" t="s">
        <v>91</v>
      </c>
      <c r="B58" s="235"/>
      <c r="C58" s="235"/>
      <c r="D58" s="236"/>
      <c r="F58" s="234" t="s">
        <v>92</v>
      </c>
      <c r="G58" s="235"/>
      <c r="H58" s="235"/>
      <c r="I58" s="235"/>
      <c r="J58" s="236"/>
    </row>
    <row r="59" spans="1:18" x14ac:dyDescent="0.25">
      <c r="A59" s="237"/>
      <c r="B59" s="238"/>
      <c r="C59" s="238"/>
      <c r="D59" s="239"/>
      <c r="F59" s="237"/>
      <c r="G59" s="238"/>
      <c r="H59" s="238"/>
      <c r="I59" s="238"/>
      <c r="J59" s="23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90</vt:i4>
      </vt:variant>
      <vt:variant>
        <vt:lpstr>Named Ranges</vt:lpstr>
      </vt:variant>
      <vt:variant>
        <vt:i4>89</vt:i4>
      </vt:variant>
    </vt:vector>
  </HeadingPairs>
  <TitlesOfParts>
    <vt:vector size="179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(20)</vt:lpstr>
      <vt:lpstr>01,20 R1</vt:lpstr>
      <vt:lpstr>01,20 R2</vt:lpstr>
      <vt:lpstr>01,20 R3</vt:lpstr>
      <vt:lpstr>(21)</vt:lpstr>
      <vt:lpstr>01,21 R1</vt:lpstr>
      <vt:lpstr>01,21 R2</vt:lpstr>
      <vt:lpstr>01,21 R3</vt:lpstr>
      <vt:lpstr>(22)</vt:lpstr>
      <vt:lpstr>01,22 R1</vt:lpstr>
      <vt:lpstr>01,22 R2</vt:lpstr>
      <vt:lpstr>01,22 R3</vt:lpstr>
      <vt:lpstr>(23)</vt:lpstr>
      <vt:lpstr>01,23 R1</vt:lpstr>
      <vt:lpstr>01,23 R2</vt:lpstr>
      <vt:lpstr>01,23 R3</vt:lpstr>
      <vt:lpstr>(24)</vt:lpstr>
      <vt:lpstr>01,24 R1</vt:lpstr>
      <vt:lpstr>01,24 R2</vt:lpstr>
      <vt:lpstr>01,24 R3</vt:lpstr>
      <vt:lpstr>(26)</vt:lpstr>
      <vt:lpstr>01,26 R1</vt:lpstr>
      <vt:lpstr>01,26 R2</vt:lpstr>
      <vt:lpstr>01,26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  <vt:lpstr>'01,20 R1'!Print_Area</vt:lpstr>
      <vt:lpstr>'01,20 R2'!Print_Area</vt:lpstr>
      <vt:lpstr>'01,20 R3'!Print_Area</vt:lpstr>
      <vt:lpstr>'01,21 R1'!Print_Area</vt:lpstr>
      <vt:lpstr>'01,21 R2'!Print_Area</vt:lpstr>
      <vt:lpstr>'01,21 R3'!Print_Area</vt:lpstr>
      <vt:lpstr>'01,22 R1'!Print_Area</vt:lpstr>
      <vt:lpstr>'01,22 R2'!Print_Area</vt:lpstr>
      <vt:lpstr>'01,22 R3'!Print_Area</vt:lpstr>
      <vt:lpstr>'01,23 R1'!Print_Area</vt:lpstr>
      <vt:lpstr>'01,23 R2'!Print_Area</vt:lpstr>
      <vt:lpstr>'01,23 R3'!Print_Area</vt:lpstr>
      <vt:lpstr>'01,24 R1'!Print_Area</vt:lpstr>
      <vt:lpstr>'01,24 R2'!Print_Area</vt:lpstr>
      <vt:lpstr>'01,24 R3'!Print_Area</vt:lpstr>
      <vt:lpstr>'01,26 R1'!Print_Area</vt:lpstr>
      <vt:lpstr>'01,26 R2'!Print_Area</vt:lpstr>
      <vt:lpstr>'01,26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2026-01-19T05:24:58Z</cp:lastPrinted>
  <dcterms:created xsi:type="dcterms:W3CDTF">2024-09-01T23:36:50Z</dcterms:created>
  <dcterms:modified xsi:type="dcterms:W3CDTF">2026-01-19T05:25:37Z</dcterms:modified>
</cp:coreProperties>
</file>