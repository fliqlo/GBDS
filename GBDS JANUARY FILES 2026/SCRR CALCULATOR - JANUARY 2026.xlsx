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470CA9C5-815C-4892-879F-880FE9ADB8FD}" xr6:coauthVersionLast="45" xr6:coauthVersionMax="47" xr10:uidLastSave="{00000000-0000-0000-0000-000000000000}"/>
  <bookViews>
    <workbookView xWindow="-120" yWindow="-120" windowWidth="29040" windowHeight="15840" firstSheet="22" activeTab="31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5">'(2)'!$A$1:$J$60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1672" l="1"/>
  <c r="L25" i="167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D54" i="1680" s="1"/>
  <c r="H14" i="1680" s="1"/>
  <c r="R34" i="1680"/>
  <c r="L12" i="1680" s="1"/>
  <c r="D12" i="1680" s="1"/>
  <c r="H34" i="1680"/>
  <c r="G49" i="1680" s="1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D54" i="1679" s="1"/>
  <c r="H14" i="1679" s="1"/>
  <c r="R35" i="1679"/>
  <c r="L19" i="1679" s="1"/>
  <c r="D19" i="1679" s="1"/>
  <c r="H35" i="1679"/>
  <c r="D35" i="1679"/>
  <c r="R34" i="1679"/>
  <c r="H34" i="1679"/>
  <c r="G49" i="1679" s="1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G49" i="1678" s="1"/>
  <c r="D34" i="1678"/>
  <c r="D54" i="1678" s="1"/>
  <c r="H14" i="1678" s="1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G49" i="1676" s="1"/>
  <c r="D34" i="1676"/>
  <c r="D54" i="1676" s="1"/>
  <c r="H14" i="1676" s="1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G49" i="1675" s="1"/>
  <c r="D34" i="1675"/>
  <c r="D54" i="1675" s="1"/>
  <c r="H14" i="1675" s="1"/>
  <c r="R33" i="1675"/>
  <c r="R32" i="1675"/>
  <c r="R31" i="1675"/>
  <c r="R30" i="1675"/>
  <c r="R29" i="1675"/>
  <c r="R28" i="1675"/>
  <c r="L16" i="1675" s="1"/>
  <c r="D16" i="1675" s="1"/>
  <c r="D28" i="1675"/>
  <c r="R27" i="1675"/>
  <c r="D27" i="1675"/>
  <c r="R26" i="1675"/>
  <c r="L26" i="1675"/>
  <c r="D26" i="1675"/>
  <c r="R25" i="1675"/>
  <c r="L25" i="1675"/>
  <c r="D25" i="1675" s="1"/>
  <c r="R24" i="1675"/>
  <c r="L24" i="1675"/>
  <c r="D24" i="1675"/>
  <c r="R23" i="1675"/>
  <c r="L23" i="1675"/>
  <c r="D23" i="1675"/>
  <c r="R22" i="1675"/>
  <c r="L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D44" i="1674"/>
  <c r="R42" i="1674"/>
  <c r="L6" i="1674" s="1"/>
  <c r="D6" i="1674" s="1"/>
  <c r="D29" i="1674" s="1"/>
  <c r="H13" i="1674" s="1"/>
  <c r="H15" i="1674" s="1"/>
  <c r="H29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G49" i="1674" s="1"/>
  <c r="D34" i="1674"/>
  <c r="D54" i="1674" s="1"/>
  <c r="H14" i="1674" s="1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D54" i="1672" l="1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H15" i="1680" s="1"/>
  <c r="H29" i="1680" s="1"/>
  <c r="G51" i="1680" s="1"/>
  <c r="D29" i="1679"/>
  <c r="H13" i="1679" s="1"/>
  <c r="H15" i="1679" s="1"/>
  <c r="H29" i="1679" s="1"/>
  <c r="G51" i="1679"/>
  <c r="D29" i="1678"/>
  <c r="H13" i="1678" s="1"/>
  <c r="H15" i="1678" s="1"/>
  <c r="H29" i="1678" s="1"/>
  <c r="G51" i="1678"/>
  <c r="D29" i="1677"/>
  <c r="H13" i="1677" s="1"/>
  <c r="H15" i="1677" s="1"/>
  <c r="H29" i="1677" s="1"/>
  <c r="G51" i="1677" s="1"/>
  <c r="D29" i="1676"/>
  <c r="H13" i="1676" s="1"/>
  <c r="H15" i="1676" s="1"/>
  <c r="H29" i="1676" s="1"/>
  <c r="G51" i="1676" s="1"/>
  <c r="D29" i="1675"/>
  <c r="H13" i="1675" s="1"/>
  <c r="H15" i="1675" s="1"/>
  <c r="H29" i="1675" s="1"/>
  <c r="G51" i="1675"/>
  <c r="G51" i="1674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72" l="1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<sst xmlns="http://schemas.openxmlformats.org/spreadsheetml/2006/main" count="5548" uniqueCount="186">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</sst>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88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85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45658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/>
      <c r="D6" s="13">
        <f t="shared" ref="D6:D28" si="1">C6*L6</f>
        <v>0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/>
      <c r="D8" s="13">
        <f t="shared" si="1"/>
        <v>0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/>
      <c r="D10" s="13">
        <f t="shared" si="1"/>
        <v>0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85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/>
      <c r="D28" s="48">
        <f t="shared" si="1"/>
        <v>0</v>
      </c>
      <c r="F28" s="88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H15-H16-H17-H18-H19-H20-H22-H23-H24+H26+H27+H28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7">
        <f t="shared" ref="H34:H39" si="2"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si="2"/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si="2"/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85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45658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/>
      <c r="D6" s="13">
        <f t="shared" ref="D6:D28" si="1">C6*L6</f>
        <v>0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88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>
        <f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ref="H35:H39" si="2">F35*G35</f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85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86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142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45658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/>
      <c r="D6" s="13">
        <f t="shared" ref="D6:D28" si="1">C6*L6</f>
        <v>0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/>
      <c r="G22" s="73"/>
      <c r="H22" s="179"/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88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>
        <f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>F35*G35</f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ref="H36:H39" si="2"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85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139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46024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/>
      <c r="D6" s="13">
        <f t="shared" ref="D6:D28" si="1">C6*L6</f>
        <v>0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/>
      <c r="D8" s="13">
        <f t="shared" si="1"/>
        <v>0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/>
      <c r="D10" s="13">
        <f t="shared" si="1"/>
        <v>0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H15-H16-H17-H18-H19-H20-H22-H23-H24+H26+H27+H28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7">
        <f t="shared" ref="H34:H39" si="2"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si="2"/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si="2"/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46024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/>
      <c r="D6" s="13">
        <f t="shared" ref="D6:D28" si="1">C6*L6</f>
        <v>0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>
        <f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ref="H35:H39" si="2">F35*G35</f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142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46024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480</v>
      </c>
      <c r="D6" s="13">
        <f t="shared" ref="D6:D28" si="1">C6*L6</f>
        <v>365280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12</v>
      </c>
      <c r="D7" s="13">
        <f t="shared" si="1"/>
        <v>9372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75</v>
      </c>
      <c r="D9" s="13">
        <f t="shared" si="1"/>
        <v>54975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v>6</v>
      </c>
      <c r="D12" s="48">
        <f t="shared" si="1"/>
        <v>5952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4</v>
      </c>
      <c r="D13" s="48">
        <f t="shared" si="1"/>
        <v>1228</v>
      </c>
      <c r="F13" s="142" t="s">
        <v>36</v>
      </c>
      <c r="G13" s="143"/>
      <c r="H13" s="144">
        <f>D29</f>
        <v>443015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18</v>
      </c>
      <c r="D14" s="31">
        <f t="shared" si="1"/>
        <v>198</v>
      </c>
      <c r="F14" s="147" t="s">
        <v>39</v>
      </c>
      <c r="G14" s="148"/>
      <c r="H14" s="149">
        <f>D54</f>
        <v>77991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365024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1758+600+612</f>
        <v>2970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>
        <v>8</v>
      </c>
      <c r="D22" s="48">
        <f t="shared" si="1"/>
        <v>5360</v>
      </c>
      <c r="F22" s="77"/>
      <c r="G22" s="73"/>
      <c r="H22" s="179"/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443015</v>
      </c>
      <c r="F29" s="165" t="s">
        <v>55</v>
      </c>
      <c r="G29" s="166"/>
      <c r="H29" s="169">
        <f>H15-H16-H17-H18-H19-H20-H22-H23-H24+H26+H27</f>
        <v>362054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197">
        <f>F34*G34</f>
        <v>78000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97">
        <f>F35*G35</f>
        <v>43500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ref="H36:H39" si="2"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197">
        <f t="shared" si="2"/>
        <v>1000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97">
        <f t="shared" si="2"/>
        <v>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197">
        <f t="shared" si="2"/>
        <v>20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14</v>
      </c>
      <c r="D42" s="12">
        <f>C42*2.25</f>
        <v>31.5</v>
      </c>
      <c r="F42" s="39" t="s">
        <v>79</v>
      </c>
      <c r="G42" s="197">
        <v>47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81">
        <v>54216</v>
      </c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81">
        <v>188602</v>
      </c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6</v>
      </c>
      <c r="D46" s="12">
        <f>C46*1.5</f>
        <v>9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2</v>
      </c>
      <c r="D49" s="12">
        <f>C49*42</f>
        <v>84</v>
      </c>
      <c r="F49" s="222" t="s">
        <v>86</v>
      </c>
      <c r="G49" s="169">
        <f>H34+H35+H36+H37+H38+H39+H40+H41+G42+H44+H45+H46</f>
        <v>365435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24</v>
      </c>
      <c r="D50" s="12">
        <f>C50*1.5</f>
        <v>36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149</v>
      </c>
      <c r="G51" s="226">
        <f>G49-H29</f>
        <v>3381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244">
        <v>46025</v>
      </c>
      <c r="J4" s="2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246"/>
      <c r="J5" s="2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>
        <v>728</v>
      </c>
      <c r="D6" s="13">
        <f t="shared" ref="D6:D28" si="1">C6*L6</f>
        <v>554008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>
        <v>60</v>
      </c>
      <c r="D8" s="13">
        <f t="shared" si="1"/>
        <v>65580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>
        <v>9</v>
      </c>
      <c r="D9" s="13">
        <f t="shared" si="1"/>
        <v>6597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>
        <v>5</v>
      </c>
      <c r="D10" s="13">
        <f t="shared" si="1"/>
        <v>5160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>
        <v>16</v>
      </c>
      <c r="D11" s="13">
        <f t="shared" si="1"/>
        <v>18720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>
        <f>23+3</f>
        <v>26</v>
      </c>
      <c r="D12" s="48">
        <f t="shared" si="1"/>
        <v>25792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>
        <v>21</v>
      </c>
      <c r="D13" s="48">
        <f t="shared" si="1"/>
        <v>6447</v>
      </c>
      <c r="F13" s="142" t="s">
        <v>36</v>
      </c>
      <c r="G13" s="143"/>
      <c r="H13" s="144">
        <f>D29</f>
        <v>685162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>
        <v>17</v>
      </c>
      <c r="D14" s="31">
        <f t="shared" si="1"/>
        <v>187</v>
      </c>
      <c r="F14" s="147" t="s">
        <v>39</v>
      </c>
      <c r="G14" s="148"/>
      <c r="H14" s="149">
        <f>D54</f>
        <v>145168.5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>
        <v>1</v>
      </c>
      <c r="D15" s="31">
        <f t="shared" si="1"/>
        <v>620</v>
      </c>
      <c r="F15" s="152" t="s">
        <v>40</v>
      </c>
      <c r="G15" s="143"/>
      <c r="H15" s="153">
        <f>H13-H14</f>
        <v>539993.5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>
        <f>2772</f>
        <v>2772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>
        <v>1</v>
      </c>
      <c r="D28" s="48">
        <f t="shared" si="1"/>
        <v>811</v>
      </c>
      <c r="F28" s="93"/>
      <c r="G28" s="61"/>
      <c r="H28" s="191"/>
      <c r="I28" s="192"/>
      <c r="J28" s="193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685162</v>
      </c>
      <c r="F29" s="165" t="s">
        <v>55</v>
      </c>
      <c r="G29" s="166"/>
      <c r="H29" s="169">
        <f>H15-H16-H17-H18-H19-H20-H22-H23-H24+H26+H27+H28</f>
        <v>537221.5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197">
        <f t="shared" ref="H34:H39" si="2">F34*G34</f>
        <v>229000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97">
        <f t="shared" si="2"/>
        <v>48500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si="2"/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197">
        <f t="shared" si="2"/>
        <v>200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197">
        <f t="shared" si="2"/>
        <v>20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81">
        <v>258954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1</v>
      </c>
      <c r="D49" s="12">
        <f>C49*42</f>
        <v>42</v>
      </c>
      <c r="F49" s="222" t="s">
        <v>86</v>
      </c>
      <c r="G49" s="169">
        <f>H34+H35+H36+H37+H38+H39+H40+H41+G42+H44+H45+H46</f>
        <v>536674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25</v>
      </c>
      <c r="D50" s="12">
        <f>C50*1.5</f>
        <v>37.5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-547.5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244">
        <v>46025</v>
      </c>
      <c r="J4" s="2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246"/>
      <c r="J5" s="2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/>
      <c r="D6" s="13">
        <f t="shared" ref="D6:D28" si="1">C6*L6</f>
        <v>0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>
        <f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ref="H35:H39" si="2">F35*G35</f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142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244">
        <v>46025</v>
      </c>
      <c r="J4" s="2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246"/>
      <c r="J5" s="2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480</v>
      </c>
      <c r="D6" s="13">
        <f t="shared" ref="D6:D28" si="1">C6*L6</f>
        <v>365280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15</v>
      </c>
      <c r="D7" s="13">
        <f t="shared" si="1"/>
        <v>11715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>
        <v>2</v>
      </c>
      <c r="D8" s="13">
        <f t="shared" si="1"/>
        <v>2186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37</v>
      </c>
      <c r="D9" s="13">
        <f t="shared" si="1"/>
        <v>27121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>
        <v>3</v>
      </c>
      <c r="D10" s="13">
        <f t="shared" si="1"/>
        <v>3096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>
        <v>2</v>
      </c>
      <c r="D11" s="13">
        <f t="shared" si="1"/>
        <v>2340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10</v>
      </c>
      <c r="D13" s="48">
        <f t="shared" si="1"/>
        <v>3070</v>
      </c>
      <c r="F13" s="142" t="s">
        <v>36</v>
      </c>
      <c r="G13" s="143"/>
      <c r="H13" s="144">
        <f>D29</f>
        <v>419083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68183.25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>
        <f>1</f>
        <v>1</v>
      </c>
      <c r="D15" s="31">
        <f t="shared" si="1"/>
        <v>620</v>
      </c>
      <c r="F15" s="152" t="s">
        <v>40</v>
      </c>
      <c r="G15" s="143"/>
      <c r="H15" s="153">
        <f>H13-H14</f>
        <v>350899.75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216*6+140*6</f>
        <v>2136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179">
        <v>1440</v>
      </c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95" t="s">
        <v>150</v>
      </c>
      <c r="C23" s="10">
        <v>1</v>
      </c>
      <c r="D23" s="48">
        <f t="shared" si="1"/>
        <v>1175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419083</v>
      </c>
      <c r="F29" s="165" t="s">
        <v>55</v>
      </c>
      <c r="G29" s="166"/>
      <c r="H29" s="169">
        <f>H15-H16-H17-H18-H19-H20-H22-H23-H24+H26+H27</f>
        <v>347323.75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97">
        <f>F34*G34</f>
        <v>133000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97">
        <f>F35*G35</f>
        <v>29000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ref="H36:H39" si="2"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7">
        <v>24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81">
        <v>139104</v>
      </c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81">
        <v>45689</v>
      </c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19</v>
      </c>
      <c r="D46" s="12">
        <f>C46*1.5</f>
        <v>28.5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1</v>
      </c>
      <c r="D49" s="12">
        <f>C49*42</f>
        <v>42</v>
      </c>
      <c r="F49" s="222" t="s">
        <v>86</v>
      </c>
      <c r="G49" s="169">
        <f>H34+H35+H36+H37+H38+H39+H40+H41+G42+H44+H45+H46</f>
        <v>346817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7</v>
      </c>
      <c r="D50" s="12">
        <f>C50*1.5</f>
        <v>10.5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139</v>
      </c>
      <c r="G51" s="236">
        <f>G49-H29</f>
        <v>-506.75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46027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>
        <v>463</v>
      </c>
      <c r="D6" s="13">
        <f t="shared" ref="D6:D28" si="1">C6*L6</f>
        <v>352343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>
        <v>7</v>
      </c>
      <c r="D7" s="13">
        <f t="shared" si="1"/>
        <v>5467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>
        <v>2</v>
      </c>
      <c r="D8" s="13">
        <f t="shared" si="1"/>
        <v>2186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>
        <f>120-5</f>
        <v>115</v>
      </c>
      <c r="D9" s="13">
        <f t="shared" si="1"/>
        <v>84295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>
        <v>2</v>
      </c>
      <c r="D10" s="13">
        <f t="shared" si="1"/>
        <v>2064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>
        <v>2</v>
      </c>
      <c r="D11" s="13">
        <f t="shared" si="1"/>
        <v>2340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>
        <v>2</v>
      </c>
      <c r="D12" s="48">
        <f t="shared" si="1"/>
        <v>1984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>
        <v>24</v>
      </c>
      <c r="D13" s="48">
        <f t="shared" si="1"/>
        <v>7368</v>
      </c>
      <c r="F13" s="142" t="s">
        <v>36</v>
      </c>
      <c r="G13" s="143"/>
      <c r="H13" s="144">
        <f>D29</f>
        <v>463474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>
        <v>12</v>
      </c>
      <c r="D14" s="31">
        <f t="shared" si="1"/>
        <v>132</v>
      </c>
      <c r="F14" s="147" t="s">
        <v>39</v>
      </c>
      <c r="G14" s="148"/>
      <c r="H14" s="149">
        <f>D54</f>
        <v>115968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347506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>
        <f>2592</f>
        <v>2592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179">
        <v>92560</v>
      </c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81">
        <v>84449</v>
      </c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>
        <v>5</v>
      </c>
      <c r="D28" s="48">
        <f t="shared" si="1"/>
        <v>4055</v>
      </c>
      <c r="F28" s="93"/>
      <c r="G28" s="61"/>
      <c r="H28" s="191"/>
      <c r="I28" s="192"/>
      <c r="J28" s="19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463474</v>
      </c>
      <c r="F29" s="165" t="s">
        <v>55</v>
      </c>
      <c r="G29" s="166"/>
      <c r="H29" s="169">
        <f>H15-H16-H17-H18-H19-H20-H22-H23-H24+H26+H27+H28</f>
        <v>336803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197">
        <f t="shared" ref="H34:H39" si="2">F34*G34</f>
        <v>19000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97">
        <f t="shared" si="2"/>
        <v>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197">
        <f t="shared" si="2"/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197">
        <f t="shared" si="2"/>
        <v>300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97">
        <f t="shared" si="2"/>
        <v>100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>
        <v>8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81">
        <v>188388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81">
        <v>84449</v>
      </c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21</v>
      </c>
      <c r="D46" s="12">
        <f>C46*1.5</f>
        <v>31.5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1</v>
      </c>
      <c r="D49" s="12">
        <f>C49*42</f>
        <v>42</v>
      </c>
      <c r="F49" s="222" t="s">
        <v>86</v>
      </c>
      <c r="G49" s="169">
        <f>H34+H35+H36+H37+H38+H39+H40+H41+G42+H44+H45+H46</f>
        <v>292745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22</v>
      </c>
      <c r="D50" s="12">
        <f>C50*1.5</f>
        <v>33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-44058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46027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501</v>
      </c>
      <c r="D6" s="13">
        <f t="shared" ref="D6:D28" si="1">C6*L6</f>
        <v>381261</v>
      </c>
      <c r="F6" s="120" t="s">
        <v>16</v>
      </c>
      <c r="G6" s="122" t="s">
        <v>155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8</v>
      </c>
      <c r="D9" s="13">
        <f t="shared" si="1"/>
        <v>5864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18</v>
      </c>
      <c r="D13" s="48">
        <f t="shared" si="1"/>
        <v>5526</v>
      </c>
      <c r="F13" s="142" t="s">
        <v>36</v>
      </c>
      <c r="G13" s="143"/>
      <c r="H13" s="144">
        <f>D29</f>
        <v>392761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10</v>
      </c>
      <c r="D14" s="31">
        <f t="shared" si="1"/>
        <v>110</v>
      </c>
      <c r="F14" s="147" t="s">
        <v>39</v>
      </c>
      <c r="G14" s="148"/>
      <c r="H14" s="149">
        <f>D54</f>
        <v>57342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335419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1296+1284</f>
        <v>2580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392761</v>
      </c>
      <c r="F29" s="165" t="s">
        <v>55</v>
      </c>
      <c r="G29" s="166"/>
      <c r="H29" s="169">
        <f>H15-H16-H17-H18-H19-H20-H22-H23-H24+H26+H27</f>
        <v>332839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197">
        <f>F34*G34</f>
        <v>186000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97">
        <f t="shared" ref="H35:H39" si="2">F35*G35</f>
        <v>6500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197">
        <f t="shared" si="2"/>
        <v>300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97">
        <f t="shared" si="2"/>
        <v>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>
        <v>32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81">
        <v>139756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6</v>
      </c>
      <c r="D49" s="12">
        <f>C49*42</f>
        <v>252</v>
      </c>
      <c r="F49" s="222" t="s">
        <v>86</v>
      </c>
      <c r="G49" s="169">
        <f>H34+H35+H36+H37+H38+H39+H40+H41+G42+H44+H45+H46</f>
        <v>332638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30</v>
      </c>
      <c r="D50" s="12">
        <f>C50*1.5</f>
        <v>45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161</v>
      </c>
      <c r="G51" s="236">
        <f>G49-H29</f>
        <v>-201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46027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735</v>
      </c>
      <c r="D6" s="13">
        <f t="shared" ref="D6:D28" si="1">C6*L6</f>
        <v>559335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4</v>
      </c>
      <c r="D7" s="13">
        <f t="shared" si="1"/>
        <v>3124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>
        <v>1</v>
      </c>
      <c r="D8" s="13">
        <f t="shared" si="1"/>
        <v>1093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114</v>
      </c>
      <c r="D9" s="13">
        <f t="shared" si="1"/>
        <v>83562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>
        <v>3</v>
      </c>
      <c r="D10" s="13">
        <f t="shared" si="1"/>
        <v>3096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>
        <v>2</v>
      </c>
      <c r="D11" s="13">
        <f t="shared" si="1"/>
        <v>2340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f>5+1</f>
        <v>6</v>
      </c>
      <c r="D12" s="48">
        <f t="shared" si="1"/>
        <v>5952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22</v>
      </c>
      <c r="D13" s="48">
        <f t="shared" si="1"/>
        <v>6754</v>
      </c>
      <c r="F13" s="142" t="s">
        <v>36</v>
      </c>
      <c r="G13" s="143"/>
      <c r="H13" s="144">
        <f>D29</f>
        <v>667630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12</v>
      </c>
      <c r="D14" s="31">
        <f t="shared" si="1"/>
        <v>132</v>
      </c>
      <c r="F14" s="147" t="s">
        <v>39</v>
      </c>
      <c r="G14" s="148"/>
      <c r="H14" s="149">
        <f>D54</f>
        <v>100451.25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567178.75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600+1050+456</f>
        <v>2106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>
        <v>50</v>
      </c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/>
      <c r="G22" s="73"/>
      <c r="H22" s="179"/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>
        <v>2</v>
      </c>
      <c r="D28" s="48">
        <f t="shared" si="1"/>
        <v>1622</v>
      </c>
      <c r="F28" s="93"/>
      <c r="G28" s="61"/>
      <c r="H28" s="191"/>
      <c r="I28" s="192"/>
      <c r="J28" s="19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667630</v>
      </c>
      <c r="F29" s="165" t="s">
        <v>55</v>
      </c>
      <c r="G29" s="166"/>
      <c r="H29" s="169">
        <f>H15-H16-H17-H18-H19-H20-H22-H23-H24+H26+H27</f>
        <v>565022.75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197">
        <f>F34*G34</f>
        <v>242000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197">
        <f>F35*G35</f>
        <v>67500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97">
        <f t="shared" ref="H36:H39" si="2"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197">
        <f t="shared" si="2"/>
        <v>1000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97">
        <f t="shared" si="2"/>
        <v>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7">
        <v>58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81">
        <v>112763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81">
        <v>142785</v>
      </c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4</v>
      </c>
      <c r="D46" s="12">
        <f>C46*1.5</f>
        <v>6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12</v>
      </c>
      <c r="D49" s="12">
        <f>C49*42</f>
        <v>504</v>
      </c>
      <c r="F49" s="222" t="s">
        <v>86</v>
      </c>
      <c r="G49" s="169">
        <f>H34+H35+H36+H37+H38+H39+H40+H41+G42+H44+H45+H46</f>
        <v>566156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15</v>
      </c>
      <c r="D50" s="12">
        <f>C50*1.5</f>
        <v>22.5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149</v>
      </c>
      <c r="G51" s="226">
        <f>G49-H29</f>
        <v>1133.25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46028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>
        <v>633</v>
      </c>
      <c r="D6" s="13">
        <f t="shared" ref="D6:D28" si="1">C6*L6</f>
        <v>481713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>
        <v>2</v>
      </c>
      <c r="D7" s="13">
        <f t="shared" si="1"/>
        <v>1562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>
        <v>1</v>
      </c>
      <c r="D8" s="13">
        <f t="shared" si="1"/>
        <v>1093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>
        <v>27</v>
      </c>
      <c r="D9" s="13">
        <f t="shared" si="1"/>
        <v>19791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>
        <v>1</v>
      </c>
      <c r="D10" s="13">
        <f t="shared" si="1"/>
        <v>1032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>
        <v>1</v>
      </c>
      <c r="D12" s="48">
        <f t="shared" si="1"/>
        <v>992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>
        <v>9</v>
      </c>
      <c r="D13" s="48">
        <f t="shared" si="1"/>
        <v>2763</v>
      </c>
      <c r="F13" s="142" t="s">
        <v>36</v>
      </c>
      <c r="G13" s="143"/>
      <c r="H13" s="144">
        <f>D29</f>
        <v>509943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/>
      <c r="D14" s="31">
        <f t="shared" si="1"/>
        <v>0</v>
      </c>
      <c r="F14" s="147" t="s">
        <v>39</v>
      </c>
      <c r="G14" s="148"/>
      <c r="H14" s="149">
        <f>D54</f>
        <v>74673.75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435269.25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169</v>
      </c>
      <c r="C23" s="84">
        <v>12</v>
      </c>
      <c r="D23" s="48">
        <f t="shared" si="1"/>
        <v>454</v>
      </c>
      <c r="F23" s="77"/>
      <c r="G23" s="79"/>
      <c r="H23" s="232"/>
      <c r="I23" s="233"/>
      <c r="J23" s="233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509943</v>
      </c>
      <c r="F29" s="165" t="s">
        <v>55</v>
      </c>
      <c r="G29" s="166"/>
      <c r="H29" s="169">
        <f>H15-H16-H17-H18-H19-H20-H22-H23-H24+H26+H27+H28</f>
        <v>435269.25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197">
        <f t="shared" ref="H34:H39" si="2">F34*G34</f>
        <v>225000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197">
        <f t="shared" si="2"/>
        <v>150000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7">
        <f t="shared" si="2"/>
        <v>200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197">
        <f t="shared" si="2"/>
        <v>3600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197">
        <f t="shared" si="2"/>
        <v>500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97">
        <f t="shared" si="2"/>
        <v>20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7">
        <v>72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81">
        <v>56000</v>
      </c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>
        <v>1</v>
      </c>
      <c r="D45" s="12">
        <f>C45*84</f>
        <v>84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3</v>
      </c>
      <c r="D46" s="12">
        <f>C46*1.5</f>
        <v>4.5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435392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22</v>
      </c>
      <c r="D50" s="12">
        <f>C50*1.5</f>
        <v>33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149</v>
      </c>
      <c r="G51" s="226">
        <f>G49-H29</f>
        <v>122.75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46028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581</v>
      </c>
      <c r="D6" s="13">
        <f t="shared" ref="D6:D28" si="1">C6*L6</f>
        <v>442141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3</v>
      </c>
      <c r="D7" s="13">
        <f t="shared" si="1"/>
        <v>2343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41</v>
      </c>
      <c r="D9" s="13">
        <f t="shared" si="1"/>
        <v>30053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v>2</v>
      </c>
      <c r="D12" s="48">
        <f t="shared" si="1"/>
        <v>1984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17</v>
      </c>
      <c r="D13" s="48">
        <f t="shared" si="1"/>
        <v>5219</v>
      </c>
      <c r="F13" s="142" t="s">
        <v>36</v>
      </c>
      <c r="G13" s="143"/>
      <c r="H13" s="144">
        <f>D29</f>
        <v>486638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1</v>
      </c>
      <c r="D14" s="31">
        <f t="shared" si="1"/>
        <v>11</v>
      </c>
      <c r="F14" s="147" t="s">
        <v>39</v>
      </c>
      <c r="G14" s="148"/>
      <c r="H14" s="149">
        <f>D54</f>
        <v>85668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>
        <v>1</v>
      </c>
      <c r="D15" s="31">
        <f t="shared" si="1"/>
        <v>620</v>
      </c>
      <c r="F15" s="152" t="s">
        <v>40</v>
      </c>
      <c r="G15" s="143"/>
      <c r="H15" s="153">
        <f>H13-H14</f>
        <v>400970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324*6+201*6</f>
        <v>3150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179">
        <v>131647</v>
      </c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>
        <v>1</v>
      </c>
      <c r="D24" s="48">
        <f t="shared" si="1"/>
        <v>1667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486638</v>
      </c>
      <c r="F29" s="165" t="s">
        <v>55</v>
      </c>
      <c r="G29" s="166"/>
      <c r="H29" s="169">
        <f>H15-H16-H17-H18-H19-H20-H22-H23-H24+H26+H27</f>
        <v>266173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197">
        <f>F34*G34</f>
        <v>39000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97">
        <f t="shared" ref="H35:H37" si="2">F35*G35</f>
        <v>22500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7">
        <f>F36*G36</f>
        <v>200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197">
        <f t="shared" si="2"/>
        <v>4000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97">
        <f t="shared" ref="H38:H39" si="3">F38*G38</f>
        <v>300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97">
        <f t="shared" si="3"/>
        <v>20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2</v>
      </c>
      <c r="D42" s="12">
        <f>C42*2.25</f>
        <v>4.5</v>
      </c>
      <c r="F42" s="39" t="s">
        <v>79</v>
      </c>
      <c r="G42" s="197">
        <v>18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81">
        <v>198198</v>
      </c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24</v>
      </c>
      <c r="D46" s="12">
        <f>C46*1.5</f>
        <v>36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2</v>
      </c>
      <c r="D49" s="12">
        <f>C49*42</f>
        <v>84</v>
      </c>
      <c r="F49" s="222" t="s">
        <v>86</v>
      </c>
      <c r="G49" s="169">
        <f>H34+H35+H36+H37+H38+H39+H40+H41+G42+H44+H45+H46</f>
        <v>264236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21</v>
      </c>
      <c r="D50" s="12">
        <f>C50*1.5</f>
        <v>31.5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161</v>
      </c>
      <c r="G51" s="236">
        <f>G49-H29</f>
        <v>-1937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46028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f>614-273</f>
        <v>341</v>
      </c>
      <c r="D6" s="13">
        <f t="shared" ref="D6:D28" si="1">C6*L6</f>
        <v>259501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1</v>
      </c>
      <c r="D7" s="13">
        <f t="shared" si="1"/>
        <v>781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13</v>
      </c>
      <c r="D9" s="13">
        <f t="shared" si="1"/>
        <v>9529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v>3</v>
      </c>
      <c r="D12" s="48">
        <f t="shared" si="1"/>
        <v>2976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2</v>
      </c>
      <c r="D13" s="48">
        <f t="shared" si="1"/>
        <v>614</v>
      </c>
      <c r="F13" s="142" t="s">
        <v>36</v>
      </c>
      <c r="G13" s="143"/>
      <c r="H13" s="144">
        <f>D29</f>
        <v>275314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8</v>
      </c>
      <c r="D14" s="31">
        <f t="shared" si="1"/>
        <v>88</v>
      </c>
      <c r="F14" s="147" t="s">
        <v>39</v>
      </c>
      <c r="G14" s="148"/>
      <c r="H14" s="149">
        <f>D54</f>
        <v>52389.75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222924.25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268*6+51*6</f>
        <v>1914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179">
        <v>173644</v>
      </c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>
        <v>1</v>
      </c>
      <c r="D23" s="48">
        <f t="shared" si="1"/>
        <v>1175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275314</v>
      </c>
      <c r="F29" s="165" t="s">
        <v>55</v>
      </c>
      <c r="G29" s="166"/>
      <c r="H29" s="169">
        <f>H15-H16-H17-H18-H19-H20-H22-H23-H24+H26+H27</f>
        <v>47366.25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197">
        <f>F34*G34</f>
        <v>26000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97">
        <f>F35*G35</f>
        <v>17500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97">
        <f t="shared" ref="H36:H39" si="2">F36*G36</f>
        <v>200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197">
        <f t="shared" si="2"/>
        <v>3400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7">
        <v>142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2</v>
      </c>
      <c r="D44" s="12">
        <f>C44*120</f>
        <v>240</v>
      </c>
      <c r="F44" s="37"/>
      <c r="G44" s="76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7</v>
      </c>
      <c r="D46" s="12">
        <f>C46*1.5</f>
        <v>10.5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1</v>
      </c>
      <c r="D49" s="12">
        <f>C49*42</f>
        <v>42</v>
      </c>
      <c r="F49" s="222" t="s">
        <v>86</v>
      </c>
      <c r="G49" s="169">
        <f>H34+H35+H36+H37+H38+H39+H40+H41+G42+H44+H45+H46</f>
        <v>47242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16</v>
      </c>
      <c r="D50" s="12">
        <f>C50*1.5</f>
        <v>24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139</v>
      </c>
      <c r="G51" s="236">
        <f>G49-H29</f>
        <v>-124.25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46029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>
        <v>523</v>
      </c>
      <c r="D6" s="13">
        <f t="shared" ref="D6:D28" si="1">C6*L6</f>
        <v>398003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>
        <v>2</v>
      </c>
      <c r="D7" s="13">
        <f t="shared" si="1"/>
        <v>1562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>
        <v>2</v>
      </c>
      <c r="D8" s="13">
        <f t="shared" si="1"/>
        <v>2186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>
        <v>10</v>
      </c>
      <c r="D9" s="13">
        <f t="shared" si="1"/>
        <v>7330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/>
      <c r="D10" s="13">
        <f t="shared" si="1"/>
        <v>0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>
        <v>13</v>
      </c>
      <c r="D13" s="48">
        <f t="shared" si="1"/>
        <v>3991</v>
      </c>
      <c r="F13" s="142" t="s">
        <v>36</v>
      </c>
      <c r="G13" s="143"/>
      <c r="H13" s="144">
        <f>D29</f>
        <v>416738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>
        <v>3</v>
      </c>
      <c r="D14" s="31">
        <f t="shared" si="1"/>
        <v>33</v>
      </c>
      <c r="F14" s="147" t="s">
        <v>39</v>
      </c>
      <c r="G14" s="148"/>
      <c r="H14" s="149">
        <f>D54</f>
        <v>113626.5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303111.5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>
        <f>2586</f>
        <v>2586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169</v>
      </c>
      <c r="C23" s="84">
        <v>12</v>
      </c>
      <c r="D23" s="48">
        <f t="shared" si="1"/>
        <v>454</v>
      </c>
      <c r="F23" s="77"/>
      <c r="G23" s="79"/>
      <c r="H23" s="232"/>
      <c r="I23" s="233"/>
      <c r="J23" s="233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>
        <v>1</v>
      </c>
      <c r="D28" s="48">
        <f t="shared" si="1"/>
        <v>811</v>
      </c>
      <c r="F28" s="93"/>
      <c r="G28" s="61"/>
      <c r="H28" s="191"/>
      <c r="I28" s="192"/>
      <c r="J28" s="19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416738</v>
      </c>
      <c r="F29" s="165" t="s">
        <v>55</v>
      </c>
      <c r="G29" s="166"/>
      <c r="H29" s="169">
        <f>H15-H16-H17-H18-H19-H20-H22-H23-H24+H26+H27+H28</f>
        <v>300525.5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197">
        <f t="shared" ref="H34:H39" si="2">F34*G34</f>
        <v>51000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197">
        <f t="shared" si="2"/>
        <v>10000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si="2"/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197">
        <f t="shared" si="2"/>
        <v>4100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197">
        <f t="shared" si="2"/>
        <v>750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30</v>
      </c>
      <c r="D42" s="12">
        <f>C42*2.25</f>
        <v>67.5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81">
        <v>234325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>
        <v>1</v>
      </c>
      <c r="D45" s="12">
        <f>C45*84</f>
        <v>84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34</v>
      </c>
      <c r="D46" s="12">
        <f>C46*1.5</f>
        <v>51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300175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10</v>
      </c>
      <c r="D50" s="12">
        <f>C50*1.5</f>
        <v>15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-350.5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46029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450</v>
      </c>
      <c r="D6" s="13">
        <f t="shared" ref="D6:D28" si="1">C6*L6</f>
        <v>342450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20</v>
      </c>
      <c r="D9" s="13">
        <f t="shared" si="1"/>
        <v>14660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15</v>
      </c>
      <c r="D13" s="48">
        <f t="shared" si="1"/>
        <v>4605</v>
      </c>
      <c r="F13" s="142" t="s">
        <v>36</v>
      </c>
      <c r="G13" s="143"/>
      <c r="H13" s="144">
        <f>D29</f>
        <v>364269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11</v>
      </c>
      <c r="D14" s="31">
        <f t="shared" si="1"/>
        <v>121</v>
      </c>
      <c r="F14" s="147" t="s">
        <v>39</v>
      </c>
      <c r="G14" s="148"/>
      <c r="H14" s="149">
        <f>D54</f>
        <v>53587.5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310681.5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2064</f>
        <v>2064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185">
        <v>131647</v>
      </c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>
        <v>3</v>
      </c>
      <c r="D28" s="48">
        <f t="shared" si="1"/>
        <v>2433</v>
      </c>
      <c r="F28" s="93"/>
      <c r="G28" s="61"/>
      <c r="H28" s="191"/>
      <c r="I28" s="192"/>
      <c r="J28" s="19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364269</v>
      </c>
      <c r="F29" s="165" t="s">
        <v>55</v>
      </c>
      <c r="G29" s="166"/>
      <c r="H29" s="169">
        <f>H15-H16-H17-H18-H19-H20-H22-H23-H24+H26+H27</f>
        <v>440264.5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197">
        <f>F34*G34</f>
        <v>243000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197">
        <f t="shared" ref="H35:H39" si="2">F35*G35</f>
        <v>50500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197">
        <f t="shared" si="2"/>
        <v>12800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197">
        <f t="shared" si="2"/>
        <v>2300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>
        <v>71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81">
        <v>131647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9</v>
      </c>
      <c r="D49" s="12">
        <f>C49*42</f>
        <v>378</v>
      </c>
      <c r="F49" s="222" t="s">
        <v>86</v>
      </c>
      <c r="G49" s="169">
        <f>H34+H35+H36+H37+H38+H39+H40+H41+G42+H44+H45+H46</f>
        <v>440318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15</v>
      </c>
      <c r="D50" s="12">
        <f>C50*1.5</f>
        <v>22.5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142</v>
      </c>
      <c r="G51" s="226">
        <f>G49-H29</f>
        <v>53.5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 t="s">
        <v>179</v>
      </c>
      <c r="H4" s="111" t="s">
        <v>9</v>
      </c>
      <c r="I4" s="113">
        <v>46029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/>
      <c r="D6" s="13">
        <f t="shared" ref="D6:D28" si="1">C6*L6</f>
        <v>0</v>
      </c>
      <c r="F6" s="120" t="s">
        <v>16</v>
      </c>
      <c r="G6" s="122" t="s">
        <v>178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185">
        <v>7281</v>
      </c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185">
        <v>1000</v>
      </c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185">
        <v>3130</v>
      </c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H15-H16-H17-H18-H19-H20-H22-H23-H24+H26+H27+H28</f>
        <v>11411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>
        <f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ref="H35:H39" si="2">F35*G35</f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101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 t="s">
        <v>153</v>
      </c>
      <c r="G44" s="62"/>
      <c r="H44" s="181">
        <v>11411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100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11411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177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46029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380</v>
      </c>
      <c r="D6" s="13">
        <f t="shared" ref="D6:D28" si="1">C6*L6</f>
        <v>289180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19</v>
      </c>
      <c r="D7" s="13">
        <f t="shared" si="1"/>
        <v>14839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>
        <v>2</v>
      </c>
      <c r="D8" s="13">
        <f t="shared" si="1"/>
        <v>2186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84</v>
      </c>
      <c r="D9" s="13">
        <f t="shared" si="1"/>
        <v>61572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>
        <v>1</v>
      </c>
      <c r="D10" s="13">
        <f t="shared" si="1"/>
        <v>1032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f>3+1</f>
        <v>4</v>
      </c>
      <c r="D12" s="48">
        <f t="shared" si="1"/>
        <v>3968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14</v>
      </c>
      <c r="D13" s="48">
        <f t="shared" si="1"/>
        <v>4298</v>
      </c>
      <c r="F13" s="142" t="s">
        <v>36</v>
      </c>
      <c r="G13" s="143"/>
      <c r="H13" s="144">
        <f>D29</f>
        <v>383641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6</v>
      </c>
      <c r="D14" s="31">
        <f t="shared" si="1"/>
        <v>66</v>
      </c>
      <c r="F14" s="147" t="s">
        <v>39</v>
      </c>
      <c r="G14" s="148"/>
      <c r="H14" s="149">
        <f>D54</f>
        <v>52228.5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331412.5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v>1248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>
        <v>50</v>
      </c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/>
      <c r="G22" s="73"/>
      <c r="H22" s="179"/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185">
        <v>173644</v>
      </c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383641</v>
      </c>
      <c r="F29" s="165" t="s">
        <v>55</v>
      </c>
      <c r="G29" s="166"/>
      <c r="H29" s="169">
        <f>H15-H16-H17-H18-H19-H20-H22-H23-H24+H26+H27</f>
        <v>503758.5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97">
        <f>F34*G34</f>
        <v>148000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97">
        <f>F35*G35</f>
        <v>10000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97">
        <f t="shared" ref="H36:H39" si="2">F36*G36</f>
        <v>600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197">
        <f t="shared" si="2"/>
        <v>15100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197">
        <f t="shared" si="2"/>
        <v>16750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4</v>
      </c>
      <c r="D42" s="12">
        <f>C42*2.25</f>
        <v>9</v>
      </c>
      <c r="F42" s="39" t="s">
        <v>79</v>
      </c>
      <c r="G42" s="197">
        <v>175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81">
        <v>139318</v>
      </c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81">
        <v>173644</v>
      </c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9</v>
      </c>
      <c r="D46" s="12">
        <f>C46*1.5</f>
        <v>13.5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5</v>
      </c>
      <c r="D49" s="12">
        <f>C49*42</f>
        <v>210</v>
      </c>
      <c r="F49" s="222" t="s">
        <v>86</v>
      </c>
      <c r="G49" s="169">
        <f>H34+H35+H36+H37+H38+H39+H40+H41+G42+H44+H45+H46</f>
        <v>503587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18</v>
      </c>
      <c r="D50" s="12">
        <f>C50*1.5</f>
        <v>27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139</v>
      </c>
      <c r="G51" s="236">
        <f>G49-H29</f>
        <v>-171.5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46030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>
        <v>707</v>
      </c>
      <c r="D6" s="13">
        <f t="shared" ref="D6:D28" si="1">C6*L6</f>
        <v>538027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/>
      <c r="D8" s="13">
        <f t="shared" si="1"/>
        <v>0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>
        <v>10</v>
      </c>
      <c r="D9" s="13">
        <f t="shared" si="1"/>
        <v>7330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/>
      <c r="D10" s="13">
        <f t="shared" si="1"/>
        <v>0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>
        <v>26</v>
      </c>
      <c r="D13" s="48">
        <f t="shared" si="1"/>
        <v>7982</v>
      </c>
      <c r="F13" s="142" t="s">
        <v>36</v>
      </c>
      <c r="G13" s="143"/>
      <c r="H13" s="144">
        <f>D29</f>
        <v>555289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/>
      <c r="D14" s="31">
        <f t="shared" si="1"/>
        <v>0</v>
      </c>
      <c r="F14" s="147" t="s">
        <v>39</v>
      </c>
      <c r="G14" s="148"/>
      <c r="H14" s="149">
        <f>D54</f>
        <v>79440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475849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>
        <f>3882</f>
        <v>3882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/>
      <c r="D28" s="48">
        <f t="shared" si="1"/>
        <v>0</v>
      </c>
      <c r="F28" s="93"/>
      <c r="G28" s="61"/>
      <c r="H28" s="191"/>
      <c r="I28" s="192"/>
      <c r="J28" s="19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555289</v>
      </c>
      <c r="F29" s="165" t="s">
        <v>55</v>
      </c>
      <c r="G29" s="166"/>
      <c r="H29" s="169">
        <f>H15-H16-H17-H18-H19-H20-H22-H23-H24+H26+H27+H28</f>
        <v>471967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197">
        <f t="shared" ref="H34:H39" si="2">F34*G34</f>
        <v>262000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197">
        <f t="shared" si="2"/>
        <v>201000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97">
        <f t="shared" si="2"/>
        <v>600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197">
        <f t="shared" si="2"/>
        <v>6800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197">
        <f t="shared" si="2"/>
        <v>100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>
        <v>8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2</v>
      </c>
      <c r="D44" s="12">
        <f>C44*120</f>
        <v>240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16</v>
      </c>
      <c r="D49" s="12">
        <f>C49*42</f>
        <v>672</v>
      </c>
      <c r="F49" s="222" t="s">
        <v>86</v>
      </c>
      <c r="G49" s="169">
        <f>H34+H35+H36+H37+H38+H39+H40+H41+G42+H44+H45+H46</f>
        <v>470508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-1459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46030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314</v>
      </c>
      <c r="D6" s="13">
        <f t="shared" ref="D6:D28" si="1">C6*L6</f>
        <v>238954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5</v>
      </c>
      <c r="D7" s="13">
        <f t="shared" si="1"/>
        <v>3905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19</v>
      </c>
      <c r="D9" s="13">
        <f t="shared" si="1"/>
        <v>13927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>
        <v>1</v>
      </c>
      <c r="D10" s="13">
        <f t="shared" si="1"/>
        <v>1032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f>2+1+1</f>
        <v>4</v>
      </c>
      <c r="D12" s="48">
        <f t="shared" si="1"/>
        <v>3968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7</v>
      </c>
      <c r="D13" s="48">
        <f t="shared" si="1"/>
        <v>2149</v>
      </c>
      <c r="F13" s="142" t="s">
        <v>36</v>
      </c>
      <c r="G13" s="143"/>
      <c r="H13" s="144">
        <f>D29</f>
        <v>263957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2</v>
      </c>
      <c r="D14" s="31">
        <f t="shared" si="1"/>
        <v>22</v>
      </c>
      <c r="F14" s="147" t="s">
        <v>39</v>
      </c>
      <c r="G14" s="148"/>
      <c r="H14" s="149">
        <f>D54</f>
        <v>52866.75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211090.25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263957</v>
      </c>
      <c r="F29" s="165" t="s">
        <v>55</v>
      </c>
      <c r="G29" s="166"/>
      <c r="H29" s="169">
        <f>H15-H16-H17-H18-H19-H20-H22-H23-H24+H26+H27</f>
        <v>211090.25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197">
        <f>F34*G34</f>
        <v>199000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7">
        <f t="shared" ref="H35:H39" si="2">F35*G35</f>
        <v>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197">
        <f t="shared" si="2"/>
        <v>5600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97">
        <f t="shared" si="2"/>
        <v>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1</v>
      </c>
      <c r="D42" s="12">
        <f>C42*2.25</f>
        <v>2.25</v>
      </c>
      <c r="F42" s="39" t="s">
        <v>79</v>
      </c>
      <c r="G42" s="197">
        <v>10004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2</v>
      </c>
      <c r="D44" s="12">
        <f>C44*120</f>
        <v>240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>
        <v>1</v>
      </c>
      <c r="D45" s="12">
        <f>C45*84</f>
        <v>84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22</v>
      </c>
      <c r="D46" s="12">
        <f>C46*1.5</f>
        <v>33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3</v>
      </c>
      <c r="D49" s="12">
        <f>C49*42</f>
        <v>126</v>
      </c>
      <c r="F49" s="222" t="s">
        <v>86</v>
      </c>
      <c r="G49" s="169">
        <f>H34+H35+H36+H37+H38+H39+H40+H41+G42+H44+H45+H46</f>
        <v>215154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36</v>
      </c>
      <c r="D50" s="12">
        <f>C50*1.5</f>
        <v>54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142</v>
      </c>
      <c r="G51" s="226">
        <f>G49-H29</f>
        <v>4063.75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46030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529</v>
      </c>
      <c r="D6" s="13">
        <f t="shared" ref="D6:D28" si="1">C6*L6</f>
        <v>402569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15</v>
      </c>
      <c r="D7" s="13">
        <f t="shared" si="1"/>
        <v>11715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>
        <v>2</v>
      </c>
      <c r="D8" s="13">
        <f t="shared" si="1"/>
        <v>2186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>
        <v>3</v>
      </c>
      <c r="D10" s="13">
        <f t="shared" si="1"/>
        <v>3096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>
        <v>2</v>
      </c>
      <c r="D11" s="13">
        <f t="shared" si="1"/>
        <v>2340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f>8+1+1</f>
        <v>10</v>
      </c>
      <c r="D12" s="48">
        <f t="shared" si="1"/>
        <v>9920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5</v>
      </c>
      <c r="D13" s="48">
        <f t="shared" si="1"/>
        <v>1535</v>
      </c>
      <c r="F13" s="142" t="s">
        <v>36</v>
      </c>
      <c r="G13" s="143"/>
      <c r="H13" s="144">
        <f>D29</f>
        <v>434667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6</v>
      </c>
      <c r="D14" s="31">
        <f t="shared" si="1"/>
        <v>66</v>
      </c>
      <c r="F14" s="147" t="s">
        <v>39</v>
      </c>
      <c r="G14" s="148"/>
      <c r="H14" s="149">
        <f>D54</f>
        <v>66066.75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>
        <v>2</v>
      </c>
      <c r="D15" s="31">
        <f t="shared" si="1"/>
        <v>1240</v>
      </c>
      <c r="F15" s="152" t="s">
        <v>40</v>
      </c>
      <c r="G15" s="143"/>
      <c r="H15" s="153">
        <f>H13-H14</f>
        <v>368600.25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2772+330</f>
        <v>3102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/>
      <c r="G22" s="73"/>
      <c r="H22" s="179"/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434667</v>
      </c>
      <c r="F29" s="165" t="s">
        <v>55</v>
      </c>
      <c r="G29" s="166"/>
      <c r="H29" s="169">
        <f>H15-H16-H17-H18-H19-H20-H22-H23-H24+H26+H27</f>
        <v>365498.25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97">
        <f>F34*G34</f>
        <v>41000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97">
        <f>F35*G35</f>
        <v>15000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7">
        <f t="shared" ref="H36:H39" si="2">F36*G36</f>
        <v>200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197">
        <f t="shared" si="2"/>
        <v>7300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197">
        <f t="shared" si="2"/>
        <v>100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97">
        <f t="shared" si="2"/>
        <v>20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3</v>
      </c>
      <c r="D42" s="12">
        <f>C42*2.25</f>
        <v>6.75</v>
      </c>
      <c r="F42" s="39" t="s">
        <v>79</v>
      </c>
      <c r="G42" s="197">
        <v>165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181">
        <v>301634</v>
      </c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>
        <v>1</v>
      </c>
      <c r="D45" s="12">
        <f>C45*84</f>
        <v>84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4</v>
      </c>
      <c r="D46" s="12">
        <f>C46*1.5</f>
        <v>6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1</v>
      </c>
      <c r="D49" s="12">
        <f>C49*42</f>
        <v>42</v>
      </c>
      <c r="F49" s="222" t="s">
        <v>86</v>
      </c>
      <c r="G49" s="169">
        <f>H34+H35+H36+H37+H38+H39+H40+H41+G42+H44+H45+H46</f>
        <v>365419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1</v>
      </c>
      <c r="D50" s="12">
        <f>C50*1.5</f>
        <v>1.5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139</v>
      </c>
      <c r="G51" s="236">
        <f>G49-H29</f>
        <v>-79.25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46031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>
        <v>647</v>
      </c>
      <c r="D6" s="13">
        <f t="shared" ref="D6:D28" si="1">C6*L6</f>
        <v>492367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/>
      <c r="D8" s="13">
        <f t="shared" si="1"/>
        <v>0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/>
      <c r="D10" s="13">
        <f t="shared" si="1"/>
        <v>0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>
        <v>20</v>
      </c>
      <c r="D13" s="48">
        <f t="shared" si="1"/>
        <v>6140</v>
      </c>
      <c r="F13" s="142" t="s">
        <v>36</v>
      </c>
      <c r="G13" s="143"/>
      <c r="H13" s="144">
        <f>D29</f>
        <v>498507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/>
      <c r="D14" s="31">
        <f t="shared" si="1"/>
        <v>0</v>
      </c>
      <c r="F14" s="147" t="s">
        <v>39</v>
      </c>
      <c r="G14" s="148"/>
      <c r="H14" s="149">
        <f>D54</f>
        <v>99282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399225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>
        <v>3882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498507</v>
      </c>
      <c r="F29" s="165" t="s">
        <v>55</v>
      </c>
      <c r="G29" s="166"/>
      <c r="H29" s="169">
        <f>H15-H16-H17-H18-H19-H20-H22-H23-H24+H26+H27+H28</f>
        <v>395343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197">
        <f t="shared" ref="H34:H39" si="2">F34*G34</f>
        <v>395000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si="2"/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si="2"/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197">
        <f t="shared" si="2"/>
        <v>300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>
        <v>13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34</v>
      </c>
      <c r="D49" s="12">
        <f>C49*42</f>
        <v>1428</v>
      </c>
      <c r="F49" s="222" t="s">
        <v>86</v>
      </c>
      <c r="G49" s="169">
        <f>H34+H35+H36+H37+H38+H39+H40+H41+G42+H44+H45+H46</f>
        <v>395313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-30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46031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317</v>
      </c>
      <c r="D6" s="13">
        <f t="shared" ref="D6:D28" si="1">C6*L6</f>
        <v>241237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9</v>
      </c>
      <c r="D7" s="13">
        <f t="shared" si="1"/>
        <v>7029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23</v>
      </c>
      <c r="D9" s="13">
        <f t="shared" si="1"/>
        <v>16859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>
        <v>1</v>
      </c>
      <c r="D11" s="13">
        <f t="shared" si="1"/>
        <v>1170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f>1+1</f>
        <v>2</v>
      </c>
      <c r="D12" s="48">
        <f t="shared" si="1"/>
        <v>1984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10</v>
      </c>
      <c r="D13" s="48">
        <f t="shared" si="1"/>
        <v>3070</v>
      </c>
      <c r="F13" s="142" t="s">
        <v>36</v>
      </c>
      <c r="G13" s="143"/>
      <c r="H13" s="144">
        <f>D29</f>
        <v>273073.33333333331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22</v>
      </c>
      <c r="D14" s="31">
        <f t="shared" si="1"/>
        <v>242</v>
      </c>
      <c r="F14" s="147" t="s">
        <v>39</v>
      </c>
      <c r="G14" s="148"/>
      <c r="H14" s="149">
        <f>D54</f>
        <v>45388.5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>
        <v>2</v>
      </c>
      <c r="D15" s="31">
        <f t="shared" si="1"/>
        <v>1240</v>
      </c>
      <c r="F15" s="152" t="s">
        <v>40</v>
      </c>
      <c r="G15" s="143"/>
      <c r="H15" s="153">
        <f>H13-H14</f>
        <v>227684.83333333331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v>1074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273073.33333333331</v>
      </c>
      <c r="F29" s="165" t="s">
        <v>55</v>
      </c>
      <c r="G29" s="166"/>
      <c r="H29" s="169">
        <f>H15-H16-H17-H18-H19-H20-H22-H23-H24+H26+H27</f>
        <v>226610.83333333331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97">
        <f>F34*G34</f>
        <v>148000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197">
        <f t="shared" ref="H35:H39" si="2">F35*G35</f>
        <v>73500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197">
        <f>F36*G36</f>
        <v>600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197">
        <f t="shared" si="2"/>
        <v>2900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97">
        <f t="shared" si="2"/>
        <v>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1</v>
      </c>
      <c r="D44" s="12">
        <f>C44*120</f>
        <v>120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>
        <v>2</v>
      </c>
      <c r="D45" s="12">
        <f>C45*84</f>
        <v>168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3</v>
      </c>
      <c r="D46" s="12">
        <f>C46*1.5</f>
        <v>4.5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8</v>
      </c>
      <c r="D49" s="12">
        <f>C49*42</f>
        <v>336</v>
      </c>
      <c r="F49" s="222" t="s">
        <v>86</v>
      </c>
      <c r="G49" s="169">
        <f>H34+H35+H36+H37+H38+H39+H40+H41+G42+H44+H45+H46</f>
        <v>225050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20</v>
      </c>
      <c r="D50" s="12">
        <f>C50*1.5</f>
        <v>30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161</v>
      </c>
      <c r="G51" s="236">
        <f>G49-H29</f>
        <v>-1560.8333333333139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46031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>
        <v>344</v>
      </c>
      <c r="D6" s="13">
        <f t="shared" ref="D6:D28" si="1">C6*L6</f>
        <v>261784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>
        <v>12</v>
      </c>
      <c r="D7" s="13">
        <f t="shared" si="1"/>
        <v>9372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>
        <v>78</v>
      </c>
      <c r="D9" s="13">
        <f t="shared" si="1"/>
        <v>57174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>
        <v>1</v>
      </c>
      <c r="D10" s="13">
        <f t="shared" si="1"/>
        <v>1032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>
        <f>4+1+1</f>
        <v>6</v>
      </c>
      <c r="D12" s="48">
        <f t="shared" si="1"/>
        <v>5952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>
        <v>10</v>
      </c>
      <c r="D13" s="48">
        <f t="shared" si="1"/>
        <v>3070</v>
      </c>
      <c r="F13" s="142" t="s">
        <v>36</v>
      </c>
      <c r="G13" s="143"/>
      <c r="H13" s="144">
        <f>D29</f>
        <v>341782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>
        <v>14</v>
      </c>
      <c r="D14" s="31">
        <f t="shared" si="1"/>
        <v>154</v>
      </c>
      <c r="F14" s="147" t="s">
        <v>39</v>
      </c>
      <c r="G14" s="148"/>
      <c r="H14" s="149">
        <f>D54</f>
        <v>52036.5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289745.5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>
        <f>684+672</f>
        <v>1356</v>
      </c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/>
      <c r="G22" s="73"/>
      <c r="H22" s="179"/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>
        <v>4</v>
      </c>
      <c r="D28" s="48">
        <f t="shared" si="1"/>
        <v>3244</v>
      </c>
      <c r="F28" s="93"/>
      <c r="G28" s="61"/>
      <c r="H28" s="191"/>
      <c r="I28" s="192"/>
      <c r="J28" s="19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341782</v>
      </c>
      <c r="F29" s="165" t="s">
        <v>55</v>
      </c>
      <c r="G29" s="166"/>
      <c r="H29" s="169">
        <f>H15-H16-H17-H18-H19-H20-H22-H23-H24+H26+H27</f>
        <v>288389.5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197">
        <f>F34*G34</f>
        <v>83000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97">
        <f>F35*G35</f>
        <v>25000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197">
        <f t="shared" ref="H36:H39" si="2">F36*G36</f>
        <v>1200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197">
        <f t="shared" si="2"/>
        <v>17100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197">
        <f t="shared" si="2"/>
        <v>2450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197">
        <f t="shared" si="2"/>
        <v>60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>
        <v>4</v>
      </c>
      <c r="D42" s="12">
        <f>C42*2.25</f>
        <v>9</v>
      </c>
      <c r="F42" s="39" t="s">
        <v>79</v>
      </c>
      <c r="G42" s="197">
        <v>16</v>
      </c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181">
        <v>84877</v>
      </c>
      <c r="I44" s="181"/>
      <c r="J44" s="18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1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181">
        <v>74828</v>
      </c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>
        <v>12</v>
      </c>
      <c r="D46" s="12">
        <f>C46*1.5</f>
        <v>18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>
        <v>8</v>
      </c>
      <c r="D49" s="12">
        <f>C49*42</f>
        <v>336</v>
      </c>
      <c r="F49" s="222" t="s">
        <v>86</v>
      </c>
      <c r="G49" s="169">
        <f>H34+H35+H36+H37+H38+H39+H40+H41+G42+H44+H45+H46</f>
        <v>288531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>
        <v>8</v>
      </c>
      <c r="D50" s="12">
        <f>C50*1.5</f>
        <v>12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149</v>
      </c>
      <c r="G51" s="226">
        <f>G49-H29</f>
        <v>141.5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46032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/>
      <c r="D6" s="13">
        <f t="shared" ref="D6:D28" si="1">C6*L6</f>
        <v>0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/>
      <c r="D8" s="13">
        <f t="shared" si="1"/>
        <v>0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/>
      <c r="D10" s="13">
        <f t="shared" si="1"/>
        <v>0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H15-H16-H17-H18-H19-H20-H22-H23-H24+H26+H27+H28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7">
        <f t="shared" ref="H34:H39" si="2"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si="2"/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si="2"/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46032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/>
      <c r="D6" s="13">
        <f t="shared" ref="D6:D28" si="1">C6*L6</f>
        <v>0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>
        <f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ref="H35:H39" si="2">F35*G35</f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142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46032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/>
      <c r="D6" s="13">
        <f t="shared" ref="D6:D28" si="1">C6*L6</f>
        <v>0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/>
      <c r="G22" s="73"/>
      <c r="H22" s="179"/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>
        <f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>F35*G35</f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ref="H36:H39" si="2"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139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4" t="s">
        <v>7</v>
      </c>
      <c r="B4" s="105"/>
      <c r="C4" s="105"/>
      <c r="D4" s="106"/>
      <c r="F4" s="107" t="s">
        <v>8</v>
      </c>
      <c r="G4" s="109"/>
      <c r="H4" s="111" t="s">
        <v>9</v>
      </c>
      <c r="I4" s="113"/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8"/>
      <c r="B6" s="16"/>
      <c r="C6" s="10"/>
      <c r="D6" s="13">
        <f t="shared" ref="D6:D28" si="1">C6*L6</f>
        <v>0</v>
      </c>
      <c r="F6" s="120" t="s">
        <v>16</v>
      </c>
      <c r="G6" s="122"/>
      <c r="H6" s="123"/>
      <c r="I6" s="123"/>
      <c r="J6" s="1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8"/>
      <c r="B7" s="16"/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8"/>
      <c r="B8" s="16"/>
      <c r="C8" s="10"/>
      <c r="D8" s="13">
        <f t="shared" si="1"/>
        <v>0</v>
      </c>
      <c r="F8" s="128" t="s">
        <v>21</v>
      </c>
      <c r="G8" s="130"/>
      <c r="H8" s="131"/>
      <c r="I8" s="131"/>
      <c r="J8" s="1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8"/>
      <c r="B9" s="16"/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8"/>
      <c r="C10" s="10"/>
      <c r="D10" s="13">
        <f t="shared" si="1"/>
        <v>0</v>
      </c>
      <c r="F10" s="120" t="s">
        <v>26</v>
      </c>
      <c r="G10" s="136"/>
      <c r="H10" s="137"/>
      <c r="I10" s="137"/>
      <c r="J10" s="138"/>
      <c r="K10" s="8"/>
      <c r="L10" s="6">
        <f>R36</f>
        <v>972</v>
      </c>
      <c r="P10" s="4"/>
      <c r="Q10" s="4"/>
      <c r="R10" s="5"/>
    </row>
    <row r="11" spans="1:19" ht="15.75" x14ac:dyDescent="0.25">
      <c r="A11" s="118"/>
      <c r="B11" s="17"/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8"/>
      <c r="B12" s="17"/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8"/>
      <c r="B13" s="17"/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8"/>
      <c r="B14" s="14"/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8"/>
      <c r="B15" s="14"/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/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/>
      <c r="C19" s="10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/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8"/>
      <c r="B22" s="46"/>
      <c r="C22" s="10"/>
      <c r="D22" s="48">
        <f t="shared" si="1"/>
        <v>0</v>
      </c>
      <c r="F22" s="77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/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/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8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/>
      <c r="I34" s="198"/>
      <c r="J34" s="19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/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/>
      <c r="I36" s="198"/>
      <c r="J36" s="19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/>
      <c r="I37" s="198"/>
      <c r="J37" s="19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/>
      <c r="I38" s="198"/>
      <c r="J38" s="19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/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P43" s="4"/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P44" s="4"/>
      <c r="Q44" s="4"/>
      <c r="R44" s="5"/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1</v>
      </c>
      <c r="H4" s="111" t="s">
        <v>9</v>
      </c>
      <c r="I4" s="113">
        <v>46034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84"/>
      <c r="D6" s="13">
        <f t="shared" ref="D6:D28" si="1">C6*L6</f>
        <v>0</v>
      </c>
      <c r="F6" s="120" t="s">
        <v>16</v>
      </c>
      <c r="G6" s="122" t="s">
        <v>129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84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84"/>
      <c r="D8" s="13">
        <f t="shared" si="1"/>
        <v>0</v>
      </c>
      <c r="F8" s="128" t="s">
        <v>21</v>
      </c>
      <c r="G8" s="130" t="s">
        <v>112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84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84"/>
      <c r="D10" s="13">
        <f t="shared" si="1"/>
        <v>0</v>
      </c>
      <c r="F10" s="120" t="s">
        <v>26</v>
      </c>
      <c r="G10" s="136" t="s">
        <v>130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84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84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84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84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84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137</v>
      </c>
      <c r="C17" s="84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9"/>
      <c r="I19" s="129"/>
      <c r="J19" s="129"/>
      <c r="L19" s="6">
        <v>1102</v>
      </c>
      <c r="Q19" s="4"/>
      <c r="R19" s="5">
        <f t="shared" si="0"/>
        <v>0</v>
      </c>
    </row>
    <row r="20" spans="1:18" ht="15.75" x14ac:dyDescent="0.25">
      <c r="A20" s="11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127</v>
      </c>
      <c r="C22" s="84"/>
      <c r="D22" s="48">
        <f t="shared" si="1"/>
        <v>0</v>
      </c>
      <c r="F22" s="77"/>
      <c r="G22" s="73"/>
      <c r="H22" s="179"/>
      <c r="I22" s="179"/>
      <c r="J22" s="17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121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136</v>
      </c>
      <c r="C26" s="84"/>
      <c r="D26" s="48">
        <f t="shared" si="1"/>
        <v>0</v>
      </c>
      <c r="F26" s="75"/>
      <c r="G26" s="65"/>
      <c r="H26" s="181"/>
      <c r="I26" s="181"/>
      <c r="J26" s="18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84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H15-H16-H17-H18-H19-H20-H22-H23-H24+H26+H27+H28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7">
        <f t="shared" ref="H34:H39" si="2"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si="2"/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si="2"/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181"/>
      <c r="I46" s="181"/>
      <c r="J46" s="181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131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2</v>
      </c>
      <c r="H4" s="111" t="s">
        <v>9</v>
      </c>
      <c r="I4" s="113">
        <v>46034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/>
      <c r="D6" s="13">
        <f t="shared" ref="D6:D28" si="1">C6*L6</f>
        <v>0</v>
      </c>
      <c r="F6" s="120" t="s">
        <v>16</v>
      </c>
      <c r="G6" s="122" t="s">
        <v>140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114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115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93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9"/>
      <c r="I20" s="129"/>
      <c r="J20" s="12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2"/>
      <c r="G22" s="73"/>
      <c r="H22" s="179"/>
      <c r="I22" s="179"/>
      <c r="J22" s="17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25"/>
      <c r="G23" s="37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123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>
        <f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 t="shared" ref="H35:H39" si="2">F35*G35</f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62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62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91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142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3" t="s">
        <v>1</v>
      </c>
      <c r="O1" s="10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4" t="s">
        <v>7</v>
      </c>
      <c r="B4" s="105"/>
      <c r="C4" s="105"/>
      <c r="D4" s="106"/>
      <c r="F4" s="107" t="s">
        <v>8</v>
      </c>
      <c r="G4" s="109">
        <v>3</v>
      </c>
      <c r="H4" s="111" t="s">
        <v>9</v>
      </c>
      <c r="I4" s="113">
        <v>46034</v>
      </c>
      <c r="J4" s="11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7" t="s">
        <v>7</v>
      </c>
      <c r="B5" s="15" t="s">
        <v>11</v>
      </c>
      <c r="C5" s="9" t="s">
        <v>12</v>
      </c>
      <c r="D5" s="25" t="s">
        <v>13</v>
      </c>
      <c r="F5" s="108"/>
      <c r="G5" s="110"/>
      <c r="H5" s="112"/>
      <c r="I5" s="115"/>
      <c r="J5" s="11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8"/>
      <c r="B6" s="16" t="s">
        <v>15</v>
      </c>
      <c r="C6" s="10"/>
      <c r="D6" s="13">
        <f t="shared" ref="D6:D28" si="1">C6*L6</f>
        <v>0</v>
      </c>
      <c r="F6" s="120" t="s">
        <v>16</v>
      </c>
      <c r="G6" s="122" t="s">
        <v>111</v>
      </c>
      <c r="H6" s="123"/>
      <c r="I6" s="123"/>
      <c r="J6" s="1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8"/>
      <c r="B7" s="16" t="s">
        <v>18</v>
      </c>
      <c r="C7" s="10"/>
      <c r="D7" s="13">
        <f t="shared" si="1"/>
        <v>0</v>
      </c>
      <c r="F7" s="121"/>
      <c r="G7" s="125"/>
      <c r="H7" s="126"/>
      <c r="I7" s="126"/>
      <c r="J7" s="1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8"/>
      <c r="B8" s="16" t="s">
        <v>20</v>
      </c>
      <c r="C8" s="10"/>
      <c r="D8" s="13">
        <f t="shared" si="1"/>
        <v>0</v>
      </c>
      <c r="F8" s="128" t="s">
        <v>21</v>
      </c>
      <c r="G8" s="130" t="s">
        <v>119</v>
      </c>
      <c r="H8" s="131"/>
      <c r="I8" s="131"/>
      <c r="J8" s="1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8"/>
      <c r="B9" s="16" t="s">
        <v>23</v>
      </c>
      <c r="C9" s="10"/>
      <c r="D9" s="13">
        <f t="shared" si="1"/>
        <v>0</v>
      </c>
      <c r="F9" s="121"/>
      <c r="G9" s="133"/>
      <c r="H9" s="134"/>
      <c r="I9" s="134"/>
      <c r="J9" s="1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8"/>
      <c r="B10" t="s">
        <v>25</v>
      </c>
      <c r="C10" s="10"/>
      <c r="D10" s="13">
        <f t="shared" si="1"/>
        <v>0</v>
      </c>
      <c r="F10" s="120" t="s">
        <v>26</v>
      </c>
      <c r="G10" s="136" t="s">
        <v>134</v>
      </c>
      <c r="H10" s="137"/>
      <c r="I10" s="137"/>
      <c r="J10" s="138"/>
      <c r="K10" s="8"/>
      <c r="L10" s="6">
        <f>R36</f>
        <v>1032</v>
      </c>
      <c r="P10" s="4"/>
      <c r="Q10" s="4"/>
      <c r="R10" s="5"/>
    </row>
    <row r="11" spans="1:18" ht="15.75" x14ac:dyDescent="0.25">
      <c r="A11" s="118"/>
      <c r="B11" s="17" t="s">
        <v>28</v>
      </c>
      <c r="C11" s="10"/>
      <c r="D11" s="13">
        <f t="shared" si="1"/>
        <v>0</v>
      </c>
      <c r="F11" s="121"/>
      <c r="G11" s="133"/>
      <c r="H11" s="134"/>
      <c r="I11" s="134"/>
      <c r="J11" s="1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8"/>
      <c r="B12" s="17" t="s">
        <v>30</v>
      </c>
      <c r="C12" s="10"/>
      <c r="D12" s="48">
        <f t="shared" si="1"/>
        <v>0</v>
      </c>
      <c r="F12" s="139" t="s">
        <v>33</v>
      </c>
      <c r="G12" s="140"/>
      <c r="H12" s="140"/>
      <c r="I12" s="140"/>
      <c r="J12" s="1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8"/>
      <c r="B13" s="17" t="s">
        <v>32</v>
      </c>
      <c r="C13" s="10"/>
      <c r="D13" s="48">
        <f t="shared" si="1"/>
        <v>0</v>
      </c>
      <c r="F13" s="142" t="s">
        <v>36</v>
      </c>
      <c r="G13" s="143"/>
      <c r="H13" s="144">
        <f>D29</f>
        <v>0</v>
      </c>
      <c r="I13" s="145"/>
      <c r="J13" s="14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8"/>
      <c r="B14" s="14" t="s">
        <v>35</v>
      </c>
      <c r="C14" s="10"/>
      <c r="D14" s="31">
        <f t="shared" si="1"/>
        <v>0</v>
      </c>
      <c r="F14" s="147" t="s">
        <v>39</v>
      </c>
      <c r="G14" s="148"/>
      <c r="H14" s="149">
        <f>D54</f>
        <v>0</v>
      </c>
      <c r="I14" s="150"/>
      <c r="J14" s="15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8"/>
      <c r="B15" s="14" t="s">
        <v>38</v>
      </c>
      <c r="C15" s="10"/>
      <c r="D15" s="31">
        <f t="shared" si="1"/>
        <v>0</v>
      </c>
      <c r="F15" s="152" t="s">
        <v>40</v>
      </c>
      <c r="G15" s="143"/>
      <c r="H15" s="153">
        <f>H13-H14</f>
        <v>0</v>
      </c>
      <c r="I15" s="154"/>
      <c r="J15" s="15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6"/>
      <c r="I16" s="156"/>
      <c r="J16" s="15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8"/>
      <c r="B17" t="s">
        <v>113</v>
      </c>
      <c r="C17" s="10"/>
      <c r="D17" s="48">
        <f t="shared" si="1"/>
        <v>0</v>
      </c>
      <c r="F17" s="56"/>
      <c r="G17" s="66" t="s">
        <v>45</v>
      </c>
      <c r="H17" s="129"/>
      <c r="I17" s="129"/>
      <c r="J17" s="12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9"/>
      <c r="I18" s="129"/>
      <c r="J18" s="12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6"/>
      <c r="I20" s="156"/>
      <c r="J20" s="15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6" t="s">
        <v>13</v>
      </c>
      <c r="I21" s="177"/>
      <c r="J21" s="17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8"/>
      <c r="B22" s="46" t="s">
        <v>104</v>
      </c>
      <c r="C22" s="10"/>
      <c r="D22" s="48">
        <f t="shared" si="1"/>
        <v>0</v>
      </c>
      <c r="F22" s="77"/>
      <c r="G22" s="73"/>
      <c r="H22" s="179"/>
      <c r="I22" s="179"/>
      <c r="J22" s="17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8"/>
      <c r="B23" s="14" t="s">
        <v>107</v>
      </c>
      <c r="C23" s="10"/>
      <c r="D23" s="48">
        <f t="shared" si="1"/>
        <v>0</v>
      </c>
      <c r="F23" s="78"/>
      <c r="G23" s="79"/>
      <c r="H23" s="180"/>
      <c r="I23" s="181"/>
      <c r="J23" s="18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8"/>
      <c r="B24" s="14" t="s">
        <v>101</v>
      </c>
      <c r="C24" s="10"/>
      <c r="D24" s="48">
        <f t="shared" si="1"/>
        <v>0</v>
      </c>
      <c r="F24" s="38"/>
      <c r="G24" s="37"/>
      <c r="H24" s="180"/>
      <c r="I24" s="181"/>
      <c r="J24" s="18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8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8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9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7" t="s">
        <v>36</v>
      </c>
      <c r="B29" s="158"/>
      <c r="C29" s="159"/>
      <c r="D29" s="163">
        <f>SUM(D6:D28)</f>
        <v>0</v>
      </c>
      <c r="F29" s="165" t="s">
        <v>55</v>
      </c>
      <c r="G29" s="166"/>
      <c r="H29" s="169">
        <f>H15-H16-H17-H18-H19-H20-H22-H23-H24+H26+H27</f>
        <v>0</v>
      </c>
      <c r="I29" s="170"/>
      <c r="J29" s="17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0"/>
      <c r="B30" s="161"/>
      <c r="C30" s="162"/>
      <c r="D30" s="164"/>
      <c r="F30" s="167"/>
      <c r="G30" s="168"/>
      <c r="H30" s="172"/>
      <c r="I30" s="173"/>
      <c r="J30" s="174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4" t="s">
        <v>58</v>
      </c>
      <c r="B32" s="105"/>
      <c r="C32" s="105"/>
      <c r="D32" s="106"/>
      <c r="F32" s="194" t="s">
        <v>59</v>
      </c>
      <c r="G32" s="195"/>
      <c r="H32" s="195"/>
      <c r="I32" s="195"/>
      <c r="J32" s="19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4" t="s">
        <v>13</v>
      </c>
      <c r="I33" s="195"/>
      <c r="J33" s="19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7">
        <f>F34*G34</f>
        <v>0</v>
      </c>
      <c r="I34" s="198"/>
      <c r="J34" s="19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8"/>
      <c r="B35" s="27" t="s">
        <v>68</v>
      </c>
      <c r="C35" s="52"/>
      <c r="D35" s="30">
        <f>C35*84</f>
        <v>0</v>
      </c>
      <c r="F35" s="58">
        <v>500</v>
      </c>
      <c r="G35" s="41"/>
      <c r="H35" s="197">
        <f>F35*G35</f>
        <v>0</v>
      </c>
      <c r="I35" s="198"/>
      <c r="J35" s="19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9"/>
      <c r="B36" s="26" t="s">
        <v>70</v>
      </c>
      <c r="C36" s="10"/>
      <c r="D36" s="12">
        <f>C36*1.5</f>
        <v>0</v>
      </c>
      <c r="F36" s="12">
        <v>200</v>
      </c>
      <c r="G36" s="37"/>
      <c r="H36" s="197">
        <f t="shared" ref="H36:H39" si="2">F36*G36</f>
        <v>0</v>
      </c>
      <c r="I36" s="198"/>
      <c r="J36" s="19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7">
        <f t="shared" si="2"/>
        <v>0</v>
      </c>
      <c r="I37" s="198"/>
      <c r="J37" s="19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8"/>
      <c r="B38" s="29" t="s">
        <v>68</v>
      </c>
      <c r="C38" s="54"/>
      <c r="D38" s="12">
        <f>C38*84</f>
        <v>0</v>
      </c>
      <c r="F38" s="30">
        <v>50</v>
      </c>
      <c r="G38" s="39"/>
      <c r="H38" s="197">
        <f t="shared" si="2"/>
        <v>0</v>
      </c>
      <c r="I38" s="198"/>
      <c r="J38" s="19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9"/>
      <c r="B39" s="29" t="s">
        <v>70</v>
      </c>
      <c r="C39" s="52"/>
      <c r="D39" s="31">
        <f>C39*4.5</f>
        <v>0</v>
      </c>
      <c r="F39" s="12">
        <v>20</v>
      </c>
      <c r="G39" s="37"/>
      <c r="H39" s="197">
        <f t="shared" si="2"/>
        <v>0</v>
      </c>
      <c r="I39" s="198"/>
      <c r="J39" s="19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7"/>
      <c r="I40" s="198"/>
      <c r="J40" s="19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8"/>
      <c r="B41" s="27" t="s">
        <v>68</v>
      </c>
      <c r="C41" s="10"/>
      <c r="D41" s="12">
        <f>C41*84</f>
        <v>0</v>
      </c>
      <c r="F41" s="12">
        <v>5</v>
      </c>
      <c r="G41" s="42"/>
      <c r="H41" s="197"/>
      <c r="I41" s="198"/>
      <c r="J41" s="19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9"/>
      <c r="B42" s="27" t="s">
        <v>70</v>
      </c>
      <c r="C42" s="11"/>
      <c r="D42" s="12">
        <f>C42*2.25</f>
        <v>0</v>
      </c>
      <c r="F42" s="39" t="s">
        <v>79</v>
      </c>
      <c r="G42" s="197"/>
      <c r="H42" s="198"/>
      <c r="I42" s="198"/>
      <c r="J42" s="19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0" t="s">
        <v>81</v>
      </c>
      <c r="C43" s="11"/>
      <c r="D43" s="12"/>
      <c r="F43" s="59" t="s">
        <v>82</v>
      </c>
      <c r="G43" s="90" t="s">
        <v>83</v>
      </c>
      <c r="H43" s="203" t="s">
        <v>13</v>
      </c>
      <c r="I43" s="204"/>
      <c r="J43" s="20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1"/>
      <c r="B44" s="27" t="s">
        <v>66</v>
      </c>
      <c r="C44" s="10"/>
      <c r="D44" s="12">
        <f>C44*120</f>
        <v>0</v>
      </c>
      <c r="F44" s="37"/>
      <c r="G44" s="76"/>
      <c r="H44" s="181"/>
      <c r="I44" s="181"/>
      <c r="J44" s="18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01"/>
      <c r="B45" s="27" t="s">
        <v>68</v>
      </c>
      <c r="C45" s="33"/>
      <c r="D45" s="12">
        <f>C45*84</f>
        <v>0</v>
      </c>
      <c r="F45" s="37"/>
      <c r="G45" s="76"/>
      <c r="H45" s="181"/>
      <c r="I45" s="181"/>
      <c r="J45" s="181"/>
      <c r="K45" s="21"/>
      <c r="P45" s="4"/>
      <c r="Q45" s="4"/>
      <c r="R45" s="5"/>
    </row>
    <row r="46" spans="1:18" ht="15.75" x14ac:dyDescent="0.25">
      <c r="A46" s="201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02"/>
      <c r="B47" s="27"/>
      <c r="C47" s="11"/>
      <c r="D47" s="12"/>
      <c r="F47" s="59"/>
      <c r="G47" s="59"/>
      <c r="H47" s="207"/>
      <c r="I47" s="208"/>
      <c r="J47" s="209"/>
      <c r="K47" s="21"/>
      <c r="P47" s="4"/>
      <c r="Q47" s="4"/>
      <c r="R47" s="5"/>
    </row>
    <row r="48" spans="1:18" ht="15" customHeight="1" x14ac:dyDescent="0.25">
      <c r="A48" s="200" t="s">
        <v>32</v>
      </c>
      <c r="B48" s="27" t="s">
        <v>66</v>
      </c>
      <c r="C48" s="10"/>
      <c r="D48" s="12">
        <f>C48*78</f>
        <v>0</v>
      </c>
      <c r="F48" s="59"/>
      <c r="G48" s="59"/>
      <c r="H48" s="207"/>
      <c r="I48" s="208"/>
      <c r="J48" s="20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1"/>
      <c r="B49" s="29" t="s">
        <v>68</v>
      </c>
      <c r="C49" s="33"/>
      <c r="D49" s="12">
        <f>C49*42</f>
        <v>0</v>
      </c>
      <c r="F49" s="222" t="s">
        <v>86</v>
      </c>
      <c r="G49" s="169">
        <f>H34+H35+H36+H37+H38+H39+H40+H41+G42+H44+H45+H46</f>
        <v>0</v>
      </c>
      <c r="H49" s="170"/>
      <c r="I49" s="170"/>
      <c r="J49" s="17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1"/>
      <c r="B50" s="32" t="s">
        <v>70</v>
      </c>
      <c r="C50" s="11"/>
      <c r="D50" s="12">
        <f>C50*1.5</f>
        <v>0</v>
      </c>
      <c r="F50" s="223"/>
      <c r="G50" s="172"/>
      <c r="H50" s="173"/>
      <c r="I50" s="173"/>
      <c r="J50" s="174"/>
      <c r="O50" t="s">
        <v>144</v>
      </c>
      <c r="P50" s="4">
        <v>1204</v>
      </c>
      <c r="Q50" s="4"/>
      <c r="R50" s="5"/>
    </row>
    <row r="51" spans="1:18" ht="15" customHeight="1" x14ac:dyDescent="0.25">
      <c r="A51" s="201"/>
      <c r="B51" s="27"/>
      <c r="C51" s="10"/>
      <c r="D51" s="31"/>
      <c r="F51" s="224" t="s">
        <v>139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1"/>
      <c r="B52" s="29"/>
      <c r="C52" s="33"/>
      <c r="D52" s="45"/>
      <c r="F52" s="22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5" t="s">
        <v>90</v>
      </c>
      <c r="B54" s="210"/>
      <c r="C54" s="211"/>
      <c r="D54" s="2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7"/>
      <c r="B55" s="212"/>
      <c r="C55" s="213"/>
      <c r="D55" s="2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6" t="s">
        <v>91</v>
      </c>
      <c r="B58" s="217"/>
      <c r="C58" s="217"/>
      <c r="D58" s="218"/>
      <c r="F58" s="216" t="s">
        <v>92</v>
      </c>
      <c r="G58" s="217"/>
      <c r="H58" s="217"/>
      <c r="I58" s="217"/>
      <c r="J58" s="218"/>
    </row>
    <row r="59" spans="1:18" x14ac:dyDescent="0.25">
      <c r="A59" s="219"/>
      <c r="B59" s="220"/>
      <c r="C59" s="220"/>
      <c r="D59" s="221"/>
      <c r="F59" s="219"/>
      <c r="G59" s="220"/>
      <c r="H59" s="220"/>
      <c r="I59" s="220"/>
      <c r="J59" s="2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42</vt:i4>
      </vt:variant>
      <vt:variant>
        <vt:lpstr>Named Ranges</vt:lpstr>
      </vt:variant>
      <vt:variant>
        <vt:i4>41</vt:i4>
      </vt:variant>
    </vt:vector>
  </HeadingPairs>
  <TitlesOfParts>
    <vt:vector size="83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'(01)'!Print_Area</vt:lpstr>
      <vt:lpstr>'(10)'!Print_Area</vt:lpstr>
      <vt:lpstr>'(12)'!Print_Area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2026-01-10T00:42:35Z</cp:lastPrinted>
  <dcterms:created xsi:type="dcterms:W3CDTF">2024-09-01T23:36:50Z</dcterms:created>
  <dcterms:modified xsi:type="dcterms:W3CDTF">2026-01-10T00:42:48Z</dcterms:modified>
</cp:coreProperties>
</file>