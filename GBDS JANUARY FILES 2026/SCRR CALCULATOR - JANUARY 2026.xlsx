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EF93F627-295E-4ABC-AD77-3B763999B633}" xr6:coauthVersionLast="45" xr6:coauthVersionMax="47" xr10:uidLastSave="{00000000-0000-0000-0000-000000000000}"/>
  <bookViews>
    <workbookView xWindow="-120" yWindow="-120" windowWidth="29040" windowHeight="15840" firstSheet="17" activeTab="27" xr2:uid="{00000000-000D-0000-FFFF-FFFF00000000}"/>
  </bookViews>
  <sheets>
    <sheet name="(January 2025)" sheetId="814" r:id="rId1"/>
    <sheet name="(01)" sheetId="1617" r:id="rId2"/>
    <sheet name="01,01 R1" sheetId="1618" r:id="rId3"/>
    <sheet name="01,01 R2" sheetId="1619" r:id="rId4"/>
    <sheet name="01,01 R3" sheetId="1620" r:id="rId5"/>
    <sheet name="(2)" sheetId="1645" r:id="rId6"/>
    <sheet name="01,02 R1 NO TRIP" sheetId="1646" r:id="rId7"/>
    <sheet name="01,02 R2 NO TRIP" sheetId="1647" r:id="rId8"/>
    <sheet name="01,02 R3" sheetId="1648" r:id="rId9"/>
    <sheet name="(3)" sheetId="1649" r:id="rId10"/>
    <sheet name="01,03 R1" sheetId="1650" r:id="rId11"/>
    <sheet name="01,03 R2 NO TRIP" sheetId="1651" r:id="rId12"/>
    <sheet name="01,03 R3" sheetId="1652" r:id="rId13"/>
    <sheet name="(5)" sheetId="1653" r:id="rId14"/>
    <sheet name="01,05 R1" sheetId="1654" r:id="rId15"/>
    <sheet name="01,05 R2" sheetId="1655" r:id="rId16"/>
    <sheet name="01,05 R3" sheetId="1656" r:id="rId17"/>
    <sheet name="(6)" sheetId="1657" r:id="rId18"/>
    <sheet name="01,06 R1" sheetId="1658" r:id="rId19"/>
    <sheet name="01,06 R2" sheetId="1659" r:id="rId20"/>
    <sheet name="01,06 R3" sheetId="1660" r:id="rId21"/>
    <sheet name="(7)" sheetId="1661" r:id="rId22"/>
    <sheet name="01,07 R1" sheetId="1662" r:id="rId23"/>
    <sheet name="01,07 R2" sheetId="1663" r:id="rId24"/>
    <sheet name="01,07 R2B" sheetId="1681" r:id="rId25"/>
    <sheet name="01,07 R3" sheetId="1664" r:id="rId26"/>
    <sheet name="(8)" sheetId="1665" r:id="rId27"/>
    <sheet name="01,08 R1" sheetId="1666" r:id="rId28"/>
    <sheet name="01,08 R2" sheetId="1667" r:id="rId29"/>
    <sheet name="01,08 R3" sheetId="1668" r:id="rId30"/>
    <sheet name="(9)" sheetId="1669" r:id="rId31"/>
    <sheet name="01,09 R1" sheetId="1670" r:id="rId32"/>
    <sheet name="01,09 R2" sheetId="1671" r:id="rId33"/>
    <sheet name="01,09 R3" sheetId="1672" r:id="rId34"/>
    <sheet name="(10)" sheetId="1673" r:id="rId35"/>
    <sheet name="01,10 R1" sheetId="1674" r:id="rId36"/>
    <sheet name="01,10 R2" sheetId="1675" r:id="rId37"/>
    <sheet name="01,10 R3" sheetId="1676" r:id="rId38"/>
    <sheet name="(12)" sheetId="1677" r:id="rId39"/>
    <sheet name="01,12 R1" sheetId="1678" r:id="rId40"/>
    <sheet name="01,12 R2" sheetId="1679" r:id="rId41"/>
    <sheet name="01,12 R3" sheetId="1680" r:id="rId42"/>
  </sheets>
  <definedNames>
    <definedName name="_xlnm.Print_Area" localSheetId="1">'(01)'!$A$1:$J$60</definedName>
    <definedName name="_xlnm.Print_Area" localSheetId="34">'(10)'!$A$1:$J$60</definedName>
    <definedName name="_xlnm.Print_Area" localSheetId="38">'(12)'!$A$1:$J$60</definedName>
    <definedName name="_xlnm.Print_Area" localSheetId="5">'(2)'!$A$1:$J$60</definedName>
    <definedName name="_xlnm.Print_Area" localSheetId="9">'(3)'!$A$1:$J$60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6">'(8)'!$A$1:$J$60</definedName>
    <definedName name="_xlnm.Print_Area" localSheetId="30">'(9)'!$A$1:$J$60</definedName>
    <definedName name="_xlnm.Print_Area" localSheetId="2">'01,01 R1'!$A$1:$J$60</definedName>
    <definedName name="_xlnm.Print_Area" localSheetId="3">'01,01 R2'!$A$1:$J$60</definedName>
    <definedName name="_xlnm.Print_Area" localSheetId="4">'01,01 R3'!$A$1:$J$60</definedName>
    <definedName name="_xlnm.Print_Area" localSheetId="6">'01,02 R1 NO TRIP'!$A$1:$J$60</definedName>
    <definedName name="_xlnm.Print_Area" localSheetId="7">'01,02 R2 NO TRIP'!$A$1:$J$60</definedName>
    <definedName name="_xlnm.Print_Area" localSheetId="8">'01,02 R3'!$A$1:$J$60</definedName>
    <definedName name="_xlnm.Print_Area" localSheetId="10">'01,03 R1'!$A$1:$J$60</definedName>
    <definedName name="_xlnm.Print_Area" localSheetId="11">'01,03 R2 NO TRIP'!$A$1:$J$60</definedName>
    <definedName name="_xlnm.Print_Area" localSheetId="12">'01,03 R3'!$A$1:$J$60</definedName>
    <definedName name="_xlnm.Print_Area" localSheetId="14">'01,05 R1'!$A$1:$J$60</definedName>
    <definedName name="_xlnm.Print_Area" localSheetId="15">'01,05 R2'!$A$1:$J$60</definedName>
    <definedName name="_xlnm.Print_Area" localSheetId="16">'01,05 R3'!$A$1:$J$60</definedName>
    <definedName name="_xlnm.Print_Area" localSheetId="18">'01,06 R1'!$A$1:$J$60</definedName>
    <definedName name="_xlnm.Print_Area" localSheetId="19">'01,06 R2'!$A$1:$J$60</definedName>
    <definedName name="_xlnm.Print_Area" localSheetId="20">'01,06 R3'!$A$1:$J$60</definedName>
    <definedName name="_xlnm.Print_Area" localSheetId="22">'01,07 R1'!$A$1:$J$60</definedName>
    <definedName name="_xlnm.Print_Area" localSheetId="23">'01,07 R2'!$A$1:$J$60</definedName>
    <definedName name="_xlnm.Print_Area" localSheetId="24">'01,07 R2B'!$A$1:$J$60</definedName>
    <definedName name="_xlnm.Print_Area" localSheetId="25">'01,07 R3'!$A$1:$J$60</definedName>
    <definedName name="_xlnm.Print_Area" localSheetId="27">'01,08 R1'!$A$1:$J$60</definedName>
    <definedName name="_xlnm.Print_Area" localSheetId="28">'01,08 R2'!$A$1:$J$60</definedName>
    <definedName name="_xlnm.Print_Area" localSheetId="29">'01,08 R3'!$A$1:$J$60</definedName>
    <definedName name="_xlnm.Print_Area" localSheetId="31">'01,09 R1'!$A$1:$J$60</definedName>
    <definedName name="_xlnm.Print_Area" localSheetId="32">'01,09 R2'!$A$1:$J$60</definedName>
    <definedName name="_xlnm.Print_Area" localSheetId="33">'01,09 R3'!$A$1:$J$60</definedName>
    <definedName name="_xlnm.Print_Area" localSheetId="35">'01,10 R1'!$A$1:$J$60</definedName>
    <definedName name="_xlnm.Print_Area" localSheetId="36">'01,10 R2'!$A$1:$J$60</definedName>
    <definedName name="_xlnm.Print_Area" localSheetId="37">'01,10 R3'!$A$1:$J$60</definedName>
    <definedName name="_xlnm.Print_Area" localSheetId="39">'01,12 R1'!$A$1:$J$60</definedName>
    <definedName name="_xlnm.Print_Area" localSheetId="40">'01,12 R2'!$A$1:$J$60</definedName>
    <definedName name="_xlnm.Print_Area" localSheetId="41">'01,12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668" l="1"/>
  <c r="H16" i="1666"/>
  <c r="C12" i="1668" l="1"/>
  <c r="C12" i="1667"/>
  <c r="L28" i="1666"/>
  <c r="H29" i="1681" l="1"/>
  <c r="R52" i="1681"/>
  <c r="R51" i="1681"/>
  <c r="D50" i="1681"/>
  <c r="R49" i="1681"/>
  <c r="D49" i="1681"/>
  <c r="R48" i="1681"/>
  <c r="D48" i="1681"/>
  <c r="D46" i="1681"/>
  <c r="D45" i="1681"/>
  <c r="R44" i="1681"/>
  <c r="L28" i="1681" s="1"/>
  <c r="D28" i="1681" s="1"/>
  <c r="D44" i="1681"/>
  <c r="R42" i="1681"/>
  <c r="D42" i="1681"/>
  <c r="R41" i="1681"/>
  <c r="L7" i="1681" s="1"/>
  <c r="D7" i="1681" s="1"/>
  <c r="D41" i="1681"/>
  <c r="D54" i="1681" s="1"/>
  <c r="H14" i="1681" s="1"/>
  <c r="R40" i="1681"/>
  <c r="D40" i="1681"/>
  <c r="R39" i="1681"/>
  <c r="H39" i="1681"/>
  <c r="D39" i="1681"/>
  <c r="R38" i="1681"/>
  <c r="H38" i="1681"/>
  <c r="D38" i="1681"/>
  <c r="R37" i="1681"/>
  <c r="H37" i="1681"/>
  <c r="D37" i="1681"/>
  <c r="R36" i="1681"/>
  <c r="H36" i="1681"/>
  <c r="D36" i="1681"/>
  <c r="R35" i="1681"/>
  <c r="L19" i="1681" s="1"/>
  <c r="D19" i="1681" s="1"/>
  <c r="H35" i="1681"/>
  <c r="D35" i="1681"/>
  <c r="R34" i="1681"/>
  <c r="H34" i="1681"/>
  <c r="G49" i="1681" s="1"/>
  <c r="D34" i="1681"/>
  <c r="R33" i="1681"/>
  <c r="R32" i="1681"/>
  <c r="R31" i="1681"/>
  <c r="R30" i="1681"/>
  <c r="R29" i="1681"/>
  <c r="R28" i="1681"/>
  <c r="R27" i="1681"/>
  <c r="D27" i="1681"/>
  <c r="R26" i="1681"/>
  <c r="L26" i="1681"/>
  <c r="D26" i="1681"/>
  <c r="R25" i="1681"/>
  <c r="L25" i="1681"/>
  <c r="D25" i="1681" s="1"/>
  <c r="R24" i="1681"/>
  <c r="L24" i="1681"/>
  <c r="D24" i="1681"/>
  <c r="R23" i="1681"/>
  <c r="L23" i="1681"/>
  <c r="D23" i="1681"/>
  <c r="R22" i="1681"/>
  <c r="L22" i="1681"/>
  <c r="D22" i="1681"/>
  <c r="R21" i="1681"/>
  <c r="L17" i="1681" s="1"/>
  <c r="D17" i="1681" s="1"/>
  <c r="D21" i="1681"/>
  <c r="R20" i="1681"/>
  <c r="L20" i="1681"/>
  <c r="D20" i="1681"/>
  <c r="R19" i="1681"/>
  <c r="R18" i="1681"/>
  <c r="D18" i="1681"/>
  <c r="R17" i="1681"/>
  <c r="R16" i="1681"/>
  <c r="L16" i="1681"/>
  <c r="D16" i="1681"/>
  <c r="R15" i="1681"/>
  <c r="D15" i="1681"/>
  <c r="R14" i="1681"/>
  <c r="D14" i="1681"/>
  <c r="R13" i="1681"/>
  <c r="D13" i="1681"/>
  <c r="R12" i="1681"/>
  <c r="L12" i="1681"/>
  <c r="D12" i="1681"/>
  <c r="R11" i="1681"/>
  <c r="L11" i="1681"/>
  <c r="D11" i="1681"/>
  <c r="L10" i="1681"/>
  <c r="D10" i="1681" s="1"/>
  <c r="L9" i="1681"/>
  <c r="D9" i="1681"/>
  <c r="L8" i="1681"/>
  <c r="D8" i="1681" s="1"/>
  <c r="R6" i="1681"/>
  <c r="L6" i="1681"/>
  <c r="D6" i="1681"/>
  <c r="R5" i="1681"/>
  <c r="R4" i="1681"/>
  <c r="D29" i="1681" l="1"/>
  <c r="H13" i="1681" s="1"/>
  <c r="H15" i="1681" s="1"/>
  <c r="G51" i="1681" s="1"/>
  <c r="L28" i="1663"/>
  <c r="H16" i="1663" l="1"/>
  <c r="H16" i="1662"/>
  <c r="C12" i="1664"/>
  <c r="C21" i="1664"/>
  <c r="L28" i="1662"/>
  <c r="L23" i="1662"/>
  <c r="L25" i="1662"/>
  <c r="C6" i="1660" l="1"/>
  <c r="C21" i="1659" l="1"/>
  <c r="L23" i="1658"/>
  <c r="L25" i="1658"/>
  <c r="H16" i="1660"/>
  <c r="H16" i="1659"/>
  <c r="H38" i="1659"/>
  <c r="H39" i="1659"/>
  <c r="H16" i="1656" l="1"/>
  <c r="H16" i="1655"/>
  <c r="H16" i="1654"/>
  <c r="L28" i="1656" l="1"/>
  <c r="C12" i="1656"/>
  <c r="L28" i="1655"/>
  <c r="C9" i="1654"/>
  <c r="L28" i="1654"/>
  <c r="H16" i="1652" l="1"/>
  <c r="H16" i="1650"/>
  <c r="C18" i="1652"/>
  <c r="C15" i="1652"/>
  <c r="C12" i="1650"/>
  <c r="H16" i="1648" l="1"/>
  <c r="R52" i="1680" l="1"/>
  <c r="L22" i="1680" s="1"/>
  <c r="D22" i="1680" s="1"/>
  <c r="R51" i="1680"/>
  <c r="D50" i="1680"/>
  <c r="R49" i="1680"/>
  <c r="D49" i="1680"/>
  <c r="R48" i="1680"/>
  <c r="D48" i="1680"/>
  <c r="D46" i="1680"/>
  <c r="D45" i="1680"/>
  <c r="R44" i="1680"/>
  <c r="D44" i="1680"/>
  <c r="R42" i="1680"/>
  <c r="L6" i="1680" s="1"/>
  <c r="D6" i="1680" s="1"/>
  <c r="D42" i="1680"/>
  <c r="R41" i="1680"/>
  <c r="D41" i="1680"/>
  <c r="R40" i="1680"/>
  <c r="D40" i="1680"/>
  <c r="R39" i="1680"/>
  <c r="H39" i="1680"/>
  <c r="D39" i="1680"/>
  <c r="R38" i="1680"/>
  <c r="H38" i="1680"/>
  <c r="D38" i="1680"/>
  <c r="R37" i="1680"/>
  <c r="H37" i="1680"/>
  <c r="D37" i="1680"/>
  <c r="R36" i="1680"/>
  <c r="H36" i="1680"/>
  <c r="D36" i="1680"/>
  <c r="R35" i="1680"/>
  <c r="L19" i="1680" s="1"/>
  <c r="D19" i="1680" s="1"/>
  <c r="H35" i="1680"/>
  <c r="D35" i="1680"/>
  <c r="D54" i="1680" s="1"/>
  <c r="H14" i="1680" s="1"/>
  <c r="R34" i="1680"/>
  <c r="L12" i="1680" s="1"/>
  <c r="D12" i="1680" s="1"/>
  <c r="H34" i="1680"/>
  <c r="G49" i="1680" s="1"/>
  <c r="D34" i="1680"/>
  <c r="R33" i="1680"/>
  <c r="L23" i="1680" s="1"/>
  <c r="D23" i="1680" s="1"/>
  <c r="R32" i="1680"/>
  <c r="L11" i="1680" s="1"/>
  <c r="D11" i="1680" s="1"/>
  <c r="R31" i="1680"/>
  <c r="R30" i="1680"/>
  <c r="R29" i="1680"/>
  <c r="R28" i="1680"/>
  <c r="D28" i="1680"/>
  <c r="R27" i="1680"/>
  <c r="D27" i="1680"/>
  <c r="R26" i="1680"/>
  <c r="L26" i="1680"/>
  <c r="D26" i="1680"/>
  <c r="R25" i="1680"/>
  <c r="L25" i="1680"/>
  <c r="D25" i="1680"/>
  <c r="R24" i="1680"/>
  <c r="D24" i="1680"/>
  <c r="R23" i="1680"/>
  <c r="R22" i="1680"/>
  <c r="R21" i="1680"/>
  <c r="D21" i="1680"/>
  <c r="R20" i="1680"/>
  <c r="L20" i="1680"/>
  <c r="D20" i="1680"/>
  <c r="R19" i="1680"/>
  <c r="R18" i="1680"/>
  <c r="D18" i="1680"/>
  <c r="R17" i="1680"/>
  <c r="D17" i="1680"/>
  <c r="R16" i="1680"/>
  <c r="L16" i="1680"/>
  <c r="D16" i="1680" s="1"/>
  <c r="R15" i="1680"/>
  <c r="D15" i="1680"/>
  <c r="R14" i="1680"/>
  <c r="D14" i="1680"/>
  <c r="R13" i="1680"/>
  <c r="D13" i="1680"/>
  <c r="R12" i="1680"/>
  <c r="R11" i="1680"/>
  <c r="L10" i="1680"/>
  <c r="D10" i="1680"/>
  <c r="L9" i="1680"/>
  <c r="D9" i="1680" s="1"/>
  <c r="L8" i="1680"/>
  <c r="D8" i="1680" s="1"/>
  <c r="L7" i="1680"/>
  <c r="D7" i="1680" s="1"/>
  <c r="R6" i="1680"/>
  <c r="R5" i="1680"/>
  <c r="R4" i="1680"/>
  <c r="R52" i="1679"/>
  <c r="R51" i="1679"/>
  <c r="D50" i="1679"/>
  <c r="R49" i="1679"/>
  <c r="D49" i="1679"/>
  <c r="R48" i="1679"/>
  <c r="D48" i="1679"/>
  <c r="D46" i="1679"/>
  <c r="D45" i="1679"/>
  <c r="R44" i="1679"/>
  <c r="D44" i="1679"/>
  <c r="R42" i="1679"/>
  <c r="L6" i="1679" s="1"/>
  <c r="D6" i="1679" s="1"/>
  <c r="D42" i="1679"/>
  <c r="R41" i="1679"/>
  <c r="L7" i="1679" s="1"/>
  <c r="D7" i="1679" s="1"/>
  <c r="D41" i="1679"/>
  <c r="R40" i="1679"/>
  <c r="L8" i="1679" s="1"/>
  <c r="D8" i="1679" s="1"/>
  <c r="D40" i="1679"/>
  <c r="R39" i="1679"/>
  <c r="L20" i="1679" s="1"/>
  <c r="D20" i="1679" s="1"/>
  <c r="H39" i="1679"/>
  <c r="D39" i="1679"/>
  <c r="R38" i="1679"/>
  <c r="H38" i="1679"/>
  <c r="D38" i="1679"/>
  <c r="R37" i="1679"/>
  <c r="H37" i="1679"/>
  <c r="D37" i="1679"/>
  <c r="R36" i="1679"/>
  <c r="H36" i="1679"/>
  <c r="D36" i="1679"/>
  <c r="D54" i="1679" s="1"/>
  <c r="H14" i="1679" s="1"/>
  <c r="R35" i="1679"/>
  <c r="L19" i="1679" s="1"/>
  <c r="D19" i="1679" s="1"/>
  <c r="H35" i="1679"/>
  <c r="D35" i="1679"/>
  <c r="R34" i="1679"/>
  <c r="H34" i="1679"/>
  <c r="G49" i="1679" s="1"/>
  <c r="D34" i="1679"/>
  <c r="R33" i="1679"/>
  <c r="L23" i="1679" s="1"/>
  <c r="D23" i="1679" s="1"/>
  <c r="R32" i="1679"/>
  <c r="R31" i="1679"/>
  <c r="R30" i="1679"/>
  <c r="R29" i="1679"/>
  <c r="R28" i="1679"/>
  <c r="D28" i="1679"/>
  <c r="R27" i="1679"/>
  <c r="D27" i="1679"/>
  <c r="R26" i="1679"/>
  <c r="L26" i="1679"/>
  <c r="D26" i="1679" s="1"/>
  <c r="R25" i="1679"/>
  <c r="L25" i="1679"/>
  <c r="D25" i="1679"/>
  <c r="R24" i="1679"/>
  <c r="L24" i="1679"/>
  <c r="D24" i="1679" s="1"/>
  <c r="R23" i="1679"/>
  <c r="R22" i="1679"/>
  <c r="L22" i="1679"/>
  <c r="D22" i="1679"/>
  <c r="R21" i="1679"/>
  <c r="L17" i="1679" s="1"/>
  <c r="D17" i="1679" s="1"/>
  <c r="D21" i="1679"/>
  <c r="R20" i="1679"/>
  <c r="R19" i="1679"/>
  <c r="R18" i="1679"/>
  <c r="D18" i="1679"/>
  <c r="R17" i="1679"/>
  <c r="R16" i="1679"/>
  <c r="L16" i="1679"/>
  <c r="D16" i="1679"/>
  <c r="R15" i="1679"/>
  <c r="D15" i="1679"/>
  <c r="R14" i="1679"/>
  <c r="D14" i="1679"/>
  <c r="R13" i="1679"/>
  <c r="D13" i="1679"/>
  <c r="R12" i="1679"/>
  <c r="L12" i="1679"/>
  <c r="D12" i="1679" s="1"/>
  <c r="R11" i="1679"/>
  <c r="L11" i="1679"/>
  <c r="D11" i="1679"/>
  <c r="L10" i="1679"/>
  <c r="D10" i="1679" s="1"/>
  <c r="L9" i="1679"/>
  <c r="D9" i="1679" s="1"/>
  <c r="R6" i="1679"/>
  <c r="R5" i="1679"/>
  <c r="R4" i="1679"/>
  <c r="R52" i="1678"/>
  <c r="R51" i="1678"/>
  <c r="D50" i="1678"/>
  <c r="R49" i="1678"/>
  <c r="D49" i="1678"/>
  <c r="R48" i="1678"/>
  <c r="D48" i="1678"/>
  <c r="D46" i="1678"/>
  <c r="D45" i="1678"/>
  <c r="R44" i="1678"/>
  <c r="D44" i="1678"/>
  <c r="R42" i="1678"/>
  <c r="D42" i="1678"/>
  <c r="R41" i="1678"/>
  <c r="L7" i="1678" s="1"/>
  <c r="D7" i="1678" s="1"/>
  <c r="D41" i="1678"/>
  <c r="R40" i="1678"/>
  <c r="D40" i="1678"/>
  <c r="R39" i="1678"/>
  <c r="L20" i="1678" s="1"/>
  <c r="D20" i="1678" s="1"/>
  <c r="H39" i="1678"/>
  <c r="D39" i="1678"/>
  <c r="R38" i="1678"/>
  <c r="L9" i="1678" s="1"/>
  <c r="D9" i="1678" s="1"/>
  <c r="H38" i="1678"/>
  <c r="D38" i="1678"/>
  <c r="R37" i="1678"/>
  <c r="H37" i="1678"/>
  <c r="D37" i="1678"/>
  <c r="R36" i="1678"/>
  <c r="L10" i="1678" s="1"/>
  <c r="D10" i="1678" s="1"/>
  <c r="H36" i="1678"/>
  <c r="D36" i="1678"/>
  <c r="R35" i="1678"/>
  <c r="H35" i="1678"/>
  <c r="D35" i="1678"/>
  <c r="R34" i="1678"/>
  <c r="H34" i="1678"/>
  <c r="G49" i="1678" s="1"/>
  <c r="D34" i="1678"/>
  <c r="D54" i="1678" s="1"/>
  <c r="H14" i="1678" s="1"/>
  <c r="R33" i="1678"/>
  <c r="R32" i="1678"/>
  <c r="L11" i="1678" s="1"/>
  <c r="D11" i="1678" s="1"/>
  <c r="R31" i="1678"/>
  <c r="R30" i="1678"/>
  <c r="R29" i="1678"/>
  <c r="R28" i="1678"/>
  <c r="L16" i="1678" s="1"/>
  <c r="D16" i="1678" s="1"/>
  <c r="D28" i="1678"/>
  <c r="R27" i="1678"/>
  <c r="D27" i="1678"/>
  <c r="R26" i="1678"/>
  <c r="L26" i="1678"/>
  <c r="D26" i="1678"/>
  <c r="R25" i="1678"/>
  <c r="L25" i="1678"/>
  <c r="D25" i="1678" s="1"/>
  <c r="R24" i="1678"/>
  <c r="L24" i="1678"/>
  <c r="D24" i="1678" s="1"/>
  <c r="R23" i="1678"/>
  <c r="D23" i="1678"/>
  <c r="R22" i="1678"/>
  <c r="D22" i="1678"/>
  <c r="R21" i="1678"/>
  <c r="D21" i="1678"/>
  <c r="R20" i="1678"/>
  <c r="R19" i="1678"/>
  <c r="D19" i="1678"/>
  <c r="R18" i="1678"/>
  <c r="D18" i="1678"/>
  <c r="R17" i="1678"/>
  <c r="L17" i="1678"/>
  <c r="D17" i="1678" s="1"/>
  <c r="R16" i="1678"/>
  <c r="R15" i="1678"/>
  <c r="D15" i="1678"/>
  <c r="R14" i="1678"/>
  <c r="D14" i="1678"/>
  <c r="R13" i="1678"/>
  <c r="D13" i="1678"/>
  <c r="R12" i="1678"/>
  <c r="L12" i="1678"/>
  <c r="D12" i="1678" s="1"/>
  <c r="R11" i="1678"/>
  <c r="L8" i="1678"/>
  <c r="D8" i="1678" s="1"/>
  <c r="R6" i="1678"/>
  <c r="L6" i="1678"/>
  <c r="D6" i="1678" s="1"/>
  <c r="R5" i="1678"/>
  <c r="R4" i="1678"/>
  <c r="R52" i="1677"/>
  <c r="R51" i="1677"/>
  <c r="D50" i="1677"/>
  <c r="R49" i="1677"/>
  <c r="G49" i="1677"/>
  <c r="D49" i="1677"/>
  <c r="R48" i="1677"/>
  <c r="D48" i="1677"/>
  <c r="D46" i="1677"/>
  <c r="D45" i="1677"/>
  <c r="D44" i="1677"/>
  <c r="R42" i="1677"/>
  <c r="L6" i="1677" s="1"/>
  <c r="D6" i="1677" s="1"/>
  <c r="D42" i="1677"/>
  <c r="R41" i="1677"/>
  <c r="L7" i="1677" s="1"/>
  <c r="D7" i="1677" s="1"/>
  <c r="D41" i="1677"/>
  <c r="R40" i="1677"/>
  <c r="D40" i="1677"/>
  <c r="R39" i="1677"/>
  <c r="D39" i="1677"/>
  <c r="R38" i="1677"/>
  <c r="D38" i="1677"/>
  <c r="R37" i="1677"/>
  <c r="D37" i="1677"/>
  <c r="R36" i="1677"/>
  <c r="L10" i="1677" s="1"/>
  <c r="D10" i="1677" s="1"/>
  <c r="D36" i="1677"/>
  <c r="R35" i="1677"/>
  <c r="L19" i="1677" s="1"/>
  <c r="D19" i="1677" s="1"/>
  <c r="D35" i="1677"/>
  <c r="R34" i="1677"/>
  <c r="L12" i="1677" s="1"/>
  <c r="D12" i="1677" s="1"/>
  <c r="D34" i="1677"/>
  <c r="D54" i="1677" s="1"/>
  <c r="H14" i="1677" s="1"/>
  <c r="R33" i="1677"/>
  <c r="L23" i="1677" s="1"/>
  <c r="D23" i="1677" s="1"/>
  <c r="R32" i="1677"/>
  <c r="L11" i="1677" s="1"/>
  <c r="D11" i="1677" s="1"/>
  <c r="R31" i="1677"/>
  <c r="R30" i="1677"/>
  <c r="R29" i="1677"/>
  <c r="R28" i="1677"/>
  <c r="D28" i="1677"/>
  <c r="R27" i="1677"/>
  <c r="D27" i="1677"/>
  <c r="R26" i="1677"/>
  <c r="L26" i="1677"/>
  <c r="D26" i="1677" s="1"/>
  <c r="R25" i="1677"/>
  <c r="L25" i="1677"/>
  <c r="D25" i="1677"/>
  <c r="R24" i="1677"/>
  <c r="D24" i="1677"/>
  <c r="R23" i="1677"/>
  <c r="R22" i="1677"/>
  <c r="L22" i="1677"/>
  <c r="D22" i="1677"/>
  <c r="R21" i="1677"/>
  <c r="D21" i="1677"/>
  <c r="R20" i="1677"/>
  <c r="L20" i="1677"/>
  <c r="D20" i="1677" s="1"/>
  <c r="R19" i="1677"/>
  <c r="R18" i="1677"/>
  <c r="D18" i="1677"/>
  <c r="R17" i="1677"/>
  <c r="D17" i="1677"/>
  <c r="R16" i="1677"/>
  <c r="L16" i="1677"/>
  <c r="D16" i="1677" s="1"/>
  <c r="S15" i="1677"/>
  <c r="R15" i="1677"/>
  <c r="D15" i="1677"/>
  <c r="S14" i="1677"/>
  <c r="R14" i="1677"/>
  <c r="D14" i="1677"/>
  <c r="R13" i="1677"/>
  <c r="D13" i="1677"/>
  <c r="R12" i="1677"/>
  <c r="R11" i="1677"/>
  <c r="L9" i="1677"/>
  <c r="D9" i="1677"/>
  <c r="L8" i="1677"/>
  <c r="D8" i="1677"/>
  <c r="R6" i="1677"/>
  <c r="R5" i="1677"/>
  <c r="R4" i="1677"/>
  <c r="R52" i="1676"/>
  <c r="L22" i="1676" s="1"/>
  <c r="D22" i="1676" s="1"/>
  <c r="R51" i="1676"/>
  <c r="D50" i="1676"/>
  <c r="R49" i="1676"/>
  <c r="D49" i="1676"/>
  <c r="R48" i="1676"/>
  <c r="D48" i="1676"/>
  <c r="D46" i="1676"/>
  <c r="D45" i="1676"/>
  <c r="R44" i="1676"/>
  <c r="D44" i="1676"/>
  <c r="R42" i="1676"/>
  <c r="D42" i="1676"/>
  <c r="R41" i="1676"/>
  <c r="D41" i="1676"/>
  <c r="R40" i="1676"/>
  <c r="D40" i="1676"/>
  <c r="R39" i="1676"/>
  <c r="H39" i="1676"/>
  <c r="D39" i="1676"/>
  <c r="R38" i="1676"/>
  <c r="H38" i="1676"/>
  <c r="D38" i="1676"/>
  <c r="R37" i="1676"/>
  <c r="H37" i="1676"/>
  <c r="D37" i="1676"/>
  <c r="R36" i="1676"/>
  <c r="H36" i="1676"/>
  <c r="D36" i="1676"/>
  <c r="R35" i="1676"/>
  <c r="H35" i="1676"/>
  <c r="D35" i="1676"/>
  <c r="R34" i="1676"/>
  <c r="L12" i="1676" s="1"/>
  <c r="D12" i="1676" s="1"/>
  <c r="H34" i="1676"/>
  <c r="G49" i="1676" s="1"/>
  <c r="D34" i="1676"/>
  <c r="D54" i="1676" s="1"/>
  <c r="H14" i="1676" s="1"/>
  <c r="R33" i="1676"/>
  <c r="L23" i="1676" s="1"/>
  <c r="D23" i="1676" s="1"/>
  <c r="R32" i="1676"/>
  <c r="R31" i="1676"/>
  <c r="R30" i="1676"/>
  <c r="R29" i="1676"/>
  <c r="R28" i="1676"/>
  <c r="D28" i="1676"/>
  <c r="R27" i="1676"/>
  <c r="D27" i="1676"/>
  <c r="R26" i="1676"/>
  <c r="L26" i="1676"/>
  <c r="D26" i="1676"/>
  <c r="R25" i="1676"/>
  <c r="L25" i="1676"/>
  <c r="D25" i="1676" s="1"/>
  <c r="R24" i="1676"/>
  <c r="D24" i="1676"/>
  <c r="R23" i="1676"/>
  <c r="R22" i="1676"/>
  <c r="R21" i="1676"/>
  <c r="D21" i="1676"/>
  <c r="R20" i="1676"/>
  <c r="L20" i="1676"/>
  <c r="D20" i="1676"/>
  <c r="R19" i="1676"/>
  <c r="L19" i="1676"/>
  <c r="D19" i="1676" s="1"/>
  <c r="R18" i="1676"/>
  <c r="D18" i="1676"/>
  <c r="R17" i="1676"/>
  <c r="D17" i="1676"/>
  <c r="R16" i="1676"/>
  <c r="L16" i="1676"/>
  <c r="D16" i="1676" s="1"/>
  <c r="R15" i="1676"/>
  <c r="D15" i="1676"/>
  <c r="R14" i="1676"/>
  <c r="D14" i="1676"/>
  <c r="R13" i="1676"/>
  <c r="D13" i="1676"/>
  <c r="R12" i="1676"/>
  <c r="R11" i="1676"/>
  <c r="L11" i="1676"/>
  <c r="D11" i="1676"/>
  <c r="L10" i="1676"/>
  <c r="D10" i="1676" s="1"/>
  <c r="L9" i="1676"/>
  <c r="D9" i="1676" s="1"/>
  <c r="L8" i="1676"/>
  <c r="D8" i="1676" s="1"/>
  <c r="L7" i="1676"/>
  <c r="D7" i="1676"/>
  <c r="R6" i="1676"/>
  <c r="L6" i="1676"/>
  <c r="D6" i="1676" s="1"/>
  <c r="R5" i="1676"/>
  <c r="R4" i="1676"/>
  <c r="R52" i="1675"/>
  <c r="R51" i="1675"/>
  <c r="D50" i="1675"/>
  <c r="R49" i="1675"/>
  <c r="D49" i="1675"/>
  <c r="R48" i="1675"/>
  <c r="D48" i="1675"/>
  <c r="D46" i="1675"/>
  <c r="D45" i="1675"/>
  <c r="R44" i="1675"/>
  <c r="D44" i="1675"/>
  <c r="R42" i="1675"/>
  <c r="L6" i="1675" s="1"/>
  <c r="D6" i="1675" s="1"/>
  <c r="D42" i="1675"/>
  <c r="R41" i="1675"/>
  <c r="D41" i="1675"/>
  <c r="R40" i="1675"/>
  <c r="D40" i="1675"/>
  <c r="R39" i="1675"/>
  <c r="L20" i="1675" s="1"/>
  <c r="D20" i="1675" s="1"/>
  <c r="H39" i="1675"/>
  <c r="D39" i="1675"/>
  <c r="R38" i="1675"/>
  <c r="H38" i="1675"/>
  <c r="D38" i="1675"/>
  <c r="R37" i="1675"/>
  <c r="H37" i="1675"/>
  <c r="D37" i="1675"/>
  <c r="R36" i="1675"/>
  <c r="L10" i="1675" s="1"/>
  <c r="D10" i="1675" s="1"/>
  <c r="H36" i="1675"/>
  <c r="D36" i="1675"/>
  <c r="R35" i="1675"/>
  <c r="H35" i="1675"/>
  <c r="D35" i="1675"/>
  <c r="R34" i="1675"/>
  <c r="H34" i="1675"/>
  <c r="G49" i="1675" s="1"/>
  <c r="D34" i="1675"/>
  <c r="D54" i="1675" s="1"/>
  <c r="H14" i="1675" s="1"/>
  <c r="R33" i="1675"/>
  <c r="R32" i="1675"/>
  <c r="R31" i="1675"/>
  <c r="R30" i="1675"/>
  <c r="R29" i="1675"/>
  <c r="R28" i="1675"/>
  <c r="L16" i="1675" s="1"/>
  <c r="D16" i="1675" s="1"/>
  <c r="D28" i="1675"/>
  <c r="R27" i="1675"/>
  <c r="D27" i="1675"/>
  <c r="R26" i="1675"/>
  <c r="L26" i="1675"/>
  <c r="D26" i="1675"/>
  <c r="R25" i="1675"/>
  <c r="L25" i="1675"/>
  <c r="D25" i="1675" s="1"/>
  <c r="R24" i="1675"/>
  <c r="L24" i="1675"/>
  <c r="D24" i="1675"/>
  <c r="R23" i="1675"/>
  <c r="L23" i="1675"/>
  <c r="D23" i="1675"/>
  <c r="R22" i="1675"/>
  <c r="L22" i="1675"/>
  <c r="D22" i="1675"/>
  <c r="R21" i="1675"/>
  <c r="D21" i="1675"/>
  <c r="R20" i="1675"/>
  <c r="R19" i="1675"/>
  <c r="L19" i="1675"/>
  <c r="D19" i="1675"/>
  <c r="R18" i="1675"/>
  <c r="D18" i="1675"/>
  <c r="R17" i="1675"/>
  <c r="L17" i="1675"/>
  <c r="D17" i="1675"/>
  <c r="R16" i="1675"/>
  <c r="R15" i="1675"/>
  <c r="D15" i="1675"/>
  <c r="R14" i="1675"/>
  <c r="D14" i="1675"/>
  <c r="R13" i="1675"/>
  <c r="D13" i="1675"/>
  <c r="R12" i="1675"/>
  <c r="L12" i="1675"/>
  <c r="D12" i="1675"/>
  <c r="R11" i="1675"/>
  <c r="L11" i="1675"/>
  <c r="D11" i="1675" s="1"/>
  <c r="L9" i="1675"/>
  <c r="D9" i="1675" s="1"/>
  <c r="L8" i="1675"/>
  <c r="D8" i="1675"/>
  <c r="L7" i="1675"/>
  <c r="D7" i="1675" s="1"/>
  <c r="R6" i="1675"/>
  <c r="R5" i="1675"/>
  <c r="R4" i="1675"/>
  <c r="R52" i="1674"/>
  <c r="R51" i="1674"/>
  <c r="D50" i="1674"/>
  <c r="R49" i="1674"/>
  <c r="D49" i="1674"/>
  <c r="R48" i="1674"/>
  <c r="D48" i="1674"/>
  <c r="D46" i="1674"/>
  <c r="D45" i="1674"/>
  <c r="R44" i="1674"/>
  <c r="D44" i="1674"/>
  <c r="R42" i="1674"/>
  <c r="L6" i="1674" s="1"/>
  <c r="D6" i="1674" s="1"/>
  <c r="D29" i="1674" s="1"/>
  <c r="H13" i="1674" s="1"/>
  <c r="H15" i="1674" s="1"/>
  <c r="H29" i="1674" s="1"/>
  <c r="D42" i="1674"/>
  <c r="R41" i="1674"/>
  <c r="D41" i="1674"/>
  <c r="R40" i="1674"/>
  <c r="D40" i="1674"/>
  <c r="R39" i="1674"/>
  <c r="H39" i="1674"/>
  <c r="D39" i="1674"/>
  <c r="R38" i="1674"/>
  <c r="H38" i="1674"/>
  <c r="D38" i="1674"/>
  <c r="R37" i="1674"/>
  <c r="H37" i="1674"/>
  <c r="D37" i="1674"/>
  <c r="R36" i="1674"/>
  <c r="H36" i="1674"/>
  <c r="D36" i="1674"/>
  <c r="R35" i="1674"/>
  <c r="H35" i="1674"/>
  <c r="D35" i="1674"/>
  <c r="R34" i="1674"/>
  <c r="H34" i="1674"/>
  <c r="G49" i="1674" s="1"/>
  <c r="D34" i="1674"/>
  <c r="D54" i="1674" s="1"/>
  <c r="H14" i="1674" s="1"/>
  <c r="R33" i="1674"/>
  <c r="R32" i="1674"/>
  <c r="R31" i="1674"/>
  <c r="R30" i="1674"/>
  <c r="R29" i="1674"/>
  <c r="R28" i="1674"/>
  <c r="D28" i="1674"/>
  <c r="R27" i="1674"/>
  <c r="D27" i="1674"/>
  <c r="R26" i="1674"/>
  <c r="L26" i="1674"/>
  <c r="D26" i="1674"/>
  <c r="R25" i="1674"/>
  <c r="L25" i="1674"/>
  <c r="D25" i="1674"/>
  <c r="R24" i="1674"/>
  <c r="L24" i="1674"/>
  <c r="D24" i="1674"/>
  <c r="R23" i="1674"/>
  <c r="D23" i="1674"/>
  <c r="R22" i="1674"/>
  <c r="D22" i="1674"/>
  <c r="R21" i="1674"/>
  <c r="D21" i="1674"/>
  <c r="R20" i="1674"/>
  <c r="L20" i="1674"/>
  <c r="D20" i="1674" s="1"/>
  <c r="R19" i="1674"/>
  <c r="D19" i="1674"/>
  <c r="R18" i="1674"/>
  <c r="D18" i="1674"/>
  <c r="R17" i="1674"/>
  <c r="L17" i="1674"/>
  <c r="D17" i="1674"/>
  <c r="R16" i="1674"/>
  <c r="L16" i="1674"/>
  <c r="D16" i="1674" s="1"/>
  <c r="R15" i="1674"/>
  <c r="D15" i="1674"/>
  <c r="R14" i="1674"/>
  <c r="D14" i="1674"/>
  <c r="R13" i="1674"/>
  <c r="D13" i="1674"/>
  <c r="R12" i="1674"/>
  <c r="L12" i="1674"/>
  <c r="D12" i="1674" s="1"/>
  <c r="R11" i="1674"/>
  <c r="L11" i="1674"/>
  <c r="D11" i="1674"/>
  <c r="L10" i="1674"/>
  <c r="D10" i="1674" s="1"/>
  <c r="L9" i="1674"/>
  <c r="D9" i="1674"/>
  <c r="L8" i="1674"/>
  <c r="D8" i="1674" s="1"/>
  <c r="L7" i="1674"/>
  <c r="D7" i="1674"/>
  <c r="R6" i="1674"/>
  <c r="R5" i="1674"/>
  <c r="R4" i="1674"/>
  <c r="R52" i="1673"/>
  <c r="R51" i="1673"/>
  <c r="D50" i="1673"/>
  <c r="R49" i="1673"/>
  <c r="G49" i="1673"/>
  <c r="D49" i="1673"/>
  <c r="R48" i="1673"/>
  <c r="D48" i="1673"/>
  <c r="D46" i="1673"/>
  <c r="D45" i="1673"/>
  <c r="D44" i="1673"/>
  <c r="R42" i="1673"/>
  <c r="L6" i="1673" s="1"/>
  <c r="D6" i="1673" s="1"/>
  <c r="D29" i="1673" s="1"/>
  <c r="H13" i="1673" s="1"/>
  <c r="H15" i="1673" s="1"/>
  <c r="H29" i="1673" s="1"/>
  <c r="D42" i="1673"/>
  <c r="R41" i="1673"/>
  <c r="L7" i="1673" s="1"/>
  <c r="D7" i="1673" s="1"/>
  <c r="D41" i="1673"/>
  <c r="R40" i="1673"/>
  <c r="D40" i="1673"/>
  <c r="R39" i="1673"/>
  <c r="D39" i="1673"/>
  <c r="R38" i="1673"/>
  <c r="L9" i="1673" s="1"/>
  <c r="D9" i="1673" s="1"/>
  <c r="D38" i="1673"/>
  <c r="R37" i="1673"/>
  <c r="D37" i="1673"/>
  <c r="R36" i="1673"/>
  <c r="L10" i="1673" s="1"/>
  <c r="D10" i="1673" s="1"/>
  <c r="D36" i="1673"/>
  <c r="R35" i="1673"/>
  <c r="D35" i="1673"/>
  <c r="R34" i="1673"/>
  <c r="L12" i="1673" s="1"/>
  <c r="D12" i="1673" s="1"/>
  <c r="D34" i="1673"/>
  <c r="D54" i="1673" s="1"/>
  <c r="H14" i="1673" s="1"/>
  <c r="R33" i="1673"/>
  <c r="L23" i="1673" s="1"/>
  <c r="D23" i="1673" s="1"/>
  <c r="R32" i="1673"/>
  <c r="R31" i="1673"/>
  <c r="R30" i="1673"/>
  <c r="R29" i="1673"/>
  <c r="R28" i="1673"/>
  <c r="D28" i="1673"/>
  <c r="R27" i="1673"/>
  <c r="D27" i="1673"/>
  <c r="R26" i="1673"/>
  <c r="L26" i="1673"/>
  <c r="D26" i="1673"/>
  <c r="R25" i="1673"/>
  <c r="L25" i="1673"/>
  <c r="D25" i="1673"/>
  <c r="R24" i="1673"/>
  <c r="D24" i="1673"/>
  <c r="R23" i="1673"/>
  <c r="R22" i="1673"/>
  <c r="L22" i="1673"/>
  <c r="D22" i="1673"/>
  <c r="R21" i="1673"/>
  <c r="D21" i="1673"/>
  <c r="R20" i="1673"/>
  <c r="L20" i="1673"/>
  <c r="D20" i="1673"/>
  <c r="R19" i="1673"/>
  <c r="L19" i="1673"/>
  <c r="D19" i="1673"/>
  <c r="R18" i="1673"/>
  <c r="D18" i="1673"/>
  <c r="R17" i="1673"/>
  <c r="D17" i="1673"/>
  <c r="R16" i="1673"/>
  <c r="L16" i="1673"/>
  <c r="D16" i="1673" s="1"/>
  <c r="S15" i="1673"/>
  <c r="R15" i="1673"/>
  <c r="D15" i="1673"/>
  <c r="S14" i="1673"/>
  <c r="R14" i="1673"/>
  <c r="D14" i="1673"/>
  <c r="R13" i="1673"/>
  <c r="D13" i="1673"/>
  <c r="R12" i="1673"/>
  <c r="R11" i="1673"/>
  <c r="L11" i="1673"/>
  <c r="D11" i="1673"/>
  <c r="L8" i="1673"/>
  <c r="D8" i="1673"/>
  <c r="R6" i="1673"/>
  <c r="R5" i="1673"/>
  <c r="R4" i="1673"/>
  <c r="R52" i="1672"/>
  <c r="R51" i="1672"/>
  <c r="D50" i="1672"/>
  <c r="R49" i="1672"/>
  <c r="D49" i="1672"/>
  <c r="R48" i="1672"/>
  <c r="D48" i="1672"/>
  <c r="D46" i="1672"/>
  <c r="D45" i="1672"/>
  <c r="R44" i="1672"/>
  <c r="D44" i="1672"/>
  <c r="R42" i="1672"/>
  <c r="D42" i="1672"/>
  <c r="R41" i="1672"/>
  <c r="D41" i="1672"/>
  <c r="R40" i="1672"/>
  <c r="D40" i="1672"/>
  <c r="R39" i="1672"/>
  <c r="H39" i="1672"/>
  <c r="D39" i="1672"/>
  <c r="R38" i="1672"/>
  <c r="H38" i="1672"/>
  <c r="D38" i="1672"/>
  <c r="R37" i="1672"/>
  <c r="H37" i="1672"/>
  <c r="D37" i="1672"/>
  <c r="R36" i="1672"/>
  <c r="H36" i="1672"/>
  <c r="D36" i="1672"/>
  <c r="D54" i="1672" s="1"/>
  <c r="H14" i="1672" s="1"/>
  <c r="R35" i="1672"/>
  <c r="L19" i="1672" s="1"/>
  <c r="D19" i="1672" s="1"/>
  <c r="H35" i="1672"/>
  <c r="D35" i="1672"/>
  <c r="R34" i="1672"/>
  <c r="H34" i="1672"/>
  <c r="G49" i="1672" s="1"/>
  <c r="D34" i="1672"/>
  <c r="R33" i="1672"/>
  <c r="L23" i="1672" s="1"/>
  <c r="D23" i="1672" s="1"/>
  <c r="R32" i="1672"/>
  <c r="R31" i="1672"/>
  <c r="R30" i="1672"/>
  <c r="R29" i="1672"/>
  <c r="R28" i="1672"/>
  <c r="L16" i="1672" s="1"/>
  <c r="D16" i="1672" s="1"/>
  <c r="D28" i="1672"/>
  <c r="R27" i="1672"/>
  <c r="D27" i="1672"/>
  <c r="R26" i="1672"/>
  <c r="L26" i="1672"/>
  <c r="D26" i="1672"/>
  <c r="R25" i="1672"/>
  <c r="L25" i="1672"/>
  <c r="D25" i="1672" s="1"/>
  <c r="R24" i="1672"/>
  <c r="D24" i="1672"/>
  <c r="R23" i="1672"/>
  <c r="R22" i="1672"/>
  <c r="L22" i="1672"/>
  <c r="D22" i="1672" s="1"/>
  <c r="R21" i="1672"/>
  <c r="D21" i="1672"/>
  <c r="R20" i="1672"/>
  <c r="L20" i="1672"/>
  <c r="D20" i="1672"/>
  <c r="R19" i="1672"/>
  <c r="R18" i="1672"/>
  <c r="D18" i="1672"/>
  <c r="R17" i="1672"/>
  <c r="D17" i="1672"/>
  <c r="R16" i="1672"/>
  <c r="R15" i="1672"/>
  <c r="D15" i="1672"/>
  <c r="R14" i="1672"/>
  <c r="D14" i="1672"/>
  <c r="R13" i="1672"/>
  <c r="D13" i="1672"/>
  <c r="R12" i="1672"/>
  <c r="L12" i="1672"/>
  <c r="D12" i="1672" s="1"/>
  <c r="R11" i="1672"/>
  <c r="L11" i="1672"/>
  <c r="D11" i="1672" s="1"/>
  <c r="L10" i="1672"/>
  <c r="D10" i="1672" s="1"/>
  <c r="L9" i="1672"/>
  <c r="D9" i="1672" s="1"/>
  <c r="L8" i="1672"/>
  <c r="D8" i="1672" s="1"/>
  <c r="L7" i="1672"/>
  <c r="D7" i="1672" s="1"/>
  <c r="R6" i="1672"/>
  <c r="L6" i="1672"/>
  <c r="D6" i="1672" s="1"/>
  <c r="R5" i="1672"/>
  <c r="R4" i="1672"/>
  <c r="R52" i="1671"/>
  <c r="R51" i="1671"/>
  <c r="D50" i="1671"/>
  <c r="R49" i="1671"/>
  <c r="D49" i="1671"/>
  <c r="R48" i="1671"/>
  <c r="D48" i="1671"/>
  <c r="D46" i="1671"/>
  <c r="D45" i="1671"/>
  <c r="R44" i="1671"/>
  <c r="D44" i="1671"/>
  <c r="R42" i="1671"/>
  <c r="D42" i="1671"/>
  <c r="R41" i="1671"/>
  <c r="L7" i="1671" s="1"/>
  <c r="D7" i="1671" s="1"/>
  <c r="D41" i="1671"/>
  <c r="R40" i="1671"/>
  <c r="L8" i="1671" s="1"/>
  <c r="D8" i="1671" s="1"/>
  <c r="D40" i="1671"/>
  <c r="R39" i="1671"/>
  <c r="L20" i="1671" s="1"/>
  <c r="D20" i="1671" s="1"/>
  <c r="H39" i="1671"/>
  <c r="D39" i="1671"/>
  <c r="R38" i="1671"/>
  <c r="H38" i="1671"/>
  <c r="D38" i="1671"/>
  <c r="R37" i="1671"/>
  <c r="H37" i="1671"/>
  <c r="D37" i="1671"/>
  <c r="R36" i="1671"/>
  <c r="H36" i="1671"/>
  <c r="D36" i="1671"/>
  <c r="D54" i="1671" s="1"/>
  <c r="H14" i="1671" s="1"/>
  <c r="R35" i="1671"/>
  <c r="L19" i="1671" s="1"/>
  <c r="D19" i="1671" s="1"/>
  <c r="H35" i="1671"/>
  <c r="D35" i="1671"/>
  <c r="R34" i="1671"/>
  <c r="H34" i="1671"/>
  <c r="G49" i="1671" s="1"/>
  <c r="D34" i="1671"/>
  <c r="R33" i="1671"/>
  <c r="R32" i="1671"/>
  <c r="L11" i="1671" s="1"/>
  <c r="D11" i="1671" s="1"/>
  <c r="R31" i="1671"/>
  <c r="R30" i="1671"/>
  <c r="R29" i="1671"/>
  <c r="R28" i="1671"/>
  <c r="D28" i="1671"/>
  <c r="R27" i="1671"/>
  <c r="D27" i="1671"/>
  <c r="R26" i="1671"/>
  <c r="L26" i="1671"/>
  <c r="D26" i="1671" s="1"/>
  <c r="R25" i="1671"/>
  <c r="L25" i="1671"/>
  <c r="D25" i="1671"/>
  <c r="R24" i="1671"/>
  <c r="L24" i="1671"/>
  <c r="D24" i="1671" s="1"/>
  <c r="R23" i="1671"/>
  <c r="L23" i="1671"/>
  <c r="D23" i="1671"/>
  <c r="R22" i="1671"/>
  <c r="L22" i="1671"/>
  <c r="D22" i="1671"/>
  <c r="R21" i="1671"/>
  <c r="L17" i="1671" s="1"/>
  <c r="D17" i="1671" s="1"/>
  <c r="D21" i="1671"/>
  <c r="R20" i="1671"/>
  <c r="R19" i="1671"/>
  <c r="R18" i="1671"/>
  <c r="D18" i="1671"/>
  <c r="R17" i="1671"/>
  <c r="R16" i="1671"/>
  <c r="L16" i="1671"/>
  <c r="D16" i="1671"/>
  <c r="R15" i="1671"/>
  <c r="D15" i="1671"/>
  <c r="R14" i="1671"/>
  <c r="D14" i="1671"/>
  <c r="R13" i="1671"/>
  <c r="D13" i="1671"/>
  <c r="R12" i="1671"/>
  <c r="L12" i="1671"/>
  <c r="D12" i="1671" s="1"/>
  <c r="R11" i="1671"/>
  <c r="L10" i="1671"/>
  <c r="D10" i="1671" s="1"/>
  <c r="L9" i="1671"/>
  <c r="D9" i="1671" s="1"/>
  <c r="R6" i="1671"/>
  <c r="L6" i="1671"/>
  <c r="D6" i="1671" s="1"/>
  <c r="D29" i="1671" s="1"/>
  <c r="H13" i="1671" s="1"/>
  <c r="H15" i="1671" s="1"/>
  <c r="H29" i="1671" s="1"/>
  <c r="R5" i="1671"/>
  <c r="R4" i="1671"/>
  <c r="R52" i="1670"/>
  <c r="R51" i="1670"/>
  <c r="D50" i="1670"/>
  <c r="R49" i="1670"/>
  <c r="D49" i="1670"/>
  <c r="R48" i="1670"/>
  <c r="D48" i="1670"/>
  <c r="D46" i="1670"/>
  <c r="D45" i="1670"/>
  <c r="R44" i="1670"/>
  <c r="D44" i="1670"/>
  <c r="R42" i="1670"/>
  <c r="L6" i="1670" s="1"/>
  <c r="D6" i="1670" s="1"/>
  <c r="D42" i="1670"/>
  <c r="R41" i="1670"/>
  <c r="D41" i="1670"/>
  <c r="R40" i="1670"/>
  <c r="L8" i="1670" s="1"/>
  <c r="D8" i="1670" s="1"/>
  <c r="D40" i="1670"/>
  <c r="R39" i="1670"/>
  <c r="H39" i="1670"/>
  <c r="D39" i="1670"/>
  <c r="R38" i="1670"/>
  <c r="H38" i="1670"/>
  <c r="D38" i="1670"/>
  <c r="R37" i="1670"/>
  <c r="H37" i="1670"/>
  <c r="D37" i="1670"/>
  <c r="R36" i="1670"/>
  <c r="L10" i="1670" s="1"/>
  <c r="D10" i="1670" s="1"/>
  <c r="H36" i="1670"/>
  <c r="D36" i="1670"/>
  <c r="R35" i="1670"/>
  <c r="H35" i="1670"/>
  <c r="G49" i="1670" s="1"/>
  <c r="D35" i="1670"/>
  <c r="R34" i="1670"/>
  <c r="L12" i="1670" s="1"/>
  <c r="D12" i="1670" s="1"/>
  <c r="H34" i="1670"/>
  <c r="D34" i="1670"/>
  <c r="D54" i="1670" s="1"/>
  <c r="H14" i="1670" s="1"/>
  <c r="R33" i="1670"/>
  <c r="R32" i="1670"/>
  <c r="R31" i="1670"/>
  <c r="R30" i="1670"/>
  <c r="R29" i="1670"/>
  <c r="R28" i="1670"/>
  <c r="D28" i="1670"/>
  <c r="R27" i="1670"/>
  <c r="D27" i="1670"/>
  <c r="R26" i="1670"/>
  <c r="L26" i="1670"/>
  <c r="D26" i="1670"/>
  <c r="R25" i="1670"/>
  <c r="L25" i="1670"/>
  <c r="D25" i="1670"/>
  <c r="R24" i="1670"/>
  <c r="L24" i="1670"/>
  <c r="D24" i="1670"/>
  <c r="R23" i="1670"/>
  <c r="D23" i="1670"/>
  <c r="R22" i="1670"/>
  <c r="D22" i="1670"/>
  <c r="R21" i="1670"/>
  <c r="D21" i="1670"/>
  <c r="R20" i="1670"/>
  <c r="L20" i="1670"/>
  <c r="D20" i="1670"/>
  <c r="R19" i="1670"/>
  <c r="D19" i="1670"/>
  <c r="R18" i="1670"/>
  <c r="D18" i="1670"/>
  <c r="R17" i="1670"/>
  <c r="L17" i="1670"/>
  <c r="D17" i="1670"/>
  <c r="R16" i="1670"/>
  <c r="L16" i="1670"/>
  <c r="D16" i="1670" s="1"/>
  <c r="R15" i="1670"/>
  <c r="D15" i="1670"/>
  <c r="R14" i="1670"/>
  <c r="D14" i="1670"/>
  <c r="R13" i="1670"/>
  <c r="D13" i="1670"/>
  <c r="R12" i="1670"/>
  <c r="R11" i="1670"/>
  <c r="L11" i="1670"/>
  <c r="D11" i="1670"/>
  <c r="L9" i="1670"/>
  <c r="D9" i="1670"/>
  <c r="L7" i="1670"/>
  <c r="D7" i="1670" s="1"/>
  <c r="R6" i="1670"/>
  <c r="R5" i="1670"/>
  <c r="R4" i="1670"/>
  <c r="R52" i="1669"/>
  <c r="R51" i="1669"/>
  <c r="D50" i="1669"/>
  <c r="R49" i="1669"/>
  <c r="G49" i="1669"/>
  <c r="D49" i="1669"/>
  <c r="R48" i="1669"/>
  <c r="D48" i="1669"/>
  <c r="D46" i="1669"/>
  <c r="D45" i="1669"/>
  <c r="D44" i="1669"/>
  <c r="R42" i="1669"/>
  <c r="L6" i="1669" s="1"/>
  <c r="D6" i="1669" s="1"/>
  <c r="D42" i="1669"/>
  <c r="R41" i="1669"/>
  <c r="L7" i="1669" s="1"/>
  <c r="D7" i="1669" s="1"/>
  <c r="D41" i="1669"/>
  <c r="R40" i="1669"/>
  <c r="D40" i="1669"/>
  <c r="R39" i="1669"/>
  <c r="D39" i="1669"/>
  <c r="R38" i="1669"/>
  <c r="D38" i="1669"/>
  <c r="R37" i="1669"/>
  <c r="D37" i="1669"/>
  <c r="R36" i="1669"/>
  <c r="L10" i="1669" s="1"/>
  <c r="D10" i="1669" s="1"/>
  <c r="D36" i="1669"/>
  <c r="R35" i="1669"/>
  <c r="D35" i="1669"/>
  <c r="R34" i="1669"/>
  <c r="L12" i="1669" s="1"/>
  <c r="D12" i="1669" s="1"/>
  <c r="D34" i="1669"/>
  <c r="D54" i="1669" s="1"/>
  <c r="H14" i="1669" s="1"/>
  <c r="R33" i="1669"/>
  <c r="L23" i="1669" s="1"/>
  <c r="D23" i="1669" s="1"/>
  <c r="R32" i="1669"/>
  <c r="R31" i="1669"/>
  <c r="R30" i="1669"/>
  <c r="R29" i="1669"/>
  <c r="R28" i="1669"/>
  <c r="L16" i="1669" s="1"/>
  <c r="D16" i="1669" s="1"/>
  <c r="D28" i="1669"/>
  <c r="R27" i="1669"/>
  <c r="D27" i="1669"/>
  <c r="R26" i="1669"/>
  <c r="L26" i="1669"/>
  <c r="D26" i="1669"/>
  <c r="R25" i="1669"/>
  <c r="L25" i="1669"/>
  <c r="D25" i="1669"/>
  <c r="R24" i="1669"/>
  <c r="D24" i="1669"/>
  <c r="R23" i="1669"/>
  <c r="R22" i="1669"/>
  <c r="L22" i="1669"/>
  <c r="D22" i="1669" s="1"/>
  <c r="R21" i="1669"/>
  <c r="D21" i="1669"/>
  <c r="R20" i="1669"/>
  <c r="L20" i="1669"/>
  <c r="D20" i="1669"/>
  <c r="R19" i="1669"/>
  <c r="L19" i="1669"/>
  <c r="D19" i="1669"/>
  <c r="R18" i="1669"/>
  <c r="D18" i="1669"/>
  <c r="R17" i="1669"/>
  <c r="D17" i="1669"/>
  <c r="R16" i="1669"/>
  <c r="S15" i="1669"/>
  <c r="R15" i="1669"/>
  <c r="D15" i="1669"/>
  <c r="S14" i="1669"/>
  <c r="R14" i="1669"/>
  <c r="D14" i="1669"/>
  <c r="R13" i="1669"/>
  <c r="D13" i="1669"/>
  <c r="R12" i="1669"/>
  <c r="R11" i="1669"/>
  <c r="L11" i="1669"/>
  <c r="D11" i="1669" s="1"/>
  <c r="L9" i="1669"/>
  <c r="D9" i="1669"/>
  <c r="L8" i="1669"/>
  <c r="D8" i="1669" s="1"/>
  <c r="R6" i="1669"/>
  <c r="R5" i="1669"/>
  <c r="R4" i="1669"/>
  <c r="R52" i="1668"/>
  <c r="R51" i="1668"/>
  <c r="D50" i="1668"/>
  <c r="R49" i="1668"/>
  <c r="D49" i="1668"/>
  <c r="R48" i="1668"/>
  <c r="D48" i="1668"/>
  <c r="D46" i="1668"/>
  <c r="D45" i="1668"/>
  <c r="R44" i="1668"/>
  <c r="D44" i="1668"/>
  <c r="R42" i="1668"/>
  <c r="L6" i="1668" s="1"/>
  <c r="D6" i="1668" s="1"/>
  <c r="D42" i="1668"/>
  <c r="R41" i="1668"/>
  <c r="D41" i="1668"/>
  <c r="R40" i="1668"/>
  <c r="L8" i="1668" s="1"/>
  <c r="D8" i="1668" s="1"/>
  <c r="D40" i="1668"/>
  <c r="R39" i="1668"/>
  <c r="H39" i="1668"/>
  <c r="D39" i="1668"/>
  <c r="R38" i="1668"/>
  <c r="H38" i="1668"/>
  <c r="D38" i="1668"/>
  <c r="R37" i="1668"/>
  <c r="H37" i="1668"/>
  <c r="D37" i="1668"/>
  <c r="R36" i="1668"/>
  <c r="H36" i="1668"/>
  <c r="D36" i="1668"/>
  <c r="R35" i="1668"/>
  <c r="H35" i="1668"/>
  <c r="D35" i="1668"/>
  <c r="R34" i="1668"/>
  <c r="H34" i="1668"/>
  <c r="D34" i="1668"/>
  <c r="R33" i="1668"/>
  <c r="R32" i="1668"/>
  <c r="R31" i="1668"/>
  <c r="R30" i="1668"/>
  <c r="R29" i="1668"/>
  <c r="R28" i="1668"/>
  <c r="L16" i="1668" s="1"/>
  <c r="D16" i="1668" s="1"/>
  <c r="D28" i="1668"/>
  <c r="R27" i="1668"/>
  <c r="D27" i="1668"/>
  <c r="R26" i="1668"/>
  <c r="L26" i="1668"/>
  <c r="D26" i="1668" s="1"/>
  <c r="R25" i="1668"/>
  <c r="L25" i="1668"/>
  <c r="D25" i="1668"/>
  <c r="R24" i="1668"/>
  <c r="D24" i="1668"/>
  <c r="R23" i="1668"/>
  <c r="L23" i="1668"/>
  <c r="D23" i="1668" s="1"/>
  <c r="R22" i="1668"/>
  <c r="L22" i="1668"/>
  <c r="D22" i="1668"/>
  <c r="R21" i="1668"/>
  <c r="D21" i="1668"/>
  <c r="R20" i="1668"/>
  <c r="L20" i="1668"/>
  <c r="D20" i="1668" s="1"/>
  <c r="R19" i="1668"/>
  <c r="L19" i="1668"/>
  <c r="D19" i="1668"/>
  <c r="R18" i="1668"/>
  <c r="D18" i="1668"/>
  <c r="R17" i="1668"/>
  <c r="D17" i="1668"/>
  <c r="R16" i="1668"/>
  <c r="R15" i="1668"/>
  <c r="D15" i="1668"/>
  <c r="R14" i="1668"/>
  <c r="D14" i="1668"/>
  <c r="R13" i="1668"/>
  <c r="D13" i="1668"/>
  <c r="R12" i="1668"/>
  <c r="L12" i="1668"/>
  <c r="D12" i="1668"/>
  <c r="R11" i="1668"/>
  <c r="L11" i="1668"/>
  <c r="D11" i="1668"/>
  <c r="L10" i="1668"/>
  <c r="D10" i="1668"/>
  <c r="L9" i="1668"/>
  <c r="D9" i="1668" s="1"/>
  <c r="L7" i="1668"/>
  <c r="D7" i="1668" s="1"/>
  <c r="R6" i="1668"/>
  <c r="R5" i="1668"/>
  <c r="R4" i="1668"/>
  <c r="R52" i="1667"/>
  <c r="R51" i="1667"/>
  <c r="D50" i="1667"/>
  <c r="R49" i="1667"/>
  <c r="D49" i="1667"/>
  <c r="R48" i="1667"/>
  <c r="D48" i="1667"/>
  <c r="D46" i="1667"/>
  <c r="D45" i="1667"/>
  <c r="R44" i="1667"/>
  <c r="D44" i="1667"/>
  <c r="R42" i="1667"/>
  <c r="D42" i="1667"/>
  <c r="R41" i="1667"/>
  <c r="D41" i="1667"/>
  <c r="R40" i="1667"/>
  <c r="D40" i="1667"/>
  <c r="R39" i="1667"/>
  <c r="L20" i="1667" s="1"/>
  <c r="D20" i="1667" s="1"/>
  <c r="H39" i="1667"/>
  <c r="D39" i="1667"/>
  <c r="R38" i="1667"/>
  <c r="L9" i="1667" s="1"/>
  <c r="D9" i="1667" s="1"/>
  <c r="H38" i="1667"/>
  <c r="D38" i="1667"/>
  <c r="R37" i="1667"/>
  <c r="H37" i="1667"/>
  <c r="D37" i="1667"/>
  <c r="R36" i="1667"/>
  <c r="L10" i="1667" s="1"/>
  <c r="D10" i="1667" s="1"/>
  <c r="H36" i="1667"/>
  <c r="D36" i="1667"/>
  <c r="R35" i="1667"/>
  <c r="H35" i="1667"/>
  <c r="D35" i="1667"/>
  <c r="R34" i="1667"/>
  <c r="L12" i="1667" s="1"/>
  <c r="D12" i="1667" s="1"/>
  <c r="H34" i="1667"/>
  <c r="D34" i="1667"/>
  <c r="R33" i="1667"/>
  <c r="L23" i="1667" s="1"/>
  <c r="D23" i="1667" s="1"/>
  <c r="R32" i="1667"/>
  <c r="R31" i="1667"/>
  <c r="R30" i="1667"/>
  <c r="R29" i="1667"/>
  <c r="R28" i="1667"/>
  <c r="L16" i="1667" s="1"/>
  <c r="D16" i="1667" s="1"/>
  <c r="D28" i="1667"/>
  <c r="R27" i="1667"/>
  <c r="D27" i="1667"/>
  <c r="R26" i="1667"/>
  <c r="L26" i="1667"/>
  <c r="D26" i="1667"/>
  <c r="R25" i="1667"/>
  <c r="L25" i="1667"/>
  <c r="D25" i="1667"/>
  <c r="R24" i="1667"/>
  <c r="L24" i="1667"/>
  <c r="D24" i="1667" s="1"/>
  <c r="R23" i="1667"/>
  <c r="R22" i="1667"/>
  <c r="L22" i="1667"/>
  <c r="D22" i="1667"/>
  <c r="R21" i="1667"/>
  <c r="L17" i="1667" s="1"/>
  <c r="D17" i="1667" s="1"/>
  <c r="D21" i="1667"/>
  <c r="R20" i="1667"/>
  <c r="R19" i="1667"/>
  <c r="L19" i="1667"/>
  <c r="D19" i="1667" s="1"/>
  <c r="R18" i="1667"/>
  <c r="D18" i="1667"/>
  <c r="R17" i="1667"/>
  <c r="R16" i="1667"/>
  <c r="R15" i="1667"/>
  <c r="D15" i="1667"/>
  <c r="R14" i="1667"/>
  <c r="D14" i="1667"/>
  <c r="R13" i="1667"/>
  <c r="D13" i="1667"/>
  <c r="R12" i="1667"/>
  <c r="R11" i="1667"/>
  <c r="L11" i="1667"/>
  <c r="D11" i="1667" s="1"/>
  <c r="L8" i="1667"/>
  <c r="D8" i="1667"/>
  <c r="L7" i="1667"/>
  <c r="D7" i="1667"/>
  <c r="R6" i="1667"/>
  <c r="L6" i="1667"/>
  <c r="D6" i="1667" s="1"/>
  <c r="R5" i="1667"/>
  <c r="R4" i="1667"/>
  <c r="R52" i="1666"/>
  <c r="R51" i="1666"/>
  <c r="D50" i="1666"/>
  <c r="R49" i="1666"/>
  <c r="D49" i="1666"/>
  <c r="R48" i="1666"/>
  <c r="D48" i="1666"/>
  <c r="D46" i="1666"/>
  <c r="D45" i="1666"/>
  <c r="R44" i="1666"/>
  <c r="D44" i="1666"/>
  <c r="R42" i="1666"/>
  <c r="D42" i="1666"/>
  <c r="R41" i="1666"/>
  <c r="D41" i="1666"/>
  <c r="R40" i="1666"/>
  <c r="L8" i="1666" s="1"/>
  <c r="D8" i="1666" s="1"/>
  <c r="D40" i="1666"/>
  <c r="R39" i="1666"/>
  <c r="H39" i="1666"/>
  <c r="D39" i="1666"/>
  <c r="R38" i="1666"/>
  <c r="H38" i="1666"/>
  <c r="G49" i="1666" s="1"/>
  <c r="D38" i="1666"/>
  <c r="R37" i="1666"/>
  <c r="H37" i="1666"/>
  <c r="D37" i="1666"/>
  <c r="R36" i="1666"/>
  <c r="L10" i="1666" s="1"/>
  <c r="D10" i="1666" s="1"/>
  <c r="H36" i="1666"/>
  <c r="D36" i="1666"/>
  <c r="R35" i="1666"/>
  <c r="H35" i="1666"/>
  <c r="D35" i="1666"/>
  <c r="R34" i="1666"/>
  <c r="L12" i="1666" s="1"/>
  <c r="D12" i="1666" s="1"/>
  <c r="H34" i="1666"/>
  <c r="D34" i="1666"/>
  <c r="R33" i="1666"/>
  <c r="R32" i="1666"/>
  <c r="R31" i="1666"/>
  <c r="R30" i="1666"/>
  <c r="R29" i="1666"/>
  <c r="R28" i="1666"/>
  <c r="D28" i="1666"/>
  <c r="R27" i="1666"/>
  <c r="D27" i="1666"/>
  <c r="R26" i="1666"/>
  <c r="L26" i="1666"/>
  <c r="D26" i="1666" s="1"/>
  <c r="R25" i="1666"/>
  <c r="L25" i="1666"/>
  <c r="D25" i="1666"/>
  <c r="R24" i="1666"/>
  <c r="L24" i="1666"/>
  <c r="D24" i="1666"/>
  <c r="R23" i="1666"/>
  <c r="D23" i="1666"/>
  <c r="R22" i="1666"/>
  <c r="D22" i="1666"/>
  <c r="R21" i="1666"/>
  <c r="D21" i="1666"/>
  <c r="R20" i="1666"/>
  <c r="L20" i="1666"/>
  <c r="D20" i="1666"/>
  <c r="R19" i="1666"/>
  <c r="D19" i="1666"/>
  <c r="R18" i="1666"/>
  <c r="D18" i="1666"/>
  <c r="R17" i="1666"/>
  <c r="L17" i="1666"/>
  <c r="D17" i="1666"/>
  <c r="R16" i="1666"/>
  <c r="L16" i="1666"/>
  <c r="D16" i="1666" s="1"/>
  <c r="R15" i="1666"/>
  <c r="D15" i="1666"/>
  <c r="R14" i="1666"/>
  <c r="D14" i="1666"/>
  <c r="R13" i="1666"/>
  <c r="D13" i="1666"/>
  <c r="R12" i="1666"/>
  <c r="R11" i="1666"/>
  <c r="L11" i="1666"/>
  <c r="D11" i="1666"/>
  <c r="L9" i="1666"/>
  <c r="D9" i="1666"/>
  <c r="L7" i="1666"/>
  <c r="D7" i="1666"/>
  <c r="R6" i="1666"/>
  <c r="L6" i="1666"/>
  <c r="D6" i="1666"/>
  <c r="R5" i="1666"/>
  <c r="R4" i="1666"/>
  <c r="R52" i="1665"/>
  <c r="R51" i="1665"/>
  <c r="D50" i="1665"/>
  <c r="R49" i="1665"/>
  <c r="G49" i="1665"/>
  <c r="D49" i="1665"/>
  <c r="R48" i="1665"/>
  <c r="D48" i="1665"/>
  <c r="D46" i="1665"/>
  <c r="D45" i="1665"/>
  <c r="D44" i="1665"/>
  <c r="R42" i="1665"/>
  <c r="L6" i="1665" s="1"/>
  <c r="D6" i="1665" s="1"/>
  <c r="D42" i="1665"/>
  <c r="R41" i="1665"/>
  <c r="L7" i="1665" s="1"/>
  <c r="D7" i="1665" s="1"/>
  <c r="D41" i="1665"/>
  <c r="R40" i="1665"/>
  <c r="D40" i="1665"/>
  <c r="R39" i="1665"/>
  <c r="D39" i="1665"/>
  <c r="R38" i="1665"/>
  <c r="D38" i="1665"/>
  <c r="R37" i="1665"/>
  <c r="D37" i="1665"/>
  <c r="R36" i="1665"/>
  <c r="L10" i="1665" s="1"/>
  <c r="D10" i="1665" s="1"/>
  <c r="D36" i="1665"/>
  <c r="R35" i="1665"/>
  <c r="D35" i="1665"/>
  <c r="R34" i="1665"/>
  <c r="L12" i="1665" s="1"/>
  <c r="D12" i="1665" s="1"/>
  <c r="D34" i="1665"/>
  <c r="D54" i="1665" s="1"/>
  <c r="H14" i="1665" s="1"/>
  <c r="R33" i="1665"/>
  <c r="L23" i="1665" s="1"/>
  <c r="D23" i="1665" s="1"/>
  <c r="R32" i="1665"/>
  <c r="R31" i="1665"/>
  <c r="R30" i="1665"/>
  <c r="R29" i="1665"/>
  <c r="R28" i="1665"/>
  <c r="D28" i="1665"/>
  <c r="R27" i="1665"/>
  <c r="D27" i="1665"/>
  <c r="R26" i="1665"/>
  <c r="L26" i="1665"/>
  <c r="D26" i="1665"/>
  <c r="R25" i="1665"/>
  <c r="L25" i="1665"/>
  <c r="D25" i="1665"/>
  <c r="R24" i="1665"/>
  <c r="D24" i="1665"/>
  <c r="R23" i="1665"/>
  <c r="R22" i="1665"/>
  <c r="L22" i="1665"/>
  <c r="D22" i="1665"/>
  <c r="R21" i="1665"/>
  <c r="D21" i="1665"/>
  <c r="R20" i="1665"/>
  <c r="L20" i="1665"/>
  <c r="D20" i="1665"/>
  <c r="R19" i="1665"/>
  <c r="L19" i="1665"/>
  <c r="D19" i="1665"/>
  <c r="R18" i="1665"/>
  <c r="D18" i="1665"/>
  <c r="R17" i="1665"/>
  <c r="D17" i="1665"/>
  <c r="R16" i="1665"/>
  <c r="L16" i="1665"/>
  <c r="D16" i="1665" s="1"/>
  <c r="S15" i="1665"/>
  <c r="R15" i="1665"/>
  <c r="D15" i="1665"/>
  <c r="S14" i="1665"/>
  <c r="R14" i="1665"/>
  <c r="D14" i="1665"/>
  <c r="R13" i="1665"/>
  <c r="D13" i="1665"/>
  <c r="R12" i="1665"/>
  <c r="R11" i="1665"/>
  <c r="L11" i="1665"/>
  <c r="D11" i="1665"/>
  <c r="L9" i="1665"/>
  <c r="D9" i="1665"/>
  <c r="L8" i="1665"/>
  <c r="D8" i="1665" s="1"/>
  <c r="R6" i="1665"/>
  <c r="R5" i="1665"/>
  <c r="R4" i="1665"/>
  <c r="R52" i="1664"/>
  <c r="R51" i="1664"/>
  <c r="D50" i="1664"/>
  <c r="R49" i="1664"/>
  <c r="D49" i="1664"/>
  <c r="R48" i="1664"/>
  <c r="D48" i="1664"/>
  <c r="D46" i="1664"/>
  <c r="D45" i="1664"/>
  <c r="R44" i="1664"/>
  <c r="D44" i="1664"/>
  <c r="R42" i="1664"/>
  <c r="D42" i="1664"/>
  <c r="R41" i="1664"/>
  <c r="D41" i="1664"/>
  <c r="R40" i="1664"/>
  <c r="L8" i="1664" s="1"/>
  <c r="D8" i="1664" s="1"/>
  <c r="D40" i="1664"/>
  <c r="R39" i="1664"/>
  <c r="H39" i="1664"/>
  <c r="D39" i="1664"/>
  <c r="R38" i="1664"/>
  <c r="H38" i="1664"/>
  <c r="D38" i="1664"/>
  <c r="R37" i="1664"/>
  <c r="H37" i="1664"/>
  <c r="D37" i="1664"/>
  <c r="R36" i="1664"/>
  <c r="H36" i="1664"/>
  <c r="D36" i="1664"/>
  <c r="R35" i="1664"/>
  <c r="H35" i="1664"/>
  <c r="D35" i="1664"/>
  <c r="R34" i="1664"/>
  <c r="H34" i="1664"/>
  <c r="D34" i="1664"/>
  <c r="R33" i="1664"/>
  <c r="L23" i="1664" s="1"/>
  <c r="D23" i="1664" s="1"/>
  <c r="R32" i="1664"/>
  <c r="L11" i="1664" s="1"/>
  <c r="D11" i="1664" s="1"/>
  <c r="R31" i="1664"/>
  <c r="R30" i="1664"/>
  <c r="R29" i="1664"/>
  <c r="R28" i="1664"/>
  <c r="D28" i="1664"/>
  <c r="R27" i="1664"/>
  <c r="D27" i="1664"/>
  <c r="R26" i="1664"/>
  <c r="L26" i="1664"/>
  <c r="D26" i="1664" s="1"/>
  <c r="R25" i="1664"/>
  <c r="L25" i="1664"/>
  <c r="D25" i="1664"/>
  <c r="R24" i="1664"/>
  <c r="D24" i="1664"/>
  <c r="R23" i="1664"/>
  <c r="R22" i="1664"/>
  <c r="L22" i="1664"/>
  <c r="D22" i="1664" s="1"/>
  <c r="R21" i="1664"/>
  <c r="D21" i="1664"/>
  <c r="R20" i="1664"/>
  <c r="L20" i="1664"/>
  <c r="D20" i="1664" s="1"/>
  <c r="R19" i="1664"/>
  <c r="L19" i="1664"/>
  <c r="D19" i="1664"/>
  <c r="R18" i="1664"/>
  <c r="D18" i="1664"/>
  <c r="R17" i="1664"/>
  <c r="D17" i="1664"/>
  <c r="R16" i="1664"/>
  <c r="L16" i="1664"/>
  <c r="D16" i="1664" s="1"/>
  <c r="R15" i="1664"/>
  <c r="D15" i="1664"/>
  <c r="R14" i="1664"/>
  <c r="D14" i="1664"/>
  <c r="R13" i="1664"/>
  <c r="D13" i="1664"/>
  <c r="R12" i="1664"/>
  <c r="L12" i="1664"/>
  <c r="D12" i="1664"/>
  <c r="R11" i="1664"/>
  <c r="L10" i="1664"/>
  <c r="D10" i="1664" s="1"/>
  <c r="L9" i="1664"/>
  <c r="D9" i="1664" s="1"/>
  <c r="L7" i="1664"/>
  <c r="D7" i="1664"/>
  <c r="R6" i="1664"/>
  <c r="L6" i="1664"/>
  <c r="D6" i="1664" s="1"/>
  <c r="R5" i="1664"/>
  <c r="R4" i="1664"/>
  <c r="R52" i="1663"/>
  <c r="R51" i="1663"/>
  <c r="D50" i="1663"/>
  <c r="R49" i="1663"/>
  <c r="D49" i="1663"/>
  <c r="R48" i="1663"/>
  <c r="D48" i="1663"/>
  <c r="D46" i="1663"/>
  <c r="D45" i="1663"/>
  <c r="R44" i="1663"/>
  <c r="D44" i="1663"/>
  <c r="R42" i="1663"/>
  <c r="D42" i="1663"/>
  <c r="R41" i="1663"/>
  <c r="D41" i="1663"/>
  <c r="R40" i="1663"/>
  <c r="D40" i="1663"/>
  <c r="R39" i="1663"/>
  <c r="H39" i="1663"/>
  <c r="D39" i="1663"/>
  <c r="R38" i="1663"/>
  <c r="L9" i="1663" s="1"/>
  <c r="D9" i="1663" s="1"/>
  <c r="H38" i="1663"/>
  <c r="D38" i="1663"/>
  <c r="R37" i="1663"/>
  <c r="H37" i="1663"/>
  <c r="D37" i="1663"/>
  <c r="R36" i="1663"/>
  <c r="H36" i="1663"/>
  <c r="D36" i="1663"/>
  <c r="R35" i="1663"/>
  <c r="H35" i="1663"/>
  <c r="D35" i="1663"/>
  <c r="R34" i="1663"/>
  <c r="L12" i="1663" s="1"/>
  <c r="D12" i="1663" s="1"/>
  <c r="H34" i="1663"/>
  <c r="D34" i="1663"/>
  <c r="R33" i="1663"/>
  <c r="L23" i="1663" s="1"/>
  <c r="D23" i="1663" s="1"/>
  <c r="R32" i="1663"/>
  <c r="R31" i="1663"/>
  <c r="R30" i="1663"/>
  <c r="R29" i="1663"/>
  <c r="R28" i="1663"/>
  <c r="L16" i="1663" s="1"/>
  <c r="D16" i="1663" s="1"/>
  <c r="D28" i="1663"/>
  <c r="R27" i="1663"/>
  <c r="D27" i="1663"/>
  <c r="R26" i="1663"/>
  <c r="L26" i="1663"/>
  <c r="D26" i="1663"/>
  <c r="R25" i="1663"/>
  <c r="L25" i="1663"/>
  <c r="D25" i="1663"/>
  <c r="R24" i="1663"/>
  <c r="L24" i="1663"/>
  <c r="D24" i="1663" s="1"/>
  <c r="R23" i="1663"/>
  <c r="R22" i="1663"/>
  <c r="L22" i="1663"/>
  <c r="D22" i="1663"/>
  <c r="R21" i="1663"/>
  <c r="L17" i="1663" s="1"/>
  <c r="D17" i="1663" s="1"/>
  <c r="D21" i="1663"/>
  <c r="R20" i="1663"/>
  <c r="L20" i="1663"/>
  <c r="D20" i="1663" s="1"/>
  <c r="R19" i="1663"/>
  <c r="L19" i="1663"/>
  <c r="D19" i="1663" s="1"/>
  <c r="R18" i="1663"/>
  <c r="D18" i="1663"/>
  <c r="R17" i="1663"/>
  <c r="R16" i="1663"/>
  <c r="R15" i="1663"/>
  <c r="D15" i="1663"/>
  <c r="R14" i="1663"/>
  <c r="D14" i="1663"/>
  <c r="R13" i="1663"/>
  <c r="D13" i="1663"/>
  <c r="R12" i="1663"/>
  <c r="R11" i="1663"/>
  <c r="L11" i="1663"/>
  <c r="D11" i="1663" s="1"/>
  <c r="L10" i="1663"/>
  <c r="D10" i="1663" s="1"/>
  <c r="L8" i="1663"/>
  <c r="D8" i="1663" s="1"/>
  <c r="L7" i="1663"/>
  <c r="D7" i="1663"/>
  <c r="R6" i="1663"/>
  <c r="L6" i="1663"/>
  <c r="D6" i="1663" s="1"/>
  <c r="R5" i="1663"/>
  <c r="R4" i="1663"/>
  <c r="R52" i="1662"/>
  <c r="R51" i="1662"/>
  <c r="D50" i="1662"/>
  <c r="R49" i="1662"/>
  <c r="D49" i="1662"/>
  <c r="R48" i="1662"/>
  <c r="D48" i="1662"/>
  <c r="D46" i="1662"/>
  <c r="D45" i="1662"/>
  <c r="R44" i="1662"/>
  <c r="D44" i="1662"/>
  <c r="R42" i="1662"/>
  <c r="D42" i="1662"/>
  <c r="R41" i="1662"/>
  <c r="D41" i="1662"/>
  <c r="R40" i="1662"/>
  <c r="L8" i="1662" s="1"/>
  <c r="D8" i="1662" s="1"/>
  <c r="D40" i="1662"/>
  <c r="R39" i="1662"/>
  <c r="H39" i="1662"/>
  <c r="D39" i="1662"/>
  <c r="R38" i="1662"/>
  <c r="H38" i="1662"/>
  <c r="D38" i="1662"/>
  <c r="R37" i="1662"/>
  <c r="H37" i="1662"/>
  <c r="D37" i="1662"/>
  <c r="R36" i="1662"/>
  <c r="L10" i="1662" s="1"/>
  <c r="D10" i="1662" s="1"/>
  <c r="H36" i="1662"/>
  <c r="D36" i="1662"/>
  <c r="R35" i="1662"/>
  <c r="H35" i="1662"/>
  <c r="D35" i="1662"/>
  <c r="R34" i="1662"/>
  <c r="L12" i="1662" s="1"/>
  <c r="D12" i="1662" s="1"/>
  <c r="H34" i="1662"/>
  <c r="D34" i="1662"/>
  <c r="R33" i="1662"/>
  <c r="R32" i="1662"/>
  <c r="R31" i="1662"/>
  <c r="R30" i="1662"/>
  <c r="R29" i="1662"/>
  <c r="R28" i="1662"/>
  <c r="L16" i="1662" s="1"/>
  <c r="D16" i="1662" s="1"/>
  <c r="D28" i="1662"/>
  <c r="R27" i="1662"/>
  <c r="D27" i="1662"/>
  <c r="R26" i="1662"/>
  <c r="L26" i="1662"/>
  <c r="D26" i="1662" s="1"/>
  <c r="R25" i="1662"/>
  <c r="D25" i="1662"/>
  <c r="R24" i="1662"/>
  <c r="L24" i="1662"/>
  <c r="D24" i="1662"/>
  <c r="R23" i="1662"/>
  <c r="D23" i="1662"/>
  <c r="R22" i="1662"/>
  <c r="D22" i="1662"/>
  <c r="R21" i="1662"/>
  <c r="D21" i="1662"/>
  <c r="R20" i="1662"/>
  <c r="L20" i="1662"/>
  <c r="D20" i="1662"/>
  <c r="R19" i="1662"/>
  <c r="D19" i="1662"/>
  <c r="R18" i="1662"/>
  <c r="D18" i="1662"/>
  <c r="R17" i="1662"/>
  <c r="L17" i="1662"/>
  <c r="D17" i="1662"/>
  <c r="R16" i="1662"/>
  <c r="R15" i="1662"/>
  <c r="D15" i="1662"/>
  <c r="R14" i="1662"/>
  <c r="D14" i="1662"/>
  <c r="R13" i="1662"/>
  <c r="D13" i="1662"/>
  <c r="R12" i="1662"/>
  <c r="R11" i="1662"/>
  <c r="L11" i="1662"/>
  <c r="D11" i="1662" s="1"/>
  <c r="L9" i="1662"/>
  <c r="D9" i="1662"/>
  <c r="L7" i="1662"/>
  <c r="D7" i="1662" s="1"/>
  <c r="R6" i="1662"/>
  <c r="L6" i="1662"/>
  <c r="D6" i="1662"/>
  <c r="R5" i="1662"/>
  <c r="R4" i="1662"/>
  <c r="R52" i="1661"/>
  <c r="R51" i="1661"/>
  <c r="D50" i="1661"/>
  <c r="R49" i="1661"/>
  <c r="G49" i="1661"/>
  <c r="D49" i="1661"/>
  <c r="R48" i="1661"/>
  <c r="D48" i="1661"/>
  <c r="D46" i="1661"/>
  <c r="D45" i="1661"/>
  <c r="D44" i="1661"/>
  <c r="R42" i="1661"/>
  <c r="L6" i="1661" s="1"/>
  <c r="D6" i="1661" s="1"/>
  <c r="D42" i="1661"/>
  <c r="R41" i="1661"/>
  <c r="L7" i="1661" s="1"/>
  <c r="D7" i="1661" s="1"/>
  <c r="D41" i="1661"/>
  <c r="R40" i="1661"/>
  <c r="D40" i="1661"/>
  <c r="R39" i="1661"/>
  <c r="D39" i="1661"/>
  <c r="R38" i="1661"/>
  <c r="D38" i="1661"/>
  <c r="R37" i="1661"/>
  <c r="D37" i="1661"/>
  <c r="R36" i="1661"/>
  <c r="L10" i="1661" s="1"/>
  <c r="D10" i="1661" s="1"/>
  <c r="D36" i="1661"/>
  <c r="R35" i="1661"/>
  <c r="L19" i="1661" s="1"/>
  <c r="D19" i="1661" s="1"/>
  <c r="D35" i="1661"/>
  <c r="R34" i="1661"/>
  <c r="L12" i="1661" s="1"/>
  <c r="D12" i="1661" s="1"/>
  <c r="D34" i="1661"/>
  <c r="D54" i="1661" s="1"/>
  <c r="H14" i="1661" s="1"/>
  <c r="R33" i="1661"/>
  <c r="L23" i="1661" s="1"/>
  <c r="D23" i="1661" s="1"/>
  <c r="R32" i="1661"/>
  <c r="R31" i="1661"/>
  <c r="R30" i="1661"/>
  <c r="R29" i="1661"/>
  <c r="R28" i="1661"/>
  <c r="D28" i="1661"/>
  <c r="R27" i="1661"/>
  <c r="D27" i="1661"/>
  <c r="R26" i="1661"/>
  <c r="L26" i="1661"/>
  <c r="D26" i="1661" s="1"/>
  <c r="R25" i="1661"/>
  <c r="L25" i="1661"/>
  <c r="D25" i="1661"/>
  <c r="R24" i="1661"/>
  <c r="D24" i="1661"/>
  <c r="R23" i="1661"/>
  <c r="R22" i="1661"/>
  <c r="L22" i="1661"/>
  <c r="D22" i="1661"/>
  <c r="R21" i="1661"/>
  <c r="D21" i="1661"/>
  <c r="R20" i="1661"/>
  <c r="L20" i="1661"/>
  <c r="D20" i="1661" s="1"/>
  <c r="R19" i="1661"/>
  <c r="R18" i="1661"/>
  <c r="D18" i="1661"/>
  <c r="R17" i="1661"/>
  <c r="D17" i="1661"/>
  <c r="R16" i="1661"/>
  <c r="L16" i="1661"/>
  <c r="D16" i="1661" s="1"/>
  <c r="S15" i="1661"/>
  <c r="R15" i="1661"/>
  <c r="D15" i="1661"/>
  <c r="S14" i="1661"/>
  <c r="R14" i="1661"/>
  <c r="D14" i="1661"/>
  <c r="R13" i="1661"/>
  <c r="D13" i="1661"/>
  <c r="R12" i="1661"/>
  <c r="R11" i="1661"/>
  <c r="L11" i="1661"/>
  <c r="D11" i="1661"/>
  <c r="L9" i="1661"/>
  <c r="D9" i="1661"/>
  <c r="L8" i="1661"/>
  <c r="D8" i="1661" s="1"/>
  <c r="R6" i="1661"/>
  <c r="R5" i="1661"/>
  <c r="R4" i="1661"/>
  <c r="R52" i="1660"/>
  <c r="R51" i="1660"/>
  <c r="D50" i="1660"/>
  <c r="R49" i="1660"/>
  <c r="D49" i="1660"/>
  <c r="R48" i="1660"/>
  <c r="D48" i="1660"/>
  <c r="D46" i="1660"/>
  <c r="D45" i="1660"/>
  <c r="R44" i="1660"/>
  <c r="D44" i="1660"/>
  <c r="R42" i="1660"/>
  <c r="L6" i="1660" s="1"/>
  <c r="D6" i="1660" s="1"/>
  <c r="D42" i="1660"/>
  <c r="R41" i="1660"/>
  <c r="D41" i="1660"/>
  <c r="R40" i="1660"/>
  <c r="D40" i="1660"/>
  <c r="R39" i="1660"/>
  <c r="H39" i="1660"/>
  <c r="D39" i="1660"/>
  <c r="R38" i="1660"/>
  <c r="H38" i="1660"/>
  <c r="D38" i="1660"/>
  <c r="R37" i="1660"/>
  <c r="H37" i="1660"/>
  <c r="D37" i="1660"/>
  <c r="R36" i="1660"/>
  <c r="H36" i="1660"/>
  <c r="D36" i="1660"/>
  <c r="R35" i="1660"/>
  <c r="H35" i="1660"/>
  <c r="D35" i="1660"/>
  <c r="R34" i="1660"/>
  <c r="L12" i="1660" s="1"/>
  <c r="D12" i="1660" s="1"/>
  <c r="H34" i="1660"/>
  <c r="D34" i="1660"/>
  <c r="R33" i="1660"/>
  <c r="R32" i="1660"/>
  <c r="R31" i="1660"/>
  <c r="R30" i="1660"/>
  <c r="R29" i="1660"/>
  <c r="R28" i="1660"/>
  <c r="L16" i="1660" s="1"/>
  <c r="D16" i="1660" s="1"/>
  <c r="D28" i="1660"/>
  <c r="R27" i="1660"/>
  <c r="D27" i="1660"/>
  <c r="R26" i="1660"/>
  <c r="L26" i="1660"/>
  <c r="D26" i="1660"/>
  <c r="R25" i="1660"/>
  <c r="L25" i="1660"/>
  <c r="D25" i="1660" s="1"/>
  <c r="R24" i="1660"/>
  <c r="D24" i="1660"/>
  <c r="R23" i="1660"/>
  <c r="L23" i="1660"/>
  <c r="D23" i="1660"/>
  <c r="R22" i="1660"/>
  <c r="L22" i="1660"/>
  <c r="D22" i="1660"/>
  <c r="R21" i="1660"/>
  <c r="D21" i="1660"/>
  <c r="R20" i="1660"/>
  <c r="L20" i="1660"/>
  <c r="D20" i="1660"/>
  <c r="R19" i="1660"/>
  <c r="L19" i="1660"/>
  <c r="D19" i="1660" s="1"/>
  <c r="R18" i="1660"/>
  <c r="D18" i="1660"/>
  <c r="R17" i="1660"/>
  <c r="D17" i="1660"/>
  <c r="R16" i="1660"/>
  <c r="R15" i="1660"/>
  <c r="D15" i="1660"/>
  <c r="R14" i="1660"/>
  <c r="D14" i="1660"/>
  <c r="R13" i="1660"/>
  <c r="D13" i="1660"/>
  <c r="R12" i="1660"/>
  <c r="R11" i="1660"/>
  <c r="L11" i="1660"/>
  <c r="D11" i="1660" s="1"/>
  <c r="L10" i="1660"/>
  <c r="D10" i="1660"/>
  <c r="L9" i="1660"/>
  <c r="D9" i="1660" s="1"/>
  <c r="L8" i="1660"/>
  <c r="D8" i="1660" s="1"/>
  <c r="L7" i="1660"/>
  <c r="D7" i="1660" s="1"/>
  <c r="R6" i="1660"/>
  <c r="R5" i="1660"/>
  <c r="R4" i="1660"/>
  <c r="R52" i="1659"/>
  <c r="R51" i="1659"/>
  <c r="D50" i="1659"/>
  <c r="R49" i="1659"/>
  <c r="D49" i="1659"/>
  <c r="R48" i="1659"/>
  <c r="D48" i="1659"/>
  <c r="D46" i="1659"/>
  <c r="D45" i="1659"/>
  <c r="R44" i="1659"/>
  <c r="D44" i="1659"/>
  <c r="R42" i="1659"/>
  <c r="L6" i="1659" s="1"/>
  <c r="D6" i="1659" s="1"/>
  <c r="D42" i="1659"/>
  <c r="R41" i="1659"/>
  <c r="D41" i="1659"/>
  <c r="R40" i="1659"/>
  <c r="D40" i="1659"/>
  <c r="R39" i="1659"/>
  <c r="D39" i="1659"/>
  <c r="R38" i="1659"/>
  <c r="L9" i="1659" s="1"/>
  <c r="D9" i="1659" s="1"/>
  <c r="D38" i="1659"/>
  <c r="R37" i="1659"/>
  <c r="H37" i="1659"/>
  <c r="D37" i="1659"/>
  <c r="R36" i="1659"/>
  <c r="H36" i="1659"/>
  <c r="D36" i="1659"/>
  <c r="R35" i="1659"/>
  <c r="H35" i="1659"/>
  <c r="D35" i="1659"/>
  <c r="R34" i="1659"/>
  <c r="H34" i="1659"/>
  <c r="D34" i="1659"/>
  <c r="R33" i="1659"/>
  <c r="R32" i="1659"/>
  <c r="R31" i="1659"/>
  <c r="R30" i="1659"/>
  <c r="R29" i="1659"/>
  <c r="R28" i="1659"/>
  <c r="D28" i="1659"/>
  <c r="R27" i="1659"/>
  <c r="D27" i="1659"/>
  <c r="R26" i="1659"/>
  <c r="L26" i="1659"/>
  <c r="D26" i="1659"/>
  <c r="R25" i="1659"/>
  <c r="L25" i="1659"/>
  <c r="D25" i="1659"/>
  <c r="R24" i="1659"/>
  <c r="D24" i="1659"/>
  <c r="R23" i="1659"/>
  <c r="L23" i="1659"/>
  <c r="D23" i="1659" s="1"/>
  <c r="R22" i="1659"/>
  <c r="L22" i="1659"/>
  <c r="D22" i="1659"/>
  <c r="R21" i="1659"/>
  <c r="D21" i="1659"/>
  <c r="R20" i="1659"/>
  <c r="L20" i="1659"/>
  <c r="D20" i="1659" s="1"/>
  <c r="R19" i="1659"/>
  <c r="L19" i="1659"/>
  <c r="D19" i="1659" s="1"/>
  <c r="R18" i="1659"/>
  <c r="D18" i="1659"/>
  <c r="R17" i="1659"/>
  <c r="L17" i="1659"/>
  <c r="D17" i="1659" s="1"/>
  <c r="R16" i="1659"/>
  <c r="L16" i="1659"/>
  <c r="D16" i="1659"/>
  <c r="R15" i="1659"/>
  <c r="D15" i="1659"/>
  <c r="R14" i="1659"/>
  <c r="D14" i="1659"/>
  <c r="R13" i="1659"/>
  <c r="D13" i="1659"/>
  <c r="R12" i="1659"/>
  <c r="L12" i="1659"/>
  <c r="D12" i="1659"/>
  <c r="R11" i="1659"/>
  <c r="L11" i="1659"/>
  <c r="D11" i="1659"/>
  <c r="L10" i="1659"/>
  <c r="D10" i="1659" s="1"/>
  <c r="L8" i="1659"/>
  <c r="D8" i="1659" s="1"/>
  <c r="L7" i="1659"/>
  <c r="D7" i="1659"/>
  <c r="R6" i="1659"/>
  <c r="R5" i="1659"/>
  <c r="R4" i="1659"/>
  <c r="R52" i="1658"/>
  <c r="R51" i="1658"/>
  <c r="D50" i="1658"/>
  <c r="R49" i="1658"/>
  <c r="D49" i="1658"/>
  <c r="R48" i="1658"/>
  <c r="D48" i="1658"/>
  <c r="D46" i="1658"/>
  <c r="D45" i="1658"/>
  <c r="R44" i="1658"/>
  <c r="D44" i="1658"/>
  <c r="R42" i="1658"/>
  <c r="L6" i="1658" s="1"/>
  <c r="D6" i="1658" s="1"/>
  <c r="D42" i="1658"/>
  <c r="R41" i="1658"/>
  <c r="D41" i="1658"/>
  <c r="R40" i="1658"/>
  <c r="D40" i="1658"/>
  <c r="R39" i="1658"/>
  <c r="L20" i="1658" s="1"/>
  <c r="D20" i="1658" s="1"/>
  <c r="H39" i="1658"/>
  <c r="D39" i="1658"/>
  <c r="R38" i="1658"/>
  <c r="H38" i="1658"/>
  <c r="D38" i="1658"/>
  <c r="R37" i="1658"/>
  <c r="H37" i="1658"/>
  <c r="D37" i="1658"/>
  <c r="R36" i="1658"/>
  <c r="L10" i="1658" s="1"/>
  <c r="D10" i="1658" s="1"/>
  <c r="H36" i="1658"/>
  <c r="D36" i="1658"/>
  <c r="R35" i="1658"/>
  <c r="H35" i="1658"/>
  <c r="D35" i="1658"/>
  <c r="R34" i="1658"/>
  <c r="L12" i="1658" s="1"/>
  <c r="D12" i="1658" s="1"/>
  <c r="H34" i="1658"/>
  <c r="D34" i="1658"/>
  <c r="R33" i="1658"/>
  <c r="R32" i="1658"/>
  <c r="R31" i="1658"/>
  <c r="R30" i="1658"/>
  <c r="R29" i="1658"/>
  <c r="R28" i="1658"/>
  <c r="D28" i="1658"/>
  <c r="R27" i="1658"/>
  <c r="D27" i="1658"/>
  <c r="R26" i="1658"/>
  <c r="L26" i="1658"/>
  <c r="D26" i="1658"/>
  <c r="R25" i="1658"/>
  <c r="D25" i="1658"/>
  <c r="R24" i="1658"/>
  <c r="L24" i="1658"/>
  <c r="D24" i="1658" s="1"/>
  <c r="R23" i="1658"/>
  <c r="D23" i="1658"/>
  <c r="R22" i="1658"/>
  <c r="D22" i="1658"/>
  <c r="R21" i="1658"/>
  <c r="D21" i="1658"/>
  <c r="R20" i="1658"/>
  <c r="R19" i="1658"/>
  <c r="D19" i="1658"/>
  <c r="R18" i="1658"/>
  <c r="D18" i="1658"/>
  <c r="R17" i="1658"/>
  <c r="L17" i="1658"/>
  <c r="D17" i="1658" s="1"/>
  <c r="R16" i="1658"/>
  <c r="L16" i="1658"/>
  <c r="D16" i="1658" s="1"/>
  <c r="R15" i="1658"/>
  <c r="D15" i="1658"/>
  <c r="R14" i="1658"/>
  <c r="D14" i="1658"/>
  <c r="R13" i="1658"/>
  <c r="D13" i="1658"/>
  <c r="R12" i="1658"/>
  <c r="R11" i="1658"/>
  <c r="L11" i="1658"/>
  <c r="D11" i="1658"/>
  <c r="L9" i="1658"/>
  <c r="D9" i="1658"/>
  <c r="L8" i="1658"/>
  <c r="D8" i="1658" s="1"/>
  <c r="L7" i="1658"/>
  <c r="D7" i="1658"/>
  <c r="R6" i="1658"/>
  <c r="R5" i="1658"/>
  <c r="R4" i="1658"/>
  <c r="R52" i="1657"/>
  <c r="R51" i="1657"/>
  <c r="D50" i="1657"/>
  <c r="R49" i="1657"/>
  <c r="G49" i="1657"/>
  <c r="D49" i="1657"/>
  <c r="R48" i="1657"/>
  <c r="D48" i="1657"/>
  <c r="D46" i="1657"/>
  <c r="D45" i="1657"/>
  <c r="D44" i="1657"/>
  <c r="R42" i="1657"/>
  <c r="L6" i="1657" s="1"/>
  <c r="D6" i="1657" s="1"/>
  <c r="D42" i="1657"/>
  <c r="R41" i="1657"/>
  <c r="L7" i="1657" s="1"/>
  <c r="D7" i="1657" s="1"/>
  <c r="D41" i="1657"/>
  <c r="R40" i="1657"/>
  <c r="D40" i="1657"/>
  <c r="R39" i="1657"/>
  <c r="D39" i="1657"/>
  <c r="R38" i="1657"/>
  <c r="L9" i="1657" s="1"/>
  <c r="D9" i="1657" s="1"/>
  <c r="D38" i="1657"/>
  <c r="R37" i="1657"/>
  <c r="D37" i="1657"/>
  <c r="R36" i="1657"/>
  <c r="D36" i="1657"/>
  <c r="R35" i="1657"/>
  <c r="L19" i="1657" s="1"/>
  <c r="D19" i="1657" s="1"/>
  <c r="D35" i="1657"/>
  <c r="D54" i="1657" s="1"/>
  <c r="H14" i="1657" s="1"/>
  <c r="R34" i="1657"/>
  <c r="D34" i="1657"/>
  <c r="R33" i="1657"/>
  <c r="R32" i="1657"/>
  <c r="R31" i="1657"/>
  <c r="R30" i="1657"/>
  <c r="R29" i="1657"/>
  <c r="R28" i="1657"/>
  <c r="L16" i="1657" s="1"/>
  <c r="D16" i="1657" s="1"/>
  <c r="D28" i="1657"/>
  <c r="R27" i="1657"/>
  <c r="D27" i="1657"/>
  <c r="R26" i="1657"/>
  <c r="L26" i="1657"/>
  <c r="D26" i="1657"/>
  <c r="R25" i="1657"/>
  <c r="L25" i="1657"/>
  <c r="D25" i="1657"/>
  <c r="R24" i="1657"/>
  <c r="D24" i="1657"/>
  <c r="R23" i="1657"/>
  <c r="L23" i="1657"/>
  <c r="D23" i="1657"/>
  <c r="R22" i="1657"/>
  <c r="L22" i="1657"/>
  <c r="D22" i="1657" s="1"/>
  <c r="R21" i="1657"/>
  <c r="D21" i="1657"/>
  <c r="R20" i="1657"/>
  <c r="L20" i="1657"/>
  <c r="D20" i="1657"/>
  <c r="R19" i="1657"/>
  <c r="R18" i="1657"/>
  <c r="D18" i="1657"/>
  <c r="R17" i="1657"/>
  <c r="D17" i="1657"/>
  <c r="R16" i="1657"/>
  <c r="S15" i="1657"/>
  <c r="R15" i="1657"/>
  <c r="D15" i="1657"/>
  <c r="S14" i="1657"/>
  <c r="R14" i="1657"/>
  <c r="D14" i="1657"/>
  <c r="R13" i="1657"/>
  <c r="D13" i="1657"/>
  <c r="R12" i="1657"/>
  <c r="L12" i="1657"/>
  <c r="D12" i="1657"/>
  <c r="R11" i="1657"/>
  <c r="L11" i="1657"/>
  <c r="D11" i="1657" s="1"/>
  <c r="L10" i="1657"/>
  <c r="D10" i="1657" s="1"/>
  <c r="L8" i="1657"/>
  <c r="D8" i="1657" s="1"/>
  <c r="R6" i="1657"/>
  <c r="R5" i="1657"/>
  <c r="R4" i="1657"/>
  <c r="R52" i="1656"/>
  <c r="L22" i="1656" s="1"/>
  <c r="D22" i="1656" s="1"/>
  <c r="R51" i="1656"/>
  <c r="D50" i="1656"/>
  <c r="R49" i="1656"/>
  <c r="D49" i="1656"/>
  <c r="R48" i="1656"/>
  <c r="D48" i="1656"/>
  <c r="D46" i="1656"/>
  <c r="D45" i="1656"/>
  <c r="R44" i="1656"/>
  <c r="D44" i="1656"/>
  <c r="R42" i="1656"/>
  <c r="D42" i="1656"/>
  <c r="R41" i="1656"/>
  <c r="D41" i="1656"/>
  <c r="R40" i="1656"/>
  <c r="D40" i="1656"/>
  <c r="R39" i="1656"/>
  <c r="H39" i="1656"/>
  <c r="D39" i="1656"/>
  <c r="R38" i="1656"/>
  <c r="H38" i="1656"/>
  <c r="D38" i="1656"/>
  <c r="R37" i="1656"/>
  <c r="H37" i="1656"/>
  <c r="D37" i="1656"/>
  <c r="R36" i="1656"/>
  <c r="H36" i="1656"/>
  <c r="D36" i="1656"/>
  <c r="R35" i="1656"/>
  <c r="L19" i="1656" s="1"/>
  <c r="D19" i="1656" s="1"/>
  <c r="H35" i="1656"/>
  <c r="D35" i="1656"/>
  <c r="R34" i="1656"/>
  <c r="H34" i="1656"/>
  <c r="D34" i="1656"/>
  <c r="R33" i="1656"/>
  <c r="L23" i="1656" s="1"/>
  <c r="D23" i="1656" s="1"/>
  <c r="R32" i="1656"/>
  <c r="R31" i="1656"/>
  <c r="R30" i="1656"/>
  <c r="R29" i="1656"/>
  <c r="R28" i="1656"/>
  <c r="D28" i="1656"/>
  <c r="R27" i="1656"/>
  <c r="D27" i="1656"/>
  <c r="R26" i="1656"/>
  <c r="L26" i="1656"/>
  <c r="D26" i="1656"/>
  <c r="R25" i="1656"/>
  <c r="L25" i="1656"/>
  <c r="D25" i="1656"/>
  <c r="R24" i="1656"/>
  <c r="D24" i="1656"/>
  <c r="R23" i="1656"/>
  <c r="R22" i="1656"/>
  <c r="R21" i="1656"/>
  <c r="D21" i="1656"/>
  <c r="R20" i="1656"/>
  <c r="L20" i="1656"/>
  <c r="D20" i="1656"/>
  <c r="R19" i="1656"/>
  <c r="R18" i="1656"/>
  <c r="D18" i="1656"/>
  <c r="R17" i="1656"/>
  <c r="D17" i="1656"/>
  <c r="R16" i="1656"/>
  <c r="L16" i="1656"/>
  <c r="D16" i="1656" s="1"/>
  <c r="R15" i="1656"/>
  <c r="D15" i="1656"/>
  <c r="R14" i="1656"/>
  <c r="D14" i="1656"/>
  <c r="R13" i="1656"/>
  <c r="D13" i="1656"/>
  <c r="R12" i="1656"/>
  <c r="L12" i="1656"/>
  <c r="D12" i="1656" s="1"/>
  <c r="R11" i="1656"/>
  <c r="L11" i="1656"/>
  <c r="D11" i="1656" s="1"/>
  <c r="L10" i="1656"/>
  <c r="D10" i="1656" s="1"/>
  <c r="L9" i="1656"/>
  <c r="D9" i="1656" s="1"/>
  <c r="L8" i="1656"/>
  <c r="D8" i="1656" s="1"/>
  <c r="L7" i="1656"/>
  <c r="D7" i="1656" s="1"/>
  <c r="R6" i="1656"/>
  <c r="L6" i="1656"/>
  <c r="D6" i="1656" s="1"/>
  <c r="R5" i="1656"/>
  <c r="R4" i="1656"/>
  <c r="R52" i="1655"/>
  <c r="R51" i="1655"/>
  <c r="D50" i="1655"/>
  <c r="R49" i="1655"/>
  <c r="D49" i="1655"/>
  <c r="R48" i="1655"/>
  <c r="D48" i="1655"/>
  <c r="D46" i="1655"/>
  <c r="D45" i="1655"/>
  <c r="R44" i="1655"/>
  <c r="D44" i="1655"/>
  <c r="R42" i="1655"/>
  <c r="L6" i="1655" s="1"/>
  <c r="D6" i="1655" s="1"/>
  <c r="D42" i="1655"/>
  <c r="R41" i="1655"/>
  <c r="D41" i="1655"/>
  <c r="R40" i="1655"/>
  <c r="D40" i="1655"/>
  <c r="R39" i="1655"/>
  <c r="L20" i="1655" s="1"/>
  <c r="D20" i="1655" s="1"/>
  <c r="H39" i="1655"/>
  <c r="D39" i="1655"/>
  <c r="R38" i="1655"/>
  <c r="H38" i="1655"/>
  <c r="D38" i="1655"/>
  <c r="R37" i="1655"/>
  <c r="H37" i="1655"/>
  <c r="D37" i="1655"/>
  <c r="R36" i="1655"/>
  <c r="H36" i="1655"/>
  <c r="D36" i="1655"/>
  <c r="R35" i="1655"/>
  <c r="H35" i="1655"/>
  <c r="D35" i="1655"/>
  <c r="R34" i="1655"/>
  <c r="L12" i="1655" s="1"/>
  <c r="D12" i="1655" s="1"/>
  <c r="H34" i="1655"/>
  <c r="D34" i="1655"/>
  <c r="R33" i="1655"/>
  <c r="R32" i="1655"/>
  <c r="R31" i="1655"/>
  <c r="R30" i="1655"/>
  <c r="R29" i="1655"/>
  <c r="R28" i="1655"/>
  <c r="D28" i="1655"/>
  <c r="R27" i="1655"/>
  <c r="D27" i="1655"/>
  <c r="R26" i="1655"/>
  <c r="L26" i="1655"/>
  <c r="D26" i="1655"/>
  <c r="R25" i="1655"/>
  <c r="L25" i="1655"/>
  <c r="D25" i="1655"/>
  <c r="R24" i="1655"/>
  <c r="L24" i="1655"/>
  <c r="D24" i="1655"/>
  <c r="R23" i="1655"/>
  <c r="L23" i="1655"/>
  <c r="D23" i="1655"/>
  <c r="R22" i="1655"/>
  <c r="L22" i="1655"/>
  <c r="D22" i="1655"/>
  <c r="R21" i="1655"/>
  <c r="D21" i="1655"/>
  <c r="R20" i="1655"/>
  <c r="R19" i="1655"/>
  <c r="L19" i="1655"/>
  <c r="D19" i="1655" s="1"/>
  <c r="R18" i="1655"/>
  <c r="D18" i="1655"/>
  <c r="R17" i="1655"/>
  <c r="L17" i="1655"/>
  <c r="D17" i="1655" s="1"/>
  <c r="R16" i="1655"/>
  <c r="L16" i="1655"/>
  <c r="D16" i="1655"/>
  <c r="R15" i="1655"/>
  <c r="D15" i="1655"/>
  <c r="R14" i="1655"/>
  <c r="D14" i="1655"/>
  <c r="R13" i="1655"/>
  <c r="D13" i="1655"/>
  <c r="R12" i="1655"/>
  <c r="R11" i="1655"/>
  <c r="L11" i="1655"/>
  <c r="D11" i="1655"/>
  <c r="L10" i="1655"/>
  <c r="D10" i="1655" s="1"/>
  <c r="L9" i="1655"/>
  <c r="D9" i="1655" s="1"/>
  <c r="L8" i="1655"/>
  <c r="D8" i="1655"/>
  <c r="L7" i="1655"/>
  <c r="D7" i="1655"/>
  <c r="R6" i="1655"/>
  <c r="R5" i="1655"/>
  <c r="R4" i="1655"/>
  <c r="R52" i="1654"/>
  <c r="R51" i="1654"/>
  <c r="D50" i="1654"/>
  <c r="R49" i="1654"/>
  <c r="D49" i="1654"/>
  <c r="R48" i="1654"/>
  <c r="D48" i="1654"/>
  <c r="D46" i="1654"/>
  <c r="D45" i="1654"/>
  <c r="R44" i="1654"/>
  <c r="D44" i="1654"/>
  <c r="R42" i="1654"/>
  <c r="L6" i="1654" s="1"/>
  <c r="D6" i="1654" s="1"/>
  <c r="D42" i="1654"/>
  <c r="R41" i="1654"/>
  <c r="D41" i="1654"/>
  <c r="R40" i="1654"/>
  <c r="L8" i="1654" s="1"/>
  <c r="D8" i="1654" s="1"/>
  <c r="D40" i="1654"/>
  <c r="R39" i="1654"/>
  <c r="L20" i="1654" s="1"/>
  <c r="D20" i="1654" s="1"/>
  <c r="H39" i="1654"/>
  <c r="D39" i="1654"/>
  <c r="R38" i="1654"/>
  <c r="H38" i="1654"/>
  <c r="D38" i="1654"/>
  <c r="R37" i="1654"/>
  <c r="H37" i="1654"/>
  <c r="D37" i="1654"/>
  <c r="R36" i="1654"/>
  <c r="L10" i="1654" s="1"/>
  <c r="D10" i="1654" s="1"/>
  <c r="H36" i="1654"/>
  <c r="D36" i="1654"/>
  <c r="R35" i="1654"/>
  <c r="H35" i="1654"/>
  <c r="D35" i="1654"/>
  <c r="R34" i="1654"/>
  <c r="L12" i="1654" s="1"/>
  <c r="D12" i="1654" s="1"/>
  <c r="H34" i="1654"/>
  <c r="D34" i="1654"/>
  <c r="R33" i="1654"/>
  <c r="R32" i="1654"/>
  <c r="R31" i="1654"/>
  <c r="R30" i="1654"/>
  <c r="R29" i="1654"/>
  <c r="R28" i="1654"/>
  <c r="L16" i="1654" s="1"/>
  <c r="D16" i="1654" s="1"/>
  <c r="D28" i="1654"/>
  <c r="R27" i="1654"/>
  <c r="D27" i="1654"/>
  <c r="R26" i="1654"/>
  <c r="L26" i="1654"/>
  <c r="D26" i="1654"/>
  <c r="R25" i="1654"/>
  <c r="L25" i="1654"/>
  <c r="D25" i="1654" s="1"/>
  <c r="R24" i="1654"/>
  <c r="L24" i="1654"/>
  <c r="D24" i="1654" s="1"/>
  <c r="R23" i="1654"/>
  <c r="D23" i="1654"/>
  <c r="R22" i="1654"/>
  <c r="D22" i="1654"/>
  <c r="R21" i="1654"/>
  <c r="D21" i="1654"/>
  <c r="R20" i="1654"/>
  <c r="R19" i="1654"/>
  <c r="D19" i="1654"/>
  <c r="R18" i="1654"/>
  <c r="D18" i="1654"/>
  <c r="R17" i="1654"/>
  <c r="L17" i="1654"/>
  <c r="D17" i="1654" s="1"/>
  <c r="R16" i="1654"/>
  <c r="R15" i="1654"/>
  <c r="D15" i="1654"/>
  <c r="R14" i="1654"/>
  <c r="D14" i="1654"/>
  <c r="R13" i="1654"/>
  <c r="D13" i="1654"/>
  <c r="R12" i="1654"/>
  <c r="R11" i="1654"/>
  <c r="L11" i="1654"/>
  <c r="D11" i="1654" s="1"/>
  <c r="L9" i="1654"/>
  <c r="D9" i="1654"/>
  <c r="L7" i="1654"/>
  <c r="D7" i="1654"/>
  <c r="R6" i="1654"/>
  <c r="R5" i="1654"/>
  <c r="R4" i="1654"/>
  <c r="R52" i="1653"/>
  <c r="R51" i="1653"/>
  <c r="D50" i="1653"/>
  <c r="R49" i="1653"/>
  <c r="G49" i="1653"/>
  <c r="D49" i="1653"/>
  <c r="R48" i="1653"/>
  <c r="D48" i="1653"/>
  <c r="D46" i="1653"/>
  <c r="D45" i="1653"/>
  <c r="D44" i="1653"/>
  <c r="R42" i="1653"/>
  <c r="L6" i="1653" s="1"/>
  <c r="D6" i="1653" s="1"/>
  <c r="D42" i="1653"/>
  <c r="R41" i="1653"/>
  <c r="L7" i="1653" s="1"/>
  <c r="D7" i="1653" s="1"/>
  <c r="D41" i="1653"/>
  <c r="R40" i="1653"/>
  <c r="D40" i="1653"/>
  <c r="R39" i="1653"/>
  <c r="D39" i="1653"/>
  <c r="R38" i="1653"/>
  <c r="L9" i="1653" s="1"/>
  <c r="D9" i="1653" s="1"/>
  <c r="D38" i="1653"/>
  <c r="R37" i="1653"/>
  <c r="D37" i="1653"/>
  <c r="R36" i="1653"/>
  <c r="D36" i="1653"/>
  <c r="R35" i="1653"/>
  <c r="D35" i="1653"/>
  <c r="R34" i="1653"/>
  <c r="L12" i="1653" s="1"/>
  <c r="D12" i="1653" s="1"/>
  <c r="D34" i="1653"/>
  <c r="D54" i="1653" s="1"/>
  <c r="H14" i="1653" s="1"/>
  <c r="R33" i="1653"/>
  <c r="L23" i="1653" s="1"/>
  <c r="D23" i="1653" s="1"/>
  <c r="R32" i="1653"/>
  <c r="R31" i="1653"/>
  <c r="R30" i="1653"/>
  <c r="R29" i="1653"/>
  <c r="R28" i="1653"/>
  <c r="D28" i="1653"/>
  <c r="R27" i="1653"/>
  <c r="D27" i="1653"/>
  <c r="R26" i="1653"/>
  <c r="L26" i="1653"/>
  <c r="D26" i="1653"/>
  <c r="R25" i="1653"/>
  <c r="L25" i="1653"/>
  <c r="D25" i="1653"/>
  <c r="R24" i="1653"/>
  <c r="D24" i="1653"/>
  <c r="R23" i="1653"/>
  <c r="R22" i="1653"/>
  <c r="L22" i="1653"/>
  <c r="D22" i="1653"/>
  <c r="R21" i="1653"/>
  <c r="D21" i="1653"/>
  <c r="R20" i="1653"/>
  <c r="L20" i="1653"/>
  <c r="D20" i="1653"/>
  <c r="R19" i="1653"/>
  <c r="L19" i="1653"/>
  <c r="D19" i="1653"/>
  <c r="R18" i="1653"/>
  <c r="D18" i="1653"/>
  <c r="R17" i="1653"/>
  <c r="D17" i="1653"/>
  <c r="R16" i="1653"/>
  <c r="L16" i="1653"/>
  <c r="D16" i="1653" s="1"/>
  <c r="S15" i="1653"/>
  <c r="R15" i="1653"/>
  <c r="D15" i="1653"/>
  <c r="S14" i="1653"/>
  <c r="R14" i="1653"/>
  <c r="D14" i="1653"/>
  <c r="R13" i="1653"/>
  <c r="D13" i="1653"/>
  <c r="R12" i="1653"/>
  <c r="R11" i="1653"/>
  <c r="L11" i="1653"/>
  <c r="D11" i="1653"/>
  <c r="L10" i="1653"/>
  <c r="D10" i="1653"/>
  <c r="L8" i="1653"/>
  <c r="D8" i="1653"/>
  <c r="R6" i="1653"/>
  <c r="R5" i="1653"/>
  <c r="R4" i="1653"/>
  <c r="R52" i="1652"/>
  <c r="R51" i="1652"/>
  <c r="D50" i="1652"/>
  <c r="R49" i="1652"/>
  <c r="D49" i="1652"/>
  <c r="R48" i="1652"/>
  <c r="D48" i="1652"/>
  <c r="D46" i="1652"/>
  <c r="D45" i="1652"/>
  <c r="R44" i="1652"/>
  <c r="D44" i="1652"/>
  <c r="R42" i="1652"/>
  <c r="L6" i="1652" s="1"/>
  <c r="D6" i="1652" s="1"/>
  <c r="D42" i="1652"/>
  <c r="R41" i="1652"/>
  <c r="D41" i="1652"/>
  <c r="R40" i="1652"/>
  <c r="L8" i="1652" s="1"/>
  <c r="D8" i="1652" s="1"/>
  <c r="D40" i="1652"/>
  <c r="R39" i="1652"/>
  <c r="H39" i="1652"/>
  <c r="D39" i="1652"/>
  <c r="R38" i="1652"/>
  <c r="H38" i="1652"/>
  <c r="D38" i="1652"/>
  <c r="R37" i="1652"/>
  <c r="H37" i="1652"/>
  <c r="D37" i="1652"/>
  <c r="R36" i="1652"/>
  <c r="H36" i="1652"/>
  <c r="D36" i="1652"/>
  <c r="R35" i="1652"/>
  <c r="H35" i="1652"/>
  <c r="D35" i="1652"/>
  <c r="R34" i="1652"/>
  <c r="L12" i="1652" s="1"/>
  <c r="D12" i="1652" s="1"/>
  <c r="H34" i="1652"/>
  <c r="G49" i="1652" s="1"/>
  <c r="D34" i="1652"/>
  <c r="R33" i="1652"/>
  <c r="R32" i="1652"/>
  <c r="L11" i="1652" s="1"/>
  <c r="D11" i="1652" s="1"/>
  <c r="R31" i="1652"/>
  <c r="R30" i="1652"/>
  <c r="R29" i="1652"/>
  <c r="R28" i="1652"/>
  <c r="D28" i="1652"/>
  <c r="R27" i="1652"/>
  <c r="D27" i="1652"/>
  <c r="R26" i="1652"/>
  <c r="L26" i="1652"/>
  <c r="D26" i="1652"/>
  <c r="R25" i="1652"/>
  <c r="L25" i="1652"/>
  <c r="D25" i="1652" s="1"/>
  <c r="R24" i="1652"/>
  <c r="D24" i="1652"/>
  <c r="R23" i="1652"/>
  <c r="L23" i="1652"/>
  <c r="D23" i="1652" s="1"/>
  <c r="R22" i="1652"/>
  <c r="L22" i="1652"/>
  <c r="D22" i="1652" s="1"/>
  <c r="R21" i="1652"/>
  <c r="D21" i="1652"/>
  <c r="R20" i="1652"/>
  <c r="L20" i="1652"/>
  <c r="D20" i="1652"/>
  <c r="R19" i="1652"/>
  <c r="L19" i="1652"/>
  <c r="D19" i="1652" s="1"/>
  <c r="R18" i="1652"/>
  <c r="D18" i="1652"/>
  <c r="R17" i="1652"/>
  <c r="D17" i="1652"/>
  <c r="R16" i="1652"/>
  <c r="L16" i="1652"/>
  <c r="D16" i="1652" s="1"/>
  <c r="R15" i="1652"/>
  <c r="D15" i="1652"/>
  <c r="R14" i="1652"/>
  <c r="D14" i="1652"/>
  <c r="R13" i="1652"/>
  <c r="D13" i="1652"/>
  <c r="R12" i="1652"/>
  <c r="R11" i="1652"/>
  <c r="L10" i="1652"/>
  <c r="D10" i="1652" s="1"/>
  <c r="L9" i="1652"/>
  <c r="D9" i="1652" s="1"/>
  <c r="L7" i="1652"/>
  <c r="D7" i="1652" s="1"/>
  <c r="R6" i="1652"/>
  <c r="R5" i="1652"/>
  <c r="R4" i="1652"/>
  <c r="R52" i="1651"/>
  <c r="R51" i="1651"/>
  <c r="D50" i="1651"/>
  <c r="R49" i="1651"/>
  <c r="D49" i="1651"/>
  <c r="R48" i="1651"/>
  <c r="D48" i="1651"/>
  <c r="D46" i="1651"/>
  <c r="D45" i="1651"/>
  <c r="R44" i="1651"/>
  <c r="D44" i="1651"/>
  <c r="R42" i="1651"/>
  <c r="L6" i="1651" s="1"/>
  <c r="D6" i="1651" s="1"/>
  <c r="D42" i="1651"/>
  <c r="R41" i="1651"/>
  <c r="D41" i="1651"/>
  <c r="R40" i="1651"/>
  <c r="D40" i="1651"/>
  <c r="R39" i="1651"/>
  <c r="L20" i="1651" s="1"/>
  <c r="D20" i="1651" s="1"/>
  <c r="H39" i="1651"/>
  <c r="D39" i="1651"/>
  <c r="R38" i="1651"/>
  <c r="L9" i="1651" s="1"/>
  <c r="D9" i="1651" s="1"/>
  <c r="H38" i="1651"/>
  <c r="D38" i="1651"/>
  <c r="R37" i="1651"/>
  <c r="H37" i="1651"/>
  <c r="D37" i="1651"/>
  <c r="R36" i="1651"/>
  <c r="H36" i="1651"/>
  <c r="D36" i="1651"/>
  <c r="R35" i="1651"/>
  <c r="H35" i="1651"/>
  <c r="D35" i="1651"/>
  <c r="R34" i="1651"/>
  <c r="L12" i="1651" s="1"/>
  <c r="D12" i="1651" s="1"/>
  <c r="H34" i="1651"/>
  <c r="G49" i="1651" s="1"/>
  <c r="D34" i="1651"/>
  <c r="D54" i="1651" s="1"/>
  <c r="H14" i="1651" s="1"/>
  <c r="R33" i="1651"/>
  <c r="L23" i="1651" s="1"/>
  <c r="D23" i="1651" s="1"/>
  <c r="R32" i="1651"/>
  <c r="R31" i="1651"/>
  <c r="R30" i="1651"/>
  <c r="R29" i="1651"/>
  <c r="R28" i="1651"/>
  <c r="L16" i="1651" s="1"/>
  <c r="D16" i="1651" s="1"/>
  <c r="D28" i="1651"/>
  <c r="R27" i="1651"/>
  <c r="D27" i="1651"/>
  <c r="R26" i="1651"/>
  <c r="L26" i="1651"/>
  <c r="D26" i="1651"/>
  <c r="R25" i="1651"/>
  <c r="L25" i="1651"/>
  <c r="D25" i="1651" s="1"/>
  <c r="R24" i="1651"/>
  <c r="L24" i="1651"/>
  <c r="D24" i="1651"/>
  <c r="R23" i="1651"/>
  <c r="R22" i="1651"/>
  <c r="L22" i="1651"/>
  <c r="D22" i="1651"/>
  <c r="R21" i="1651"/>
  <c r="D21" i="1651"/>
  <c r="R20" i="1651"/>
  <c r="R19" i="1651"/>
  <c r="L19" i="1651"/>
  <c r="D19" i="1651" s="1"/>
  <c r="R18" i="1651"/>
  <c r="D18" i="1651"/>
  <c r="R17" i="1651"/>
  <c r="L17" i="1651"/>
  <c r="D17" i="1651"/>
  <c r="R16" i="1651"/>
  <c r="R15" i="1651"/>
  <c r="D15" i="1651"/>
  <c r="R14" i="1651"/>
  <c r="D14" i="1651"/>
  <c r="R13" i="1651"/>
  <c r="D13" i="1651"/>
  <c r="R12" i="1651"/>
  <c r="R11" i="1651"/>
  <c r="L11" i="1651"/>
  <c r="D11" i="1651" s="1"/>
  <c r="L10" i="1651"/>
  <c r="D10" i="1651" s="1"/>
  <c r="L8" i="1651"/>
  <c r="D8" i="1651"/>
  <c r="L7" i="1651"/>
  <c r="D7" i="1651" s="1"/>
  <c r="R6" i="1651"/>
  <c r="R5" i="1651"/>
  <c r="R4" i="1651"/>
  <c r="R52" i="1650"/>
  <c r="R51" i="1650"/>
  <c r="D50" i="1650"/>
  <c r="R49" i="1650"/>
  <c r="D49" i="1650"/>
  <c r="R48" i="1650"/>
  <c r="D48" i="1650"/>
  <c r="D46" i="1650"/>
  <c r="D45" i="1650"/>
  <c r="R44" i="1650"/>
  <c r="D44" i="1650"/>
  <c r="R42" i="1650"/>
  <c r="L6" i="1650" s="1"/>
  <c r="D6" i="1650" s="1"/>
  <c r="D42" i="1650"/>
  <c r="R41" i="1650"/>
  <c r="L7" i="1650" s="1"/>
  <c r="D7" i="1650" s="1"/>
  <c r="D41" i="1650"/>
  <c r="R40" i="1650"/>
  <c r="D40" i="1650"/>
  <c r="R39" i="1650"/>
  <c r="H39" i="1650"/>
  <c r="D39" i="1650"/>
  <c r="R38" i="1650"/>
  <c r="H38" i="1650"/>
  <c r="D38" i="1650"/>
  <c r="R37" i="1650"/>
  <c r="H37" i="1650"/>
  <c r="D37" i="1650"/>
  <c r="R36" i="1650"/>
  <c r="L10" i="1650" s="1"/>
  <c r="D10" i="1650" s="1"/>
  <c r="H36" i="1650"/>
  <c r="D36" i="1650"/>
  <c r="R35" i="1650"/>
  <c r="H35" i="1650"/>
  <c r="D35" i="1650"/>
  <c r="R34" i="1650"/>
  <c r="H34" i="1650"/>
  <c r="G49" i="1650" s="1"/>
  <c r="D34" i="1650"/>
  <c r="R33" i="1650"/>
  <c r="R32" i="1650"/>
  <c r="L11" i="1650" s="1"/>
  <c r="D11" i="1650" s="1"/>
  <c r="R31" i="1650"/>
  <c r="R30" i="1650"/>
  <c r="R29" i="1650"/>
  <c r="R28" i="1650"/>
  <c r="L16" i="1650" s="1"/>
  <c r="D16" i="1650" s="1"/>
  <c r="D28" i="1650"/>
  <c r="R27" i="1650"/>
  <c r="D27" i="1650"/>
  <c r="R26" i="1650"/>
  <c r="L26" i="1650"/>
  <c r="D26" i="1650"/>
  <c r="R25" i="1650"/>
  <c r="L25" i="1650"/>
  <c r="D25" i="1650" s="1"/>
  <c r="R24" i="1650"/>
  <c r="L24" i="1650"/>
  <c r="D24" i="1650"/>
  <c r="R23" i="1650"/>
  <c r="D23" i="1650"/>
  <c r="R22" i="1650"/>
  <c r="D22" i="1650"/>
  <c r="R21" i="1650"/>
  <c r="D21" i="1650"/>
  <c r="R20" i="1650"/>
  <c r="L20" i="1650"/>
  <c r="D20" i="1650" s="1"/>
  <c r="R19" i="1650"/>
  <c r="D19" i="1650"/>
  <c r="R18" i="1650"/>
  <c r="D18" i="1650"/>
  <c r="R17" i="1650"/>
  <c r="L17" i="1650"/>
  <c r="D17" i="1650"/>
  <c r="R16" i="1650"/>
  <c r="R15" i="1650"/>
  <c r="D15" i="1650"/>
  <c r="R14" i="1650"/>
  <c r="D14" i="1650"/>
  <c r="R13" i="1650"/>
  <c r="D13" i="1650"/>
  <c r="R12" i="1650"/>
  <c r="L12" i="1650"/>
  <c r="D12" i="1650" s="1"/>
  <c r="R11" i="1650"/>
  <c r="L9" i="1650"/>
  <c r="D9" i="1650"/>
  <c r="L8" i="1650"/>
  <c r="D8" i="1650"/>
  <c r="R6" i="1650"/>
  <c r="R5" i="1650"/>
  <c r="R4" i="1650"/>
  <c r="R52" i="1649"/>
  <c r="R51" i="1649"/>
  <c r="D50" i="1649"/>
  <c r="R49" i="1649"/>
  <c r="G49" i="1649"/>
  <c r="D49" i="1649"/>
  <c r="R48" i="1649"/>
  <c r="D48" i="1649"/>
  <c r="D46" i="1649"/>
  <c r="D45" i="1649"/>
  <c r="D44" i="1649"/>
  <c r="R42" i="1649"/>
  <c r="L6" i="1649" s="1"/>
  <c r="D6" i="1649" s="1"/>
  <c r="D42" i="1649"/>
  <c r="R41" i="1649"/>
  <c r="L7" i="1649" s="1"/>
  <c r="D7" i="1649" s="1"/>
  <c r="D41" i="1649"/>
  <c r="R40" i="1649"/>
  <c r="D40" i="1649"/>
  <c r="R39" i="1649"/>
  <c r="D39" i="1649"/>
  <c r="R38" i="1649"/>
  <c r="D38" i="1649"/>
  <c r="R37" i="1649"/>
  <c r="D37" i="1649"/>
  <c r="R36" i="1649"/>
  <c r="D36" i="1649"/>
  <c r="R35" i="1649"/>
  <c r="D35" i="1649"/>
  <c r="R34" i="1649"/>
  <c r="L12" i="1649" s="1"/>
  <c r="D12" i="1649" s="1"/>
  <c r="D34" i="1649"/>
  <c r="D54" i="1649" s="1"/>
  <c r="H14" i="1649" s="1"/>
  <c r="R33" i="1649"/>
  <c r="L23" i="1649" s="1"/>
  <c r="D23" i="1649" s="1"/>
  <c r="R32" i="1649"/>
  <c r="R31" i="1649"/>
  <c r="R30" i="1649"/>
  <c r="R29" i="1649"/>
  <c r="R28" i="1649"/>
  <c r="D28" i="1649"/>
  <c r="R27" i="1649"/>
  <c r="D27" i="1649"/>
  <c r="R26" i="1649"/>
  <c r="L26" i="1649"/>
  <c r="D26" i="1649"/>
  <c r="R25" i="1649"/>
  <c r="L25" i="1649"/>
  <c r="D25" i="1649"/>
  <c r="R24" i="1649"/>
  <c r="D24" i="1649"/>
  <c r="R23" i="1649"/>
  <c r="R22" i="1649"/>
  <c r="L22" i="1649"/>
  <c r="D22" i="1649"/>
  <c r="R21" i="1649"/>
  <c r="D21" i="1649"/>
  <c r="R20" i="1649"/>
  <c r="L20" i="1649"/>
  <c r="D20" i="1649"/>
  <c r="R19" i="1649"/>
  <c r="L19" i="1649"/>
  <c r="D19" i="1649"/>
  <c r="R18" i="1649"/>
  <c r="D18" i="1649"/>
  <c r="R17" i="1649"/>
  <c r="D17" i="1649"/>
  <c r="R16" i="1649"/>
  <c r="L16" i="1649"/>
  <c r="D16" i="1649" s="1"/>
  <c r="S15" i="1649"/>
  <c r="R15" i="1649"/>
  <c r="D15" i="1649"/>
  <c r="S14" i="1649"/>
  <c r="R14" i="1649"/>
  <c r="D14" i="1649"/>
  <c r="R13" i="1649"/>
  <c r="D13" i="1649"/>
  <c r="R12" i="1649"/>
  <c r="R11" i="1649"/>
  <c r="L11" i="1649"/>
  <c r="D11" i="1649"/>
  <c r="L10" i="1649"/>
  <c r="D10" i="1649"/>
  <c r="L9" i="1649"/>
  <c r="D9" i="1649" s="1"/>
  <c r="L8" i="1649"/>
  <c r="D8" i="1649"/>
  <c r="R6" i="1649"/>
  <c r="R5" i="1649"/>
  <c r="R4" i="1649"/>
  <c r="R52" i="1648"/>
  <c r="R51" i="1648"/>
  <c r="D50" i="1648"/>
  <c r="R49" i="1648"/>
  <c r="D49" i="1648"/>
  <c r="R48" i="1648"/>
  <c r="D48" i="1648"/>
  <c r="D46" i="1648"/>
  <c r="D45" i="1648"/>
  <c r="R44" i="1648"/>
  <c r="D44" i="1648"/>
  <c r="R42" i="1648"/>
  <c r="L6" i="1648" s="1"/>
  <c r="D6" i="1648" s="1"/>
  <c r="D42" i="1648"/>
  <c r="R41" i="1648"/>
  <c r="D41" i="1648"/>
  <c r="R40" i="1648"/>
  <c r="D40" i="1648"/>
  <c r="R39" i="1648"/>
  <c r="H39" i="1648"/>
  <c r="D39" i="1648"/>
  <c r="R38" i="1648"/>
  <c r="H38" i="1648"/>
  <c r="D38" i="1648"/>
  <c r="R37" i="1648"/>
  <c r="H37" i="1648"/>
  <c r="D37" i="1648"/>
  <c r="R36" i="1648"/>
  <c r="L10" i="1648" s="1"/>
  <c r="D10" i="1648" s="1"/>
  <c r="H36" i="1648"/>
  <c r="D36" i="1648"/>
  <c r="R35" i="1648"/>
  <c r="H35" i="1648"/>
  <c r="D35" i="1648"/>
  <c r="R34" i="1648"/>
  <c r="H34" i="1648"/>
  <c r="D34" i="1648"/>
  <c r="R33" i="1648"/>
  <c r="R32" i="1648"/>
  <c r="R31" i="1648"/>
  <c r="R30" i="1648"/>
  <c r="R29" i="1648"/>
  <c r="R28" i="1648"/>
  <c r="L16" i="1648" s="1"/>
  <c r="D16" i="1648" s="1"/>
  <c r="D28" i="1648"/>
  <c r="R27" i="1648"/>
  <c r="D27" i="1648"/>
  <c r="R26" i="1648"/>
  <c r="L26" i="1648"/>
  <c r="D26" i="1648"/>
  <c r="R25" i="1648"/>
  <c r="L25" i="1648"/>
  <c r="D25" i="1648"/>
  <c r="R24" i="1648"/>
  <c r="D24" i="1648"/>
  <c r="R23" i="1648"/>
  <c r="L23" i="1648"/>
  <c r="D23" i="1648"/>
  <c r="R22" i="1648"/>
  <c r="L22" i="1648"/>
  <c r="D22" i="1648" s="1"/>
  <c r="R21" i="1648"/>
  <c r="D21" i="1648"/>
  <c r="R20" i="1648"/>
  <c r="L20" i="1648"/>
  <c r="D20" i="1648"/>
  <c r="R19" i="1648"/>
  <c r="L19" i="1648"/>
  <c r="D19" i="1648"/>
  <c r="R18" i="1648"/>
  <c r="D18" i="1648"/>
  <c r="R17" i="1648"/>
  <c r="D17" i="1648"/>
  <c r="R16" i="1648"/>
  <c r="R15" i="1648"/>
  <c r="D15" i="1648"/>
  <c r="R14" i="1648"/>
  <c r="D14" i="1648"/>
  <c r="R13" i="1648"/>
  <c r="D13" i="1648"/>
  <c r="R12" i="1648"/>
  <c r="L12" i="1648"/>
  <c r="D12" i="1648"/>
  <c r="R11" i="1648"/>
  <c r="L11" i="1648"/>
  <c r="D11" i="1648"/>
  <c r="L9" i="1648"/>
  <c r="D9" i="1648" s="1"/>
  <c r="L8" i="1648"/>
  <c r="D8" i="1648" s="1"/>
  <c r="L7" i="1648"/>
  <c r="D7" i="1648"/>
  <c r="R6" i="1648"/>
  <c r="R5" i="1648"/>
  <c r="R4" i="1648"/>
  <c r="D54" i="1647"/>
  <c r="H14" i="1647" s="1"/>
  <c r="R52" i="1647"/>
  <c r="R51" i="1647"/>
  <c r="D50" i="1647"/>
  <c r="R49" i="1647"/>
  <c r="D49" i="1647"/>
  <c r="R48" i="1647"/>
  <c r="D48" i="1647"/>
  <c r="D46" i="1647"/>
  <c r="D45" i="1647"/>
  <c r="R44" i="1647"/>
  <c r="D44" i="1647"/>
  <c r="R42" i="1647"/>
  <c r="L6" i="1647" s="1"/>
  <c r="D6" i="1647" s="1"/>
  <c r="D42" i="1647"/>
  <c r="R41" i="1647"/>
  <c r="L7" i="1647" s="1"/>
  <c r="D7" i="1647" s="1"/>
  <c r="D41" i="1647"/>
  <c r="R40" i="1647"/>
  <c r="D40" i="1647"/>
  <c r="R39" i="1647"/>
  <c r="H39" i="1647"/>
  <c r="D39" i="1647"/>
  <c r="R38" i="1647"/>
  <c r="L9" i="1647" s="1"/>
  <c r="D9" i="1647" s="1"/>
  <c r="H38" i="1647"/>
  <c r="D38" i="1647"/>
  <c r="R37" i="1647"/>
  <c r="H37" i="1647"/>
  <c r="D37" i="1647"/>
  <c r="R36" i="1647"/>
  <c r="H36" i="1647"/>
  <c r="D36" i="1647"/>
  <c r="R35" i="1647"/>
  <c r="L19" i="1647" s="1"/>
  <c r="D19" i="1647" s="1"/>
  <c r="H35" i="1647"/>
  <c r="D35" i="1647"/>
  <c r="R34" i="1647"/>
  <c r="H34" i="1647"/>
  <c r="G49" i="1647" s="1"/>
  <c r="D34" i="1647"/>
  <c r="R33" i="1647"/>
  <c r="R32" i="1647"/>
  <c r="R31" i="1647"/>
  <c r="R30" i="1647"/>
  <c r="R29" i="1647"/>
  <c r="R28" i="1647"/>
  <c r="D28" i="1647"/>
  <c r="R27" i="1647"/>
  <c r="D27" i="1647"/>
  <c r="R26" i="1647"/>
  <c r="L26" i="1647"/>
  <c r="D26" i="1647"/>
  <c r="R25" i="1647"/>
  <c r="L25" i="1647"/>
  <c r="D25" i="1647"/>
  <c r="R24" i="1647"/>
  <c r="L24" i="1647"/>
  <c r="D24" i="1647"/>
  <c r="R23" i="1647"/>
  <c r="L23" i="1647"/>
  <c r="D23" i="1647"/>
  <c r="R22" i="1647"/>
  <c r="L22" i="1647"/>
  <c r="D22" i="1647"/>
  <c r="R21" i="1647"/>
  <c r="L17" i="1647" s="1"/>
  <c r="D17" i="1647" s="1"/>
  <c r="D21" i="1647"/>
  <c r="R20" i="1647"/>
  <c r="L20" i="1647"/>
  <c r="D20" i="1647"/>
  <c r="R19" i="1647"/>
  <c r="R18" i="1647"/>
  <c r="D18" i="1647"/>
  <c r="R17" i="1647"/>
  <c r="R16" i="1647"/>
  <c r="L16" i="1647"/>
  <c r="D16" i="1647"/>
  <c r="R15" i="1647"/>
  <c r="D15" i="1647"/>
  <c r="R14" i="1647"/>
  <c r="D14" i="1647"/>
  <c r="R13" i="1647"/>
  <c r="D13" i="1647"/>
  <c r="R12" i="1647"/>
  <c r="L12" i="1647"/>
  <c r="D12" i="1647"/>
  <c r="R11" i="1647"/>
  <c r="L11" i="1647"/>
  <c r="D11" i="1647"/>
  <c r="L10" i="1647"/>
  <c r="D10" i="1647"/>
  <c r="L8" i="1647"/>
  <c r="D8" i="1647"/>
  <c r="R6" i="1647"/>
  <c r="R5" i="1647"/>
  <c r="R4" i="1647"/>
  <c r="R52" i="1646"/>
  <c r="R51" i="1646"/>
  <c r="D50" i="1646"/>
  <c r="R49" i="1646"/>
  <c r="D49" i="1646"/>
  <c r="R48" i="1646"/>
  <c r="D48" i="1646"/>
  <c r="D46" i="1646"/>
  <c r="D45" i="1646"/>
  <c r="R44" i="1646"/>
  <c r="D44" i="1646"/>
  <c r="R42" i="1646"/>
  <c r="L6" i="1646" s="1"/>
  <c r="D6" i="1646" s="1"/>
  <c r="D42" i="1646"/>
  <c r="R41" i="1646"/>
  <c r="L7" i="1646" s="1"/>
  <c r="D7" i="1646" s="1"/>
  <c r="D41" i="1646"/>
  <c r="D54" i="1646" s="1"/>
  <c r="H14" i="1646" s="1"/>
  <c r="R40" i="1646"/>
  <c r="D40" i="1646"/>
  <c r="R39" i="1646"/>
  <c r="H39" i="1646"/>
  <c r="D39" i="1646"/>
  <c r="R38" i="1646"/>
  <c r="H38" i="1646"/>
  <c r="D38" i="1646"/>
  <c r="R37" i="1646"/>
  <c r="H37" i="1646"/>
  <c r="D37" i="1646"/>
  <c r="R36" i="1646"/>
  <c r="L10" i="1646" s="1"/>
  <c r="D10" i="1646" s="1"/>
  <c r="H36" i="1646"/>
  <c r="D36" i="1646"/>
  <c r="R35" i="1646"/>
  <c r="H35" i="1646"/>
  <c r="D35" i="1646"/>
  <c r="R34" i="1646"/>
  <c r="H34" i="1646"/>
  <c r="G49" i="1646" s="1"/>
  <c r="D34" i="1646"/>
  <c r="R33" i="1646"/>
  <c r="R32" i="1646"/>
  <c r="R31" i="1646"/>
  <c r="R30" i="1646"/>
  <c r="R29" i="1646"/>
  <c r="R28" i="1646"/>
  <c r="L16" i="1646" s="1"/>
  <c r="D16" i="1646" s="1"/>
  <c r="D28" i="1646"/>
  <c r="R27" i="1646"/>
  <c r="D27" i="1646"/>
  <c r="R26" i="1646"/>
  <c r="L26" i="1646"/>
  <c r="D26" i="1646"/>
  <c r="R25" i="1646"/>
  <c r="L25" i="1646"/>
  <c r="D25" i="1646" s="1"/>
  <c r="R24" i="1646"/>
  <c r="L24" i="1646"/>
  <c r="D24" i="1646"/>
  <c r="R23" i="1646"/>
  <c r="D23" i="1646"/>
  <c r="R22" i="1646"/>
  <c r="D22" i="1646"/>
  <c r="R21" i="1646"/>
  <c r="D21" i="1646"/>
  <c r="R20" i="1646"/>
  <c r="L20" i="1646"/>
  <c r="D20" i="1646" s="1"/>
  <c r="R19" i="1646"/>
  <c r="D19" i="1646"/>
  <c r="R18" i="1646"/>
  <c r="D18" i="1646"/>
  <c r="R17" i="1646"/>
  <c r="L17" i="1646"/>
  <c r="D17" i="1646"/>
  <c r="R16" i="1646"/>
  <c r="R15" i="1646"/>
  <c r="D15" i="1646"/>
  <c r="R14" i="1646"/>
  <c r="D14" i="1646"/>
  <c r="R13" i="1646"/>
  <c r="D13" i="1646"/>
  <c r="R12" i="1646"/>
  <c r="L12" i="1646"/>
  <c r="D12" i="1646"/>
  <c r="R11" i="1646"/>
  <c r="L11" i="1646"/>
  <c r="D11" i="1646"/>
  <c r="L9" i="1646"/>
  <c r="D9" i="1646"/>
  <c r="L8" i="1646"/>
  <c r="D8" i="1646"/>
  <c r="R6" i="1646"/>
  <c r="R5" i="1646"/>
  <c r="R4" i="1646"/>
  <c r="L22" i="1620"/>
  <c r="R52" i="1620"/>
  <c r="R51" i="1620"/>
  <c r="R49" i="1620"/>
  <c r="R48" i="1620"/>
  <c r="R44" i="1620"/>
  <c r="R42" i="1620"/>
  <c r="R41" i="1620"/>
  <c r="R40" i="1620"/>
  <c r="R39" i="1620"/>
  <c r="R38" i="1620"/>
  <c r="R37" i="1620"/>
  <c r="R36" i="1620"/>
  <c r="R35" i="1620"/>
  <c r="R34" i="1620"/>
  <c r="R33" i="1620"/>
  <c r="R32" i="1620"/>
  <c r="R31" i="1620"/>
  <c r="R30" i="1620"/>
  <c r="R29" i="1620"/>
  <c r="R28" i="1620"/>
  <c r="R27" i="1620"/>
  <c r="R26" i="1620"/>
  <c r="R25" i="1620"/>
  <c r="R24" i="1620"/>
  <c r="R23" i="1620"/>
  <c r="R22" i="1620"/>
  <c r="R21" i="1620"/>
  <c r="R20" i="1620"/>
  <c r="R19" i="1620"/>
  <c r="R18" i="1620"/>
  <c r="R17" i="1620"/>
  <c r="R16" i="1620"/>
  <c r="R15" i="1620"/>
  <c r="R14" i="1620"/>
  <c r="R13" i="1620"/>
  <c r="R12" i="1620"/>
  <c r="R11" i="1620"/>
  <c r="R6" i="1620"/>
  <c r="R5" i="1620"/>
  <c r="R4" i="1620"/>
  <c r="R52" i="1619"/>
  <c r="R51" i="1619"/>
  <c r="R49" i="1619"/>
  <c r="R48" i="1619"/>
  <c r="R44" i="1619"/>
  <c r="R42" i="1619"/>
  <c r="R41" i="1619"/>
  <c r="R40" i="1619"/>
  <c r="R39" i="1619"/>
  <c r="R38" i="1619"/>
  <c r="R37" i="1619"/>
  <c r="R36" i="1619"/>
  <c r="R35" i="1619"/>
  <c r="R34" i="1619"/>
  <c r="R33" i="1619"/>
  <c r="R32" i="1619"/>
  <c r="R31" i="1619"/>
  <c r="R30" i="1619"/>
  <c r="R29" i="1619"/>
  <c r="R28" i="1619"/>
  <c r="R27" i="1619"/>
  <c r="R26" i="1619"/>
  <c r="R25" i="1619"/>
  <c r="R24" i="1619"/>
  <c r="R23" i="1619"/>
  <c r="R22" i="1619"/>
  <c r="R21" i="1619"/>
  <c r="R20" i="1619"/>
  <c r="R19" i="1619"/>
  <c r="R18" i="1619"/>
  <c r="R17" i="1619"/>
  <c r="R16" i="1619"/>
  <c r="R15" i="1619"/>
  <c r="R14" i="1619"/>
  <c r="R13" i="1619"/>
  <c r="R12" i="1619"/>
  <c r="R11" i="1619"/>
  <c r="R6" i="1619"/>
  <c r="R5" i="1619"/>
  <c r="R4" i="1619"/>
  <c r="D54" i="1645"/>
  <c r="H14" i="1645" s="1"/>
  <c r="R52" i="1645"/>
  <c r="R51" i="1645"/>
  <c r="D50" i="1645"/>
  <c r="R49" i="1645"/>
  <c r="G49" i="1645"/>
  <c r="D49" i="1645"/>
  <c r="R48" i="1645"/>
  <c r="D48" i="1645"/>
  <c r="D46" i="1645"/>
  <c r="D45" i="1645"/>
  <c r="D44" i="1645"/>
  <c r="R42" i="1645"/>
  <c r="D42" i="1645"/>
  <c r="R41" i="1645"/>
  <c r="L7" i="1645" s="1"/>
  <c r="D7" i="1645" s="1"/>
  <c r="D41" i="1645"/>
  <c r="R40" i="1645"/>
  <c r="L8" i="1645" s="1"/>
  <c r="D8" i="1645" s="1"/>
  <c r="D40" i="1645"/>
  <c r="R39" i="1645"/>
  <c r="D39" i="1645"/>
  <c r="R38" i="1645"/>
  <c r="D38" i="1645"/>
  <c r="R37" i="1645"/>
  <c r="D37" i="1645"/>
  <c r="R36" i="1645"/>
  <c r="L10" i="1645" s="1"/>
  <c r="D10" i="1645" s="1"/>
  <c r="D36" i="1645"/>
  <c r="R35" i="1645"/>
  <c r="D35" i="1645"/>
  <c r="R34" i="1645"/>
  <c r="L12" i="1645" s="1"/>
  <c r="D12" i="1645" s="1"/>
  <c r="D34" i="1645"/>
  <c r="R33" i="1645"/>
  <c r="L23" i="1645" s="1"/>
  <c r="D23" i="1645" s="1"/>
  <c r="R32" i="1645"/>
  <c r="L11" i="1645" s="1"/>
  <c r="D11" i="1645" s="1"/>
  <c r="R31" i="1645"/>
  <c r="R30" i="1645"/>
  <c r="R29" i="1645"/>
  <c r="R28" i="1645"/>
  <c r="L16" i="1645" s="1"/>
  <c r="D16" i="1645" s="1"/>
  <c r="D28" i="1645"/>
  <c r="R27" i="1645"/>
  <c r="D27" i="1645"/>
  <c r="R26" i="1645"/>
  <c r="L26" i="1645"/>
  <c r="D26" i="1645"/>
  <c r="R25" i="1645"/>
  <c r="L25" i="1645"/>
  <c r="D25" i="1645"/>
  <c r="R24" i="1645"/>
  <c r="D24" i="1645"/>
  <c r="R23" i="1645"/>
  <c r="R22" i="1645"/>
  <c r="L22" i="1645"/>
  <c r="D22" i="1645" s="1"/>
  <c r="R21" i="1645"/>
  <c r="D21" i="1645"/>
  <c r="R20" i="1645"/>
  <c r="L20" i="1645"/>
  <c r="D20" i="1645"/>
  <c r="R19" i="1645"/>
  <c r="L19" i="1645"/>
  <c r="D19" i="1645"/>
  <c r="R18" i="1645"/>
  <c r="D18" i="1645"/>
  <c r="R17" i="1645"/>
  <c r="D17" i="1645"/>
  <c r="R16" i="1645"/>
  <c r="S15" i="1645"/>
  <c r="R15" i="1645"/>
  <c r="D15" i="1645"/>
  <c r="S14" i="1645"/>
  <c r="R14" i="1645"/>
  <c r="D14" i="1645"/>
  <c r="R13" i="1645"/>
  <c r="D13" i="1645"/>
  <c r="R12" i="1645"/>
  <c r="R11" i="1645"/>
  <c r="L9" i="1645"/>
  <c r="D9" i="1645" s="1"/>
  <c r="R6" i="1645"/>
  <c r="L6" i="1645"/>
  <c r="D6" i="1645" s="1"/>
  <c r="R5" i="1645"/>
  <c r="R4" i="1645"/>
  <c r="G49" i="1668" l="1"/>
  <c r="G49" i="1667"/>
  <c r="D54" i="1668"/>
  <c r="H14" i="1668" s="1"/>
  <c r="D54" i="1667"/>
  <c r="H14" i="1667" s="1"/>
  <c r="D54" i="1666"/>
  <c r="H14" i="1666" s="1"/>
  <c r="G49" i="1664"/>
  <c r="G49" i="1663"/>
  <c r="G49" i="1662"/>
  <c r="D54" i="1664"/>
  <c r="H14" i="1664" s="1"/>
  <c r="D54" i="1663"/>
  <c r="H14" i="1663" s="1"/>
  <c r="D29" i="1663"/>
  <c r="H13" i="1663" s="1"/>
  <c r="D54" i="1662"/>
  <c r="H14" i="1662" s="1"/>
  <c r="D54" i="1660"/>
  <c r="H14" i="1660" s="1"/>
  <c r="D54" i="1659"/>
  <c r="H14" i="1659" s="1"/>
  <c r="D29" i="1659"/>
  <c r="H13" i="1659" s="1"/>
  <c r="D54" i="1658"/>
  <c r="H14" i="1658" s="1"/>
  <c r="G49" i="1660"/>
  <c r="G49" i="1659"/>
  <c r="G49" i="1658"/>
  <c r="G49" i="1656"/>
  <c r="G49" i="1655"/>
  <c r="G49" i="1654"/>
  <c r="D54" i="1656"/>
  <c r="H14" i="1656" s="1"/>
  <c r="D29" i="1656"/>
  <c r="H13" i="1656" s="1"/>
  <c r="D54" i="1655"/>
  <c r="H14" i="1655" s="1"/>
  <c r="D54" i="1654"/>
  <c r="H14" i="1654" s="1"/>
  <c r="D54" i="1652"/>
  <c r="H14" i="1652" s="1"/>
  <c r="D54" i="1650"/>
  <c r="H14" i="1650" s="1"/>
  <c r="D29" i="1650"/>
  <c r="H13" i="1650" s="1"/>
  <c r="G49" i="1648"/>
  <c r="D54" i="1648"/>
  <c r="H14" i="1648" s="1"/>
  <c r="D29" i="1648"/>
  <c r="H13" i="1648" s="1"/>
  <c r="H15" i="1648" s="1"/>
  <c r="H29" i="1648" s="1"/>
  <c r="G51" i="1648" s="1"/>
  <c r="D29" i="1680"/>
  <c r="H13" i="1680" s="1"/>
  <c r="H15" i="1680" s="1"/>
  <c r="H29" i="1680" s="1"/>
  <c r="G51" i="1680" s="1"/>
  <c r="D29" i="1679"/>
  <c r="H13" i="1679" s="1"/>
  <c r="H15" i="1679" s="1"/>
  <c r="H29" i="1679" s="1"/>
  <c r="G51" i="1679"/>
  <c r="D29" i="1678"/>
  <c r="H13" i="1678" s="1"/>
  <c r="H15" i="1678" s="1"/>
  <c r="H29" i="1678" s="1"/>
  <c r="G51" i="1678"/>
  <c r="D29" i="1677"/>
  <c r="H13" i="1677" s="1"/>
  <c r="H15" i="1677" s="1"/>
  <c r="H29" i="1677" s="1"/>
  <c r="G51" i="1677" s="1"/>
  <c r="D29" i="1676"/>
  <c r="H13" i="1676" s="1"/>
  <c r="H15" i="1676" s="1"/>
  <c r="H29" i="1676" s="1"/>
  <c r="G51" i="1676" s="1"/>
  <c r="D29" i="1675"/>
  <c r="H13" i="1675" s="1"/>
  <c r="H15" i="1675" s="1"/>
  <c r="H29" i="1675" s="1"/>
  <c r="G51" i="1675"/>
  <c r="G51" i="1674"/>
  <c r="G51" i="1673"/>
  <c r="D29" i="1672"/>
  <c r="H13" i="1672" s="1"/>
  <c r="H15" i="1672" s="1"/>
  <c r="H29" i="1672" s="1"/>
  <c r="G51" i="1672" s="1"/>
  <c r="G51" i="1671"/>
  <c r="D29" i="1670"/>
  <c r="H13" i="1670" s="1"/>
  <c r="H15" i="1670" s="1"/>
  <c r="H29" i="1670" s="1"/>
  <c r="G51" i="1670" s="1"/>
  <c r="D29" i="1669"/>
  <c r="H13" i="1669" s="1"/>
  <c r="H15" i="1669" s="1"/>
  <c r="H29" i="1669" s="1"/>
  <c r="G51" i="1669" s="1"/>
  <c r="D29" i="1668"/>
  <c r="H13" i="1668" s="1"/>
  <c r="D29" i="1667"/>
  <c r="H13" i="1667" s="1"/>
  <c r="D29" i="1666"/>
  <c r="H13" i="1666" s="1"/>
  <c r="D29" i="1665"/>
  <c r="H13" i="1665" s="1"/>
  <c r="H15" i="1665" s="1"/>
  <c r="H29" i="1665" s="1"/>
  <c r="G51" i="1665" s="1"/>
  <c r="D29" i="1664"/>
  <c r="H13" i="1664" s="1"/>
  <c r="D29" i="1662"/>
  <c r="H13" i="1662" s="1"/>
  <c r="D29" i="1661"/>
  <c r="H13" i="1661" s="1"/>
  <c r="H15" i="1661" s="1"/>
  <c r="H29" i="1661" s="1"/>
  <c r="G51" i="1661" s="1"/>
  <c r="D29" i="1660"/>
  <c r="H13" i="1660" s="1"/>
  <c r="D29" i="1658"/>
  <c r="H13" i="1658" s="1"/>
  <c r="D29" i="1657"/>
  <c r="H13" i="1657" s="1"/>
  <c r="H15" i="1657" s="1"/>
  <c r="H29" i="1657" s="1"/>
  <c r="G51" i="1657"/>
  <c r="D29" i="1655"/>
  <c r="H13" i="1655" s="1"/>
  <c r="D29" i="1654"/>
  <c r="H13" i="1654" s="1"/>
  <c r="D29" i="1653"/>
  <c r="H13" i="1653" s="1"/>
  <c r="H15" i="1653" s="1"/>
  <c r="H29" i="1653" s="1"/>
  <c r="G51" i="1653" s="1"/>
  <c r="D29" i="1652"/>
  <c r="H13" i="1652" s="1"/>
  <c r="D29" i="1651"/>
  <c r="H13" i="1651" s="1"/>
  <c r="H15" i="1651" s="1"/>
  <c r="H29" i="1651" s="1"/>
  <c r="G51" i="1651" s="1"/>
  <c r="D29" i="1649"/>
  <c r="H13" i="1649" s="1"/>
  <c r="H15" i="1649" s="1"/>
  <c r="H29" i="1649" s="1"/>
  <c r="G51" i="1649" s="1"/>
  <c r="D29" i="1647"/>
  <c r="H13" i="1647" s="1"/>
  <c r="H15" i="1647" s="1"/>
  <c r="H29" i="1647" s="1"/>
  <c r="G51" i="1647" s="1"/>
  <c r="G51" i="1646"/>
  <c r="D29" i="1646"/>
  <c r="H13" i="1646" s="1"/>
  <c r="H15" i="1646" s="1"/>
  <c r="H29" i="1646" s="1"/>
  <c r="D29" i="1645"/>
  <c r="H13" i="1645" s="1"/>
  <c r="H15" i="1645" s="1"/>
  <c r="H29" i="1645" s="1"/>
  <c r="G51" i="1645" s="1"/>
  <c r="D50" i="1620"/>
  <c r="D49" i="1620"/>
  <c r="D48" i="1620"/>
  <c r="D46" i="1620"/>
  <c r="D45" i="1620"/>
  <c r="D44" i="1620"/>
  <c r="D42" i="1620"/>
  <c r="D41" i="1620"/>
  <c r="L8" i="1620"/>
  <c r="D8" i="1620" s="1"/>
  <c r="D40" i="1620"/>
  <c r="H39" i="1620"/>
  <c r="D39" i="1620"/>
  <c r="L9" i="1620"/>
  <c r="D9" i="1620" s="1"/>
  <c r="H38" i="1620"/>
  <c r="D38" i="1620"/>
  <c r="H37" i="1620"/>
  <c r="D37" i="1620"/>
  <c r="H36" i="1620"/>
  <c r="D36" i="1620"/>
  <c r="H35" i="1620"/>
  <c r="D35" i="1620"/>
  <c r="H34" i="1620"/>
  <c r="D34" i="1620"/>
  <c r="L23" i="1620"/>
  <c r="D23" i="1620" s="1"/>
  <c r="L11" i="1620"/>
  <c r="D11" i="1620" s="1"/>
  <c r="D28" i="1620"/>
  <c r="D27" i="1620"/>
  <c r="L26" i="1620"/>
  <c r="D26" i="1620"/>
  <c r="L25" i="1620"/>
  <c r="D25" i="1620"/>
  <c r="D24" i="1620"/>
  <c r="D22" i="1620"/>
  <c r="D21" i="1620"/>
  <c r="L20" i="1620"/>
  <c r="D20" i="1620"/>
  <c r="L19" i="1620"/>
  <c r="D19" i="1620" s="1"/>
  <c r="D18" i="1620"/>
  <c r="D17" i="1620"/>
  <c r="L16" i="1620"/>
  <c r="D16" i="1620" s="1"/>
  <c r="D15" i="1620"/>
  <c r="D14" i="1620"/>
  <c r="D13" i="1620"/>
  <c r="L12" i="1620"/>
  <c r="D12" i="1620" s="1"/>
  <c r="L10" i="1620"/>
  <c r="D10" i="1620" s="1"/>
  <c r="L7" i="1620"/>
  <c r="D7" i="1620"/>
  <c r="L6" i="1620"/>
  <c r="D6" i="1620"/>
  <c r="D50" i="1619"/>
  <c r="D49" i="1619"/>
  <c r="D48" i="1619"/>
  <c r="D46" i="1619"/>
  <c r="D45" i="1619"/>
  <c r="D44" i="1619"/>
  <c r="D42" i="1619"/>
  <c r="L7" i="1619"/>
  <c r="D7" i="1619" s="1"/>
  <c r="D41" i="1619"/>
  <c r="D40" i="1619"/>
  <c r="L20" i="1619"/>
  <c r="D20" i="1619" s="1"/>
  <c r="H39" i="1619"/>
  <c r="D39" i="1619"/>
  <c r="H38" i="1619"/>
  <c r="D38" i="1619"/>
  <c r="H37" i="1619"/>
  <c r="D37" i="1619"/>
  <c r="H36" i="1619"/>
  <c r="D36" i="1619"/>
  <c r="L19" i="1619"/>
  <c r="D19" i="1619" s="1"/>
  <c r="H35" i="1619"/>
  <c r="D35" i="1619"/>
  <c r="L12" i="1619"/>
  <c r="D12" i="1619" s="1"/>
  <c r="H34" i="1619"/>
  <c r="D34" i="1619"/>
  <c r="L23" i="1619"/>
  <c r="D23" i="1619" s="1"/>
  <c r="L11" i="1619"/>
  <c r="D11" i="1619" s="1"/>
  <c r="D28" i="1619"/>
  <c r="D27" i="1619"/>
  <c r="L26" i="1619"/>
  <c r="D26" i="1619"/>
  <c r="L25" i="1619"/>
  <c r="D25" i="1619"/>
  <c r="L24" i="1619"/>
  <c r="D24" i="1619"/>
  <c r="L22" i="1619"/>
  <c r="D22" i="1619" s="1"/>
  <c r="L17" i="1619"/>
  <c r="D17" i="1619" s="1"/>
  <c r="D21" i="1619"/>
  <c r="D18" i="1619"/>
  <c r="L16" i="1619"/>
  <c r="D16" i="1619" s="1"/>
  <c r="D15" i="1619"/>
  <c r="D14" i="1619"/>
  <c r="D13" i="1619"/>
  <c r="L10" i="1619"/>
  <c r="D10" i="1619"/>
  <c r="L9" i="1619"/>
  <c r="D9" i="1619"/>
  <c r="L8" i="1619"/>
  <c r="D8" i="1619"/>
  <c r="L6" i="1619"/>
  <c r="D6" i="1619"/>
  <c r="R52" i="1618"/>
  <c r="R51" i="1618"/>
  <c r="D50" i="1618"/>
  <c r="R49" i="1618"/>
  <c r="D49" i="1618"/>
  <c r="R48" i="1618"/>
  <c r="D48" i="1618"/>
  <c r="D46" i="1618"/>
  <c r="D45" i="1618"/>
  <c r="R44" i="1618"/>
  <c r="D44" i="1618"/>
  <c r="R42" i="1618"/>
  <c r="L6" i="1618" s="1"/>
  <c r="D6" i="1618" s="1"/>
  <c r="D42" i="1618"/>
  <c r="R41" i="1618"/>
  <c r="D41" i="1618"/>
  <c r="R40" i="1618"/>
  <c r="L8" i="1618" s="1"/>
  <c r="D8" i="1618" s="1"/>
  <c r="D40" i="1618"/>
  <c r="R39" i="1618"/>
  <c r="L20" i="1618" s="1"/>
  <c r="D20" i="1618" s="1"/>
  <c r="H39" i="1618"/>
  <c r="D39" i="1618"/>
  <c r="R38" i="1618"/>
  <c r="L9" i="1618" s="1"/>
  <c r="D9" i="1618" s="1"/>
  <c r="H38" i="1618"/>
  <c r="D38" i="1618"/>
  <c r="R37" i="1618"/>
  <c r="H37" i="1618"/>
  <c r="D37" i="1618"/>
  <c r="R36" i="1618"/>
  <c r="L10" i="1618" s="1"/>
  <c r="D10" i="1618" s="1"/>
  <c r="H36" i="1618"/>
  <c r="D36" i="1618"/>
  <c r="R35" i="1618"/>
  <c r="H35" i="1618"/>
  <c r="D35" i="1618"/>
  <c r="R34" i="1618"/>
  <c r="L12" i="1618" s="1"/>
  <c r="D12" i="1618" s="1"/>
  <c r="H34" i="1618"/>
  <c r="D34" i="1618"/>
  <c r="R33" i="1618"/>
  <c r="R32" i="1618"/>
  <c r="L11" i="1618" s="1"/>
  <c r="D11" i="1618" s="1"/>
  <c r="R31" i="1618"/>
  <c r="R30" i="1618"/>
  <c r="R29" i="1618"/>
  <c r="R28" i="1618"/>
  <c r="L16" i="1618" s="1"/>
  <c r="D16" i="1618" s="1"/>
  <c r="D28" i="1618"/>
  <c r="R27" i="1618"/>
  <c r="D27" i="1618"/>
  <c r="R26" i="1618"/>
  <c r="L26" i="1618"/>
  <c r="D26" i="1618" s="1"/>
  <c r="R25" i="1618"/>
  <c r="L25" i="1618"/>
  <c r="D25" i="1618"/>
  <c r="R24" i="1618"/>
  <c r="L24" i="1618"/>
  <c r="D24" i="1618" s="1"/>
  <c r="R23" i="1618"/>
  <c r="D23" i="1618"/>
  <c r="R22" i="1618"/>
  <c r="D22" i="1618"/>
  <c r="R21" i="1618"/>
  <c r="D21" i="1618"/>
  <c r="R20" i="1618"/>
  <c r="R19" i="1618"/>
  <c r="D19" i="1618"/>
  <c r="R18" i="1618"/>
  <c r="D18" i="1618"/>
  <c r="R17" i="1618"/>
  <c r="L17" i="1618"/>
  <c r="D17" i="1618" s="1"/>
  <c r="R16" i="1618"/>
  <c r="R15" i="1618"/>
  <c r="D15" i="1618"/>
  <c r="R14" i="1618"/>
  <c r="D14" i="1618"/>
  <c r="R13" i="1618"/>
  <c r="D13" i="1618"/>
  <c r="R12" i="1618"/>
  <c r="R11" i="1618"/>
  <c r="L7" i="1618"/>
  <c r="D7" i="1618" s="1"/>
  <c r="R6" i="1618"/>
  <c r="R5" i="1618"/>
  <c r="R4" i="1618"/>
  <c r="R52" i="1617"/>
  <c r="R51" i="1617"/>
  <c r="D50" i="1617"/>
  <c r="R49" i="1617"/>
  <c r="G49" i="1617"/>
  <c r="D49" i="1617"/>
  <c r="R48" i="1617"/>
  <c r="D48" i="1617"/>
  <c r="D46" i="1617"/>
  <c r="D45" i="1617"/>
  <c r="D44" i="1617"/>
  <c r="R42" i="1617"/>
  <c r="D42" i="1617"/>
  <c r="R41" i="1617"/>
  <c r="L7" i="1617" s="1"/>
  <c r="D7" i="1617" s="1"/>
  <c r="D41" i="1617"/>
  <c r="R40" i="1617"/>
  <c r="L8" i="1617" s="1"/>
  <c r="D8" i="1617" s="1"/>
  <c r="D40" i="1617"/>
  <c r="R39" i="1617"/>
  <c r="D39" i="1617"/>
  <c r="R38" i="1617"/>
  <c r="D38" i="1617"/>
  <c r="R37" i="1617"/>
  <c r="D37" i="1617"/>
  <c r="R36" i="1617"/>
  <c r="L10" i="1617" s="1"/>
  <c r="D10" i="1617" s="1"/>
  <c r="D36" i="1617"/>
  <c r="R35" i="1617"/>
  <c r="D35" i="1617"/>
  <c r="R34" i="1617"/>
  <c r="D34" i="1617"/>
  <c r="D54" i="1617" s="1"/>
  <c r="H14" i="1617" s="1"/>
  <c r="R33" i="1617"/>
  <c r="R32" i="1617"/>
  <c r="L11" i="1617" s="1"/>
  <c r="D11" i="1617" s="1"/>
  <c r="R31" i="1617"/>
  <c r="R30" i="1617"/>
  <c r="R29" i="1617"/>
  <c r="R28" i="1617"/>
  <c r="D28" i="1617"/>
  <c r="R27" i="1617"/>
  <c r="D27" i="1617"/>
  <c r="R26" i="1617"/>
  <c r="L26" i="1617"/>
  <c r="D26" i="1617"/>
  <c r="R25" i="1617"/>
  <c r="L25" i="1617"/>
  <c r="D25" i="1617"/>
  <c r="R24" i="1617"/>
  <c r="D24" i="1617"/>
  <c r="R23" i="1617"/>
  <c r="L23" i="1617"/>
  <c r="D23" i="1617"/>
  <c r="R22" i="1617"/>
  <c r="L22" i="1617"/>
  <c r="D22" i="1617"/>
  <c r="R21" i="1617"/>
  <c r="D21" i="1617"/>
  <c r="R20" i="1617"/>
  <c r="L20" i="1617"/>
  <c r="D20" i="1617"/>
  <c r="R19" i="1617"/>
  <c r="L19" i="1617"/>
  <c r="D19" i="1617"/>
  <c r="R18" i="1617"/>
  <c r="D18" i="1617"/>
  <c r="R17" i="1617"/>
  <c r="D17" i="1617"/>
  <c r="R16" i="1617"/>
  <c r="L16" i="1617"/>
  <c r="D16" i="1617" s="1"/>
  <c r="S15" i="1617"/>
  <c r="R15" i="1617"/>
  <c r="D15" i="1617"/>
  <c r="S14" i="1617"/>
  <c r="R14" i="1617"/>
  <c r="D14" i="1617"/>
  <c r="R13" i="1617"/>
  <c r="D13" i="1617"/>
  <c r="R12" i="1617"/>
  <c r="L12" i="1617"/>
  <c r="D12" i="1617"/>
  <c r="R11" i="1617"/>
  <c r="L9" i="1617"/>
  <c r="D9" i="1617"/>
  <c r="R6" i="1617"/>
  <c r="L6" i="1617"/>
  <c r="D6" i="1617"/>
  <c r="R5" i="1617"/>
  <c r="R4" i="1617"/>
  <c r="H15" i="1668" l="1"/>
  <c r="H29" i="1668" s="1"/>
  <c r="G51" i="1668" s="1"/>
  <c r="H15" i="1667"/>
  <c r="H29" i="1667" s="1"/>
  <c r="G51" i="1667" s="1"/>
  <c r="H15" i="1666"/>
  <c r="H29" i="1666" s="1"/>
  <c r="G51" i="1666" s="1"/>
  <c r="H15" i="1664"/>
  <c r="H29" i="1664" s="1"/>
  <c r="G51" i="1664" s="1"/>
  <c r="H15" i="1663"/>
  <c r="H29" i="1663" s="1"/>
  <c r="G51" i="1663" s="1"/>
  <c r="H15" i="1662"/>
  <c r="H29" i="1662" s="1"/>
  <c r="G51" i="1662" s="1"/>
  <c r="H15" i="1660"/>
  <c r="H29" i="1660" s="1"/>
  <c r="G51" i="1660" s="1"/>
  <c r="H15" i="1659"/>
  <c r="H29" i="1659" s="1"/>
  <c r="G51" i="1659" s="1"/>
  <c r="H15" i="1658"/>
  <c r="H29" i="1658" s="1"/>
  <c r="G51" i="1658" s="1"/>
  <c r="H15" i="1656"/>
  <c r="H29" i="1656" s="1"/>
  <c r="G51" i="1656" s="1"/>
  <c r="H15" i="1655"/>
  <c r="H29" i="1655" s="1"/>
  <c r="G51" i="1655" s="1"/>
  <c r="H15" i="1654"/>
  <c r="H29" i="1654" s="1"/>
  <c r="G51" i="1654" s="1"/>
  <c r="H15" i="1652"/>
  <c r="H29" i="1652" s="1"/>
  <c r="G51" i="1652" s="1"/>
  <c r="H15" i="1650"/>
  <c r="H29" i="1650" s="1"/>
  <c r="G51" i="1650" s="1"/>
  <c r="G49" i="1618"/>
  <c r="G49" i="1620"/>
  <c r="G49" i="1619"/>
  <c r="D54" i="1620"/>
  <c r="H14" i="1620" s="1"/>
  <c r="D54" i="1619"/>
  <c r="H14" i="1619" s="1"/>
  <c r="D54" i="1618"/>
  <c r="H14" i="1618" s="1"/>
  <c r="D29" i="1620"/>
  <c r="H13" i="1620" s="1"/>
  <c r="D29" i="1619"/>
  <c r="H13" i="1619" s="1"/>
  <c r="D29" i="1618"/>
  <c r="H13" i="1618" s="1"/>
  <c r="D29" i="1617"/>
  <c r="H13" i="1617" s="1"/>
  <c r="H15" i="1617" s="1"/>
  <c r="H29" i="1617" s="1"/>
  <c r="G51" i="1617" s="1"/>
  <c r="H15" i="1620" l="1"/>
  <c r="H29" i="1620" s="1"/>
  <c r="G51" i="1620" s="1"/>
  <c r="H15" i="1619"/>
  <c r="H29" i="1619" s="1"/>
  <c r="G51" i="1619" s="1"/>
  <c r="H15" i="1618"/>
  <c r="H29" i="1618" s="1"/>
  <c r="G51" i="1618" s="1"/>
</calcChain>
</file>

<file path=xl/sharedStrings.xml><?xml version="1.0" encoding="utf-8"?>
<sst xmlns="http://schemas.openxmlformats.org/spreadsheetml/2006/main" count="5544" uniqueCount="183">
  <si>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</si>
  <si>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</si>
  <si>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</si>
  <si>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</si>
  <si>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</si>
  <si>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</si>
  <si>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</si>
  <si>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</si>
  <si>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</si>
  <si>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</si>
  <si>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</si>
  <si>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</si>
  <si>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</si>
  <si>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</si>
  <si>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</si>
  <si>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</si>
  <si>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</si>
  <si>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</si>
  <si>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</si>
  <si>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</si>
  <si>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</si>
  <si>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</si>
  <si>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</si>
  <si>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</si>
  <si>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</si>
  <si>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</si>
  <si>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</si>
  <si>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</si>
  <si>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</si>
  <si>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</si>
  <si>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</si>
  <si>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</si>
  <si>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</si>
  <si>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</si>
  <si>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</si>
  <si>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</si>
  <si>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</si>
  <si>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</si>
  <si>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</si>
  <si>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</si>
  <si>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</si>
  <si>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</si>
  <si>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</si>
  <si>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</si>
  <si>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</si>
  <si>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</si>
  <si>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</si>
  <si>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</si>
  <si>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</si>
  <si>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</si>
  <si>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</si>
  <si>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</si>
  <si>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</si>
  <si>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</si>
  <si>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</si>
  <si>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</si>
  <si>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</si>
  <si>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</si>
  <si>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</si>
  <si>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</si>
  <si>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</si>
  <si>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</si>
  <si>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</si>
  <si>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</si>
  <si>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</si>
  <si>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</si>
  <si>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</si>
  <si>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</si>
  <si>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</si>
  <si>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</si>
  <si>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</si>
  <si>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</si>
  <si>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</si>
  <si>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</si>
  <si>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</si>
  <si>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</si>
  <si>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</si>
  <si>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</si>
  <si>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</si>
  <si>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</si>
  <si>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</si>
  <si>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</si>
  <si>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</si>
  <si>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</si>
  <si>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</si>
  <si>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</si>
  <si>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</si>
  <si>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</si>
  <si>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</si>
  <si>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</si>
  <si>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</si>
  <si>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</si>
  <si>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</si>
  <si>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</si>
  <si>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</si>
  <si>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</si>
  <si>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</si>
  <si>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</si>
  <si>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</si>
  <si>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</si>
  <si>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</si>
  <si>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</si>
  <si>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</si>
  <si>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</si>
  <si>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</si>
  <si>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</si>
  <si>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</si>
  <si>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</si>
  <si>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</si>
  <si>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</si>
  <si>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</si>
  <si>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</si>
  <si>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</si>
  <si>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</si>
  <si>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</si>
  <si>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</si>
  <si>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</si>
  <si>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</si>
  <si>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</si>
  <si>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ARANCES, MARIO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</si>
  <si>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</si>
  <si>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</si>
  <si>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</si>
  <si>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</si>
  <si>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</si>
  <si>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</si>
  <si>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</si>
  <si>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</si>
  <si>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</si>
  <si>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</si>
  <si>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</si>
  <si>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</si>
  <si>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 xml:space="preserve">                           ESTEMARK PORMENTO</t>
  </si>
  <si>
    <t>FBAC/FBLC</t>
  </si>
  <si>
    <t>GOMORA, JURLAN</t>
  </si>
  <si>
    <t>CC/CIC/C10C</t>
  </si>
  <si>
    <t>CBB</t>
  </si>
  <si>
    <t>CLC/SDC</t>
  </si>
  <si>
    <t>SMZB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</si>
  <si>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</si>
  <si>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GICA, GRACE B.</t>
  </si>
  <si>
    <t xml:space="preserve">                             GRACE B. GICA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</si>
  <si>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</si>
  <si>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</si>
  <si>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</si>
  <si>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t>1VB</t>
  </si>
  <si>
    <t>4820795</t>
  </si>
  <si>
    <t>BDO</t>
  </si>
  <si>
    <t>42937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</si>
  <si>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</si>
  <si>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SMLC/RHC/PPC</t>
  </si>
  <si>
    <t>144949</t>
  </si>
  <si>
    <t>42938</t>
  </si>
  <si>
    <t>G-CASH</t>
  </si>
  <si>
    <t>JOHN PASAMANTE</t>
  </si>
  <si>
    <t>LOPEZ, GINA</t>
  </si>
  <si>
    <t>PNB</t>
  </si>
  <si>
    <t>145675</t>
  </si>
  <si>
    <t>BANK TRANSFER</t>
  </si>
  <si>
    <t>BALWARTE</t>
  </si>
  <si>
    <t>135261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</si>
  <si>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</si>
  <si>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1ST VALLEY BANK</t>
  </si>
  <si>
    <t>47901</t>
  </si>
  <si>
    <t>4820800</t>
  </si>
  <si>
    <t>143397</t>
  </si>
  <si>
    <t>JMCC</t>
  </si>
  <si>
    <t>VILMA TAGULOB</t>
  </si>
  <si>
    <t>SMLB BOTT.</t>
  </si>
  <si>
    <t>FB BOTT.</t>
  </si>
  <si>
    <t>144962</t>
  </si>
  <si>
    <t>140911</t>
  </si>
  <si>
    <t>47909</t>
  </si>
  <si>
    <t>42941</t>
  </si>
  <si>
    <t>GRACE CHIONG</t>
  </si>
  <si>
    <t>JEROME ENCLONAR</t>
  </si>
  <si>
    <t>PORMAN NONOY</t>
  </si>
  <si>
    <t xml:space="preserve">SHORT / OVER </t>
  </si>
  <si>
    <t>LOPEZ, GINA GRACE A.</t>
  </si>
  <si>
    <t>1B</t>
  </si>
  <si>
    <t xml:space="preserve">                             GINA GRACE A. LOPEZ</t>
  </si>
  <si>
    <t>PSBC</t>
  </si>
  <si>
    <t>2090009399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</si>
</sst>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16" xfId="0" applyFont="1" applyFill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3" fillId="0" borderId="16" xfId="0" applyFont="1" applyBorder="1"/>
    <xf numFmtId="49" fontId="24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  <xf numFmtId="164" fontId="0" fillId="0" borderId="27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E2AF8-C749-4947-A538-CDB9C3F2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F98BA-609D-4BDA-AF52-74B1D5DE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1B4D6-27BD-43E0-9BF5-173133ED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4559C-8456-4797-9CD9-9CD87A71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0E7C3-1277-4022-BEC5-839F7D5D6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E8A34-F0A3-4C3E-A795-2F22F7AF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BC64-8BAD-4326-BFCF-CEED73E7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3A9EC-89A2-4834-A18B-72478773A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54E30-2D2B-4F41-99A7-9893D4F5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ECCB8-89D8-4B2C-855D-15406F0EB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55680-4897-49D6-B802-88DC6BF2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77CB6-118B-4525-B5D7-45F8914B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523A4-C8DA-48A6-B948-FE16AB82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A5CEC-779C-4B6A-A407-BE9ED1B0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958B9-B199-4F10-91A3-389B9F902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07CFD-A374-40CD-B579-B4037E09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8CB93-7FB0-40EB-A81C-9EA445708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3E69A-8F44-48C4-9541-28941DC4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FBB31-17A2-41E4-92D3-15B29D45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66B2F-3378-4EFD-A361-38ED865E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CE24A-25E7-42F8-B151-3E362261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CAD8B-76AE-4E9B-B88B-14AE66E1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3EF41-5EE7-4366-AF41-22C89436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647701</xdr:colOff>
      <xdr:row>53</xdr:row>
      <xdr:rowOff>23131</xdr:rowOff>
    </xdr:from>
    <xdr:to>
      <xdr:col>3</xdr:col>
      <xdr:colOff>514351</xdr:colOff>
      <xdr:row>59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BAA89C-DFEC-4C98-BED9-5E556736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10386331"/>
          <a:ext cx="1485900" cy="124369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7D179-197A-4606-AEE5-38D4D6DD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2C7B-79AD-4077-B8BC-541A1422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8E58F-0905-4173-9552-30DB6CA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4CC8F-4FC2-43C1-80EE-4802819F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868EF-81C0-4A97-B11B-94A1CB61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4C4A4-6038-47EA-8590-65305C77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3F133-42FF-455F-8465-69C1EA2AB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47EB3-E76A-421B-BC44-6FDEEFCE2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9D7A2-6443-42B9-992F-18D8F97C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B34D0-54A4-49BC-AE77-C92912B0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E0EDD-963B-41B6-A3D7-DCEA4DE38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06748-E591-4409-AD27-EC23C81EE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17AB1-F1D0-4E1F-B680-28E4C9B5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03AEB-FBE3-40DC-8F7E-FF1404C8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3889A-0856-4EAC-B0B4-A903CE07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EE12F-A586-4502-8E13-BEF7DD14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14934-73F4-4D3E-B85A-5AAFA1472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C44" sqref="C4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F021-A59F-4DF7-847B-486D304BFED3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88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85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03C0-8A60-45BF-8795-C1318699A60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45658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/>
      <c r="D6" s="13">
        <f t="shared" ref="D6:D28" si="1">C6*L6</f>
        <v>0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85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88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47">
        <f t="shared" ref="H34:H39" si="2"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si="2"/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85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5B9C-982B-4A48-BE38-866509822BA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45658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88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85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86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6BE7-48CE-458D-AA89-CE10031A60C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45658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88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85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DF68-5657-4670-896E-72A0E0EDF23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8389-AFAA-48C4-A744-D0F2E5BBB6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46024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/>
      <c r="D6" s="13">
        <f t="shared" ref="D6:D28" si="1">C6*L6</f>
        <v>0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47">
        <f t="shared" ref="H34:H39" si="2"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si="2"/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7C5-0FED-4EBF-9006-15F5BEE292E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46024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444B-CD4A-4E72-81CD-52274C4982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46024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480</v>
      </c>
      <c r="D6" s="13">
        <f t="shared" ref="D6:D28" si="1">C6*L6</f>
        <v>365280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12</v>
      </c>
      <c r="D7" s="13">
        <f t="shared" si="1"/>
        <v>9372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75</v>
      </c>
      <c r="D9" s="13">
        <f t="shared" si="1"/>
        <v>54975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v>6</v>
      </c>
      <c r="D12" s="48">
        <f t="shared" si="1"/>
        <v>5952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4</v>
      </c>
      <c r="D13" s="48">
        <f t="shared" si="1"/>
        <v>1228</v>
      </c>
      <c r="F13" s="231" t="s">
        <v>36</v>
      </c>
      <c r="G13" s="195"/>
      <c r="H13" s="186">
        <f>D29</f>
        <v>443015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18</v>
      </c>
      <c r="D14" s="31">
        <f t="shared" si="1"/>
        <v>198</v>
      </c>
      <c r="F14" s="189" t="s">
        <v>39</v>
      </c>
      <c r="G14" s="190"/>
      <c r="H14" s="191">
        <f>D54</f>
        <v>77991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365024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1758+600+612</f>
        <v>2970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>
        <v>8</v>
      </c>
      <c r="D22" s="48">
        <f t="shared" si="1"/>
        <v>5360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443015</v>
      </c>
      <c r="F29" s="103" t="s">
        <v>55</v>
      </c>
      <c r="G29" s="165"/>
      <c r="H29" s="125">
        <f>H15-H16-H17-H18-H19-H20-H22-H23-H24+H26+H27</f>
        <v>362054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78</v>
      </c>
      <c r="H34" s="147">
        <f>F34*G34</f>
        <v>78000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87</v>
      </c>
      <c r="H35" s="147">
        <f>F35*G35</f>
        <v>43500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680</v>
      </c>
      <c r="D37" s="12">
        <f>C37*111</f>
        <v>75480</v>
      </c>
      <c r="F37" s="12">
        <v>100</v>
      </c>
      <c r="G37" s="39">
        <v>10</v>
      </c>
      <c r="H37" s="147">
        <f t="shared" si="2"/>
        <v>1000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</v>
      </c>
      <c r="H38" s="147">
        <f t="shared" si="2"/>
        <v>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21</v>
      </c>
      <c r="D39" s="31">
        <f>C39*4.5</f>
        <v>94.5</v>
      </c>
      <c r="F39" s="12">
        <v>20</v>
      </c>
      <c r="G39" s="37">
        <v>1</v>
      </c>
      <c r="H39" s="147">
        <f t="shared" si="2"/>
        <v>20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6</v>
      </c>
      <c r="D41" s="12">
        <f>C41*84</f>
        <v>504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14</v>
      </c>
      <c r="D42" s="12">
        <f>C42*2.25</f>
        <v>31.5</v>
      </c>
      <c r="F42" s="39" t="s">
        <v>79</v>
      </c>
      <c r="G42" s="147">
        <v>47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4</v>
      </c>
      <c r="D44" s="12">
        <f>C44*120</f>
        <v>480</v>
      </c>
      <c r="F44" s="37" t="s">
        <v>145</v>
      </c>
      <c r="G44" s="76" t="s">
        <v>146</v>
      </c>
      <c r="H44" s="142">
        <v>54216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1</v>
      </c>
      <c r="D45" s="12">
        <f>C45*84</f>
        <v>84</v>
      </c>
      <c r="F45" s="37" t="s">
        <v>147</v>
      </c>
      <c r="G45" s="76" t="s">
        <v>148</v>
      </c>
      <c r="H45" s="142">
        <v>188602</v>
      </c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6</v>
      </c>
      <c r="D46" s="12">
        <f>C46*1.5</f>
        <v>9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2</v>
      </c>
      <c r="D49" s="12">
        <f>C49*42</f>
        <v>84</v>
      </c>
      <c r="F49" s="123" t="s">
        <v>86</v>
      </c>
      <c r="G49" s="125">
        <f>H34+H35+H36+H37+H38+H39+H40+H41+G42+H44+H45+H46</f>
        <v>365435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24</v>
      </c>
      <c r="D50" s="12">
        <f>C50*1.5</f>
        <v>36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149</v>
      </c>
      <c r="G51" s="133">
        <f>G49-H29</f>
        <v>3381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77991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6466-6A08-49B7-83C4-E2FBCF77C3D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EA96-5FED-46CD-9385-2C27C434BC0E}">
  <dimension ref="A1:R59"/>
  <sheetViews>
    <sheetView zoomScaleNormal="100" zoomScaleSheetLayoutView="85" workbookViewId="0">
      <selection activeCell="L38" sqref="L3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44">
        <v>45660</v>
      </c>
      <c r="J4" s="24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46"/>
      <c r="J5" s="24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>
        <v>728</v>
      </c>
      <c r="D6" s="13">
        <f t="shared" ref="D6:D28" si="1">C6*L6</f>
        <v>554008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>
        <v>60</v>
      </c>
      <c r="D8" s="13">
        <f t="shared" si="1"/>
        <v>65580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>
        <v>9</v>
      </c>
      <c r="D9" s="13">
        <f t="shared" si="1"/>
        <v>6597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>
        <v>5</v>
      </c>
      <c r="D10" s="13">
        <f t="shared" si="1"/>
        <v>5160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>
        <v>16</v>
      </c>
      <c r="D11" s="13">
        <f t="shared" si="1"/>
        <v>18720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>
        <f>23+3</f>
        <v>26</v>
      </c>
      <c r="D12" s="48">
        <f t="shared" si="1"/>
        <v>25792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>
        <v>21</v>
      </c>
      <c r="D13" s="48">
        <f t="shared" si="1"/>
        <v>6447</v>
      </c>
      <c r="F13" s="231" t="s">
        <v>36</v>
      </c>
      <c r="G13" s="195"/>
      <c r="H13" s="186">
        <f>D29</f>
        <v>685162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>
        <v>17</v>
      </c>
      <c r="D14" s="31">
        <f t="shared" si="1"/>
        <v>187</v>
      </c>
      <c r="F14" s="189" t="s">
        <v>39</v>
      </c>
      <c r="G14" s="190"/>
      <c r="H14" s="191">
        <f>D54</f>
        <v>145168.5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>
        <v>1</v>
      </c>
      <c r="D15" s="31">
        <f t="shared" si="1"/>
        <v>620</v>
      </c>
      <c r="F15" s="194" t="s">
        <v>40</v>
      </c>
      <c r="G15" s="195"/>
      <c r="H15" s="196">
        <f>H13-H14</f>
        <v>539993.5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>
        <f>2772</f>
        <v>2772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>
        <v>1</v>
      </c>
      <c r="D28" s="48">
        <f t="shared" si="1"/>
        <v>811</v>
      </c>
      <c r="F28" s="93"/>
      <c r="G28" s="61"/>
      <c r="H28" s="183"/>
      <c r="I28" s="184"/>
      <c r="J28" s="185"/>
      <c r="L28" s="7"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685162</v>
      </c>
      <c r="F29" s="103" t="s">
        <v>55</v>
      </c>
      <c r="G29" s="165"/>
      <c r="H29" s="125">
        <f>H15-H16-H17-H18-H19-H20-H22-H23-H24+H26+H27+H28</f>
        <v>537221.5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18</v>
      </c>
      <c r="D34" s="30">
        <f>C34*120</f>
        <v>2160</v>
      </c>
      <c r="F34" s="12">
        <v>1000</v>
      </c>
      <c r="G34" s="40">
        <v>229</v>
      </c>
      <c r="H34" s="147">
        <f t="shared" ref="H34:H39" si="2">F34*G34</f>
        <v>229000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97</v>
      </c>
      <c r="H35" s="147">
        <f t="shared" si="2"/>
        <v>48500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1154</v>
      </c>
      <c r="D37" s="12">
        <f>C37*111</f>
        <v>128094</v>
      </c>
      <c r="F37" s="12">
        <v>100</v>
      </c>
      <c r="G37" s="39">
        <v>2</v>
      </c>
      <c r="H37" s="147">
        <f t="shared" si="2"/>
        <v>200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16</v>
      </c>
      <c r="D39" s="31">
        <f>C39*4.5</f>
        <v>72</v>
      </c>
      <c r="F39" s="12">
        <v>20</v>
      </c>
      <c r="G39" s="37">
        <v>1</v>
      </c>
      <c r="H39" s="147">
        <f t="shared" si="2"/>
        <v>20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107</v>
      </c>
      <c r="D44" s="12">
        <f>C44*120</f>
        <v>12840</v>
      </c>
      <c r="F44" s="37" t="s">
        <v>147</v>
      </c>
      <c r="G44" s="62" t="s">
        <v>151</v>
      </c>
      <c r="H44" s="142">
        <v>258954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20</v>
      </c>
      <c r="D48" s="12">
        <f>C48*78</f>
        <v>1560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</v>
      </c>
      <c r="D49" s="12">
        <f>C49*42</f>
        <v>42</v>
      </c>
      <c r="F49" s="123" t="s">
        <v>86</v>
      </c>
      <c r="G49" s="125">
        <f>H34+H35+H36+H37+H38+H39+H40+H41+G42+H44+H45+H46</f>
        <v>536674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25</v>
      </c>
      <c r="D50" s="12">
        <f>C50*1.5</f>
        <v>37.5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-547.5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145168.5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24F4-C6AF-4BD5-A56B-562B7C6DE13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45660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3CDB-0E4E-4F8D-9CD8-0FDE4418508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45660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480</v>
      </c>
      <c r="D6" s="13">
        <f t="shared" ref="D6:D28" si="1">C6*L6</f>
        <v>365280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15</v>
      </c>
      <c r="D7" s="13">
        <f t="shared" si="1"/>
        <v>11715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>
        <v>2</v>
      </c>
      <c r="D8" s="13">
        <f t="shared" si="1"/>
        <v>2186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37</v>
      </c>
      <c r="D9" s="13">
        <f t="shared" si="1"/>
        <v>27121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>
        <v>3</v>
      </c>
      <c r="D10" s="13">
        <f t="shared" si="1"/>
        <v>3096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>
        <v>2</v>
      </c>
      <c r="D11" s="13">
        <f t="shared" si="1"/>
        <v>2340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10</v>
      </c>
      <c r="D13" s="48">
        <f t="shared" si="1"/>
        <v>3070</v>
      </c>
      <c r="F13" s="231" t="s">
        <v>36</v>
      </c>
      <c r="G13" s="195"/>
      <c r="H13" s="186">
        <f>D29</f>
        <v>419083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68183.25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>
        <f>1</f>
        <v>1</v>
      </c>
      <c r="D15" s="31">
        <f t="shared" si="1"/>
        <v>620</v>
      </c>
      <c r="F15" s="194" t="s">
        <v>40</v>
      </c>
      <c r="G15" s="195"/>
      <c r="H15" s="196">
        <f>H13-H14</f>
        <v>350899.75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216*6+140*6</f>
        <v>2136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>
        <f>4</f>
        <v>4</v>
      </c>
      <c r="D18" s="48">
        <f t="shared" si="1"/>
        <v>2480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 t="s">
        <v>154</v>
      </c>
      <c r="G22" s="73">
        <v>8243</v>
      </c>
      <c r="H22" s="172">
        <v>1440</v>
      </c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95" t="s">
        <v>150</v>
      </c>
      <c r="C23" s="10">
        <v>1</v>
      </c>
      <c r="D23" s="48">
        <f t="shared" si="1"/>
        <v>1175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820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419083</v>
      </c>
      <c r="F29" s="103" t="s">
        <v>55</v>
      </c>
      <c r="G29" s="165"/>
      <c r="H29" s="125">
        <f>H15-H16-H17-H18-H19-H20-H22-H23-H24+H26+H27</f>
        <v>347323.75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133</v>
      </c>
      <c r="H34" s="147">
        <f>F34*G34</f>
        <v>133000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58</v>
      </c>
      <c r="H35" s="147">
        <f>F35*G35</f>
        <v>29000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567</v>
      </c>
      <c r="D37" s="12">
        <f>C37*111</f>
        <v>62937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28</v>
      </c>
      <c r="D38" s="12">
        <f>C38*84</f>
        <v>2352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7</v>
      </c>
      <c r="D42" s="12">
        <f>C42*2.25</f>
        <v>15.75</v>
      </c>
      <c r="F42" s="39" t="s">
        <v>79</v>
      </c>
      <c r="G42" s="147">
        <v>24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6</v>
      </c>
      <c r="D44" s="12">
        <f>C44*120</f>
        <v>720</v>
      </c>
      <c r="F44" s="37" t="s">
        <v>147</v>
      </c>
      <c r="G44" s="76" t="s">
        <v>152</v>
      </c>
      <c r="H44" s="142">
        <v>139104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2</v>
      </c>
      <c r="D45" s="12">
        <f>C45*84</f>
        <v>168</v>
      </c>
      <c r="F45" s="37" t="s">
        <v>153</v>
      </c>
      <c r="G45" s="76"/>
      <c r="H45" s="142">
        <v>45689</v>
      </c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19</v>
      </c>
      <c r="D46" s="12">
        <f>C46*1.5</f>
        <v>28.5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</v>
      </c>
      <c r="D49" s="12">
        <f>C49*42</f>
        <v>42</v>
      </c>
      <c r="F49" s="123" t="s">
        <v>86</v>
      </c>
      <c r="G49" s="125">
        <f>H34+H35+H36+H37+H38+H39+H40+H41+G42+H44+H45+H46</f>
        <v>346817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7</v>
      </c>
      <c r="D50" s="12">
        <f>C50*1.5</f>
        <v>10.5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-506.75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68183.25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200-CFCC-42CF-BDB1-79F1895BAFA4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C2B7-E6D8-421C-A10E-78B57F50A68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45662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>
        <v>463</v>
      </c>
      <c r="D6" s="13">
        <f t="shared" ref="D6:D28" si="1">C6*L6</f>
        <v>352343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>
        <v>7</v>
      </c>
      <c r="D7" s="13">
        <f t="shared" si="1"/>
        <v>5467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>
        <v>2</v>
      </c>
      <c r="D8" s="13">
        <f t="shared" si="1"/>
        <v>2186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>
        <f>120-5</f>
        <v>115</v>
      </c>
      <c r="D9" s="13">
        <f t="shared" si="1"/>
        <v>84295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>
        <v>2</v>
      </c>
      <c r="D10" s="13">
        <f t="shared" si="1"/>
        <v>2064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>
        <v>2</v>
      </c>
      <c r="D11" s="13">
        <f t="shared" si="1"/>
        <v>2340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>
        <v>2</v>
      </c>
      <c r="D12" s="48">
        <f t="shared" si="1"/>
        <v>1984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>
        <v>24</v>
      </c>
      <c r="D13" s="48">
        <f t="shared" si="1"/>
        <v>7368</v>
      </c>
      <c r="F13" s="231" t="s">
        <v>36</v>
      </c>
      <c r="G13" s="195"/>
      <c r="H13" s="186">
        <f>D29</f>
        <v>463474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>
        <v>12</v>
      </c>
      <c r="D14" s="31">
        <f t="shared" si="1"/>
        <v>132</v>
      </c>
      <c r="F14" s="189" t="s">
        <v>39</v>
      </c>
      <c r="G14" s="190"/>
      <c r="H14" s="191">
        <f>D54</f>
        <v>115968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347506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>
        <f>2592</f>
        <v>2592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 t="s">
        <v>159</v>
      </c>
      <c r="G22" s="73">
        <v>8315</v>
      </c>
      <c r="H22" s="172">
        <v>92560</v>
      </c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 t="s">
        <v>159</v>
      </c>
      <c r="G26" s="65">
        <v>8042</v>
      </c>
      <c r="H26" s="142">
        <v>84449</v>
      </c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>
        <v>5</v>
      </c>
      <c r="D28" s="48">
        <f t="shared" si="1"/>
        <v>4055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463474</v>
      </c>
      <c r="F29" s="103" t="s">
        <v>55</v>
      </c>
      <c r="G29" s="165"/>
      <c r="H29" s="125">
        <f>H15-H16-H17-H18-H19-H20-H22-H23-H24+H26+H27+H28</f>
        <v>336803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19</v>
      </c>
      <c r="H34" s="147">
        <f t="shared" ref="H34:H39" si="2">F34*G34</f>
        <v>19000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</v>
      </c>
      <c r="H35" s="147">
        <f t="shared" si="2"/>
        <v>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>
        <v>11</v>
      </c>
      <c r="D36" s="12">
        <f>C36*1.5</f>
        <v>16.5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1013</v>
      </c>
      <c r="D37" s="12">
        <f>C37*111</f>
        <v>112443</v>
      </c>
      <c r="F37" s="12">
        <v>100</v>
      </c>
      <c r="G37" s="39">
        <v>3</v>
      </c>
      <c r="H37" s="147">
        <f t="shared" si="2"/>
        <v>300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2</v>
      </c>
      <c r="H38" s="147">
        <f t="shared" si="2"/>
        <v>100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>
        <v>8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5</v>
      </c>
      <c r="D44" s="12">
        <f>C44*120</f>
        <v>600</v>
      </c>
      <c r="F44" s="37" t="s">
        <v>147</v>
      </c>
      <c r="G44" s="62" t="s">
        <v>157</v>
      </c>
      <c r="H44" s="142">
        <v>188388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>
        <v>4</v>
      </c>
      <c r="D45" s="12">
        <f>C45*84</f>
        <v>336</v>
      </c>
      <c r="F45" s="37" t="s">
        <v>156</v>
      </c>
      <c r="G45" s="96" t="s">
        <v>158</v>
      </c>
      <c r="H45" s="142">
        <v>84449</v>
      </c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21</v>
      </c>
      <c r="D46" s="12">
        <f>C46*1.5</f>
        <v>31.5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</v>
      </c>
      <c r="D49" s="12">
        <f>C49*42</f>
        <v>42</v>
      </c>
      <c r="F49" s="123" t="s">
        <v>86</v>
      </c>
      <c r="G49" s="125">
        <f>H34+H35+H36+H37+H38+H39+H40+H41+G42+H44+H45+H46</f>
        <v>292745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22</v>
      </c>
      <c r="D50" s="12">
        <f>C50*1.5</f>
        <v>33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-44058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115968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E513-35E2-436E-AD64-FF7682C2A9B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45662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501</v>
      </c>
      <c r="D6" s="13">
        <f t="shared" ref="D6:D28" si="1">C6*L6</f>
        <v>381261</v>
      </c>
      <c r="F6" s="210" t="s">
        <v>16</v>
      </c>
      <c r="G6" s="212" t="s">
        <v>155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8</v>
      </c>
      <c r="D9" s="13">
        <f t="shared" si="1"/>
        <v>5864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18</v>
      </c>
      <c r="D13" s="48">
        <f t="shared" si="1"/>
        <v>5526</v>
      </c>
      <c r="F13" s="231" t="s">
        <v>36</v>
      </c>
      <c r="G13" s="195"/>
      <c r="H13" s="186">
        <f>D29</f>
        <v>392761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10</v>
      </c>
      <c r="D14" s="31">
        <f t="shared" si="1"/>
        <v>110</v>
      </c>
      <c r="F14" s="189" t="s">
        <v>39</v>
      </c>
      <c r="G14" s="190"/>
      <c r="H14" s="191">
        <f>D54</f>
        <v>57342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335419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1296+1284</f>
        <v>2580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392761</v>
      </c>
      <c r="F29" s="103" t="s">
        <v>55</v>
      </c>
      <c r="G29" s="165"/>
      <c r="H29" s="125">
        <f>H15-H16-H17-H18-H19-H20-H22-H23-H24+H26+H27</f>
        <v>332839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186</v>
      </c>
      <c r="H34" s="147">
        <f>F34*G34</f>
        <v>186000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13</v>
      </c>
      <c r="H35" s="147">
        <f t="shared" ref="H35:H39" si="2">F35*G35</f>
        <v>6500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509</v>
      </c>
      <c r="D37" s="12">
        <f>C37*111</f>
        <v>56499</v>
      </c>
      <c r="F37" s="12">
        <v>100</v>
      </c>
      <c r="G37" s="39">
        <v>3</v>
      </c>
      <c r="H37" s="147">
        <f t="shared" si="2"/>
        <v>300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47">
        <f t="shared" si="2"/>
        <v>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>
        <v>32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 t="s">
        <v>147</v>
      </c>
      <c r="G44" s="62" t="s">
        <v>160</v>
      </c>
      <c r="H44" s="142">
        <v>139756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6</v>
      </c>
      <c r="D49" s="12">
        <f>C49*42</f>
        <v>252</v>
      </c>
      <c r="F49" s="123" t="s">
        <v>86</v>
      </c>
      <c r="G49" s="125">
        <f>H34+H35+H36+H37+H38+H39+H40+H41+G42+H44+H45+H46</f>
        <v>332638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30</v>
      </c>
      <c r="D50" s="12">
        <f>C50*1.5</f>
        <v>45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161</v>
      </c>
      <c r="G51" s="232">
        <f>G49-H29</f>
        <v>-201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57342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C99D-FE27-483E-A38C-5058B5372F3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45662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735</v>
      </c>
      <c r="D6" s="13">
        <f t="shared" ref="D6:D28" si="1">C6*L6</f>
        <v>559335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4</v>
      </c>
      <c r="D7" s="13">
        <f t="shared" si="1"/>
        <v>3124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>
        <v>1</v>
      </c>
      <c r="D8" s="13">
        <f t="shared" si="1"/>
        <v>1093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114</v>
      </c>
      <c r="D9" s="13">
        <f t="shared" si="1"/>
        <v>83562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>
        <v>3</v>
      </c>
      <c r="D10" s="13">
        <f t="shared" si="1"/>
        <v>3096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>
        <v>2</v>
      </c>
      <c r="D11" s="13">
        <f t="shared" si="1"/>
        <v>2340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f>5+1</f>
        <v>6</v>
      </c>
      <c r="D12" s="48">
        <f t="shared" si="1"/>
        <v>5952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22</v>
      </c>
      <c r="D13" s="48">
        <f t="shared" si="1"/>
        <v>6754</v>
      </c>
      <c r="F13" s="231" t="s">
        <v>36</v>
      </c>
      <c r="G13" s="195"/>
      <c r="H13" s="186">
        <f>D29</f>
        <v>667630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12</v>
      </c>
      <c r="D14" s="31">
        <f t="shared" si="1"/>
        <v>132</v>
      </c>
      <c r="F14" s="189" t="s">
        <v>39</v>
      </c>
      <c r="G14" s="190"/>
      <c r="H14" s="191">
        <f>D54</f>
        <v>100451.25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567178.75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600+1050+456</f>
        <v>2106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>
        <v>50</v>
      </c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>
        <v>2</v>
      </c>
      <c r="D28" s="48">
        <f t="shared" si="1"/>
        <v>1622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667630</v>
      </c>
      <c r="F29" s="103" t="s">
        <v>55</v>
      </c>
      <c r="G29" s="165"/>
      <c r="H29" s="125">
        <f>H15-H16-H17-H18-H19-H20-H22-H23-H24+H26+H27</f>
        <v>565022.75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242</v>
      </c>
      <c r="H34" s="147">
        <f>F34*G34</f>
        <v>242000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135</v>
      </c>
      <c r="H35" s="147">
        <f>F35*G35</f>
        <v>67500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853</v>
      </c>
      <c r="D37" s="12">
        <f>C37*111</f>
        <v>94683</v>
      </c>
      <c r="F37" s="12">
        <v>100</v>
      </c>
      <c r="G37" s="39">
        <v>10</v>
      </c>
      <c r="H37" s="147">
        <f t="shared" si="2"/>
        <v>1000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</v>
      </c>
      <c r="H38" s="147">
        <f t="shared" si="2"/>
        <v>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22</v>
      </c>
      <c r="D40" s="12">
        <f>C40*111</f>
        <v>2442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9</v>
      </c>
      <c r="D42" s="12">
        <f>C42*2.25</f>
        <v>20.25</v>
      </c>
      <c r="F42" s="39" t="s">
        <v>79</v>
      </c>
      <c r="G42" s="147">
        <v>58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8</v>
      </c>
      <c r="D44" s="12">
        <f>C44*120</f>
        <v>960</v>
      </c>
      <c r="F44" s="37" t="s">
        <v>147</v>
      </c>
      <c r="G44" s="76" t="s">
        <v>163</v>
      </c>
      <c r="H44" s="142">
        <v>112763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>
        <v>3</v>
      </c>
      <c r="D45" s="12">
        <f>C45*84</f>
        <v>252</v>
      </c>
      <c r="F45" s="97" t="s">
        <v>162</v>
      </c>
      <c r="G45" s="76" t="s">
        <v>164</v>
      </c>
      <c r="H45" s="142">
        <v>142785</v>
      </c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4</v>
      </c>
      <c r="D46" s="12">
        <f>C46*1.5</f>
        <v>6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12</v>
      </c>
      <c r="D49" s="12">
        <f>C49*42</f>
        <v>504</v>
      </c>
      <c r="F49" s="123" t="s">
        <v>86</v>
      </c>
      <c r="G49" s="125">
        <f>H34+H35+H36+H37+H38+H39+H40+H41+G42+H44+H45+H46</f>
        <v>566156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15</v>
      </c>
      <c r="D50" s="12">
        <f>C50*1.5</f>
        <v>22.5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149</v>
      </c>
      <c r="G51" s="133">
        <f>G49-H29</f>
        <v>1133.25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100451.25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F7F-3EE5-4E6C-9A10-7EFD9C0D88FC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35C8-4A98-49E5-AB0F-A1AB14D62548}">
  <dimension ref="A1:R59"/>
  <sheetViews>
    <sheetView zoomScaleNormal="100" zoomScaleSheetLayoutView="85" workbookViewId="0">
      <selection activeCell="L23" sqref="L2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45663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>
        <v>633</v>
      </c>
      <c r="D6" s="13">
        <f t="shared" ref="D6:D28" si="1">C6*L6</f>
        <v>481713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>
        <v>2</v>
      </c>
      <c r="D7" s="13">
        <f t="shared" si="1"/>
        <v>1562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>
        <v>1</v>
      </c>
      <c r="D8" s="13">
        <f t="shared" si="1"/>
        <v>1093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>
        <v>27</v>
      </c>
      <c r="D9" s="13">
        <f t="shared" si="1"/>
        <v>19791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>
        <v>1</v>
      </c>
      <c r="D10" s="13">
        <f t="shared" si="1"/>
        <v>1032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>
        <v>1</v>
      </c>
      <c r="D12" s="48">
        <f t="shared" si="1"/>
        <v>992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>
        <v>9</v>
      </c>
      <c r="D13" s="48">
        <f t="shared" si="1"/>
        <v>2763</v>
      </c>
      <c r="F13" s="231" t="s">
        <v>36</v>
      </c>
      <c r="G13" s="195"/>
      <c r="H13" s="186">
        <f>D29</f>
        <v>509943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74673.75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435269.25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169</v>
      </c>
      <c r="C23" s="84">
        <v>12</v>
      </c>
      <c r="D23" s="48">
        <f t="shared" si="1"/>
        <v>454</v>
      </c>
      <c r="F23" s="77"/>
      <c r="G23" s="79"/>
      <c r="H23" s="238"/>
      <c r="I23" s="239"/>
      <c r="J23" s="239"/>
      <c r="L23" s="47">
        <f>872/24+1.5</f>
        <v>37.833333333333336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168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509943</v>
      </c>
      <c r="F29" s="103" t="s">
        <v>55</v>
      </c>
      <c r="G29" s="165"/>
      <c r="H29" s="125">
        <f>H15-H16-H17-H18-H19-H20-H22-H23-H24+H26+H27+H28</f>
        <v>435269.25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225</v>
      </c>
      <c r="H34" s="147">
        <f t="shared" ref="H34:H39" si="2">F34*G34</f>
        <v>225000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300</v>
      </c>
      <c r="H35" s="147">
        <f t="shared" si="2"/>
        <v>150000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47">
        <f t="shared" si="2"/>
        <v>200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641</v>
      </c>
      <c r="D37" s="12">
        <f>C37*111</f>
        <v>71151</v>
      </c>
      <c r="F37" s="12">
        <v>100</v>
      </c>
      <c r="G37" s="39">
        <v>36</v>
      </c>
      <c r="H37" s="147">
        <f t="shared" si="2"/>
        <v>3600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10</v>
      </c>
      <c r="H38" s="147">
        <f t="shared" si="2"/>
        <v>500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9</v>
      </c>
      <c r="D39" s="31">
        <f>C39*4.5</f>
        <v>40.5</v>
      </c>
      <c r="F39" s="12">
        <v>20</v>
      </c>
      <c r="G39" s="37">
        <v>1</v>
      </c>
      <c r="H39" s="147">
        <f t="shared" si="2"/>
        <v>20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12</v>
      </c>
      <c r="D40" s="12">
        <f>C40*111</f>
        <v>1332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47">
        <v>72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3</v>
      </c>
      <c r="D44" s="12">
        <f>C44*120</f>
        <v>360</v>
      </c>
      <c r="F44" s="37" t="s">
        <v>153</v>
      </c>
      <c r="G44" s="62"/>
      <c r="H44" s="142">
        <v>56000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1</v>
      </c>
      <c r="D45" s="12">
        <f>C45*84</f>
        <v>84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3</v>
      </c>
      <c r="D46" s="12">
        <f>C46*1.5</f>
        <v>4.5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435392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22</v>
      </c>
      <c r="D50" s="12">
        <f>C50*1.5</f>
        <v>33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149</v>
      </c>
      <c r="G51" s="133">
        <f>G49-H29</f>
        <v>122.75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74673.75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D703-BF79-43EA-99D6-F42943139D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45663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581</v>
      </c>
      <c r="D6" s="13">
        <f t="shared" ref="D6:D28" si="1">C6*L6</f>
        <v>442141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3</v>
      </c>
      <c r="D7" s="13">
        <f t="shared" si="1"/>
        <v>2343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41</v>
      </c>
      <c r="D9" s="13">
        <f t="shared" si="1"/>
        <v>30053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v>2</v>
      </c>
      <c r="D12" s="48">
        <f t="shared" si="1"/>
        <v>1984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17</v>
      </c>
      <c r="D13" s="48">
        <f t="shared" si="1"/>
        <v>5219</v>
      </c>
      <c r="F13" s="231" t="s">
        <v>36</v>
      </c>
      <c r="G13" s="195"/>
      <c r="H13" s="186">
        <f>D29</f>
        <v>486638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1</v>
      </c>
      <c r="D14" s="31">
        <f t="shared" si="1"/>
        <v>11</v>
      </c>
      <c r="F14" s="189" t="s">
        <v>39</v>
      </c>
      <c r="G14" s="190"/>
      <c r="H14" s="191">
        <f>D54</f>
        <v>85668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>
        <v>1</v>
      </c>
      <c r="D15" s="31">
        <f t="shared" si="1"/>
        <v>620</v>
      </c>
      <c r="F15" s="194" t="s">
        <v>40</v>
      </c>
      <c r="G15" s="195"/>
      <c r="H15" s="196">
        <f>H13-H14</f>
        <v>400970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324*6+201*6</f>
        <v>3150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10">
        <f>3+1</f>
        <v>4</v>
      </c>
      <c r="D21" s="48">
        <f t="shared" si="1"/>
        <v>2600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 t="s">
        <v>166</v>
      </c>
      <c r="G22" s="73">
        <v>8133</v>
      </c>
      <c r="H22" s="172">
        <v>131647</v>
      </c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>
        <v>1</v>
      </c>
      <c r="D24" s="48">
        <f t="shared" si="1"/>
        <v>1667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486638</v>
      </c>
      <c r="F29" s="103" t="s">
        <v>55</v>
      </c>
      <c r="G29" s="165"/>
      <c r="H29" s="125">
        <f>H15-H16-H17-H18-H19-H20-H22-H23-H24+H26+H27</f>
        <v>266173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39</v>
      </c>
      <c r="H34" s="147">
        <f>F34*G34</f>
        <v>39000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45</v>
      </c>
      <c r="H35" s="147">
        <f t="shared" ref="H35:H37" si="2">F35*G35</f>
        <v>22500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47">
        <f>F36*G36</f>
        <v>200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758</v>
      </c>
      <c r="D37" s="12">
        <f>C37*111</f>
        <v>84138</v>
      </c>
      <c r="F37" s="12">
        <v>100</v>
      </c>
      <c r="G37" s="39">
        <v>40</v>
      </c>
      <c r="H37" s="147">
        <f t="shared" si="2"/>
        <v>4000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</v>
      </c>
      <c r="H38" s="147">
        <f t="shared" ref="H38:H39" si="3">F38*G38</f>
        <v>300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47">
        <f t="shared" si="3"/>
        <v>20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2</v>
      </c>
      <c r="D42" s="12">
        <f>C42*2.25</f>
        <v>4.5</v>
      </c>
      <c r="F42" s="39" t="s">
        <v>79</v>
      </c>
      <c r="G42" s="147">
        <v>18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3</v>
      </c>
      <c r="D44" s="12">
        <f>C44*120</f>
        <v>360</v>
      </c>
      <c r="F44" s="37" t="s">
        <v>147</v>
      </c>
      <c r="G44" s="62" t="s">
        <v>165</v>
      </c>
      <c r="H44" s="142">
        <v>198198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24</v>
      </c>
      <c r="D46" s="12">
        <f>C46*1.5</f>
        <v>36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2</v>
      </c>
      <c r="D49" s="12">
        <f>C49*42</f>
        <v>84</v>
      </c>
      <c r="F49" s="123" t="s">
        <v>86</v>
      </c>
      <c r="G49" s="125">
        <f>H34+H35+H36+H37+H38+H39+H40+H41+G42+H44+H45+H46</f>
        <v>264236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21</v>
      </c>
      <c r="D50" s="12">
        <f>C50*1.5</f>
        <v>31.5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161</v>
      </c>
      <c r="G51" s="232">
        <f>G49-H29</f>
        <v>-1937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85668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46DD-CFF6-4F84-82C8-DDA2C84A40E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45663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f>614-273</f>
        <v>341</v>
      </c>
      <c r="D6" s="13">
        <f t="shared" ref="D6:D28" si="1">C6*L6</f>
        <v>259501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1</v>
      </c>
      <c r="D7" s="13">
        <f t="shared" si="1"/>
        <v>781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13</v>
      </c>
      <c r="D9" s="13">
        <f t="shared" si="1"/>
        <v>9529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v>3</v>
      </c>
      <c r="D12" s="48">
        <f t="shared" si="1"/>
        <v>2976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2</v>
      </c>
      <c r="D13" s="48">
        <f t="shared" si="1"/>
        <v>614</v>
      </c>
      <c r="F13" s="231" t="s">
        <v>36</v>
      </c>
      <c r="G13" s="195"/>
      <c r="H13" s="186">
        <f>D29</f>
        <v>275314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8</v>
      </c>
      <c r="D14" s="31">
        <f t="shared" si="1"/>
        <v>88</v>
      </c>
      <c r="F14" s="189" t="s">
        <v>39</v>
      </c>
      <c r="G14" s="190"/>
      <c r="H14" s="191">
        <f>D54</f>
        <v>52389.75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222924.25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268*6+51*6</f>
        <v>1914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 t="s">
        <v>167</v>
      </c>
      <c r="G22" s="73">
        <v>7798</v>
      </c>
      <c r="H22" s="172">
        <v>173644</v>
      </c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>
        <v>1</v>
      </c>
      <c r="D23" s="48">
        <f t="shared" si="1"/>
        <v>1175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275314</v>
      </c>
      <c r="F29" s="103" t="s">
        <v>55</v>
      </c>
      <c r="G29" s="165"/>
      <c r="H29" s="125">
        <f>H15-H16-H17-H18-H19-H20-H22-H23-H24+H26+H27</f>
        <v>47366.25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26</v>
      </c>
      <c r="H34" s="147">
        <f>F34*G34</f>
        <v>26000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35</v>
      </c>
      <c r="H35" s="147">
        <f>F35*G35</f>
        <v>17500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1</v>
      </c>
      <c r="H36" s="147">
        <f t="shared" ref="H36:H39" si="2">F36*G36</f>
        <v>200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439</v>
      </c>
      <c r="D37" s="12">
        <f>C37*111</f>
        <v>48729</v>
      </c>
      <c r="F37" s="12">
        <v>100</v>
      </c>
      <c r="G37" s="39">
        <v>34</v>
      </c>
      <c r="H37" s="147">
        <f t="shared" si="2"/>
        <v>3400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25</v>
      </c>
      <c r="D40" s="12">
        <f>C40*111</f>
        <v>2775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47">
        <v>142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2</v>
      </c>
      <c r="D44" s="12">
        <f>C44*120</f>
        <v>240</v>
      </c>
      <c r="F44" s="37"/>
      <c r="G44" s="76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7</v>
      </c>
      <c r="D46" s="12">
        <f>C46*1.5</f>
        <v>10.5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</v>
      </c>
      <c r="D49" s="12">
        <f>C49*42</f>
        <v>42</v>
      </c>
      <c r="F49" s="123" t="s">
        <v>86</v>
      </c>
      <c r="G49" s="125">
        <f>H34+H35+H36+H37+H38+H39+H40+H41+G42+H44+H45+H46</f>
        <v>47242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16</v>
      </c>
      <c r="D50" s="12">
        <f>C50*1.5</f>
        <v>24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-124.25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52389.75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17D0-404F-49AF-B1D2-8044EFB5CED3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9B40-1E74-404F-A7FA-39AAF57DE09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>
        <v>523</v>
      </c>
      <c r="D6" s="13">
        <f t="shared" ref="D6:D28" si="1">C6*L6</f>
        <v>398003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>
        <v>2</v>
      </c>
      <c r="D7" s="13">
        <f t="shared" si="1"/>
        <v>1562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>
        <v>2</v>
      </c>
      <c r="D8" s="13">
        <f t="shared" si="1"/>
        <v>2186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>
        <v>10</v>
      </c>
      <c r="D9" s="13">
        <f t="shared" si="1"/>
        <v>7330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>
        <v>13</v>
      </c>
      <c r="D13" s="48">
        <f t="shared" si="1"/>
        <v>3991</v>
      </c>
      <c r="F13" s="231" t="s">
        <v>36</v>
      </c>
      <c r="G13" s="195"/>
      <c r="H13" s="186">
        <f>D29</f>
        <v>416738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>
        <v>3</v>
      </c>
      <c r="D14" s="31">
        <f t="shared" si="1"/>
        <v>33</v>
      </c>
      <c r="F14" s="189" t="s">
        <v>39</v>
      </c>
      <c r="G14" s="190"/>
      <c r="H14" s="191">
        <f>D54</f>
        <v>113626.5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303111.5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>
        <f>2586</f>
        <v>2586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>
        <v>1</v>
      </c>
      <c r="D20" s="13">
        <f t="shared" si="1"/>
        <v>1175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169</v>
      </c>
      <c r="C23" s="84">
        <v>12</v>
      </c>
      <c r="D23" s="48">
        <f t="shared" si="1"/>
        <v>454</v>
      </c>
      <c r="F23" s="77"/>
      <c r="G23" s="79"/>
      <c r="H23" s="238"/>
      <c r="I23" s="239"/>
      <c r="J23" s="239"/>
      <c r="L23" s="47">
        <f>872/24+1.5</f>
        <v>37.833333333333336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168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>
        <v>1</v>
      </c>
      <c r="D28" s="48">
        <f t="shared" si="1"/>
        <v>811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416738</v>
      </c>
      <c r="F29" s="103" t="s">
        <v>55</v>
      </c>
      <c r="G29" s="165"/>
      <c r="H29" s="125">
        <f>H15-H16-H17-H18-H19-H20-H22-H23-H24+H26+H27+H28</f>
        <v>300525.5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51</v>
      </c>
      <c r="H34" s="147">
        <f t="shared" ref="H34:H39" si="2">F34*G34</f>
        <v>51000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20</v>
      </c>
      <c r="H35" s="147">
        <f t="shared" si="2"/>
        <v>10000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1005</v>
      </c>
      <c r="D37" s="12">
        <f>C37*111</f>
        <v>111555</v>
      </c>
      <c r="F37" s="12">
        <v>100</v>
      </c>
      <c r="G37" s="39">
        <v>41</v>
      </c>
      <c r="H37" s="147">
        <f t="shared" si="2"/>
        <v>4100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15</v>
      </c>
      <c r="H38" s="147">
        <f t="shared" si="2"/>
        <v>750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30</v>
      </c>
      <c r="D42" s="12">
        <f>C42*2.25</f>
        <v>67.5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 t="s">
        <v>147</v>
      </c>
      <c r="G44" s="62" t="s">
        <v>170</v>
      </c>
      <c r="H44" s="142">
        <v>234325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>
        <v>1</v>
      </c>
      <c r="D45" s="12">
        <f>C45*84</f>
        <v>84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34</v>
      </c>
      <c r="D46" s="12">
        <f>C46*1.5</f>
        <v>51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300175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10</v>
      </c>
      <c r="D50" s="12">
        <f>C50*1.5</f>
        <v>15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-350.5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113626.5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D1DB-0449-492C-A8C7-2F65547D42F6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450</v>
      </c>
      <c r="D6" s="13">
        <f t="shared" ref="D6:D28" si="1">C6*L6</f>
        <v>342450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20</v>
      </c>
      <c r="D9" s="13">
        <f t="shared" si="1"/>
        <v>14660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15</v>
      </c>
      <c r="D13" s="48">
        <f t="shared" si="1"/>
        <v>4605</v>
      </c>
      <c r="F13" s="231" t="s">
        <v>36</v>
      </c>
      <c r="G13" s="195"/>
      <c r="H13" s="186">
        <f>D29</f>
        <v>364269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11</v>
      </c>
      <c r="D14" s="31">
        <f t="shared" si="1"/>
        <v>121</v>
      </c>
      <c r="F14" s="189" t="s">
        <v>39</v>
      </c>
      <c r="G14" s="190"/>
      <c r="H14" s="191">
        <f>D54</f>
        <v>53587.5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310681.5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2064</f>
        <v>2064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 t="s">
        <v>166</v>
      </c>
      <c r="G26" s="59">
        <v>8133</v>
      </c>
      <c r="H26" s="177">
        <v>131647</v>
      </c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>
        <v>3</v>
      </c>
      <c r="D28" s="48">
        <f t="shared" si="1"/>
        <v>2433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364269</v>
      </c>
      <c r="F29" s="103" t="s">
        <v>55</v>
      </c>
      <c r="G29" s="165"/>
      <c r="H29" s="125">
        <f>H15-H16-H17-H18-H19-H20-H22-H23-H24+H26+H27</f>
        <v>440264.5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243</v>
      </c>
      <c r="H34" s="147">
        <f>F34*G34</f>
        <v>243000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101</v>
      </c>
      <c r="H35" s="147">
        <f t="shared" ref="H35:H39" si="2">F35*G35</f>
        <v>50500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466</v>
      </c>
      <c r="D37" s="12">
        <f>C37*111</f>
        <v>51726</v>
      </c>
      <c r="F37" s="12">
        <v>100</v>
      </c>
      <c r="G37" s="39">
        <v>128</v>
      </c>
      <c r="H37" s="147">
        <f t="shared" si="2"/>
        <v>12800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46</v>
      </c>
      <c r="H38" s="147">
        <f t="shared" si="2"/>
        <v>2300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>
        <v>71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 t="s">
        <v>147</v>
      </c>
      <c r="G44" s="62" t="s">
        <v>171</v>
      </c>
      <c r="H44" s="142">
        <v>131647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9</v>
      </c>
      <c r="D49" s="12">
        <f>C49*42</f>
        <v>378</v>
      </c>
      <c r="F49" s="123" t="s">
        <v>86</v>
      </c>
      <c r="G49" s="125">
        <f>H34+H35+H36+H37+H38+H39+H40+H41+G42+H44+H45+H46</f>
        <v>440318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15</v>
      </c>
      <c r="D50" s="12">
        <f>C50*1.5</f>
        <v>22.5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53.5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53587.5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1D7E-AC3B-4A1A-9DF9-F2224DED7014}">
  <dimension ref="A1:R59"/>
  <sheetViews>
    <sheetView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8" t="s">
        <v>2</v>
      </c>
      <c r="Q1" s="9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 t="s">
        <v>179</v>
      </c>
      <c r="H4" s="204" t="s">
        <v>9</v>
      </c>
      <c r="I4" s="206">
        <v>45664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178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 t="s">
        <v>174</v>
      </c>
      <c r="G26" s="59">
        <v>8269</v>
      </c>
      <c r="H26" s="177">
        <v>7281</v>
      </c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02" t="s">
        <v>175</v>
      </c>
      <c r="G27" s="59">
        <v>8269</v>
      </c>
      <c r="H27" s="177">
        <v>1000</v>
      </c>
      <c r="I27" s="178"/>
      <c r="J27" s="17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102" t="s">
        <v>176</v>
      </c>
      <c r="G28" s="59">
        <v>8269</v>
      </c>
      <c r="H28" s="177">
        <v>3130</v>
      </c>
      <c r="I28" s="178"/>
      <c r="J28" s="179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11411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9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101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 t="s">
        <v>153</v>
      </c>
      <c r="G44" s="62"/>
      <c r="H44" s="142">
        <v>11411</v>
      </c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100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11411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177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180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D6E1-A235-427E-8635-9ADA7BD0B7C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45664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380</v>
      </c>
      <c r="D6" s="13">
        <f t="shared" ref="D6:D28" si="1">C6*L6</f>
        <v>289180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19</v>
      </c>
      <c r="D7" s="13">
        <f t="shared" si="1"/>
        <v>14839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>
        <v>2</v>
      </c>
      <c r="D8" s="13">
        <f t="shared" si="1"/>
        <v>2186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84</v>
      </c>
      <c r="D9" s="13">
        <f t="shared" si="1"/>
        <v>61572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>
        <v>1</v>
      </c>
      <c r="D10" s="13">
        <f t="shared" si="1"/>
        <v>1032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f>3+1</f>
        <v>4</v>
      </c>
      <c r="D12" s="48">
        <f t="shared" si="1"/>
        <v>3968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14</v>
      </c>
      <c r="D13" s="48">
        <f t="shared" si="1"/>
        <v>4298</v>
      </c>
      <c r="F13" s="231" t="s">
        <v>36</v>
      </c>
      <c r="G13" s="195"/>
      <c r="H13" s="186">
        <f>D29</f>
        <v>383641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6</v>
      </c>
      <c r="D14" s="31">
        <f t="shared" si="1"/>
        <v>66</v>
      </c>
      <c r="F14" s="189" t="s">
        <v>39</v>
      </c>
      <c r="G14" s="190"/>
      <c r="H14" s="191">
        <f>D54</f>
        <v>52228.5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331412.5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v>1248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>
        <v>50</v>
      </c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10">
        <f>5+5</f>
        <v>10</v>
      </c>
      <c r="D21" s="48">
        <f t="shared" si="1"/>
        <v>6500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 t="s">
        <v>167</v>
      </c>
      <c r="G26" s="59">
        <v>7798</v>
      </c>
      <c r="H26" s="177">
        <v>173644</v>
      </c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383641</v>
      </c>
      <c r="F29" s="103" t="s">
        <v>55</v>
      </c>
      <c r="G29" s="165"/>
      <c r="H29" s="125">
        <f>H15-H16-H17-H18-H19-H20-H22-H23-H24+H26+H27</f>
        <v>503758.5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148</v>
      </c>
      <c r="H34" s="147">
        <f>F34*G34</f>
        <v>148000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20</v>
      </c>
      <c r="H35" s="147">
        <f>F35*G35</f>
        <v>10000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47">
        <f t="shared" ref="H36:H39" si="2">F36*G36</f>
        <v>600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429</v>
      </c>
      <c r="D37" s="12">
        <f>C37*111</f>
        <v>47619</v>
      </c>
      <c r="F37" s="12">
        <v>100</v>
      </c>
      <c r="G37" s="39">
        <v>151</v>
      </c>
      <c r="H37" s="147">
        <f t="shared" si="2"/>
        <v>15100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335</v>
      </c>
      <c r="H38" s="147">
        <f t="shared" si="2"/>
        <v>16750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17</v>
      </c>
      <c r="D40" s="12">
        <f>C40*111</f>
        <v>1887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4</v>
      </c>
      <c r="D42" s="12">
        <f>C42*2.25</f>
        <v>9</v>
      </c>
      <c r="F42" s="39" t="s">
        <v>79</v>
      </c>
      <c r="G42" s="147">
        <v>175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5</v>
      </c>
      <c r="D44" s="12">
        <f>C44*120</f>
        <v>600</v>
      </c>
      <c r="F44" s="37" t="s">
        <v>147</v>
      </c>
      <c r="G44" s="76" t="s">
        <v>172</v>
      </c>
      <c r="H44" s="142">
        <v>139318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2</v>
      </c>
      <c r="D45" s="12">
        <f>C45*84</f>
        <v>168</v>
      </c>
      <c r="F45" s="37" t="s">
        <v>147</v>
      </c>
      <c r="G45" s="76" t="s">
        <v>173</v>
      </c>
      <c r="H45" s="142">
        <v>173644</v>
      </c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9</v>
      </c>
      <c r="D46" s="12">
        <f>C46*1.5</f>
        <v>13.5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5</v>
      </c>
      <c r="D49" s="12">
        <f>C49*42</f>
        <v>210</v>
      </c>
      <c r="F49" s="123" t="s">
        <v>86</v>
      </c>
      <c r="G49" s="125">
        <f>H34+H35+H36+H37+H38+H39+H40+H41+G42+H44+H45+H46</f>
        <v>503587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18</v>
      </c>
      <c r="D50" s="12">
        <f>C50*1.5</f>
        <v>27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-171.5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52228.5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7782-9F68-4B75-8208-605F1C60D1A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C857-BA52-4829-8B51-359EC0CFBAB1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45665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>
        <v>707</v>
      </c>
      <c r="D6" s="13">
        <f t="shared" ref="D6:D28" si="1">C6*L6</f>
        <v>538027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>
        <v>10</v>
      </c>
      <c r="D9" s="13">
        <f t="shared" si="1"/>
        <v>7330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>
        <v>26</v>
      </c>
      <c r="D13" s="48">
        <f t="shared" si="1"/>
        <v>7982</v>
      </c>
      <c r="F13" s="231" t="s">
        <v>36</v>
      </c>
      <c r="G13" s="195"/>
      <c r="H13" s="186">
        <f>D29</f>
        <v>555289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79440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475849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>
        <f>3882</f>
        <v>3882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>
        <v>3</v>
      </c>
      <c r="D21" s="48">
        <f t="shared" si="1"/>
        <v>1950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555289</v>
      </c>
      <c r="F29" s="103" t="s">
        <v>55</v>
      </c>
      <c r="G29" s="165"/>
      <c r="H29" s="125">
        <f>H15-H16-H17-H18-H19-H20-H22-H23-H24+H26+H27+H28</f>
        <v>471967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262</v>
      </c>
      <c r="H34" s="147">
        <f t="shared" ref="H34:H39" si="2">F34*G34</f>
        <v>262000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402</v>
      </c>
      <c r="H35" s="147">
        <f t="shared" si="2"/>
        <v>201000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47">
        <f t="shared" si="2"/>
        <v>600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694</v>
      </c>
      <c r="D37" s="12">
        <f>C37*111</f>
        <v>77034</v>
      </c>
      <c r="F37" s="12">
        <v>100</v>
      </c>
      <c r="G37" s="39">
        <v>68</v>
      </c>
      <c r="H37" s="147">
        <f t="shared" si="2"/>
        <v>6800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15</v>
      </c>
      <c r="D38" s="12">
        <f>C38*84</f>
        <v>1260</v>
      </c>
      <c r="F38" s="30">
        <v>50</v>
      </c>
      <c r="G38" s="39">
        <v>2</v>
      </c>
      <c r="H38" s="147">
        <f t="shared" si="2"/>
        <v>100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>
        <v>8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2</v>
      </c>
      <c r="D44" s="12">
        <f>C44*120</f>
        <v>240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16</v>
      </c>
      <c r="D49" s="12">
        <f>C49*42</f>
        <v>672</v>
      </c>
      <c r="F49" s="123" t="s">
        <v>86</v>
      </c>
      <c r="G49" s="125">
        <f>H34+H35+H36+H37+H38+H39+H40+H41+G42+H44+H45+H46</f>
        <v>470508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-1459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79440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AF4C-799B-4CCC-867A-64D1685E741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45665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314</v>
      </c>
      <c r="D6" s="13">
        <f t="shared" ref="D6:D28" si="1">C6*L6</f>
        <v>238954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5</v>
      </c>
      <c r="D7" s="13">
        <f t="shared" si="1"/>
        <v>3905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>
        <v>19</v>
      </c>
      <c r="D9" s="13">
        <f t="shared" si="1"/>
        <v>13927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>
        <v>1</v>
      </c>
      <c r="D10" s="13">
        <f t="shared" si="1"/>
        <v>1032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f>2+1+1</f>
        <v>4</v>
      </c>
      <c r="D12" s="48">
        <f t="shared" si="1"/>
        <v>3968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7</v>
      </c>
      <c r="D13" s="48">
        <f t="shared" si="1"/>
        <v>2149</v>
      </c>
      <c r="F13" s="231" t="s">
        <v>36</v>
      </c>
      <c r="G13" s="195"/>
      <c r="H13" s="186">
        <f>D29</f>
        <v>263957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2</v>
      </c>
      <c r="D14" s="31">
        <f t="shared" si="1"/>
        <v>22</v>
      </c>
      <c r="F14" s="189" t="s">
        <v>39</v>
      </c>
      <c r="G14" s="190"/>
      <c r="H14" s="191">
        <f>D54</f>
        <v>52866.75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211090.25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263957</v>
      </c>
      <c r="F29" s="103" t="s">
        <v>55</v>
      </c>
      <c r="G29" s="165"/>
      <c r="H29" s="125">
        <f>H15-H16-H17-H18-H19-H20-H22-H23-H24+H26+H27</f>
        <v>211090.25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199</v>
      </c>
      <c r="H34" s="147">
        <f>F34*G34</f>
        <v>199000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147">
        <f t="shared" ref="H35:H39" si="2">F35*G35</f>
        <v>500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456</v>
      </c>
      <c r="D37" s="12">
        <f>C37*111</f>
        <v>50616</v>
      </c>
      <c r="F37" s="12">
        <v>100</v>
      </c>
      <c r="G37" s="39">
        <v>56</v>
      </c>
      <c r="H37" s="147">
        <f t="shared" si="2"/>
        <v>5600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47">
        <f t="shared" si="2"/>
        <v>50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9</v>
      </c>
      <c r="D39" s="31">
        <f>C39*4.5</f>
        <v>40.5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1</v>
      </c>
      <c r="D42" s="12">
        <f>C42*2.25</f>
        <v>2.25</v>
      </c>
      <c r="F42" s="39" t="s">
        <v>79</v>
      </c>
      <c r="G42" s="147">
        <v>10004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2</v>
      </c>
      <c r="D44" s="12">
        <f>C44*120</f>
        <v>240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1</v>
      </c>
      <c r="D45" s="12">
        <f>C45*84</f>
        <v>84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22</v>
      </c>
      <c r="D46" s="12">
        <f>C46*1.5</f>
        <v>33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3</v>
      </c>
      <c r="D49" s="12">
        <f>C49*42</f>
        <v>126</v>
      </c>
      <c r="F49" s="123" t="s">
        <v>86</v>
      </c>
      <c r="G49" s="125">
        <f>H34+H35+H36+H37+H38+H39+H40+H41+G42+H44+H45+H46</f>
        <v>215154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36</v>
      </c>
      <c r="D50" s="12">
        <f>C50*1.5</f>
        <v>54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4063.75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52866.75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9605-2183-4C17-95EE-4E0761910F0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45665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>
        <v>529</v>
      </c>
      <c r="D6" s="13">
        <f t="shared" ref="D6:D28" si="1">C6*L6</f>
        <v>402569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>
        <v>15</v>
      </c>
      <c r="D7" s="13">
        <f t="shared" si="1"/>
        <v>11715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>
        <v>2</v>
      </c>
      <c r="D8" s="13">
        <f t="shared" si="1"/>
        <v>2186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>
        <v>3</v>
      </c>
      <c r="D10" s="13">
        <f t="shared" si="1"/>
        <v>3096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>
        <v>2</v>
      </c>
      <c r="D11" s="13">
        <f t="shared" si="1"/>
        <v>2340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>
        <f>8+1+1</f>
        <v>10</v>
      </c>
      <c r="D12" s="48">
        <f t="shared" si="1"/>
        <v>9920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>
        <v>5</v>
      </c>
      <c r="D13" s="48">
        <f t="shared" si="1"/>
        <v>1535</v>
      </c>
      <c r="F13" s="231" t="s">
        <v>36</v>
      </c>
      <c r="G13" s="195"/>
      <c r="H13" s="186">
        <f>D29</f>
        <v>434667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>
        <v>6</v>
      </c>
      <c r="D14" s="31">
        <f t="shared" si="1"/>
        <v>66</v>
      </c>
      <c r="F14" s="189" t="s">
        <v>39</v>
      </c>
      <c r="G14" s="190"/>
      <c r="H14" s="191">
        <f>D54</f>
        <v>66066.75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>
        <v>2</v>
      </c>
      <c r="D15" s="31">
        <f t="shared" si="1"/>
        <v>1240</v>
      </c>
      <c r="F15" s="194" t="s">
        <v>40</v>
      </c>
      <c r="G15" s="195"/>
      <c r="H15" s="196">
        <f>H13-H14</f>
        <v>368600.25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>
        <f>2772+330</f>
        <v>3102</v>
      </c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434667</v>
      </c>
      <c r="F29" s="103" t="s">
        <v>55</v>
      </c>
      <c r="G29" s="165"/>
      <c r="H29" s="125">
        <f>H15-H16-H17-H18-H19-H20-H22-H23-H24+H26+H27</f>
        <v>365498.25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41</v>
      </c>
      <c r="H34" s="147">
        <f>F34*G34</f>
        <v>41000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>
        <v>30</v>
      </c>
      <c r="H35" s="147">
        <f>F35*G35</f>
        <v>15000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47">
        <f t="shared" ref="H36:H39" si="2">F36*G36</f>
        <v>200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>
        <v>550</v>
      </c>
      <c r="D37" s="12">
        <f>C37*111</f>
        <v>61050</v>
      </c>
      <c r="F37" s="12">
        <v>100</v>
      </c>
      <c r="G37" s="39">
        <v>73</v>
      </c>
      <c r="H37" s="147">
        <f t="shared" si="2"/>
        <v>7300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2</v>
      </c>
      <c r="H38" s="147">
        <f t="shared" si="2"/>
        <v>100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47">
        <f t="shared" si="2"/>
        <v>20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>
        <v>13</v>
      </c>
      <c r="D40" s="12">
        <f>C40*111</f>
        <v>1443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>
        <v>3</v>
      </c>
      <c r="D42" s="12">
        <f>C42*2.25</f>
        <v>6.75</v>
      </c>
      <c r="F42" s="39" t="s">
        <v>79</v>
      </c>
      <c r="G42" s="147">
        <v>165</v>
      </c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>
        <v>21</v>
      </c>
      <c r="D44" s="12">
        <f>C44*120</f>
        <v>2520</v>
      </c>
      <c r="F44" s="37" t="s">
        <v>181</v>
      </c>
      <c r="G44" s="76" t="s">
        <v>182</v>
      </c>
      <c r="H44" s="142">
        <v>301634</v>
      </c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>
        <v>1</v>
      </c>
      <c r="D45" s="12">
        <f>C45*84</f>
        <v>84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>
        <v>4</v>
      </c>
      <c r="D46" s="12">
        <f>C46*1.5</f>
        <v>6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>
        <v>1</v>
      </c>
      <c r="D49" s="12">
        <f>C49*42</f>
        <v>42</v>
      </c>
      <c r="F49" s="123" t="s">
        <v>86</v>
      </c>
      <c r="G49" s="125">
        <f>H34+H35+H36+H37+H38+H39+H40+H41+G42+H44+H45+H46</f>
        <v>365419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>
        <v>1</v>
      </c>
      <c r="D50" s="12">
        <f>C50*1.5</f>
        <v>1.5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-79.25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66066.75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BD6E-7FB6-4412-BEFB-0E21667F6E42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24E1-A897-47E6-A4FF-FF94A239BFE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45666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/>
      <c r="D6" s="13">
        <f t="shared" ref="D6:D28" si="1">C6*L6</f>
        <v>0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47">
        <f t="shared" ref="H34:H39" si="2"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si="2"/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1630-3EB8-4211-A7C1-B833962E79C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45666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F3F1-5256-4795-A607-ECE807DB61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45666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4D5C-15B7-4FF1-AB19-8AEC2ECEED07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7569-A1B8-490B-909F-69E0F3766C9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45667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/>
      <c r="D6" s="13">
        <f t="shared" ref="D6:D28" si="1">C6*L6</f>
        <v>0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47">
        <f t="shared" ref="H34:H39" si="2"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si="2"/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891E-ED09-443C-A190-A5FAC5B0356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45667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CCB8-C46D-4AEA-A1A7-C9ADADAE7C6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45667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0FCC-6EB1-4288-BD3B-524B2D0A9838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0" t="s">
        <v>7</v>
      </c>
      <c r="B4" s="151"/>
      <c r="C4" s="151"/>
      <c r="D4" s="152"/>
      <c r="F4" s="200" t="s">
        <v>8</v>
      </c>
      <c r="G4" s="202"/>
      <c r="H4" s="204" t="s">
        <v>9</v>
      </c>
      <c r="I4" s="206"/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5"/>
      <c r="B6" s="16"/>
      <c r="C6" s="10"/>
      <c r="D6" s="13">
        <f t="shared" ref="D6:D28" si="1">C6*L6</f>
        <v>0</v>
      </c>
      <c r="F6" s="210" t="s">
        <v>16</v>
      </c>
      <c r="G6" s="212"/>
      <c r="H6" s="213"/>
      <c r="I6" s="213"/>
      <c r="J6" s="21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5"/>
      <c r="B7" s="16"/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5"/>
      <c r="B8" s="16"/>
      <c r="C8" s="10"/>
      <c r="D8" s="13">
        <f t="shared" si="1"/>
        <v>0</v>
      </c>
      <c r="F8" s="218" t="s">
        <v>21</v>
      </c>
      <c r="G8" s="219"/>
      <c r="H8" s="220"/>
      <c r="I8" s="220"/>
      <c r="J8" s="221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5"/>
      <c r="B9" s="16"/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5"/>
      <c r="C10" s="10"/>
      <c r="D10" s="13">
        <f t="shared" si="1"/>
        <v>0</v>
      </c>
      <c r="F10" s="210" t="s">
        <v>26</v>
      </c>
      <c r="G10" s="225"/>
      <c r="H10" s="226"/>
      <c r="I10" s="226"/>
      <c r="J10" s="227"/>
      <c r="K10" s="8"/>
      <c r="L10" s="6">
        <f>R36</f>
        <v>972</v>
      </c>
      <c r="P10" s="4"/>
      <c r="Q10" s="4"/>
      <c r="R10" s="5"/>
    </row>
    <row r="11" spans="1:19" ht="15.75" x14ac:dyDescent="0.25">
      <c r="A11" s="145"/>
      <c r="B11" s="17"/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5"/>
      <c r="B12" s="17"/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5"/>
      <c r="B13" s="17"/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5"/>
      <c r="B14" s="14"/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5"/>
      <c r="B15" s="14"/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/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/>
      <c r="C19" s="10"/>
      <c r="D19" s="48">
        <f t="shared" si="1"/>
        <v>0</v>
      </c>
      <c r="F19" s="56"/>
      <c r="G19" s="68" t="s">
        <v>50</v>
      </c>
      <c r="H19" s="168"/>
      <c r="I19" s="168"/>
      <c r="J19" s="16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/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5"/>
      <c r="B22" s="46"/>
      <c r="C22" s="10"/>
      <c r="D22" s="48">
        <f t="shared" si="1"/>
        <v>0</v>
      </c>
      <c r="F22" s="77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/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/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/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5"/>
      <c r="B27" s="14"/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/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/>
      <c r="I34" s="148"/>
      <c r="J34" s="14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/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/>
      <c r="I36" s="148"/>
      <c r="J36" s="14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/>
      <c r="I37" s="148"/>
      <c r="J37" s="14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/>
      <c r="I38" s="148"/>
      <c r="J38" s="14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/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P43" s="4"/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P44" s="4"/>
      <c r="Q44" s="4"/>
      <c r="R44" s="5"/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P50" s="4"/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128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D0D5-9461-4279-AC47-71E0A74AE20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1</v>
      </c>
      <c r="H4" s="204" t="s">
        <v>9</v>
      </c>
      <c r="I4" s="206">
        <v>45669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84"/>
      <c r="D6" s="13">
        <f t="shared" ref="D6:D28" si="1">C6*L6</f>
        <v>0</v>
      </c>
      <c r="F6" s="210" t="s">
        <v>16</v>
      </c>
      <c r="G6" s="212" t="s">
        <v>129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84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84"/>
      <c r="D8" s="13">
        <f t="shared" si="1"/>
        <v>0</v>
      </c>
      <c r="F8" s="218" t="s">
        <v>21</v>
      </c>
      <c r="G8" s="219" t="s">
        <v>112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84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84"/>
      <c r="D10" s="13">
        <f t="shared" si="1"/>
        <v>0</v>
      </c>
      <c r="F10" s="210" t="s">
        <v>26</v>
      </c>
      <c r="G10" s="225" t="s">
        <v>130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84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84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84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84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84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137</v>
      </c>
      <c r="C17" s="84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67"/>
      <c r="I19" s="167"/>
      <c r="J19" s="167"/>
      <c r="L19" s="6">
        <v>1102</v>
      </c>
      <c r="Q19" s="4"/>
      <c r="R19" s="5">
        <f t="shared" si="0"/>
        <v>0</v>
      </c>
    </row>
    <row r="20" spans="1:18" ht="15.75" x14ac:dyDescent="0.25">
      <c r="A20" s="145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127</v>
      </c>
      <c r="C22" s="84"/>
      <c r="D22" s="48">
        <f t="shared" si="1"/>
        <v>0</v>
      </c>
      <c r="F22" s="77"/>
      <c r="G22" s="73"/>
      <c r="H22" s="172"/>
      <c r="I22" s="172"/>
      <c r="J22" s="172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101</v>
      </c>
      <c r="C23" s="84"/>
      <c r="D23" s="48">
        <f t="shared" si="1"/>
        <v>0</v>
      </c>
      <c r="F23" s="77"/>
      <c r="G23" s="79"/>
      <c r="H23" s="238"/>
      <c r="I23" s="239"/>
      <c r="J23" s="239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121</v>
      </c>
      <c r="C24" s="84"/>
      <c r="D24" s="48">
        <f t="shared" si="1"/>
        <v>0</v>
      </c>
      <c r="F24" s="77"/>
      <c r="G24" s="79"/>
      <c r="H24" s="238"/>
      <c r="I24" s="239"/>
      <c r="J24" s="239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136</v>
      </c>
      <c r="C26" s="84"/>
      <c r="D26" s="48">
        <f t="shared" si="1"/>
        <v>0</v>
      </c>
      <c r="F26" s="75"/>
      <c r="G26" s="65"/>
      <c r="H26" s="142"/>
      <c r="I26" s="142"/>
      <c r="J26" s="142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110</v>
      </c>
      <c r="C27" s="84"/>
      <c r="D27" s="44">
        <f t="shared" si="1"/>
        <v>0</v>
      </c>
      <c r="F27" s="71"/>
      <c r="G27" s="90"/>
      <c r="H27" s="240"/>
      <c r="I27" s="241"/>
      <c r="J27" s="241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84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H15-H16-H17-H18-H19-H20-H22-H23-H24+H26+H27+H28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47">
        <f t="shared" ref="H34:H39" si="2"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si="2"/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si="2"/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2"/>
      <c r="I46" s="142"/>
      <c r="J46" s="142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131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7F3A-5F49-4B3A-8A37-12F5AA06B9E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2</v>
      </c>
      <c r="H4" s="204" t="s">
        <v>9</v>
      </c>
      <c r="I4" s="206">
        <v>45669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140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114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115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93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2"/>
      <c r="I19" s="242"/>
      <c r="J19" s="24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67"/>
      <c r="I20" s="167"/>
      <c r="J20" s="16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2"/>
      <c r="G22" s="73"/>
      <c r="H22" s="172"/>
      <c r="I22" s="172"/>
      <c r="J22" s="172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25"/>
      <c r="G23" s="37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123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10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14"/>
      <c r="G27" s="14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 t="shared" ref="H35:H39" si="2"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62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62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91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142</v>
      </c>
      <c r="G51" s="133">
        <f>G49-H29</f>
        <v>0</v>
      </c>
      <c r="H51" s="134"/>
      <c r="I51" s="134"/>
      <c r="J51" s="13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136"/>
      <c r="H52" s="137"/>
      <c r="I52" s="137"/>
      <c r="J52" s="13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68AE-9C4C-4242-8281-75B8C43306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99" t="s">
        <v>1</v>
      </c>
      <c r="O1" s="199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0" t="s">
        <v>7</v>
      </c>
      <c r="B4" s="151"/>
      <c r="C4" s="151"/>
      <c r="D4" s="152"/>
      <c r="F4" s="200" t="s">
        <v>8</v>
      </c>
      <c r="G4" s="202">
        <v>3</v>
      </c>
      <c r="H4" s="204" t="s">
        <v>9</v>
      </c>
      <c r="I4" s="206">
        <v>45669</v>
      </c>
      <c r="J4" s="20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4" t="s">
        <v>7</v>
      </c>
      <c r="B5" s="15" t="s">
        <v>11</v>
      </c>
      <c r="C5" s="9" t="s">
        <v>12</v>
      </c>
      <c r="D5" s="25" t="s">
        <v>13</v>
      </c>
      <c r="F5" s="201"/>
      <c r="G5" s="203"/>
      <c r="H5" s="205"/>
      <c r="I5" s="208"/>
      <c r="J5" s="20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5"/>
      <c r="B6" s="16" t="s">
        <v>15</v>
      </c>
      <c r="C6" s="10"/>
      <c r="D6" s="13">
        <f t="shared" ref="D6:D28" si="1">C6*L6</f>
        <v>0</v>
      </c>
      <c r="F6" s="210" t="s">
        <v>16</v>
      </c>
      <c r="G6" s="212" t="s">
        <v>111</v>
      </c>
      <c r="H6" s="213"/>
      <c r="I6" s="213"/>
      <c r="J6" s="21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5"/>
      <c r="B7" s="16" t="s">
        <v>18</v>
      </c>
      <c r="C7" s="10"/>
      <c r="D7" s="13">
        <f t="shared" si="1"/>
        <v>0</v>
      </c>
      <c r="F7" s="211"/>
      <c r="G7" s="215"/>
      <c r="H7" s="216"/>
      <c r="I7" s="216"/>
      <c r="J7" s="21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5"/>
      <c r="B8" s="16" t="s">
        <v>20</v>
      </c>
      <c r="C8" s="10"/>
      <c r="D8" s="13">
        <f t="shared" si="1"/>
        <v>0</v>
      </c>
      <c r="F8" s="218" t="s">
        <v>21</v>
      </c>
      <c r="G8" s="219" t="s">
        <v>119</v>
      </c>
      <c r="H8" s="220"/>
      <c r="I8" s="220"/>
      <c r="J8" s="221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5"/>
      <c r="B9" s="16" t="s">
        <v>23</v>
      </c>
      <c r="C9" s="10"/>
      <c r="D9" s="13">
        <f t="shared" si="1"/>
        <v>0</v>
      </c>
      <c r="F9" s="211"/>
      <c r="G9" s="222"/>
      <c r="H9" s="223"/>
      <c r="I9" s="223"/>
      <c r="J9" s="224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5"/>
      <c r="B10" t="s">
        <v>25</v>
      </c>
      <c r="C10" s="10"/>
      <c r="D10" s="13">
        <f t="shared" si="1"/>
        <v>0</v>
      </c>
      <c r="F10" s="210" t="s">
        <v>26</v>
      </c>
      <c r="G10" s="225" t="s">
        <v>134</v>
      </c>
      <c r="H10" s="226"/>
      <c r="I10" s="226"/>
      <c r="J10" s="227"/>
      <c r="K10" s="8"/>
      <c r="L10" s="6">
        <f>R36</f>
        <v>1032</v>
      </c>
      <c r="P10" s="4"/>
      <c r="Q10" s="4"/>
      <c r="R10" s="5"/>
    </row>
    <row r="11" spans="1:18" ht="15.75" x14ac:dyDescent="0.25">
      <c r="A11" s="145"/>
      <c r="B11" s="17" t="s">
        <v>28</v>
      </c>
      <c r="C11" s="10"/>
      <c r="D11" s="13">
        <f t="shared" si="1"/>
        <v>0</v>
      </c>
      <c r="F11" s="211"/>
      <c r="G11" s="222"/>
      <c r="H11" s="223"/>
      <c r="I11" s="223"/>
      <c r="J11" s="224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5"/>
      <c r="B12" s="17" t="s">
        <v>30</v>
      </c>
      <c r="C12" s="10"/>
      <c r="D12" s="48">
        <f t="shared" si="1"/>
        <v>0</v>
      </c>
      <c r="F12" s="228" t="s">
        <v>33</v>
      </c>
      <c r="G12" s="229"/>
      <c r="H12" s="229"/>
      <c r="I12" s="229"/>
      <c r="J12" s="230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5"/>
      <c r="B13" s="17" t="s">
        <v>32</v>
      </c>
      <c r="C13" s="10"/>
      <c r="D13" s="48">
        <f t="shared" si="1"/>
        <v>0</v>
      </c>
      <c r="F13" s="231" t="s">
        <v>36</v>
      </c>
      <c r="G13" s="195"/>
      <c r="H13" s="186">
        <f>D29</f>
        <v>0</v>
      </c>
      <c r="I13" s="187"/>
      <c r="J13" s="18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5"/>
      <c r="B14" s="14" t="s">
        <v>35</v>
      </c>
      <c r="C14" s="10"/>
      <c r="D14" s="31">
        <f t="shared" si="1"/>
        <v>0</v>
      </c>
      <c r="F14" s="189" t="s">
        <v>39</v>
      </c>
      <c r="G14" s="190"/>
      <c r="H14" s="191">
        <f>D54</f>
        <v>0</v>
      </c>
      <c r="I14" s="192"/>
      <c r="J14" s="19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5"/>
      <c r="B15" s="14" t="s">
        <v>38</v>
      </c>
      <c r="C15" s="10"/>
      <c r="D15" s="31">
        <f t="shared" si="1"/>
        <v>0</v>
      </c>
      <c r="F15" s="194" t="s">
        <v>40</v>
      </c>
      <c r="G15" s="195"/>
      <c r="H15" s="196">
        <f>H13-H14</f>
        <v>0</v>
      </c>
      <c r="I15" s="197"/>
      <c r="J15" s="19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6"/>
      <c r="I16" s="156"/>
      <c r="J16" s="156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5"/>
      <c r="B17" t="s">
        <v>113</v>
      </c>
      <c r="C17" s="10"/>
      <c r="D17" s="48">
        <f t="shared" si="1"/>
        <v>0</v>
      </c>
      <c r="F17" s="56"/>
      <c r="G17" s="66" t="s">
        <v>45</v>
      </c>
      <c r="H17" s="167"/>
      <c r="I17" s="167"/>
      <c r="J17" s="16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7"/>
      <c r="I18" s="167"/>
      <c r="J18" s="16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5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43"/>
      <c r="I19" s="243"/>
      <c r="J19" s="24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5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6"/>
      <c r="I20" s="156"/>
      <c r="J20" s="15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5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69" t="s">
        <v>13</v>
      </c>
      <c r="I21" s="170"/>
      <c r="J21" s="171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5"/>
      <c r="B22" s="46" t="s">
        <v>104</v>
      </c>
      <c r="C22" s="10"/>
      <c r="D22" s="48">
        <f t="shared" si="1"/>
        <v>0</v>
      </c>
      <c r="F22" s="77"/>
      <c r="G22" s="73"/>
      <c r="H22" s="172"/>
      <c r="I22" s="172"/>
      <c r="J22" s="172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5"/>
      <c r="B23" s="14" t="s">
        <v>107</v>
      </c>
      <c r="C23" s="10"/>
      <c r="D23" s="48">
        <f t="shared" si="1"/>
        <v>0</v>
      </c>
      <c r="F23" s="78"/>
      <c r="G23" s="79"/>
      <c r="H23" s="173"/>
      <c r="I23" s="142"/>
      <c r="J23" s="142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5"/>
      <c r="B24" s="14" t="s">
        <v>101</v>
      </c>
      <c r="C24" s="10"/>
      <c r="D24" s="48">
        <f t="shared" si="1"/>
        <v>0</v>
      </c>
      <c r="F24" s="38"/>
      <c r="G24" s="37"/>
      <c r="H24" s="173"/>
      <c r="I24" s="142"/>
      <c r="J24" s="142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5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74" t="s">
        <v>13</v>
      </c>
      <c r="I25" s="175"/>
      <c r="J25" s="17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5"/>
      <c r="B26" s="14" t="s">
        <v>105</v>
      </c>
      <c r="C26" s="10"/>
      <c r="D26" s="48">
        <f t="shared" si="1"/>
        <v>0</v>
      </c>
      <c r="F26" s="64"/>
      <c r="G26" s="59"/>
      <c r="H26" s="177"/>
      <c r="I26" s="178"/>
      <c r="J26" s="179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5"/>
      <c r="B27" s="14" t="s">
        <v>109</v>
      </c>
      <c r="C27" s="10"/>
      <c r="D27" s="44">
        <f t="shared" si="1"/>
        <v>0</v>
      </c>
      <c r="F27" s="25"/>
      <c r="G27" s="80"/>
      <c r="H27" s="180"/>
      <c r="I27" s="181"/>
      <c r="J27" s="18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6"/>
      <c r="B28" s="46" t="s">
        <v>97</v>
      </c>
      <c r="C28" s="10"/>
      <c r="D28" s="48">
        <f t="shared" si="1"/>
        <v>0</v>
      </c>
      <c r="F28" s="93"/>
      <c r="G28" s="61"/>
      <c r="H28" s="183"/>
      <c r="I28" s="184"/>
      <c r="J28" s="185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57" t="s">
        <v>36</v>
      </c>
      <c r="B29" s="158"/>
      <c r="C29" s="159"/>
      <c r="D29" s="163">
        <f>SUM(D6:D28)</f>
        <v>0</v>
      </c>
      <c r="F29" s="103" t="s">
        <v>55</v>
      </c>
      <c r="G29" s="165"/>
      <c r="H29" s="125">
        <f>H15-H16-H17-H18-H19-H20-H22-H23-H24+H26+H27</f>
        <v>0</v>
      </c>
      <c r="I29" s="126"/>
      <c r="J29" s="127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0"/>
      <c r="B30" s="161"/>
      <c r="C30" s="162"/>
      <c r="D30" s="164"/>
      <c r="F30" s="106"/>
      <c r="G30" s="166"/>
      <c r="H30" s="128"/>
      <c r="I30" s="129"/>
      <c r="J30" s="130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0" t="s">
        <v>58</v>
      </c>
      <c r="B32" s="151"/>
      <c r="C32" s="151"/>
      <c r="D32" s="152"/>
      <c r="F32" s="153" t="s">
        <v>59</v>
      </c>
      <c r="G32" s="154"/>
      <c r="H32" s="154"/>
      <c r="I32" s="154"/>
      <c r="J32" s="155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53" t="s">
        <v>13</v>
      </c>
      <c r="I33" s="154"/>
      <c r="J33" s="155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47">
        <f>F34*G34</f>
        <v>0</v>
      </c>
      <c r="I34" s="148"/>
      <c r="J34" s="149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5"/>
      <c r="B35" s="27" t="s">
        <v>68</v>
      </c>
      <c r="C35" s="52"/>
      <c r="D35" s="30">
        <f>C35*84</f>
        <v>0</v>
      </c>
      <c r="F35" s="58">
        <v>500</v>
      </c>
      <c r="G35" s="41"/>
      <c r="H35" s="147">
        <f>F35*G35</f>
        <v>0</v>
      </c>
      <c r="I35" s="148"/>
      <c r="J35" s="14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6"/>
      <c r="B36" s="26" t="s">
        <v>70</v>
      </c>
      <c r="C36" s="10"/>
      <c r="D36" s="12">
        <f>C36*1.5</f>
        <v>0</v>
      </c>
      <c r="F36" s="12">
        <v>200</v>
      </c>
      <c r="G36" s="37"/>
      <c r="H36" s="147">
        <f t="shared" ref="H36:H39" si="2">F36*G36</f>
        <v>0</v>
      </c>
      <c r="I36" s="148"/>
      <c r="J36" s="149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47">
        <f t="shared" si="2"/>
        <v>0</v>
      </c>
      <c r="I37" s="148"/>
      <c r="J37" s="149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5"/>
      <c r="B38" s="29" t="s">
        <v>68</v>
      </c>
      <c r="C38" s="54"/>
      <c r="D38" s="12">
        <f>C38*84</f>
        <v>0</v>
      </c>
      <c r="F38" s="30">
        <v>50</v>
      </c>
      <c r="G38" s="39"/>
      <c r="H38" s="147">
        <f t="shared" si="2"/>
        <v>0</v>
      </c>
      <c r="I38" s="148"/>
      <c r="J38" s="149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6"/>
      <c r="B39" s="29" t="s">
        <v>70</v>
      </c>
      <c r="C39" s="52"/>
      <c r="D39" s="31">
        <f>C39*4.5</f>
        <v>0</v>
      </c>
      <c r="F39" s="12">
        <v>20</v>
      </c>
      <c r="G39" s="37"/>
      <c r="H39" s="147">
        <f t="shared" si="2"/>
        <v>0</v>
      </c>
      <c r="I39" s="148"/>
      <c r="J39" s="14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47"/>
      <c r="I40" s="148"/>
      <c r="J40" s="149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5"/>
      <c r="B41" s="27" t="s">
        <v>68</v>
      </c>
      <c r="C41" s="10"/>
      <c r="D41" s="12">
        <f>C41*84</f>
        <v>0</v>
      </c>
      <c r="F41" s="12">
        <v>5</v>
      </c>
      <c r="G41" s="42"/>
      <c r="H41" s="147"/>
      <c r="I41" s="148"/>
      <c r="J41" s="149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6"/>
      <c r="B42" s="27" t="s">
        <v>70</v>
      </c>
      <c r="C42" s="11"/>
      <c r="D42" s="12">
        <f>C42*2.25</f>
        <v>0</v>
      </c>
      <c r="F42" s="39" t="s">
        <v>79</v>
      </c>
      <c r="G42" s="147"/>
      <c r="H42" s="148"/>
      <c r="I42" s="148"/>
      <c r="J42" s="149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17" t="s">
        <v>81</v>
      </c>
      <c r="C43" s="11"/>
      <c r="D43" s="12"/>
      <c r="F43" s="59" t="s">
        <v>82</v>
      </c>
      <c r="G43" s="90" t="s">
        <v>83</v>
      </c>
      <c r="H43" s="139" t="s">
        <v>13</v>
      </c>
      <c r="I43" s="140"/>
      <c r="J43" s="141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18"/>
      <c r="B44" s="27" t="s">
        <v>66</v>
      </c>
      <c r="C44" s="10"/>
      <c r="D44" s="12">
        <f>C44*120</f>
        <v>0</v>
      </c>
      <c r="F44" s="37"/>
      <c r="G44" s="76"/>
      <c r="H44" s="142"/>
      <c r="I44" s="142"/>
      <c r="J44" s="142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18"/>
      <c r="B45" s="27" t="s">
        <v>68</v>
      </c>
      <c r="C45" s="33"/>
      <c r="D45" s="12">
        <f>C45*84</f>
        <v>0</v>
      </c>
      <c r="F45" s="37"/>
      <c r="G45" s="76"/>
      <c r="H45" s="142"/>
      <c r="I45" s="142"/>
      <c r="J45" s="142"/>
      <c r="K45" s="21"/>
      <c r="P45" s="4"/>
      <c r="Q45" s="4"/>
      <c r="R45" s="5"/>
    </row>
    <row r="46" spans="1:18" ht="15.75" x14ac:dyDescent="0.25">
      <c r="A46" s="118"/>
      <c r="B46" s="49" t="s">
        <v>70</v>
      </c>
      <c r="C46" s="81"/>
      <c r="D46" s="12">
        <f>C46*1.5</f>
        <v>0</v>
      </c>
      <c r="F46" s="37"/>
      <c r="G46" s="62"/>
      <c r="H46" s="143"/>
      <c r="I46" s="143"/>
      <c r="J46" s="143"/>
      <c r="K46" s="21"/>
      <c r="P46" s="4"/>
      <c r="Q46" s="4"/>
      <c r="R46" s="5"/>
    </row>
    <row r="47" spans="1:18" ht="15.75" x14ac:dyDescent="0.25">
      <c r="A47" s="119"/>
      <c r="B47" s="27"/>
      <c r="C47" s="11"/>
      <c r="D47" s="12"/>
      <c r="F47" s="59"/>
      <c r="G47" s="59"/>
      <c r="H47" s="120"/>
      <c r="I47" s="121"/>
      <c r="J47" s="122"/>
      <c r="K47" s="21"/>
      <c r="P47" s="4"/>
      <c r="Q47" s="4"/>
      <c r="R47" s="5"/>
    </row>
    <row r="48" spans="1:18" ht="15" customHeight="1" x14ac:dyDescent="0.25">
      <c r="A48" s="117" t="s">
        <v>32</v>
      </c>
      <c r="B48" s="27" t="s">
        <v>66</v>
      </c>
      <c r="C48" s="10"/>
      <c r="D48" s="12">
        <f>C48*78</f>
        <v>0</v>
      </c>
      <c r="F48" s="59"/>
      <c r="G48" s="59"/>
      <c r="H48" s="120"/>
      <c r="I48" s="121"/>
      <c r="J48" s="122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18"/>
      <c r="B49" s="29" t="s">
        <v>68</v>
      </c>
      <c r="C49" s="33"/>
      <c r="D49" s="12">
        <f>C49*42</f>
        <v>0</v>
      </c>
      <c r="F49" s="123" t="s">
        <v>86</v>
      </c>
      <c r="G49" s="125">
        <f>H34+H35+H36+H37+H38+H39+H40+H41+G42+H44+H45+H46</f>
        <v>0</v>
      </c>
      <c r="H49" s="126"/>
      <c r="I49" s="126"/>
      <c r="J49" s="127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18"/>
      <c r="B50" s="32" t="s">
        <v>70</v>
      </c>
      <c r="C50" s="11"/>
      <c r="D50" s="12">
        <f>C50*1.5</f>
        <v>0</v>
      </c>
      <c r="F50" s="124"/>
      <c r="G50" s="128"/>
      <c r="H50" s="129"/>
      <c r="I50" s="129"/>
      <c r="J50" s="130"/>
      <c r="O50" t="s">
        <v>144</v>
      </c>
      <c r="P50" s="4">
        <v>1204</v>
      </c>
      <c r="Q50" s="4"/>
      <c r="R50" s="5"/>
    </row>
    <row r="51" spans="1:18" ht="15" customHeight="1" x14ac:dyDescent="0.25">
      <c r="A51" s="118"/>
      <c r="B51" s="27"/>
      <c r="C51" s="10"/>
      <c r="D51" s="31"/>
      <c r="F51" s="131" t="s">
        <v>139</v>
      </c>
      <c r="G51" s="232">
        <f>G49-H29</f>
        <v>0</v>
      </c>
      <c r="H51" s="233"/>
      <c r="I51" s="233"/>
      <c r="J51" s="23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18"/>
      <c r="B52" s="29"/>
      <c r="C52" s="33"/>
      <c r="D52" s="45"/>
      <c r="F52" s="132"/>
      <c r="G52" s="235"/>
      <c r="H52" s="236"/>
      <c r="I52" s="236"/>
      <c r="J52" s="23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1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03" t="s">
        <v>90</v>
      </c>
      <c r="B54" s="104"/>
      <c r="C54" s="105"/>
      <c r="D54" s="109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06"/>
      <c r="B55" s="107"/>
      <c r="C55" s="108"/>
      <c r="D55" s="110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11" t="s">
        <v>91</v>
      </c>
      <c r="B58" s="112"/>
      <c r="C58" s="112"/>
      <c r="D58" s="113"/>
      <c r="F58" s="111" t="s">
        <v>92</v>
      </c>
      <c r="G58" s="112"/>
      <c r="H58" s="112"/>
      <c r="I58" s="112"/>
      <c r="J58" s="113"/>
    </row>
    <row r="59" spans="1:18" x14ac:dyDescent="0.25">
      <c r="A59" s="114"/>
      <c r="B59" s="115"/>
      <c r="C59" s="115"/>
      <c r="D59" s="116"/>
      <c r="F59" s="114"/>
      <c r="G59" s="115"/>
      <c r="H59" s="115"/>
      <c r="I59" s="115"/>
      <c r="J59" s="116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41</vt:i4>
      </vt:variant>
    </vt:vector>
  </HeadingPairs>
  <TitlesOfParts>
    <vt:vector size="83" baseType="lpstr">
      <vt:lpstr>(January 2025)</vt:lpstr>
      <vt:lpstr>(01)</vt:lpstr>
      <vt:lpstr>01,01 R1</vt:lpstr>
      <vt:lpstr>01,01 R2</vt:lpstr>
      <vt:lpstr>01,01 R3</vt:lpstr>
      <vt:lpstr>(2)</vt:lpstr>
      <vt:lpstr>01,02 R1 NO TRIP</vt:lpstr>
      <vt:lpstr>01,02 R2 NO TRIP</vt:lpstr>
      <vt:lpstr>01,02 R3</vt:lpstr>
      <vt:lpstr>(3)</vt:lpstr>
      <vt:lpstr>01,03 R1</vt:lpstr>
      <vt:lpstr>01,03 R2 NO TRIP</vt:lpstr>
      <vt:lpstr>01,03 R3</vt:lpstr>
      <vt:lpstr>(5)</vt:lpstr>
      <vt:lpstr>01,05 R1</vt:lpstr>
      <vt:lpstr>01,05 R2</vt:lpstr>
      <vt:lpstr>01,05 R3</vt:lpstr>
      <vt:lpstr>(6)</vt:lpstr>
      <vt:lpstr>01,06 R1</vt:lpstr>
      <vt:lpstr>01,06 R2</vt:lpstr>
      <vt:lpstr>01,06 R3</vt:lpstr>
      <vt:lpstr>(7)</vt:lpstr>
      <vt:lpstr>01,07 R1</vt:lpstr>
      <vt:lpstr>01,07 R2</vt:lpstr>
      <vt:lpstr>01,07 R2B</vt:lpstr>
      <vt:lpstr>01,07 R3</vt:lpstr>
      <vt:lpstr>(8)</vt:lpstr>
      <vt:lpstr>01,08 R1</vt:lpstr>
      <vt:lpstr>01,08 R2</vt:lpstr>
      <vt:lpstr>01,08 R3</vt:lpstr>
      <vt:lpstr>(9)</vt:lpstr>
      <vt:lpstr>01,09 R1</vt:lpstr>
      <vt:lpstr>01,09 R2</vt:lpstr>
      <vt:lpstr>01,09 R3</vt:lpstr>
      <vt:lpstr>(10)</vt:lpstr>
      <vt:lpstr>01,10 R1</vt:lpstr>
      <vt:lpstr>01,10 R2</vt:lpstr>
      <vt:lpstr>01,10 R3</vt:lpstr>
      <vt:lpstr>(12)</vt:lpstr>
      <vt:lpstr>01,12 R1</vt:lpstr>
      <vt:lpstr>01,12 R2</vt:lpstr>
      <vt:lpstr>01,12 R3</vt:lpstr>
      <vt:lpstr>'(01)'!Print_Area</vt:lpstr>
      <vt:lpstr>'(10)'!Print_Area</vt:lpstr>
      <vt:lpstr>'(12)'!Print_Area</vt:lpstr>
      <vt:lpstr>'(2)'!Print_Area</vt:lpstr>
      <vt:lpstr>'(3)'!Print_Area</vt:lpstr>
      <vt:lpstr>'(5)'!Print_Area</vt:lpstr>
      <vt:lpstr>'(6)'!Print_Area</vt:lpstr>
      <vt:lpstr>'(7)'!Print_Area</vt:lpstr>
      <vt:lpstr>'(8)'!Print_Area</vt:lpstr>
      <vt:lpstr>'(9)'!Print_Area</vt:lpstr>
      <vt:lpstr>'01,01 R1'!Print_Area</vt:lpstr>
      <vt:lpstr>'01,01 R2'!Print_Area</vt:lpstr>
      <vt:lpstr>'01,01 R3'!Print_Area</vt:lpstr>
      <vt:lpstr>'01,02 R1 NO TRIP'!Print_Area</vt:lpstr>
      <vt:lpstr>'01,02 R2 NO TRIP'!Print_Area</vt:lpstr>
      <vt:lpstr>'01,02 R3'!Print_Area</vt:lpstr>
      <vt:lpstr>'01,03 R1'!Print_Area</vt:lpstr>
      <vt:lpstr>'01,03 R2 NO TRIP'!Print_Area</vt:lpstr>
      <vt:lpstr>'01,03 R3'!Print_Area</vt:lpstr>
      <vt:lpstr>'01,05 R1'!Print_Area</vt:lpstr>
      <vt:lpstr>'01,05 R2'!Print_Area</vt:lpstr>
      <vt:lpstr>'01,05 R3'!Print_Area</vt:lpstr>
      <vt:lpstr>'01,06 R1'!Print_Area</vt:lpstr>
      <vt:lpstr>'01,06 R2'!Print_Area</vt:lpstr>
      <vt:lpstr>'01,06 R3'!Print_Area</vt:lpstr>
      <vt:lpstr>'01,07 R1'!Print_Area</vt:lpstr>
      <vt:lpstr>'01,07 R2'!Print_Area</vt:lpstr>
      <vt:lpstr>'01,07 R2B'!Print_Area</vt:lpstr>
      <vt:lpstr>'01,07 R3'!Print_Area</vt:lpstr>
      <vt:lpstr>'01,08 R1'!Print_Area</vt:lpstr>
      <vt:lpstr>'01,08 R2'!Print_Area</vt:lpstr>
      <vt:lpstr>'01,08 R3'!Print_Area</vt:lpstr>
      <vt:lpstr>'01,09 R1'!Print_Area</vt:lpstr>
      <vt:lpstr>'01,09 R2'!Print_Area</vt:lpstr>
      <vt:lpstr>'01,09 R3'!Print_Area</vt:lpstr>
      <vt:lpstr>'01,10 R1'!Print_Area</vt:lpstr>
      <vt:lpstr>'01,10 R2'!Print_Area</vt:lpstr>
      <vt:lpstr>'01,10 R3'!Print_Area</vt:lpstr>
      <vt:lpstr>'01,12 R1'!Print_Area</vt:lpstr>
      <vt:lpstr>'01,12 R2'!Print_Area</vt:lpstr>
      <vt:lpstr>'01,12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2026-01-09T01:12:32Z</cp:lastPrinted>
  <dcterms:created xsi:type="dcterms:W3CDTF">2024-09-01T23:36:50Z</dcterms:created>
  <dcterms:modified xsi:type="dcterms:W3CDTF">2026-01-09T01:15:06Z</dcterms:modified>
</cp:coreProperties>
</file>