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JANUARY FILES 2026\"/>
    </mc:Choice>
  </mc:AlternateContent>
  <xr:revisionPtr revIDLastSave="0" documentId="13_ncr:1_{04869CDC-DE68-4370-AFCA-ED0C1B7360CF}" xr6:coauthVersionLast="45" xr6:coauthVersionMax="47" xr10:uidLastSave="{00000000-0000-0000-0000-000000000000}"/>
  <bookViews>
    <workbookView xWindow="-120" yWindow="-120" windowWidth="29040" windowHeight="15840" firstSheet="62" activeTab="71" xr2:uid="{00000000-000D-0000-FFFF-FFFF00000000}"/>
  </bookViews>
  <sheets>
    <sheet name="(January 2025)" sheetId="814" r:id="rId1"/>
    <sheet name="(01)" sheetId="1617" r:id="rId2"/>
    <sheet name="01,01 R1" sheetId="1618" r:id="rId3"/>
    <sheet name="01,01 R2" sheetId="1619" r:id="rId4"/>
    <sheet name="01,01 R3" sheetId="1620" r:id="rId5"/>
    <sheet name="(2)" sheetId="1645" r:id="rId6"/>
    <sheet name="01,02 R1 NO TRIP" sheetId="1646" r:id="rId7"/>
    <sheet name="01,02 R2 NO TRIP" sheetId="1647" r:id="rId8"/>
    <sheet name="01,02 R3" sheetId="1648" r:id="rId9"/>
    <sheet name="(3)" sheetId="1649" r:id="rId10"/>
    <sheet name="01,03 R1" sheetId="1650" r:id="rId11"/>
    <sheet name="01,03 R2 NO TRIP" sheetId="1651" r:id="rId12"/>
    <sheet name="01,03 R3" sheetId="1652" r:id="rId13"/>
    <sheet name="(5)" sheetId="1653" r:id="rId14"/>
    <sheet name="01,05 R1" sheetId="1654" r:id="rId15"/>
    <sheet name="01,05 R2" sheetId="1655" r:id="rId16"/>
    <sheet name="01,05 R3" sheetId="1656" r:id="rId17"/>
    <sheet name="(6)" sheetId="1657" r:id="rId18"/>
    <sheet name="01,06 R1" sheetId="1658" r:id="rId19"/>
    <sheet name="01,06 R2" sheetId="1659" r:id="rId20"/>
    <sheet name="01,06 R3" sheetId="1660" r:id="rId21"/>
    <sheet name="(7)" sheetId="1661" r:id="rId22"/>
    <sheet name="01,07 R1" sheetId="1662" r:id="rId23"/>
    <sheet name="01,07 R2" sheetId="1663" r:id="rId24"/>
    <sheet name="01,07 R2B" sheetId="1681" r:id="rId25"/>
    <sheet name="01,07 R3" sheetId="1664" r:id="rId26"/>
    <sheet name="(8)" sheetId="1665" r:id="rId27"/>
    <sheet name="01,08 R1" sheetId="1666" r:id="rId28"/>
    <sheet name="01,08 R2" sheetId="1667" r:id="rId29"/>
    <sheet name="01,08 R3" sheetId="1668" r:id="rId30"/>
    <sheet name="(9)" sheetId="1669" r:id="rId31"/>
    <sheet name="01,09 R1" sheetId="1670" r:id="rId32"/>
    <sheet name="01,09 R2" sheetId="1671" r:id="rId33"/>
    <sheet name="01,09 R3" sheetId="1672" r:id="rId34"/>
    <sheet name="(10)" sheetId="1673" r:id="rId35"/>
    <sheet name="01,10 R1" sheetId="1674" r:id="rId36"/>
    <sheet name="01,10 R2" sheetId="1675" r:id="rId37"/>
    <sheet name="01,10 R3" sheetId="1676" r:id="rId38"/>
    <sheet name="(12)" sheetId="1677" r:id="rId39"/>
    <sheet name="01,12 R1" sheetId="1678" r:id="rId40"/>
    <sheet name="01,12 R2" sheetId="1679" r:id="rId41"/>
    <sheet name="01,12 R3" sheetId="1680" r:id="rId42"/>
    <sheet name="(13)" sheetId="1682" r:id="rId43"/>
    <sheet name="01,13 R1" sheetId="1683" r:id="rId44"/>
    <sheet name="01,13 R2" sheetId="1684" r:id="rId45"/>
    <sheet name="01,13 R3" sheetId="1685" r:id="rId46"/>
    <sheet name="(14)" sheetId="1686" r:id="rId47"/>
    <sheet name="01,14 R1 NO TRIP" sheetId="1687" r:id="rId48"/>
    <sheet name="01,14 R2" sheetId="1688" r:id="rId49"/>
    <sheet name="01,14 R3" sheetId="1689" r:id="rId50"/>
    <sheet name="(15)" sheetId="1690" r:id="rId51"/>
    <sheet name="01,15 R1" sheetId="1691" r:id="rId52"/>
    <sheet name="01,15 R2" sheetId="1692" r:id="rId53"/>
    <sheet name="01,15 R3" sheetId="1693" r:id="rId54"/>
    <sheet name="(16)" sheetId="1694" r:id="rId55"/>
    <sheet name="01,16 R1" sheetId="1695" r:id="rId56"/>
    <sheet name="01,16 R2" sheetId="1696" r:id="rId57"/>
    <sheet name="01,16 R3" sheetId="1697" r:id="rId58"/>
    <sheet name="(17)" sheetId="1698" r:id="rId59"/>
    <sheet name="01,17 R1" sheetId="1699" r:id="rId60"/>
    <sheet name="01,17 R2" sheetId="1700" r:id="rId61"/>
    <sheet name="01,17 R3" sheetId="1701" r:id="rId62"/>
    <sheet name="(19)" sheetId="1702" r:id="rId63"/>
    <sheet name="01,19 R1" sheetId="1703" r:id="rId64"/>
    <sheet name="01,19 R2" sheetId="1704" r:id="rId65"/>
    <sheet name="01,19 R3" sheetId="1705" r:id="rId66"/>
    <sheet name="(20)" sheetId="1706" r:id="rId67"/>
    <sheet name="01,20 R1" sheetId="1707" r:id="rId68"/>
    <sheet name="01,20 R2" sheetId="1708" r:id="rId69"/>
    <sheet name="01,20 R3" sheetId="1709" r:id="rId70"/>
    <sheet name="(21)" sheetId="1710" r:id="rId71"/>
    <sheet name="01,21 R1" sheetId="1711" r:id="rId72"/>
    <sheet name="01,21 R2" sheetId="1712" r:id="rId73"/>
    <sheet name="01,21 R3" sheetId="1713" r:id="rId74"/>
    <sheet name="(22)" sheetId="1714" r:id="rId75"/>
    <sheet name="01,22 R1" sheetId="1715" r:id="rId76"/>
    <sheet name="01,22 R2" sheetId="1716" r:id="rId77"/>
    <sheet name="01,22 R3" sheetId="1717" r:id="rId78"/>
    <sheet name="(23)" sheetId="1718" r:id="rId79"/>
    <sheet name="01,23 R1" sheetId="1719" r:id="rId80"/>
    <sheet name="01,23 R2" sheetId="1720" r:id="rId81"/>
    <sheet name="01,23 R3" sheetId="1721" r:id="rId82"/>
    <sheet name="(24)" sheetId="1722" r:id="rId83"/>
    <sheet name="01,24 R1" sheetId="1723" r:id="rId84"/>
    <sheet name="01,24 R2" sheetId="1724" r:id="rId85"/>
    <sheet name="01,24 R3" sheetId="1725" r:id="rId86"/>
    <sheet name="(26)" sheetId="1726" r:id="rId87"/>
    <sheet name="01,26 R1" sheetId="1727" r:id="rId88"/>
    <sheet name="01,26 R2" sheetId="1728" r:id="rId89"/>
    <sheet name="01,26 R3" sheetId="1729" r:id="rId90"/>
  </sheets>
  <definedNames>
    <definedName name="_xlnm.Print_Area" localSheetId="1">'(01)'!$A$1:$J$60</definedName>
    <definedName name="_xlnm.Print_Area" localSheetId="34">'(10)'!$A$1:$J$60</definedName>
    <definedName name="_xlnm.Print_Area" localSheetId="38">'(12)'!$A$1:$J$60</definedName>
    <definedName name="_xlnm.Print_Area" localSheetId="42">'(13)'!$A$1:$J$60</definedName>
    <definedName name="_xlnm.Print_Area" localSheetId="46">'(14)'!$A$1:$J$60</definedName>
    <definedName name="_xlnm.Print_Area" localSheetId="50">'(15)'!$A$1:$J$60</definedName>
    <definedName name="_xlnm.Print_Area" localSheetId="54">'(16)'!$A$1:$J$60</definedName>
    <definedName name="_xlnm.Print_Area" localSheetId="58">'(17)'!$A$1:$J$60</definedName>
    <definedName name="_xlnm.Print_Area" localSheetId="62">'(19)'!$A$1:$J$60</definedName>
    <definedName name="_xlnm.Print_Area" localSheetId="5">'(2)'!$A$1:$J$60</definedName>
    <definedName name="_xlnm.Print_Area" localSheetId="66">'(20)'!$A$1:$J$60</definedName>
    <definedName name="_xlnm.Print_Area" localSheetId="70">'(21)'!$A$1:$J$60</definedName>
    <definedName name="_xlnm.Print_Area" localSheetId="74">'(22)'!$A$1:$J$60</definedName>
    <definedName name="_xlnm.Print_Area" localSheetId="78">'(23)'!$A$1:$J$60</definedName>
    <definedName name="_xlnm.Print_Area" localSheetId="82">'(24)'!$A$1:$J$60</definedName>
    <definedName name="_xlnm.Print_Area" localSheetId="86">'(26)'!$A$1:$J$60</definedName>
    <definedName name="_xlnm.Print_Area" localSheetId="9">'(3)'!$A$1:$J$60</definedName>
    <definedName name="_xlnm.Print_Area" localSheetId="13">'(5)'!$A$1:$J$60</definedName>
    <definedName name="_xlnm.Print_Area" localSheetId="17">'(6)'!$A$1:$J$60</definedName>
    <definedName name="_xlnm.Print_Area" localSheetId="21">'(7)'!$A$1:$J$60</definedName>
    <definedName name="_xlnm.Print_Area" localSheetId="26">'(8)'!$A$1:$J$60</definedName>
    <definedName name="_xlnm.Print_Area" localSheetId="30">'(9)'!$A$1:$J$60</definedName>
    <definedName name="_xlnm.Print_Area" localSheetId="2">'01,01 R1'!$A$1:$J$60</definedName>
    <definedName name="_xlnm.Print_Area" localSheetId="3">'01,01 R2'!$A$1:$J$60</definedName>
    <definedName name="_xlnm.Print_Area" localSheetId="4">'01,01 R3'!$A$1:$J$60</definedName>
    <definedName name="_xlnm.Print_Area" localSheetId="6">'01,02 R1 NO TRIP'!$A$1:$J$60</definedName>
    <definedName name="_xlnm.Print_Area" localSheetId="7">'01,02 R2 NO TRIP'!$A$1:$J$60</definedName>
    <definedName name="_xlnm.Print_Area" localSheetId="8">'01,02 R3'!$A$1:$J$60</definedName>
    <definedName name="_xlnm.Print_Area" localSheetId="10">'01,03 R1'!$A$1:$J$60</definedName>
    <definedName name="_xlnm.Print_Area" localSheetId="11">'01,03 R2 NO TRIP'!$A$1:$J$60</definedName>
    <definedName name="_xlnm.Print_Area" localSheetId="12">'01,03 R3'!$A$1:$J$60</definedName>
    <definedName name="_xlnm.Print_Area" localSheetId="14">'01,05 R1'!$A$1:$J$60</definedName>
    <definedName name="_xlnm.Print_Area" localSheetId="15">'01,05 R2'!$A$1:$J$60</definedName>
    <definedName name="_xlnm.Print_Area" localSheetId="16">'01,05 R3'!$A$1:$J$60</definedName>
    <definedName name="_xlnm.Print_Area" localSheetId="18">'01,06 R1'!$A$1:$J$60</definedName>
    <definedName name="_xlnm.Print_Area" localSheetId="19">'01,06 R2'!$A$1:$J$60</definedName>
    <definedName name="_xlnm.Print_Area" localSheetId="20">'01,06 R3'!$A$1:$J$60</definedName>
    <definedName name="_xlnm.Print_Area" localSheetId="22">'01,07 R1'!$A$1:$J$60</definedName>
    <definedName name="_xlnm.Print_Area" localSheetId="23">'01,07 R2'!$A$1:$J$60</definedName>
    <definedName name="_xlnm.Print_Area" localSheetId="24">'01,07 R2B'!$A$1:$J$60</definedName>
    <definedName name="_xlnm.Print_Area" localSheetId="25">'01,07 R3'!$A$1:$J$60</definedName>
    <definedName name="_xlnm.Print_Area" localSheetId="27">'01,08 R1'!$A$1:$J$60</definedName>
    <definedName name="_xlnm.Print_Area" localSheetId="28">'01,08 R2'!$A$1:$J$60</definedName>
    <definedName name="_xlnm.Print_Area" localSheetId="29">'01,08 R3'!$A$1:$J$60</definedName>
    <definedName name="_xlnm.Print_Area" localSheetId="31">'01,09 R1'!$A$1:$J$60</definedName>
    <definedName name="_xlnm.Print_Area" localSheetId="32">'01,09 R2'!$A$1:$J$60</definedName>
    <definedName name="_xlnm.Print_Area" localSheetId="33">'01,09 R3'!$A$1:$J$60</definedName>
    <definedName name="_xlnm.Print_Area" localSheetId="35">'01,10 R1'!$A$1:$J$60</definedName>
    <definedName name="_xlnm.Print_Area" localSheetId="36">'01,10 R2'!$A$1:$J$60</definedName>
    <definedName name="_xlnm.Print_Area" localSheetId="37">'01,10 R3'!$A$1:$J$60</definedName>
    <definedName name="_xlnm.Print_Area" localSheetId="39">'01,12 R1'!$A$1:$J$60</definedName>
    <definedName name="_xlnm.Print_Area" localSheetId="40">'01,12 R2'!$A$1:$J$60</definedName>
    <definedName name="_xlnm.Print_Area" localSheetId="41">'01,12 R3'!$A$1:$J$60</definedName>
    <definedName name="_xlnm.Print_Area" localSheetId="43">'01,13 R1'!$A$1:$J$60</definedName>
    <definedName name="_xlnm.Print_Area" localSheetId="44">'01,13 R2'!$A$1:$J$60</definedName>
    <definedName name="_xlnm.Print_Area" localSheetId="45">'01,13 R3'!$A$1:$J$60</definedName>
    <definedName name="_xlnm.Print_Area" localSheetId="47">'01,14 R1 NO TRIP'!$A$1:$J$60</definedName>
    <definedName name="_xlnm.Print_Area" localSheetId="48">'01,14 R2'!$A$1:$J$60</definedName>
    <definedName name="_xlnm.Print_Area" localSheetId="49">'01,14 R3'!$A$1:$J$60</definedName>
    <definedName name="_xlnm.Print_Area" localSheetId="51">'01,15 R1'!$A$1:$J$60</definedName>
    <definedName name="_xlnm.Print_Area" localSheetId="52">'01,15 R2'!$A$1:$J$60</definedName>
    <definedName name="_xlnm.Print_Area" localSheetId="53">'01,15 R3'!$A$1:$J$60</definedName>
    <definedName name="_xlnm.Print_Area" localSheetId="55">'01,16 R1'!$A$1:$J$60</definedName>
    <definedName name="_xlnm.Print_Area" localSheetId="56">'01,16 R2'!$A$1:$J$60</definedName>
    <definedName name="_xlnm.Print_Area" localSheetId="57">'01,16 R3'!$A$1:$J$60</definedName>
    <definedName name="_xlnm.Print_Area" localSheetId="59">'01,17 R1'!$A$1:$J$60</definedName>
    <definedName name="_xlnm.Print_Area" localSheetId="60">'01,17 R2'!$A$1:$J$60</definedName>
    <definedName name="_xlnm.Print_Area" localSheetId="61">'01,17 R3'!$A$1:$J$60</definedName>
    <definedName name="_xlnm.Print_Area" localSheetId="63">'01,19 R1'!$A$1:$J$60</definedName>
    <definedName name="_xlnm.Print_Area" localSheetId="64">'01,19 R2'!$A$1:$J$60</definedName>
    <definedName name="_xlnm.Print_Area" localSheetId="65">'01,19 R3'!$A$1:$J$60</definedName>
    <definedName name="_xlnm.Print_Area" localSheetId="67">'01,20 R1'!$A$1:$J$60</definedName>
    <definedName name="_xlnm.Print_Area" localSheetId="68">'01,20 R2'!$A$1:$J$60</definedName>
    <definedName name="_xlnm.Print_Area" localSheetId="69">'01,20 R3'!$A$1:$J$60</definedName>
    <definedName name="_xlnm.Print_Area" localSheetId="71">'01,21 R1'!$A$1:$J$60</definedName>
    <definedName name="_xlnm.Print_Area" localSheetId="72">'01,21 R2'!$A$1:$J$60</definedName>
    <definedName name="_xlnm.Print_Area" localSheetId="73">'01,21 R3'!$A$1:$J$60</definedName>
    <definedName name="_xlnm.Print_Area" localSheetId="75">'01,22 R1'!$A$1:$J$60</definedName>
    <definedName name="_xlnm.Print_Area" localSheetId="76">'01,22 R2'!$A$1:$J$60</definedName>
    <definedName name="_xlnm.Print_Area" localSheetId="77">'01,22 R3'!$A$1:$J$60</definedName>
    <definedName name="_xlnm.Print_Area" localSheetId="79">'01,23 R1'!$A$1:$J$60</definedName>
    <definedName name="_xlnm.Print_Area" localSheetId="80">'01,23 R2'!$A$1:$J$60</definedName>
    <definedName name="_xlnm.Print_Area" localSheetId="81">'01,23 R3'!$A$1:$J$60</definedName>
    <definedName name="_xlnm.Print_Area" localSheetId="83">'01,24 R1'!$A$1:$J$60</definedName>
    <definedName name="_xlnm.Print_Area" localSheetId="84">'01,24 R2'!$A$1:$J$60</definedName>
    <definedName name="_xlnm.Print_Area" localSheetId="85">'01,24 R3'!$A$1:$J$60</definedName>
    <definedName name="_xlnm.Print_Area" localSheetId="87">'01,26 R1'!$A$1:$J$60</definedName>
    <definedName name="_xlnm.Print_Area" localSheetId="88">'01,26 R2'!$A$1:$J$60</definedName>
    <definedName name="_xlnm.Print_Area" localSheetId="89">'01,26 R3'!$A$1:$J$60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0" i="1711" l="1"/>
  <c r="C15" i="1711"/>
  <c r="H16" i="1713" l="1"/>
  <c r="H16" i="1712"/>
  <c r="H16" i="1711"/>
  <c r="H16" i="1709" l="1"/>
  <c r="H16" i="1708"/>
  <c r="H16" i="1707"/>
  <c r="C37" i="1709" l="1"/>
  <c r="C6" i="1708"/>
  <c r="C15" i="1707"/>
  <c r="H16" i="1705" l="1"/>
  <c r="H16" i="1704"/>
  <c r="L24" i="1705"/>
  <c r="L25" i="1705"/>
  <c r="C20" i="1703"/>
  <c r="C19" i="1703"/>
  <c r="C12" i="1703"/>
  <c r="C17" i="1703"/>
  <c r="C26" i="1703"/>
  <c r="L26" i="1703"/>
  <c r="C21" i="1703" l="1"/>
  <c r="C15" i="1703"/>
  <c r="H16" i="1701" l="1"/>
  <c r="R52" i="1729" l="1"/>
  <c r="R51" i="1729"/>
  <c r="D50" i="1729"/>
  <c r="R49" i="1729"/>
  <c r="D49" i="1729"/>
  <c r="R48" i="1729"/>
  <c r="D48" i="1729"/>
  <c r="D46" i="1729"/>
  <c r="D45" i="1729"/>
  <c r="R44" i="1729"/>
  <c r="D44" i="1729"/>
  <c r="R42" i="1729"/>
  <c r="L6" i="1729" s="1"/>
  <c r="D6" i="1729" s="1"/>
  <c r="D42" i="1729"/>
  <c r="R41" i="1729"/>
  <c r="D41" i="1729"/>
  <c r="R40" i="1729"/>
  <c r="D40" i="1729"/>
  <c r="R39" i="1729"/>
  <c r="H39" i="1729"/>
  <c r="D39" i="1729"/>
  <c r="R38" i="1729"/>
  <c r="L9" i="1729" s="1"/>
  <c r="D9" i="1729" s="1"/>
  <c r="H38" i="1729"/>
  <c r="D38" i="1729"/>
  <c r="R37" i="1729"/>
  <c r="H37" i="1729"/>
  <c r="D37" i="1729"/>
  <c r="R36" i="1729"/>
  <c r="H36" i="1729"/>
  <c r="G49" i="1729" s="1"/>
  <c r="D36" i="1729"/>
  <c r="R35" i="1729"/>
  <c r="H35" i="1729"/>
  <c r="D35" i="1729"/>
  <c r="R34" i="1729"/>
  <c r="L12" i="1729" s="1"/>
  <c r="D12" i="1729" s="1"/>
  <c r="H34" i="1729"/>
  <c r="D34" i="1729"/>
  <c r="D54" i="1729" s="1"/>
  <c r="H14" i="1729" s="1"/>
  <c r="R33" i="1729"/>
  <c r="R32" i="1729"/>
  <c r="R31" i="1729"/>
  <c r="R30" i="1729"/>
  <c r="R29" i="1729"/>
  <c r="R28" i="1729"/>
  <c r="L28" i="1729"/>
  <c r="D28" i="1729"/>
  <c r="R27" i="1729"/>
  <c r="D27" i="1729"/>
  <c r="R26" i="1729"/>
  <c r="L26" i="1729"/>
  <c r="D26" i="1729" s="1"/>
  <c r="R25" i="1729"/>
  <c r="L25" i="1729"/>
  <c r="D25" i="1729" s="1"/>
  <c r="R24" i="1729"/>
  <c r="D24" i="1729"/>
  <c r="R23" i="1729"/>
  <c r="L23" i="1729"/>
  <c r="D23" i="1729" s="1"/>
  <c r="R22" i="1729"/>
  <c r="L22" i="1729"/>
  <c r="D22" i="1729"/>
  <c r="R21" i="1729"/>
  <c r="D21" i="1729"/>
  <c r="R20" i="1729"/>
  <c r="L20" i="1729"/>
  <c r="D20" i="1729" s="1"/>
  <c r="R19" i="1729"/>
  <c r="L19" i="1729"/>
  <c r="D19" i="1729" s="1"/>
  <c r="R18" i="1729"/>
  <c r="D18" i="1729"/>
  <c r="R17" i="1729"/>
  <c r="D17" i="1729"/>
  <c r="R16" i="1729"/>
  <c r="L16" i="1729"/>
  <c r="D16" i="1729"/>
  <c r="R15" i="1729"/>
  <c r="D15" i="1729"/>
  <c r="R14" i="1729"/>
  <c r="D14" i="1729"/>
  <c r="R13" i="1729"/>
  <c r="D13" i="1729"/>
  <c r="R12" i="1729"/>
  <c r="R11" i="1729"/>
  <c r="L11" i="1729"/>
  <c r="D11" i="1729"/>
  <c r="L10" i="1729"/>
  <c r="D10" i="1729"/>
  <c r="L8" i="1729"/>
  <c r="D8" i="1729"/>
  <c r="L7" i="1729"/>
  <c r="D7" i="1729"/>
  <c r="R6" i="1729"/>
  <c r="R5" i="1729"/>
  <c r="R4" i="1729"/>
  <c r="R52" i="1728"/>
  <c r="R51" i="1728"/>
  <c r="D50" i="1728"/>
  <c r="R49" i="1728"/>
  <c r="D49" i="1728"/>
  <c r="R48" i="1728"/>
  <c r="D48" i="1728"/>
  <c r="D46" i="1728"/>
  <c r="D45" i="1728"/>
  <c r="R44" i="1728"/>
  <c r="L28" i="1728" s="1"/>
  <c r="D28" i="1728" s="1"/>
  <c r="D44" i="1728"/>
  <c r="R42" i="1728"/>
  <c r="D42" i="1728"/>
  <c r="R41" i="1728"/>
  <c r="D41" i="1728"/>
  <c r="R40" i="1728"/>
  <c r="D40" i="1728"/>
  <c r="R39" i="1728"/>
  <c r="H39" i="1728"/>
  <c r="D39" i="1728"/>
  <c r="R38" i="1728"/>
  <c r="H38" i="1728"/>
  <c r="D38" i="1728"/>
  <c r="R37" i="1728"/>
  <c r="H37" i="1728"/>
  <c r="D37" i="1728"/>
  <c r="R36" i="1728"/>
  <c r="L10" i="1728" s="1"/>
  <c r="D10" i="1728" s="1"/>
  <c r="H36" i="1728"/>
  <c r="D36" i="1728"/>
  <c r="R35" i="1728"/>
  <c r="H35" i="1728"/>
  <c r="D35" i="1728"/>
  <c r="R34" i="1728"/>
  <c r="L12" i="1728" s="1"/>
  <c r="D12" i="1728" s="1"/>
  <c r="H34" i="1728"/>
  <c r="G49" i="1728" s="1"/>
  <c r="D34" i="1728"/>
  <c r="D54" i="1728" s="1"/>
  <c r="H14" i="1728" s="1"/>
  <c r="R33" i="1728"/>
  <c r="R32" i="1728"/>
  <c r="R31" i="1728"/>
  <c r="R30" i="1728"/>
  <c r="R29" i="1728"/>
  <c r="R28" i="1728"/>
  <c r="L16" i="1728" s="1"/>
  <c r="D16" i="1728" s="1"/>
  <c r="R27" i="1728"/>
  <c r="D27" i="1728"/>
  <c r="R26" i="1728"/>
  <c r="L26" i="1728"/>
  <c r="D26" i="1728"/>
  <c r="R25" i="1728"/>
  <c r="L25" i="1728"/>
  <c r="D25" i="1728"/>
  <c r="R24" i="1728"/>
  <c r="L24" i="1728"/>
  <c r="D24" i="1728" s="1"/>
  <c r="R23" i="1728"/>
  <c r="L23" i="1728"/>
  <c r="D23" i="1728" s="1"/>
  <c r="R22" i="1728"/>
  <c r="L22" i="1728"/>
  <c r="D22" i="1728" s="1"/>
  <c r="R21" i="1728"/>
  <c r="D21" i="1728"/>
  <c r="R20" i="1728"/>
  <c r="L20" i="1728"/>
  <c r="D20" i="1728" s="1"/>
  <c r="R19" i="1728"/>
  <c r="L19" i="1728"/>
  <c r="D19" i="1728"/>
  <c r="R18" i="1728"/>
  <c r="D18" i="1728"/>
  <c r="R17" i="1728"/>
  <c r="L17" i="1728"/>
  <c r="D17" i="1728" s="1"/>
  <c r="R16" i="1728"/>
  <c r="R15" i="1728"/>
  <c r="D15" i="1728"/>
  <c r="R14" i="1728"/>
  <c r="D14" i="1728"/>
  <c r="R13" i="1728"/>
  <c r="D13" i="1728"/>
  <c r="R12" i="1728"/>
  <c r="R11" i="1728"/>
  <c r="L11" i="1728"/>
  <c r="D11" i="1728"/>
  <c r="L9" i="1728"/>
  <c r="D9" i="1728"/>
  <c r="L8" i="1728"/>
  <c r="D8" i="1728" s="1"/>
  <c r="L7" i="1728"/>
  <c r="D7" i="1728"/>
  <c r="R6" i="1728"/>
  <c r="L6" i="1728"/>
  <c r="D6" i="1728" s="1"/>
  <c r="R5" i="1728"/>
  <c r="R4" i="1728"/>
  <c r="R52" i="1727"/>
  <c r="R51" i="1727"/>
  <c r="D50" i="1727"/>
  <c r="R49" i="1727"/>
  <c r="D49" i="1727"/>
  <c r="R48" i="1727"/>
  <c r="D48" i="1727"/>
  <c r="D46" i="1727"/>
  <c r="D45" i="1727"/>
  <c r="R44" i="1727"/>
  <c r="D44" i="1727"/>
  <c r="R42" i="1727"/>
  <c r="L6" i="1727" s="1"/>
  <c r="D6" i="1727" s="1"/>
  <c r="D42" i="1727"/>
  <c r="R41" i="1727"/>
  <c r="D41" i="1727"/>
  <c r="R40" i="1727"/>
  <c r="D40" i="1727"/>
  <c r="R39" i="1727"/>
  <c r="H39" i="1727"/>
  <c r="D39" i="1727"/>
  <c r="R38" i="1727"/>
  <c r="H38" i="1727"/>
  <c r="D38" i="1727"/>
  <c r="D54" i="1727" s="1"/>
  <c r="H14" i="1727" s="1"/>
  <c r="R37" i="1727"/>
  <c r="H37" i="1727"/>
  <c r="D37" i="1727"/>
  <c r="R36" i="1727"/>
  <c r="H36" i="1727"/>
  <c r="D36" i="1727"/>
  <c r="R35" i="1727"/>
  <c r="H35" i="1727"/>
  <c r="D35" i="1727"/>
  <c r="R34" i="1727"/>
  <c r="L12" i="1727" s="1"/>
  <c r="D12" i="1727" s="1"/>
  <c r="H34" i="1727"/>
  <c r="G49" i="1727" s="1"/>
  <c r="D34" i="1727"/>
  <c r="R33" i="1727"/>
  <c r="R32" i="1727"/>
  <c r="R31" i="1727"/>
  <c r="R30" i="1727"/>
  <c r="R29" i="1727"/>
  <c r="R28" i="1727"/>
  <c r="L16" i="1727" s="1"/>
  <c r="D16" i="1727" s="1"/>
  <c r="L28" i="1727"/>
  <c r="D28" i="1727"/>
  <c r="R27" i="1727"/>
  <c r="D27" i="1727"/>
  <c r="R26" i="1727"/>
  <c r="L26" i="1727"/>
  <c r="D26" i="1727" s="1"/>
  <c r="R25" i="1727"/>
  <c r="L25" i="1727"/>
  <c r="D25" i="1727"/>
  <c r="R24" i="1727"/>
  <c r="L24" i="1727"/>
  <c r="D24" i="1727" s="1"/>
  <c r="R23" i="1727"/>
  <c r="D23" i="1727"/>
  <c r="R22" i="1727"/>
  <c r="D22" i="1727"/>
  <c r="R21" i="1727"/>
  <c r="D21" i="1727"/>
  <c r="R20" i="1727"/>
  <c r="L20" i="1727"/>
  <c r="D20" i="1727"/>
  <c r="R19" i="1727"/>
  <c r="D19" i="1727"/>
  <c r="R18" i="1727"/>
  <c r="D18" i="1727"/>
  <c r="R17" i="1727"/>
  <c r="L17" i="1727"/>
  <c r="D17" i="1727" s="1"/>
  <c r="R16" i="1727"/>
  <c r="R15" i="1727"/>
  <c r="D15" i="1727"/>
  <c r="R14" i="1727"/>
  <c r="D14" i="1727"/>
  <c r="R13" i="1727"/>
  <c r="D13" i="1727"/>
  <c r="R12" i="1727"/>
  <c r="R11" i="1727"/>
  <c r="L11" i="1727"/>
  <c r="D11" i="1727" s="1"/>
  <c r="L10" i="1727"/>
  <c r="D10" i="1727" s="1"/>
  <c r="L9" i="1727"/>
  <c r="D9" i="1727"/>
  <c r="L8" i="1727"/>
  <c r="D8" i="1727" s="1"/>
  <c r="L7" i="1727"/>
  <c r="D7" i="1727" s="1"/>
  <c r="R6" i="1727"/>
  <c r="R5" i="1727"/>
  <c r="R4" i="1727"/>
  <c r="R52" i="1726"/>
  <c r="R51" i="1726"/>
  <c r="D50" i="1726"/>
  <c r="R49" i="1726"/>
  <c r="G49" i="1726"/>
  <c r="D49" i="1726"/>
  <c r="R48" i="1726"/>
  <c r="D48" i="1726"/>
  <c r="D46" i="1726"/>
  <c r="D45" i="1726"/>
  <c r="D44" i="1726"/>
  <c r="R42" i="1726"/>
  <c r="D42" i="1726"/>
  <c r="R41" i="1726"/>
  <c r="L7" i="1726" s="1"/>
  <c r="D7" i="1726" s="1"/>
  <c r="D41" i="1726"/>
  <c r="R40" i="1726"/>
  <c r="D40" i="1726"/>
  <c r="R39" i="1726"/>
  <c r="D39" i="1726"/>
  <c r="R38" i="1726"/>
  <c r="L9" i="1726" s="1"/>
  <c r="D9" i="1726" s="1"/>
  <c r="D38" i="1726"/>
  <c r="R37" i="1726"/>
  <c r="D37" i="1726"/>
  <c r="R36" i="1726"/>
  <c r="L10" i="1726" s="1"/>
  <c r="D10" i="1726" s="1"/>
  <c r="D36" i="1726"/>
  <c r="R35" i="1726"/>
  <c r="D35" i="1726"/>
  <c r="R34" i="1726"/>
  <c r="L12" i="1726" s="1"/>
  <c r="D12" i="1726" s="1"/>
  <c r="D34" i="1726"/>
  <c r="D54" i="1726" s="1"/>
  <c r="H14" i="1726" s="1"/>
  <c r="R33" i="1726"/>
  <c r="L23" i="1726" s="1"/>
  <c r="D23" i="1726" s="1"/>
  <c r="R32" i="1726"/>
  <c r="L11" i="1726" s="1"/>
  <c r="D11" i="1726" s="1"/>
  <c r="R31" i="1726"/>
  <c r="R30" i="1726"/>
  <c r="R29" i="1726"/>
  <c r="R28" i="1726"/>
  <c r="D28" i="1726"/>
  <c r="R27" i="1726"/>
  <c r="D27" i="1726"/>
  <c r="R26" i="1726"/>
  <c r="L26" i="1726"/>
  <c r="D26" i="1726"/>
  <c r="R25" i="1726"/>
  <c r="L25" i="1726"/>
  <c r="D25" i="1726"/>
  <c r="R24" i="1726"/>
  <c r="D24" i="1726"/>
  <c r="R23" i="1726"/>
  <c r="R22" i="1726"/>
  <c r="L22" i="1726"/>
  <c r="D22" i="1726" s="1"/>
  <c r="R21" i="1726"/>
  <c r="D21" i="1726"/>
  <c r="R20" i="1726"/>
  <c r="L20" i="1726"/>
  <c r="D20" i="1726"/>
  <c r="R19" i="1726"/>
  <c r="L19" i="1726"/>
  <c r="D19" i="1726"/>
  <c r="R18" i="1726"/>
  <c r="D18" i="1726"/>
  <c r="R17" i="1726"/>
  <c r="D17" i="1726"/>
  <c r="R16" i="1726"/>
  <c r="L16" i="1726"/>
  <c r="D16" i="1726" s="1"/>
  <c r="S15" i="1726"/>
  <c r="R15" i="1726"/>
  <c r="D15" i="1726"/>
  <c r="S14" i="1726"/>
  <c r="R14" i="1726"/>
  <c r="D14" i="1726"/>
  <c r="R13" i="1726"/>
  <c r="D13" i="1726"/>
  <c r="R12" i="1726"/>
  <c r="R11" i="1726"/>
  <c r="L8" i="1726"/>
  <c r="D8" i="1726" s="1"/>
  <c r="R6" i="1726"/>
  <c r="L6" i="1726"/>
  <c r="D6" i="1726"/>
  <c r="R5" i="1726"/>
  <c r="R4" i="1726"/>
  <c r="R52" i="1725"/>
  <c r="R51" i="1725"/>
  <c r="D50" i="1725"/>
  <c r="R49" i="1725"/>
  <c r="D49" i="1725"/>
  <c r="R48" i="1725"/>
  <c r="D48" i="1725"/>
  <c r="D46" i="1725"/>
  <c r="D45" i="1725"/>
  <c r="R44" i="1725"/>
  <c r="D44" i="1725"/>
  <c r="R42" i="1725"/>
  <c r="D42" i="1725"/>
  <c r="R41" i="1725"/>
  <c r="L7" i="1725" s="1"/>
  <c r="D7" i="1725" s="1"/>
  <c r="D41" i="1725"/>
  <c r="R40" i="1725"/>
  <c r="D40" i="1725"/>
  <c r="R39" i="1725"/>
  <c r="H39" i="1725"/>
  <c r="D39" i="1725"/>
  <c r="R38" i="1725"/>
  <c r="L9" i="1725" s="1"/>
  <c r="D9" i="1725" s="1"/>
  <c r="H38" i="1725"/>
  <c r="D38" i="1725"/>
  <c r="R37" i="1725"/>
  <c r="H37" i="1725"/>
  <c r="D37" i="1725"/>
  <c r="R36" i="1725"/>
  <c r="L10" i="1725" s="1"/>
  <c r="D10" i="1725" s="1"/>
  <c r="H36" i="1725"/>
  <c r="D36" i="1725"/>
  <c r="R35" i="1725"/>
  <c r="L19" i="1725" s="1"/>
  <c r="D19" i="1725" s="1"/>
  <c r="H35" i="1725"/>
  <c r="D35" i="1725"/>
  <c r="R34" i="1725"/>
  <c r="L12" i="1725" s="1"/>
  <c r="D12" i="1725" s="1"/>
  <c r="H34" i="1725"/>
  <c r="G49" i="1725" s="1"/>
  <c r="D34" i="1725"/>
  <c r="D54" i="1725" s="1"/>
  <c r="H14" i="1725" s="1"/>
  <c r="R33" i="1725"/>
  <c r="R32" i="1725"/>
  <c r="L11" i="1725" s="1"/>
  <c r="D11" i="1725" s="1"/>
  <c r="R31" i="1725"/>
  <c r="R30" i="1725"/>
  <c r="R29" i="1725"/>
  <c r="R28" i="1725"/>
  <c r="L28" i="1725"/>
  <c r="D28" i="1725"/>
  <c r="R27" i="1725"/>
  <c r="D27" i="1725"/>
  <c r="R26" i="1725"/>
  <c r="L26" i="1725"/>
  <c r="D26" i="1725" s="1"/>
  <c r="R25" i="1725"/>
  <c r="L25" i="1725"/>
  <c r="D25" i="1725"/>
  <c r="R24" i="1725"/>
  <c r="D24" i="1725"/>
  <c r="R23" i="1725"/>
  <c r="L23" i="1725"/>
  <c r="D23" i="1725" s="1"/>
  <c r="R22" i="1725"/>
  <c r="L22" i="1725"/>
  <c r="D22" i="1725"/>
  <c r="R21" i="1725"/>
  <c r="D21" i="1725"/>
  <c r="R20" i="1725"/>
  <c r="L20" i="1725"/>
  <c r="D20" i="1725" s="1"/>
  <c r="R19" i="1725"/>
  <c r="R18" i="1725"/>
  <c r="D18" i="1725"/>
  <c r="R17" i="1725"/>
  <c r="D17" i="1725"/>
  <c r="R16" i="1725"/>
  <c r="L16" i="1725"/>
  <c r="D16" i="1725" s="1"/>
  <c r="R15" i="1725"/>
  <c r="D15" i="1725"/>
  <c r="R14" i="1725"/>
  <c r="D14" i="1725"/>
  <c r="R13" i="1725"/>
  <c r="D13" i="1725"/>
  <c r="R12" i="1725"/>
  <c r="R11" i="1725"/>
  <c r="L8" i="1725"/>
  <c r="D8" i="1725"/>
  <c r="R6" i="1725"/>
  <c r="L6" i="1725"/>
  <c r="D6" i="1725" s="1"/>
  <c r="R5" i="1725"/>
  <c r="R4" i="1725"/>
  <c r="R52" i="1724"/>
  <c r="R51" i="1724"/>
  <c r="D50" i="1724"/>
  <c r="R49" i="1724"/>
  <c r="D49" i="1724"/>
  <c r="R48" i="1724"/>
  <c r="D48" i="1724"/>
  <c r="D46" i="1724"/>
  <c r="D45" i="1724"/>
  <c r="R44" i="1724"/>
  <c r="L28" i="1724" s="1"/>
  <c r="D28" i="1724" s="1"/>
  <c r="D44" i="1724"/>
  <c r="R42" i="1724"/>
  <c r="L6" i="1724" s="1"/>
  <c r="D6" i="1724" s="1"/>
  <c r="D42" i="1724"/>
  <c r="R41" i="1724"/>
  <c r="D41" i="1724"/>
  <c r="R40" i="1724"/>
  <c r="D40" i="1724"/>
  <c r="R39" i="1724"/>
  <c r="H39" i="1724"/>
  <c r="D39" i="1724"/>
  <c r="R38" i="1724"/>
  <c r="L9" i="1724" s="1"/>
  <c r="D9" i="1724" s="1"/>
  <c r="H38" i="1724"/>
  <c r="D38" i="1724"/>
  <c r="R37" i="1724"/>
  <c r="H37" i="1724"/>
  <c r="D37" i="1724"/>
  <c r="R36" i="1724"/>
  <c r="L10" i="1724" s="1"/>
  <c r="D10" i="1724" s="1"/>
  <c r="H36" i="1724"/>
  <c r="D36" i="1724"/>
  <c r="R35" i="1724"/>
  <c r="H35" i="1724"/>
  <c r="G49" i="1724" s="1"/>
  <c r="D35" i="1724"/>
  <c r="R34" i="1724"/>
  <c r="L12" i="1724" s="1"/>
  <c r="D12" i="1724" s="1"/>
  <c r="H34" i="1724"/>
  <c r="D34" i="1724"/>
  <c r="D54" i="1724" s="1"/>
  <c r="H14" i="1724" s="1"/>
  <c r="R33" i="1724"/>
  <c r="R32" i="1724"/>
  <c r="R31" i="1724"/>
  <c r="R30" i="1724"/>
  <c r="R29" i="1724"/>
  <c r="R28" i="1724"/>
  <c r="L16" i="1724" s="1"/>
  <c r="D16" i="1724" s="1"/>
  <c r="R27" i="1724"/>
  <c r="D27" i="1724"/>
  <c r="R26" i="1724"/>
  <c r="L26" i="1724"/>
  <c r="D26" i="1724" s="1"/>
  <c r="R25" i="1724"/>
  <c r="L25" i="1724"/>
  <c r="D25" i="1724"/>
  <c r="R24" i="1724"/>
  <c r="L24" i="1724"/>
  <c r="D24" i="1724"/>
  <c r="R23" i="1724"/>
  <c r="L23" i="1724"/>
  <c r="D23" i="1724"/>
  <c r="R22" i="1724"/>
  <c r="L22" i="1724"/>
  <c r="D22" i="1724" s="1"/>
  <c r="R21" i="1724"/>
  <c r="D21" i="1724"/>
  <c r="R20" i="1724"/>
  <c r="L20" i="1724"/>
  <c r="D20" i="1724"/>
  <c r="R19" i="1724"/>
  <c r="L19" i="1724"/>
  <c r="D19" i="1724"/>
  <c r="R18" i="1724"/>
  <c r="D18" i="1724"/>
  <c r="R17" i="1724"/>
  <c r="L17" i="1724"/>
  <c r="D17" i="1724"/>
  <c r="R16" i="1724"/>
  <c r="R15" i="1724"/>
  <c r="D15" i="1724"/>
  <c r="R14" i="1724"/>
  <c r="D14" i="1724"/>
  <c r="R13" i="1724"/>
  <c r="D13" i="1724"/>
  <c r="R12" i="1724"/>
  <c r="R11" i="1724"/>
  <c r="L11" i="1724"/>
  <c r="D11" i="1724"/>
  <c r="L8" i="1724"/>
  <c r="D8" i="1724"/>
  <c r="L7" i="1724"/>
  <c r="D7" i="1724"/>
  <c r="R6" i="1724"/>
  <c r="R5" i="1724"/>
  <c r="R4" i="1724"/>
  <c r="R52" i="1723"/>
  <c r="R51" i="1723"/>
  <c r="D50" i="1723"/>
  <c r="R49" i="1723"/>
  <c r="D49" i="1723"/>
  <c r="R48" i="1723"/>
  <c r="D48" i="1723"/>
  <c r="D46" i="1723"/>
  <c r="D45" i="1723"/>
  <c r="R44" i="1723"/>
  <c r="D44" i="1723"/>
  <c r="R42" i="1723"/>
  <c r="L6" i="1723" s="1"/>
  <c r="D6" i="1723" s="1"/>
  <c r="D42" i="1723"/>
  <c r="R41" i="1723"/>
  <c r="D41" i="1723"/>
  <c r="R40" i="1723"/>
  <c r="D40" i="1723"/>
  <c r="R39" i="1723"/>
  <c r="L20" i="1723" s="1"/>
  <c r="D20" i="1723" s="1"/>
  <c r="H39" i="1723"/>
  <c r="D39" i="1723"/>
  <c r="R38" i="1723"/>
  <c r="H38" i="1723"/>
  <c r="D38" i="1723"/>
  <c r="R37" i="1723"/>
  <c r="H37" i="1723"/>
  <c r="D37" i="1723"/>
  <c r="R36" i="1723"/>
  <c r="H36" i="1723"/>
  <c r="D36" i="1723"/>
  <c r="R35" i="1723"/>
  <c r="H35" i="1723"/>
  <c r="D35" i="1723"/>
  <c r="R34" i="1723"/>
  <c r="L12" i="1723" s="1"/>
  <c r="D12" i="1723" s="1"/>
  <c r="H34" i="1723"/>
  <c r="G49" i="1723" s="1"/>
  <c r="D34" i="1723"/>
  <c r="D54" i="1723" s="1"/>
  <c r="H14" i="1723" s="1"/>
  <c r="R33" i="1723"/>
  <c r="R32" i="1723"/>
  <c r="R31" i="1723"/>
  <c r="R30" i="1723"/>
  <c r="R29" i="1723"/>
  <c r="R28" i="1723"/>
  <c r="L28" i="1723"/>
  <c r="D28" i="1723"/>
  <c r="R27" i="1723"/>
  <c r="D27" i="1723"/>
  <c r="R26" i="1723"/>
  <c r="L26" i="1723"/>
  <c r="D26" i="1723"/>
  <c r="R25" i="1723"/>
  <c r="L25" i="1723"/>
  <c r="D25" i="1723"/>
  <c r="R24" i="1723"/>
  <c r="L24" i="1723"/>
  <c r="D24" i="1723" s="1"/>
  <c r="R23" i="1723"/>
  <c r="D23" i="1723"/>
  <c r="R22" i="1723"/>
  <c r="D22" i="1723"/>
  <c r="R21" i="1723"/>
  <c r="D21" i="1723"/>
  <c r="R20" i="1723"/>
  <c r="R19" i="1723"/>
  <c r="D19" i="1723"/>
  <c r="R18" i="1723"/>
  <c r="D18" i="1723"/>
  <c r="R17" i="1723"/>
  <c r="L17" i="1723"/>
  <c r="D17" i="1723" s="1"/>
  <c r="R16" i="1723"/>
  <c r="L16" i="1723"/>
  <c r="D16" i="1723" s="1"/>
  <c r="R15" i="1723"/>
  <c r="D15" i="1723"/>
  <c r="R14" i="1723"/>
  <c r="D14" i="1723"/>
  <c r="R13" i="1723"/>
  <c r="D13" i="1723"/>
  <c r="R12" i="1723"/>
  <c r="R11" i="1723"/>
  <c r="L11" i="1723"/>
  <c r="D11" i="1723" s="1"/>
  <c r="L10" i="1723"/>
  <c r="D10" i="1723"/>
  <c r="L9" i="1723"/>
  <c r="D9" i="1723" s="1"/>
  <c r="L8" i="1723"/>
  <c r="D8" i="1723" s="1"/>
  <c r="L7" i="1723"/>
  <c r="D7" i="1723"/>
  <c r="R6" i="1723"/>
  <c r="R5" i="1723"/>
  <c r="R4" i="1723"/>
  <c r="R52" i="1722"/>
  <c r="R51" i="1722"/>
  <c r="D50" i="1722"/>
  <c r="R49" i="1722"/>
  <c r="G49" i="1722"/>
  <c r="D49" i="1722"/>
  <c r="R48" i="1722"/>
  <c r="D48" i="1722"/>
  <c r="D46" i="1722"/>
  <c r="D45" i="1722"/>
  <c r="D44" i="1722"/>
  <c r="R42" i="1722"/>
  <c r="D42" i="1722"/>
  <c r="R41" i="1722"/>
  <c r="L7" i="1722" s="1"/>
  <c r="D7" i="1722" s="1"/>
  <c r="D41" i="1722"/>
  <c r="R40" i="1722"/>
  <c r="L8" i="1722" s="1"/>
  <c r="D8" i="1722" s="1"/>
  <c r="D40" i="1722"/>
  <c r="R39" i="1722"/>
  <c r="D39" i="1722"/>
  <c r="R38" i="1722"/>
  <c r="L9" i="1722" s="1"/>
  <c r="D9" i="1722" s="1"/>
  <c r="D38" i="1722"/>
  <c r="R37" i="1722"/>
  <c r="D37" i="1722"/>
  <c r="D54" i="1722" s="1"/>
  <c r="H14" i="1722" s="1"/>
  <c r="R36" i="1722"/>
  <c r="D36" i="1722"/>
  <c r="R35" i="1722"/>
  <c r="L19" i="1722" s="1"/>
  <c r="D19" i="1722" s="1"/>
  <c r="D35" i="1722"/>
  <c r="R34" i="1722"/>
  <c r="D34" i="1722"/>
  <c r="R33" i="1722"/>
  <c r="R32" i="1722"/>
  <c r="L11" i="1722" s="1"/>
  <c r="D11" i="1722" s="1"/>
  <c r="R31" i="1722"/>
  <c r="R30" i="1722"/>
  <c r="R29" i="1722"/>
  <c r="R28" i="1722"/>
  <c r="D28" i="1722"/>
  <c r="R27" i="1722"/>
  <c r="D27" i="1722"/>
  <c r="R26" i="1722"/>
  <c r="L26" i="1722"/>
  <c r="D26" i="1722" s="1"/>
  <c r="R25" i="1722"/>
  <c r="L25" i="1722"/>
  <c r="D25" i="1722"/>
  <c r="R24" i="1722"/>
  <c r="D24" i="1722"/>
  <c r="R23" i="1722"/>
  <c r="L23" i="1722"/>
  <c r="D23" i="1722" s="1"/>
  <c r="R22" i="1722"/>
  <c r="L22" i="1722"/>
  <c r="D22" i="1722"/>
  <c r="R21" i="1722"/>
  <c r="D21" i="1722"/>
  <c r="R20" i="1722"/>
  <c r="L20" i="1722"/>
  <c r="D20" i="1722" s="1"/>
  <c r="R19" i="1722"/>
  <c r="R18" i="1722"/>
  <c r="D18" i="1722"/>
  <c r="R17" i="1722"/>
  <c r="D17" i="1722"/>
  <c r="R16" i="1722"/>
  <c r="L16" i="1722"/>
  <c r="D16" i="1722" s="1"/>
  <c r="S15" i="1722"/>
  <c r="R15" i="1722"/>
  <c r="D15" i="1722"/>
  <c r="S14" i="1722"/>
  <c r="R14" i="1722"/>
  <c r="D14" i="1722"/>
  <c r="R13" i="1722"/>
  <c r="D13" i="1722"/>
  <c r="R12" i="1722"/>
  <c r="L12" i="1722"/>
  <c r="D12" i="1722" s="1"/>
  <c r="R11" i="1722"/>
  <c r="L10" i="1722"/>
  <c r="D10" i="1722"/>
  <c r="R6" i="1722"/>
  <c r="L6" i="1722"/>
  <c r="D6" i="1722"/>
  <c r="R5" i="1722"/>
  <c r="R4" i="1722"/>
  <c r="R52" i="1721"/>
  <c r="L22" i="1721" s="1"/>
  <c r="D22" i="1721" s="1"/>
  <c r="R51" i="1721"/>
  <c r="D50" i="1721"/>
  <c r="R49" i="1721"/>
  <c r="D49" i="1721"/>
  <c r="R48" i="1721"/>
  <c r="D48" i="1721"/>
  <c r="D46" i="1721"/>
  <c r="D45" i="1721"/>
  <c r="R44" i="1721"/>
  <c r="D44" i="1721"/>
  <c r="R42" i="1721"/>
  <c r="L6" i="1721" s="1"/>
  <c r="D6" i="1721" s="1"/>
  <c r="D42" i="1721"/>
  <c r="R41" i="1721"/>
  <c r="L7" i="1721" s="1"/>
  <c r="D7" i="1721" s="1"/>
  <c r="D41" i="1721"/>
  <c r="R40" i="1721"/>
  <c r="D40" i="1721"/>
  <c r="R39" i="1721"/>
  <c r="H39" i="1721"/>
  <c r="D39" i="1721"/>
  <c r="R38" i="1721"/>
  <c r="H38" i="1721"/>
  <c r="D38" i="1721"/>
  <c r="D54" i="1721" s="1"/>
  <c r="H14" i="1721" s="1"/>
  <c r="R37" i="1721"/>
  <c r="H37" i="1721"/>
  <c r="D37" i="1721"/>
  <c r="R36" i="1721"/>
  <c r="L10" i="1721" s="1"/>
  <c r="D10" i="1721" s="1"/>
  <c r="H36" i="1721"/>
  <c r="D36" i="1721"/>
  <c r="R35" i="1721"/>
  <c r="L19" i="1721" s="1"/>
  <c r="D19" i="1721" s="1"/>
  <c r="H35" i="1721"/>
  <c r="D35" i="1721"/>
  <c r="R34" i="1721"/>
  <c r="H34" i="1721"/>
  <c r="G49" i="1721" s="1"/>
  <c r="D34" i="1721"/>
  <c r="R33" i="1721"/>
  <c r="R32" i="1721"/>
  <c r="R31" i="1721"/>
  <c r="R30" i="1721"/>
  <c r="R29" i="1721"/>
  <c r="R28" i="1721"/>
  <c r="L28" i="1721"/>
  <c r="D28" i="1721"/>
  <c r="R27" i="1721"/>
  <c r="D27" i="1721"/>
  <c r="R26" i="1721"/>
  <c r="L26" i="1721"/>
  <c r="D26" i="1721" s="1"/>
  <c r="R25" i="1721"/>
  <c r="L25" i="1721"/>
  <c r="D25" i="1721"/>
  <c r="R24" i="1721"/>
  <c r="D24" i="1721"/>
  <c r="R23" i="1721"/>
  <c r="L23" i="1721"/>
  <c r="D23" i="1721" s="1"/>
  <c r="R22" i="1721"/>
  <c r="R21" i="1721"/>
  <c r="D21" i="1721"/>
  <c r="R20" i="1721"/>
  <c r="L20" i="1721"/>
  <c r="D20" i="1721" s="1"/>
  <c r="R19" i="1721"/>
  <c r="R18" i="1721"/>
  <c r="D18" i="1721"/>
  <c r="R17" i="1721"/>
  <c r="D17" i="1721"/>
  <c r="R16" i="1721"/>
  <c r="L16" i="1721"/>
  <c r="D16" i="1721" s="1"/>
  <c r="R15" i="1721"/>
  <c r="D15" i="1721"/>
  <c r="R14" i="1721"/>
  <c r="D14" i="1721"/>
  <c r="R13" i="1721"/>
  <c r="D13" i="1721"/>
  <c r="R12" i="1721"/>
  <c r="L12" i="1721"/>
  <c r="D12" i="1721" s="1"/>
  <c r="R11" i="1721"/>
  <c r="L11" i="1721"/>
  <c r="D11" i="1721"/>
  <c r="L9" i="1721"/>
  <c r="D9" i="1721"/>
  <c r="L8" i="1721"/>
  <c r="D8" i="1721"/>
  <c r="R6" i="1721"/>
  <c r="R5" i="1721"/>
  <c r="R4" i="1721"/>
  <c r="R52" i="1720"/>
  <c r="R51" i="1720"/>
  <c r="D50" i="1720"/>
  <c r="R49" i="1720"/>
  <c r="D49" i="1720"/>
  <c r="R48" i="1720"/>
  <c r="D48" i="1720"/>
  <c r="D46" i="1720"/>
  <c r="D45" i="1720"/>
  <c r="R44" i="1720"/>
  <c r="D44" i="1720"/>
  <c r="R42" i="1720"/>
  <c r="D42" i="1720"/>
  <c r="R41" i="1720"/>
  <c r="D41" i="1720"/>
  <c r="R40" i="1720"/>
  <c r="D40" i="1720"/>
  <c r="R39" i="1720"/>
  <c r="H39" i="1720"/>
  <c r="D39" i="1720"/>
  <c r="R38" i="1720"/>
  <c r="H38" i="1720"/>
  <c r="D38" i="1720"/>
  <c r="R37" i="1720"/>
  <c r="H37" i="1720"/>
  <c r="D37" i="1720"/>
  <c r="R36" i="1720"/>
  <c r="L10" i="1720" s="1"/>
  <c r="D10" i="1720" s="1"/>
  <c r="H36" i="1720"/>
  <c r="D36" i="1720"/>
  <c r="R35" i="1720"/>
  <c r="H35" i="1720"/>
  <c r="D35" i="1720"/>
  <c r="R34" i="1720"/>
  <c r="H34" i="1720"/>
  <c r="G49" i="1720" s="1"/>
  <c r="D34" i="1720"/>
  <c r="D54" i="1720" s="1"/>
  <c r="H14" i="1720" s="1"/>
  <c r="R33" i="1720"/>
  <c r="R32" i="1720"/>
  <c r="R31" i="1720"/>
  <c r="R30" i="1720"/>
  <c r="R29" i="1720"/>
  <c r="R28" i="1720"/>
  <c r="L28" i="1720"/>
  <c r="D28" i="1720"/>
  <c r="R27" i="1720"/>
  <c r="D27" i="1720"/>
  <c r="R26" i="1720"/>
  <c r="L26" i="1720"/>
  <c r="D26" i="1720" s="1"/>
  <c r="R25" i="1720"/>
  <c r="L25" i="1720"/>
  <c r="D25" i="1720"/>
  <c r="R24" i="1720"/>
  <c r="L24" i="1720"/>
  <c r="D24" i="1720"/>
  <c r="R23" i="1720"/>
  <c r="L23" i="1720"/>
  <c r="D23" i="1720"/>
  <c r="R22" i="1720"/>
  <c r="L22" i="1720"/>
  <c r="D22" i="1720" s="1"/>
  <c r="R21" i="1720"/>
  <c r="L17" i="1720" s="1"/>
  <c r="D17" i="1720" s="1"/>
  <c r="D21" i="1720"/>
  <c r="R20" i="1720"/>
  <c r="L20" i="1720"/>
  <c r="D20" i="1720" s="1"/>
  <c r="R19" i="1720"/>
  <c r="L19" i="1720"/>
  <c r="D19" i="1720" s="1"/>
  <c r="R18" i="1720"/>
  <c r="D18" i="1720"/>
  <c r="R17" i="1720"/>
  <c r="R16" i="1720"/>
  <c r="L16" i="1720"/>
  <c r="D16" i="1720" s="1"/>
  <c r="R15" i="1720"/>
  <c r="D15" i="1720"/>
  <c r="R14" i="1720"/>
  <c r="D14" i="1720"/>
  <c r="R13" i="1720"/>
  <c r="D13" i="1720"/>
  <c r="R12" i="1720"/>
  <c r="L12" i="1720"/>
  <c r="D12" i="1720" s="1"/>
  <c r="R11" i="1720"/>
  <c r="L11" i="1720"/>
  <c r="D11" i="1720"/>
  <c r="L9" i="1720"/>
  <c r="D9" i="1720"/>
  <c r="L8" i="1720"/>
  <c r="D8" i="1720" s="1"/>
  <c r="L7" i="1720"/>
  <c r="D7" i="1720"/>
  <c r="R6" i="1720"/>
  <c r="L6" i="1720"/>
  <c r="D6" i="1720"/>
  <c r="R5" i="1720"/>
  <c r="R4" i="1720"/>
  <c r="R52" i="1719"/>
  <c r="R51" i="1719"/>
  <c r="D50" i="1719"/>
  <c r="R49" i="1719"/>
  <c r="D49" i="1719"/>
  <c r="R48" i="1719"/>
  <c r="D48" i="1719"/>
  <c r="D46" i="1719"/>
  <c r="D45" i="1719"/>
  <c r="R44" i="1719"/>
  <c r="D44" i="1719"/>
  <c r="R42" i="1719"/>
  <c r="L6" i="1719" s="1"/>
  <c r="D6" i="1719" s="1"/>
  <c r="D42" i="1719"/>
  <c r="R41" i="1719"/>
  <c r="L7" i="1719" s="1"/>
  <c r="D7" i="1719" s="1"/>
  <c r="D41" i="1719"/>
  <c r="R40" i="1719"/>
  <c r="D40" i="1719"/>
  <c r="R39" i="1719"/>
  <c r="L20" i="1719" s="1"/>
  <c r="D20" i="1719" s="1"/>
  <c r="H39" i="1719"/>
  <c r="D39" i="1719"/>
  <c r="R38" i="1719"/>
  <c r="H38" i="1719"/>
  <c r="D38" i="1719"/>
  <c r="D54" i="1719" s="1"/>
  <c r="H14" i="1719" s="1"/>
  <c r="R37" i="1719"/>
  <c r="H37" i="1719"/>
  <c r="D37" i="1719"/>
  <c r="R36" i="1719"/>
  <c r="H36" i="1719"/>
  <c r="D36" i="1719"/>
  <c r="R35" i="1719"/>
  <c r="H35" i="1719"/>
  <c r="D35" i="1719"/>
  <c r="R34" i="1719"/>
  <c r="H34" i="1719"/>
  <c r="G49" i="1719" s="1"/>
  <c r="D34" i="1719"/>
  <c r="R33" i="1719"/>
  <c r="R32" i="1719"/>
  <c r="L11" i="1719" s="1"/>
  <c r="D11" i="1719" s="1"/>
  <c r="R31" i="1719"/>
  <c r="R30" i="1719"/>
  <c r="R29" i="1719"/>
  <c r="R28" i="1719"/>
  <c r="L28" i="1719"/>
  <c r="D28" i="1719"/>
  <c r="R27" i="1719"/>
  <c r="D27" i="1719"/>
  <c r="R26" i="1719"/>
  <c r="L26" i="1719"/>
  <c r="D26" i="1719"/>
  <c r="R25" i="1719"/>
  <c r="L25" i="1719"/>
  <c r="D25" i="1719"/>
  <c r="R24" i="1719"/>
  <c r="L24" i="1719"/>
  <c r="D24" i="1719" s="1"/>
  <c r="R23" i="1719"/>
  <c r="D23" i="1719"/>
  <c r="R22" i="1719"/>
  <c r="D22" i="1719"/>
  <c r="R21" i="1719"/>
  <c r="D21" i="1719"/>
  <c r="R20" i="1719"/>
  <c r="R19" i="1719"/>
  <c r="D19" i="1719"/>
  <c r="R18" i="1719"/>
  <c r="D18" i="1719"/>
  <c r="R17" i="1719"/>
  <c r="L17" i="1719"/>
  <c r="D17" i="1719" s="1"/>
  <c r="R16" i="1719"/>
  <c r="L16" i="1719"/>
  <c r="D16" i="1719" s="1"/>
  <c r="R15" i="1719"/>
  <c r="D15" i="1719"/>
  <c r="R14" i="1719"/>
  <c r="D14" i="1719"/>
  <c r="R13" i="1719"/>
  <c r="D13" i="1719"/>
  <c r="R12" i="1719"/>
  <c r="L12" i="1719"/>
  <c r="D12" i="1719"/>
  <c r="R11" i="1719"/>
  <c r="L10" i="1719"/>
  <c r="D10" i="1719"/>
  <c r="L9" i="1719"/>
  <c r="D9" i="1719"/>
  <c r="L8" i="1719"/>
  <c r="D8" i="1719" s="1"/>
  <c r="R6" i="1719"/>
  <c r="R5" i="1719"/>
  <c r="R4" i="1719"/>
  <c r="R52" i="1718"/>
  <c r="R51" i="1718"/>
  <c r="D50" i="1718"/>
  <c r="R49" i="1718"/>
  <c r="G49" i="1718"/>
  <c r="D49" i="1718"/>
  <c r="R48" i="1718"/>
  <c r="D48" i="1718"/>
  <c r="D46" i="1718"/>
  <c r="D45" i="1718"/>
  <c r="D44" i="1718"/>
  <c r="R42" i="1718"/>
  <c r="L6" i="1718" s="1"/>
  <c r="D6" i="1718" s="1"/>
  <c r="D42" i="1718"/>
  <c r="R41" i="1718"/>
  <c r="L7" i="1718" s="1"/>
  <c r="D7" i="1718" s="1"/>
  <c r="D41" i="1718"/>
  <c r="R40" i="1718"/>
  <c r="D40" i="1718"/>
  <c r="R39" i="1718"/>
  <c r="D39" i="1718"/>
  <c r="R38" i="1718"/>
  <c r="L9" i="1718" s="1"/>
  <c r="D9" i="1718" s="1"/>
  <c r="D38" i="1718"/>
  <c r="R37" i="1718"/>
  <c r="D37" i="1718"/>
  <c r="R36" i="1718"/>
  <c r="L10" i="1718" s="1"/>
  <c r="D10" i="1718" s="1"/>
  <c r="D36" i="1718"/>
  <c r="R35" i="1718"/>
  <c r="D35" i="1718"/>
  <c r="R34" i="1718"/>
  <c r="L12" i="1718" s="1"/>
  <c r="D12" i="1718" s="1"/>
  <c r="D34" i="1718"/>
  <c r="D54" i="1718" s="1"/>
  <c r="H14" i="1718" s="1"/>
  <c r="R33" i="1718"/>
  <c r="L23" i="1718" s="1"/>
  <c r="D23" i="1718" s="1"/>
  <c r="R32" i="1718"/>
  <c r="R31" i="1718"/>
  <c r="R30" i="1718"/>
  <c r="R29" i="1718"/>
  <c r="R28" i="1718"/>
  <c r="D28" i="1718"/>
  <c r="R27" i="1718"/>
  <c r="D27" i="1718"/>
  <c r="R26" i="1718"/>
  <c r="L26" i="1718"/>
  <c r="D26" i="1718"/>
  <c r="R25" i="1718"/>
  <c r="L25" i="1718"/>
  <c r="D25" i="1718"/>
  <c r="R24" i="1718"/>
  <c r="D24" i="1718"/>
  <c r="R23" i="1718"/>
  <c r="R22" i="1718"/>
  <c r="L22" i="1718"/>
  <c r="D22" i="1718" s="1"/>
  <c r="R21" i="1718"/>
  <c r="D21" i="1718"/>
  <c r="R20" i="1718"/>
  <c r="L20" i="1718"/>
  <c r="D20" i="1718"/>
  <c r="R19" i="1718"/>
  <c r="L19" i="1718"/>
  <c r="D19" i="1718"/>
  <c r="R18" i="1718"/>
  <c r="D18" i="1718"/>
  <c r="R17" i="1718"/>
  <c r="D17" i="1718"/>
  <c r="R16" i="1718"/>
  <c r="L16" i="1718"/>
  <c r="D16" i="1718" s="1"/>
  <c r="S15" i="1718"/>
  <c r="R15" i="1718"/>
  <c r="D15" i="1718"/>
  <c r="S14" i="1718"/>
  <c r="R14" i="1718"/>
  <c r="D14" i="1718"/>
  <c r="R13" i="1718"/>
  <c r="D13" i="1718"/>
  <c r="R12" i="1718"/>
  <c r="R11" i="1718"/>
  <c r="L11" i="1718"/>
  <c r="D11" i="1718" s="1"/>
  <c r="L8" i="1718"/>
  <c r="D8" i="1718"/>
  <c r="R6" i="1718"/>
  <c r="R5" i="1718"/>
  <c r="R4" i="1718"/>
  <c r="R52" i="1717"/>
  <c r="R51" i="1717"/>
  <c r="D50" i="1717"/>
  <c r="R49" i="1717"/>
  <c r="D49" i="1717"/>
  <c r="R48" i="1717"/>
  <c r="D48" i="1717"/>
  <c r="D46" i="1717"/>
  <c r="D45" i="1717"/>
  <c r="R44" i="1717"/>
  <c r="L28" i="1717" s="1"/>
  <c r="D28" i="1717" s="1"/>
  <c r="D44" i="1717"/>
  <c r="R42" i="1717"/>
  <c r="L6" i="1717" s="1"/>
  <c r="D6" i="1717" s="1"/>
  <c r="D42" i="1717"/>
  <c r="R41" i="1717"/>
  <c r="D41" i="1717"/>
  <c r="R40" i="1717"/>
  <c r="D40" i="1717"/>
  <c r="R39" i="1717"/>
  <c r="H39" i="1717"/>
  <c r="D39" i="1717"/>
  <c r="R38" i="1717"/>
  <c r="L9" i="1717" s="1"/>
  <c r="D9" i="1717" s="1"/>
  <c r="H38" i="1717"/>
  <c r="D38" i="1717"/>
  <c r="R37" i="1717"/>
  <c r="H37" i="1717"/>
  <c r="D37" i="1717"/>
  <c r="R36" i="1717"/>
  <c r="L10" i="1717" s="1"/>
  <c r="D10" i="1717" s="1"/>
  <c r="H36" i="1717"/>
  <c r="D36" i="1717"/>
  <c r="R35" i="1717"/>
  <c r="H35" i="1717"/>
  <c r="D35" i="1717"/>
  <c r="R34" i="1717"/>
  <c r="L12" i="1717" s="1"/>
  <c r="D12" i="1717" s="1"/>
  <c r="H34" i="1717"/>
  <c r="G49" i="1717" s="1"/>
  <c r="D34" i="1717"/>
  <c r="D54" i="1717" s="1"/>
  <c r="H14" i="1717" s="1"/>
  <c r="R33" i="1717"/>
  <c r="R32" i="1717"/>
  <c r="R31" i="1717"/>
  <c r="R30" i="1717"/>
  <c r="R29" i="1717"/>
  <c r="R28" i="1717"/>
  <c r="R27" i="1717"/>
  <c r="D27" i="1717"/>
  <c r="R26" i="1717"/>
  <c r="L26" i="1717"/>
  <c r="D26" i="1717"/>
  <c r="R25" i="1717"/>
  <c r="L25" i="1717"/>
  <c r="D25" i="1717" s="1"/>
  <c r="R24" i="1717"/>
  <c r="D24" i="1717"/>
  <c r="R23" i="1717"/>
  <c r="L23" i="1717"/>
  <c r="D23" i="1717"/>
  <c r="R22" i="1717"/>
  <c r="L22" i="1717"/>
  <c r="D22" i="1717"/>
  <c r="R21" i="1717"/>
  <c r="D21" i="1717"/>
  <c r="R20" i="1717"/>
  <c r="L20" i="1717"/>
  <c r="D20" i="1717"/>
  <c r="R19" i="1717"/>
  <c r="L19" i="1717"/>
  <c r="D19" i="1717"/>
  <c r="R18" i="1717"/>
  <c r="D18" i="1717"/>
  <c r="R17" i="1717"/>
  <c r="D17" i="1717"/>
  <c r="R16" i="1717"/>
  <c r="L16" i="1717"/>
  <c r="D16" i="1717" s="1"/>
  <c r="R15" i="1717"/>
  <c r="D15" i="1717"/>
  <c r="R14" i="1717"/>
  <c r="D14" i="1717"/>
  <c r="R13" i="1717"/>
  <c r="D13" i="1717"/>
  <c r="R12" i="1717"/>
  <c r="R11" i="1717"/>
  <c r="L11" i="1717"/>
  <c r="D11" i="1717"/>
  <c r="L8" i="1717"/>
  <c r="D8" i="1717"/>
  <c r="L7" i="1717"/>
  <c r="D7" i="1717"/>
  <c r="R6" i="1717"/>
  <c r="R5" i="1717"/>
  <c r="R4" i="1717"/>
  <c r="R52" i="1716"/>
  <c r="R51" i="1716"/>
  <c r="D50" i="1716"/>
  <c r="R49" i="1716"/>
  <c r="D49" i="1716"/>
  <c r="R48" i="1716"/>
  <c r="D48" i="1716"/>
  <c r="D46" i="1716"/>
  <c r="D45" i="1716"/>
  <c r="R44" i="1716"/>
  <c r="L28" i="1716" s="1"/>
  <c r="D28" i="1716" s="1"/>
  <c r="D44" i="1716"/>
  <c r="R42" i="1716"/>
  <c r="L6" i="1716" s="1"/>
  <c r="D6" i="1716" s="1"/>
  <c r="D42" i="1716"/>
  <c r="R41" i="1716"/>
  <c r="D41" i="1716"/>
  <c r="R40" i="1716"/>
  <c r="D40" i="1716"/>
  <c r="R39" i="1716"/>
  <c r="L20" i="1716" s="1"/>
  <c r="D20" i="1716" s="1"/>
  <c r="H39" i="1716"/>
  <c r="D39" i="1716"/>
  <c r="R38" i="1716"/>
  <c r="H38" i="1716"/>
  <c r="D38" i="1716"/>
  <c r="R37" i="1716"/>
  <c r="H37" i="1716"/>
  <c r="D37" i="1716"/>
  <c r="R36" i="1716"/>
  <c r="L10" i="1716" s="1"/>
  <c r="D10" i="1716" s="1"/>
  <c r="H36" i="1716"/>
  <c r="D36" i="1716"/>
  <c r="R35" i="1716"/>
  <c r="H35" i="1716"/>
  <c r="D35" i="1716"/>
  <c r="R34" i="1716"/>
  <c r="L12" i="1716" s="1"/>
  <c r="D12" i="1716" s="1"/>
  <c r="H34" i="1716"/>
  <c r="G49" i="1716" s="1"/>
  <c r="D34" i="1716"/>
  <c r="D54" i="1716" s="1"/>
  <c r="H14" i="1716" s="1"/>
  <c r="R33" i="1716"/>
  <c r="R32" i="1716"/>
  <c r="R31" i="1716"/>
  <c r="R30" i="1716"/>
  <c r="R29" i="1716"/>
  <c r="R28" i="1716"/>
  <c r="R27" i="1716"/>
  <c r="D27" i="1716"/>
  <c r="R26" i="1716"/>
  <c r="L26" i="1716"/>
  <c r="D26" i="1716"/>
  <c r="R25" i="1716"/>
  <c r="L25" i="1716"/>
  <c r="D25" i="1716" s="1"/>
  <c r="R24" i="1716"/>
  <c r="L24" i="1716"/>
  <c r="D24" i="1716"/>
  <c r="R23" i="1716"/>
  <c r="L23" i="1716"/>
  <c r="D23" i="1716" s="1"/>
  <c r="R22" i="1716"/>
  <c r="L22" i="1716"/>
  <c r="D22" i="1716" s="1"/>
  <c r="R21" i="1716"/>
  <c r="D21" i="1716"/>
  <c r="R20" i="1716"/>
  <c r="R19" i="1716"/>
  <c r="L19" i="1716"/>
  <c r="D19" i="1716" s="1"/>
  <c r="R18" i="1716"/>
  <c r="D18" i="1716"/>
  <c r="R17" i="1716"/>
  <c r="L17" i="1716"/>
  <c r="D17" i="1716" s="1"/>
  <c r="R16" i="1716"/>
  <c r="L16" i="1716"/>
  <c r="D16" i="1716" s="1"/>
  <c r="R15" i="1716"/>
  <c r="D15" i="1716"/>
  <c r="R14" i="1716"/>
  <c r="D14" i="1716"/>
  <c r="R13" i="1716"/>
  <c r="D13" i="1716"/>
  <c r="R12" i="1716"/>
  <c r="R11" i="1716"/>
  <c r="L11" i="1716"/>
  <c r="D11" i="1716"/>
  <c r="L9" i="1716"/>
  <c r="D9" i="1716"/>
  <c r="L8" i="1716"/>
  <c r="D8" i="1716" s="1"/>
  <c r="L7" i="1716"/>
  <c r="D7" i="1716" s="1"/>
  <c r="R6" i="1716"/>
  <c r="R5" i="1716"/>
  <c r="R4" i="1716"/>
  <c r="R52" i="1715"/>
  <c r="R51" i="1715"/>
  <c r="D50" i="1715"/>
  <c r="R49" i="1715"/>
  <c r="D49" i="1715"/>
  <c r="R48" i="1715"/>
  <c r="D48" i="1715"/>
  <c r="D46" i="1715"/>
  <c r="D45" i="1715"/>
  <c r="R44" i="1715"/>
  <c r="D44" i="1715"/>
  <c r="R42" i="1715"/>
  <c r="L6" i="1715" s="1"/>
  <c r="D6" i="1715" s="1"/>
  <c r="D29" i="1715" s="1"/>
  <c r="H13" i="1715" s="1"/>
  <c r="H15" i="1715" s="1"/>
  <c r="H29" i="1715" s="1"/>
  <c r="D42" i="1715"/>
  <c r="R41" i="1715"/>
  <c r="D41" i="1715"/>
  <c r="R40" i="1715"/>
  <c r="D40" i="1715"/>
  <c r="R39" i="1715"/>
  <c r="L20" i="1715" s="1"/>
  <c r="D20" i="1715" s="1"/>
  <c r="H39" i="1715"/>
  <c r="D39" i="1715"/>
  <c r="R38" i="1715"/>
  <c r="H38" i="1715"/>
  <c r="D38" i="1715"/>
  <c r="R37" i="1715"/>
  <c r="H37" i="1715"/>
  <c r="D37" i="1715"/>
  <c r="R36" i="1715"/>
  <c r="H36" i="1715"/>
  <c r="D36" i="1715"/>
  <c r="R35" i="1715"/>
  <c r="H35" i="1715"/>
  <c r="D35" i="1715"/>
  <c r="R34" i="1715"/>
  <c r="H34" i="1715"/>
  <c r="G49" i="1715" s="1"/>
  <c r="D34" i="1715"/>
  <c r="D54" i="1715" s="1"/>
  <c r="H14" i="1715" s="1"/>
  <c r="R33" i="1715"/>
  <c r="R32" i="1715"/>
  <c r="R31" i="1715"/>
  <c r="R30" i="1715"/>
  <c r="R29" i="1715"/>
  <c r="R28" i="1715"/>
  <c r="L28" i="1715"/>
  <c r="D28" i="1715"/>
  <c r="R27" i="1715"/>
  <c r="D27" i="1715"/>
  <c r="R26" i="1715"/>
  <c r="L26" i="1715"/>
  <c r="D26" i="1715"/>
  <c r="R25" i="1715"/>
  <c r="L25" i="1715"/>
  <c r="D25" i="1715" s="1"/>
  <c r="R24" i="1715"/>
  <c r="L24" i="1715"/>
  <c r="D24" i="1715"/>
  <c r="R23" i="1715"/>
  <c r="D23" i="1715"/>
  <c r="R22" i="1715"/>
  <c r="D22" i="1715"/>
  <c r="R21" i="1715"/>
  <c r="D21" i="1715"/>
  <c r="R20" i="1715"/>
  <c r="R19" i="1715"/>
  <c r="D19" i="1715"/>
  <c r="R18" i="1715"/>
  <c r="D18" i="1715"/>
  <c r="R17" i="1715"/>
  <c r="L17" i="1715"/>
  <c r="D17" i="1715"/>
  <c r="R16" i="1715"/>
  <c r="L16" i="1715"/>
  <c r="D16" i="1715" s="1"/>
  <c r="R15" i="1715"/>
  <c r="D15" i="1715"/>
  <c r="R14" i="1715"/>
  <c r="D14" i="1715"/>
  <c r="R13" i="1715"/>
  <c r="D13" i="1715"/>
  <c r="R12" i="1715"/>
  <c r="L12" i="1715"/>
  <c r="D12" i="1715"/>
  <c r="R11" i="1715"/>
  <c r="L11" i="1715"/>
  <c r="D11" i="1715"/>
  <c r="L10" i="1715"/>
  <c r="D10" i="1715" s="1"/>
  <c r="L9" i="1715"/>
  <c r="D9" i="1715" s="1"/>
  <c r="L8" i="1715"/>
  <c r="D8" i="1715" s="1"/>
  <c r="L7" i="1715"/>
  <c r="D7" i="1715"/>
  <c r="R6" i="1715"/>
  <c r="R5" i="1715"/>
  <c r="R4" i="1715"/>
  <c r="R52" i="1714"/>
  <c r="R51" i="1714"/>
  <c r="D50" i="1714"/>
  <c r="R49" i="1714"/>
  <c r="G49" i="1714"/>
  <c r="D49" i="1714"/>
  <c r="R48" i="1714"/>
  <c r="D48" i="1714"/>
  <c r="D46" i="1714"/>
  <c r="D45" i="1714"/>
  <c r="D44" i="1714"/>
  <c r="R42" i="1714"/>
  <c r="D42" i="1714"/>
  <c r="R41" i="1714"/>
  <c r="L7" i="1714" s="1"/>
  <c r="D7" i="1714" s="1"/>
  <c r="D41" i="1714"/>
  <c r="R40" i="1714"/>
  <c r="L8" i="1714" s="1"/>
  <c r="D8" i="1714" s="1"/>
  <c r="D40" i="1714"/>
  <c r="R39" i="1714"/>
  <c r="D39" i="1714"/>
  <c r="R38" i="1714"/>
  <c r="D38" i="1714"/>
  <c r="R37" i="1714"/>
  <c r="D37" i="1714"/>
  <c r="R36" i="1714"/>
  <c r="L10" i="1714" s="1"/>
  <c r="D10" i="1714" s="1"/>
  <c r="D36" i="1714"/>
  <c r="R35" i="1714"/>
  <c r="D35" i="1714"/>
  <c r="R34" i="1714"/>
  <c r="L12" i="1714" s="1"/>
  <c r="D12" i="1714" s="1"/>
  <c r="D34" i="1714"/>
  <c r="D54" i="1714" s="1"/>
  <c r="H14" i="1714" s="1"/>
  <c r="R33" i="1714"/>
  <c r="L23" i="1714" s="1"/>
  <c r="D23" i="1714" s="1"/>
  <c r="R32" i="1714"/>
  <c r="L11" i="1714" s="1"/>
  <c r="D11" i="1714" s="1"/>
  <c r="R31" i="1714"/>
  <c r="R30" i="1714"/>
  <c r="R29" i="1714"/>
  <c r="R28" i="1714"/>
  <c r="L16" i="1714" s="1"/>
  <c r="D16" i="1714" s="1"/>
  <c r="D28" i="1714"/>
  <c r="R27" i="1714"/>
  <c r="D27" i="1714"/>
  <c r="R26" i="1714"/>
  <c r="L26" i="1714"/>
  <c r="D26" i="1714"/>
  <c r="R25" i="1714"/>
  <c r="L25" i="1714"/>
  <c r="D25" i="1714"/>
  <c r="R24" i="1714"/>
  <c r="D24" i="1714"/>
  <c r="R23" i="1714"/>
  <c r="R22" i="1714"/>
  <c r="L22" i="1714"/>
  <c r="D22" i="1714" s="1"/>
  <c r="R21" i="1714"/>
  <c r="D21" i="1714"/>
  <c r="R20" i="1714"/>
  <c r="L20" i="1714"/>
  <c r="D20" i="1714"/>
  <c r="R19" i="1714"/>
  <c r="L19" i="1714"/>
  <c r="D19" i="1714"/>
  <c r="R18" i="1714"/>
  <c r="D18" i="1714"/>
  <c r="R17" i="1714"/>
  <c r="D17" i="1714"/>
  <c r="R16" i="1714"/>
  <c r="S15" i="1714"/>
  <c r="R15" i="1714"/>
  <c r="D15" i="1714"/>
  <c r="S14" i="1714"/>
  <c r="R14" i="1714"/>
  <c r="D14" i="1714"/>
  <c r="R13" i="1714"/>
  <c r="D13" i="1714"/>
  <c r="R12" i="1714"/>
  <c r="R11" i="1714"/>
  <c r="L9" i="1714"/>
  <c r="D9" i="1714" s="1"/>
  <c r="R6" i="1714"/>
  <c r="L6" i="1714"/>
  <c r="D6" i="1714"/>
  <c r="R5" i="1714"/>
  <c r="R4" i="1714"/>
  <c r="R52" i="1713"/>
  <c r="L22" i="1713" s="1"/>
  <c r="D22" i="1713" s="1"/>
  <c r="R51" i="1713"/>
  <c r="D50" i="1713"/>
  <c r="R49" i="1713"/>
  <c r="D49" i="1713"/>
  <c r="R48" i="1713"/>
  <c r="D48" i="1713"/>
  <c r="D46" i="1713"/>
  <c r="D45" i="1713"/>
  <c r="R44" i="1713"/>
  <c r="L28" i="1713" s="1"/>
  <c r="D28" i="1713" s="1"/>
  <c r="D44" i="1713"/>
  <c r="R42" i="1713"/>
  <c r="L6" i="1713" s="1"/>
  <c r="D6" i="1713" s="1"/>
  <c r="D42" i="1713"/>
  <c r="R41" i="1713"/>
  <c r="D41" i="1713"/>
  <c r="R40" i="1713"/>
  <c r="D40" i="1713"/>
  <c r="R39" i="1713"/>
  <c r="H39" i="1713"/>
  <c r="D39" i="1713"/>
  <c r="R38" i="1713"/>
  <c r="H38" i="1713"/>
  <c r="D38" i="1713"/>
  <c r="R37" i="1713"/>
  <c r="H37" i="1713"/>
  <c r="D37" i="1713"/>
  <c r="R36" i="1713"/>
  <c r="L10" i="1713" s="1"/>
  <c r="D10" i="1713" s="1"/>
  <c r="H36" i="1713"/>
  <c r="D36" i="1713"/>
  <c r="R35" i="1713"/>
  <c r="L19" i="1713" s="1"/>
  <c r="D19" i="1713" s="1"/>
  <c r="H35" i="1713"/>
  <c r="D35" i="1713"/>
  <c r="R34" i="1713"/>
  <c r="H34" i="1713"/>
  <c r="G49" i="1713" s="1"/>
  <c r="D34" i="1713"/>
  <c r="R33" i="1713"/>
  <c r="R32" i="1713"/>
  <c r="R31" i="1713"/>
  <c r="R30" i="1713"/>
  <c r="R29" i="1713"/>
  <c r="R28" i="1713"/>
  <c r="R27" i="1713"/>
  <c r="D27" i="1713"/>
  <c r="R26" i="1713"/>
  <c r="L26" i="1713"/>
  <c r="D26" i="1713"/>
  <c r="R25" i="1713"/>
  <c r="L25" i="1713"/>
  <c r="D25" i="1713" s="1"/>
  <c r="R24" i="1713"/>
  <c r="D24" i="1713"/>
  <c r="R23" i="1713"/>
  <c r="L23" i="1713"/>
  <c r="D23" i="1713"/>
  <c r="R22" i="1713"/>
  <c r="R21" i="1713"/>
  <c r="D21" i="1713"/>
  <c r="R20" i="1713"/>
  <c r="L20" i="1713"/>
  <c r="D20" i="1713"/>
  <c r="R19" i="1713"/>
  <c r="R18" i="1713"/>
  <c r="D18" i="1713"/>
  <c r="R17" i="1713"/>
  <c r="D17" i="1713"/>
  <c r="R16" i="1713"/>
  <c r="L16" i="1713"/>
  <c r="D16" i="1713" s="1"/>
  <c r="R15" i="1713"/>
  <c r="D15" i="1713"/>
  <c r="R14" i="1713"/>
  <c r="D14" i="1713"/>
  <c r="R13" i="1713"/>
  <c r="D13" i="1713"/>
  <c r="R12" i="1713"/>
  <c r="L12" i="1713"/>
  <c r="D12" i="1713" s="1"/>
  <c r="R11" i="1713"/>
  <c r="L11" i="1713"/>
  <c r="D11" i="1713"/>
  <c r="L9" i="1713"/>
  <c r="D9" i="1713"/>
  <c r="L8" i="1713"/>
  <c r="D8" i="1713" s="1"/>
  <c r="L7" i="1713"/>
  <c r="D7" i="1713"/>
  <c r="R6" i="1713"/>
  <c r="R5" i="1713"/>
  <c r="R4" i="1713"/>
  <c r="R52" i="1712"/>
  <c r="R51" i="1712"/>
  <c r="D50" i="1712"/>
  <c r="R49" i="1712"/>
  <c r="D49" i="1712"/>
  <c r="R48" i="1712"/>
  <c r="D48" i="1712"/>
  <c r="D46" i="1712"/>
  <c r="D45" i="1712"/>
  <c r="R44" i="1712"/>
  <c r="D44" i="1712"/>
  <c r="R42" i="1712"/>
  <c r="L6" i="1712" s="1"/>
  <c r="D6" i="1712" s="1"/>
  <c r="D42" i="1712"/>
  <c r="R41" i="1712"/>
  <c r="D41" i="1712"/>
  <c r="R40" i="1712"/>
  <c r="L8" i="1712" s="1"/>
  <c r="D8" i="1712" s="1"/>
  <c r="D40" i="1712"/>
  <c r="R39" i="1712"/>
  <c r="H39" i="1712"/>
  <c r="D39" i="1712"/>
  <c r="R38" i="1712"/>
  <c r="H38" i="1712"/>
  <c r="D38" i="1712"/>
  <c r="R37" i="1712"/>
  <c r="H37" i="1712"/>
  <c r="D37" i="1712"/>
  <c r="R36" i="1712"/>
  <c r="L10" i="1712" s="1"/>
  <c r="D10" i="1712" s="1"/>
  <c r="H36" i="1712"/>
  <c r="D36" i="1712"/>
  <c r="R35" i="1712"/>
  <c r="H35" i="1712"/>
  <c r="D35" i="1712"/>
  <c r="R34" i="1712"/>
  <c r="H34" i="1712"/>
  <c r="D34" i="1712"/>
  <c r="R33" i="1712"/>
  <c r="R32" i="1712"/>
  <c r="R31" i="1712"/>
  <c r="R30" i="1712"/>
  <c r="R29" i="1712"/>
  <c r="R28" i="1712"/>
  <c r="L16" i="1712" s="1"/>
  <c r="D16" i="1712" s="1"/>
  <c r="L28" i="1712"/>
  <c r="D28" i="1712" s="1"/>
  <c r="R27" i="1712"/>
  <c r="D27" i="1712"/>
  <c r="R26" i="1712"/>
  <c r="L26" i="1712"/>
  <c r="D26" i="1712" s="1"/>
  <c r="R25" i="1712"/>
  <c r="L25" i="1712"/>
  <c r="D25" i="1712" s="1"/>
  <c r="R24" i="1712"/>
  <c r="L24" i="1712"/>
  <c r="D24" i="1712"/>
  <c r="R23" i="1712"/>
  <c r="L23" i="1712"/>
  <c r="D23" i="1712"/>
  <c r="R22" i="1712"/>
  <c r="L22" i="1712"/>
  <c r="D22" i="1712" s="1"/>
  <c r="R21" i="1712"/>
  <c r="D21" i="1712"/>
  <c r="R20" i="1712"/>
  <c r="L20" i="1712"/>
  <c r="D20" i="1712"/>
  <c r="R19" i="1712"/>
  <c r="L19" i="1712"/>
  <c r="D19" i="1712"/>
  <c r="R18" i="1712"/>
  <c r="D18" i="1712"/>
  <c r="R17" i="1712"/>
  <c r="L17" i="1712"/>
  <c r="D17" i="1712"/>
  <c r="R16" i="1712"/>
  <c r="R15" i="1712"/>
  <c r="D15" i="1712"/>
  <c r="R14" i="1712"/>
  <c r="D14" i="1712"/>
  <c r="R13" i="1712"/>
  <c r="D13" i="1712"/>
  <c r="R12" i="1712"/>
  <c r="L12" i="1712"/>
  <c r="D12" i="1712"/>
  <c r="R11" i="1712"/>
  <c r="L11" i="1712"/>
  <c r="D11" i="1712" s="1"/>
  <c r="L9" i="1712"/>
  <c r="D9" i="1712" s="1"/>
  <c r="L7" i="1712"/>
  <c r="D7" i="1712" s="1"/>
  <c r="R6" i="1712"/>
  <c r="R5" i="1712"/>
  <c r="R4" i="1712"/>
  <c r="R52" i="1711"/>
  <c r="R51" i="1711"/>
  <c r="D50" i="1711"/>
  <c r="R49" i="1711"/>
  <c r="D49" i="1711"/>
  <c r="R48" i="1711"/>
  <c r="D48" i="1711"/>
  <c r="D46" i="1711"/>
  <c r="D45" i="1711"/>
  <c r="R44" i="1711"/>
  <c r="L28" i="1711" s="1"/>
  <c r="D28" i="1711" s="1"/>
  <c r="D44" i="1711"/>
  <c r="R42" i="1711"/>
  <c r="D42" i="1711"/>
  <c r="R41" i="1711"/>
  <c r="L7" i="1711" s="1"/>
  <c r="D7" i="1711" s="1"/>
  <c r="D41" i="1711"/>
  <c r="R40" i="1711"/>
  <c r="D40" i="1711"/>
  <c r="R39" i="1711"/>
  <c r="L20" i="1711" s="1"/>
  <c r="D20" i="1711" s="1"/>
  <c r="H39" i="1711"/>
  <c r="D39" i="1711"/>
  <c r="R38" i="1711"/>
  <c r="L9" i="1711" s="1"/>
  <c r="D9" i="1711" s="1"/>
  <c r="H38" i="1711"/>
  <c r="D38" i="1711"/>
  <c r="R37" i="1711"/>
  <c r="H37" i="1711"/>
  <c r="D37" i="1711"/>
  <c r="R36" i="1711"/>
  <c r="H36" i="1711"/>
  <c r="D36" i="1711"/>
  <c r="R35" i="1711"/>
  <c r="H35" i="1711"/>
  <c r="D35" i="1711"/>
  <c r="R34" i="1711"/>
  <c r="H34" i="1711"/>
  <c r="D34" i="1711"/>
  <c r="R33" i="1711"/>
  <c r="R32" i="1711"/>
  <c r="L11" i="1711" s="1"/>
  <c r="D11" i="1711" s="1"/>
  <c r="R31" i="1711"/>
  <c r="R30" i="1711"/>
  <c r="R29" i="1711"/>
  <c r="R28" i="1711"/>
  <c r="L16" i="1711" s="1"/>
  <c r="D16" i="1711" s="1"/>
  <c r="R27" i="1711"/>
  <c r="D27" i="1711"/>
  <c r="R26" i="1711"/>
  <c r="L26" i="1711"/>
  <c r="D26" i="1711"/>
  <c r="R25" i="1711"/>
  <c r="L25" i="1711"/>
  <c r="D25" i="1711" s="1"/>
  <c r="R24" i="1711"/>
  <c r="L24" i="1711"/>
  <c r="D24" i="1711" s="1"/>
  <c r="R23" i="1711"/>
  <c r="D23" i="1711"/>
  <c r="R22" i="1711"/>
  <c r="D22" i="1711"/>
  <c r="R21" i="1711"/>
  <c r="D21" i="1711"/>
  <c r="R20" i="1711"/>
  <c r="R19" i="1711"/>
  <c r="D19" i="1711"/>
  <c r="R18" i="1711"/>
  <c r="D18" i="1711"/>
  <c r="R17" i="1711"/>
  <c r="L17" i="1711"/>
  <c r="D17" i="1711" s="1"/>
  <c r="R16" i="1711"/>
  <c r="R15" i="1711"/>
  <c r="D15" i="1711"/>
  <c r="R14" i="1711"/>
  <c r="D14" i="1711"/>
  <c r="R13" i="1711"/>
  <c r="D13" i="1711"/>
  <c r="R12" i="1711"/>
  <c r="L12" i="1711"/>
  <c r="D12" i="1711" s="1"/>
  <c r="R11" i="1711"/>
  <c r="L10" i="1711"/>
  <c r="D10" i="1711" s="1"/>
  <c r="L8" i="1711"/>
  <c r="D8" i="1711" s="1"/>
  <c r="R6" i="1711"/>
  <c r="L6" i="1711"/>
  <c r="D6" i="1711" s="1"/>
  <c r="R5" i="1711"/>
  <c r="R4" i="1711"/>
  <c r="R52" i="1710"/>
  <c r="R51" i="1710"/>
  <c r="D50" i="1710"/>
  <c r="R49" i="1710"/>
  <c r="G49" i="1710"/>
  <c r="D49" i="1710"/>
  <c r="R48" i="1710"/>
  <c r="D48" i="1710"/>
  <c r="D46" i="1710"/>
  <c r="D45" i="1710"/>
  <c r="D44" i="1710"/>
  <c r="R42" i="1710"/>
  <c r="D42" i="1710"/>
  <c r="R41" i="1710"/>
  <c r="L7" i="1710" s="1"/>
  <c r="D7" i="1710" s="1"/>
  <c r="D41" i="1710"/>
  <c r="R40" i="1710"/>
  <c r="L8" i="1710" s="1"/>
  <c r="D8" i="1710" s="1"/>
  <c r="D40" i="1710"/>
  <c r="R39" i="1710"/>
  <c r="D39" i="1710"/>
  <c r="R38" i="1710"/>
  <c r="L9" i="1710" s="1"/>
  <c r="D9" i="1710" s="1"/>
  <c r="D38" i="1710"/>
  <c r="R37" i="1710"/>
  <c r="D37" i="1710"/>
  <c r="R36" i="1710"/>
  <c r="L10" i="1710" s="1"/>
  <c r="D10" i="1710" s="1"/>
  <c r="D36" i="1710"/>
  <c r="R35" i="1710"/>
  <c r="L19" i="1710" s="1"/>
  <c r="D19" i="1710" s="1"/>
  <c r="D35" i="1710"/>
  <c r="D54" i="1710" s="1"/>
  <c r="H14" i="1710" s="1"/>
  <c r="R34" i="1710"/>
  <c r="D34" i="1710"/>
  <c r="R33" i="1710"/>
  <c r="R32" i="1710"/>
  <c r="R31" i="1710"/>
  <c r="R30" i="1710"/>
  <c r="R29" i="1710"/>
  <c r="R28" i="1710"/>
  <c r="L16" i="1710" s="1"/>
  <c r="D16" i="1710" s="1"/>
  <c r="D28" i="1710"/>
  <c r="R27" i="1710"/>
  <c r="D27" i="1710"/>
  <c r="R26" i="1710"/>
  <c r="L26" i="1710"/>
  <c r="D26" i="1710"/>
  <c r="R25" i="1710"/>
  <c r="L25" i="1710"/>
  <c r="D25" i="1710"/>
  <c r="R24" i="1710"/>
  <c r="D24" i="1710"/>
  <c r="R23" i="1710"/>
  <c r="L23" i="1710"/>
  <c r="D23" i="1710"/>
  <c r="R22" i="1710"/>
  <c r="L22" i="1710"/>
  <c r="D22" i="1710" s="1"/>
  <c r="R21" i="1710"/>
  <c r="D21" i="1710"/>
  <c r="R20" i="1710"/>
  <c r="L20" i="1710"/>
  <c r="D20" i="1710"/>
  <c r="R19" i="1710"/>
  <c r="R18" i="1710"/>
  <c r="D18" i="1710"/>
  <c r="R17" i="1710"/>
  <c r="D17" i="1710"/>
  <c r="R16" i="1710"/>
  <c r="S15" i="1710"/>
  <c r="R15" i="1710"/>
  <c r="D15" i="1710"/>
  <c r="S14" i="1710"/>
  <c r="R14" i="1710"/>
  <c r="D14" i="1710"/>
  <c r="R13" i="1710"/>
  <c r="D13" i="1710"/>
  <c r="R12" i="1710"/>
  <c r="L12" i="1710"/>
  <c r="D12" i="1710"/>
  <c r="R11" i="1710"/>
  <c r="L11" i="1710"/>
  <c r="D11" i="1710" s="1"/>
  <c r="R6" i="1710"/>
  <c r="L6" i="1710"/>
  <c r="D6" i="1710"/>
  <c r="R5" i="1710"/>
  <c r="R4" i="1710"/>
  <c r="R52" i="1709"/>
  <c r="L22" i="1709" s="1"/>
  <c r="D22" i="1709" s="1"/>
  <c r="R51" i="1709"/>
  <c r="D50" i="1709"/>
  <c r="R49" i="1709"/>
  <c r="D49" i="1709"/>
  <c r="R48" i="1709"/>
  <c r="D48" i="1709"/>
  <c r="D46" i="1709"/>
  <c r="D45" i="1709"/>
  <c r="R44" i="1709"/>
  <c r="L28" i="1709" s="1"/>
  <c r="D28" i="1709" s="1"/>
  <c r="D44" i="1709"/>
  <c r="R42" i="1709"/>
  <c r="D42" i="1709"/>
  <c r="R41" i="1709"/>
  <c r="D41" i="1709"/>
  <c r="R40" i="1709"/>
  <c r="D40" i="1709"/>
  <c r="R39" i="1709"/>
  <c r="H39" i="1709"/>
  <c r="D39" i="1709"/>
  <c r="R38" i="1709"/>
  <c r="L9" i="1709" s="1"/>
  <c r="D9" i="1709" s="1"/>
  <c r="H38" i="1709"/>
  <c r="D38" i="1709"/>
  <c r="R37" i="1709"/>
  <c r="H37" i="1709"/>
  <c r="D37" i="1709"/>
  <c r="R36" i="1709"/>
  <c r="H36" i="1709"/>
  <c r="D36" i="1709"/>
  <c r="R35" i="1709"/>
  <c r="H35" i="1709"/>
  <c r="D35" i="1709"/>
  <c r="R34" i="1709"/>
  <c r="H34" i="1709"/>
  <c r="D34" i="1709"/>
  <c r="R33" i="1709"/>
  <c r="L23" i="1709" s="1"/>
  <c r="D23" i="1709" s="1"/>
  <c r="R32" i="1709"/>
  <c r="L11" i="1709" s="1"/>
  <c r="D11" i="1709" s="1"/>
  <c r="R31" i="1709"/>
  <c r="R30" i="1709"/>
  <c r="R29" i="1709"/>
  <c r="R28" i="1709"/>
  <c r="R27" i="1709"/>
  <c r="D27" i="1709"/>
  <c r="R26" i="1709"/>
  <c r="L26" i="1709"/>
  <c r="D26" i="1709"/>
  <c r="R25" i="1709"/>
  <c r="L25" i="1709"/>
  <c r="D25" i="1709"/>
  <c r="R24" i="1709"/>
  <c r="D24" i="1709"/>
  <c r="R23" i="1709"/>
  <c r="R22" i="1709"/>
  <c r="R21" i="1709"/>
  <c r="D21" i="1709"/>
  <c r="R20" i="1709"/>
  <c r="L20" i="1709"/>
  <c r="D20" i="1709"/>
  <c r="R19" i="1709"/>
  <c r="L19" i="1709"/>
  <c r="D19" i="1709"/>
  <c r="R18" i="1709"/>
  <c r="D18" i="1709"/>
  <c r="R17" i="1709"/>
  <c r="D17" i="1709"/>
  <c r="R16" i="1709"/>
  <c r="L16" i="1709"/>
  <c r="D16" i="1709"/>
  <c r="R15" i="1709"/>
  <c r="D15" i="1709"/>
  <c r="R14" i="1709"/>
  <c r="D14" i="1709"/>
  <c r="R13" i="1709"/>
  <c r="D13" i="1709"/>
  <c r="R12" i="1709"/>
  <c r="L12" i="1709"/>
  <c r="D12" i="1709" s="1"/>
  <c r="R11" i="1709"/>
  <c r="L10" i="1709"/>
  <c r="D10" i="1709"/>
  <c r="L8" i="1709"/>
  <c r="D8" i="1709"/>
  <c r="L7" i="1709"/>
  <c r="D7" i="1709"/>
  <c r="R6" i="1709"/>
  <c r="L6" i="1709"/>
  <c r="D6" i="1709"/>
  <c r="R5" i="1709"/>
  <c r="R4" i="1709"/>
  <c r="R52" i="1708"/>
  <c r="R51" i="1708"/>
  <c r="D50" i="1708"/>
  <c r="R49" i="1708"/>
  <c r="D49" i="1708"/>
  <c r="R48" i="1708"/>
  <c r="D48" i="1708"/>
  <c r="D46" i="1708"/>
  <c r="D45" i="1708"/>
  <c r="R44" i="1708"/>
  <c r="D44" i="1708"/>
  <c r="R42" i="1708"/>
  <c r="D42" i="1708"/>
  <c r="R41" i="1708"/>
  <c r="L7" i="1708" s="1"/>
  <c r="D7" i="1708" s="1"/>
  <c r="D41" i="1708"/>
  <c r="R40" i="1708"/>
  <c r="L8" i="1708" s="1"/>
  <c r="D8" i="1708" s="1"/>
  <c r="D40" i="1708"/>
  <c r="R39" i="1708"/>
  <c r="H39" i="1708"/>
  <c r="D39" i="1708"/>
  <c r="R38" i="1708"/>
  <c r="H38" i="1708"/>
  <c r="D38" i="1708"/>
  <c r="R37" i="1708"/>
  <c r="H37" i="1708"/>
  <c r="D37" i="1708"/>
  <c r="R36" i="1708"/>
  <c r="H36" i="1708"/>
  <c r="D36" i="1708"/>
  <c r="R35" i="1708"/>
  <c r="L19" i="1708" s="1"/>
  <c r="D19" i="1708" s="1"/>
  <c r="H35" i="1708"/>
  <c r="D35" i="1708"/>
  <c r="R34" i="1708"/>
  <c r="H34" i="1708"/>
  <c r="D34" i="1708"/>
  <c r="R33" i="1708"/>
  <c r="R32" i="1708"/>
  <c r="R31" i="1708"/>
  <c r="R30" i="1708"/>
  <c r="R29" i="1708"/>
  <c r="R28" i="1708"/>
  <c r="L28" i="1708"/>
  <c r="D28" i="1708"/>
  <c r="R27" i="1708"/>
  <c r="D27" i="1708"/>
  <c r="R26" i="1708"/>
  <c r="L26" i="1708"/>
  <c r="D26" i="1708"/>
  <c r="R25" i="1708"/>
  <c r="L25" i="1708"/>
  <c r="D25" i="1708"/>
  <c r="R24" i="1708"/>
  <c r="L24" i="1708"/>
  <c r="D24" i="1708" s="1"/>
  <c r="R23" i="1708"/>
  <c r="L23" i="1708"/>
  <c r="D23" i="1708" s="1"/>
  <c r="R22" i="1708"/>
  <c r="L22" i="1708"/>
  <c r="D22" i="1708"/>
  <c r="R21" i="1708"/>
  <c r="L17" i="1708" s="1"/>
  <c r="D17" i="1708" s="1"/>
  <c r="D21" i="1708"/>
  <c r="R20" i="1708"/>
  <c r="L20" i="1708"/>
  <c r="D20" i="1708"/>
  <c r="R19" i="1708"/>
  <c r="R18" i="1708"/>
  <c r="D18" i="1708"/>
  <c r="R17" i="1708"/>
  <c r="R16" i="1708"/>
  <c r="L16" i="1708"/>
  <c r="D16" i="1708"/>
  <c r="R15" i="1708"/>
  <c r="D15" i="1708"/>
  <c r="R14" i="1708"/>
  <c r="D14" i="1708"/>
  <c r="R13" i="1708"/>
  <c r="D13" i="1708"/>
  <c r="R12" i="1708"/>
  <c r="L12" i="1708"/>
  <c r="D12" i="1708"/>
  <c r="R11" i="1708"/>
  <c r="L11" i="1708"/>
  <c r="D11" i="1708"/>
  <c r="L10" i="1708"/>
  <c r="D10" i="1708"/>
  <c r="L9" i="1708"/>
  <c r="D9" i="1708" s="1"/>
  <c r="R6" i="1708"/>
  <c r="L6" i="1708"/>
  <c r="D6" i="1708" s="1"/>
  <c r="R5" i="1708"/>
  <c r="R4" i="1708"/>
  <c r="R52" i="1707"/>
  <c r="R51" i="1707"/>
  <c r="D50" i="1707"/>
  <c r="R49" i="1707"/>
  <c r="D49" i="1707"/>
  <c r="R48" i="1707"/>
  <c r="D48" i="1707"/>
  <c r="D46" i="1707"/>
  <c r="D45" i="1707"/>
  <c r="R44" i="1707"/>
  <c r="D44" i="1707"/>
  <c r="R42" i="1707"/>
  <c r="L6" i="1707" s="1"/>
  <c r="D6" i="1707" s="1"/>
  <c r="D42" i="1707"/>
  <c r="R41" i="1707"/>
  <c r="L7" i="1707" s="1"/>
  <c r="D7" i="1707" s="1"/>
  <c r="D41" i="1707"/>
  <c r="R40" i="1707"/>
  <c r="D40" i="1707"/>
  <c r="R39" i="1707"/>
  <c r="H39" i="1707"/>
  <c r="D39" i="1707"/>
  <c r="R38" i="1707"/>
  <c r="H38" i="1707"/>
  <c r="D38" i="1707"/>
  <c r="R37" i="1707"/>
  <c r="H37" i="1707"/>
  <c r="D37" i="1707"/>
  <c r="R36" i="1707"/>
  <c r="H36" i="1707"/>
  <c r="D36" i="1707"/>
  <c r="R35" i="1707"/>
  <c r="H35" i="1707"/>
  <c r="G49" i="1707" s="1"/>
  <c r="D35" i="1707"/>
  <c r="R34" i="1707"/>
  <c r="H34" i="1707"/>
  <c r="D34" i="1707"/>
  <c r="R33" i="1707"/>
  <c r="R32" i="1707"/>
  <c r="R31" i="1707"/>
  <c r="R30" i="1707"/>
  <c r="R29" i="1707"/>
  <c r="R28" i="1707"/>
  <c r="L16" i="1707" s="1"/>
  <c r="D16" i="1707" s="1"/>
  <c r="L28" i="1707"/>
  <c r="D28" i="1707"/>
  <c r="R27" i="1707"/>
  <c r="D27" i="1707"/>
  <c r="R26" i="1707"/>
  <c r="L26" i="1707"/>
  <c r="D26" i="1707" s="1"/>
  <c r="R25" i="1707"/>
  <c r="L25" i="1707"/>
  <c r="D25" i="1707" s="1"/>
  <c r="R24" i="1707"/>
  <c r="L24" i="1707"/>
  <c r="D24" i="1707"/>
  <c r="R23" i="1707"/>
  <c r="D23" i="1707"/>
  <c r="R22" i="1707"/>
  <c r="D22" i="1707"/>
  <c r="R21" i="1707"/>
  <c r="D21" i="1707"/>
  <c r="R20" i="1707"/>
  <c r="L20" i="1707"/>
  <c r="D20" i="1707"/>
  <c r="R19" i="1707"/>
  <c r="D19" i="1707"/>
  <c r="R18" i="1707"/>
  <c r="D18" i="1707"/>
  <c r="R17" i="1707"/>
  <c r="L17" i="1707"/>
  <c r="D17" i="1707"/>
  <c r="R16" i="1707"/>
  <c r="R15" i="1707"/>
  <c r="D15" i="1707"/>
  <c r="R14" i="1707"/>
  <c r="D14" i="1707"/>
  <c r="R13" i="1707"/>
  <c r="D13" i="1707"/>
  <c r="R12" i="1707"/>
  <c r="L12" i="1707"/>
  <c r="D12" i="1707"/>
  <c r="R11" i="1707"/>
  <c r="L11" i="1707"/>
  <c r="D11" i="1707"/>
  <c r="L10" i="1707"/>
  <c r="D10" i="1707"/>
  <c r="L9" i="1707"/>
  <c r="D9" i="1707"/>
  <c r="L8" i="1707"/>
  <c r="D8" i="1707" s="1"/>
  <c r="R6" i="1707"/>
  <c r="R5" i="1707"/>
  <c r="R4" i="1707"/>
  <c r="R52" i="1706"/>
  <c r="R51" i="1706"/>
  <c r="D50" i="1706"/>
  <c r="R49" i="1706"/>
  <c r="G49" i="1706"/>
  <c r="D49" i="1706"/>
  <c r="R48" i="1706"/>
  <c r="D48" i="1706"/>
  <c r="D46" i="1706"/>
  <c r="D45" i="1706"/>
  <c r="D44" i="1706"/>
  <c r="R42" i="1706"/>
  <c r="D42" i="1706"/>
  <c r="R41" i="1706"/>
  <c r="L7" i="1706" s="1"/>
  <c r="D7" i="1706" s="1"/>
  <c r="D41" i="1706"/>
  <c r="R40" i="1706"/>
  <c r="D40" i="1706"/>
  <c r="R39" i="1706"/>
  <c r="D39" i="1706"/>
  <c r="R38" i="1706"/>
  <c r="D38" i="1706"/>
  <c r="R37" i="1706"/>
  <c r="D37" i="1706"/>
  <c r="R36" i="1706"/>
  <c r="L10" i="1706" s="1"/>
  <c r="D10" i="1706" s="1"/>
  <c r="D36" i="1706"/>
  <c r="R35" i="1706"/>
  <c r="L19" i="1706" s="1"/>
  <c r="D19" i="1706" s="1"/>
  <c r="D35" i="1706"/>
  <c r="D54" i="1706" s="1"/>
  <c r="H14" i="1706" s="1"/>
  <c r="R34" i="1706"/>
  <c r="D34" i="1706"/>
  <c r="R33" i="1706"/>
  <c r="R32" i="1706"/>
  <c r="L11" i="1706" s="1"/>
  <c r="D11" i="1706" s="1"/>
  <c r="R31" i="1706"/>
  <c r="R30" i="1706"/>
  <c r="R29" i="1706"/>
  <c r="R28" i="1706"/>
  <c r="L16" i="1706" s="1"/>
  <c r="D16" i="1706" s="1"/>
  <c r="D28" i="1706"/>
  <c r="R27" i="1706"/>
  <c r="D27" i="1706"/>
  <c r="R26" i="1706"/>
  <c r="L26" i="1706"/>
  <c r="D26" i="1706"/>
  <c r="R25" i="1706"/>
  <c r="L25" i="1706"/>
  <c r="D25" i="1706"/>
  <c r="R24" i="1706"/>
  <c r="D24" i="1706"/>
  <c r="R23" i="1706"/>
  <c r="L23" i="1706"/>
  <c r="D23" i="1706"/>
  <c r="R22" i="1706"/>
  <c r="L22" i="1706"/>
  <c r="D22" i="1706"/>
  <c r="R21" i="1706"/>
  <c r="D21" i="1706"/>
  <c r="R20" i="1706"/>
  <c r="L20" i="1706"/>
  <c r="D20" i="1706"/>
  <c r="R19" i="1706"/>
  <c r="R18" i="1706"/>
  <c r="D18" i="1706"/>
  <c r="R17" i="1706"/>
  <c r="D17" i="1706"/>
  <c r="R16" i="1706"/>
  <c r="S15" i="1706"/>
  <c r="R15" i="1706"/>
  <c r="D15" i="1706"/>
  <c r="S14" i="1706"/>
  <c r="R14" i="1706"/>
  <c r="D14" i="1706"/>
  <c r="R13" i="1706"/>
  <c r="D13" i="1706"/>
  <c r="R12" i="1706"/>
  <c r="L12" i="1706"/>
  <c r="D12" i="1706"/>
  <c r="R11" i="1706"/>
  <c r="L9" i="1706"/>
  <c r="D9" i="1706"/>
  <c r="L8" i="1706"/>
  <c r="D8" i="1706" s="1"/>
  <c r="R6" i="1706"/>
  <c r="L6" i="1706"/>
  <c r="D6" i="1706"/>
  <c r="R5" i="1706"/>
  <c r="R4" i="1706"/>
  <c r="D54" i="1713" l="1"/>
  <c r="H14" i="1713" s="1"/>
  <c r="D54" i="1712"/>
  <c r="H14" i="1712" s="1"/>
  <c r="D54" i="1711"/>
  <c r="H14" i="1711" s="1"/>
  <c r="G49" i="1712"/>
  <c r="G49" i="1711"/>
  <c r="G49" i="1709"/>
  <c r="G49" i="1708"/>
  <c r="D54" i="1709"/>
  <c r="H14" i="1709" s="1"/>
  <c r="D29" i="1709"/>
  <c r="H13" i="1709" s="1"/>
  <c r="D54" i="1708"/>
  <c r="H14" i="1708" s="1"/>
  <c r="D54" i="1707"/>
  <c r="H14" i="1707" s="1"/>
  <c r="D29" i="1729"/>
  <c r="H13" i="1729" s="1"/>
  <c r="H15" i="1729" s="1"/>
  <c r="H29" i="1729" s="1"/>
  <c r="G51" i="1729" s="1"/>
  <c r="D29" i="1728"/>
  <c r="H13" i="1728" s="1"/>
  <c r="H15" i="1728" s="1"/>
  <c r="H29" i="1728" s="1"/>
  <c r="G51" i="1728" s="1"/>
  <c r="D29" i="1727"/>
  <c r="H13" i="1727" s="1"/>
  <c r="H15" i="1727" s="1"/>
  <c r="H29" i="1727" s="1"/>
  <c r="G51" i="1727"/>
  <c r="D29" i="1726"/>
  <c r="H13" i="1726" s="1"/>
  <c r="H15" i="1726" s="1"/>
  <c r="H29" i="1726" s="1"/>
  <c r="G51" i="1726" s="1"/>
  <c r="D29" i="1725"/>
  <c r="H13" i="1725" s="1"/>
  <c r="H15" i="1725" s="1"/>
  <c r="H29" i="1725" s="1"/>
  <c r="G51" i="1725" s="1"/>
  <c r="D29" i="1724"/>
  <c r="H13" i="1724" s="1"/>
  <c r="H15" i="1724" s="1"/>
  <c r="H29" i="1724" s="1"/>
  <c r="G51" i="1724" s="1"/>
  <c r="D29" i="1723"/>
  <c r="H13" i="1723" s="1"/>
  <c r="H15" i="1723" s="1"/>
  <c r="H29" i="1723" s="1"/>
  <c r="G51" i="1723"/>
  <c r="D29" i="1722"/>
  <c r="H13" i="1722" s="1"/>
  <c r="H15" i="1722" s="1"/>
  <c r="H29" i="1722" s="1"/>
  <c r="G51" i="1722" s="1"/>
  <c r="D29" i="1721"/>
  <c r="H13" i="1721" s="1"/>
  <c r="H15" i="1721" s="1"/>
  <c r="H29" i="1721" s="1"/>
  <c r="G51" i="1721" s="1"/>
  <c r="D29" i="1720"/>
  <c r="H13" i="1720" s="1"/>
  <c r="H15" i="1720" s="1"/>
  <c r="H29" i="1720" s="1"/>
  <c r="G51" i="1720"/>
  <c r="D29" i="1719"/>
  <c r="H13" i="1719" s="1"/>
  <c r="H15" i="1719" s="1"/>
  <c r="H29" i="1719" s="1"/>
  <c r="G51" i="1719" s="1"/>
  <c r="D29" i="1718"/>
  <c r="H13" i="1718" s="1"/>
  <c r="H15" i="1718" s="1"/>
  <c r="H29" i="1718" s="1"/>
  <c r="G51" i="1718" s="1"/>
  <c r="D29" i="1717"/>
  <c r="H13" i="1717" s="1"/>
  <c r="H15" i="1717" s="1"/>
  <c r="H29" i="1717" s="1"/>
  <c r="G51" i="1717" s="1"/>
  <c r="D29" i="1716"/>
  <c r="H13" i="1716" s="1"/>
  <c r="H15" i="1716" s="1"/>
  <c r="H29" i="1716" s="1"/>
  <c r="G51" i="1716"/>
  <c r="G51" i="1715"/>
  <c r="D29" i="1714"/>
  <c r="H13" i="1714" s="1"/>
  <c r="H15" i="1714" s="1"/>
  <c r="H29" i="1714" s="1"/>
  <c r="G51" i="1714" s="1"/>
  <c r="D29" i="1713"/>
  <c r="H13" i="1713" s="1"/>
  <c r="D29" i="1712"/>
  <c r="H13" i="1712" s="1"/>
  <c r="D29" i="1711"/>
  <c r="H13" i="1711" s="1"/>
  <c r="D29" i="1710"/>
  <c r="H13" i="1710" s="1"/>
  <c r="H15" i="1710" s="1"/>
  <c r="H29" i="1710" s="1"/>
  <c r="G51" i="1710" s="1"/>
  <c r="D29" i="1708"/>
  <c r="H13" i="1708" s="1"/>
  <c r="D29" i="1707"/>
  <c r="H13" i="1707" s="1"/>
  <c r="D29" i="1706"/>
  <c r="H13" i="1706" s="1"/>
  <c r="H15" i="1706" s="1"/>
  <c r="H29" i="1706" s="1"/>
  <c r="G51" i="1706" s="1"/>
  <c r="C37" i="1700"/>
  <c r="H15" i="1713" l="1"/>
  <c r="H29" i="1713" s="1"/>
  <c r="G51" i="1713" s="1"/>
  <c r="H15" i="1712"/>
  <c r="H29" i="1712" s="1"/>
  <c r="G51" i="1712" s="1"/>
  <c r="H15" i="1711"/>
  <c r="H29" i="1711" s="1"/>
  <c r="G51" i="1711" s="1"/>
  <c r="H15" i="1709"/>
  <c r="H29" i="1709" s="1"/>
  <c r="G51" i="1709" s="1"/>
  <c r="H15" i="1708"/>
  <c r="H29" i="1708" s="1"/>
  <c r="G51" i="1708" s="1"/>
  <c r="H15" i="1707"/>
  <c r="H29" i="1707" s="1"/>
  <c r="G51" i="1707" s="1"/>
  <c r="H16" i="1696"/>
  <c r="C23" i="1697" l="1"/>
  <c r="L26" i="1697"/>
  <c r="C19" i="1697"/>
  <c r="C12" i="1697"/>
  <c r="L24" i="1697"/>
  <c r="C25" i="1697" l="1"/>
  <c r="C15" i="1697"/>
  <c r="C12" i="1695"/>
  <c r="H16" i="1691" l="1"/>
  <c r="H16" i="1692"/>
  <c r="H16" i="1693"/>
  <c r="H16" i="1689" l="1"/>
  <c r="H16" i="1688"/>
  <c r="H16" i="1685" l="1"/>
  <c r="H16" i="1683"/>
  <c r="L28" i="1684"/>
  <c r="C6" i="1684"/>
  <c r="C20" i="1684"/>
  <c r="C9" i="1684"/>
  <c r="C21" i="1684"/>
  <c r="R52" i="1705" l="1"/>
  <c r="R51" i="1705"/>
  <c r="D50" i="1705"/>
  <c r="R49" i="1705"/>
  <c r="D49" i="1705"/>
  <c r="R48" i="1705"/>
  <c r="D48" i="1705"/>
  <c r="D46" i="1705"/>
  <c r="D45" i="1705"/>
  <c r="R44" i="1705"/>
  <c r="D44" i="1705"/>
  <c r="R42" i="1705"/>
  <c r="L6" i="1705" s="1"/>
  <c r="D6" i="1705" s="1"/>
  <c r="D42" i="1705"/>
  <c r="R41" i="1705"/>
  <c r="D41" i="1705"/>
  <c r="R40" i="1705"/>
  <c r="D40" i="1705"/>
  <c r="R39" i="1705"/>
  <c r="H39" i="1705"/>
  <c r="D39" i="1705"/>
  <c r="R38" i="1705"/>
  <c r="L9" i="1705" s="1"/>
  <c r="D9" i="1705" s="1"/>
  <c r="H38" i="1705"/>
  <c r="D38" i="1705"/>
  <c r="R37" i="1705"/>
  <c r="H37" i="1705"/>
  <c r="D37" i="1705"/>
  <c r="R36" i="1705"/>
  <c r="L10" i="1705" s="1"/>
  <c r="D10" i="1705" s="1"/>
  <c r="H36" i="1705"/>
  <c r="D36" i="1705"/>
  <c r="R35" i="1705"/>
  <c r="H35" i="1705"/>
  <c r="D35" i="1705"/>
  <c r="R34" i="1705"/>
  <c r="L12" i="1705" s="1"/>
  <c r="D12" i="1705" s="1"/>
  <c r="H34" i="1705"/>
  <c r="D34" i="1705"/>
  <c r="R33" i="1705"/>
  <c r="R32" i="1705"/>
  <c r="R31" i="1705"/>
  <c r="R30" i="1705"/>
  <c r="R29" i="1705"/>
  <c r="R28" i="1705"/>
  <c r="L28" i="1705"/>
  <c r="D28" i="1705"/>
  <c r="R27" i="1705"/>
  <c r="D27" i="1705"/>
  <c r="R26" i="1705"/>
  <c r="L26" i="1705"/>
  <c r="D26" i="1705" s="1"/>
  <c r="R25" i="1705"/>
  <c r="D25" i="1705"/>
  <c r="R24" i="1705"/>
  <c r="D24" i="1705"/>
  <c r="R23" i="1705"/>
  <c r="L23" i="1705"/>
  <c r="D23" i="1705" s="1"/>
  <c r="R22" i="1705"/>
  <c r="L22" i="1705"/>
  <c r="D22" i="1705"/>
  <c r="R21" i="1705"/>
  <c r="D21" i="1705"/>
  <c r="R20" i="1705"/>
  <c r="L20" i="1705"/>
  <c r="D20" i="1705" s="1"/>
  <c r="R19" i="1705"/>
  <c r="L19" i="1705"/>
  <c r="D19" i="1705"/>
  <c r="R18" i="1705"/>
  <c r="D18" i="1705"/>
  <c r="R17" i="1705"/>
  <c r="D17" i="1705"/>
  <c r="R16" i="1705"/>
  <c r="L16" i="1705"/>
  <c r="D16" i="1705" s="1"/>
  <c r="R15" i="1705"/>
  <c r="D15" i="1705"/>
  <c r="R14" i="1705"/>
  <c r="D14" i="1705"/>
  <c r="R13" i="1705"/>
  <c r="D13" i="1705"/>
  <c r="R12" i="1705"/>
  <c r="R11" i="1705"/>
  <c r="L11" i="1705"/>
  <c r="D11" i="1705"/>
  <c r="L8" i="1705"/>
  <c r="D8" i="1705"/>
  <c r="L7" i="1705"/>
  <c r="D7" i="1705"/>
  <c r="R6" i="1705"/>
  <c r="R5" i="1705"/>
  <c r="R4" i="1705"/>
  <c r="R52" i="1704"/>
  <c r="R51" i="1704"/>
  <c r="D50" i="1704"/>
  <c r="R49" i="1704"/>
  <c r="D49" i="1704"/>
  <c r="R48" i="1704"/>
  <c r="D48" i="1704"/>
  <c r="D46" i="1704"/>
  <c r="D45" i="1704"/>
  <c r="R44" i="1704"/>
  <c r="D44" i="1704"/>
  <c r="R42" i="1704"/>
  <c r="L6" i="1704" s="1"/>
  <c r="D6" i="1704" s="1"/>
  <c r="D42" i="1704"/>
  <c r="R41" i="1704"/>
  <c r="D41" i="1704"/>
  <c r="R40" i="1704"/>
  <c r="L8" i="1704" s="1"/>
  <c r="D8" i="1704" s="1"/>
  <c r="D40" i="1704"/>
  <c r="R39" i="1704"/>
  <c r="H39" i="1704"/>
  <c r="D39" i="1704"/>
  <c r="R38" i="1704"/>
  <c r="H38" i="1704"/>
  <c r="D38" i="1704"/>
  <c r="R37" i="1704"/>
  <c r="H37" i="1704"/>
  <c r="D37" i="1704"/>
  <c r="R36" i="1704"/>
  <c r="L10" i="1704" s="1"/>
  <c r="D10" i="1704" s="1"/>
  <c r="H36" i="1704"/>
  <c r="D36" i="1704"/>
  <c r="R35" i="1704"/>
  <c r="H35" i="1704"/>
  <c r="D35" i="1704"/>
  <c r="R34" i="1704"/>
  <c r="L12" i="1704" s="1"/>
  <c r="D12" i="1704" s="1"/>
  <c r="H34" i="1704"/>
  <c r="D34" i="1704"/>
  <c r="R33" i="1704"/>
  <c r="R32" i="1704"/>
  <c r="R31" i="1704"/>
  <c r="R30" i="1704"/>
  <c r="R29" i="1704"/>
  <c r="R28" i="1704"/>
  <c r="L28" i="1704"/>
  <c r="D28" i="1704"/>
  <c r="R27" i="1704"/>
  <c r="D27" i="1704"/>
  <c r="R26" i="1704"/>
  <c r="L26" i="1704"/>
  <c r="D26" i="1704" s="1"/>
  <c r="R25" i="1704"/>
  <c r="L25" i="1704"/>
  <c r="D25" i="1704"/>
  <c r="R24" i="1704"/>
  <c r="L24" i="1704"/>
  <c r="D24" i="1704"/>
  <c r="R23" i="1704"/>
  <c r="L23" i="1704"/>
  <c r="D23" i="1704"/>
  <c r="R22" i="1704"/>
  <c r="L22" i="1704"/>
  <c r="D22" i="1704" s="1"/>
  <c r="R21" i="1704"/>
  <c r="D21" i="1704"/>
  <c r="R20" i="1704"/>
  <c r="L20" i="1704"/>
  <c r="D20" i="1704" s="1"/>
  <c r="R19" i="1704"/>
  <c r="L19" i="1704"/>
  <c r="D19" i="1704"/>
  <c r="R18" i="1704"/>
  <c r="D18" i="1704"/>
  <c r="R17" i="1704"/>
  <c r="L17" i="1704"/>
  <c r="D17" i="1704"/>
  <c r="R16" i="1704"/>
  <c r="L16" i="1704"/>
  <c r="D16" i="1704" s="1"/>
  <c r="R15" i="1704"/>
  <c r="D15" i="1704"/>
  <c r="R14" i="1704"/>
  <c r="D14" i="1704"/>
  <c r="R13" i="1704"/>
  <c r="D13" i="1704"/>
  <c r="R12" i="1704"/>
  <c r="R11" i="1704"/>
  <c r="L11" i="1704"/>
  <c r="D11" i="1704"/>
  <c r="L9" i="1704"/>
  <c r="D9" i="1704"/>
  <c r="L7" i="1704"/>
  <c r="D7" i="1704"/>
  <c r="R6" i="1704"/>
  <c r="R5" i="1704"/>
  <c r="R4" i="1704"/>
  <c r="R52" i="1703"/>
  <c r="R51" i="1703"/>
  <c r="D50" i="1703"/>
  <c r="R49" i="1703"/>
  <c r="D49" i="1703"/>
  <c r="R48" i="1703"/>
  <c r="D48" i="1703"/>
  <c r="D46" i="1703"/>
  <c r="D45" i="1703"/>
  <c r="R44" i="1703"/>
  <c r="L28" i="1703" s="1"/>
  <c r="D28" i="1703" s="1"/>
  <c r="D44" i="1703"/>
  <c r="R42" i="1703"/>
  <c r="D42" i="1703"/>
  <c r="R41" i="1703"/>
  <c r="D41" i="1703"/>
  <c r="R40" i="1703"/>
  <c r="D40" i="1703"/>
  <c r="R39" i="1703"/>
  <c r="L20" i="1703" s="1"/>
  <c r="D20" i="1703" s="1"/>
  <c r="H39" i="1703"/>
  <c r="D39" i="1703"/>
  <c r="R38" i="1703"/>
  <c r="H38" i="1703"/>
  <c r="D38" i="1703"/>
  <c r="R37" i="1703"/>
  <c r="H37" i="1703"/>
  <c r="D37" i="1703"/>
  <c r="R36" i="1703"/>
  <c r="H36" i="1703"/>
  <c r="D36" i="1703"/>
  <c r="R35" i="1703"/>
  <c r="H35" i="1703"/>
  <c r="D35" i="1703"/>
  <c r="R34" i="1703"/>
  <c r="H34" i="1703"/>
  <c r="D34" i="1703"/>
  <c r="R33" i="1703"/>
  <c r="R32" i="1703"/>
  <c r="R31" i="1703"/>
  <c r="R30" i="1703"/>
  <c r="R29" i="1703"/>
  <c r="R28" i="1703"/>
  <c r="R27" i="1703"/>
  <c r="D27" i="1703"/>
  <c r="R26" i="1703"/>
  <c r="D26" i="1703"/>
  <c r="R25" i="1703"/>
  <c r="L25" i="1703"/>
  <c r="D25" i="1703" s="1"/>
  <c r="R24" i="1703"/>
  <c r="D24" i="1703"/>
  <c r="R23" i="1703"/>
  <c r="D23" i="1703"/>
  <c r="R22" i="1703"/>
  <c r="D22" i="1703"/>
  <c r="R21" i="1703"/>
  <c r="D21" i="1703"/>
  <c r="R20" i="1703"/>
  <c r="R19" i="1703"/>
  <c r="D19" i="1703"/>
  <c r="R18" i="1703"/>
  <c r="D18" i="1703"/>
  <c r="R17" i="1703"/>
  <c r="L17" i="1703"/>
  <c r="D17" i="1703" s="1"/>
  <c r="R16" i="1703"/>
  <c r="L16" i="1703"/>
  <c r="D16" i="1703" s="1"/>
  <c r="R15" i="1703"/>
  <c r="D15" i="1703"/>
  <c r="R14" i="1703"/>
  <c r="D14" i="1703"/>
  <c r="R13" i="1703"/>
  <c r="D13" i="1703"/>
  <c r="R12" i="1703"/>
  <c r="L12" i="1703"/>
  <c r="D12" i="1703" s="1"/>
  <c r="R11" i="1703"/>
  <c r="L11" i="1703"/>
  <c r="D11" i="1703" s="1"/>
  <c r="L10" i="1703"/>
  <c r="D10" i="1703"/>
  <c r="L9" i="1703"/>
  <c r="D9" i="1703" s="1"/>
  <c r="L8" i="1703"/>
  <c r="D8" i="1703"/>
  <c r="L7" i="1703"/>
  <c r="D7" i="1703"/>
  <c r="R6" i="1703"/>
  <c r="L6" i="1703"/>
  <c r="D6" i="1703" s="1"/>
  <c r="R5" i="1703"/>
  <c r="R4" i="1703"/>
  <c r="R52" i="1702"/>
  <c r="R51" i="1702"/>
  <c r="D50" i="1702"/>
  <c r="R49" i="1702"/>
  <c r="G49" i="1702"/>
  <c r="D49" i="1702"/>
  <c r="R48" i="1702"/>
  <c r="D48" i="1702"/>
  <c r="D46" i="1702"/>
  <c r="D45" i="1702"/>
  <c r="D44" i="1702"/>
  <c r="R42" i="1702"/>
  <c r="D42" i="1702"/>
  <c r="R41" i="1702"/>
  <c r="L7" i="1702" s="1"/>
  <c r="D7" i="1702" s="1"/>
  <c r="D41" i="1702"/>
  <c r="R40" i="1702"/>
  <c r="L8" i="1702" s="1"/>
  <c r="D8" i="1702" s="1"/>
  <c r="D40" i="1702"/>
  <c r="R39" i="1702"/>
  <c r="D39" i="1702"/>
  <c r="R38" i="1702"/>
  <c r="D38" i="1702"/>
  <c r="R37" i="1702"/>
  <c r="D37" i="1702"/>
  <c r="R36" i="1702"/>
  <c r="L10" i="1702" s="1"/>
  <c r="D10" i="1702" s="1"/>
  <c r="D36" i="1702"/>
  <c r="R35" i="1702"/>
  <c r="D35" i="1702"/>
  <c r="R34" i="1702"/>
  <c r="L12" i="1702" s="1"/>
  <c r="D12" i="1702" s="1"/>
  <c r="D34" i="1702"/>
  <c r="D54" i="1702" s="1"/>
  <c r="H14" i="1702" s="1"/>
  <c r="R33" i="1702"/>
  <c r="L23" i="1702" s="1"/>
  <c r="D23" i="1702" s="1"/>
  <c r="R32" i="1702"/>
  <c r="L11" i="1702" s="1"/>
  <c r="D11" i="1702" s="1"/>
  <c r="R31" i="1702"/>
  <c r="R30" i="1702"/>
  <c r="R29" i="1702"/>
  <c r="R28" i="1702"/>
  <c r="L16" i="1702" s="1"/>
  <c r="D16" i="1702" s="1"/>
  <c r="D28" i="1702"/>
  <c r="R27" i="1702"/>
  <c r="D27" i="1702"/>
  <c r="R26" i="1702"/>
  <c r="L26" i="1702"/>
  <c r="D26" i="1702"/>
  <c r="R25" i="1702"/>
  <c r="L25" i="1702"/>
  <c r="D25" i="1702"/>
  <c r="R24" i="1702"/>
  <c r="D24" i="1702"/>
  <c r="R23" i="1702"/>
  <c r="R22" i="1702"/>
  <c r="L22" i="1702"/>
  <c r="D22" i="1702" s="1"/>
  <c r="R21" i="1702"/>
  <c r="D21" i="1702"/>
  <c r="R20" i="1702"/>
  <c r="L20" i="1702"/>
  <c r="D20" i="1702"/>
  <c r="R19" i="1702"/>
  <c r="L19" i="1702"/>
  <c r="D19" i="1702"/>
  <c r="R18" i="1702"/>
  <c r="D18" i="1702"/>
  <c r="R17" i="1702"/>
  <c r="D17" i="1702"/>
  <c r="R16" i="1702"/>
  <c r="S15" i="1702"/>
  <c r="R15" i="1702"/>
  <c r="D15" i="1702"/>
  <c r="S14" i="1702"/>
  <c r="R14" i="1702"/>
  <c r="D14" i="1702"/>
  <c r="R13" i="1702"/>
  <c r="D13" i="1702"/>
  <c r="R12" i="1702"/>
  <c r="R11" i="1702"/>
  <c r="L9" i="1702"/>
  <c r="D9" i="1702" s="1"/>
  <c r="R6" i="1702"/>
  <c r="L6" i="1702"/>
  <c r="D6" i="1702" s="1"/>
  <c r="R5" i="1702"/>
  <c r="R4" i="1702"/>
  <c r="R52" i="1701"/>
  <c r="R51" i="1701"/>
  <c r="D50" i="1701"/>
  <c r="R49" i="1701"/>
  <c r="D49" i="1701"/>
  <c r="R48" i="1701"/>
  <c r="D48" i="1701"/>
  <c r="D46" i="1701"/>
  <c r="D45" i="1701"/>
  <c r="R44" i="1701"/>
  <c r="D44" i="1701"/>
  <c r="R42" i="1701"/>
  <c r="L6" i="1701" s="1"/>
  <c r="D6" i="1701" s="1"/>
  <c r="D42" i="1701"/>
  <c r="R41" i="1701"/>
  <c r="D41" i="1701"/>
  <c r="R40" i="1701"/>
  <c r="D40" i="1701"/>
  <c r="R39" i="1701"/>
  <c r="H39" i="1701"/>
  <c r="D39" i="1701"/>
  <c r="R38" i="1701"/>
  <c r="L9" i="1701" s="1"/>
  <c r="D9" i="1701" s="1"/>
  <c r="H38" i="1701"/>
  <c r="D38" i="1701"/>
  <c r="R37" i="1701"/>
  <c r="H37" i="1701"/>
  <c r="D37" i="1701"/>
  <c r="R36" i="1701"/>
  <c r="H36" i="1701"/>
  <c r="D36" i="1701"/>
  <c r="R35" i="1701"/>
  <c r="H35" i="1701"/>
  <c r="D35" i="1701"/>
  <c r="R34" i="1701"/>
  <c r="L12" i="1701" s="1"/>
  <c r="D12" i="1701" s="1"/>
  <c r="H34" i="1701"/>
  <c r="D34" i="1701"/>
  <c r="R33" i="1701"/>
  <c r="L23" i="1701" s="1"/>
  <c r="D23" i="1701" s="1"/>
  <c r="R32" i="1701"/>
  <c r="L11" i="1701" s="1"/>
  <c r="D11" i="1701" s="1"/>
  <c r="R31" i="1701"/>
  <c r="R30" i="1701"/>
  <c r="R29" i="1701"/>
  <c r="R28" i="1701"/>
  <c r="L28" i="1701"/>
  <c r="D28" i="1701"/>
  <c r="R27" i="1701"/>
  <c r="D27" i="1701"/>
  <c r="R26" i="1701"/>
  <c r="L26" i="1701"/>
  <c r="D26" i="1701"/>
  <c r="R25" i="1701"/>
  <c r="L25" i="1701"/>
  <c r="D25" i="1701" s="1"/>
  <c r="R24" i="1701"/>
  <c r="D24" i="1701"/>
  <c r="R23" i="1701"/>
  <c r="R22" i="1701"/>
  <c r="L22" i="1701"/>
  <c r="D22" i="1701"/>
  <c r="R21" i="1701"/>
  <c r="D21" i="1701"/>
  <c r="R20" i="1701"/>
  <c r="L20" i="1701"/>
  <c r="D20" i="1701"/>
  <c r="R19" i="1701"/>
  <c r="L19" i="1701"/>
  <c r="D19" i="1701" s="1"/>
  <c r="R18" i="1701"/>
  <c r="D18" i="1701"/>
  <c r="R17" i="1701"/>
  <c r="D17" i="1701"/>
  <c r="R16" i="1701"/>
  <c r="L16" i="1701"/>
  <c r="D16" i="1701"/>
  <c r="R15" i="1701"/>
  <c r="D15" i="1701"/>
  <c r="R14" i="1701"/>
  <c r="D14" i="1701"/>
  <c r="R13" i="1701"/>
  <c r="D13" i="1701"/>
  <c r="R12" i="1701"/>
  <c r="R11" i="1701"/>
  <c r="L10" i="1701"/>
  <c r="D10" i="1701"/>
  <c r="L8" i="1701"/>
  <c r="D8" i="1701"/>
  <c r="L7" i="1701"/>
  <c r="D7" i="1701" s="1"/>
  <c r="R6" i="1701"/>
  <c r="R5" i="1701"/>
  <c r="R4" i="1701"/>
  <c r="R52" i="1700"/>
  <c r="R51" i="1700"/>
  <c r="D50" i="1700"/>
  <c r="R49" i="1700"/>
  <c r="D49" i="1700"/>
  <c r="R48" i="1700"/>
  <c r="D48" i="1700"/>
  <c r="D46" i="1700"/>
  <c r="D45" i="1700"/>
  <c r="R44" i="1700"/>
  <c r="D44" i="1700"/>
  <c r="R42" i="1700"/>
  <c r="L6" i="1700" s="1"/>
  <c r="D6" i="1700" s="1"/>
  <c r="D42" i="1700"/>
  <c r="R41" i="1700"/>
  <c r="D41" i="1700"/>
  <c r="R40" i="1700"/>
  <c r="D40" i="1700"/>
  <c r="R39" i="1700"/>
  <c r="H39" i="1700"/>
  <c r="D39" i="1700"/>
  <c r="R38" i="1700"/>
  <c r="L9" i="1700" s="1"/>
  <c r="D9" i="1700" s="1"/>
  <c r="H38" i="1700"/>
  <c r="D38" i="1700"/>
  <c r="R37" i="1700"/>
  <c r="H37" i="1700"/>
  <c r="D37" i="1700"/>
  <c r="R36" i="1700"/>
  <c r="L10" i="1700" s="1"/>
  <c r="D10" i="1700" s="1"/>
  <c r="H36" i="1700"/>
  <c r="D36" i="1700"/>
  <c r="R35" i="1700"/>
  <c r="H35" i="1700"/>
  <c r="D35" i="1700"/>
  <c r="R34" i="1700"/>
  <c r="H34" i="1700"/>
  <c r="G49" i="1700" s="1"/>
  <c r="D34" i="1700"/>
  <c r="R33" i="1700"/>
  <c r="R32" i="1700"/>
  <c r="R31" i="1700"/>
  <c r="R30" i="1700"/>
  <c r="R29" i="1700"/>
  <c r="R28" i="1700"/>
  <c r="L28" i="1700"/>
  <c r="D28" i="1700"/>
  <c r="R27" i="1700"/>
  <c r="D27" i="1700"/>
  <c r="R26" i="1700"/>
  <c r="L26" i="1700"/>
  <c r="D26" i="1700" s="1"/>
  <c r="R25" i="1700"/>
  <c r="L25" i="1700"/>
  <c r="D25" i="1700"/>
  <c r="R24" i="1700"/>
  <c r="L24" i="1700"/>
  <c r="D24" i="1700"/>
  <c r="R23" i="1700"/>
  <c r="L23" i="1700"/>
  <c r="D23" i="1700"/>
  <c r="R22" i="1700"/>
  <c r="L22" i="1700"/>
  <c r="D22" i="1700" s="1"/>
  <c r="R21" i="1700"/>
  <c r="D21" i="1700"/>
  <c r="R20" i="1700"/>
  <c r="L20" i="1700"/>
  <c r="D20" i="1700"/>
  <c r="R19" i="1700"/>
  <c r="L19" i="1700"/>
  <c r="D19" i="1700" s="1"/>
  <c r="R18" i="1700"/>
  <c r="D18" i="1700"/>
  <c r="R17" i="1700"/>
  <c r="L17" i="1700"/>
  <c r="D17" i="1700"/>
  <c r="R16" i="1700"/>
  <c r="L16" i="1700"/>
  <c r="D16" i="1700" s="1"/>
  <c r="R15" i="1700"/>
  <c r="D15" i="1700"/>
  <c r="R14" i="1700"/>
  <c r="D14" i="1700"/>
  <c r="R13" i="1700"/>
  <c r="D13" i="1700"/>
  <c r="R12" i="1700"/>
  <c r="L12" i="1700"/>
  <c r="D12" i="1700"/>
  <c r="R11" i="1700"/>
  <c r="L11" i="1700"/>
  <c r="D11" i="1700"/>
  <c r="L8" i="1700"/>
  <c r="D8" i="1700"/>
  <c r="L7" i="1700"/>
  <c r="D7" i="1700"/>
  <c r="R6" i="1700"/>
  <c r="R5" i="1700"/>
  <c r="R4" i="1700"/>
  <c r="R52" i="1699"/>
  <c r="R51" i="1699"/>
  <c r="D50" i="1699"/>
  <c r="R49" i="1699"/>
  <c r="D49" i="1699"/>
  <c r="R48" i="1699"/>
  <c r="D48" i="1699"/>
  <c r="D46" i="1699"/>
  <c r="D45" i="1699"/>
  <c r="R44" i="1699"/>
  <c r="L28" i="1699" s="1"/>
  <c r="D28" i="1699" s="1"/>
  <c r="D44" i="1699"/>
  <c r="R42" i="1699"/>
  <c r="L6" i="1699" s="1"/>
  <c r="D6" i="1699" s="1"/>
  <c r="D42" i="1699"/>
  <c r="R41" i="1699"/>
  <c r="L7" i="1699" s="1"/>
  <c r="D7" i="1699" s="1"/>
  <c r="D41" i="1699"/>
  <c r="R40" i="1699"/>
  <c r="D40" i="1699"/>
  <c r="R39" i="1699"/>
  <c r="L20" i="1699" s="1"/>
  <c r="D20" i="1699" s="1"/>
  <c r="H39" i="1699"/>
  <c r="D39" i="1699"/>
  <c r="R38" i="1699"/>
  <c r="H38" i="1699"/>
  <c r="D38" i="1699"/>
  <c r="R37" i="1699"/>
  <c r="H37" i="1699"/>
  <c r="D37" i="1699"/>
  <c r="R36" i="1699"/>
  <c r="H36" i="1699"/>
  <c r="D36" i="1699"/>
  <c r="R35" i="1699"/>
  <c r="H35" i="1699"/>
  <c r="D35" i="1699"/>
  <c r="R34" i="1699"/>
  <c r="L12" i="1699" s="1"/>
  <c r="D12" i="1699" s="1"/>
  <c r="H34" i="1699"/>
  <c r="D34" i="1699"/>
  <c r="R33" i="1699"/>
  <c r="R32" i="1699"/>
  <c r="R31" i="1699"/>
  <c r="R30" i="1699"/>
  <c r="R29" i="1699"/>
  <c r="R28" i="1699"/>
  <c r="R27" i="1699"/>
  <c r="D27" i="1699"/>
  <c r="R26" i="1699"/>
  <c r="L26" i="1699"/>
  <c r="D26" i="1699"/>
  <c r="R25" i="1699"/>
  <c r="L25" i="1699"/>
  <c r="D25" i="1699"/>
  <c r="R24" i="1699"/>
  <c r="L24" i="1699"/>
  <c r="D24" i="1699"/>
  <c r="R23" i="1699"/>
  <c r="D23" i="1699"/>
  <c r="R22" i="1699"/>
  <c r="D22" i="1699"/>
  <c r="R21" i="1699"/>
  <c r="D21" i="1699"/>
  <c r="R20" i="1699"/>
  <c r="R19" i="1699"/>
  <c r="D19" i="1699"/>
  <c r="R18" i="1699"/>
  <c r="D18" i="1699"/>
  <c r="R17" i="1699"/>
  <c r="L17" i="1699"/>
  <c r="D17" i="1699"/>
  <c r="R16" i="1699"/>
  <c r="L16" i="1699"/>
  <c r="D16" i="1699" s="1"/>
  <c r="R15" i="1699"/>
  <c r="D15" i="1699"/>
  <c r="R14" i="1699"/>
  <c r="D14" i="1699"/>
  <c r="R13" i="1699"/>
  <c r="D13" i="1699"/>
  <c r="R12" i="1699"/>
  <c r="R11" i="1699"/>
  <c r="L11" i="1699"/>
  <c r="D11" i="1699" s="1"/>
  <c r="L10" i="1699"/>
  <c r="D10" i="1699" s="1"/>
  <c r="L9" i="1699"/>
  <c r="D9" i="1699"/>
  <c r="L8" i="1699"/>
  <c r="D8" i="1699" s="1"/>
  <c r="R6" i="1699"/>
  <c r="R5" i="1699"/>
  <c r="R4" i="1699"/>
  <c r="R52" i="1698"/>
  <c r="R51" i="1698"/>
  <c r="D50" i="1698"/>
  <c r="R49" i="1698"/>
  <c r="G49" i="1698"/>
  <c r="D49" i="1698"/>
  <c r="R48" i="1698"/>
  <c r="D48" i="1698"/>
  <c r="D46" i="1698"/>
  <c r="D45" i="1698"/>
  <c r="D44" i="1698"/>
  <c r="R42" i="1698"/>
  <c r="D42" i="1698"/>
  <c r="R41" i="1698"/>
  <c r="L7" i="1698" s="1"/>
  <c r="D7" i="1698" s="1"/>
  <c r="D41" i="1698"/>
  <c r="R40" i="1698"/>
  <c r="L8" i="1698" s="1"/>
  <c r="D8" i="1698" s="1"/>
  <c r="D40" i="1698"/>
  <c r="R39" i="1698"/>
  <c r="D39" i="1698"/>
  <c r="R38" i="1698"/>
  <c r="D38" i="1698"/>
  <c r="R37" i="1698"/>
  <c r="D37" i="1698"/>
  <c r="R36" i="1698"/>
  <c r="D36" i="1698"/>
  <c r="R35" i="1698"/>
  <c r="D35" i="1698"/>
  <c r="R34" i="1698"/>
  <c r="L12" i="1698" s="1"/>
  <c r="D12" i="1698" s="1"/>
  <c r="D34" i="1698"/>
  <c r="D54" i="1698" s="1"/>
  <c r="H14" i="1698" s="1"/>
  <c r="R33" i="1698"/>
  <c r="L23" i="1698" s="1"/>
  <c r="D23" i="1698" s="1"/>
  <c r="R32" i="1698"/>
  <c r="L11" i="1698" s="1"/>
  <c r="D11" i="1698" s="1"/>
  <c r="R31" i="1698"/>
  <c r="R30" i="1698"/>
  <c r="R29" i="1698"/>
  <c r="R28" i="1698"/>
  <c r="L16" i="1698" s="1"/>
  <c r="D16" i="1698" s="1"/>
  <c r="D28" i="1698"/>
  <c r="R27" i="1698"/>
  <c r="D27" i="1698"/>
  <c r="R26" i="1698"/>
  <c r="L26" i="1698"/>
  <c r="D26" i="1698" s="1"/>
  <c r="R25" i="1698"/>
  <c r="L25" i="1698"/>
  <c r="D25" i="1698"/>
  <c r="R24" i="1698"/>
  <c r="D24" i="1698"/>
  <c r="R23" i="1698"/>
  <c r="R22" i="1698"/>
  <c r="L22" i="1698"/>
  <c r="D22" i="1698" s="1"/>
  <c r="R21" i="1698"/>
  <c r="D21" i="1698"/>
  <c r="R20" i="1698"/>
  <c r="L20" i="1698"/>
  <c r="D20" i="1698" s="1"/>
  <c r="R19" i="1698"/>
  <c r="L19" i="1698"/>
  <c r="D19" i="1698"/>
  <c r="R18" i="1698"/>
  <c r="D18" i="1698"/>
  <c r="R17" i="1698"/>
  <c r="D17" i="1698"/>
  <c r="R16" i="1698"/>
  <c r="S15" i="1698"/>
  <c r="R15" i="1698"/>
  <c r="D15" i="1698"/>
  <c r="S14" i="1698"/>
  <c r="R14" i="1698"/>
  <c r="D14" i="1698"/>
  <c r="R13" i="1698"/>
  <c r="D13" i="1698"/>
  <c r="R12" i="1698"/>
  <c r="R11" i="1698"/>
  <c r="L10" i="1698"/>
  <c r="D10" i="1698" s="1"/>
  <c r="L9" i="1698"/>
  <c r="D9" i="1698"/>
  <c r="R6" i="1698"/>
  <c r="L6" i="1698"/>
  <c r="D6" i="1698"/>
  <c r="R5" i="1698"/>
  <c r="R4" i="1698"/>
  <c r="R52" i="1697"/>
  <c r="R51" i="1697"/>
  <c r="D50" i="1697"/>
  <c r="R49" i="1697"/>
  <c r="D49" i="1697"/>
  <c r="R48" i="1697"/>
  <c r="D48" i="1697"/>
  <c r="D46" i="1697"/>
  <c r="D45" i="1697"/>
  <c r="R44" i="1697"/>
  <c r="D44" i="1697"/>
  <c r="R42" i="1697"/>
  <c r="L6" i="1697" s="1"/>
  <c r="D6" i="1697" s="1"/>
  <c r="D42" i="1697"/>
  <c r="R41" i="1697"/>
  <c r="D41" i="1697"/>
  <c r="R40" i="1697"/>
  <c r="D40" i="1697"/>
  <c r="R39" i="1697"/>
  <c r="H39" i="1697"/>
  <c r="D39" i="1697"/>
  <c r="R38" i="1697"/>
  <c r="L9" i="1697" s="1"/>
  <c r="D9" i="1697" s="1"/>
  <c r="H38" i="1697"/>
  <c r="D38" i="1697"/>
  <c r="R37" i="1697"/>
  <c r="H37" i="1697"/>
  <c r="D37" i="1697"/>
  <c r="R36" i="1697"/>
  <c r="H36" i="1697"/>
  <c r="D36" i="1697"/>
  <c r="R35" i="1697"/>
  <c r="H35" i="1697"/>
  <c r="D35" i="1697"/>
  <c r="R34" i="1697"/>
  <c r="L12" i="1697" s="1"/>
  <c r="D12" i="1697" s="1"/>
  <c r="H34" i="1697"/>
  <c r="D34" i="1697"/>
  <c r="R33" i="1697"/>
  <c r="R32" i="1697"/>
  <c r="R31" i="1697"/>
  <c r="R30" i="1697"/>
  <c r="R29" i="1697"/>
  <c r="R28" i="1697"/>
  <c r="L28" i="1697"/>
  <c r="D28" i="1697"/>
  <c r="R27" i="1697"/>
  <c r="D27" i="1697"/>
  <c r="R26" i="1697"/>
  <c r="D26" i="1697"/>
  <c r="R25" i="1697"/>
  <c r="L25" i="1697"/>
  <c r="D25" i="1697" s="1"/>
  <c r="R24" i="1697"/>
  <c r="D24" i="1697"/>
  <c r="R23" i="1697"/>
  <c r="L23" i="1697"/>
  <c r="D23" i="1697"/>
  <c r="R22" i="1697"/>
  <c r="L22" i="1697"/>
  <c r="D22" i="1697"/>
  <c r="R21" i="1697"/>
  <c r="D21" i="1697"/>
  <c r="R20" i="1697"/>
  <c r="L20" i="1697"/>
  <c r="D20" i="1697" s="1"/>
  <c r="R19" i="1697"/>
  <c r="L19" i="1697"/>
  <c r="D19" i="1697" s="1"/>
  <c r="R18" i="1697"/>
  <c r="D18" i="1697"/>
  <c r="R17" i="1697"/>
  <c r="D17" i="1697"/>
  <c r="R16" i="1697"/>
  <c r="L16" i="1697"/>
  <c r="D16" i="1697" s="1"/>
  <c r="R15" i="1697"/>
  <c r="D15" i="1697"/>
  <c r="R14" i="1697"/>
  <c r="D14" i="1697"/>
  <c r="R13" i="1697"/>
  <c r="D13" i="1697"/>
  <c r="R12" i="1697"/>
  <c r="R11" i="1697"/>
  <c r="L11" i="1697"/>
  <c r="D11" i="1697"/>
  <c r="L10" i="1697"/>
  <c r="D10" i="1697"/>
  <c r="L8" i="1697"/>
  <c r="D8" i="1697"/>
  <c r="L7" i="1697"/>
  <c r="D7" i="1697" s="1"/>
  <c r="R6" i="1697"/>
  <c r="R5" i="1697"/>
  <c r="R4" i="1697"/>
  <c r="R52" i="1696"/>
  <c r="R51" i="1696"/>
  <c r="D50" i="1696"/>
  <c r="R49" i="1696"/>
  <c r="D49" i="1696"/>
  <c r="R48" i="1696"/>
  <c r="D48" i="1696"/>
  <c r="D46" i="1696"/>
  <c r="D45" i="1696"/>
  <c r="R44" i="1696"/>
  <c r="D44" i="1696"/>
  <c r="R42" i="1696"/>
  <c r="L6" i="1696" s="1"/>
  <c r="D6" i="1696" s="1"/>
  <c r="D42" i="1696"/>
  <c r="R41" i="1696"/>
  <c r="L7" i="1696" s="1"/>
  <c r="D7" i="1696" s="1"/>
  <c r="D41" i="1696"/>
  <c r="R40" i="1696"/>
  <c r="D40" i="1696"/>
  <c r="R39" i="1696"/>
  <c r="H39" i="1696"/>
  <c r="D39" i="1696"/>
  <c r="R38" i="1696"/>
  <c r="L9" i="1696" s="1"/>
  <c r="D9" i="1696" s="1"/>
  <c r="H38" i="1696"/>
  <c r="D38" i="1696"/>
  <c r="R37" i="1696"/>
  <c r="H37" i="1696"/>
  <c r="D37" i="1696"/>
  <c r="R36" i="1696"/>
  <c r="H36" i="1696"/>
  <c r="D36" i="1696"/>
  <c r="R35" i="1696"/>
  <c r="L19" i="1696" s="1"/>
  <c r="D19" i="1696" s="1"/>
  <c r="H35" i="1696"/>
  <c r="D35" i="1696"/>
  <c r="R34" i="1696"/>
  <c r="L12" i="1696" s="1"/>
  <c r="D12" i="1696" s="1"/>
  <c r="H34" i="1696"/>
  <c r="D34" i="1696"/>
  <c r="R33" i="1696"/>
  <c r="R32" i="1696"/>
  <c r="R31" i="1696"/>
  <c r="R30" i="1696"/>
  <c r="R29" i="1696"/>
  <c r="R28" i="1696"/>
  <c r="L28" i="1696"/>
  <c r="D28" i="1696"/>
  <c r="R27" i="1696"/>
  <c r="D27" i="1696"/>
  <c r="R26" i="1696"/>
  <c r="L26" i="1696"/>
  <c r="D26" i="1696"/>
  <c r="R25" i="1696"/>
  <c r="L25" i="1696"/>
  <c r="D25" i="1696"/>
  <c r="R24" i="1696"/>
  <c r="L24" i="1696"/>
  <c r="D24" i="1696"/>
  <c r="R23" i="1696"/>
  <c r="L23" i="1696"/>
  <c r="D23" i="1696" s="1"/>
  <c r="R22" i="1696"/>
  <c r="L22" i="1696"/>
  <c r="D22" i="1696" s="1"/>
  <c r="R21" i="1696"/>
  <c r="D21" i="1696"/>
  <c r="R20" i="1696"/>
  <c r="L20" i="1696"/>
  <c r="D20" i="1696" s="1"/>
  <c r="R19" i="1696"/>
  <c r="R18" i="1696"/>
  <c r="D18" i="1696"/>
  <c r="R17" i="1696"/>
  <c r="L17" i="1696"/>
  <c r="D17" i="1696" s="1"/>
  <c r="R16" i="1696"/>
  <c r="L16" i="1696"/>
  <c r="D16" i="1696" s="1"/>
  <c r="R15" i="1696"/>
  <c r="D15" i="1696"/>
  <c r="R14" i="1696"/>
  <c r="D14" i="1696"/>
  <c r="R13" i="1696"/>
  <c r="D13" i="1696"/>
  <c r="R12" i="1696"/>
  <c r="R11" i="1696"/>
  <c r="L11" i="1696"/>
  <c r="D11" i="1696"/>
  <c r="L10" i="1696"/>
  <c r="D10" i="1696" s="1"/>
  <c r="L8" i="1696"/>
  <c r="D8" i="1696" s="1"/>
  <c r="R6" i="1696"/>
  <c r="R5" i="1696"/>
  <c r="R4" i="1696"/>
  <c r="R52" i="1695"/>
  <c r="R51" i="1695"/>
  <c r="D50" i="1695"/>
  <c r="R49" i="1695"/>
  <c r="D49" i="1695"/>
  <c r="R48" i="1695"/>
  <c r="D48" i="1695"/>
  <c r="D46" i="1695"/>
  <c r="D45" i="1695"/>
  <c r="R44" i="1695"/>
  <c r="D44" i="1695"/>
  <c r="R42" i="1695"/>
  <c r="L6" i="1695" s="1"/>
  <c r="D6" i="1695" s="1"/>
  <c r="D42" i="1695"/>
  <c r="R41" i="1695"/>
  <c r="L7" i="1695" s="1"/>
  <c r="D7" i="1695" s="1"/>
  <c r="D41" i="1695"/>
  <c r="R40" i="1695"/>
  <c r="L8" i="1695" s="1"/>
  <c r="D8" i="1695" s="1"/>
  <c r="D40" i="1695"/>
  <c r="R39" i="1695"/>
  <c r="H39" i="1695"/>
  <c r="D39" i="1695"/>
  <c r="R38" i="1695"/>
  <c r="H38" i="1695"/>
  <c r="D38" i="1695"/>
  <c r="R37" i="1695"/>
  <c r="H37" i="1695"/>
  <c r="D37" i="1695"/>
  <c r="R36" i="1695"/>
  <c r="H36" i="1695"/>
  <c r="D36" i="1695"/>
  <c r="R35" i="1695"/>
  <c r="H35" i="1695"/>
  <c r="D35" i="1695"/>
  <c r="R34" i="1695"/>
  <c r="H34" i="1695"/>
  <c r="D34" i="1695"/>
  <c r="R33" i="1695"/>
  <c r="R32" i="1695"/>
  <c r="R31" i="1695"/>
  <c r="R30" i="1695"/>
  <c r="R29" i="1695"/>
  <c r="R28" i="1695"/>
  <c r="L16" i="1695" s="1"/>
  <c r="D16" i="1695" s="1"/>
  <c r="L28" i="1695"/>
  <c r="D28" i="1695"/>
  <c r="R27" i="1695"/>
  <c r="D27" i="1695"/>
  <c r="R26" i="1695"/>
  <c r="L26" i="1695"/>
  <c r="D26" i="1695" s="1"/>
  <c r="R25" i="1695"/>
  <c r="L25" i="1695"/>
  <c r="D25" i="1695"/>
  <c r="R24" i="1695"/>
  <c r="L24" i="1695"/>
  <c r="D24" i="1695"/>
  <c r="R23" i="1695"/>
  <c r="D23" i="1695"/>
  <c r="R22" i="1695"/>
  <c r="D22" i="1695"/>
  <c r="R21" i="1695"/>
  <c r="D21" i="1695"/>
  <c r="R20" i="1695"/>
  <c r="L20" i="1695"/>
  <c r="D20" i="1695" s="1"/>
  <c r="R19" i="1695"/>
  <c r="D19" i="1695"/>
  <c r="R18" i="1695"/>
  <c r="D18" i="1695"/>
  <c r="R17" i="1695"/>
  <c r="L17" i="1695"/>
  <c r="D17" i="1695"/>
  <c r="R16" i="1695"/>
  <c r="R15" i="1695"/>
  <c r="D15" i="1695"/>
  <c r="R14" i="1695"/>
  <c r="D14" i="1695"/>
  <c r="R13" i="1695"/>
  <c r="D13" i="1695"/>
  <c r="R12" i="1695"/>
  <c r="L12" i="1695"/>
  <c r="D12" i="1695" s="1"/>
  <c r="R11" i="1695"/>
  <c r="L11" i="1695"/>
  <c r="D11" i="1695" s="1"/>
  <c r="L10" i="1695"/>
  <c r="D10" i="1695"/>
  <c r="L9" i="1695"/>
  <c r="D9" i="1695" s="1"/>
  <c r="R6" i="1695"/>
  <c r="R5" i="1695"/>
  <c r="R4" i="1695"/>
  <c r="R52" i="1694"/>
  <c r="R51" i="1694"/>
  <c r="D50" i="1694"/>
  <c r="R49" i="1694"/>
  <c r="G49" i="1694"/>
  <c r="D49" i="1694"/>
  <c r="R48" i="1694"/>
  <c r="D48" i="1694"/>
  <c r="D46" i="1694"/>
  <c r="D45" i="1694"/>
  <c r="D44" i="1694"/>
  <c r="R42" i="1694"/>
  <c r="L6" i="1694" s="1"/>
  <c r="D6" i="1694" s="1"/>
  <c r="D29" i="1694" s="1"/>
  <c r="H13" i="1694" s="1"/>
  <c r="H15" i="1694" s="1"/>
  <c r="H29" i="1694" s="1"/>
  <c r="D42" i="1694"/>
  <c r="R41" i="1694"/>
  <c r="L7" i="1694" s="1"/>
  <c r="D7" i="1694" s="1"/>
  <c r="D41" i="1694"/>
  <c r="D54" i="1694" s="1"/>
  <c r="H14" i="1694" s="1"/>
  <c r="R40" i="1694"/>
  <c r="D40" i="1694"/>
  <c r="R39" i="1694"/>
  <c r="D39" i="1694"/>
  <c r="R38" i="1694"/>
  <c r="L9" i="1694" s="1"/>
  <c r="D9" i="1694" s="1"/>
  <c r="D38" i="1694"/>
  <c r="R37" i="1694"/>
  <c r="D37" i="1694"/>
  <c r="R36" i="1694"/>
  <c r="L10" i="1694" s="1"/>
  <c r="D10" i="1694" s="1"/>
  <c r="D36" i="1694"/>
  <c r="R35" i="1694"/>
  <c r="L19" i="1694" s="1"/>
  <c r="D19" i="1694" s="1"/>
  <c r="D35" i="1694"/>
  <c r="R34" i="1694"/>
  <c r="L12" i="1694" s="1"/>
  <c r="D12" i="1694" s="1"/>
  <c r="D34" i="1694"/>
  <c r="R33" i="1694"/>
  <c r="L23" i="1694" s="1"/>
  <c r="D23" i="1694" s="1"/>
  <c r="R32" i="1694"/>
  <c r="L11" i="1694" s="1"/>
  <c r="D11" i="1694" s="1"/>
  <c r="R31" i="1694"/>
  <c r="R30" i="1694"/>
  <c r="R29" i="1694"/>
  <c r="R28" i="1694"/>
  <c r="D28" i="1694"/>
  <c r="R27" i="1694"/>
  <c r="D27" i="1694"/>
  <c r="R26" i="1694"/>
  <c r="L26" i="1694"/>
  <c r="D26" i="1694" s="1"/>
  <c r="R25" i="1694"/>
  <c r="L25" i="1694"/>
  <c r="D25" i="1694"/>
  <c r="R24" i="1694"/>
  <c r="D24" i="1694"/>
  <c r="R23" i="1694"/>
  <c r="R22" i="1694"/>
  <c r="L22" i="1694"/>
  <c r="D22" i="1694"/>
  <c r="R21" i="1694"/>
  <c r="D21" i="1694"/>
  <c r="R20" i="1694"/>
  <c r="L20" i="1694"/>
  <c r="D20" i="1694" s="1"/>
  <c r="R19" i="1694"/>
  <c r="R18" i="1694"/>
  <c r="D18" i="1694"/>
  <c r="R17" i="1694"/>
  <c r="D17" i="1694"/>
  <c r="R16" i="1694"/>
  <c r="L16" i="1694"/>
  <c r="D16" i="1694" s="1"/>
  <c r="S15" i="1694"/>
  <c r="R15" i="1694"/>
  <c r="D15" i="1694"/>
  <c r="S14" i="1694"/>
  <c r="R14" i="1694"/>
  <c r="D14" i="1694"/>
  <c r="R13" i="1694"/>
  <c r="D13" i="1694"/>
  <c r="R12" i="1694"/>
  <c r="R11" i="1694"/>
  <c r="L8" i="1694"/>
  <c r="D8" i="1694"/>
  <c r="R6" i="1694"/>
  <c r="R5" i="1694"/>
  <c r="R4" i="1694"/>
  <c r="R52" i="1693"/>
  <c r="L22" i="1693" s="1"/>
  <c r="D22" i="1693" s="1"/>
  <c r="R51" i="1693"/>
  <c r="D50" i="1693"/>
  <c r="R49" i="1693"/>
  <c r="D49" i="1693"/>
  <c r="R48" i="1693"/>
  <c r="D48" i="1693"/>
  <c r="D46" i="1693"/>
  <c r="D45" i="1693"/>
  <c r="R44" i="1693"/>
  <c r="D44" i="1693"/>
  <c r="R42" i="1693"/>
  <c r="D42" i="1693"/>
  <c r="R41" i="1693"/>
  <c r="L7" i="1693" s="1"/>
  <c r="D7" i="1693" s="1"/>
  <c r="D41" i="1693"/>
  <c r="R40" i="1693"/>
  <c r="D40" i="1693"/>
  <c r="R39" i="1693"/>
  <c r="H39" i="1693"/>
  <c r="D39" i="1693"/>
  <c r="R38" i="1693"/>
  <c r="H38" i="1693"/>
  <c r="D38" i="1693"/>
  <c r="R37" i="1693"/>
  <c r="H37" i="1693"/>
  <c r="D37" i="1693"/>
  <c r="R36" i="1693"/>
  <c r="H36" i="1693"/>
  <c r="D36" i="1693"/>
  <c r="R35" i="1693"/>
  <c r="L19" i="1693" s="1"/>
  <c r="D19" i="1693" s="1"/>
  <c r="H35" i="1693"/>
  <c r="D35" i="1693"/>
  <c r="R34" i="1693"/>
  <c r="H34" i="1693"/>
  <c r="D34" i="1693"/>
  <c r="R33" i="1693"/>
  <c r="L23" i="1693" s="1"/>
  <c r="D23" i="1693" s="1"/>
  <c r="R32" i="1693"/>
  <c r="R31" i="1693"/>
  <c r="R30" i="1693"/>
  <c r="R29" i="1693"/>
  <c r="R28" i="1693"/>
  <c r="L28" i="1693"/>
  <c r="D28" i="1693"/>
  <c r="R27" i="1693"/>
  <c r="D27" i="1693"/>
  <c r="R26" i="1693"/>
  <c r="L26" i="1693"/>
  <c r="D26" i="1693"/>
  <c r="R25" i="1693"/>
  <c r="L25" i="1693"/>
  <c r="D25" i="1693"/>
  <c r="R24" i="1693"/>
  <c r="D24" i="1693"/>
  <c r="R23" i="1693"/>
  <c r="R22" i="1693"/>
  <c r="R21" i="1693"/>
  <c r="D21" i="1693"/>
  <c r="R20" i="1693"/>
  <c r="L20" i="1693"/>
  <c r="D20" i="1693"/>
  <c r="R19" i="1693"/>
  <c r="R18" i="1693"/>
  <c r="D18" i="1693"/>
  <c r="R17" i="1693"/>
  <c r="D17" i="1693"/>
  <c r="R16" i="1693"/>
  <c r="L16" i="1693"/>
  <c r="D16" i="1693"/>
  <c r="R15" i="1693"/>
  <c r="D15" i="1693"/>
  <c r="R14" i="1693"/>
  <c r="D14" i="1693"/>
  <c r="R13" i="1693"/>
  <c r="D13" i="1693"/>
  <c r="R12" i="1693"/>
  <c r="L12" i="1693"/>
  <c r="D12" i="1693" s="1"/>
  <c r="R11" i="1693"/>
  <c r="L11" i="1693"/>
  <c r="D11" i="1693" s="1"/>
  <c r="L10" i="1693"/>
  <c r="D10" i="1693"/>
  <c r="L9" i="1693"/>
  <c r="D9" i="1693"/>
  <c r="L8" i="1693"/>
  <c r="D8" i="1693"/>
  <c r="R6" i="1693"/>
  <c r="L6" i="1693"/>
  <c r="D6" i="1693"/>
  <c r="R5" i="1693"/>
  <c r="R4" i="1693"/>
  <c r="R52" i="1692"/>
  <c r="R51" i="1692"/>
  <c r="D50" i="1692"/>
  <c r="R49" i="1692"/>
  <c r="D49" i="1692"/>
  <c r="R48" i="1692"/>
  <c r="D48" i="1692"/>
  <c r="D46" i="1692"/>
  <c r="D45" i="1692"/>
  <c r="R44" i="1692"/>
  <c r="D44" i="1692"/>
  <c r="R42" i="1692"/>
  <c r="D42" i="1692"/>
  <c r="R41" i="1692"/>
  <c r="D41" i="1692"/>
  <c r="R40" i="1692"/>
  <c r="D40" i="1692"/>
  <c r="R39" i="1692"/>
  <c r="L20" i="1692" s="1"/>
  <c r="D20" i="1692" s="1"/>
  <c r="H39" i="1692"/>
  <c r="D39" i="1692"/>
  <c r="R38" i="1692"/>
  <c r="L9" i="1692" s="1"/>
  <c r="D9" i="1692" s="1"/>
  <c r="H38" i="1692"/>
  <c r="D38" i="1692"/>
  <c r="R37" i="1692"/>
  <c r="H37" i="1692"/>
  <c r="D37" i="1692"/>
  <c r="R36" i="1692"/>
  <c r="L10" i="1692" s="1"/>
  <c r="D10" i="1692" s="1"/>
  <c r="H36" i="1692"/>
  <c r="D36" i="1692"/>
  <c r="R35" i="1692"/>
  <c r="H35" i="1692"/>
  <c r="D35" i="1692"/>
  <c r="R34" i="1692"/>
  <c r="H34" i="1692"/>
  <c r="D34" i="1692"/>
  <c r="R33" i="1692"/>
  <c r="L23" i="1692" s="1"/>
  <c r="D23" i="1692" s="1"/>
  <c r="R32" i="1692"/>
  <c r="L11" i="1692" s="1"/>
  <c r="D11" i="1692" s="1"/>
  <c r="R31" i="1692"/>
  <c r="R30" i="1692"/>
  <c r="R29" i="1692"/>
  <c r="R28" i="1692"/>
  <c r="L28" i="1692"/>
  <c r="D28" i="1692"/>
  <c r="R27" i="1692"/>
  <c r="D27" i="1692"/>
  <c r="R26" i="1692"/>
  <c r="L26" i="1692"/>
  <c r="D26" i="1692"/>
  <c r="R25" i="1692"/>
  <c r="L25" i="1692"/>
  <c r="D25" i="1692"/>
  <c r="R24" i="1692"/>
  <c r="L24" i="1692"/>
  <c r="D24" i="1692"/>
  <c r="R23" i="1692"/>
  <c r="R22" i="1692"/>
  <c r="L22" i="1692"/>
  <c r="D22" i="1692" s="1"/>
  <c r="R21" i="1692"/>
  <c r="D21" i="1692"/>
  <c r="R20" i="1692"/>
  <c r="R19" i="1692"/>
  <c r="L19" i="1692"/>
  <c r="D19" i="1692" s="1"/>
  <c r="R18" i="1692"/>
  <c r="D18" i="1692"/>
  <c r="R17" i="1692"/>
  <c r="L17" i="1692"/>
  <c r="D17" i="1692"/>
  <c r="R16" i="1692"/>
  <c r="L16" i="1692"/>
  <c r="D16" i="1692" s="1"/>
  <c r="R15" i="1692"/>
  <c r="D15" i="1692"/>
  <c r="R14" i="1692"/>
  <c r="D14" i="1692"/>
  <c r="R13" i="1692"/>
  <c r="D13" i="1692"/>
  <c r="R12" i="1692"/>
  <c r="L12" i="1692"/>
  <c r="D12" i="1692" s="1"/>
  <c r="R11" i="1692"/>
  <c r="L8" i="1692"/>
  <c r="D8" i="1692"/>
  <c r="L7" i="1692"/>
  <c r="D7" i="1692"/>
  <c r="R6" i="1692"/>
  <c r="L6" i="1692"/>
  <c r="D6" i="1692"/>
  <c r="R5" i="1692"/>
  <c r="R4" i="1692"/>
  <c r="R52" i="1691"/>
  <c r="R51" i="1691"/>
  <c r="D50" i="1691"/>
  <c r="R49" i="1691"/>
  <c r="D49" i="1691"/>
  <c r="R48" i="1691"/>
  <c r="D48" i="1691"/>
  <c r="D46" i="1691"/>
  <c r="D45" i="1691"/>
  <c r="R44" i="1691"/>
  <c r="D44" i="1691"/>
  <c r="R42" i="1691"/>
  <c r="L6" i="1691" s="1"/>
  <c r="D6" i="1691" s="1"/>
  <c r="D42" i="1691"/>
  <c r="R41" i="1691"/>
  <c r="L7" i="1691" s="1"/>
  <c r="D7" i="1691" s="1"/>
  <c r="D41" i="1691"/>
  <c r="R40" i="1691"/>
  <c r="D40" i="1691"/>
  <c r="R39" i="1691"/>
  <c r="H39" i="1691"/>
  <c r="D39" i="1691"/>
  <c r="R38" i="1691"/>
  <c r="H38" i="1691"/>
  <c r="D38" i="1691"/>
  <c r="R37" i="1691"/>
  <c r="H37" i="1691"/>
  <c r="D37" i="1691"/>
  <c r="R36" i="1691"/>
  <c r="H36" i="1691"/>
  <c r="D36" i="1691"/>
  <c r="R35" i="1691"/>
  <c r="H35" i="1691"/>
  <c r="D35" i="1691"/>
  <c r="R34" i="1691"/>
  <c r="H34" i="1691"/>
  <c r="D34" i="1691"/>
  <c r="R33" i="1691"/>
  <c r="R32" i="1691"/>
  <c r="R31" i="1691"/>
  <c r="R30" i="1691"/>
  <c r="R29" i="1691"/>
  <c r="R28" i="1691"/>
  <c r="L28" i="1691"/>
  <c r="D28" i="1691"/>
  <c r="R27" i="1691"/>
  <c r="D27" i="1691"/>
  <c r="R26" i="1691"/>
  <c r="L26" i="1691"/>
  <c r="D26" i="1691" s="1"/>
  <c r="R25" i="1691"/>
  <c r="L25" i="1691"/>
  <c r="D25" i="1691" s="1"/>
  <c r="R24" i="1691"/>
  <c r="L24" i="1691"/>
  <c r="D24" i="1691"/>
  <c r="R23" i="1691"/>
  <c r="D23" i="1691"/>
  <c r="R22" i="1691"/>
  <c r="D22" i="1691"/>
  <c r="R21" i="1691"/>
  <c r="D21" i="1691"/>
  <c r="R20" i="1691"/>
  <c r="L20" i="1691"/>
  <c r="D20" i="1691"/>
  <c r="R19" i="1691"/>
  <c r="D19" i="1691"/>
  <c r="R18" i="1691"/>
  <c r="D18" i="1691"/>
  <c r="R17" i="1691"/>
  <c r="L17" i="1691"/>
  <c r="D17" i="1691"/>
  <c r="R16" i="1691"/>
  <c r="L16" i="1691"/>
  <c r="D16" i="1691" s="1"/>
  <c r="R15" i="1691"/>
  <c r="D15" i="1691"/>
  <c r="R14" i="1691"/>
  <c r="D14" i="1691"/>
  <c r="R13" i="1691"/>
  <c r="D13" i="1691"/>
  <c r="R12" i="1691"/>
  <c r="L12" i="1691"/>
  <c r="D12" i="1691" s="1"/>
  <c r="R11" i="1691"/>
  <c r="L11" i="1691"/>
  <c r="D11" i="1691"/>
  <c r="L10" i="1691"/>
  <c r="D10" i="1691"/>
  <c r="L9" i="1691"/>
  <c r="D9" i="1691"/>
  <c r="L8" i="1691"/>
  <c r="D8" i="1691"/>
  <c r="R6" i="1691"/>
  <c r="R5" i="1691"/>
  <c r="R4" i="1691"/>
  <c r="R52" i="1690"/>
  <c r="R51" i="1690"/>
  <c r="D50" i="1690"/>
  <c r="R49" i="1690"/>
  <c r="G49" i="1690"/>
  <c r="D49" i="1690"/>
  <c r="R48" i="1690"/>
  <c r="D48" i="1690"/>
  <c r="D46" i="1690"/>
  <c r="D45" i="1690"/>
  <c r="D44" i="1690"/>
  <c r="R42" i="1690"/>
  <c r="L6" i="1690" s="1"/>
  <c r="D6" i="1690" s="1"/>
  <c r="D42" i="1690"/>
  <c r="R41" i="1690"/>
  <c r="L7" i="1690" s="1"/>
  <c r="D7" i="1690" s="1"/>
  <c r="D41" i="1690"/>
  <c r="R40" i="1690"/>
  <c r="D40" i="1690"/>
  <c r="R39" i="1690"/>
  <c r="D39" i="1690"/>
  <c r="R38" i="1690"/>
  <c r="D38" i="1690"/>
  <c r="R37" i="1690"/>
  <c r="D37" i="1690"/>
  <c r="R36" i="1690"/>
  <c r="L10" i="1690" s="1"/>
  <c r="D10" i="1690" s="1"/>
  <c r="D36" i="1690"/>
  <c r="R35" i="1690"/>
  <c r="D35" i="1690"/>
  <c r="R34" i="1690"/>
  <c r="L12" i="1690" s="1"/>
  <c r="D12" i="1690" s="1"/>
  <c r="D34" i="1690"/>
  <c r="D54" i="1690" s="1"/>
  <c r="H14" i="1690" s="1"/>
  <c r="R33" i="1690"/>
  <c r="L23" i="1690" s="1"/>
  <c r="D23" i="1690" s="1"/>
  <c r="R32" i="1690"/>
  <c r="R31" i="1690"/>
  <c r="R30" i="1690"/>
  <c r="R29" i="1690"/>
  <c r="R28" i="1690"/>
  <c r="L16" i="1690" s="1"/>
  <c r="D16" i="1690" s="1"/>
  <c r="D28" i="1690"/>
  <c r="R27" i="1690"/>
  <c r="D27" i="1690"/>
  <c r="R26" i="1690"/>
  <c r="L26" i="1690"/>
  <c r="D26" i="1690"/>
  <c r="R25" i="1690"/>
  <c r="L25" i="1690"/>
  <c r="D25" i="1690"/>
  <c r="R24" i="1690"/>
  <c r="D24" i="1690"/>
  <c r="R23" i="1690"/>
  <c r="R22" i="1690"/>
  <c r="L22" i="1690"/>
  <c r="D22" i="1690" s="1"/>
  <c r="R21" i="1690"/>
  <c r="D21" i="1690"/>
  <c r="R20" i="1690"/>
  <c r="L20" i="1690"/>
  <c r="D20" i="1690"/>
  <c r="R19" i="1690"/>
  <c r="L19" i="1690"/>
  <c r="D19" i="1690"/>
  <c r="R18" i="1690"/>
  <c r="D18" i="1690"/>
  <c r="R17" i="1690"/>
  <c r="D17" i="1690"/>
  <c r="R16" i="1690"/>
  <c r="S15" i="1690"/>
  <c r="R15" i="1690"/>
  <c r="D15" i="1690"/>
  <c r="S14" i="1690"/>
  <c r="R14" i="1690"/>
  <c r="D14" i="1690"/>
  <c r="R13" i="1690"/>
  <c r="D13" i="1690"/>
  <c r="R12" i="1690"/>
  <c r="R11" i="1690"/>
  <c r="L11" i="1690"/>
  <c r="D11" i="1690" s="1"/>
  <c r="L9" i="1690"/>
  <c r="D9" i="1690"/>
  <c r="L8" i="1690"/>
  <c r="D8" i="1690"/>
  <c r="R6" i="1690"/>
  <c r="R5" i="1690"/>
  <c r="R4" i="1690"/>
  <c r="R52" i="1689"/>
  <c r="L22" i="1689" s="1"/>
  <c r="D22" i="1689" s="1"/>
  <c r="R51" i="1689"/>
  <c r="D50" i="1689"/>
  <c r="R49" i="1689"/>
  <c r="D49" i="1689"/>
  <c r="R48" i="1689"/>
  <c r="D48" i="1689"/>
  <c r="D46" i="1689"/>
  <c r="D45" i="1689"/>
  <c r="R44" i="1689"/>
  <c r="L28" i="1689" s="1"/>
  <c r="D28" i="1689" s="1"/>
  <c r="D44" i="1689"/>
  <c r="R42" i="1689"/>
  <c r="D42" i="1689"/>
  <c r="R41" i="1689"/>
  <c r="D41" i="1689"/>
  <c r="R40" i="1689"/>
  <c r="D40" i="1689"/>
  <c r="R39" i="1689"/>
  <c r="H39" i="1689"/>
  <c r="D39" i="1689"/>
  <c r="R38" i="1689"/>
  <c r="H38" i="1689"/>
  <c r="D38" i="1689"/>
  <c r="R37" i="1689"/>
  <c r="H37" i="1689"/>
  <c r="D37" i="1689"/>
  <c r="R36" i="1689"/>
  <c r="L10" i="1689" s="1"/>
  <c r="D10" i="1689" s="1"/>
  <c r="H36" i="1689"/>
  <c r="D36" i="1689"/>
  <c r="R35" i="1689"/>
  <c r="H35" i="1689"/>
  <c r="D35" i="1689"/>
  <c r="R34" i="1689"/>
  <c r="H34" i="1689"/>
  <c r="D34" i="1689"/>
  <c r="R33" i="1689"/>
  <c r="L23" i="1689" s="1"/>
  <c r="D23" i="1689" s="1"/>
  <c r="R32" i="1689"/>
  <c r="R31" i="1689"/>
  <c r="R30" i="1689"/>
  <c r="R29" i="1689"/>
  <c r="R28" i="1689"/>
  <c r="R27" i="1689"/>
  <c r="D27" i="1689"/>
  <c r="R26" i="1689"/>
  <c r="L26" i="1689"/>
  <c r="D26" i="1689"/>
  <c r="R25" i="1689"/>
  <c r="L25" i="1689"/>
  <c r="D25" i="1689" s="1"/>
  <c r="R24" i="1689"/>
  <c r="D24" i="1689"/>
  <c r="R23" i="1689"/>
  <c r="R22" i="1689"/>
  <c r="R21" i="1689"/>
  <c r="D21" i="1689"/>
  <c r="R20" i="1689"/>
  <c r="L20" i="1689"/>
  <c r="D20" i="1689"/>
  <c r="R19" i="1689"/>
  <c r="L19" i="1689"/>
  <c r="D19" i="1689" s="1"/>
  <c r="R18" i="1689"/>
  <c r="D18" i="1689"/>
  <c r="R17" i="1689"/>
  <c r="D17" i="1689"/>
  <c r="R16" i="1689"/>
  <c r="L16" i="1689"/>
  <c r="D16" i="1689" s="1"/>
  <c r="R15" i="1689"/>
  <c r="D15" i="1689"/>
  <c r="R14" i="1689"/>
  <c r="D14" i="1689"/>
  <c r="R13" i="1689"/>
  <c r="D13" i="1689"/>
  <c r="R12" i="1689"/>
  <c r="L12" i="1689"/>
  <c r="D12" i="1689" s="1"/>
  <c r="R11" i="1689"/>
  <c r="L11" i="1689"/>
  <c r="D11" i="1689"/>
  <c r="L9" i="1689"/>
  <c r="D9" i="1689"/>
  <c r="L8" i="1689"/>
  <c r="D8" i="1689"/>
  <c r="L7" i="1689"/>
  <c r="D7" i="1689"/>
  <c r="R6" i="1689"/>
  <c r="L6" i="1689"/>
  <c r="D6" i="1689"/>
  <c r="R5" i="1689"/>
  <c r="R4" i="1689"/>
  <c r="R52" i="1688"/>
  <c r="R51" i="1688"/>
  <c r="D50" i="1688"/>
  <c r="R49" i="1688"/>
  <c r="D49" i="1688"/>
  <c r="R48" i="1688"/>
  <c r="D48" i="1688"/>
  <c r="D46" i="1688"/>
  <c r="D45" i="1688"/>
  <c r="R44" i="1688"/>
  <c r="D44" i="1688"/>
  <c r="R42" i="1688"/>
  <c r="L6" i="1688" s="1"/>
  <c r="D6" i="1688" s="1"/>
  <c r="D42" i="1688"/>
  <c r="R41" i="1688"/>
  <c r="D41" i="1688"/>
  <c r="R40" i="1688"/>
  <c r="D40" i="1688"/>
  <c r="R39" i="1688"/>
  <c r="H39" i="1688"/>
  <c r="D39" i="1688"/>
  <c r="R38" i="1688"/>
  <c r="L9" i="1688" s="1"/>
  <c r="D9" i="1688" s="1"/>
  <c r="H38" i="1688"/>
  <c r="D38" i="1688"/>
  <c r="R37" i="1688"/>
  <c r="H37" i="1688"/>
  <c r="D37" i="1688"/>
  <c r="R36" i="1688"/>
  <c r="L10" i="1688" s="1"/>
  <c r="D10" i="1688" s="1"/>
  <c r="H36" i="1688"/>
  <c r="D36" i="1688"/>
  <c r="R35" i="1688"/>
  <c r="H35" i="1688"/>
  <c r="D35" i="1688"/>
  <c r="R34" i="1688"/>
  <c r="H34" i="1688"/>
  <c r="D34" i="1688"/>
  <c r="R33" i="1688"/>
  <c r="R32" i="1688"/>
  <c r="R31" i="1688"/>
  <c r="R30" i="1688"/>
  <c r="R29" i="1688"/>
  <c r="R28" i="1688"/>
  <c r="L28" i="1688"/>
  <c r="D28" i="1688"/>
  <c r="R27" i="1688"/>
  <c r="D27" i="1688"/>
  <c r="R26" i="1688"/>
  <c r="L26" i="1688"/>
  <c r="D26" i="1688"/>
  <c r="R25" i="1688"/>
  <c r="L25" i="1688"/>
  <c r="D25" i="1688" s="1"/>
  <c r="R24" i="1688"/>
  <c r="L24" i="1688"/>
  <c r="D24" i="1688" s="1"/>
  <c r="R23" i="1688"/>
  <c r="L23" i="1688"/>
  <c r="D23" i="1688"/>
  <c r="R22" i="1688"/>
  <c r="L22" i="1688"/>
  <c r="D22" i="1688" s="1"/>
  <c r="R21" i="1688"/>
  <c r="D21" i="1688"/>
  <c r="R20" i="1688"/>
  <c r="L20" i="1688"/>
  <c r="D20" i="1688"/>
  <c r="R19" i="1688"/>
  <c r="L19" i="1688"/>
  <c r="D19" i="1688" s="1"/>
  <c r="R18" i="1688"/>
  <c r="D18" i="1688"/>
  <c r="R17" i="1688"/>
  <c r="L17" i="1688"/>
  <c r="D17" i="1688"/>
  <c r="R16" i="1688"/>
  <c r="L16" i="1688"/>
  <c r="D16" i="1688" s="1"/>
  <c r="R15" i="1688"/>
  <c r="D15" i="1688"/>
  <c r="R14" i="1688"/>
  <c r="D14" i="1688"/>
  <c r="R13" i="1688"/>
  <c r="D13" i="1688"/>
  <c r="R12" i="1688"/>
  <c r="L12" i="1688"/>
  <c r="D12" i="1688"/>
  <c r="R11" i="1688"/>
  <c r="L11" i="1688"/>
  <c r="D11" i="1688"/>
  <c r="L8" i="1688"/>
  <c r="D8" i="1688"/>
  <c r="L7" i="1688"/>
  <c r="D7" i="1688" s="1"/>
  <c r="R6" i="1688"/>
  <c r="R5" i="1688"/>
  <c r="R4" i="1688"/>
  <c r="R52" i="1687"/>
  <c r="R51" i="1687"/>
  <c r="D50" i="1687"/>
  <c r="R49" i="1687"/>
  <c r="D49" i="1687"/>
  <c r="R48" i="1687"/>
  <c r="D48" i="1687"/>
  <c r="D46" i="1687"/>
  <c r="D45" i="1687"/>
  <c r="R44" i="1687"/>
  <c r="D44" i="1687"/>
  <c r="R42" i="1687"/>
  <c r="L6" i="1687" s="1"/>
  <c r="D6" i="1687" s="1"/>
  <c r="D42" i="1687"/>
  <c r="R41" i="1687"/>
  <c r="D41" i="1687"/>
  <c r="R40" i="1687"/>
  <c r="L8" i="1687" s="1"/>
  <c r="D8" i="1687" s="1"/>
  <c r="D40" i="1687"/>
  <c r="R39" i="1687"/>
  <c r="L20" i="1687" s="1"/>
  <c r="D20" i="1687" s="1"/>
  <c r="H39" i="1687"/>
  <c r="D39" i="1687"/>
  <c r="R38" i="1687"/>
  <c r="H38" i="1687"/>
  <c r="D38" i="1687"/>
  <c r="R37" i="1687"/>
  <c r="H37" i="1687"/>
  <c r="D37" i="1687"/>
  <c r="R36" i="1687"/>
  <c r="H36" i="1687"/>
  <c r="G49" i="1687" s="1"/>
  <c r="D36" i="1687"/>
  <c r="R35" i="1687"/>
  <c r="H35" i="1687"/>
  <c r="D35" i="1687"/>
  <c r="R34" i="1687"/>
  <c r="H34" i="1687"/>
  <c r="D34" i="1687"/>
  <c r="D54" i="1687" s="1"/>
  <c r="H14" i="1687" s="1"/>
  <c r="R33" i="1687"/>
  <c r="R32" i="1687"/>
  <c r="R31" i="1687"/>
  <c r="R30" i="1687"/>
  <c r="R29" i="1687"/>
  <c r="R28" i="1687"/>
  <c r="L16" i="1687" s="1"/>
  <c r="D16" i="1687" s="1"/>
  <c r="L28" i="1687"/>
  <c r="D28" i="1687"/>
  <c r="R27" i="1687"/>
  <c r="D27" i="1687"/>
  <c r="R26" i="1687"/>
  <c r="L26" i="1687"/>
  <c r="D26" i="1687"/>
  <c r="R25" i="1687"/>
  <c r="L25" i="1687"/>
  <c r="D25" i="1687"/>
  <c r="R24" i="1687"/>
  <c r="L24" i="1687"/>
  <c r="D24" i="1687"/>
  <c r="R23" i="1687"/>
  <c r="D23" i="1687"/>
  <c r="R22" i="1687"/>
  <c r="D22" i="1687"/>
  <c r="R21" i="1687"/>
  <c r="D21" i="1687"/>
  <c r="R20" i="1687"/>
  <c r="R19" i="1687"/>
  <c r="D19" i="1687"/>
  <c r="R18" i="1687"/>
  <c r="D18" i="1687"/>
  <c r="R17" i="1687"/>
  <c r="L17" i="1687"/>
  <c r="D17" i="1687"/>
  <c r="R16" i="1687"/>
  <c r="R15" i="1687"/>
  <c r="D15" i="1687"/>
  <c r="R14" i="1687"/>
  <c r="D14" i="1687"/>
  <c r="R13" i="1687"/>
  <c r="D13" i="1687"/>
  <c r="R12" i="1687"/>
  <c r="L12" i="1687"/>
  <c r="D12" i="1687"/>
  <c r="R11" i="1687"/>
  <c r="L11" i="1687"/>
  <c r="D11" i="1687"/>
  <c r="L10" i="1687"/>
  <c r="D10" i="1687"/>
  <c r="L9" i="1687"/>
  <c r="D9" i="1687" s="1"/>
  <c r="L7" i="1687"/>
  <c r="D7" i="1687"/>
  <c r="R6" i="1687"/>
  <c r="R5" i="1687"/>
  <c r="R4" i="1687"/>
  <c r="R52" i="1686"/>
  <c r="R51" i="1686"/>
  <c r="D50" i="1686"/>
  <c r="R49" i="1686"/>
  <c r="G49" i="1686"/>
  <c r="D49" i="1686"/>
  <c r="R48" i="1686"/>
  <c r="D48" i="1686"/>
  <c r="D46" i="1686"/>
  <c r="D45" i="1686"/>
  <c r="D44" i="1686"/>
  <c r="R42" i="1686"/>
  <c r="L6" i="1686" s="1"/>
  <c r="D6" i="1686" s="1"/>
  <c r="D42" i="1686"/>
  <c r="R41" i="1686"/>
  <c r="L7" i="1686" s="1"/>
  <c r="D7" i="1686" s="1"/>
  <c r="D41" i="1686"/>
  <c r="R40" i="1686"/>
  <c r="D40" i="1686"/>
  <c r="R39" i="1686"/>
  <c r="D39" i="1686"/>
  <c r="R38" i="1686"/>
  <c r="D38" i="1686"/>
  <c r="R37" i="1686"/>
  <c r="D37" i="1686"/>
  <c r="R36" i="1686"/>
  <c r="L10" i="1686" s="1"/>
  <c r="D10" i="1686" s="1"/>
  <c r="D36" i="1686"/>
  <c r="R35" i="1686"/>
  <c r="D35" i="1686"/>
  <c r="R34" i="1686"/>
  <c r="L12" i="1686" s="1"/>
  <c r="D12" i="1686" s="1"/>
  <c r="D34" i="1686"/>
  <c r="D54" i="1686" s="1"/>
  <c r="H14" i="1686" s="1"/>
  <c r="R33" i="1686"/>
  <c r="L23" i="1686" s="1"/>
  <c r="D23" i="1686" s="1"/>
  <c r="R32" i="1686"/>
  <c r="R31" i="1686"/>
  <c r="R30" i="1686"/>
  <c r="R29" i="1686"/>
  <c r="R28" i="1686"/>
  <c r="L16" i="1686" s="1"/>
  <c r="D16" i="1686" s="1"/>
  <c r="D28" i="1686"/>
  <c r="R27" i="1686"/>
  <c r="D27" i="1686"/>
  <c r="R26" i="1686"/>
  <c r="L26" i="1686"/>
  <c r="D26" i="1686"/>
  <c r="R25" i="1686"/>
  <c r="L25" i="1686"/>
  <c r="D25" i="1686"/>
  <c r="R24" i="1686"/>
  <c r="D24" i="1686"/>
  <c r="R23" i="1686"/>
  <c r="R22" i="1686"/>
  <c r="L22" i="1686"/>
  <c r="D22" i="1686"/>
  <c r="R21" i="1686"/>
  <c r="D21" i="1686"/>
  <c r="R20" i="1686"/>
  <c r="L20" i="1686"/>
  <c r="D20" i="1686"/>
  <c r="R19" i="1686"/>
  <c r="L19" i="1686"/>
  <c r="D19" i="1686"/>
  <c r="R18" i="1686"/>
  <c r="D18" i="1686"/>
  <c r="R17" i="1686"/>
  <c r="D17" i="1686"/>
  <c r="R16" i="1686"/>
  <c r="S15" i="1686"/>
  <c r="R15" i="1686"/>
  <c r="D15" i="1686"/>
  <c r="S14" i="1686"/>
  <c r="R14" i="1686"/>
  <c r="D14" i="1686"/>
  <c r="R13" i="1686"/>
  <c r="D13" i="1686"/>
  <c r="R12" i="1686"/>
  <c r="R11" i="1686"/>
  <c r="L11" i="1686"/>
  <c r="D11" i="1686"/>
  <c r="L9" i="1686"/>
  <c r="D9" i="1686" s="1"/>
  <c r="L8" i="1686"/>
  <c r="D8" i="1686"/>
  <c r="R6" i="1686"/>
  <c r="R5" i="1686"/>
  <c r="R4" i="1686"/>
  <c r="L28" i="1683"/>
  <c r="G49" i="1705" l="1"/>
  <c r="G49" i="1704"/>
  <c r="G49" i="1703"/>
  <c r="D54" i="1705"/>
  <c r="H14" i="1705" s="1"/>
  <c r="D54" i="1704"/>
  <c r="H14" i="1704" s="1"/>
  <c r="D54" i="1703"/>
  <c r="H14" i="1703" s="1"/>
  <c r="G49" i="1701"/>
  <c r="G49" i="1699"/>
  <c r="D54" i="1701"/>
  <c r="H14" i="1701" s="1"/>
  <c r="D54" i="1700"/>
  <c r="H14" i="1700" s="1"/>
  <c r="D29" i="1700"/>
  <c r="H13" i="1700" s="1"/>
  <c r="D54" i="1699"/>
  <c r="H14" i="1699" s="1"/>
  <c r="G49" i="1697"/>
  <c r="G49" i="1696"/>
  <c r="G49" i="1695"/>
  <c r="D54" i="1697"/>
  <c r="H14" i="1697" s="1"/>
  <c r="D29" i="1697"/>
  <c r="H13" i="1697" s="1"/>
  <c r="D54" i="1696"/>
  <c r="H14" i="1696" s="1"/>
  <c r="D54" i="1695"/>
  <c r="H14" i="1695" s="1"/>
  <c r="G49" i="1691"/>
  <c r="G49" i="1692"/>
  <c r="G49" i="1693"/>
  <c r="D54" i="1693"/>
  <c r="H14" i="1693" s="1"/>
  <c r="D54" i="1692"/>
  <c r="H14" i="1692" s="1"/>
  <c r="D29" i="1692"/>
  <c r="H13" i="1692" s="1"/>
  <c r="D54" i="1691"/>
  <c r="H14" i="1691" s="1"/>
  <c r="G49" i="1689"/>
  <c r="G49" i="1688"/>
  <c r="D54" i="1689"/>
  <c r="H14" i="1689" s="1"/>
  <c r="D54" i="1688"/>
  <c r="H14" i="1688" s="1"/>
  <c r="D29" i="1705"/>
  <c r="H13" i="1705" s="1"/>
  <c r="H15" i="1705" s="1"/>
  <c r="H29" i="1705" s="1"/>
  <c r="G51" i="1705" s="1"/>
  <c r="D29" i="1704"/>
  <c r="H13" i="1704" s="1"/>
  <c r="D29" i="1703"/>
  <c r="H13" i="1703" s="1"/>
  <c r="D29" i="1702"/>
  <c r="H13" i="1702" s="1"/>
  <c r="H15" i="1702" s="1"/>
  <c r="H29" i="1702" s="1"/>
  <c r="G51" i="1702"/>
  <c r="D29" i="1701"/>
  <c r="H13" i="1701" s="1"/>
  <c r="D29" i="1699"/>
  <c r="H13" i="1699" s="1"/>
  <c r="D29" i="1698"/>
  <c r="H13" i="1698" s="1"/>
  <c r="H15" i="1698" s="1"/>
  <c r="H29" i="1698" s="1"/>
  <c r="G51" i="1698"/>
  <c r="D29" i="1696"/>
  <c r="H13" i="1696" s="1"/>
  <c r="H15" i="1696" s="1"/>
  <c r="H29" i="1696" s="1"/>
  <c r="D29" i="1695"/>
  <c r="H13" i="1695" s="1"/>
  <c r="G51" i="1694"/>
  <c r="D29" i="1693"/>
  <c r="H13" i="1693" s="1"/>
  <c r="D29" i="1691"/>
  <c r="H13" i="1691" s="1"/>
  <c r="D29" i="1690"/>
  <c r="H13" i="1690" s="1"/>
  <c r="H15" i="1690" s="1"/>
  <c r="H29" i="1690" s="1"/>
  <c r="G51" i="1690" s="1"/>
  <c r="D29" i="1689"/>
  <c r="H13" i="1689" s="1"/>
  <c r="D29" i="1688"/>
  <c r="H13" i="1688" s="1"/>
  <c r="D29" i="1687"/>
  <c r="H13" i="1687" s="1"/>
  <c r="H15" i="1687" s="1"/>
  <c r="H29" i="1687" s="1"/>
  <c r="G51" i="1687" s="1"/>
  <c r="D29" i="1686"/>
  <c r="H13" i="1686" s="1"/>
  <c r="H15" i="1686" s="1"/>
  <c r="H29" i="1686" s="1"/>
  <c r="G51" i="1686" s="1"/>
  <c r="L28" i="1678"/>
  <c r="H16" i="1680"/>
  <c r="H16" i="1679"/>
  <c r="C12" i="1680"/>
  <c r="R52" i="1685"/>
  <c r="R51" i="1685"/>
  <c r="D50" i="1685"/>
  <c r="R49" i="1685"/>
  <c r="D49" i="1685"/>
  <c r="R48" i="1685"/>
  <c r="D48" i="1685"/>
  <c r="D46" i="1685"/>
  <c r="D45" i="1685"/>
  <c r="R44" i="1685"/>
  <c r="L28" i="1685" s="1"/>
  <c r="D28" i="1685" s="1"/>
  <c r="D44" i="1685"/>
  <c r="R42" i="1685"/>
  <c r="D42" i="1685"/>
  <c r="R41" i="1685"/>
  <c r="D41" i="1685"/>
  <c r="R40" i="1685"/>
  <c r="D40" i="1685"/>
  <c r="R39" i="1685"/>
  <c r="H39" i="1685"/>
  <c r="D39" i="1685"/>
  <c r="R38" i="1685"/>
  <c r="H38" i="1685"/>
  <c r="D38" i="1685"/>
  <c r="R37" i="1685"/>
  <c r="H37" i="1685"/>
  <c r="G49" i="1685" s="1"/>
  <c r="D37" i="1685"/>
  <c r="R36" i="1685"/>
  <c r="H36" i="1685"/>
  <c r="D36" i="1685"/>
  <c r="R35" i="1685"/>
  <c r="H35" i="1685"/>
  <c r="D35" i="1685"/>
  <c r="R34" i="1685"/>
  <c r="L12" i="1685" s="1"/>
  <c r="D12" i="1685" s="1"/>
  <c r="H34" i="1685"/>
  <c r="D34" i="1685"/>
  <c r="R33" i="1685"/>
  <c r="L23" i="1685" s="1"/>
  <c r="D23" i="1685" s="1"/>
  <c r="R32" i="1685"/>
  <c r="R31" i="1685"/>
  <c r="R30" i="1685"/>
  <c r="R29" i="1685"/>
  <c r="R28" i="1685"/>
  <c r="L16" i="1685" s="1"/>
  <c r="D16" i="1685" s="1"/>
  <c r="R27" i="1685"/>
  <c r="D27" i="1685"/>
  <c r="R26" i="1685"/>
  <c r="L26" i="1685"/>
  <c r="D26" i="1685"/>
  <c r="R25" i="1685"/>
  <c r="L25" i="1685"/>
  <c r="D25" i="1685"/>
  <c r="R24" i="1685"/>
  <c r="D24" i="1685"/>
  <c r="R23" i="1685"/>
  <c r="R22" i="1685"/>
  <c r="L22" i="1685"/>
  <c r="D22" i="1685" s="1"/>
  <c r="R21" i="1685"/>
  <c r="D21" i="1685"/>
  <c r="R20" i="1685"/>
  <c r="L20" i="1685"/>
  <c r="D20" i="1685"/>
  <c r="R19" i="1685"/>
  <c r="L19" i="1685"/>
  <c r="D19" i="1685"/>
  <c r="R18" i="1685"/>
  <c r="D18" i="1685"/>
  <c r="R17" i="1685"/>
  <c r="D17" i="1685"/>
  <c r="R16" i="1685"/>
  <c r="R15" i="1685"/>
  <c r="D15" i="1685"/>
  <c r="R14" i="1685"/>
  <c r="D14" i="1685"/>
  <c r="R13" i="1685"/>
  <c r="D13" i="1685"/>
  <c r="R12" i="1685"/>
  <c r="R11" i="1685"/>
  <c r="L11" i="1685"/>
  <c r="D11" i="1685"/>
  <c r="L10" i="1685"/>
  <c r="D10" i="1685" s="1"/>
  <c r="L9" i="1685"/>
  <c r="D9" i="1685"/>
  <c r="L8" i="1685"/>
  <c r="D8" i="1685" s="1"/>
  <c r="L7" i="1685"/>
  <c r="D7" i="1685"/>
  <c r="R6" i="1685"/>
  <c r="L6" i="1685"/>
  <c r="D6" i="1685" s="1"/>
  <c r="R5" i="1685"/>
  <c r="R4" i="1685"/>
  <c r="R52" i="1684"/>
  <c r="R51" i="1684"/>
  <c r="D50" i="1684"/>
  <c r="R49" i="1684"/>
  <c r="D49" i="1684"/>
  <c r="R48" i="1684"/>
  <c r="D48" i="1684"/>
  <c r="D46" i="1684"/>
  <c r="D45" i="1684"/>
  <c r="R44" i="1684"/>
  <c r="D44" i="1684"/>
  <c r="R42" i="1684"/>
  <c r="D42" i="1684"/>
  <c r="R41" i="1684"/>
  <c r="D41" i="1684"/>
  <c r="R40" i="1684"/>
  <c r="D40" i="1684"/>
  <c r="R39" i="1684"/>
  <c r="L20" i="1684" s="1"/>
  <c r="D20" i="1684" s="1"/>
  <c r="H39" i="1684"/>
  <c r="D39" i="1684"/>
  <c r="R38" i="1684"/>
  <c r="L9" i="1684" s="1"/>
  <c r="D9" i="1684" s="1"/>
  <c r="H38" i="1684"/>
  <c r="D38" i="1684"/>
  <c r="R37" i="1684"/>
  <c r="H37" i="1684"/>
  <c r="G49" i="1684" s="1"/>
  <c r="D37" i="1684"/>
  <c r="R36" i="1684"/>
  <c r="H36" i="1684"/>
  <c r="D36" i="1684"/>
  <c r="R35" i="1684"/>
  <c r="H35" i="1684"/>
  <c r="D35" i="1684"/>
  <c r="R34" i="1684"/>
  <c r="H34" i="1684"/>
  <c r="D34" i="1684"/>
  <c r="R33" i="1684"/>
  <c r="R32" i="1684"/>
  <c r="L11" i="1684" s="1"/>
  <c r="D11" i="1684" s="1"/>
  <c r="R31" i="1684"/>
  <c r="R30" i="1684"/>
  <c r="R29" i="1684"/>
  <c r="R28" i="1684"/>
  <c r="L16" i="1684" s="1"/>
  <c r="D16" i="1684" s="1"/>
  <c r="D28" i="1684"/>
  <c r="R27" i="1684"/>
  <c r="D27" i="1684"/>
  <c r="R26" i="1684"/>
  <c r="L26" i="1684"/>
  <c r="D26" i="1684"/>
  <c r="R25" i="1684"/>
  <c r="L25" i="1684"/>
  <c r="D25" i="1684"/>
  <c r="R24" i="1684"/>
  <c r="L24" i="1684"/>
  <c r="D24" i="1684"/>
  <c r="R23" i="1684"/>
  <c r="L23" i="1684"/>
  <c r="D23" i="1684" s="1"/>
  <c r="R22" i="1684"/>
  <c r="L22" i="1684"/>
  <c r="D22" i="1684"/>
  <c r="R21" i="1684"/>
  <c r="D21" i="1684"/>
  <c r="R20" i="1684"/>
  <c r="R19" i="1684"/>
  <c r="L19" i="1684"/>
  <c r="D19" i="1684" s="1"/>
  <c r="R18" i="1684"/>
  <c r="D18" i="1684"/>
  <c r="R17" i="1684"/>
  <c r="L17" i="1684"/>
  <c r="D17" i="1684" s="1"/>
  <c r="R16" i="1684"/>
  <c r="R15" i="1684"/>
  <c r="D15" i="1684"/>
  <c r="R14" i="1684"/>
  <c r="D14" i="1684"/>
  <c r="R13" i="1684"/>
  <c r="D13" i="1684"/>
  <c r="R12" i="1684"/>
  <c r="L12" i="1684"/>
  <c r="D12" i="1684"/>
  <c r="R11" i="1684"/>
  <c r="L10" i="1684"/>
  <c r="D10" i="1684"/>
  <c r="L8" i="1684"/>
  <c r="D8" i="1684"/>
  <c r="L7" i="1684"/>
  <c r="D7" i="1684"/>
  <c r="R6" i="1684"/>
  <c r="L6" i="1684"/>
  <c r="D6" i="1684"/>
  <c r="R5" i="1684"/>
  <c r="R4" i="1684"/>
  <c r="R52" i="1683"/>
  <c r="R51" i="1683"/>
  <c r="D50" i="1683"/>
  <c r="R49" i="1683"/>
  <c r="D49" i="1683"/>
  <c r="R48" i="1683"/>
  <c r="D48" i="1683"/>
  <c r="D46" i="1683"/>
  <c r="D45" i="1683"/>
  <c r="R44" i="1683"/>
  <c r="D44" i="1683"/>
  <c r="R42" i="1683"/>
  <c r="D42" i="1683"/>
  <c r="R41" i="1683"/>
  <c r="L7" i="1683" s="1"/>
  <c r="D7" i="1683" s="1"/>
  <c r="D41" i="1683"/>
  <c r="R40" i="1683"/>
  <c r="D40" i="1683"/>
  <c r="R39" i="1683"/>
  <c r="H39" i="1683"/>
  <c r="D39" i="1683"/>
  <c r="R38" i="1683"/>
  <c r="H38" i="1683"/>
  <c r="D38" i="1683"/>
  <c r="R37" i="1683"/>
  <c r="H37" i="1683"/>
  <c r="D37" i="1683"/>
  <c r="R36" i="1683"/>
  <c r="H36" i="1683"/>
  <c r="D36" i="1683"/>
  <c r="R35" i="1683"/>
  <c r="H35" i="1683"/>
  <c r="D35" i="1683"/>
  <c r="R34" i="1683"/>
  <c r="L12" i="1683" s="1"/>
  <c r="H34" i="1683"/>
  <c r="D34" i="1683"/>
  <c r="R33" i="1683"/>
  <c r="R32" i="1683"/>
  <c r="R31" i="1683"/>
  <c r="R30" i="1683"/>
  <c r="R29" i="1683"/>
  <c r="R28" i="1683"/>
  <c r="D28" i="1683"/>
  <c r="R27" i="1683"/>
  <c r="D27" i="1683"/>
  <c r="R26" i="1683"/>
  <c r="L26" i="1683"/>
  <c r="D26" i="1683"/>
  <c r="R25" i="1683"/>
  <c r="L25" i="1683"/>
  <c r="D25" i="1683"/>
  <c r="R24" i="1683"/>
  <c r="L24" i="1683"/>
  <c r="D24" i="1683"/>
  <c r="R23" i="1683"/>
  <c r="D23" i="1683"/>
  <c r="R22" i="1683"/>
  <c r="D22" i="1683"/>
  <c r="R21" i="1683"/>
  <c r="D21" i="1683"/>
  <c r="R20" i="1683"/>
  <c r="L20" i="1683"/>
  <c r="D20" i="1683"/>
  <c r="R19" i="1683"/>
  <c r="D19" i="1683"/>
  <c r="R18" i="1683"/>
  <c r="D18" i="1683"/>
  <c r="R17" i="1683"/>
  <c r="L17" i="1683"/>
  <c r="D17" i="1683"/>
  <c r="R16" i="1683"/>
  <c r="L16" i="1683"/>
  <c r="D16" i="1683" s="1"/>
  <c r="R15" i="1683"/>
  <c r="D15" i="1683"/>
  <c r="R14" i="1683"/>
  <c r="D14" i="1683"/>
  <c r="R13" i="1683"/>
  <c r="D13" i="1683"/>
  <c r="R12" i="1683"/>
  <c r="R11" i="1683"/>
  <c r="L11" i="1683"/>
  <c r="D11" i="1683" s="1"/>
  <c r="L10" i="1683"/>
  <c r="D10" i="1683"/>
  <c r="L9" i="1683"/>
  <c r="D9" i="1683" s="1"/>
  <c r="L8" i="1683"/>
  <c r="D8" i="1683"/>
  <c r="R6" i="1683"/>
  <c r="L6" i="1683"/>
  <c r="D6" i="1683" s="1"/>
  <c r="R5" i="1683"/>
  <c r="R4" i="1683"/>
  <c r="R52" i="1682"/>
  <c r="R51" i="1682"/>
  <c r="D50" i="1682"/>
  <c r="R49" i="1682"/>
  <c r="G49" i="1682"/>
  <c r="D49" i="1682"/>
  <c r="R48" i="1682"/>
  <c r="D48" i="1682"/>
  <c r="D46" i="1682"/>
  <c r="D45" i="1682"/>
  <c r="D44" i="1682"/>
  <c r="R42" i="1682"/>
  <c r="L6" i="1682" s="1"/>
  <c r="D6" i="1682" s="1"/>
  <c r="D42" i="1682"/>
  <c r="R41" i="1682"/>
  <c r="L7" i="1682" s="1"/>
  <c r="D7" i="1682" s="1"/>
  <c r="D41" i="1682"/>
  <c r="R40" i="1682"/>
  <c r="D40" i="1682"/>
  <c r="R39" i="1682"/>
  <c r="D39" i="1682"/>
  <c r="R38" i="1682"/>
  <c r="L9" i="1682" s="1"/>
  <c r="D9" i="1682" s="1"/>
  <c r="D38" i="1682"/>
  <c r="R37" i="1682"/>
  <c r="D37" i="1682"/>
  <c r="R36" i="1682"/>
  <c r="L10" i="1682" s="1"/>
  <c r="D10" i="1682" s="1"/>
  <c r="D36" i="1682"/>
  <c r="R35" i="1682"/>
  <c r="D35" i="1682"/>
  <c r="R34" i="1682"/>
  <c r="L12" i="1682" s="1"/>
  <c r="D12" i="1682" s="1"/>
  <c r="D34" i="1682"/>
  <c r="D54" i="1682" s="1"/>
  <c r="H14" i="1682" s="1"/>
  <c r="R33" i="1682"/>
  <c r="L23" i="1682" s="1"/>
  <c r="D23" i="1682" s="1"/>
  <c r="R32" i="1682"/>
  <c r="R31" i="1682"/>
  <c r="R30" i="1682"/>
  <c r="R29" i="1682"/>
  <c r="R28" i="1682"/>
  <c r="D28" i="1682"/>
  <c r="R27" i="1682"/>
  <c r="D27" i="1682"/>
  <c r="R26" i="1682"/>
  <c r="L26" i="1682"/>
  <c r="D26" i="1682"/>
  <c r="R25" i="1682"/>
  <c r="L25" i="1682"/>
  <c r="D25" i="1682"/>
  <c r="R24" i="1682"/>
  <c r="D24" i="1682"/>
  <c r="R23" i="1682"/>
  <c r="R22" i="1682"/>
  <c r="L22" i="1682"/>
  <c r="D22" i="1682"/>
  <c r="R21" i="1682"/>
  <c r="D21" i="1682"/>
  <c r="R20" i="1682"/>
  <c r="L20" i="1682"/>
  <c r="D20" i="1682"/>
  <c r="R19" i="1682"/>
  <c r="L19" i="1682"/>
  <c r="D19" i="1682"/>
  <c r="R18" i="1682"/>
  <c r="D18" i="1682"/>
  <c r="R17" i="1682"/>
  <c r="D17" i="1682"/>
  <c r="R16" i="1682"/>
  <c r="L16" i="1682"/>
  <c r="D16" i="1682" s="1"/>
  <c r="S15" i="1682"/>
  <c r="R15" i="1682"/>
  <c r="D15" i="1682"/>
  <c r="S14" i="1682"/>
  <c r="R14" i="1682"/>
  <c r="D14" i="1682"/>
  <c r="R13" i="1682"/>
  <c r="D13" i="1682"/>
  <c r="R12" i="1682"/>
  <c r="R11" i="1682"/>
  <c r="L11" i="1682"/>
  <c r="D11" i="1682" s="1"/>
  <c r="L8" i="1682"/>
  <c r="D8" i="1682"/>
  <c r="R6" i="1682"/>
  <c r="R5" i="1682"/>
  <c r="R4" i="1682"/>
  <c r="C20" i="1678"/>
  <c r="C12" i="1678"/>
  <c r="H15" i="1704" l="1"/>
  <c r="H29" i="1704" s="1"/>
  <c r="G51" i="1704" s="1"/>
  <c r="H15" i="1703"/>
  <c r="H29" i="1703" s="1"/>
  <c r="G51" i="1703" s="1"/>
  <c r="H15" i="1701"/>
  <c r="H29" i="1701" s="1"/>
  <c r="G51" i="1701" s="1"/>
  <c r="H15" i="1700"/>
  <c r="H29" i="1700" s="1"/>
  <c r="G51" i="1700" s="1"/>
  <c r="H15" i="1699"/>
  <c r="H29" i="1699" s="1"/>
  <c r="G51" i="1699" s="1"/>
  <c r="G51" i="1696"/>
  <c r="H15" i="1697"/>
  <c r="H29" i="1697" s="1"/>
  <c r="G51" i="1697" s="1"/>
  <c r="H15" i="1695"/>
  <c r="H29" i="1695" s="1"/>
  <c r="G51" i="1695" s="1"/>
  <c r="H15" i="1693"/>
  <c r="H29" i="1693" s="1"/>
  <c r="G51" i="1693" s="1"/>
  <c r="H15" i="1692"/>
  <c r="H29" i="1692" s="1"/>
  <c r="G51" i="1692" s="1"/>
  <c r="H15" i="1691"/>
  <c r="H29" i="1691" s="1"/>
  <c r="G51" i="1691" s="1"/>
  <c r="H15" i="1689"/>
  <c r="H29" i="1689" s="1"/>
  <c r="G51" i="1689" s="1"/>
  <c r="H15" i="1688"/>
  <c r="H29" i="1688" s="1"/>
  <c r="G51" i="1688" s="1"/>
  <c r="G49" i="1683"/>
  <c r="D54" i="1685"/>
  <c r="H14" i="1685" s="1"/>
  <c r="D54" i="1684"/>
  <c r="H14" i="1684" s="1"/>
  <c r="D54" i="1683"/>
  <c r="H14" i="1683" s="1"/>
  <c r="D29" i="1685"/>
  <c r="H13" i="1685" s="1"/>
  <c r="D29" i="1684"/>
  <c r="H13" i="1684" s="1"/>
  <c r="D12" i="1683"/>
  <c r="D29" i="1683" s="1"/>
  <c r="H13" i="1683" s="1"/>
  <c r="D29" i="1682"/>
  <c r="H13" i="1682" s="1"/>
  <c r="H15" i="1682" s="1"/>
  <c r="H29" i="1682" s="1"/>
  <c r="G51" i="1682"/>
  <c r="H16" i="1676"/>
  <c r="H15" i="1685" l="1"/>
  <c r="H29" i="1685" s="1"/>
  <c r="G51" i="1685" s="1"/>
  <c r="H15" i="1684"/>
  <c r="H29" i="1684" s="1"/>
  <c r="G51" i="1684" s="1"/>
  <c r="H15" i="1683"/>
  <c r="H29" i="1683" s="1"/>
  <c r="G51" i="1683" s="1"/>
  <c r="L28" i="1676"/>
  <c r="L25" i="1671" l="1"/>
  <c r="L25" i="1675"/>
  <c r="C12" i="1672" l="1"/>
  <c r="C12" i="1671"/>
  <c r="H16" i="1672"/>
  <c r="H16" i="1668" l="1"/>
  <c r="H16" i="1666"/>
  <c r="C12" i="1668" l="1"/>
  <c r="C12" i="1667"/>
  <c r="L28" i="1666"/>
  <c r="H29" i="1681" l="1"/>
  <c r="R52" i="1681"/>
  <c r="R51" i="1681"/>
  <c r="D50" i="1681"/>
  <c r="R49" i="1681"/>
  <c r="D49" i="1681"/>
  <c r="R48" i="1681"/>
  <c r="D48" i="1681"/>
  <c r="D46" i="1681"/>
  <c r="D45" i="1681"/>
  <c r="R44" i="1681"/>
  <c r="L28" i="1681" s="1"/>
  <c r="D28" i="1681" s="1"/>
  <c r="D44" i="1681"/>
  <c r="R42" i="1681"/>
  <c r="D42" i="1681"/>
  <c r="R41" i="1681"/>
  <c r="L7" i="1681" s="1"/>
  <c r="D7" i="1681" s="1"/>
  <c r="D41" i="1681"/>
  <c r="D54" i="1681" s="1"/>
  <c r="H14" i="1681" s="1"/>
  <c r="R40" i="1681"/>
  <c r="D40" i="1681"/>
  <c r="R39" i="1681"/>
  <c r="H39" i="1681"/>
  <c r="D39" i="1681"/>
  <c r="R38" i="1681"/>
  <c r="H38" i="1681"/>
  <c r="D38" i="1681"/>
  <c r="R37" i="1681"/>
  <c r="H37" i="1681"/>
  <c r="D37" i="1681"/>
  <c r="R36" i="1681"/>
  <c r="H36" i="1681"/>
  <c r="D36" i="1681"/>
  <c r="R35" i="1681"/>
  <c r="L19" i="1681" s="1"/>
  <c r="D19" i="1681" s="1"/>
  <c r="H35" i="1681"/>
  <c r="D35" i="1681"/>
  <c r="R34" i="1681"/>
  <c r="H34" i="1681"/>
  <c r="G49" i="1681" s="1"/>
  <c r="D34" i="1681"/>
  <c r="R33" i="1681"/>
  <c r="R32" i="1681"/>
  <c r="R31" i="1681"/>
  <c r="R30" i="1681"/>
  <c r="R29" i="1681"/>
  <c r="R28" i="1681"/>
  <c r="R27" i="1681"/>
  <c r="D27" i="1681"/>
  <c r="R26" i="1681"/>
  <c r="L26" i="1681"/>
  <c r="D26" i="1681"/>
  <c r="R25" i="1681"/>
  <c r="L25" i="1681"/>
  <c r="D25" i="1681" s="1"/>
  <c r="R24" i="1681"/>
  <c r="L24" i="1681"/>
  <c r="D24" i="1681"/>
  <c r="R23" i="1681"/>
  <c r="L23" i="1681"/>
  <c r="D23" i="1681"/>
  <c r="R22" i="1681"/>
  <c r="L22" i="1681"/>
  <c r="D22" i="1681"/>
  <c r="R21" i="1681"/>
  <c r="L17" i="1681" s="1"/>
  <c r="D17" i="1681" s="1"/>
  <c r="D21" i="1681"/>
  <c r="R20" i="1681"/>
  <c r="L20" i="1681"/>
  <c r="D20" i="1681"/>
  <c r="R19" i="1681"/>
  <c r="R18" i="1681"/>
  <c r="D18" i="1681"/>
  <c r="R17" i="1681"/>
  <c r="R16" i="1681"/>
  <c r="L16" i="1681"/>
  <c r="D16" i="1681"/>
  <c r="R15" i="1681"/>
  <c r="D15" i="1681"/>
  <c r="R14" i="1681"/>
  <c r="D14" i="1681"/>
  <c r="R13" i="1681"/>
  <c r="D13" i="1681"/>
  <c r="R12" i="1681"/>
  <c r="L12" i="1681"/>
  <c r="D12" i="1681"/>
  <c r="R11" i="1681"/>
  <c r="L11" i="1681"/>
  <c r="D11" i="1681"/>
  <c r="L10" i="1681"/>
  <c r="D10" i="1681" s="1"/>
  <c r="L9" i="1681"/>
  <c r="D9" i="1681"/>
  <c r="L8" i="1681"/>
  <c r="D8" i="1681" s="1"/>
  <c r="R6" i="1681"/>
  <c r="L6" i="1681"/>
  <c r="D6" i="1681"/>
  <c r="R5" i="1681"/>
  <c r="R4" i="1681"/>
  <c r="D29" i="1681" l="1"/>
  <c r="H13" i="1681" s="1"/>
  <c r="H15" i="1681" s="1"/>
  <c r="G51" i="1681" s="1"/>
  <c r="L28" i="1663"/>
  <c r="H16" i="1663" l="1"/>
  <c r="H16" i="1662"/>
  <c r="C12" i="1664"/>
  <c r="C21" i="1664"/>
  <c r="L28" i="1662"/>
  <c r="L23" i="1662"/>
  <c r="L25" i="1662"/>
  <c r="C6" i="1660" l="1"/>
  <c r="C21" i="1659" l="1"/>
  <c r="L23" i="1658"/>
  <c r="L25" i="1658"/>
  <c r="H16" i="1660"/>
  <c r="H16" i="1659"/>
  <c r="H38" i="1659"/>
  <c r="H39" i="1659"/>
  <c r="H16" i="1656" l="1"/>
  <c r="H16" i="1655"/>
  <c r="H16" i="1654"/>
  <c r="L28" i="1656" l="1"/>
  <c r="C12" i="1656"/>
  <c r="L28" i="1655"/>
  <c r="C9" i="1654"/>
  <c r="L28" i="1654"/>
  <c r="H16" i="1652" l="1"/>
  <c r="H16" i="1650"/>
  <c r="C18" i="1652"/>
  <c r="C15" i="1652"/>
  <c r="C12" i="1650"/>
  <c r="H16" i="1648" l="1"/>
  <c r="R52" i="1680" l="1"/>
  <c r="L22" i="1680" s="1"/>
  <c r="D22" i="1680" s="1"/>
  <c r="R51" i="1680"/>
  <c r="D50" i="1680"/>
  <c r="R49" i="1680"/>
  <c r="D49" i="1680"/>
  <c r="R48" i="1680"/>
  <c r="D48" i="1680"/>
  <c r="D46" i="1680"/>
  <c r="D45" i="1680"/>
  <c r="R44" i="1680"/>
  <c r="L28" i="1680" s="1"/>
  <c r="D44" i="1680"/>
  <c r="R42" i="1680"/>
  <c r="L6" i="1680" s="1"/>
  <c r="D6" i="1680" s="1"/>
  <c r="D42" i="1680"/>
  <c r="R41" i="1680"/>
  <c r="D41" i="1680"/>
  <c r="R40" i="1680"/>
  <c r="D40" i="1680"/>
  <c r="R39" i="1680"/>
  <c r="H39" i="1680"/>
  <c r="D39" i="1680"/>
  <c r="R38" i="1680"/>
  <c r="H38" i="1680"/>
  <c r="D38" i="1680"/>
  <c r="R37" i="1680"/>
  <c r="H37" i="1680"/>
  <c r="D37" i="1680"/>
  <c r="R36" i="1680"/>
  <c r="H36" i="1680"/>
  <c r="D36" i="1680"/>
  <c r="R35" i="1680"/>
  <c r="L19" i="1680" s="1"/>
  <c r="D19" i="1680" s="1"/>
  <c r="H35" i="1680"/>
  <c r="D35" i="1680"/>
  <c r="R34" i="1680"/>
  <c r="L12" i="1680" s="1"/>
  <c r="D12" i="1680" s="1"/>
  <c r="H34" i="1680"/>
  <c r="D34" i="1680"/>
  <c r="R33" i="1680"/>
  <c r="L23" i="1680" s="1"/>
  <c r="D23" i="1680" s="1"/>
  <c r="R32" i="1680"/>
  <c r="L11" i="1680" s="1"/>
  <c r="D11" i="1680" s="1"/>
  <c r="R31" i="1680"/>
  <c r="R30" i="1680"/>
  <c r="R29" i="1680"/>
  <c r="R28" i="1680"/>
  <c r="D28" i="1680"/>
  <c r="R27" i="1680"/>
  <c r="D27" i="1680"/>
  <c r="R26" i="1680"/>
  <c r="L26" i="1680"/>
  <c r="D26" i="1680"/>
  <c r="R25" i="1680"/>
  <c r="L25" i="1680"/>
  <c r="D25" i="1680"/>
  <c r="R24" i="1680"/>
  <c r="D24" i="1680"/>
  <c r="R23" i="1680"/>
  <c r="R22" i="1680"/>
  <c r="R21" i="1680"/>
  <c r="D21" i="1680"/>
  <c r="R20" i="1680"/>
  <c r="L20" i="1680"/>
  <c r="D20" i="1680"/>
  <c r="R19" i="1680"/>
  <c r="R18" i="1680"/>
  <c r="D18" i="1680"/>
  <c r="R17" i="1680"/>
  <c r="D17" i="1680"/>
  <c r="R16" i="1680"/>
  <c r="L16" i="1680"/>
  <c r="D16" i="1680" s="1"/>
  <c r="R15" i="1680"/>
  <c r="D15" i="1680"/>
  <c r="R14" i="1680"/>
  <c r="D14" i="1680"/>
  <c r="R13" i="1680"/>
  <c r="D13" i="1680"/>
  <c r="R12" i="1680"/>
  <c r="R11" i="1680"/>
  <c r="L10" i="1680"/>
  <c r="D10" i="1680"/>
  <c r="L9" i="1680"/>
  <c r="D9" i="1680" s="1"/>
  <c r="L8" i="1680"/>
  <c r="D8" i="1680" s="1"/>
  <c r="L7" i="1680"/>
  <c r="D7" i="1680" s="1"/>
  <c r="R6" i="1680"/>
  <c r="R5" i="1680"/>
  <c r="R4" i="1680"/>
  <c r="R52" i="1679"/>
  <c r="R51" i="1679"/>
  <c r="D50" i="1679"/>
  <c r="R49" i="1679"/>
  <c r="D49" i="1679"/>
  <c r="R48" i="1679"/>
  <c r="D48" i="1679"/>
  <c r="D46" i="1679"/>
  <c r="D45" i="1679"/>
  <c r="R44" i="1679"/>
  <c r="D44" i="1679"/>
  <c r="R42" i="1679"/>
  <c r="L6" i="1679" s="1"/>
  <c r="D6" i="1679" s="1"/>
  <c r="D42" i="1679"/>
  <c r="R41" i="1679"/>
  <c r="L7" i="1679" s="1"/>
  <c r="D7" i="1679" s="1"/>
  <c r="D41" i="1679"/>
  <c r="R40" i="1679"/>
  <c r="L8" i="1679" s="1"/>
  <c r="D8" i="1679" s="1"/>
  <c r="D40" i="1679"/>
  <c r="R39" i="1679"/>
  <c r="L20" i="1679" s="1"/>
  <c r="D20" i="1679" s="1"/>
  <c r="H39" i="1679"/>
  <c r="D39" i="1679"/>
  <c r="R38" i="1679"/>
  <c r="H38" i="1679"/>
  <c r="D38" i="1679"/>
  <c r="R37" i="1679"/>
  <c r="H37" i="1679"/>
  <c r="D37" i="1679"/>
  <c r="R36" i="1679"/>
  <c r="H36" i="1679"/>
  <c r="D36" i="1679"/>
  <c r="R35" i="1679"/>
  <c r="L19" i="1679" s="1"/>
  <c r="D19" i="1679" s="1"/>
  <c r="H35" i="1679"/>
  <c r="D35" i="1679"/>
  <c r="R34" i="1679"/>
  <c r="H34" i="1679"/>
  <c r="D34" i="1679"/>
  <c r="R33" i="1679"/>
  <c r="L23" i="1679" s="1"/>
  <c r="D23" i="1679" s="1"/>
  <c r="R32" i="1679"/>
  <c r="R31" i="1679"/>
  <c r="R30" i="1679"/>
  <c r="R29" i="1679"/>
  <c r="R28" i="1679"/>
  <c r="D28" i="1679"/>
  <c r="R27" i="1679"/>
  <c r="D27" i="1679"/>
  <c r="R26" i="1679"/>
  <c r="L26" i="1679"/>
  <c r="D26" i="1679" s="1"/>
  <c r="R25" i="1679"/>
  <c r="L25" i="1679"/>
  <c r="D25" i="1679"/>
  <c r="R24" i="1679"/>
  <c r="L24" i="1679"/>
  <c r="D24" i="1679" s="1"/>
  <c r="R23" i="1679"/>
  <c r="R22" i="1679"/>
  <c r="L22" i="1679"/>
  <c r="D22" i="1679"/>
  <c r="R21" i="1679"/>
  <c r="L17" i="1679" s="1"/>
  <c r="D17" i="1679" s="1"/>
  <c r="D21" i="1679"/>
  <c r="R20" i="1679"/>
  <c r="R19" i="1679"/>
  <c r="R18" i="1679"/>
  <c r="D18" i="1679"/>
  <c r="R17" i="1679"/>
  <c r="R16" i="1679"/>
  <c r="L16" i="1679"/>
  <c r="D16" i="1679"/>
  <c r="R15" i="1679"/>
  <c r="D15" i="1679"/>
  <c r="R14" i="1679"/>
  <c r="D14" i="1679"/>
  <c r="R13" i="1679"/>
  <c r="D13" i="1679"/>
  <c r="R12" i="1679"/>
  <c r="L12" i="1679"/>
  <c r="D12" i="1679" s="1"/>
  <c r="R11" i="1679"/>
  <c r="L11" i="1679"/>
  <c r="D11" i="1679"/>
  <c r="L10" i="1679"/>
  <c r="D10" i="1679" s="1"/>
  <c r="L9" i="1679"/>
  <c r="D9" i="1679" s="1"/>
  <c r="R6" i="1679"/>
  <c r="R5" i="1679"/>
  <c r="R4" i="1679"/>
  <c r="R52" i="1678"/>
  <c r="R51" i="1678"/>
  <c r="D50" i="1678"/>
  <c r="R49" i="1678"/>
  <c r="D49" i="1678"/>
  <c r="R48" i="1678"/>
  <c r="D48" i="1678"/>
  <c r="D46" i="1678"/>
  <c r="D45" i="1678"/>
  <c r="R44" i="1678"/>
  <c r="D44" i="1678"/>
  <c r="R42" i="1678"/>
  <c r="D42" i="1678"/>
  <c r="R41" i="1678"/>
  <c r="L7" i="1678" s="1"/>
  <c r="D7" i="1678" s="1"/>
  <c r="D41" i="1678"/>
  <c r="R40" i="1678"/>
  <c r="D40" i="1678"/>
  <c r="R39" i="1678"/>
  <c r="L20" i="1678" s="1"/>
  <c r="D20" i="1678" s="1"/>
  <c r="H39" i="1678"/>
  <c r="D39" i="1678"/>
  <c r="R38" i="1678"/>
  <c r="L9" i="1678" s="1"/>
  <c r="D9" i="1678" s="1"/>
  <c r="H38" i="1678"/>
  <c r="D38" i="1678"/>
  <c r="R37" i="1678"/>
  <c r="H37" i="1678"/>
  <c r="D37" i="1678"/>
  <c r="R36" i="1678"/>
  <c r="L10" i="1678" s="1"/>
  <c r="D10" i="1678" s="1"/>
  <c r="H36" i="1678"/>
  <c r="D36" i="1678"/>
  <c r="R35" i="1678"/>
  <c r="H35" i="1678"/>
  <c r="D35" i="1678"/>
  <c r="R34" i="1678"/>
  <c r="H34" i="1678"/>
  <c r="D34" i="1678"/>
  <c r="R33" i="1678"/>
  <c r="R32" i="1678"/>
  <c r="L11" i="1678" s="1"/>
  <c r="D11" i="1678" s="1"/>
  <c r="R31" i="1678"/>
  <c r="R30" i="1678"/>
  <c r="R29" i="1678"/>
  <c r="R28" i="1678"/>
  <c r="L16" i="1678" s="1"/>
  <c r="D16" i="1678" s="1"/>
  <c r="D28" i="1678"/>
  <c r="R27" i="1678"/>
  <c r="D27" i="1678"/>
  <c r="R26" i="1678"/>
  <c r="L26" i="1678"/>
  <c r="D26" i="1678"/>
  <c r="R25" i="1678"/>
  <c r="L25" i="1678"/>
  <c r="D25" i="1678" s="1"/>
  <c r="R24" i="1678"/>
  <c r="L24" i="1678"/>
  <c r="D24" i="1678" s="1"/>
  <c r="R23" i="1678"/>
  <c r="D23" i="1678"/>
  <c r="R22" i="1678"/>
  <c r="D22" i="1678"/>
  <c r="R21" i="1678"/>
  <c r="D21" i="1678"/>
  <c r="R20" i="1678"/>
  <c r="R19" i="1678"/>
  <c r="D19" i="1678"/>
  <c r="R18" i="1678"/>
  <c r="D18" i="1678"/>
  <c r="R17" i="1678"/>
  <c r="L17" i="1678"/>
  <c r="D17" i="1678" s="1"/>
  <c r="R16" i="1678"/>
  <c r="R15" i="1678"/>
  <c r="D15" i="1678"/>
  <c r="R14" i="1678"/>
  <c r="D14" i="1678"/>
  <c r="R13" i="1678"/>
  <c r="D13" i="1678"/>
  <c r="R12" i="1678"/>
  <c r="L12" i="1678"/>
  <c r="D12" i="1678" s="1"/>
  <c r="R11" i="1678"/>
  <c r="L8" i="1678"/>
  <c r="D8" i="1678" s="1"/>
  <c r="R6" i="1678"/>
  <c r="L6" i="1678"/>
  <c r="D6" i="1678" s="1"/>
  <c r="R5" i="1678"/>
  <c r="R4" i="1678"/>
  <c r="R52" i="1677"/>
  <c r="R51" i="1677"/>
  <c r="D50" i="1677"/>
  <c r="R49" i="1677"/>
  <c r="G49" i="1677"/>
  <c r="D49" i="1677"/>
  <c r="R48" i="1677"/>
  <c r="D48" i="1677"/>
  <c r="D46" i="1677"/>
  <c r="D45" i="1677"/>
  <c r="D44" i="1677"/>
  <c r="R42" i="1677"/>
  <c r="L6" i="1677" s="1"/>
  <c r="D6" i="1677" s="1"/>
  <c r="D42" i="1677"/>
  <c r="R41" i="1677"/>
  <c r="L7" i="1677" s="1"/>
  <c r="D7" i="1677" s="1"/>
  <c r="D41" i="1677"/>
  <c r="R40" i="1677"/>
  <c r="D40" i="1677"/>
  <c r="R39" i="1677"/>
  <c r="D39" i="1677"/>
  <c r="R38" i="1677"/>
  <c r="D38" i="1677"/>
  <c r="R37" i="1677"/>
  <c r="D37" i="1677"/>
  <c r="R36" i="1677"/>
  <c r="L10" i="1677" s="1"/>
  <c r="D10" i="1677" s="1"/>
  <c r="D36" i="1677"/>
  <c r="R35" i="1677"/>
  <c r="L19" i="1677" s="1"/>
  <c r="D19" i="1677" s="1"/>
  <c r="D35" i="1677"/>
  <c r="R34" i="1677"/>
  <c r="L12" i="1677" s="1"/>
  <c r="D12" i="1677" s="1"/>
  <c r="D34" i="1677"/>
  <c r="D54" i="1677" s="1"/>
  <c r="H14" i="1677" s="1"/>
  <c r="R33" i="1677"/>
  <c r="L23" i="1677" s="1"/>
  <c r="D23" i="1677" s="1"/>
  <c r="R32" i="1677"/>
  <c r="L11" i="1677" s="1"/>
  <c r="D11" i="1677" s="1"/>
  <c r="R31" i="1677"/>
  <c r="R30" i="1677"/>
  <c r="R29" i="1677"/>
  <c r="R28" i="1677"/>
  <c r="D28" i="1677"/>
  <c r="R27" i="1677"/>
  <c r="D27" i="1677"/>
  <c r="R26" i="1677"/>
  <c r="L26" i="1677"/>
  <c r="D26" i="1677" s="1"/>
  <c r="R25" i="1677"/>
  <c r="L25" i="1677"/>
  <c r="D25" i="1677"/>
  <c r="R24" i="1677"/>
  <c r="D24" i="1677"/>
  <c r="R23" i="1677"/>
  <c r="R22" i="1677"/>
  <c r="L22" i="1677"/>
  <c r="D22" i="1677"/>
  <c r="R21" i="1677"/>
  <c r="D21" i="1677"/>
  <c r="R20" i="1677"/>
  <c r="L20" i="1677"/>
  <c r="D20" i="1677" s="1"/>
  <c r="R19" i="1677"/>
  <c r="R18" i="1677"/>
  <c r="D18" i="1677"/>
  <c r="R17" i="1677"/>
  <c r="D17" i="1677"/>
  <c r="R16" i="1677"/>
  <c r="L16" i="1677"/>
  <c r="D16" i="1677" s="1"/>
  <c r="S15" i="1677"/>
  <c r="R15" i="1677"/>
  <c r="D15" i="1677"/>
  <c r="S14" i="1677"/>
  <c r="R14" i="1677"/>
  <c r="D14" i="1677"/>
  <c r="R13" i="1677"/>
  <c r="D13" i="1677"/>
  <c r="R12" i="1677"/>
  <c r="R11" i="1677"/>
  <c r="L9" i="1677"/>
  <c r="D9" i="1677"/>
  <c r="L8" i="1677"/>
  <c r="D8" i="1677"/>
  <c r="R6" i="1677"/>
  <c r="R5" i="1677"/>
  <c r="R4" i="1677"/>
  <c r="R52" i="1676"/>
  <c r="L22" i="1676" s="1"/>
  <c r="D22" i="1676" s="1"/>
  <c r="R51" i="1676"/>
  <c r="D50" i="1676"/>
  <c r="R49" i="1676"/>
  <c r="D49" i="1676"/>
  <c r="R48" i="1676"/>
  <c r="D48" i="1676"/>
  <c r="D46" i="1676"/>
  <c r="D45" i="1676"/>
  <c r="R44" i="1676"/>
  <c r="D44" i="1676"/>
  <c r="R42" i="1676"/>
  <c r="D42" i="1676"/>
  <c r="R41" i="1676"/>
  <c r="D41" i="1676"/>
  <c r="R40" i="1676"/>
  <c r="D40" i="1676"/>
  <c r="R39" i="1676"/>
  <c r="H39" i="1676"/>
  <c r="D39" i="1676"/>
  <c r="R38" i="1676"/>
  <c r="H38" i="1676"/>
  <c r="D38" i="1676"/>
  <c r="R37" i="1676"/>
  <c r="H37" i="1676"/>
  <c r="D37" i="1676"/>
  <c r="R36" i="1676"/>
  <c r="H36" i="1676"/>
  <c r="D36" i="1676"/>
  <c r="R35" i="1676"/>
  <c r="H35" i="1676"/>
  <c r="D35" i="1676"/>
  <c r="R34" i="1676"/>
  <c r="L12" i="1676" s="1"/>
  <c r="D12" i="1676" s="1"/>
  <c r="H34" i="1676"/>
  <c r="D34" i="1676"/>
  <c r="R33" i="1676"/>
  <c r="L23" i="1676" s="1"/>
  <c r="D23" i="1676" s="1"/>
  <c r="R32" i="1676"/>
  <c r="R31" i="1676"/>
  <c r="R30" i="1676"/>
  <c r="R29" i="1676"/>
  <c r="R28" i="1676"/>
  <c r="D28" i="1676"/>
  <c r="R27" i="1676"/>
  <c r="D27" i="1676"/>
  <c r="R26" i="1676"/>
  <c r="L26" i="1676"/>
  <c r="D26" i="1676"/>
  <c r="R25" i="1676"/>
  <c r="L25" i="1676"/>
  <c r="D25" i="1676" s="1"/>
  <c r="R24" i="1676"/>
  <c r="D24" i="1676"/>
  <c r="R23" i="1676"/>
  <c r="R22" i="1676"/>
  <c r="R21" i="1676"/>
  <c r="D21" i="1676"/>
  <c r="R20" i="1676"/>
  <c r="L20" i="1676"/>
  <c r="D20" i="1676"/>
  <c r="R19" i="1676"/>
  <c r="L19" i="1676"/>
  <c r="D19" i="1676" s="1"/>
  <c r="R18" i="1676"/>
  <c r="D18" i="1676"/>
  <c r="R17" i="1676"/>
  <c r="D17" i="1676"/>
  <c r="R16" i="1676"/>
  <c r="L16" i="1676"/>
  <c r="D16" i="1676" s="1"/>
  <c r="R15" i="1676"/>
  <c r="D15" i="1676"/>
  <c r="R14" i="1676"/>
  <c r="D14" i="1676"/>
  <c r="R13" i="1676"/>
  <c r="D13" i="1676"/>
  <c r="R12" i="1676"/>
  <c r="R11" i="1676"/>
  <c r="L11" i="1676"/>
  <c r="D11" i="1676"/>
  <c r="L10" i="1676"/>
  <c r="D10" i="1676" s="1"/>
  <c r="L9" i="1676"/>
  <c r="D9" i="1676" s="1"/>
  <c r="L8" i="1676"/>
  <c r="D8" i="1676" s="1"/>
  <c r="L7" i="1676"/>
  <c r="D7" i="1676"/>
  <c r="R6" i="1676"/>
  <c r="L6" i="1676"/>
  <c r="D6" i="1676" s="1"/>
  <c r="R5" i="1676"/>
  <c r="R4" i="1676"/>
  <c r="R52" i="1675"/>
  <c r="R51" i="1675"/>
  <c r="D50" i="1675"/>
  <c r="R49" i="1675"/>
  <c r="D49" i="1675"/>
  <c r="R48" i="1675"/>
  <c r="D48" i="1675"/>
  <c r="D46" i="1675"/>
  <c r="D45" i="1675"/>
  <c r="R44" i="1675"/>
  <c r="L28" i="1675" s="1"/>
  <c r="D28" i="1675" s="1"/>
  <c r="D44" i="1675"/>
  <c r="R42" i="1675"/>
  <c r="L6" i="1675" s="1"/>
  <c r="D6" i="1675" s="1"/>
  <c r="D42" i="1675"/>
  <c r="R41" i="1675"/>
  <c r="D41" i="1675"/>
  <c r="R40" i="1675"/>
  <c r="D40" i="1675"/>
  <c r="R39" i="1675"/>
  <c r="L20" i="1675" s="1"/>
  <c r="D20" i="1675" s="1"/>
  <c r="H39" i="1675"/>
  <c r="D39" i="1675"/>
  <c r="R38" i="1675"/>
  <c r="H38" i="1675"/>
  <c r="D38" i="1675"/>
  <c r="R37" i="1675"/>
  <c r="H37" i="1675"/>
  <c r="D37" i="1675"/>
  <c r="R36" i="1675"/>
  <c r="L10" i="1675" s="1"/>
  <c r="D10" i="1675" s="1"/>
  <c r="H36" i="1675"/>
  <c r="D36" i="1675"/>
  <c r="R35" i="1675"/>
  <c r="H35" i="1675"/>
  <c r="D35" i="1675"/>
  <c r="R34" i="1675"/>
  <c r="H34" i="1675"/>
  <c r="D34" i="1675"/>
  <c r="R33" i="1675"/>
  <c r="R32" i="1675"/>
  <c r="R31" i="1675"/>
  <c r="R30" i="1675"/>
  <c r="R29" i="1675"/>
  <c r="R28" i="1675"/>
  <c r="L16" i="1675" s="1"/>
  <c r="D16" i="1675" s="1"/>
  <c r="R27" i="1675"/>
  <c r="D27" i="1675"/>
  <c r="R26" i="1675"/>
  <c r="L26" i="1675"/>
  <c r="D26" i="1675"/>
  <c r="R25" i="1675"/>
  <c r="D25" i="1675"/>
  <c r="R24" i="1675"/>
  <c r="L24" i="1675"/>
  <c r="D24" i="1675"/>
  <c r="R23" i="1675"/>
  <c r="L23" i="1675"/>
  <c r="D23" i="1675"/>
  <c r="R22" i="1675"/>
  <c r="D22" i="1675"/>
  <c r="R21" i="1675"/>
  <c r="D21" i="1675"/>
  <c r="R20" i="1675"/>
  <c r="R19" i="1675"/>
  <c r="L19" i="1675"/>
  <c r="D19" i="1675"/>
  <c r="R18" i="1675"/>
  <c r="D18" i="1675"/>
  <c r="R17" i="1675"/>
  <c r="L17" i="1675"/>
  <c r="D17" i="1675"/>
  <c r="R16" i="1675"/>
  <c r="R15" i="1675"/>
  <c r="D15" i="1675"/>
  <c r="R14" i="1675"/>
  <c r="D14" i="1675"/>
  <c r="R13" i="1675"/>
  <c r="D13" i="1675"/>
  <c r="R12" i="1675"/>
  <c r="L12" i="1675"/>
  <c r="D12" i="1675"/>
  <c r="R11" i="1675"/>
  <c r="L11" i="1675"/>
  <c r="D11" i="1675" s="1"/>
  <c r="L9" i="1675"/>
  <c r="D9" i="1675" s="1"/>
  <c r="L8" i="1675"/>
  <c r="D8" i="1675"/>
  <c r="L7" i="1675"/>
  <c r="D7" i="1675" s="1"/>
  <c r="R6" i="1675"/>
  <c r="R5" i="1675"/>
  <c r="R4" i="1675"/>
  <c r="R52" i="1674"/>
  <c r="R51" i="1674"/>
  <c r="D50" i="1674"/>
  <c r="R49" i="1674"/>
  <c r="D49" i="1674"/>
  <c r="R48" i="1674"/>
  <c r="D48" i="1674"/>
  <c r="D46" i="1674"/>
  <c r="D45" i="1674"/>
  <c r="R44" i="1674"/>
  <c r="L28" i="1674" s="1"/>
  <c r="D44" i="1674"/>
  <c r="R42" i="1674"/>
  <c r="L6" i="1674" s="1"/>
  <c r="D6" i="1674" s="1"/>
  <c r="D42" i="1674"/>
  <c r="R41" i="1674"/>
  <c r="D41" i="1674"/>
  <c r="R40" i="1674"/>
  <c r="D40" i="1674"/>
  <c r="R39" i="1674"/>
  <c r="H39" i="1674"/>
  <c r="D39" i="1674"/>
  <c r="R38" i="1674"/>
  <c r="H38" i="1674"/>
  <c r="D38" i="1674"/>
  <c r="R37" i="1674"/>
  <c r="H37" i="1674"/>
  <c r="D37" i="1674"/>
  <c r="R36" i="1674"/>
  <c r="H36" i="1674"/>
  <c r="D36" i="1674"/>
  <c r="R35" i="1674"/>
  <c r="H35" i="1674"/>
  <c r="D35" i="1674"/>
  <c r="R34" i="1674"/>
  <c r="H34" i="1674"/>
  <c r="D34" i="1674"/>
  <c r="R33" i="1674"/>
  <c r="R32" i="1674"/>
  <c r="R31" i="1674"/>
  <c r="R30" i="1674"/>
  <c r="R29" i="1674"/>
  <c r="R28" i="1674"/>
  <c r="D28" i="1674"/>
  <c r="R27" i="1674"/>
  <c r="D27" i="1674"/>
  <c r="R26" i="1674"/>
  <c r="L26" i="1674"/>
  <c r="D26" i="1674"/>
  <c r="R25" i="1674"/>
  <c r="L25" i="1674"/>
  <c r="D25" i="1674"/>
  <c r="R24" i="1674"/>
  <c r="L24" i="1674"/>
  <c r="D24" i="1674"/>
  <c r="R23" i="1674"/>
  <c r="D23" i="1674"/>
  <c r="R22" i="1674"/>
  <c r="D22" i="1674"/>
  <c r="R21" i="1674"/>
  <c r="D21" i="1674"/>
  <c r="R20" i="1674"/>
  <c r="L20" i="1674"/>
  <c r="D20" i="1674" s="1"/>
  <c r="R19" i="1674"/>
  <c r="D19" i="1674"/>
  <c r="R18" i="1674"/>
  <c r="D18" i="1674"/>
  <c r="R17" i="1674"/>
  <c r="L17" i="1674"/>
  <c r="D17" i="1674"/>
  <c r="R16" i="1674"/>
  <c r="L16" i="1674"/>
  <c r="D16" i="1674" s="1"/>
  <c r="R15" i="1674"/>
  <c r="D15" i="1674"/>
  <c r="R14" i="1674"/>
  <c r="D14" i="1674"/>
  <c r="R13" i="1674"/>
  <c r="D13" i="1674"/>
  <c r="R12" i="1674"/>
  <c r="L12" i="1674"/>
  <c r="D12" i="1674" s="1"/>
  <c r="R11" i="1674"/>
  <c r="L11" i="1674"/>
  <c r="D11" i="1674"/>
  <c r="L10" i="1674"/>
  <c r="D10" i="1674" s="1"/>
  <c r="L9" i="1674"/>
  <c r="D9" i="1674"/>
  <c r="L8" i="1674"/>
  <c r="D8" i="1674" s="1"/>
  <c r="L7" i="1674"/>
  <c r="D7" i="1674"/>
  <c r="R6" i="1674"/>
  <c r="R5" i="1674"/>
  <c r="R4" i="1674"/>
  <c r="R52" i="1673"/>
  <c r="R51" i="1673"/>
  <c r="D50" i="1673"/>
  <c r="R49" i="1673"/>
  <c r="G49" i="1673"/>
  <c r="D49" i="1673"/>
  <c r="R48" i="1673"/>
  <c r="D48" i="1673"/>
  <c r="D46" i="1673"/>
  <c r="D45" i="1673"/>
  <c r="D44" i="1673"/>
  <c r="R42" i="1673"/>
  <c r="L6" i="1673" s="1"/>
  <c r="D6" i="1673" s="1"/>
  <c r="D29" i="1673" s="1"/>
  <c r="H13" i="1673" s="1"/>
  <c r="H15" i="1673" s="1"/>
  <c r="H29" i="1673" s="1"/>
  <c r="D42" i="1673"/>
  <c r="R41" i="1673"/>
  <c r="L7" i="1673" s="1"/>
  <c r="D7" i="1673" s="1"/>
  <c r="D41" i="1673"/>
  <c r="R40" i="1673"/>
  <c r="D40" i="1673"/>
  <c r="R39" i="1673"/>
  <c r="D39" i="1673"/>
  <c r="R38" i="1673"/>
  <c r="L9" i="1673" s="1"/>
  <c r="D9" i="1673" s="1"/>
  <c r="D38" i="1673"/>
  <c r="R37" i="1673"/>
  <c r="D37" i="1673"/>
  <c r="R36" i="1673"/>
  <c r="L10" i="1673" s="1"/>
  <c r="D10" i="1673" s="1"/>
  <c r="D36" i="1673"/>
  <c r="R35" i="1673"/>
  <c r="D35" i="1673"/>
  <c r="R34" i="1673"/>
  <c r="L12" i="1673" s="1"/>
  <c r="D12" i="1673" s="1"/>
  <c r="D34" i="1673"/>
  <c r="D54" i="1673" s="1"/>
  <c r="H14" i="1673" s="1"/>
  <c r="R33" i="1673"/>
  <c r="L23" i="1673" s="1"/>
  <c r="D23" i="1673" s="1"/>
  <c r="R32" i="1673"/>
  <c r="R31" i="1673"/>
  <c r="R30" i="1673"/>
  <c r="R29" i="1673"/>
  <c r="R28" i="1673"/>
  <c r="D28" i="1673"/>
  <c r="R27" i="1673"/>
  <c r="D27" i="1673"/>
  <c r="R26" i="1673"/>
  <c r="L26" i="1673"/>
  <c r="D26" i="1673"/>
  <c r="R25" i="1673"/>
  <c r="L25" i="1673"/>
  <c r="D25" i="1673"/>
  <c r="R24" i="1673"/>
  <c r="D24" i="1673"/>
  <c r="R23" i="1673"/>
  <c r="R22" i="1673"/>
  <c r="L22" i="1673"/>
  <c r="D22" i="1673"/>
  <c r="R21" i="1673"/>
  <c r="D21" i="1673"/>
  <c r="R20" i="1673"/>
  <c r="L20" i="1673"/>
  <c r="D20" i="1673"/>
  <c r="R19" i="1673"/>
  <c r="L19" i="1673"/>
  <c r="D19" i="1673"/>
  <c r="R18" i="1673"/>
  <c r="D18" i="1673"/>
  <c r="R17" i="1673"/>
  <c r="D17" i="1673"/>
  <c r="R16" i="1673"/>
  <c r="L16" i="1673"/>
  <c r="D16" i="1673" s="1"/>
  <c r="S15" i="1673"/>
  <c r="R15" i="1673"/>
  <c r="D15" i="1673"/>
  <c r="S14" i="1673"/>
  <c r="R14" i="1673"/>
  <c r="D14" i="1673"/>
  <c r="R13" i="1673"/>
  <c r="D13" i="1673"/>
  <c r="R12" i="1673"/>
  <c r="R11" i="1673"/>
  <c r="L11" i="1673"/>
  <c r="D11" i="1673"/>
  <c r="L8" i="1673"/>
  <c r="D8" i="1673"/>
  <c r="R6" i="1673"/>
  <c r="R5" i="1673"/>
  <c r="R4" i="1673"/>
  <c r="R52" i="1672"/>
  <c r="R51" i="1672"/>
  <c r="D50" i="1672"/>
  <c r="R49" i="1672"/>
  <c r="D49" i="1672"/>
  <c r="R48" i="1672"/>
  <c r="D48" i="1672"/>
  <c r="D46" i="1672"/>
  <c r="D45" i="1672"/>
  <c r="R44" i="1672"/>
  <c r="L28" i="1672" s="1"/>
  <c r="D44" i="1672"/>
  <c r="R42" i="1672"/>
  <c r="D42" i="1672"/>
  <c r="R41" i="1672"/>
  <c r="D41" i="1672"/>
  <c r="R40" i="1672"/>
  <c r="D40" i="1672"/>
  <c r="R39" i="1672"/>
  <c r="H39" i="1672"/>
  <c r="D39" i="1672"/>
  <c r="R38" i="1672"/>
  <c r="H38" i="1672"/>
  <c r="D38" i="1672"/>
  <c r="R37" i="1672"/>
  <c r="H37" i="1672"/>
  <c r="D37" i="1672"/>
  <c r="R36" i="1672"/>
  <c r="H36" i="1672"/>
  <c r="D36" i="1672"/>
  <c r="R35" i="1672"/>
  <c r="L19" i="1672" s="1"/>
  <c r="D19" i="1672" s="1"/>
  <c r="H35" i="1672"/>
  <c r="D35" i="1672"/>
  <c r="R34" i="1672"/>
  <c r="H34" i="1672"/>
  <c r="D34" i="1672"/>
  <c r="R33" i="1672"/>
  <c r="L23" i="1672" s="1"/>
  <c r="D23" i="1672" s="1"/>
  <c r="R32" i="1672"/>
  <c r="R31" i="1672"/>
  <c r="R30" i="1672"/>
  <c r="R29" i="1672"/>
  <c r="R28" i="1672"/>
  <c r="L16" i="1672" s="1"/>
  <c r="D16" i="1672" s="1"/>
  <c r="D28" i="1672"/>
  <c r="R27" i="1672"/>
  <c r="D27" i="1672"/>
  <c r="R26" i="1672"/>
  <c r="L26" i="1672"/>
  <c r="D26" i="1672"/>
  <c r="R25" i="1672"/>
  <c r="L25" i="1672"/>
  <c r="D25" i="1672" s="1"/>
  <c r="R24" i="1672"/>
  <c r="D24" i="1672"/>
  <c r="R23" i="1672"/>
  <c r="R22" i="1672"/>
  <c r="L22" i="1672"/>
  <c r="D22" i="1672" s="1"/>
  <c r="R21" i="1672"/>
  <c r="D21" i="1672"/>
  <c r="R20" i="1672"/>
  <c r="L20" i="1672"/>
  <c r="D20" i="1672"/>
  <c r="R19" i="1672"/>
  <c r="R18" i="1672"/>
  <c r="D18" i="1672"/>
  <c r="R17" i="1672"/>
  <c r="D17" i="1672"/>
  <c r="R16" i="1672"/>
  <c r="R15" i="1672"/>
  <c r="D15" i="1672"/>
  <c r="R14" i="1672"/>
  <c r="D14" i="1672"/>
  <c r="R13" i="1672"/>
  <c r="D13" i="1672"/>
  <c r="R12" i="1672"/>
  <c r="L12" i="1672"/>
  <c r="D12" i="1672" s="1"/>
  <c r="R11" i="1672"/>
  <c r="L11" i="1672"/>
  <c r="D11" i="1672" s="1"/>
  <c r="L10" i="1672"/>
  <c r="D10" i="1672" s="1"/>
  <c r="L9" i="1672"/>
  <c r="D9" i="1672" s="1"/>
  <c r="L8" i="1672"/>
  <c r="D8" i="1672" s="1"/>
  <c r="L7" i="1672"/>
  <c r="D7" i="1672" s="1"/>
  <c r="R6" i="1672"/>
  <c r="L6" i="1672"/>
  <c r="D6" i="1672" s="1"/>
  <c r="R5" i="1672"/>
  <c r="R4" i="1672"/>
  <c r="R52" i="1671"/>
  <c r="R51" i="1671"/>
  <c r="D50" i="1671"/>
  <c r="R49" i="1671"/>
  <c r="D49" i="1671"/>
  <c r="R48" i="1671"/>
  <c r="D48" i="1671"/>
  <c r="D46" i="1671"/>
  <c r="D45" i="1671"/>
  <c r="R44" i="1671"/>
  <c r="D44" i="1671"/>
  <c r="R42" i="1671"/>
  <c r="D42" i="1671"/>
  <c r="R41" i="1671"/>
  <c r="L7" i="1671" s="1"/>
  <c r="D7" i="1671" s="1"/>
  <c r="D41" i="1671"/>
  <c r="R40" i="1671"/>
  <c r="L8" i="1671" s="1"/>
  <c r="D8" i="1671" s="1"/>
  <c r="D40" i="1671"/>
  <c r="R39" i="1671"/>
  <c r="L20" i="1671" s="1"/>
  <c r="D20" i="1671" s="1"/>
  <c r="H39" i="1671"/>
  <c r="D39" i="1671"/>
  <c r="R38" i="1671"/>
  <c r="H38" i="1671"/>
  <c r="D38" i="1671"/>
  <c r="R37" i="1671"/>
  <c r="H37" i="1671"/>
  <c r="D37" i="1671"/>
  <c r="R36" i="1671"/>
  <c r="H36" i="1671"/>
  <c r="D36" i="1671"/>
  <c r="R35" i="1671"/>
  <c r="L19" i="1671" s="1"/>
  <c r="D19" i="1671" s="1"/>
  <c r="H35" i="1671"/>
  <c r="D35" i="1671"/>
  <c r="R34" i="1671"/>
  <c r="H34" i="1671"/>
  <c r="D34" i="1671"/>
  <c r="R33" i="1671"/>
  <c r="R32" i="1671"/>
  <c r="L11" i="1671" s="1"/>
  <c r="D11" i="1671" s="1"/>
  <c r="R31" i="1671"/>
  <c r="R30" i="1671"/>
  <c r="R29" i="1671"/>
  <c r="R28" i="1671"/>
  <c r="D28" i="1671"/>
  <c r="R27" i="1671"/>
  <c r="D27" i="1671"/>
  <c r="R26" i="1671"/>
  <c r="L26" i="1671"/>
  <c r="D26" i="1671" s="1"/>
  <c r="R25" i="1671"/>
  <c r="D25" i="1671"/>
  <c r="R24" i="1671"/>
  <c r="L24" i="1671"/>
  <c r="D24" i="1671" s="1"/>
  <c r="R23" i="1671"/>
  <c r="L23" i="1671"/>
  <c r="D23" i="1671"/>
  <c r="R22" i="1671"/>
  <c r="L22" i="1671"/>
  <c r="D22" i="1671"/>
  <c r="R21" i="1671"/>
  <c r="L17" i="1671" s="1"/>
  <c r="D17" i="1671" s="1"/>
  <c r="D21" i="1671"/>
  <c r="R20" i="1671"/>
  <c r="R19" i="1671"/>
  <c r="R18" i="1671"/>
  <c r="D18" i="1671"/>
  <c r="R17" i="1671"/>
  <c r="R16" i="1671"/>
  <c r="L16" i="1671"/>
  <c r="D16" i="1671"/>
  <c r="R15" i="1671"/>
  <c r="D15" i="1671"/>
  <c r="R14" i="1671"/>
  <c r="D14" i="1671"/>
  <c r="R13" i="1671"/>
  <c r="D13" i="1671"/>
  <c r="R12" i="1671"/>
  <c r="L12" i="1671"/>
  <c r="D12" i="1671" s="1"/>
  <c r="R11" i="1671"/>
  <c r="L10" i="1671"/>
  <c r="D10" i="1671" s="1"/>
  <c r="L9" i="1671"/>
  <c r="D9" i="1671" s="1"/>
  <c r="R6" i="1671"/>
  <c r="L6" i="1671"/>
  <c r="D6" i="1671" s="1"/>
  <c r="R5" i="1671"/>
  <c r="R4" i="1671"/>
  <c r="R52" i="1670"/>
  <c r="R51" i="1670"/>
  <c r="D50" i="1670"/>
  <c r="R49" i="1670"/>
  <c r="D49" i="1670"/>
  <c r="R48" i="1670"/>
  <c r="D48" i="1670"/>
  <c r="D46" i="1670"/>
  <c r="D45" i="1670"/>
  <c r="R44" i="1670"/>
  <c r="D44" i="1670"/>
  <c r="R42" i="1670"/>
  <c r="L6" i="1670" s="1"/>
  <c r="D6" i="1670" s="1"/>
  <c r="D42" i="1670"/>
  <c r="R41" i="1670"/>
  <c r="D41" i="1670"/>
  <c r="R40" i="1670"/>
  <c r="L8" i="1670" s="1"/>
  <c r="D8" i="1670" s="1"/>
  <c r="D40" i="1670"/>
  <c r="R39" i="1670"/>
  <c r="H39" i="1670"/>
  <c r="D39" i="1670"/>
  <c r="R38" i="1670"/>
  <c r="H38" i="1670"/>
  <c r="D38" i="1670"/>
  <c r="R37" i="1670"/>
  <c r="H37" i="1670"/>
  <c r="D37" i="1670"/>
  <c r="R36" i="1670"/>
  <c r="L10" i="1670" s="1"/>
  <c r="D10" i="1670" s="1"/>
  <c r="H36" i="1670"/>
  <c r="D36" i="1670"/>
  <c r="R35" i="1670"/>
  <c r="H35" i="1670"/>
  <c r="D35" i="1670"/>
  <c r="R34" i="1670"/>
  <c r="L12" i="1670" s="1"/>
  <c r="D12" i="1670" s="1"/>
  <c r="H34" i="1670"/>
  <c r="D34" i="1670"/>
  <c r="D54" i="1670" s="1"/>
  <c r="H14" i="1670" s="1"/>
  <c r="R33" i="1670"/>
  <c r="R32" i="1670"/>
  <c r="R31" i="1670"/>
  <c r="R30" i="1670"/>
  <c r="R29" i="1670"/>
  <c r="R28" i="1670"/>
  <c r="D28" i="1670"/>
  <c r="R27" i="1670"/>
  <c r="D27" i="1670"/>
  <c r="R26" i="1670"/>
  <c r="L26" i="1670"/>
  <c r="D26" i="1670"/>
  <c r="R25" i="1670"/>
  <c r="L25" i="1670"/>
  <c r="D25" i="1670"/>
  <c r="R24" i="1670"/>
  <c r="L24" i="1670"/>
  <c r="D24" i="1670"/>
  <c r="R23" i="1670"/>
  <c r="D23" i="1670"/>
  <c r="R22" i="1670"/>
  <c r="D22" i="1670"/>
  <c r="R21" i="1670"/>
  <c r="D21" i="1670"/>
  <c r="R20" i="1670"/>
  <c r="L20" i="1670"/>
  <c r="D20" i="1670"/>
  <c r="R19" i="1670"/>
  <c r="D19" i="1670"/>
  <c r="R18" i="1670"/>
  <c r="D18" i="1670"/>
  <c r="R17" i="1670"/>
  <c r="L17" i="1670"/>
  <c r="D17" i="1670"/>
  <c r="R16" i="1670"/>
  <c r="L16" i="1670"/>
  <c r="D16" i="1670" s="1"/>
  <c r="R15" i="1670"/>
  <c r="D15" i="1670"/>
  <c r="R14" i="1670"/>
  <c r="D14" i="1670"/>
  <c r="R13" i="1670"/>
  <c r="D13" i="1670"/>
  <c r="R12" i="1670"/>
  <c r="R11" i="1670"/>
  <c r="L11" i="1670"/>
  <c r="D11" i="1670"/>
  <c r="L9" i="1670"/>
  <c r="D9" i="1670"/>
  <c r="L7" i="1670"/>
  <c r="D7" i="1670" s="1"/>
  <c r="R6" i="1670"/>
  <c r="R5" i="1670"/>
  <c r="R4" i="1670"/>
  <c r="R52" i="1669"/>
  <c r="R51" i="1669"/>
  <c r="D50" i="1669"/>
  <c r="R49" i="1669"/>
  <c r="G49" i="1669"/>
  <c r="D49" i="1669"/>
  <c r="R48" i="1669"/>
  <c r="D48" i="1669"/>
  <c r="D46" i="1669"/>
  <c r="D45" i="1669"/>
  <c r="D44" i="1669"/>
  <c r="R42" i="1669"/>
  <c r="L6" i="1669" s="1"/>
  <c r="D6" i="1669" s="1"/>
  <c r="D42" i="1669"/>
  <c r="R41" i="1669"/>
  <c r="L7" i="1669" s="1"/>
  <c r="D7" i="1669" s="1"/>
  <c r="D41" i="1669"/>
  <c r="R40" i="1669"/>
  <c r="D40" i="1669"/>
  <c r="R39" i="1669"/>
  <c r="D39" i="1669"/>
  <c r="R38" i="1669"/>
  <c r="D38" i="1669"/>
  <c r="R37" i="1669"/>
  <c r="D37" i="1669"/>
  <c r="R36" i="1669"/>
  <c r="L10" i="1669" s="1"/>
  <c r="D10" i="1669" s="1"/>
  <c r="D36" i="1669"/>
  <c r="R35" i="1669"/>
  <c r="D35" i="1669"/>
  <c r="R34" i="1669"/>
  <c r="L12" i="1669" s="1"/>
  <c r="D12" i="1669" s="1"/>
  <c r="D34" i="1669"/>
  <c r="D54" i="1669" s="1"/>
  <c r="H14" i="1669" s="1"/>
  <c r="R33" i="1669"/>
  <c r="L23" i="1669" s="1"/>
  <c r="D23" i="1669" s="1"/>
  <c r="R32" i="1669"/>
  <c r="R31" i="1669"/>
  <c r="R30" i="1669"/>
  <c r="R29" i="1669"/>
  <c r="R28" i="1669"/>
  <c r="L16" i="1669" s="1"/>
  <c r="D16" i="1669" s="1"/>
  <c r="D28" i="1669"/>
  <c r="R27" i="1669"/>
  <c r="D27" i="1669"/>
  <c r="R26" i="1669"/>
  <c r="L26" i="1669"/>
  <c r="D26" i="1669"/>
  <c r="R25" i="1669"/>
  <c r="L25" i="1669"/>
  <c r="D25" i="1669"/>
  <c r="R24" i="1669"/>
  <c r="D24" i="1669"/>
  <c r="R23" i="1669"/>
  <c r="R22" i="1669"/>
  <c r="L22" i="1669"/>
  <c r="D22" i="1669" s="1"/>
  <c r="R21" i="1669"/>
  <c r="D21" i="1669"/>
  <c r="R20" i="1669"/>
  <c r="L20" i="1669"/>
  <c r="D20" i="1669"/>
  <c r="R19" i="1669"/>
  <c r="L19" i="1669"/>
  <c r="D19" i="1669"/>
  <c r="R18" i="1669"/>
  <c r="D18" i="1669"/>
  <c r="R17" i="1669"/>
  <c r="D17" i="1669"/>
  <c r="R16" i="1669"/>
  <c r="S15" i="1669"/>
  <c r="R15" i="1669"/>
  <c r="D15" i="1669"/>
  <c r="S14" i="1669"/>
  <c r="R14" i="1669"/>
  <c r="D14" i="1669"/>
  <c r="R13" i="1669"/>
  <c r="D13" i="1669"/>
  <c r="R12" i="1669"/>
  <c r="R11" i="1669"/>
  <c r="L11" i="1669"/>
  <c r="D11" i="1669" s="1"/>
  <c r="L9" i="1669"/>
  <c r="D9" i="1669"/>
  <c r="L8" i="1669"/>
  <c r="D8" i="1669" s="1"/>
  <c r="R6" i="1669"/>
  <c r="R5" i="1669"/>
  <c r="R4" i="1669"/>
  <c r="R52" i="1668"/>
  <c r="R51" i="1668"/>
  <c r="D50" i="1668"/>
  <c r="R49" i="1668"/>
  <c r="D49" i="1668"/>
  <c r="R48" i="1668"/>
  <c r="D48" i="1668"/>
  <c r="D46" i="1668"/>
  <c r="D45" i="1668"/>
  <c r="R44" i="1668"/>
  <c r="D44" i="1668"/>
  <c r="R42" i="1668"/>
  <c r="L6" i="1668" s="1"/>
  <c r="D6" i="1668" s="1"/>
  <c r="D42" i="1668"/>
  <c r="R41" i="1668"/>
  <c r="D41" i="1668"/>
  <c r="R40" i="1668"/>
  <c r="L8" i="1668" s="1"/>
  <c r="D8" i="1668" s="1"/>
  <c r="D40" i="1668"/>
  <c r="R39" i="1668"/>
  <c r="H39" i="1668"/>
  <c r="D39" i="1668"/>
  <c r="R38" i="1668"/>
  <c r="H38" i="1668"/>
  <c r="D38" i="1668"/>
  <c r="R37" i="1668"/>
  <c r="H37" i="1668"/>
  <c r="D37" i="1668"/>
  <c r="R36" i="1668"/>
  <c r="H36" i="1668"/>
  <c r="D36" i="1668"/>
  <c r="R35" i="1668"/>
  <c r="H35" i="1668"/>
  <c r="D35" i="1668"/>
  <c r="R34" i="1668"/>
  <c r="H34" i="1668"/>
  <c r="D34" i="1668"/>
  <c r="R33" i="1668"/>
  <c r="R32" i="1668"/>
  <c r="R31" i="1668"/>
  <c r="R30" i="1668"/>
  <c r="R29" i="1668"/>
  <c r="R28" i="1668"/>
  <c r="L16" i="1668" s="1"/>
  <c r="D16" i="1668" s="1"/>
  <c r="D28" i="1668"/>
  <c r="R27" i="1668"/>
  <c r="D27" i="1668"/>
  <c r="R26" i="1668"/>
  <c r="L26" i="1668"/>
  <c r="D26" i="1668" s="1"/>
  <c r="R25" i="1668"/>
  <c r="L25" i="1668"/>
  <c r="D25" i="1668"/>
  <c r="R24" i="1668"/>
  <c r="D24" i="1668"/>
  <c r="R23" i="1668"/>
  <c r="L23" i="1668"/>
  <c r="D23" i="1668" s="1"/>
  <c r="R22" i="1668"/>
  <c r="L22" i="1668"/>
  <c r="D22" i="1668"/>
  <c r="R21" i="1668"/>
  <c r="D21" i="1668"/>
  <c r="R20" i="1668"/>
  <c r="L20" i="1668"/>
  <c r="D20" i="1668" s="1"/>
  <c r="R19" i="1668"/>
  <c r="L19" i="1668"/>
  <c r="D19" i="1668"/>
  <c r="R18" i="1668"/>
  <c r="D18" i="1668"/>
  <c r="R17" i="1668"/>
  <c r="D17" i="1668"/>
  <c r="R16" i="1668"/>
  <c r="R15" i="1668"/>
  <c r="D15" i="1668"/>
  <c r="R14" i="1668"/>
  <c r="D14" i="1668"/>
  <c r="R13" i="1668"/>
  <c r="D13" i="1668"/>
  <c r="R12" i="1668"/>
  <c r="L12" i="1668"/>
  <c r="D12" i="1668"/>
  <c r="R11" i="1668"/>
  <c r="L11" i="1668"/>
  <c r="D11" i="1668"/>
  <c r="L10" i="1668"/>
  <c r="D10" i="1668"/>
  <c r="L9" i="1668"/>
  <c r="D9" i="1668" s="1"/>
  <c r="L7" i="1668"/>
  <c r="D7" i="1668" s="1"/>
  <c r="R6" i="1668"/>
  <c r="R5" i="1668"/>
  <c r="R4" i="1668"/>
  <c r="R52" i="1667"/>
  <c r="R51" i="1667"/>
  <c r="D50" i="1667"/>
  <c r="R49" i="1667"/>
  <c r="D49" i="1667"/>
  <c r="R48" i="1667"/>
  <c r="D48" i="1667"/>
  <c r="D46" i="1667"/>
  <c r="D45" i="1667"/>
  <c r="R44" i="1667"/>
  <c r="D44" i="1667"/>
  <c r="R42" i="1667"/>
  <c r="D42" i="1667"/>
  <c r="R41" i="1667"/>
  <c r="D41" i="1667"/>
  <c r="R40" i="1667"/>
  <c r="D40" i="1667"/>
  <c r="R39" i="1667"/>
  <c r="L20" i="1667" s="1"/>
  <c r="D20" i="1667" s="1"/>
  <c r="H39" i="1667"/>
  <c r="D39" i="1667"/>
  <c r="R38" i="1667"/>
  <c r="L9" i="1667" s="1"/>
  <c r="D9" i="1667" s="1"/>
  <c r="H38" i="1667"/>
  <c r="D38" i="1667"/>
  <c r="R37" i="1667"/>
  <c r="H37" i="1667"/>
  <c r="D37" i="1667"/>
  <c r="R36" i="1667"/>
  <c r="L10" i="1667" s="1"/>
  <c r="D10" i="1667" s="1"/>
  <c r="H36" i="1667"/>
  <c r="D36" i="1667"/>
  <c r="R35" i="1667"/>
  <c r="H35" i="1667"/>
  <c r="D35" i="1667"/>
  <c r="R34" i="1667"/>
  <c r="L12" i="1667" s="1"/>
  <c r="D12" i="1667" s="1"/>
  <c r="H34" i="1667"/>
  <c r="D34" i="1667"/>
  <c r="R33" i="1667"/>
  <c r="L23" i="1667" s="1"/>
  <c r="D23" i="1667" s="1"/>
  <c r="R32" i="1667"/>
  <c r="R31" i="1667"/>
  <c r="R30" i="1667"/>
  <c r="R29" i="1667"/>
  <c r="R28" i="1667"/>
  <c r="L16" i="1667" s="1"/>
  <c r="D16" i="1667" s="1"/>
  <c r="D28" i="1667"/>
  <c r="R27" i="1667"/>
  <c r="D27" i="1667"/>
  <c r="R26" i="1667"/>
  <c r="L26" i="1667"/>
  <c r="D26" i="1667"/>
  <c r="R25" i="1667"/>
  <c r="L25" i="1667"/>
  <c r="D25" i="1667"/>
  <c r="R24" i="1667"/>
  <c r="L24" i="1667"/>
  <c r="D24" i="1667" s="1"/>
  <c r="R23" i="1667"/>
  <c r="R22" i="1667"/>
  <c r="L22" i="1667"/>
  <c r="D22" i="1667"/>
  <c r="R21" i="1667"/>
  <c r="L17" i="1667" s="1"/>
  <c r="D17" i="1667" s="1"/>
  <c r="D21" i="1667"/>
  <c r="R20" i="1667"/>
  <c r="R19" i="1667"/>
  <c r="L19" i="1667"/>
  <c r="D19" i="1667" s="1"/>
  <c r="R18" i="1667"/>
  <c r="D18" i="1667"/>
  <c r="R17" i="1667"/>
  <c r="R16" i="1667"/>
  <c r="R15" i="1667"/>
  <c r="D15" i="1667"/>
  <c r="R14" i="1667"/>
  <c r="D14" i="1667"/>
  <c r="R13" i="1667"/>
  <c r="D13" i="1667"/>
  <c r="R12" i="1667"/>
  <c r="R11" i="1667"/>
  <c r="L11" i="1667"/>
  <c r="D11" i="1667" s="1"/>
  <c r="L8" i="1667"/>
  <c r="D8" i="1667"/>
  <c r="L7" i="1667"/>
  <c r="D7" i="1667"/>
  <c r="R6" i="1667"/>
  <c r="L6" i="1667"/>
  <c r="D6" i="1667" s="1"/>
  <c r="R5" i="1667"/>
  <c r="R4" i="1667"/>
  <c r="R52" i="1666"/>
  <c r="R51" i="1666"/>
  <c r="D50" i="1666"/>
  <c r="R49" i="1666"/>
  <c r="D49" i="1666"/>
  <c r="R48" i="1666"/>
  <c r="D48" i="1666"/>
  <c r="D46" i="1666"/>
  <c r="D45" i="1666"/>
  <c r="R44" i="1666"/>
  <c r="D44" i="1666"/>
  <c r="R42" i="1666"/>
  <c r="D42" i="1666"/>
  <c r="R41" i="1666"/>
  <c r="D41" i="1666"/>
  <c r="R40" i="1666"/>
  <c r="L8" i="1666" s="1"/>
  <c r="D8" i="1666" s="1"/>
  <c r="D40" i="1666"/>
  <c r="R39" i="1666"/>
  <c r="H39" i="1666"/>
  <c r="D39" i="1666"/>
  <c r="R38" i="1666"/>
  <c r="H38" i="1666"/>
  <c r="G49" i="1666" s="1"/>
  <c r="D38" i="1666"/>
  <c r="R37" i="1666"/>
  <c r="H37" i="1666"/>
  <c r="D37" i="1666"/>
  <c r="R36" i="1666"/>
  <c r="L10" i="1666" s="1"/>
  <c r="D10" i="1666" s="1"/>
  <c r="H36" i="1666"/>
  <c r="D36" i="1666"/>
  <c r="R35" i="1666"/>
  <c r="H35" i="1666"/>
  <c r="D35" i="1666"/>
  <c r="R34" i="1666"/>
  <c r="L12" i="1666" s="1"/>
  <c r="D12" i="1666" s="1"/>
  <c r="H34" i="1666"/>
  <c r="D34" i="1666"/>
  <c r="R33" i="1666"/>
  <c r="R32" i="1666"/>
  <c r="R31" i="1666"/>
  <c r="R30" i="1666"/>
  <c r="R29" i="1666"/>
  <c r="R28" i="1666"/>
  <c r="D28" i="1666"/>
  <c r="R27" i="1666"/>
  <c r="D27" i="1666"/>
  <c r="R26" i="1666"/>
  <c r="L26" i="1666"/>
  <c r="D26" i="1666" s="1"/>
  <c r="R25" i="1666"/>
  <c r="L25" i="1666"/>
  <c r="D25" i="1666"/>
  <c r="R24" i="1666"/>
  <c r="L24" i="1666"/>
  <c r="D24" i="1666"/>
  <c r="R23" i="1666"/>
  <c r="D23" i="1666"/>
  <c r="R22" i="1666"/>
  <c r="D22" i="1666"/>
  <c r="R21" i="1666"/>
  <c r="D21" i="1666"/>
  <c r="R20" i="1666"/>
  <c r="L20" i="1666"/>
  <c r="D20" i="1666"/>
  <c r="R19" i="1666"/>
  <c r="D19" i="1666"/>
  <c r="R18" i="1666"/>
  <c r="D18" i="1666"/>
  <c r="R17" i="1666"/>
  <c r="L17" i="1666"/>
  <c r="D17" i="1666"/>
  <c r="R16" i="1666"/>
  <c r="L16" i="1666"/>
  <c r="D16" i="1666" s="1"/>
  <c r="R15" i="1666"/>
  <c r="D15" i="1666"/>
  <c r="R14" i="1666"/>
  <c r="D14" i="1666"/>
  <c r="R13" i="1666"/>
  <c r="D13" i="1666"/>
  <c r="R12" i="1666"/>
  <c r="R11" i="1666"/>
  <c r="L11" i="1666"/>
  <c r="D11" i="1666"/>
  <c r="L9" i="1666"/>
  <c r="D9" i="1666"/>
  <c r="L7" i="1666"/>
  <c r="D7" i="1666"/>
  <c r="R6" i="1666"/>
  <c r="L6" i="1666"/>
  <c r="D6" i="1666"/>
  <c r="R5" i="1666"/>
  <c r="R4" i="1666"/>
  <c r="R52" i="1665"/>
  <c r="R51" i="1665"/>
  <c r="D50" i="1665"/>
  <c r="R49" i="1665"/>
  <c r="G49" i="1665"/>
  <c r="D49" i="1665"/>
  <c r="R48" i="1665"/>
  <c r="D48" i="1665"/>
  <c r="D46" i="1665"/>
  <c r="D45" i="1665"/>
  <c r="D44" i="1665"/>
  <c r="R42" i="1665"/>
  <c r="L6" i="1665" s="1"/>
  <c r="D6" i="1665" s="1"/>
  <c r="D42" i="1665"/>
  <c r="R41" i="1665"/>
  <c r="L7" i="1665" s="1"/>
  <c r="D7" i="1665" s="1"/>
  <c r="D41" i="1665"/>
  <c r="R40" i="1665"/>
  <c r="D40" i="1665"/>
  <c r="R39" i="1665"/>
  <c r="D39" i="1665"/>
  <c r="R38" i="1665"/>
  <c r="D38" i="1665"/>
  <c r="R37" i="1665"/>
  <c r="D37" i="1665"/>
  <c r="R36" i="1665"/>
  <c r="L10" i="1665" s="1"/>
  <c r="D10" i="1665" s="1"/>
  <c r="D36" i="1665"/>
  <c r="R35" i="1665"/>
  <c r="D35" i="1665"/>
  <c r="R34" i="1665"/>
  <c r="L12" i="1665" s="1"/>
  <c r="D12" i="1665" s="1"/>
  <c r="D34" i="1665"/>
  <c r="D54" i="1665" s="1"/>
  <c r="H14" i="1665" s="1"/>
  <c r="R33" i="1665"/>
  <c r="L23" i="1665" s="1"/>
  <c r="D23" i="1665" s="1"/>
  <c r="R32" i="1665"/>
  <c r="R31" i="1665"/>
  <c r="R30" i="1665"/>
  <c r="R29" i="1665"/>
  <c r="R28" i="1665"/>
  <c r="D28" i="1665"/>
  <c r="R27" i="1665"/>
  <c r="D27" i="1665"/>
  <c r="R26" i="1665"/>
  <c r="L26" i="1665"/>
  <c r="D26" i="1665"/>
  <c r="R25" i="1665"/>
  <c r="L25" i="1665"/>
  <c r="D25" i="1665"/>
  <c r="R24" i="1665"/>
  <c r="D24" i="1665"/>
  <c r="R23" i="1665"/>
  <c r="R22" i="1665"/>
  <c r="L22" i="1665"/>
  <c r="D22" i="1665"/>
  <c r="R21" i="1665"/>
  <c r="D21" i="1665"/>
  <c r="R20" i="1665"/>
  <c r="L20" i="1665"/>
  <c r="D20" i="1665"/>
  <c r="R19" i="1665"/>
  <c r="L19" i="1665"/>
  <c r="D19" i="1665"/>
  <c r="R18" i="1665"/>
  <c r="D18" i="1665"/>
  <c r="R17" i="1665"/>
  <c r="D17" i="1665"/>
  <c r="R16" i="1665"/>
  <c r="L16" i="1665"/>
  <c r="D16" i="1665" s="1"/>
  <c r="S15" i="1665"/>
  <c r="R15" i="1665"/>
  <c r="D15" i="1665"/>
  <c r="S14" i="1665"/>
  <c r="R14" i="1665"/>
  <c r="D14" i="1665"/>
  <c r="R13" i="1665"/>
  <c r="D13" i="1665"/>
  <c r="R12" i="1665"/>
  <c r="R11" i="1665"/>
  <c r="L11" i="1665"/>
  <c r="D11" i="1665"/>
  <c r="L9" i="1665"/>
  <c r="D9" i="1665"/>
  <c r="L8" i="1665"/>
  <c r="D8" i="1665" s="1"/>
  <c r="R6" i="1665"/>
  <c r="R5" i="1665"/>
  <c r="R4" i="1665"/>
  <c r="R52" i="1664"/>
  <c r="R51" i="1664"/>
  <c r="D50" i="1664"/>
  <c r="R49" i="1664"/>
  <c r="D49" i="1664"/>
  <c r="R48" i="1664"/>
  <c r="D48" i="1664"/>
  <c r="D46" i="1664"/>
  <c r="D45" i="1664"/>
  <c r="R44" i="1664"/>
  <c r="D44" i="1664"/>
  <c r="R42" i="1664"/>
  <c r="D42" i="1664"/>
  <c r="R41" i="1664"/>
  <c r="D41" i="1664"/>
  <c r="R40" i="1664"/>
  <c r="L8" i="1664" s="1"/>
  <c r="D8" i="1664" s="1"/>
  <c r="D40" i="1664"/>
  <c r="R39" i="1664"/>
  <c r="H39" i="1664"/>
  <c r="D39" i="1664"/>
  <c r="R38" i="1664"/>
  <c r="H38" i="1664"/>
  <c r="D38" i="1664"/>
  <c r="R37" i="1664"/>
  <c r="H37" i="1664"/>
  <c r="D37" i="1664"/>
  <c r="R36" i="1664"/>
  <c r="H36" i="1664"/>
  <c r="D36" i="1664"/>
  <c r="R35" i="1664"/>
  <c r="H35" i="1664"/>
  <c r="D35" i="1664"/>
  <c r="R34" i="1664"/>
  <c r="H34" i="1664"/>
  <c r="D34" i="1664"/>
  <c r="R33" i="1664"/>
  <c r="L23" i="1664" s="1"/>
  <c r="D23" i="1664" s="1"/>
  <c r="R32" i="1664"/>
  <c r="L11" i="1664" s="1"/>
  <c r="D11" i="1664" s="1"/>
  <c r="R31" i="1664"/>
  <c r="R30" i="1664"/>
  <c r="R29" i="1664"/>
  <c r="R28" i="1664"/>
  <c r="D28" i="1664"/>
  <c r="R27" i="1664"/>
  <c r="D27" i="1664"/>
  <c r="R26" i="1664"/>
  <c r="L26" i="1664"/>
  <c r="D26" i="1664" s="1"/>
  <c r="R25" i="1664"/>
  <c r="L25" i="1664"/>
  <c r="D25" i="1664"/>
  <c r="R24" i="1664"/>
  <c r="D24" i="1664"/>
  <c r="R23" i="1664"/>
  <c r="R22" i="1664"/>
  <c r="L22" i="1664"/>
  <c r="D22" i="1664" s="1"/>
  <c r="R21" i="1664"/>
  <c r="D21" i="1664"/>
  <c r="R20" i="1664"/>
  <c r="L20" i="1664"/>
  <c r="D20" i="1664" s="1"/>
  <c r="R19" i="1664"/>
  <c r="L19" i="1664"/>
  <c r="D19" i="1664"/>
  <c r="R18" i="1664"/>
  <c r="D18" i="1664"/>
  <c r="R17" i="1664"/>
  <c r="D17" i="1664"/>
  <c r="R16" i="1664"/>
  <c r="L16" i="1664"/>
  <c r="D16" i="1664" s="1"/>
  <c r="R15" i="1664"/>
  <c r="D15" i="1664"/>
  <c r="R14" i="1664"/>
  <c r="D14" i="1664"/>
  <c r="R13" i="1664"/>
  <c r="D13" i="1664"/>
  <c r="R12" i="1664"/>
  <c r="L12" i="1664"/>
  <c r="D12" i="1664"/>
  <c r="R11" i="1664"/>
  <c r="L10" i="1664"/>
  <c r="D10" i="1664" s="1"/>
  <c r="L9" i="1664"/>
  <c r="D9" i="1664" s="1"/>
  <c r="L7" i="1664"/>
  <c r="D7" i="1664"/>
  <c r="R6" i="1664"/>
  <c r="L6" i="1664"/>
  <c r="D6" i="1664" s="1"/>
  <c r="R5" i="1664"/>
  <c r="R4" i="1664"/>
  <c r="R52" i="1663"/>
  <c r="R51" i="1663"/>
  <c r="D50" i="1663"/>
  <c r="R49" i="1663"/>
  <c r="D49" i="1663"/>
  <c r="R48" i="1663"/>
  <c r="D48" i="1663"/>
  <c r="D46" i="1663"/>
  <c r="D45" i="1663"/>
  <c r="R44" i="1663"/>
  <c r="D44" i="1663"/>
  <c r="R42" i="1663"/>
  <c r="D42" i="1663"/>
  <c r="R41" i="1663"/>
  <c r="D41" i="1663"/>
  <c r="R40" i="1663"/>
  <c r="D40" i="1663"/>
  <c r="R39" i="1663"/>
  <c r="H39" i="1663"/>
  <c r="D39" i="1663"/>
  <c r="R38" i="1663"/>
  <c r="L9" i="1663" s="1"/>
  <c r="D9" i="1663" s="1"/>
  <c r="H38" i="1663"/>
  <c r="D38" i="1663"/>
  <c r="R37" i="1663"/>
  <c r="H37" i="1663"/>
  <c r="D37" i="1663"/>
  <c r="R36" i="1663"/>
  <c r="H36" i="1663"/>
  <c r="D36" i="1663"/>
  <c r="R35" i="1663"/>
  <c r="H35" i="1663"/>
  <c r="D35" i="1663"/>
  <c r="R34" i="1663"/>
  <c r="L12" i="1663" s="1"/>
  <c r="D12" i="1663" s="1"/>
  <c r="H34" i="1663"/>
  <c r="D34" i="1663"/>
  <c r="R33" i="1663"/>
  <c r="L23" i="1663" s="1"/>
  <c r="D23" i="1663" s="1"/>
  <c r="R32" i="1663"/>
  <c r="R31" i="1663"/>
  <c r="R30" i="1663"/>
  <c r="R29" i="1663"/>
  <c r="R28" i="1663"/>
  <c r="L16" i="1663" s="1"/>
  <c r="D16" i="1663" s="1"/>
  <c r="D28" i="1663"/>
  <c r="R27" i="1663"/>
  <c r="D27" i="1663"/>
  <c r="R26" i="1663"/>
  <c r="L26" i="1663"/>
  <c r="D26" i="1663"/>
  <c r="R25" i="1663"/>
  <c r="L25" i="1663"/>
  <c r="D25" i="1663"/>
  <c r="R24" i="1663"/>
  <c r="L24" i="1663"/>
  <c r="D24" i="1663" s="1"/>
  <c r="R23" i="1663"/>
  <c r="R22" i="1663"/>
  <c r="L22" i="1663"/>
  <c r="D22" i="1663"/>
  <c r="R21" i="1663"/>
  <c r="L17" i="1663" s="1"/>
  <c r="D17" i="1663" s="1"/>
  <c r="D21" i="1663"/>
  <c r="R20" i="1663"/>
  <c r="L20" i="1663"/>
  <c r="D20" i="1663" s="1"/>
  <c r="R19" i="1663"/>
  <c r="L19" i="1663"/>
  <c r="D19" i="1663" s="1"/>
  <c r="R18" i="1663"/>
  <c r="D18" i="1663"/>
  <c r="R17" i="1663"/>
  <c r="R16" i="1663"/>
  <c r="R15" i="1663"/>
  <c r="D15" i="1663"/>
  <c r="R14" i="1663"/>
  <c r="D14" i="1663"/>
  <c r="R13" i="1663"/>
  <c r="D13" i="1663"/>
  <c r="R12" i="1663"/>
  <c r="R11" i="1663"/>
  <c r="L11" i="1663"/>
  <c r="D11" i="1663" s="1"/>
  <c r="L10" i="1663"/>
  <c r="D10" i="1663" s="1"/>
  <c r="L8" i="1663"/>
  <c r="D8" i="1663" s="1"/>
  <c r="L7" i="1663"/>
  <c r="D7" i="1663"/>
  <c r="R6" i="1663"/>
  <c r="L6" i="1663"/>
  <c r="D6" i="1663" s="1"/>
  <c r="R5" i="1663"/>
  <c r="R4" i="1663"/>
  <c r="R52" i="1662"/>
  <c r="R51" i="1662"/>
  <c r="D50" i="1662"/>
  <c r="R49" i="1662"/>
  <c r="D49" i="1662"/>
  <c r="R48" i="1662"/>
  <c r="D48" i="1662"/>
  <c r="D46" i="1662"/>
  <c r="D45" i="1662"/>
  <c r="R44" i="1662"/>
  <c r="D44" i="1662"/>
  <c r="R42" i="1662"/>
  <c r="D42" i="1662"/>
  <c r="R41" i="1662"/>
  <c r="D41" i="1662"/>
  <c r="R40" i="1662"/>
  <c r="L8" i="1662" s="1"/>
  <c r="D8" i="1662" s="1"/>
  <c r="D40" i="1662"/>
  <c r="R39" i="1662"/>
  <c r="H39" i="1662"/>
  <c r="D39" i="1662"/>
  <c r="R38" i="1662"/>
  <c r="H38" i="1662"/>
  <c r="D38" i="1662"/>
  <c r="R37" i="1662"/>
  <c r="H37" i="1662"/>
  <c r="D37" i="1662"/>
  <c r="R36" i="1662"/>
  <c r="L10" i="1662" s="1"/>
  <c r="D10" i="1662" s="1"/>
  <c r="H36" i="1662"/>
  <c r="D36" i="1662"/>
  <c r="R35" i="1662"/>
  <c r="H35" i="1662"/>
  <c r="D35" i="1662"/>
  <c r="R34" i="1662"/>
  <c r="L12" i="1662" s="1"/>
  <c r="D12" i="1662" s="1"/>
  <c r="H34" i="1662"/>
  <c r="D34" i="1662"/>
  <c r="R33" i="1662"/>
  <c r="R32" i="1662"/>
  <c r="R31" i="1662"/>
  <c r="R30" i="1662"/>
  <c r="R29" i="1662"/>
  <c r="R28" i="1662"/>
  <c r="L16" i="1662" s="1"/>
  <c r="D16" i="1662" s="1"/>
  <c r="D28" i="1662"/>
  <c r="R27" i="1662"/>
  <c r="D27" i="1662"/>
  <c r="R26" i="1662"/>
  <c r="L26" i="1662"/>
  <c r="D26" i="1662" s="1"/>
  <c r="R25" i="1662"/>
  <c r="D25" i="1662"/>
  <c r="R24" i="1662"/>
  <c r="L24" i="1662"/>
  <c r="D24" i="1662"/>
  <c r="R23" i="1662"/>
  <c r="D23" i="1662"/>
  <c r="R22" i="1662"/>
  <c r="D22" i="1662"/>
  <c r="R21" i="1662"/>
  <c r="D21" i="1662"/>
  <c r="R20" i="1662"/>
  <c r="L20" i="1662"/>
  <c r="D20" i="1662"/>
  <c r="R19" i="1662"/>
  <c r="D19" i="1662"/>
  <c r="R18" i="1662"/>
  <c r="D18" i="1662"/>
  <c r="R17" i="1662"/>
  <c r="L17" i="1662"/>
  <c r="D17" i="1662"/>
  <c r="R16" i="1662"/>
  <c r="R15" i="1662"/>
  <c r="D15" i="1662"/>
  <c r="R14" i="1662"/>
  <c r="D14" i="1662"/>
  <c r="R13" i="1662"/>
  <c r="D13" i="1662"/>
  <c r="R12" i="1662"/>
  <c r="R11" i="1662"/>
  <c r="L11" i="1662"/>
  <c r="D11" i="1662" s="1"/>
  <c r="L9" i="1662"/>
  <c r="D9" i="1662"/>
  <c r="L7" i="1662"/>
  <c r="D7" i="1662" s="1"/>
  <c r="R6" i="1662"/>
  <c r="L6" i="1662"/>
  <c r="D6" i="1662"/>
  <c r="R5" i="1662"/>
  <c r="R4" i="1662"/>
  <c r="R52" i="1661"/>
  <c r="R51" i="1661"/>
  <c r="D50" i="1661"/>
  <c r="R49" i="1661"/>
  <c r="G49" i="1661"/>
  <c r="D49" i="1661"/>
  <c r="R48" i="1661"/>
  <c r="D48" i="1661"/>
  <c r="D46" i="1661"/>
  <c r="D45" i="1661"/>
  <c r="D44" i="1661"/>
  <c r="R42" i="1661"/>
  <c r="L6" i="1661" s="1"/>
  <c r="D6" i="1661" s="1"/>
  <c r="D42" i="1661"/>
  <c r="R41" i="1661"/>
  <c r="L7" i="1661" s="1"/>
  <c r="D7" i="1661" s="1"/>
  <c r="D41" i="1661"/>
  <c r="R40" i="1661"/>
  <c r="D40" i="1661"/>
  <c r="R39" i="1661"/>
  <c r="D39" i="1661"/>
  <c r="R38" i="1661"/>
  <c r="D38" i="1661"/>
  <c r="R37" i="1661"/>
  <c r="D37" i="1661"/>
  <c r="R36" i="1661"/>
  <c r="L10" i="1661" s="1"/>
  <c r="D10" i="1661" s="1"/>
  <c r="D36" i="1661"/>
  <c r="R35" i="1661"/>
  <c r="L19" i="1661" s="1"/>
  <c r="D19" i="1661" s="1"/>
  <c r="D35" i="1661"/>
  <c r="R34" i="1661"/>
  <c r="L12" i="1661" s="1"/>
  <c r="D12" i="1661" s="1"/>
  <c r="D34" i="1661"/>
  <c r="D54" i="1661" s="1"/>
  <c r="H14" i="1661" s="1"/>
  <c r="R33" i="1661"/>
  <c r="L23" i="1661" s="1"/>
  <c r="D23" i="1661" s="1"/>
  <c r="R32" i="1661"/>
  <c r="R31" i="1661"/>
  <c r="R30" i="1661"/>
  <c r="R29" i="1661"/>
  <c r="R28" i="1661"/>
  <c r="D28" i="1661"/>
  <c r="R27" i="1661"/>
  <c r="D27" i="1661"/>
  <c r="R26" i="1661"/>
  <c r="L26" i="1661"/>
  <c r="D26" i="1661" s="1"/>
  <c r="R25" i="1661"/>
  <c r="L25" i="1661"/>
  <c r="D25" i="1661"/>
  <c r="R24" i="1661"/>
  <c r="D24" i="1661"/>
  <c r="R23" i="1661"/>
  <c r="R22" i="1661"/>
  <c r="L22" i="1661"/>
  <c r="D22" i="1661"/>
  <c r="R21" i="1661"/>
  <c r="D21" i="1661"/>
  <c r="R20" i="1661"/>
  <c r="L20" i="1661"/>
  <c r="D20" i="1661" s="1"/>
  <c r="R19" i="1661"/>
  <c r="R18" i="1661"/>
  <c r="D18" i="1661"/>
  <c r="R17" i="1661"/>
  <c r="D17" i="1661"/>
  <c r="R16" i="1661"/>
  <c r="L16" i="1661"/>
  <c r="D16" i="1661" s="1"/>
  <c r="S15" i="1661"/>
  <c r="R15" i="1661"/>
  <c r="D15" i="1661"/>
  <c r="S14" i="1661"/>
  <c r="R14" i="1661"/>
  <c r="D14" i="1661"/>
  <c r="R13" i="1661"/>
  <c r="D13" i="1661"/>
  <c r="R12" i="1661"/>
  <c r="R11" i="1661"/>
  <c r="L11" i="1661"/>
  <c r="D11" i="1661"/>
  <c r="L9" i="1661"/>
  <c r="D9" i="1661"/>
  <c r="L8" i="1661"/>
  <c r="D8" i="1661" s="1"/>
  <c r="R6" i="1661"/>
  <c r="R5" i="1661"/>
  <c r="R4" i="1661"/>
  <c r="R52" i="1660"/>
  <c r="R51" i="1660"/>
  <c r="D50" i="1660"/>
  <c r="R49" i="1660"/>
  <c r="D49" i="1660"/>
  <c r="R48" i="1660"/>
  <c r="D48" i="1660"/>
  <c r="D46" i="1660"/>
  <c r="D45" i="1660"/>
  <c r="R44" i="1660"/>
  <c r="D44" i="1660"/>
  <c r="R42" i="1660"/>
  <c r="L6" i="1660" s="1"/>
  <c r="D6" i="1660" s="1"/>
  <c r="D42" i="1660"/>
  <c r="R41" i="1660"/>
  <c r="D41" i="1660"/>
  <c r="R40" i="1660"/>
  <c r="D40" i="1660"/>
  <c r="R39" i="1660"/>
  <c r="H39" i="1660"/>
  <c r="D39" i="1660"/>
  <c r="R38" i="1660"/>
  <c r="H38" i="1660"/>
  <c r="D38" i="1660"/>
  <c r="R37" i="1660"/>
  <c r="H37" i="1660"/>
  <c r="D37" i="1660"/>
  <c r="R36" i="1660"/>
  <c r="H36" i="1660"/>
  <c r="D36" i="1660"/>
  <c r="R35" i="1660"/>
  <c r="H35" i="1660"/>
  <c r="D35" i="1660"/>
  <c r="R34" i="1660"/>
  <c r="L12" i="1660" s="1"/>
  <c r="D12" i="1660" s="1"/>
  <c r="H34" i="1660"/>
  <c r="D34" i="1660"/>
  <c r="R33" i="1660"/>
  <c r="R32" i="1660"/>
  <c r="R31" i="1660"/>
  <c r="R30" i="1660"/>
  <c r="R29" i="1660"/>
  <c r="R28" i="1660"/>
  <c r="L16" i="1660" s="1"/>
  <c r="D16" i="1660" s="1"/>
  <c r="D28" i="1660"/>
  <c r="R27" i="1660"/>
  <c r="D27" i="1660"/>
  <c r="R26" i="1660"/>
  <c r="L26" i="1660"/>
  <c r="D26" i="1660"/>
  <c r="R25" i="1660"/>
  <c r="L25" i="1660"/>
  <c r="D25" i="1660" s="1"/>
  <c r="R24" i="1660"/>
  <c r="D24" i="1660"/>
  <c r="R23" i="1660"/>
  <c r="L23" i="1660"/>
  <c r="D23" i="1660"/>
  <c r="R22" i="1660"/>
  <c r="L22" i="1660"/>
  <c r="D22" i="1660"/>
  <c r="R21" i="1660"/>
  <c r="D21" i="1660"/>
  <c r="R20" i="1660"/>
  <c r="L20" i="1660"/>
  <c r="D20" i="1660"/>
  <c r="R19" i="1660"/>
  <c r="L19" i="1660"/>
  <c r="D19" i="1660" s="1"/>
  <c r="R18" i="1660"/>
  <c r="D18" i="1660"/>
  <c r="R17" i="1660"/>
  <c r="D17" i="1660"/>
  <c r="R16" i="1660"/>
  <c r="R15" i="1660"/>
  <c r="D15" i="1660"/>
  <c r="R14" i="1660"/>
  <c r="D14" i="1660"/>
  <c r="R13" i="1660"/>
  <c r="D13" i="1660"/>
  <c r="R12" i="1660"/>
  <c r="R11" i="1660"/>
  <c r="L11" i="1660"/>
  <c r="D11" i="1660" s="1"/>
  <c r="L10" i="1660"/>
  <c r="D10" i="1660"/>
  <c r="L9" i="1660"/>
  <c r="D9" i="1660" s="1"/>
  <c r="L8" i="1660"/>
  <c r="D8" i="1660" s="1"/>
  <c r="L7" i="1660"/>
  <c r="D7" i="1660" s="1"/>
  <c r="R6" i="1660"/>
  <c r="R5" i="1660"/>
  <c r="R4" i="1660"/>
  <c r="R52" i="1659"/>
  <c r="R51" i="1659"/>
  <c r="D50" i="1659"/>
  <c r="R49" i="1659"/>
  <c r="D49" i="1659"/>
  <c r="R48" i="1659"/>
  <c r="D48" i="1659"/>
  <c r="D46" i="1659"/>
  <c r="D45" i="1659"/>
  <c r="R44" i="1659"/>
  <c r="D44" i="1659"/>
  <c r="R42" i="1659"/>
  <c r="L6" i="1659" s="1"/>
  <c r="D6" i="1659" s="1"/>
  <c r="D42" i="1659"/>
  <c r="R41" i="1659"/>
  <c r="D41" i="1659"/>
  <c r="R40" i="1659"/>
  <c r="D40" i="1659"/>
  <c r="R39" i="1659"/>
  <c r="D39" i="1659"/>
  <c r="R38" i="1659"/>
  <c r="L9" i="1659" s="1"/>
  <c r="D9" i="1659" s="1"/>
  <c r="D38" i="1659"/>
  <c r="R37" i="1659"/>
  <c r="H37" i="1659"/>
  <c r="D37" i="1659"/>
  <c r="R36" i="1659"/>
  <c r="H36" i="1659"/>
  <c r="D36" i="1659"/>
  <c r="R35" i="1659"/>
  <c r="H35" i="1659"/>
  <c r="D35" i="1659"/>
  <c r="R34" i="1659"/>
  <c r="H34" i="1659"/>
  <c r="D34" i="1659"/>
  <c r="R33" i="1659"/>
  <c r="R32" i="1659"/>
  <c r="R31" i="1659"/>
  <c r="R30" i="1659"/>
  <c r="R29" i="1659"/>
  <c r="R28" i="1659"/>
  <c r="D28" i="1659"/>
  <c r="R27" i="1659"/>
  <c r="D27" i="1659"/>
  <c r="R26" i="1659"/>
  <c r="L26" i="1659"/>
  <c r="D26" i="1659"/>
  <c r="R25" i="1659"/>
  <c r="L25" i="1659"/>
  <c r="D25" i="1659"/>
  <c r="R24" i="1659"/>
  <c r="D24" i="1659"/>
  <c r="R23" i="1659"/>
  <c r="L23" i="1659"/>
  <c r="D23" i="1659" s="1"/>
  <c r="R22" i="1659"/>
  <c r="L22" i="1659"/>
  <c r="D22" i="1659"/>
  <c r="R21" i="1659"/>
  <c r="D21" i="1659"/>
  <c r="R20" i="1659"/>
  <c r="L20" i="1659"/>
  <c r="D20" i="1659" s="1"/>
  <c r="R19" i="1659"/>
  <c r="L19" i="1659"/>
  <c r="D19" i="1659" s="1"/>
  <c r="R18" i="1659"/>
  <c r="D18" i="1659"/>
  <c r="R17" i="1659"/>
  <c r="L17" i="1659"/>
  <c r="D17" i="1659" s="1"/>
  <c r="R16" i="1659"/>
  <c r="L16" i="1659"/>
  <c r="D16" i="1659"/>
  <c r="R15" i="1659"/>
  <c r="D15" i="1659"/>
  <c r="R14" i="1659"/>
  <c r="D14" i="1659"/>
  <c r="R13" i="1659"/>
  <c r="D13" i="1659"/>
  <c r="R12" i="1659"/>
  <c r="L12" i="1659"/>
  <c r="D12" i="1659"/>
  <c r="R11" i="1659"/>
  <c r="L11" i="1659"/>
  <c r="D11" i="1659"/>
  <c r="L10" i="1659"/>
  <c r="D10" i="1659" s="1"/>
  <c r="L8" i="1659"/>
  <c r="D8" i="1659" s="1"/>
  <c r="L7" i="1659"/>
  <c r="D7" i="1659"/>
  <c r="R6" i="1659"/>
  <c r="R5" i="1659"/>
  <c r="R4" i="1659"/>
  <c r="R52" i="1658"/>
  <c r="R51" i="1658"/>
  <c r="D50" i="1658"/>
  <c r="R49" i="1658"/>
  <c r="D49" i="1658"/>
  <c r="R48" i="1658"/>
  <c r="D48" i="1658"/>
  <c r="D46" i="1658"/>
  <c r="D45" i="1658"/>
  <c r="R44" i="1658"/>
  <c r="D44" i="1658"/>
  <c r="R42" i="1658"/>
  <c r="L6" i="1658" s="1"/>
  <c r="D6" i="1658" s="1"/>
  <c r="D42" i="1658"/>
  <c r="R41" i="1658"/>
  <c r="D41" i="1658"/>
  <c r="R40" i="1658"/>
  <c r="D40" i="1658"/>
  <c r="R39" i="1658"/>
  <c r="L20" i="1658" s="1"/>
  <c r="D20" i="1658" s="1"/>
  <c r="H39" i="1658"/>
  <c r="D39" i="1658"/>
  <c r="R38" i="1658"/>
  <c r="H38" i="1658"/>
  <c r="D38" i="1658"/>
  <c r="R37" i="1658"/>
  <c r="H37" i="1658"/>
  <c r="D37" i="1658"/>
  <c r="R36" i="1658"/>
  <c r="L10" i="1658" s="1"/>
  <c r="D10" i="1658" s="1"/>
  <c r="H36" i="1658"/>
  <c r="D36" i="1658"/>
  <c r="R35" i="1658"/>
  <c r="H35" i="1658"/>
  <c r="D35" i="1658"/>
  <c r="R34" i="1658"/>
  <c r="L12" i="1658" s="1"/>
  <c r="D12" i="1658" s="1"/>
  <c r="H34" i="1658"/>
  <c r="D34" i="1658"/>
  <c r="R33" i="1658"/>
  <c r="R32" i="1658"/>
  <c r="R31" i="1658"/>
  <c r="R30" i="1658"/>
  <c r="R29" i="1658"/>
  <c r="R28" i="1658"/>
  <c r="D28" i="1658"/>
  <c r="R27" i="1658"/>
  <c r="D27" i="1658"/>
  <c r="R26" i="1658"/>
  <c r="L26" i="1658"/>
  <c r="D26" i="1658"/>
  <c r="R25" i="1658"/>
  <c r="D25" i="1658"/>
  <c r="R24" i="1658"/>
  <c r="L24" i="1658"/>
  <c r="D24" i="1658" s="1"/>
  <c r="R23" i="1658"/>
  <c r="D23" i="1658"/>
  <c r="R22" i="1658"/>
  <c r="D22" i="1658"/>
  <c r="R21" i="1658"/>
  <c r="D21" i="1658"/>
  <c r="R20" i="1658"/>
  <c r="R19" i="1658"/>
  <c r="D19" i="1658"/>
  <c r="R18" i="1658"/>
  <c r="D18" i="1658"/>
  <c r="R17" i="1658"/>
  <c r="L17" i="1658"/>
  <c r="D17" i="1658" s="1"/>
  <c r="R16" i="1658"/>
  <c r="L16" i="1658"/>
  <c r="D16" i="1658" s="1"/>
  <c r="R15" i="1658"/>
  <c r="D15" i="1658"/>
  <c r="R14" i="1658"/>
  <c r="D14" i="1658"/>
  <c r="R13" i="1658"/>
  <c r="D13" i="1658"/>
  <c r="R12" i="1658"/>
  <c r="R11" i="1658"/>
  <c r="L11" i="1658"/>
  <c r="D11" i="1658"/>
  <c r="L9" i="1658"/>
  <c r="D9" i="1658"/>
  <c r="L8" i="1658"/>
  <c r="D8" i="1658" s="1"/>
  <c r="L7" i="1658"/>
  <c r="D7" i="1658"/>
  <c r="R6" i="1658"/>
  <c r="R5" i="1658"/>
  <c r="R4" i="1658"/>
  <c r="R52" i="1657"/>
  <c r="R51" i="1657"/>
  <c r="D50" i="1657"/>
  <c r="R49" i="1657"/>
  <c r="G49" i="1657"/>
  <c r="D49" i="1657"/>
  <c r="R48" i="1657"/>
  <c r="D48" i="1657"/>
  <c r="D46" i="1657"/>
  <c r="D45" i="1657"/>
  <c r="D44" i="1657"/>
  <c r="R42" i="1657"/>
  <c r="L6" i="1657" s="1"/>
  <c r="D6" i="1657" s="1"/>
  <c r="D42" i="1657"/>
  <c r="R41" i="1657"/>
  <c r="L7" i="1657" s="1"/>
  <c r="D7" i="1657" s="1"/>
  <c r="D41" i="1657"/>
  <c r="R40" i="1657"/>
  <c r="D40" i="1657"/>
  <c r="R39" i="1657"/>
  <c r="D39" i="1657"/>
  <c r="R38" i="1657"/>
  <c r="L9" i="1657" s="1"/>
  <c r="D9" i="1657" s="1"/>
  <c r="D38" i="1657"/>
  <c r="R37" i="1657"/>
  <c r="D37" i="1657"/>
  <c r="R36" i="1657"/>
  <c r="D36" i="1657"/>
  <c r="R35" i="1657"/>
  <c r="L19" i="1657" s="1"/>
  <c r="D19" i="1657" s="1"/>
  <c r="D35" i="1657"/>
  <c r="D54" i="1657" s="1"/>
  <c r="H14" i="1657" s="1"/>
  <c r="R34" i="1657"/>
  <c r="D34" i="1657"/>
  <c r="R33" i="1657"/>
  <c r="R32" i="1657"/>
  <c r="R31" i="1657"/>
  <c r="R30" i="1657"/>
  <c r="R29" i="1657"/>
  <c r="R28" i="1657"/>
  <c r="L16" i="1657" s="1"/>
  <c r="D16" i="1657" s="1"/>
  <c r="D28" i="1657"/>
  <c r="R27" i="1657"/>
  <c r="D27" i="1657"/>
  <c r="R26" i="1657"/>
  <c r="L26" i="1657"/>
  <c r="D26" i="1657"/>
  <c r="R25" i="1657"/>
  <c r="L25" i="1657"/>
  <c r="D25" i="1657"/>
  <c r="R24" i="1657"/>
  <c r="D24" i="1657"/>
  <c r="R23" i="1657"/>
  <c r="L23" i="1657"/>
  <c r="D23" i="1657"/>
  <c r="R22" i="1657"/>
  <c r="L22" i="1657"/>
  <c r="D22" i="1657" s="1"/>
  <c r="R21" i="1657"/>
  <c r="D21" i="1657"/>
  <c r="R20" i="1657"/>
  <c r="L20" i="1657"/>
  <c r="D20" i="1657"/>
  <c r="R19" i="1657"/>
  <c r="R18" i="1657"/>
  <c r="D18" i="1657"/>
  <c r="R17" i="1657"/>
  <c r="D17" i="1657"/>
  <c r="R16" i="1657"/>
  <c r="S15" i="1657"/>
  <c r="R15" i="1657"/>
  <c r="D15" i="1657"/>
  <c r="S14" i="1657"/>
  <c r="R14" i="1657"/>
  <c r="D14" i="1657"/>
  <c r="R13" i="1657"/>
  <c r="D13" i="1657"/>
  <c r="R12" i="1657"/>
  <c r="L12" i="1657"/>
  <c r="D12" i="1657"/>
  <c r="R11" i="1657"/>
  <c r="L11" i="1657"/>
  <c r="D11" i="1657" s="1"/>
  <c r="L10" i="1657"/>
  <c r="D10" i="1657" s="1"/>
  <c r="L8" i="1657"/>
  <c r="D8" i="1657" s="1"/>
  <c r="R6" i="1657"/>
  <c r="R5" i="1657"/>
  <c r="R4" i="1657"/>
  <c r="R52" i="1656"/>
  <c r="L22" i="1656" s="1"/>
  <c r="D22" i="1656" s="1"/>
  <c r="R51" i="1656"/>
  <c r="D50" i="1656"/>
  <c r="R49" i="1656"/>
  <c r="D49" i="1656"/>
  <c r="R48" i="1656"/>
  <c r="D48" i="1656"/>
  <c r="D46" i="1656"/>
  <c r="D45" i="1656"/>
  <c r="R44" i="1656"/>
  <c r="D44" i="1656"/>
  <c r="R42" i="1656"/>
  <c r="D42" i="1656"/>
  <c r="R41" i="1656"/>
  <c r="D41" i="1656"/>
  <c r="R40" i="1656"/>
  <c r="D40" i="1656"/>
  <c r="R39" i="1656"/>
  <c r="H39" i="1656"/>
  <c r="D39" i="1656"/>
  <c r="R38" i="1656"/>
  <c r="H38" i="1656"/>
  <c r="D38" i="1656"/>
  <c r="R37" i="1656"/>
  <c r="H37" i="1656"/>
  <c r="D37" i="1656"/>
  <c r="R36" i="1656"/>
  <c r="H36" i="1656"/>
  <c r="D36" i="1656"/>
  <c r="R35" i="1656"/>
  <c r="L19" i="1656" s="1"/>
  <c r="D19" i="1656" s="1"/>
  <c r="H35" i="1656"/>
  <c r="D35" i="1656"/>
  <c r="R34" i="1656"/>
  <c r="H34" i="1656"/>
  <c r="D34" i="1656"/>
  <c r="R33" i="1656"/>
  <c r="L23" i="1656" s="1"/>
  <c r="D23" i="1656" s="1"/>
  <c r="R32" i="1656"/>
  <c r="R31" i="1656"/>
  <c r="R30" i="1656"/>
  <c r="R29" i="1656"/>
  <c r="R28" i="1656"/>
  <c r="D28" i="1656"/>
  <c r="R27" i="1656"/>
  <c r="D27" i="1656"/>
  <c r="R26" i="1656"/>
  <c r="L26" i="1656"/>
  <c r="D26" i="1656"/>
  <c r="R25" i="1656"/>
  <c r="L25" i="1656"/>
  <c r="D25" i="1656"/>
  <c r="R24" i="1656"/>
  <c r="D24" i="1656"/>
  <c r="R23" i="1656"/>
  <c r="R22" i="1656"/>
  <c r="R21" i="1656"/>
  <c r="D21" i="1656"/>
  <c r="R20" i="1656"/>
  <c r="L20" i="1656"/>
  <c r="D20" i="1656"/>
  <c r="R19" i="1656"/>
  <c r="R18" i="1656"/>
  <c r="D18" i="1656"/>
  <c r="R17" i="1656"/>
  <c r="D17" i="1656"/>
  <c r="R16" i="1656"/>
  <c r="L16" i="1656"/>
  <c r="D16" i="1656" s="1"/>
  <c r="R15" i="1656"/>
  <c r="D15" i="1656"/>
  <c r="R14" i="1656"/>
  <c r="D14" i="1656"/>
  <c r="R13" i="1656"/>
  <c r="D13" i="1656"/>
  <c r="R12" i="1656"/>
  <c r="L12" i="1656"/>
  <c r="D12" i="1656" s="1"/>
  <c r="R11" i="1656"/>
  <c r="L11" i="1656"/>
  <c r="D11" i="1656" s="1"/>
  <c r="L10" i="1656"/>
  <c r="D10" i="1656" s="1"/>
  <c r="L9" i="1656"/>
  <c r="D9" i="1656" s="1"/>
  <c r="L8" i="1656"/>
  <c r="D8" i="1656" s="1"/>
  <c r="L7" i="1656"/>
  <c r="D7" i="1656" s="1"/>
  <c r="R6" i="1656"/>
  <c r="L6" i="1656"/>
  <c r="D6" i="1656" s="1"/>
  <c r="R5" i="1656"/>
  <c r="R4" i="1656"/>
  <c r="R52" i="1655"/>
  <c r="R51" i="1655"/>
  <c r="D50" i="1655"/>
  <c r="R49" i="1655"/>
  <c r="D49" i="1655"/>
  <c r="R48" i="1655"/>
  <c r="D48" i="1655"/>
  <c r="D46" i="1655"/>
  <c r="D45" i="1655"/>
  <c r="R44" i="1655"/>
  <c r="D44" i="1655"/>
  <c r="R42" i="1655"/>
  <c r="L6" i="1655" s="1"/>
  <c r="D6" i="1655" s="1"/>
  <c r="D42" i="1655"/>
  <c r="R41" i="1655"/>
  <c r="D41" i="1655"/>
  <c r="R40" i="1655"/>
  <c r="D40" i="1655"/>
  <c r="R39" i="1655"/>
  <c r="L20" i="1655" s="1"/>
  <c r="D20" i="1655" s="1"/>
  <c r="H39" i="1655"/>
  <c r="D39" i="1655"/>
  <c r="R38" i="1655"/>
  <c r="H38" i="1655"/>
  <c r="D38" i="1655"/>
  <c r="R37" i="1655"/>
  <c r="H37" i="1655"/>
  <c r="D37" i="1655"/>
  <c r="R36" i="1655"/>
  <c r="H36" i="1655"/>
  <c r="D36" i="1655"/>
  <c r="R35" i="1655"/>
  <c r="H35" i="1655"/>
  <c r="D35" i="1655"/>
  <c r="R34" i="1655"/>
  <c r="L12" i="1655" s="1"/>
  <c r="D12" i="1655" s="1"/>
  <c r="H34" i="1655"/>
  <c r="D34" i="1655"/>
  <c r="R33" i="1655"/>
  <c r="R32" i="1655"/>
  <c r="R31" i="1655"/>
  <c r="R30" i="1655"/>
  <c r="R29" i="1655"/>
  <c r="R28" i="1655"/>
  <c r="D28" i="1655"/>
  <c r="R27" i="1655"/>
  <c r="D27" i="1655"/>
  <c r="R26" i="1655"/>
  <c r="L26" i="1655"/>
  <c r="D26" i="1655"/>
  <c r="R25" i="1655"/>
  <c r="L25" i="1655"/>
  <c r="D25" i="1655"/>
  <c r="R24" i="1655"/>
  <c r="L24" i="1655"/>
  <c r="D24" i="1655"/>
  <c r="R23" i="1655"/>
  <c r="L23" i="1655"/>
  <c r="D23" i="1655"/>
  <c r="R22" i="1655"/>
  <c r="L22" i="1655"/>
  <c r="D22" i="1655"/>
  <c r="R21" i="1655"/>
  <c r="D21" i="1655"/>
  <c r="R20" i="1655"/>
  <c r="R19" i="1655"/>
  <c r="L19" i="1655"/>
  <c r="D19" i="1655" s="1"/>
  <c r="R18" i="1655"/>
  <c r="D18" i="1655"/>
  <c r="R17" i="1655"/>
  <c r="L17" i="1655"/>
  <c r="D17" i="1655" s="1"/>
  <c r="R16" i="1655"/>
  <c r="L16" i="1655"/>
  <c r="D16" i="1655"/>
  <c r="R15" i="1655"/>
  <c r="D15" i="1655"/>
  <c r="R14" i="1655"/>
  <c r="D14" i="1655"/>
  <c r="R13" i="1655"/>
  <c r="D13" i="1655"/>
  <c r="R12" i="1655"/>
  <c r="R11" i="1655"/>
  <c r="L11" i="1655"/>
  <c r="D11" i="1655"/>
  <c r="L10" i="1655"/>
  <c r="D10" i="1655" s="1"/>
  <c r="L9" i="1655"/>
  <c r="D9" i="1655" s="1"/>
  <c r="L8" i="1655"/>
  <c r="D8" i="1655"/>
  <c r="L7" i="1655"/>
  <c r="D7" i="1655"/>
  <c r="R6" i="1655"/>
  <c r="R5" i="1655"/>
  <c r="R4" i="1655"/>
  <c r="R52" i="1654"/>
  <c r="R51" i="1654"/>
  <c r="D50" i="1654"/>
  <c r="R49" i="1654"/>
  <c r="D49" i="1654"/>
  <c r="R48" i="1654"/>
  <c r="D48" i="1654"/>
  <c r="D46" i="1654"/>
  <c r="D45" i="1654"/>
  <c r="R44" i="1654"/>
  <c r="D44" i="1654"/>
  <c r="R42" i="1654"/>
  <c r="L6" i="1654" s="1"/>
  <c r="D6" i="1654" s="1"/>
  <c r="D42" i="1654"/>
  <c r="R41" i="1654"/>
  <c r="D41" i="1654"/>
  <c r="R40" i="1654"/>
  <c r="L8" i="1654" s="1"/>
  <c r="D8" i="1654" s="1"/>
  <c r="D40" i="1654"/>
  <c r="R39" i="1654"/>
  <c r="L20" i="1654" s="1"/>
  <c r="D20" i="1654" s="1"/>
  <c r="H39" i="1654"/>
  <c r="D39" i="1654"/>
  <c r="R38" i="1654"/>
  <c r="H38" i="1654"/>
  <c r="D38" i="1654"/>
  <c r="R37" i="1654"/>
  <c r="H37" i="1654"/>
  <c r="D37" i="1654"/>
  <c r="R36" i="1654"/>
  <c r="L10" i="1654" s="1"/>
  <c r="D10" i="1654" s="1"/>
  <c r="H36" i="1654"/>
  <c r="D36" i="1654"/>
  <c r="R35" i="1654"/>
  <c r="H35" i="1654"/>
  <c r="D35" i="1654"/>
  <c r="R34" i="1654"/>
  <c r="L12" i="1654" s="1"/>
  <c r="D12" i="1654" s="1"/>
  <c r="H34" i="1654"/>
  <c r="D34" i="1654"/>
  <c r="R33" i="1654"/>
  <c r="R32" i="1654"/>
  <c r="R31" i="1654"/>
  <c r="R30" i="1654"/>
  <c r="R29" i="1654"/>
  <c r="R28" i="1654"/>
  <c r="L16" i="1654" s="1"/>
  <c r="D16" i="1654" s="1"/>
  <c r="D28" i="1654"/>
  <c r="R27" i="1654"/>
  <c r="D27" i="1654"/>
  <c r="R26" i="1654"/>
  <c r="L26" i="1654"/>
  <c r="D26" i="1654"/>
  <c r="R25" i="1654"/>
  <c r="L25" i="1654"/>
  <c r="D25" i="1654" s="1"/>
  <c r="R24" i="1654"/>
  <c r="L24" i="1654"/>
  <c r="D24" i="1654" s="1"/>
  <c r="R23" i="1654"/>
  <c r="D23" i="1654"/>
  <c r="R22" i="1654"/>
  <c r="D22" i="1654"/>
  <c r="R21" i="1654"/>
  <c r="D21" i="1654"/>
  <c r="R20" i="1654"/>
  <c r="R19" i="1654"/>
  <c r="D19" i="1654"/>
  <c r="R18" i="1654"/>
  <c r="D18" i="1654"/>
  <c r="R17" i="1654"/>
  <c r="L17" i="1654"/>
  <c r="D17" i="1654" s="1"/>
  <c r="R16" i="1654"/>
  <c r="R15" i="1654"/>
  <c r="D15" i="1654"/>
  <c r="R14" i="1654"/>
  <c r="D14" i="1654"/>
  <c r="R13" i="1654"/>
  <c r="D13" i="1654"/>
  <c r="R12" i="1654"/>
  <c r="R11" i="1654"/>
  <c r="L11" i="1654"/>
  <c r="D11" i="1654" s="1"/>
  <c r="L9" i="1654"/>
  <c r="D9" i="1654"/>
  <c r="L7" i="1654"/>
  <c r="D7" i="1654"/>
  <c r="R6" i="1654"/>
  <c r="R5" i="1654"/>
  <c r="R4" i="1654"/>
  <c r="R52" i="1653"/>
  <c r="R51" i="1653"/>
  <c r="D50" i="1653"/>
  <c r="R49" i="1653"/>
  <c r="G49" i="1653"/>
  <c r="D49" i="1653"/>
  <c r="R48" i="1653"/>
  <c r="D48" i="1653"/>
  <c r="D46" i="1653"/>
  <c r="D45" i="1653"/>
  <c r="D44" i="1653"/>
  <c r="R42" i="1653"/>
  <c r="L6" i="1653" s="1"/>
  <c r="D6" i="1653" s="1"/>
  <c r="D42" i="1653"/>
  <c r="R41" i="1653"/>
  <c r="L7" i="1653" s="1"/>
  <c r="D7" i="1653" s="1"/>
  <c r="D41" i="1653"/>
  <c r="R40" i="1653"/>
  <c r="D40" i="1653"/>
  <c r="R39" i="1653"/>
  <c r="D39" i="1653"/>
  <c r="R38" i="1653"/>
  <c r="L9" i="1653" s="1"/>
  <c r="D9" i="1653" s="1"/>
  <c r="D38" i="1653"/>
  <c r="R37" i="1653"/>
  <c r="D37" i="1653"/>
  <c r="R36" i="1653"/>
  <c r="D36" i="1653"/>
  <c r="R35" i="1653"/>
  <c r="D35" i="1653"/>
  <c r="R34" i="1653"/>
  <c r="L12" i="1653" s="1"/>
  <c r="D12" i="1653" s="1"/>
  <c r="D34" i="1653"/>
  <c r="D54" i="1653" s="1"/>
  <c r="H14" i="1653" s="1"/>
  <c r="R33" i="1653"/>
  <c r="L23" i="1653" s="1"/>
  <c r="D23" i="1653" s="1"/>
  <c r="R32" i="1653"/>
  <c r="R31" i="1653"/>
  <c r="R30" i="1653"/>
  <c r="R29" i="1653"/>
  <c r="R28" i="1653"/>
  <c r="D28" i="1653"/>
  <c r="R27" i="1653"/>
  <c r="D27" i="1653"/>
  <c r="R26" i="1653"/>
  <c r="L26" i="1653"/>
  <c r="D26" i="1653"/>
  <c r="R25" i="1653"/>
  <c r="L25" i="1653"/>
  <c r="D25" i="1653"/>
  <c r="R24" i="1653"/>
  <c r="D24" i="1653"/>
  <c r="R23" i="1653"/>
  <c r="R22" i="1653"/>
  <c r="L22" i="1653"/>
  <c r="D22" i="1653"/>
  <c r="R21" i="1653"/>
  <c r="D21" i="1653"/>
  <c r="R20" i="1653"/>
  <c r="L20" i="1653"/>
  <c r="D20" i="1653"/>
  <c r="R19" i="1653"/>
  <c r="L19" i="1653"/>
  <c r="D19" i="1653"/>
  <c r="R18" i="1653"/>
  <c r="D18" i="1653"/>
  <c r="R17" i="1653"/>
  <c r="D17" i="1653"/>
  <c r="R16" i="1653"/>
  <c r="L16" i="1653"/>
  <c r="D16" i="1653" s="1"/>
  <c r="S15" i="1653"/>
  <c r="R15" i="1653"/>
  <c r="D15" i="1653"/>
  <c r="S14" i="1653"/>
  <c r="R14" i="1653"/>
  <c r="D14" i="1653"/>
  <c r="R13" i="1653"/>
  <c r="D13" i="1653"/>
  <c r="R12" i="1653"/>
  <c r="R11" i="1653"/>
  <c r="L11" i="1653"/>
  <c r="D11" i="1653"/>
  <c r="L10" i="1653"/>
  <c r="D10" i="1653"/>
  <c r="L8" i="1653"/>
  <c r="D8" i="1653"/>
  <c r="R6" i="1653"/>
  <c r="R5" i="1653"/>
  <c r="R4" i="1653"/>
  <c r="R52" i="1652"/>
  <c r="R51" i="1652"/>
  <c r="D50" i="1652"/>
  <c r="R49" i="1652"/>
  <c r="D49" i="1652"/>
  <c r="R48" i="1652"/>
  <c r="D48" i="1652"/>
  <c r="D46" i="1652"/>
  <c r="D45" i="1652"/>
  <c r="R44" i="1652"/>
  <c r="D44" i="1652"/>
  <c r="R42" i="1652"/>
  <c r="L6" i="1652" s="1"/>
  <c r="D6" i="1652" s="1"/>
  <c r="D42" i="1652"/>
  <c r="R41" i="1652"/>
  <c r="D41" i="1652"/>
  <c r="R40" i="1652"/>
  <c r="L8" i="1652" s="1"/>
  <c r="D8" i="1652" s="1"/>
  <c r="D40" i="1652"/>
  <c r="R39" i="1652"/>
  <c r="H39" i="1652"/>
  <c r="D39" i="1652"/>
  <c r="R38" i="1652"/>
  <c r="H38" i="1652"/>
  <c r="D38" i="1652"/>
  <c r="R37" i="1652"/>
  <c r="H37" i="1652"/>
  <c r="D37" i="1652"/>
  <c r="R36" i="1652"/>
  <c r="H36" i="1652"/>
  <c r="D36" i="1652"/>
  <c r="R35" i="1652"/>
  <c r="H35" i="1652"/>
  <c r="D35" i="1652"/>
  <c r="R34" i="1652"/>
  <c r="L12" i="1652" s="1"/>
  <c r="D12" i="1652" s="1"/>
  <c r="H34" i="1652"/>
  <c r="G49" i="1652" s="1"/>
  <c r="D34" i="1652"/>
  <c r="R33" i="1652"/>
  <c r="R32" i="1652"/>
  <c r="L11" i="1652" s="1"/>
  <c r="D11" i="1652" s="1"/>
  <c r="R31" i="1652"/>
  <c r="R30" i="1652"/>
  <c r="R29" i="1652"/>
  <c r="R28" i="1652"/>
  <c r="D28" i="1652"/>
  <c r="R27" i="1652"/>
  <c r="D27" i="1652"/>
  <c r="R26" i="1652"/>
  <c r="L26" i="1652"/>
  <c r="D26" i="1652"/>
  <c r="R25" i="1652"/>
  <c r="L25" i="1652"/>
  <c r="D25" i="1652" s="1"/>
  <c r="R24" i="1652"/>
  <c r="D24" i="1652"/>
  <c r="R23" i="1652"/>
  <c r="L23" i="1652"/>
  <c r="D23" i="1652" s="1"/>
  <c r="R22" i="1652"/>
  <c r="L22" i="1652"/>
  <c r="D22" i="1652" s="1"/>
  <c r="R21" i="1652"/>
  <c r="D21" i="1652"/>
  <c r="R20" i="1652"/>
  <c r="L20" i="1652"/>
  <c r="D20" i="1652"/>
  <c r="R19" i="1652"/>
  <c r="L19" i="1652"/>
  <c r="D19" i="1652" s="1"/>
  <c r="R18" i="1652"/>
  <c r="D18" i="1652"/>
  <c r="R17" i="1652"/>
  <c r="D17" i="1652"/>
  <c r="R16" i="1652"/>
  <c r="L16" i="1652"/>
  <c r="D16" i="1652" s="1"/>
  <c r="R15" i="1652"/>
  <c r="D15" i="1652"/>
  <c r="R14" i="1652"/>
  <c r="D14" i="1652"/>
  <c r="R13" i="1652"/>
  <c r="D13" i="1652"/>
  <c r="R12" i="1652"/>
  <c r="R11" i="1652"/>
  <c r="L10" i="1652"/>
  <c r="D10" i="1652" s="1"/>
  <c r="L9" i="1652"/>
  <c r="D9" i="1652" s="1"/>
  <c r="L7" i="1652"/>
  <c r="D7" i="1652" s="1"/>
  <c r="R6" i="1652"/>
  <c r="R5" i="1652"/>
  <c r="R4" i="1652"/>
  <c r="R52" i="1651"/>
  <c r="R51" i="1651"/>
  <c r="D50" i="1651"/>
  <c r="R49" i="1651"/>
  <c r="D49" i="1651"/>
  <c r="R48" i="1651"/>
  <c r="D48" i="1651"/>
  <c r="D46" i="1651"/>
  <c r="D45" i="1651"/>
  <c r="R44" i="1651"/>
  <c r="D44" i="1651"/>
  <c r="R42" i="1651"/>
  <c r="L6" i="1651" s="1"/>
  <c r="D6" i="1651" s="1"/>
  <c r="D42" i="1651"/>
  <c r="R41" i="1651"/>
  <c r="D41" i="1651"/>
  <c r="R40" i="1651"/>
  <c r="D40" i="1651"/>
  <c r="R39" i="1651"/>
  <c r="L20" i="1651" s="1"/>
  <c r="D20" i="1651" s="1"/>
  <c r="H39" i="1651"/>
  <c r="D39" i="1651"/>
  <c r="R38" i="1651"/>
  <c r="L9" i="1651" s="1"/>
  <c r="D9" i="1651" s="1"/>
  <c r="H38" i="1651"/>
  <c r="D38" i="1651"/>
  <c r="R37" i="1651"/>
  <c r="H37" i="1651"/>
  <c r="D37" i="1651"/>
  <c r="R36" i="1651"/>
  <c r="H36" i="1651"/>
  <c r="D36" i="1651"/>
  <c r="R35" i="1651"/>
  <c r="H35" i="1651"/>
  <c r="D35" i="1651"/>
  <c r="R34" i="1651"/>
  <c r="L12" i="1651" s="1"/>
  <c r="D12" i="1651" s="1"/>
  <c r="H34" i="1651"/>
  <c r="G49" i="1651" s="1"/>
  <c r="D34" i="1651"/>
  <c r="D54" i="1651" s="1"/>
  <c r="H14" i="1651" s="1"/>
  <c r="R33" i="1651"/>
  <c r="L23" i="1651" s="1"/>
  <c r="D23" i="1651" s="1"/>
  <c r="R32" i="1651"/>
  <c r="R31" i="1651"/>
  <c r="R30" i="1651"/>
  <c r="R29" i="1651"/>
  <c r="R28" i="1651"/>
  <c r="L16" i="1651" s="1"/>
  <c r="D16" i="1651" s="1"/>
  <c r="D28" i="1651"/>
  <c r="R27" i="1651"/>
  <c r="D27" i="1651"/>
  <c r="R26" i="1651"/>
  <c r="L26" i="1651"/>
  <c r="D26" i="1651"/>
  <c r="R25" i="1651"/>
  <c r="L25" i="1651"/>
  <c r="D25" i="1651" s="1"/>
  <c r="R24" i="1651"/>
  <c r="L24" i="1651"/>
  <c r="D24" i="1651"/>
  <c r="R23" i="1651"/>
  <c r="R22" i="1651"/>
  <c r="L22" i="1651"/>
  <c r="D22" i="1651"/>
  <c r="R21" i="1651"/>
  <c r="D21" i="1651"/>
  <c r="R20" i="1651"/>
  <c r="R19" i="1651"/>
  <c r="L19" i="1651"/>
  <c r="D19" i="1651" s="1"/>
  <c r="R18" i="1651"/>
  <c r="D18" i="1651"/>
  <c r="R17" i="1651"/>
  <c r="L17" i="1651"/>
  <c r="D17" i="1651"/>
  <c r="R16" i="1651"/>
  <c r="R15" i="1651"/>
  <c r="D15" i="1651"/>
  <c r="R14" i="1651"/>
  <c r="D14" i="1651"/>
  <c r="R13" i="1651"/>
  <c r="D13" i="1651"/>
  <c r="R12" i="1651"/>
  <c r="R11" i="1651"/>
  <c r="L11" i="1651"/>
  <c r="D11" i="1651" s="1"/>
  <c r="L10" i="1651"/>
  <c r="D10" i="1651" s="1"/>
  <c r="L8" i="1651"/>
  <c r="D8" i="1651"/>
  <c r="L7" i="1651"/>
  <c r="D7" i="1651" s="1"/>
  <c r="R6" i="1651"/>
  <c r="R5" i="1651"/>
  <c r="R4" i="1651"/>
  <c r="R52" i="1650"/>
  <c r="R51" i="1650"/>
  <c r="D50" i="1650"/>
  <c r="R49" i="1650"/>
  <c r="D49" i="1650"/>
  <c r="R48" i="1650"/>
  <c r="D48" i="1650"/>
  <c r="D46" i="1650"/>
  <c r="D45" i="1650"/>
  <c r="R44" i="1650"/>
  <c r="D44" i="1650"/>
  <c r="R42" i="1650"/>
  <c r="L6" i="1650" s="1"/>
  <c r="D6" i="1650" s="1"/>
  <c r="D42" i="1650"/>
  <c r="R41" i="1650"/>
  <c r="L7" i="1650" s="1"/>
  <c r="D7" i="1650" s="1"/>
  <c r="D41" i="1650"/>
  <c r="R40" i="1650"/>
  <c r="D40" i="1650"/>
  <c r="R39" i="1650"/>
  <c r="H39" i="1650"/>
  <c r="D39" i="1650"/>
  <c r="R38" i="1650"/>
  <c r="H38" i="1650"/>
  <c r="D38" i="1650"/>
  <c r="R37" i="1650"/>
  <c r="H37" i="1650"/>
  <c r="D37" i="1650"/>
  <c r="R36" i="1650"/>
  <c r="L10" i="1650" s="1"/>
  <c r="D10" i="1650" s="1"/>
  <c r="H36" i="1650"/>
  <c r="D36" i="1650"/>
  <c r="R35" i="1650"/>
  <c r="H35" i="1650"/>
  <c r="D35" i="1650"/>
  <c r="R34" i="1650"/>
  <c r="H34" i="1650"/>
  <c r="G49" i="1650" s="1"/>
  <c r="D34" i="1650"/>
  <c r="R33" i="1650"/>
  <c r="R32" i="1650"/>
  <c r="L11" i="1650" s="1"/>
  <c r="D11" i="1650" s="1"/>
  <c r="R31" i="1650"/>
  <c r="R30" i="1650"/>
  <c r="R29" i="1650"/>
  <c r="R28" i="1650"/>
  <c r="L16" i="1650" s="1"/>
  <c r="D16" i="1650" s="1"/>
  <c r="D28" i="1650"/>
  <c r="R27" i="1650"/>
  <c r="D27" i="1650"/>
  <c r="R26" i="1650"/>
  <c r="L26" i="1650"/>
  <c r="D26" i="1650"/>
  <c r="R25" i="1650"/>
  <c r="L25" i="1650"/>
  <c r="D25" i="1650" s="1"/>
  <c r="R24" i="1650"/>
  <c r="L24" i="1650"/>
  <c r="D24" i="1650"/>
  <c r="R23" i="1650"/>
  <c r="D23" i="1650"/>
  <c r="R22" i="1650"/>
  <c r="D22" i="1650"/>
  <c r="R21" i="1650"/>
  <c r="D21" i="1650"/>
  <c r="R20" i="1650"/>
  <c r="L20" i="1650"/>
  <c r="D20" i="1650" s="1"/>
  <c r="R19" i="1650"/>
  <c r="D19" i="1650"/>
  <c r="R18" i="1650"/>
  <c r="D18" i="1650"/>
  <c r="R17" i="1650"/>
  <c r="L17" i="1650"/>
  <c r="D17" i="1650"/>
  <c r="R16" i="1650"/>
  <c r="R15" i="1650"/>
  <c r="D15" i="1650"/>
  <c r="R14" i="1650"/>
  <c r="D14" i="1650"/>
  <c r="R13" i="1650"/>
  <c r="D13" i="1650"/>
  <c r="R12" i="1650"/>
  <c r="L12" i="1650"/>
  <c r="D12" i="1650" s="1"/>
  <c r="R11" i="1650"/>
  <c r="L9" i="1650"/>
  <c r="D9" i="1650"/>
  <c r="L8" i="1650"/>
  <c r="D8" i="1650"/>
  <c r="R6" i="1650"/>
  <c r="R5" i="1650"/>
  <c r="R4" i="1650"/>
  <c r="R52" i="1649"/>
  <c r="R51" i="1649"/>
  <c r="D50" i="1649"/>
  <c r="R49" i="1649"/>
  <c r="G49" i="1649"/>
  <c r="D49" i="1649"/>
  <c r="R48" i="1649"/>
  <c r="D48" i="1649"/>
  <c r="D46" i="1649"/>
  <c r="D45" i="1649"/>
  <c r="D44" i="1649"/>
  <c r="R42" i="1649"/>
  <c r="L6" i="1649" s="1"/>
  <c r="D6" i="1649" s="1"/>
  <c r="D42" i="1649"/>
  <c r="R41" i="1649"/>
  <c r="L7" i="1649" s="1"/>
  <c r="D7" i="1649" s="1"/>
  <c r="D41" i="1649"/>
  <c r="R40" i="1649"/>
  <c r="D40" i="1649"/>
  <c r="R39" i="1649"/>
  <c r="D39" i="1649"/>
  <c r="R38" i="1649"/>
  <c r="D38" i="1649"/>
  <c r="R37" i="1649"/>
  <c r="D37" i="1649"/>
  <c r="R36" i="1649"/>
  <c r="D36" i="1649"/>
  <c r="R35" i="1649"/>
  <c r="D35" i="1649"/>
  <c r="R34" i="1649"/>
  <c r="L12" i="1649" s="1"/>
  <c r="D12" i="1649" s="1"/>
  <c r="D34" i="1649"/>
  <c r="D54" i="1649" s="1"/>
  <c r="H14" i="1649" s="1"/>
  <c r="R33" i="1649"/>
  <c r="L23" i="1649" s="1"/>
  <c r="D23" i="1649" s="1"/>
  <c r="R32" i="1649"/>
  <c r="R31" i="1649"/>
  <c r="R30" i="1649"/>
  <c r="R29" i="1649"/>
  <c r="R28" i="1649"/>
  <c r="D28" i="1649"/>
  <c r="R27" i="1649"/>
  <c r="D27" i="1649"/>
  <c r="R26" i="1649"/>
  <c r="L26" i="1649"/>
  <c r="D26" i="1649"/>
  <c r="R25" i="1649"/>
  <c r="L25" i="1649"/>
  <c r="D25" i="1649"/>
  <c r="R24" i="1649"/>
  <c r="D24" i="1649"/>
  <c r="R23" i="1649"/>
  <c r="R22" i="1649"/>
  <c r="L22" i="1649"/>
  <c r="D22" i="1649"/>
  <c r="R21" i="1649"/>
  <c r="D21" i="1649"/>
  <c r="R20" i="1649"/>
  <c r="L20" i="1649"/>
  <c r="D20" i="1649"/>
  <c r="R19" i="1649"/>
  <c r="L19" i="1649"/>
  <c r="D19" i="1649"/>
  <c r="R18" i="1649"/>
  <c r="D18" i="1649"/>
  <c r="R17" i="1649"/>
  <c r="D17" i="1649"/>
  <c r="R16" i="1649"/>
  <c r="L16" i="1649"/>
  <c r="D16" i="1649" s="1"/>
  <c r="S15" i="1649"/>
  <c r="R15" i="1649"/>
  <c r="D15" i="1649"/>
  <c r="S14" i="1649"/>
  <c r="R14" i="1649"/>
  <c r="D14" i="1649"/>
  <c r="R13" i="1649"/>
  <c r="D13" i="1649"/>
  <c r="R12" i="1649"/>
  <c r="R11" i="1649"/>
  <c r="L11" i="1649"/>
  <c r="D11" i="1649"/>
  <c r="L10" i="1649"/>
  <c r="D10" i="1649"/>
  <c r="L9" i="1649"/>
  <c r="D9" i="1649" s="1"/>
  <c r="L8" i="1649"/>
  <c r="D8" i="1649"/>
  <c r="R6" i="1649"/>
  <c r="R5" i="1649"/>
  <c r="R4" i="1649"/>
  <c r="R52" i="1648"/>
  <c r="R51" i="1648"/>
  <c r="D50" i="1648"/>
  <c r="R49" i="1648"/>
  <c r="D49" i="1648"/>
  <c r="R48" i="1648"/>
  <c r="D48" i="1648"/>
  <c r="D46" i="1648"/>
  <c r="D45" i="1648"/>
  <c r="R44" i="1648"/>
  <c r="D44" i="1648"/>
  <c r="R42" i="1648"/>
  <c r="L6" i="1648" s="1"/>
  <c r="D6" i="1648" s="1"/>
  <c r="D42" i="1648"/>
  <c r="R41" i="1648"/>
  <c r="D41" i="1648"/>
  <c r="R40" i="1648"/>
  <c r="D40" i="1648"/>
  <c r="R39" i="1648"/>
  <c r="H39" i="1648"/>
  <c r="D39" i="1648"/>
  <c r="R38" i="1648"/>
  <c r="H38" i="1648"/>
  <c r="D38" i="1648"/>
  <c r="R37" i="1648"/>
  <c r="H37" i="1648"/>
  <c r="D37" i="1648"/>
  <c r="R36" i="1648"/>
  <c r="L10" i="1648" s="1"/>
  <c r="D10" i="1648" s="1"/>
  <c r="H36" i="1648"/>
  <c r="D36" i="1648"/>
  <c r="R35" i="1648"/>
  <c r="H35" i="1648"/>
  <c r="D35" i="1648"/>
  <c r="R34" i="1648"/>
  <c r="H34" i="1648"/>
  <c r="D34" i="1648"/>
  <c r="R33" i="1648"/>
  <c r="R32" i="1648"/>
  <c r="R31" i="1648"/>
  <c r="R30" i="1648"/>
  <c r="R29" i="1648"/>
  <c r="R28" i="1648"/>
  <c r="L16" i="1648" s="1"/>
  <c r="D16" i="1648" s="1"/>
  <c r="D28" i="1648"/>
  <c r="R27" i="1648"/>
  <c r="D27" i="1648"/>
  <c r="R26" i="1648"/>
  <c r="L26" i="1648"/>
  <c r="D26" i="1648"/>
  <c r="R25" i="1648"/>
  <c r="L25" i="1648"/>
  <c r="D25" i="1648"/>
  <c r="R24" i="1648"/>
  <c r="D24" i="1648"/>
  <c r="R23" i="1648"/>
  <c r="L23" i="1648"/>
  <c r="D23" i="1648"/>
  <c r="R22" i="1648"/>
  <c r="L22" i="1648"/>
  <c r="D22" i="1648" s="1"/>
  <c r="R21" i="1648"/>
  <c r="D21" i="1648"/>
  <c r="R20" i="1648"/>
  <c r="L20" i="1648"/>
  <c r="D20" i="1648"/>
  <c r="R19" i="1648"/>
  <c r="L19" i="1648"/>
  <c r="D19" i="1648"/>
  <c r="R18" i="1648"/>
  <c r="D18" i="1648"/>
  <c r="R17" i="1648"/>
  <c r="D17" i="1648"/>
  <c r="R16" i="1648"/>
  <c r="R15" i="1648"/>
  <c r="D15" i="1648"/>
  <c r="R14" i="1648"/>
  <c r="D14" i="1648"/>
  <c r="R13" i="1648"/>
  <c r="D13" i="1648"/>
  <c r="R12" i="1648"/>
  <c r="L12" i="1648"/>
  <c r="D12" i="1648"/>
  <c r="R11" i="1648"/>
  <c r="L11" i="1648"/>
  <c r="D11" i="1648"/>
  <c r="L9" i="1648"/>
  <c r="D9" i="1648" s="1"/>
  <c r="L8" i="1648"/>
  <c r="D8" i="1648" s="1"/>
  <c r="L7" i="1648"/>
  <c r="D7" i="1648"/>
  <c r="R6" i="1648"/>
  <c r="R5" i="1648"/>
  <c r="R4" i="1648"/>
  <c r="D54" i="1647"/>
  <c r="H14" i="1647" s="1"/>
  <c r="R52" i="1647"/>
  <c r="R51" i="1647"/>
  <c r="D50" i="1647"/>
  <c r="R49" i="1647"/>
  <c r="D49" i="1647"/>
  <c r="R48" i="1647"/>
  <c r="D48" i="1647"/>
  <c r="D46" i="1647"/>
  <c r="D45" i="1647"/>
  <c r="R44" i="1647"/>
  <c r="D44" i="1647"/>
  <c r="R42" i="1647"/>
  <c r="L6" i="1647" s="1"/>
  <c r="D6" i="1647" s="1"/>
  <c r="D42" i="1647"/>
  <c r="R41" i="1647"/>
  <c r="L7" i="1647" s="1"/>
  <c r="D7" i="1647" s="1"/>
  <c r="D41" i="1647"/>
  <c r="R40" i="1647"/>
  <c r="D40" i="1647"/>
  <c r="R39" i="1647"/>
  <c r="H39" i="1647"/>
  <c r="D39" i="1647"/>
  <c r="R38" i="1647"/>
  <c r="L9" i="1647" s="1"/>
  <c r="D9" i="1647" s="1"/>
  <c r="H38" i="1647"/>
  <c r="D38" i="1647"/>
  <c r="R37" i="1647"/>
  <c r="H37" i="1647"/>
  <c r="D37" i="1647"/>
  <c r="R36" i="1647"/>
  <c r="H36" i="1647"/>
  <c r="D36" i="1647"/>
  <c r="R35" i="1647"/>
  <c r="L19" i="1647" s="1"/>
  <c r="D19" i="1647" s="1"/>
  <c r="H35" i="1647"/>
  <c r="D35" i="1647"/>
  <c r="R34" i="1647"/>
  <c r="H34" i="1647"/>
  <c r="G49" i="1647" s="1"/>
  <c r="D34" i="1647"/>
  <c r="R33" i="1647"/>
  <c r="R32" i="1647"/>
  <c r="R31" i="1647"/>
  <c r="R30" i="1647"/>
  <c r="R29" i="1647"/>
  <c r="R28" i="1647"/>
  <c r="D28" i="1647"/>
  <c r="R27" i="1647"/>
  <c r="D27" i="1647"/>
  <c r="R26" i="1647"/>
  <c r="L26" i="1647"/>
  <c r="D26" i="1647"/>
  <c r="R25" i="1647"/>
  <c r="L25" i="1647"/>
  <c r="D25" i="1647"/>
  <c r="R24" i="1647"/>
  <c r="L24" i="1647"/>
  <c r="D24" i="1647"/>
  <c r="R23" i="1647"/>
  <c r="L23" i="1647"/>
  <c r="D23" i="1647"/>
  <c r="R22" i="1647"/>
  <c r="L22" i="1647"/>
  <c r="D22" i="1647"/>
  <c r="R21" i="1647"/>
  <c r="L17" i="1647" s="1"/>
  <c r="D17" i="1647" s="1"/>
  <c r="D21" i="1647"/>
  <c r="R20" i="1647"/>
  <c r="L20" i="1647"/>
  <c r="D20" i="1647"/>
  <c r="R19" i="1647"/>
  <c r="R18" i="1647"/>
  <c r="D18" i="1647"/>
  <c r="R17" i="1647"/>
  <c r="R16" i="1647"/>
  <c r="L16" i="1647"/>
  <c r="D16" i="1647"/>
  <c r="R15" i="1647"/>
  <c r="D15" i="1647"/>
  <c r="R14" i="1647"/>
  <c r="D14" i="1647"/>
  <c r="R13" i="1647"/>
  <c r="D13" i="1647"/>
  <c r="R12" i="1647"/>
  <c r="L12" i="1647"/>
  <c r="D12" i="1647"/>
  <c r="R11" i="1647"/>
  <c r="L11" i="1647"/>
  <c r="D11" i="1647"/>
  <c r="L10" i="1647"/>
  <c r="D10" i="1647"/>
  <c r="L8" i="1647"/>
  <c r="D8" i="1647"/>
  <c r="R6" i="1647"/>
  <c r="R5" i="1647"/>
  <c r="R4" i="1647"/>
  <c r="R52" i="1646"/>
  <c r="R51" i="1646"/>
  <c r="D50" i="1646"/>
  <c r="R49" i="1646"/>
  <c r="D49" i="1646"/>
  <c r="R48" i="1646"/>
  <c r="D48" i="1646"/>
  <c r="D46" i="1646"/>
  <c r="D45" i="1646"/>
  <c r="R44" i="1646"/>
  <c r="D44" i="1646"/>
  <c r="R42" i="1646"/>
  <c r="L6" i="1646" s="1"/>
  <c r="D6" i="1646" s="1"/>
  <c r="D42" i="1646"/>
  <c r="R41" i="1646"/>
  <c r="L7" i="1646" s="1"/>
  <c r="D7" i="1646" s="1"/>
  <c r="D41" i="1646"/>
  <c r="D54" i="1646" s="1"/>
  <c r="H14" i="1646" s="1"/>
  <c r="R40" i="1646"/>
  <c r="D40" i="1646"/>
  <c r="R39" i="1646"/>
  <c r="H39" i="1646"/>
  <c r="D39" i="1646"/>
  <c r="R38" i="1646"/>
  <c r="H38" i="1646"/>
  <c r="D38" i="1646"/>
  <c r="R37" i="1646"/>
  <c r="H37" i="1646"/>
  <c r="D37" i="1646"/>
  <c r="R36" i="1646"/>
  <c r="L10" i="1646" s="1"/>
  <c r="D10" i="1646" s="1"/>
  <c r="H36" i="1646"/>
  <c r="D36" i="1646"/>
  <c r="R35" i="1646"/>
  <c r="H35" i="1646"/>
  <c r="D35" i="1646"/>
  <c r="R34" i="1646"/>
  <c r="H34" i="1646"/>
  <c r="G49" i="1646" s="1"/>
  <c r="D34" i="1646"/>
  <c r="R33" i="1646"/>
  <c r="R32" i="1646"/>
  <c r="R31" i="1646"/>
  <c r="R30" i="1646"/>
  <c r="R29" i="1646"/>
  <c r="R28" i="1646"/>
  <c r="L16" i="1646" s="1"/>
  <c r="D16" i="1646" s="1"/>
  <c r="D28" i="1646"/>
  <c r="R27" i="1646"/>
  <c r="D27" i="1646"/>
  <c r="R26" i="1646"/>
  <c r="L26" i="1646"/>
  <c r="D26" i="1646"/>
  <c r="R25" i="1646"/>
  <c r="L25" i="1646"/>
  <c r="D25" i="1646" s="1"/>
  <c r="R24" i="1646"/>
  <c r="L24" i="1646"/>
  <c r="D24" i="1646"/>
  <c r="R23" i="1646"/>
  <c r="D23" i="1646"/>
  <c r="R22" i="1646"/>
  <c r="D22" i="1646"/>
  <c r="R21" i="1646"/>
  <c r="D21" i="1646"/>
  <c r="R20" i="1646"/>
  <c r="L20" i="1646"/>
  <c r="D20" i="1646" s="1"/>
  <c r="R19" i="1646"/>
  <c r="D19" i="1646"/>
  <c r="R18" i="1646"/>
  <c r="D18" i="1646"/>
  <c r="R17" i="1646"/>
  <c r="L17" i="1646"/>
  <c r="D17" i="1646"/>
  <c r="R16" i="1646"/>
  <c r="R15" i="1646"/>
  <c r="D15" i="1646"/>
  <c r="R14" i="1646"/>
  <c r="D14" i="1646"/>
  <c r="R13" i="1646"/>
  <c r="D13" i="1646"/>
  <c r="R12" i="1646"/>
  <c r="L12" i="1646"/>
  <c r="D12" i="1646"/>
  <c r="R11" i="1646"/>
  <c r="L11" i="1646"/>
  <c r="D11" i="1646"/>
  <c r="L9" i="1646"/>
  <c r="D9" i="1646"/>
  <c r="L8" i="1646"/>
  <c r="D8" i="1646"/>
  <c r="R6" i="1646"/>
  <c r="R5" i="1646"/>
  <c r="R4" i="1646"/>
  <c r="L22" i="1620"/>
  <c r="R52" i="1620"/>
  <c r="R51" i="1620"/>
  <c r="R49" i="1620"/>
  <c r="R48" i="1620"/>
  <c r="R44" i="1620"/>
  <c r="R42" i="1620"/>
  <c r="R41" i="1620"/>
  <c r="R40" i="1620"/>
  <c r="R39" i="1620"/>
  <c r="R38" i="1620"/>
  <c r="R37" i="1620"/>
  <c r="R36" i="1620"/>
  <c r="R35" i="1620"/>
  <c r="R34" i="1620"/>
  <c r="R33" i="1620"/>
  <c r="R32" i="1620"/>
  <c r="R31" i="1620"/>
  <c r="R30" i="1620"/>
  <c r="R29" i="1620"/>
  <c r="R28" i="1620"/>
  <c r="R27" i="1620"/>
  <c r="R26" i="1620"/>
  <c r="R25" i="1620"/>
  <c r="R24" i="1620"/>
  <c r="R23" i="1620"/>
  <c r="R22" i="1620"/>
  <c r="R21" i="1620"/>
  <c r="R20" i="1620"/>
  <c r="R19" i="1620"/>
  <c r="R18" i="1620"/>
  <c r="R17" i="1620"/>
  <c r="R16" i="1620"/>
  <c r="R15" i="1620"/>
  <c r="R14" i="1620"/>
  <c r="R13" i="1620"/>
  <c r="R12" i="1620"/>
  <c r="R11" i="1620"/>
  <c r="R6" i="1620"/>
  <c r="R5" i="1620"/>
  <c r="R4" i="1620"/>
  <c r="R52" i="1619"/>
  <c r="R51" i="1619"/>
  <c r="R49" i="1619"/>
  <c r="R48" i="1619"/>
  <c r="R44" i="1619"/>
  <c r="R42" i="1619"/>
  <c r="R41" i="1619"/>
  <c r="R40" i="1619"/>
  <c r="R39" i="1619"/>
  <c r="R38" i="1619"/>
  <c r="R37" i="1619"/>
  <c r="R36" i="1619"/>
  <c r="R35" i="1619"/>
  <c r="R34" i="1619"/>
  <c r="R33" i="1619"/>
  <c r="R32" i="1619"/>
  <c r="R31" i="1619"/>
  <c r="R30" i="1619"/>
  <c r="R29" i="1619"/>
  <c r="R28" i="1619"/>
  <c r="R27" i="1619"/>
  <c r="R26" i="1619"/>
  <c r="R25" i="1619"/>
  <c r="R24" i="1619"/>
  <c r="R23" i="1619"/>
  <c r="R22" i="1619"/>
  <c r="R21" i="1619"/>
  <c r="R20" i="1619"/>
  <c r="R19" i="1619"/>
  <c r="R18" i="1619"/>
  <c r="R17" i="1619"/>
  <c r="R16" i="1619"/>
  <c r="R15" i="1619"/>
  <c r="R14" i="1619"/>
  <c r="R13" i="1619"/>
  <c r="R12" i="1619"/>
  <c r="R11" i="1619"/>
  <c r="R6" i="1619"/>
  <c r="R5" i="1619"/>
  <c r="R4" i="1619"/>
  <c r="D54" i="1645"/>
  <c r="H14" i="1645" s="1"/>
  <c r="R52" i="1645"/>
  <c r="R51" i="1645"/>
  <c r="D50" i="1645"/>
  <c r="R49" i="1645"/>
  <c r="G49" i="1645"/>
  <c r="D49" i="1645"/>
  <c r="R48" i="1645"/>
  <c r="D48" i="1645"/>
  <c r="D46" i="1645"/>
  <c r="D45" i="1645"/>
  <c r="D44" i="1645"/>
  <c r="R42" i="1645"/>
  <c r="D42" i="1645"/>
  <c r="R41" i="1645"/>
  <c r="L7" i="1645" s="1"/>
  <c r="D7" i="1645" s="1"/>
  <c r="D41" i="1645"/>
  <c r="R40" i="1645"/>
  <c r="L8" i="1645" s="1"/>
  <c r="D8" i="1645" s="1"/>
  <c r="D40" i="1645"/>
  <c r="R39" i="1645"/>
  <c r="D39" i="1645"/>
  <c r="R38" i="1645"/>
  <c r="D38" i="1645"/>
  <c r="R37" i="1645"/>
  <c r="D37" i="1645"/>
  <c r="R36" i="1645"/>
  <c r="L10" i="1645" s="1"/>
  <c r="D10" i="1645" s="1"/>
  <c r="D36" i="1645"/>
  <c r="R35" i="1645"/>
  <c r="D35" i="1645"/>
  <c r="R34" i="1645"/>
  <c r="L12" i="1645" s="1"/>
  <c r="D12" i="1645" s="1"/>
  <c r="D34" i="1645"/>
  <c r="R33" i="1645"/>
  <c r="L23" i="1645" s="1"/>
  <c r="D23" i="1645" s="1"/>
  <c r="R32" i="1645"/>
  <c r="L11" i="1645" s="1"/>
  <c r="D11" i="1645" s="1"/>
  <c r="R31" i="1645"/>
  <c r="R30" i="1645"/>
  <c r="R29" i="1645"/>
  <c r="R28" i="1645"/>
  <c r="L16" i="1645" s="1"/>
  <c r="D16" i="1645" s="1"/>
  <c r="D28" i="1645"/>
  <c r="R27" i="1645"/>
  <c r="D27" i="1645"/>
  <c r="R26" i="1645"/>
  <c r="L26" i="1645"/>
  <c r="D26" i="1645"/>
  <c r="R25" i="1645"/>
  <c r="L25" i="1645"/>
  <c r="D25" i="1645"/>
  <c r="R24" i="1645"/>
  <c r="D24" i="1645"/>
  <c r="R23" i="1645"/>
  <c r="R22" i="1645"/>
  <c r="L22" i="1645"/>
  <c r="D22" i="1645" s="1"/>
  <c r="R21" i="1645"/>
  <c r="D21" i="1645"/>
  <c r="R20" i="1645"/>
  <c r="L20" i="1645"/>
  <c r="D20" i="1645"/>
  <c r="R19" i="1645"/>
  <c r="L19" i="1645"/>
  <c r="D19" i="1645"/>
  <c r="R18" i="1645"/>
  <c r="D18" i="1645"/>
  <c r="R17" i="1645"/>
  <c r="D17" i="1645"/>
  <c r="R16" i="1645"/>
  <c r="S15" i="1645"/>
  <c r="R15" i="1645"/>
  <c r="D15" i="1645"/>
  <c r="S14" i="1645"/>
  <c r="R14" i="1645"/>
  <c r="D14" i="1645"/>
  <c r="R13" i="1645"/>
  <c r="D13" i="1645"/>
  <c r="R12" i="1645"/>
  <c r="R11" i="1645"/>
  <c r="L9" i="1645"/>
  <c r="D9" i="1645" s="1"/>
  <c r="R6" i="1645"/>
  <c r="L6" i="1645"/>
  <c r="D6" i="1645" s="1"/>
  <c r="R5" i="1645"/>
  <c r="R4" i="1645"/>
  <c r="G49" i="1680" l="1"/>
  <c r="G49" i="1679"/>
  <c r="G49" i="1678"/>
  <c r="D54" i="1680"/>
  <c r="H14" i="1680" s="1"/>
  <c r="D54" i="1679"/>
  <c r="H14" i="1679" s="1"/>
  <c r="D54" i="1678"/>
  <c r="H14" i="1678" s="1"/>
  <c r="G49" i="1676"/>
  <c r="G49" i="1675"/>
  <c r="G49" i="1674"/>
  <c r="D54" i="1676"/>
  <c r="H14" i="1676" s="1"/>
  <c r="D54" i="1675"/>
  <c r="H14" i="1675" s="1"/>
  <c r="D54" i="1674"/>
  <c r="H14" i="1674" s="1"/>
  <c r="D29" i="1674"/>
  <c r="H13" i="1674" s="1"/>
  <c r="D54" i="1672"/>
  <c r="H14" i="1672" s="1"/>
  <c r="D54" i="1671"/>
  <c r="H14" i="1671" s="1"/>
  <c r="D29" i="1671"/>
  <c r="H13" i="1671" s="1"/>
  <c r="G49" i="1672"/>
  <c r="G49" i="1671"/>
  <c r="G49" i="1670"/>
  <c r="G49" i="1668"/>
  <c r="G49" i="1667"/>
  <c r="D54" i="1668"/>
  <c r="H14" i="1668" s="1"/>
  <c r="D54" i="1667"/>
  <c r="H14" i="1667" s="1"/>
  <c r="D54" i="1666"/>
  <c r="H14" i="1666" s="1"/>
  <c r="G49" i="1664"/>
  <c r="G49" i="1663"/>
  <c r="G49" i="1662"/>
  <c r="D54" i="1664"/>
  <c r="H14" i="1664" s="1"/>
  <c r="D54" i="1663"/>
  <c r="H14" i="1663" s="1"/>
  <c r="D29" i="1663"/>
  <c r="H13" i="1663" s="1"/>
  <c r="D54" i="1662"/>
  <c r="H14" i="1662" s="1"/>
  <c r="D54" i="1660"/>
  <c r="H14" i="1660" s="1"/>
  <c r="D54" i="1659"/>
  <c r="H14" i="1659" s="1"/>
  <c r="D29" i="1659"/>
  <c r="H13" i="1659" s="1"/>
  <c r="D54" i="1658"/>
  <c r="H14" i="1658" s="1"/>
  <c r="G49" i="1660"/>
  <c r="G49" i="1659"/>
  <c r="G49" i="1658"/>
  <c r="G49" i="1656"/>
  <c r="G49" i="1655"/>
  <c r="G49" i="1654"/>
  <c r="D54" i="1656"/>
  <c r="H14" i="1656" s="1"/>
  <c r="D29" i="1656"/>
  <c r="H13" i="1656" s="1"/>
  <c r="D54" i="1655"/>
  <c r="H14" i="1655" s="1"/>
  <c r="D54" i="1654"/>
  <c r="H14" i="1654" s="1"/>
  <c r="D54" i="1652"/>
  <c r="H14" i="1652" s="1"/>
  <c r="D54" i="1650"/>
  <c r="H14" i="1650" s="1"/>
  <c r="D29" i="1650"/>
  <c r="H13" i="1650" s="1"/>
  <c r="G49" i="1648"/>
  <c r="D54" i="1648"/>
  <c r="H14" i="1648" s="1"/>
  <c r="D29" i="1648"/>
  <c r="H13" i="1648" s="1"/>
  <c r="H15" i="1648" s="1"/>
  <c r="H29" i="1648" s="1"/>
  <c r="G51" i="1648" s="1"/>
  <c r="D29" i="1680"/>
  <c r="H13" i="1680" s="1"/>
  <c r="D29" i="1679"/>
  <c r="H13" i="1679" s="1"/>
  <c r="D29" i="1678"/>
  <c r="H13" i="1678" s="1"/>
  <c r="D29" i="1677"/>
  <c r="H13" i="1677" s="1"/>
  <c r="H15" i="1677" s="1"/>
  <c r="H29" i="1677" s="1"/>
  <c r="G51" i="1677" s="1"/>
  <c r="D29" i="1676"/>
  <c r="H13" i="1676" s="1"/>
  <c r="H15" i="1676" s="1"/>
  <c r="H29" i="1676" s="1"/>
  <c r="D29" i="1675"/>
  <c r="H13" i="1675" s="1"/>
  <c r="G51" i="1673"/>
  <c r="D29" i="1672"/>
  <c r="H13" i="1672" s="1"/>
  <c r="D29" i="1670"/>
  <c r="H13" i="1670" s="1"/>
  <c r="H15" i="1670" s="1"/>
  <c r="H29" i="1670" s="1"/>
  <c r="G51" i="1670" s="1"/>
  <c r="D29" i="1669"/>
  <c r="H13" i="1669" s="1"/>
  <c r="H15" i="1669" s="1"/>
  <c r="H29" i="1669" s="1"/>
  <c r="G51" i="1669" s="1"/>
  <c r="D29" i="1668"/>
  <c r="H13" i="1668" s="1"/>
  <c r="D29" i="1667"/>
  <c r="H13" i="1667" s="1"/>
  <c r="D29" i="1666"/>
  <c r="H13" i="1666" s="1"/>
  <c r="D29" i="1665"/>
  <c r="H13" i="1665" s="1"/>
  <c r="H15" i="1665" s="1"/>
  <c r="H29" i="1665" s="1"/>
  <c r="G51" i="1665" s="1"/>
  <c r="D29" i="1664"/>
  <c r="H13" i="1664" s="1"/>
  <c r="D29" i="1662"/>
  <c r="H13" i="1662" s="1"/>
  <c r="D29" i="1661"/>
  <c r="H13" i="1661" s="1"/>
  <c r="H15" i="1661" s="1"/>
  <c r="H29" i="1661" s="1"/>
  <c r="G51" i="1661" s="1"/>
  <c r="D29" i="1660"/>
  <c r="H13" i="1660" s="1"/>
  <c r="D29" i="1658"/>
  <c r="H13" i="1658" s="1"/>
  <c r="D29" i="1657"/>
  <c r="H13" i="1657" s="1"/>
  <c r="H15" i="1657" s="1"/>
  <c r="H29" i="1657" s="1"/>
  <c r="G51" i="1657"/>
  <c r="D29" i="1655"/>
  <c r="H13" i="1655" s="1"/>
  <c r="D29" i="1654"/>
  <c r="H13" i="1654" s="1"/>
  <c r="D29" i="1653"/>
  <c r="H13" i="1653" s="1"/>
  <c r="H15" i="1653" s="1"/>
  <c r="H29" i="1653" s="1"/>
  <c r="G51" i="1653" s="1"/>
  <c r="D29" i="1652"/>
  <c r="H13" i="1652" s="1"/>
  <c r="D29" i="1651"/>
  <c r="H13" i="1651" s="1"/>
  <c r="H15" i="1651" s="1"/>
  <c r="H29" i="1651" s="1"/>
  <c r="G51" i="1651" s="1"/>
  <c r="D29" i="1649"/>
  <c r="H13" i="1649" s="1"/>
  <c r="H15" i="1649" s="1"/>
  <c r="H29" i="1649" s="1"/>
  <c r="G51" i="1649" s="1"/>
  <c r="D29" i="1647"/>
  <c r="H13" i="1647" s="1"/>
  <c r="H15" i="1647" s="1"/>
  <c r="H29" i="1647" s="1"/>
  <c r="G51" i="1647" s="1"/>
  <c r="G51" i="1646"/>
  <c r="D29" i="1646"/>
  <c r="H13" i="1646" s="1"/>
  <c r="H15" i="1646" s="1"/>
  <c r="H29" i="1646" s="1"/>
  <c r="D29" i="1645"/>
  <c r="H13" i="1645" s="1"/>
  <c r="H15" i="1645" s="1"/>
  <c r="H29" i="1645" s="1"/>
  <c r="G51" i="1645" s="1"/>
  <c r="D50" i="1620"/>
  <c r="D49" i="1620"/>
  <c r="D48" i="1620"/>
  <c r="D46" i="1620"/>
  <c r="D45" i="1620"/>
  <c r="D44" i="1620"/>
  <c r="D42" i="1620"/>
  <c r="D41" i="1620"/>
  <c r="L8" i="1620"/>
  <c r="D8" i="1620" s="1"/>
  <c r="D40" i="1620"/>
  <c r="H39" i="1620"/>
  <c r="D39" i="1620"/>
  <c r="L9" i="1620"/>
  <c r="D9" i="1620" s="1"/>
  <c r="H38" i="1620"/>
  <c r="D38" i="1620"/>
  <c r="H37" i="1620"/>
  <c r="D37" i="1620"/>
  <c r="H36" i="1620"/>
  <c r="D36" i="1620"/>
  <c r="H35" i="1620"/>
  <c r="D35" i="1620"/>
  <c r="H34" i="1620"/>
  <c r="D34" i="1620"/>
  <c r="L23" i="1620"/>
  <c r="D23" i="1620" s="1"/>
  <c r="L11" i="1620"/>
  <c r="D11" i="1620" s="1"/>
  <c r="D28" i="1620"/>
  <c r="D27" i="1620"/>
  <c r="L26" i="1620"/>
  <c r="D26" i="1620"/>
  <c r="L25" i="1620"/>
  <c r="D25" i="1620"/>
  <c r="D24" i="1620"/>
  <c r="D22" i="1620"/>
  <c r="D21" i="1620"/>
  <c r="L20" i="1620"/>
  <c r="D20" i="1620"/>
  <c r="L19" i="1620"/>
  <c r="D19" i="1620" s="1"/>
  <c r="D18" i="1620"/>
  <c r="D17" i="1620"/>
  <c r="L16" i="1620"/>
  <c r="D16" i="1620" s="1"/>
  <c r="D15" i="1620"/>
  <c r="D14" i="1620"/>
  <c r="D13" i="1620"/>
  <c r="L12" i="1620"/>
  <c r="D12" i="1620" s="1"/>
  <c r="L10" i="1620"/>
  <c r="D10" i="1620" s="1"/>
  <c r="L7" i="1620"/>
  <c r="D7" i="1620"/>
  <c r="L6" i="1620"/>
  <c r="D6" i="1620"/>
  <c r="D50" i="1619"/>
  <c r="D49" i="1619"/>
  <c r="D48" i="1619"/>
  <c r="D46" i="1619"/>
  <c r="D45" i="1619"/>
  <c r="D44" i="1619"/>
  <c r="D42" i="1619"/>
  <c r="L7" i="1619"/>
  <c r="D7" i="1619" s="1"/>
  <c r="D41" i="1619"/>
  <c r="D40" i="1619"/>
  <c r="L20" i="1619"/>
  <c r="D20" i="1619" s="1"/>
  <c r="H39" i="1619"/>
  <c r="D39" i="1619"/>
  <c r="H38" i="1619"/>
  <c r="D38" i="1619"/>
  <c r="H37" i="1619"/>
  <c r="D37" i="1619"/>
  <c r="H36" i="1619"/>
  <c r="D36" i="1619"/>
  <c r="L19" i="1619"/>
  <c r="D19" i="1619" s="1"/>
  <c r="H35" i="1619"/>
  <c r="D35" i="1619"/>
  <c r="L12" i="1619"/>
  <c r="D12" i="1619" s="1"/>
  <c r="H34" i="1619"/>
  <c r="D34" i="1619"/>
  <c r="L23" i="1619"/>
  <c r="D23" i="1619" s="1"/>
  <c r="L11" i="1619"/>
  <c r="D11" i="1619" s="1"/>
  <c r="D28" i="1619"/>
  <c r="D27" i="1619"/>
  <c r="L26" i="1619"/>
  <c r="D26" i="1619"/>
  <c r="L25" i="1619"/>
  <c r="D25" i="1619"/>
  <c r="L24" i="1619"/>
  <c r="D24" i="1619"/>
  <c r="L22" i="1619"/>
  <c r="D22" i="1619" s="1"/>
  <c r="L17" i="1619"/>
  <c r="D17" i="1619" s="1"/>
  <c r="D21" i="1619"/>
  <c r="D18" i="1619"/>
  <c r="L16" i="1619"/>
  <c r="D16" i="1619" s="1"/>
  <c r="D15" i="1619"/>
  <c r="D14" i="1619"/>
  <c r="D13" i="1619"/>
  <c r="L10" i="1619"/>
  <c r="D10" i="1619"/>
  <c r="L9" i="1619"/>
  <c r="D9" i="1619"/>
  <c r="L8" i="1619"/>
  <c r="D8" i="1619"/>
  <c r="L6" i="1619"/>
  <c r="D6" i="1619"/>
  <c r="R52" i="1618"/>
  <c r="R51" i="1618"/>
  <c r="D50" i="1618"/>
  <c r="R49" i="1618"/>
  <c r="D49" i="1618"/>
  <c r="R48" i="1618"/>
  <c r="D48" i="1618"/>
  <c r="D46" i="1618"/>
  <c r="D45" i="1618"/>
  <c r="R44" i="1618"/>
  <c r="D44" i="1618"/>
  <c r="R42" i="1618"/>
  <c r="L6" i="1618" s="1"/>
  <c r="D6" i="1618" s="1"/>
  <c r="D42" i="1618"/>
  <c r="R41" i="1618"/>
  <c r="D41" i="1618"/>
  <c r="R40" i="1618"/>
  <c r="L8" i="1618" s="1"/>
  <c r="D8" i="1618" s="1"/>
  <c r="D40" i="1618"/>
  <c r="R39" i="1618"/>
  <c r="L20" i="1618" s="1"/>
  <c r="D20" i="1618" s="1"/>
  <c r="H39" i="1618"/>
  <c r="D39" i="1618"/>
  <c r="R38" i="1618"/>
  <c r="L9" i="1618" s="1"/>
  <c r="D9" i="1618" s="1"/>
  <c r="H38" i="1618"/>
  <c r="D38" i="1618"/>
  <c r="R37" i="1618"/>
  <c r="H37" i="1618"/>
  <c r="D37" i="1618"/>
  <c r="R36" i="1618"/>
  <c r="L10" i="1618" s="1"/>
  <c r="D10" i="1618" s="1"/>
  <c r="H36" i="1618"/>
  <c r="D36" i="1618"/>
  <c r="R35" i="1618"/>
  <c r="H35" i="1618"/>
  <c r="D35" i="1618"/>
  <c r="R34" i="1618"/>
  <c r="L12" i="1618" s="1"/>
  <c r="D12" i="1618" s="1"/>
  <c r="H34" i="1618"/>
  <c r="D34" i="1618"/>
  <c r="R33" i="1618"/>
  <c r="R32" i="1618"/>
  <c r="L11" i="1618" s="1"/>
  <c r="D11" i="1618" s="1"/>
  <c r="R31" i="1618"/>
  <c r="R30" i="1618"/>
  <c r="R29" i="1618"/>
  <c r="R28" i="1618"/>
  <c r="L16" i="1618" s="1"/>
  <c r="D16" i="1618" s="1"/>
  <c r="D28" i="1618"/>
  <c r="R27" i="1618"/>
  <c r="D27" i="1618"/>
  <c r="R26" i="1618"/>
  <c r="L26" i="1618"/>
  <c r="D26" i="1618" s="1"/>
  <c r="R25" i="1618"/>
  <c r="L25" i="1618"/>
  <c r="D25" i="1618"/>
  <c r="R24" i="1618"/>
  <c r="L24" i="1618"/>
  <c r="D24" i="1618" s="1"/>
  <c r="R23" i="1618"/>
  <c r="D23" i="1618"/>
  <c r="R22" i="1618"/>
  <c r="D22" i="1618"/>
  <c r="R21" i="1618"/>
  <c r="D21" i="1618"/>
  <c r="R20" i="1618"/>
  <c r="R19" i="1618"/>
  <c r="D19" i="1618"/>
  <c r="R18" i="1618"/>
  <c r="D18" i="1618"/>
  <c r="R17" i="1618"/>
  <c r="L17" i="1618"/>
  <c r="D17" i="1618" s="1"/>
  <c r="R16" i="1618"/>
  <c r="R15" i="1618"/>
  <c r="D15" i="1618"/>
  <c r="R14" i="1618"/>
  <c r="D14" i="1618"/>
  <c r="R13" i="1618"/>
  <c r="D13" i="1618"/>
  <c r="R12" i="1618"/>
  <c r="R11" i="1618"/>
  <c r="L7" i="1618"/>
  <c r="D7" i="1618" s="1"/>
  <c r="R6" i="1618"/>
  <c r="R5" i="1618"/>
  <c r="R4" i="1618"/>
  <c r="R52" i="1617"/>
  <c r="R51" i="1617"/>
  <c r="D50" i="1617"/>
  <c r="R49" i="1617"/>
  <c r="G49" i="1617"/>
  <c r="D49" i="1617"/>
  <c r="R48" i="1617"/>
  <c r="D48" i="1617"/>
  <c r="D46" i="1617"/>
  <c r="D45" i="1617"/>
  <c r="D44" i="1617"/>
  <c r="R42" i="1617"/>
  <c r="D42" i="1617"/>
  <c r="R41" i="1617"/>
  <c r="L7" i="1617" s="1"/>
  <c r="D7" i="1617" s="1"/>
  <c r="D41" i="1617"/>
  <c r="R40" i="1617"/>
  <c r="L8" i="1617" s="1"/>
  <c r="D8" i="1617" s="1"/>
  <c r="D40" i="1617"/>
  <c r="R39" i="1617"/>
  <c r="D39" i="1617"/>
  <c r="R38" i="1617"/>
  <c r="D38" i="1617"/>
  <c r="R37" i="1617"/>
  <c r="D37" i="1617"/>
  <c r="R36" i="1617"/>
  <c r="L10" i="1617" s="1"/>
  <c r="D10" i="1617" s="1"/>
  <c r="D36" i="1617"/>
  <c r="R35" i="1617"/>
  <c r="D35" i="1617"/>
  <c r="R34" i="1617"/>
  <c r="D34" i="1617"/>
  <c r="D54" i="1617" s="1"/>
  <c r="H14" i="1617" s="1"/>
  <c r="R33" i="1617"/>
  <c r="R32" i="1617"/>
  <c r="L11" i="1617" s="1"/>
  <c r="D11" i="1617" s="1"/>
  <c r="R31" i="1617"/>
  <c r="R30" i="1617"/>
  <c r="R29" i="1617"/>
  <c r="R28" i="1617"/>
  <c r="D28" i="1617"/>
  <c r="R27" i="1617"/>
  <c r="D27" i="1617"/>
  <c r="R26" i="1617"/>
  <c r="L26" i="1617"/>
  <c r="D26" i="1617"/>
  <c r="R25" i="1617"/>
  <c r="L25" i="1617"/>
  <c r="D25" i="1617"/>
  <c r="R24" i="1617"/>
  <c r="D24" i="1617"/>
  <c r="R23" i="1617"/>
  <c r="L23" i="1617"/>
  <c r="D23" i="1617"/>
  <c r="R22" i="1617"/>
  <c r="L22" i="1617"/>
  <c r="D22" i="1617"/>
  <c r="R21" i="1617"/>
  <c r="D21" i="1617"/>
  <c r="R20" i="1617"/>
  <c r="L20" i="1617"/>
  <c r="D20" i="1617"/>
  <c r="R19" i="1617"/>
  <c r="L19" i="1617"/>
  <c r="D19" i="1617"/>
  <c r="R18" i="1617"/>
  <c r="D18" i="1617"/>
  <c r="R17" i="1617"/>
  <c r="D17" i="1617"/>
  <c r="R16" i="1617"/>
  <c r="L16" i="1617"/>
  <c r="D16" i="1617" s="1"/>
  <c r="S15" i="1617"/>
  <c r="R15" i="1617"/>
  <c r="D15" i="1617"/>
  <c r="S14" i="1617"/>
  <c r="R14" i="1617"/>
  <c r="D14" i="1617"/>
  <c r="R13" i="1617"/>
  <c r="D13" i="1617"/>
  <c r="R12" i="1617"/>
  <c r="L12" i="1617"/>
  <c r="D12" i="1617"/>
  <c r="R11" i="1617"/>
  <c r="L9" i="1617"/>
  <c r="D9" i="1617"/>
  <c r="R6" i="1617"/>
  <c r="L6" i="1617"/>
  <c r="D6" i="1617"/>
  <c r="R5" i="1617"/>
  <c r="R4" i="1617"/>
  <c r="H15" i="1680" l="1"/>
  <c r="H29" i="1680" s="1"/>
  <c r="G51" i="1680" s="1"/>
  <c r="H15" i="1679"/>
  <c r="H29" i="1679" s="1"/>
  <c r="G51" i="1679" s="1"/>
  <c r="H15" i="1678"/>
  <c r="H29" i="1678" s="1"/>
  <c r="G51" i="1678" s="1"/>
  <c r="G51" i="1676"/>
  <c r="H15" i="1675"/>
  <c r="H29" i="1675" s="1"/>
  <c r="G51" i="1675" s="1"/>
  <c r="H15" i="1674"/>
  <c r="H29" i="1674" s="1"/>
  <c r="G51" i="1674" s="1"/>
  <c r="H15" i="1672"/>
  <c r="H29" i="1672" s="1"/>
  <c r="G51" i="1672" s="1"/>
  <c r="H15" i="1671"/>
  <c r="H29" i="1671" s="1"/>
  <c r="G51" i="1671" s="1"/>
  <c r="H15" i="1668"/>
  <c r="H29" i="1668" s="1"/>
  <c r="G51" i="1668" s="1"/>
  <c r="H15" i="1667"/>
  <c r="H29" i="1667" s="1"/>
  <c r="G51" i="1667" s="1"/>
  <c r="H15" i="1666"/>
  <c r="H29" i="1666" s="1"/>
  <c r="G51" i="1666" s="1"/>
  <c r="H15" i="1664"/>
  <c r="H29" i="1664" s="1"/>
  <c r="G51" i="1664" s="1"/>
  <c r="H15" i="1663"/>
  <c r="H29" i="1663" s="1"/>
  <c r="G51" i="1663" s="1"/>
  <c r="H15" i="1662"/>
  <c r="H29" i="1662" s="1"/>
  <c r="G51" i="1662" s="1"/>
  <c r="H15" i="1660"/>
  <c r="H29" i="1660" s="1"/>
  <c r="G51" i="1660" s="1"/>
  <c r="H15" i="1659"/>
  <c r="H29" i="1659" s="1"/>
  <c r="G51" i="1659" s="1"/>
  <c r="H15" i="1658"/>
  <c r="H29" i="1658" s="1"/>
  <c r="G51" i="1658" s="1"/>
  <c r="H15" i="1656"/>
  <c r="H29" i="1656" s="1"/>
  <c r="G51" i="1656" s="1"/>
  <c r="H15" i="1655"/>
  <c r="H29" i="1655" s="1"/>
  <c r="G51" i="1655" s="1"/>
  <c r="H15" i="1654"/>
  <c r="H29" i="1654" s="1"/>
  <c r="G51" i="1654" s="1"/>
  <c r="H15" i="1652"/>
  <c r="H29" i="1652" s="1"/>
  <c r="G51" i="1652" s="1"/>
  <c r="H15" i="1650"/>
  <c r="H29" i="1650" s="1"/>
  <c r="G51" i="1650" s="1"/>
  <c r="G49" i="1618"/>
  <c r="G49" i="1620"/>
  <c r="G49" i="1619"/>
  <c r="D54" i="1620"/>
  <c r="H14" i="1620" s="1"/>
  <c r="D54" i="1619"/>
  <c r="H14" i="1619" s="1"/>
  <c r="D54" i="1618"/>
  <c r="H14" i="1618" s="1"/>
  <c r="D29" i="1620"/>
  <c r="H13" i="1620" s="1"/>
  <c r="D29" i="1619"/>
  <c r="H13" i="1619" s="1"/>
  <c r="D29" i="1618"/>
  <c r="H13" i="1618" s="1"/>
  <c r="D29" i="1617"/>
  <c r="H13" i="1617" s="1"/>
  <c r="H15" i="1617" s="1"/>
  <c r="H29" i="1617" s="1"/>
  <c r="G51" i="1617" s="1"/>
  <c r="H15" i="1620" l="1"/>
  <c r="H29" i="1620" s="1"/>
  <c r="G51" i="1620" s="1"/>
  <c r="H15" i="1619"/>
  <c r="H29" i="1619" s="1"/>
  <c r="G51" i="1619" s="1"/>
  <c r="H15" i="1618"/>
  <c r="H29" i="1618" s="1"/>
  <c r="G51" i="1618" s="1"/>
</calcChain>
</file>

<file path=xl/sharedStrings.xml><?xml version="1.0" encoding="utf-8"?>
<sst xmlns="http://schemas.openxmlformats.org/spreadsheetml/2006/main" count="12046" uniqueCount="222">
  <si>
    <t>GUILLERMO BEVERAGE DISTRIBUTION SERVICES</t>
  </si>
  <si>
    <t>PRODUCTS</t>
  </si>
  <si>
    <t>SELLING PRICE</t>
  </si>
  <si>
    <t>EMPTIES</t>
  </si>
  <si>
    <t>TOTAL</t>
  </si>
  <si>
    <t>SALES AND CASH REMITTANCE REPORT</t>
  </si>
  <si>
    <t>NON-ALCOHOLIC BEVERAGES</t>
  </si>
  <si>
    <t>SALES</t>
  </si>
  <si>
    <t xml:space="preserve">ROUTE # </t>
  </si>
  <si>
    <t>DATE:</t>
  </si>
  <si>
    <t>CALI PINEAPPLE 330ml</t>
  </si>
  <si>
    <t>PRODUCT</t>
  </si>
  <si>
    <t># OF CASES</t>
  </si>
  <si>
    <t>AMOUNT</t>
  </si>
  <si>
    <t>CALI ICE APPLE 330ml</t>
  </si>
  <si>
    <t>RH1000</t>
  </si>
  <si>
    <t>DSP</t>
  </si>
  <si>
    <t>CALI PINEAPPLE CAN 330ml</t>
  </si>
  <si>
    <t>RH500</t>
  </si>
  <si>
    <t>CALI ICE APPLE CAN 330ml</t>
  </si>
  <si>
    <t>RH330</t>
  </si>
  <si>
    <t>DRIVER</t>
  </si>
  <si>
    <t>CALI 10 DIET CAN 330ml</t>
  </si>
  <si>
    <t>PP1000</t>
  </si>
  <si>
    <t>MAGNOLIA</t>
  </si>
  <si>
    <t>PP320</t>
  </si>
  <si>
    <t>TRUCKMAN</t>
  </si>
  <si>
    <t>FRUIT DRINK GRAPE 250ml</t>
  </si>
  <si>
    <t>SML330</t>
  </si>
  <si>
    <t>FRUIT DRINK ORANGE 250ml</t>
  </si>
  <si>
    <t>FB330</t>
  </si>
  <si>
    <t>HEALTHTEA APPLE 250ml</t>
  </si>
  <si>
    <t>MHT</t>
  </si>
  <si>
    <t>CASH REMITTANCE COMPUTATION</t>
  </si>
  <si>
    <t>HEALTHTEA LEMON 250ml</t>
  </si>
  <si>
    <t>MHT BOTTLE</t>
  </si>
  <si>
    <t>TOTAL SALES</t>
  </si>
  <si>
    <t>HEALTHTEA STRAWBERRY 250ml</t>
  </si>
  <si>
    <t>CALI</t>
  </si>
  <si>
    <t>LESS: CONTAINERS RETURNED</t>
  </si>
  <si>
    <t>GROSS SALES</t>
  </si>
  <si>
    <t>ALCO BEVERAGES</t>
  </si>
  <si>
    <t>LESS:</t>
  </si>
  <si>
    <t>DISCOUNT</t>
  </si>
  <si>
    <t>PREMIUM ALL MALT 330ml</t>
  </si>
  <si>
    <t>TCS</t>
  </si>
  <si>
    <t>PREMIUM ALL MALT CAN 330ml</t>
  </si>
  <si>
    <t>COL</t>
  </si>
  <si>
    <t>KIRIN 330ml</t>
  </si>
  <si>
    <t>KIRIN CAN 330ml</t>
  </si>
  <si>
    <t>TOLL, FEES</t>
  </si>
  <si>
    <t>CERVEZA BLANCA CAN 330ml</t>
  </si>
  <si>
    <t>SUPERDRY 330ml</t>
  </si>
  <si>
    <t>SUPERDRY CAN 330ml</t>
  </si>
  <si>
    <t>CERVEZA NEGRA 330ml</t>
  </si>
  <si>
    <t>NET SALES
AMOUNT TO BE REMITTED:</t>
  </si>
  <si>
    <t>SAN MIGUEL CHOCOLATE LAGER CAN 330ml</t>
  </si>
  <si>
    <t>SAN MIG ZERO 330ml</t>
  </si>
  <si>
    <t>CONTAINERS RETURNED</t>
  </si>
  <si>
    <t>CASH BREAKDOWN</t>
  </si>
  <si>
    <t>SAN MIG LIGHT 330ml</t>
  </si>
  <si>
    <t>QTY</t>
  </si>
  <si>
    <t>PESOS</t>
  </si>
  <si>
    <t>NO. OF PCS.</t>
  </si>
  <si>
    <t>SAN MIG LIGHT CAN 330ml</t>
  </si>
  <si>
    <t>PP</t>
  </si>
  <si>
    <t>COMPLETE</t>
  </si>
  <si>
    <t>FLAVORED BEER APL/LEM/LYC 330ml</t>
  </si>
  <si>
    <t>SHELL</t>
  </si>
  <si>
    <t>FLAVORED BEER CAN APL/LEM/LY 330ml</t>
  </si>
  <si>
    <t>BOTTLES</t>
  </si>
  <si>
    <t>PALE PILSEN 320ml</t>
  </si>
  <si>
    <t>RHL/PL/GEK</t>
  </si>
  <si>
    <t>PALE PILSEN 330ml</t>
  </si>
  <si>
    <t>PALE PILSEN 1000ml</t>
  </si>
  <si>
    <t>PALE PILSEN Can 330ml</t>
  </si>
  <si>
    <t>RHP</t>
  </si>
  <si>
    <t>RED HORSE 330ml</t>
  </si>
  <si>
    <t>RED HORSE 500ml</t>
  </si>
  <si>
    <t>COINS</t>
  </si>
  <si>
    <t>RED HORSE 1000ml</t>
  </si>
  <si>
    <t>FBA/SML/RHS</t>
  </si>
  <si>
    <t>BANK</t>
  </si>
  <si>
    <t>CHECK NO.</t>
  </si>
  <si>
    <t>RED HORSE CAN 330ml</t>
  </si>
  <si>
    <t>SAN MIG FREE</t>
  </si>
  <si>
    <t>TOTAL REMITTANCE</t>
  </si>
  <si>
    <t>GOLD EAGLE 320ml</t>
  </si>
  <si>
    <t>GOLD EAGLE 1000ml</t>
  </si>
  <si>
    <t>SAN MIG HARD SELTZER 330ml</t>
  </si>
  <si>
    <t>TOTAL CONTAINERS RETURNED</t>
  </si>
  <si>
    <t>DEALER SALES PERSONEL
NAME AND SIGNATURE</t>
  </si>
  <si>
    <t>CHECKED BY: WIC/CLERK
NAME AND SIGNATURE</t>
  </si>
  <si>
    <t>PAMB</t>
  </si>
  <si>
    <t>CNB</t>
  </si>
  <si>
    <t>CIB</t>
  </si>
  <si>
    <t>FBLYC</t>
  </si>
  <si>
    <t>RHSL</t>
  </si>
  <si>
    <t>S.I. NO.</t>
  </si>
  <si>
    <t>LESS: CREDIT</t>
  </si>
  <si>
    <t>ADD: COLLECTION</t>
  </si>
  <si>
    <t>RH500C</t>
  </si>
  <si>
    <t>CHOCO LAGER CAN</t>
  </si>
  <si>
    <t>RED HORSE 500 CAN</t>
  </si>
  <si>
    <t>GE1000</t>
  </si>
  <si>
    <t>FBA BOTT.</t>
  </si>
  <si>
    <t>RED HORSE SUPER 1000</t>
  </si>
  <si>
    <t>SMLC/RHC</t>
  </si>
  <si>
    <t>SMFC</t>
  </si>
  <si>
    <t>CHOCO LAG</t>
  </si>
  <si>
    <t>HSC</t>
  </si>
  <si>
    <t>DANDAYO, RONNEL</t>
  </si>
  <si>
    <t>SALIG, JULIVEN</t>
  </si>
  <si>
    <t>PAMC</t>
  </si>
  <si>
    <t>ENCLONAR, JEROME</t>
  </si>
  <si>
    <t>SALIG, JOVANI</t>
  </si>
  <si>
    <t>SDC</t>
  </si>
  <si>
    <t>FBAC</t>
  </si>
  <si>
    <t xml:space="preserve">                            RONNEL DANDAYO</t>
  </si>
  <si>
    <t>ARANCES, MARIO</t>
  </si>
  <si>
    <t>OTHERS/PROMO</t>
  </si>
  <si>
    <t>RHS BOTT.</t>
  </si>
  <si>
    <t>PPC/RHC</t>
  </si>
  <si>
    <t>PL BOTT.</t>
  </si>
  <si>
    <t>RHSL BOTT.</t>
  </si>
  <si>
    <t>SMLC/PPC/RHC</t>
  </si>
  <si>
    <t>CC/CIC</t>
  </si>
  <si>
    <t>PAMC/CBC</t>
  </si>
  <si>
    <t>SHORT / OVER</t>
  </si>
  <si>
    <t>PORMENTO, ESTEMARK</t>
  </si>
  <si>
    <t>BAOC, PRECILLANO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</si>
  <si>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 xml:space="preserve">) </t>
    </r>
    <r>
      <rPr>
        <sz val="11"/>
        <rFont val="Calibri"/>
        <family val="2"/>
        <scheme val="minor"/>
      </rPr>
      <t>/ OVER</t>
    </r>
  </si>
  <si>
    <t xml:space="preserve">                           ESTEMARK PORMENTO</t>
  </si>
  <si>
    <t>FBAC/FBLC</t>
  </si>
  <si>
    <t>GOMORA, JURLAN</t>
  </si>
  <si>
    <t>CC/CIC/C10C</t>
  </si>
  <si>
    <t>CBB</t>
  </si>
  <si>
    <t>CLC/SDC</t>
  </si>
  <si>
    <t>SMZB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</si>
  <si>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>)</t>
    </r>
    <r>
      <rPr>
        <sz val="11"/>
        <rFont val="Calibri"/>
        <family val="2"/>
        <scheme val="minor"/>
      </rPr>
      <t xml:space="preserve"> / OVER</t>
    </r>
  </si>
  <si>
    <t>GICA, GRACE B.</t>
  </si>
  <si>
    <t xml:space="preserve">                             GRACE B. GICA</t>
  </si>
  <si>
    <r>
      <t xml:space="preserve">SHORT / </t>
    </r>
    <r>
      <rPr>
        <u/>
        <sz val="11"/>
        <rFont val="Calibri"/>
        <family val="2"/>
        <scheme val="minor"/>
      </rPr>
      <t xml:space="preserve">OVER </t>
    </r>
  </si>
  <si>
    <t>SAN MIG FREE 330ml</t>
  </si>
  <si>
    <t>SAN MIG HARD SELTZER CAN 330ml</t>
  </si>
  <si>
    <t>1VB</t>
  </si>
  <si>
    <t>4820795</t>
  </si>
  <si>
    <t>BDO</t>
  </si>
  <si>
    <t>42937</t>
  </si>
  <si>
    <r>
      <t xml:space="preserve">SHORT / </t>
    </r>
    <r>
      <rPr>
        <u/>
        <sz val="11"/>
        <rFont val="Calibri"/>
        <family val="2"/>
        <scheme val="minor"/>
      </rPr>
      <t>OVER</t>
    </r>
  </si>
  <si>
    <t>SMLC/RHC/PPC</t>
  </si>
  <si>
    <t>144949</t>
  </si>
  <si>
    <t>42938</t>
  </si>
  <si>
    <t>G-CASH</t>
  </si>
  <si>
    <t>JOHN PASAMANTE</t>
  </si>
  <si>
    <t>LOPEZ, GINA</t>
  </si>
  <si>
    <t>PNB</t>
  </si>
  <si>
    <t>145675</t>
  </si>
  <si>
    <t>BANK TRANSFER</t>
  </si>
  <si>
    <t>BALWARTE</t>
  </si>
  <si>
    <t>135261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</si>
  <si>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 xml:space="preserve">) </t>
    </r>
    <r>
      <rPr>
        <sz val="11"/>
        <rFont val="Calibri"/>
        <family val="2"/>
        <scheme val="minor"/>
      </rPr>
      <t xml:space="preserve">/ OVER </t>
    </r>
  </si>
  <si>
    <t>1ST VALLEY BANK</t>
  </si>
  <si>
    <t>47901</t>
  </si>
  <si>
    <t>4820800</t>
  </si>
  <si>
    <t>143397</t>
  </si>
  <si>
    <t>JMCC</t>
  </si>
  <si>
    <t>VILMA TAGULOB</t>
  </si>
  <si>
    <t>SMLB BOTT.</t>
  </si>
  <si>
    <t>FB BOTT.</t>
  </si>
  <si>
    <t>144962</t>
  </si>
  <si>
    <t>140911</t>
  </si>
  <si>
    <t>47909</t>
  </si>
  <si>
    <t>42941</t>
  </si>
  <si>
    <t>GRACE CHIONG</t>
  </si>
  <si>
    <t>JEROME ENCLONAR</t>
  </si>
  <si>
    <t>PORMAN NONOY</t>
  </si>
  <si>
    <t xml:space="preserve">SHORT / OVER </t>
  </si>
  <si>
    <t>LOPEZ, GINA GRACE A.</t>
  </si>
  <si>
    <t>1B</t>
  </si>
  <si>
    <t xml:space="preserve">                             GINA GRACE A. LOPEZ</t>
  </si>
  <si>
    <t>PSBC</t>
  </si>
  <si>
    <t>2090009399</t>
  </si>
  <si>
    <t>METROBANK</t>
  </si>
  <si>
    <t>3593251</t>
  </si>
  <si>
    <t>42944</t>
  </si>
  <si>
    <t>EASTCOEST</t>
  </si>
  <si>
    <t>81341</t>
  </si>
  <si>
    <t>140922</t>
  </si>
  <si>
    <t>2000005718</t>
  </si>
  <si>
    <t>2000007209</t>
  </si>
  <si>
    <t>1st  Valley Bank</t>
  </si>
  <si>
    <t>4820789</t>
  </si>
  <si>
    <t>42947</t>
  </si>
  <si>
    <t>PPC/RHC/SMLC</t>
  </si>
  <si>
    <t>145716</t>
  </si>
  <si>
    <t>146830</t>
  </si>
  <si>
    <t>2000007203</t>
  </si>
  <si>
    <t>135263</t>
  </si>
  <si>
    <t>47919</t>
  </si>
  <si>
    <t>200002719</t>
  </si>
  <si>
    <t>143411</t>
  </si>
  <si>
    <t>145002</t>
  </si>
  <si>
    <t>SDC/PAMC/CBC</t>
  </si>
  <si>
    <t>FBAC/FBLC/FBLYC</t>
  </si>
  <si>
    <t>PPG</t>
  </si>
  <si>
    <t>BOSS RIE</t>
  </si>
  <si>
    <t>43585</t>
  </si>
  <si>
    <t>KRB</t>
  </si>
  <si>
    <t>CBB/SDB/CNB</t>
  </si>
  <si>
    <t>PP BOTT.</t>
  </si>
  <si>
    <t>142038</t>
  </si>
  <si>
    <t>LOPEZ, GINA GRACE</t>
  </si>
  <si>
    <t>ELIZABETH HENSON</t>
  </si>
  <si>
    <t>145018</t>
  </si>
  <si>
    <t>145764</t>
  </si>
  <si>
    <t>2130016713</t>
  </si>
  <si>
    <t>146855</t>
  </si>
  <si>
    <t>RACAZA, ALEX</t>
  </si>
  <si>
    <t>42956</t>
  </si>
  <si>
    <t>47937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</si>
  <si>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>)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/ OVER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</si>
</sst>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[$-3409]mmmm\ dd\,\ yyyy;@"/>
    <numFmt numFmtId="165" formatCode="_-&quot;₱&quot;* #,##0.00_-;\-&quot;₱&quot;* \(#,##0.00\)_-;_-&quot;₱&quot;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9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43" fontId="0" fillId="0" borderId="0" xfId="1" applyFont="1"/>
    <xf numFmtId="43" fontId="0" fillId="2" borderId="0" xfId="0" applyNumberFormat="1" applyFill="1"/>
    <xf numFmtId="43" fontId="0" fillId="4" borderId="1" xfId="0" applyNumberFormat="1" applyFill="1" applyBorder="1"/>
    <xf numFmtId="0" fontId="0" fillId="2" borderId="1" xfId="0" applyFill="1" applyBorder="1"/>
    <xf numFmtId="0" fontId="0" fillId="0" borderId="3" xfId="0" applyBorder="1"/>
    <xf numFmtId="0" fontId="0" fillId="0" borderId="10" xfId="0" applyBorder="1" applyAlignment="1">
      <alignment horizontal="center"/>
    </xf>
    <xf numFmtId="0" fontId="4" fillId="0" borderId="16" xfId="0" applyFont="1" applyBorder="1"/>
    <xf numFmtId="0" fontId="4" fillId="0" borderId="12" xfId="0" applyFont="1" applyBorder="1"/>
    <xf numFmtId="43" fontId="4" fillId="0" borderId="16" xfId="1" applyFont="1" applyBorder="1"/>
    <xf numFmtId="43" fontId="4" fillId="0" borderId="22" xfId="1" applyFont="1" applyBorder="1"/>
    <xf numFmtId="0" fontId="0" fillId="0" borderId="16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22" xfId="0" applyBorder="1"/>
    <xf numFmtId="0" fontId="0" fillId="0" borderId="18" xfId="0" applyBorder="1"/>
    <xf numFmtId="0" fontId="0" fillId="0" borderId="10" xfId="0" applyBorder="1"/>
    <xf numFmtId="0" fontId="0" fillId="0" borderId="32" xfId="0" applyBorder="1"/>
    <xf numFmtId="0" fontId="0" fillId="0" borderId="36" xfId="0" applyBorder="1"/>
    <xf numFmtId="0" fontId="0" fillId="0" borderId="37" xfId="0" applyBorder="1"/>
    <xf numFmtId="0" fontId="0" fillId="0" borderId="24" xfId="0" applyBorder="1"/>
    <xf numFmtId="0" fontId="0" fillId="0" borderId="41" xfId="0" applyBorder="1"/>
    <xf numFmtId="0" fontId="0" fillId="0" borderId="16" xfId="0" applyBorder="1" applyAlignment="1">
      <alignment horizontal="center"/>
    </xf>
    <xf numFmtId="0" fontId="3" fillId="3" borderId="40" xfId="0" applyFont="1" applyFill="1" applyBorder="1"/>
    <xf numFmtId="0" fontId="3" fillId="3" borderId="16" xfId="0" applyFont="1" applyFill="1" applyBorder="1"/>
    <xf numFmtId="0" fontId="3" fillId="3" borderId="23" xfId="0" applyFont="1" applyFill="1" applyBorder="1"/>
    <xf numFmtId="0" fontId="3" fillId="3" borderId="41" xfId="0" applyFont="1" applyFill="1" applyBorder="1"/>
    <xf numFmtId="43" fontId="4" fillId="0" borderId="18" xfId="1" applyFont="1" applyBorder="1"/>
    <xf numFmtId="43" fontId="4" fillId="0" borderId="42" xfId="1" applyFont="1" applyBorder="1"/>
    <xf numFmtId="0" fontId="3" fillId="3" borderId="12" xfId="0" applyFont="1" applyFill="1" applyBorder="1"/>
    <xf numFmtId="0" fontId="4" fillId="0" borderId="29" xfId="0" applyFont="1" applyBorder="1"/>
    <xf numFmtId="0" fontId="0" fillId="0" borderId="40" xfId="0" applyBorder="1"/>
    <xf numFmtId="0" fontId="0" fillId="0" borderId="27" xfId="0" applyBorder="1"/>
    <xf numFmtId="0" fontId="0" fillId="0" borderId="29" xfId="0" applyBorder="1"/>
    <xf numFmtId="0" fontId="4" fillId="0" borderId="16" xfId="0" applyFont="1" applyBorder="1" applyAlignment="1">
      <alignment horizontal="right"/>
    </xf>
    <xf numFmtId="0" fontId="0" fillId="0" borderId="16" xfId="0" applyBorder="1" applyAlignment="1">
      <alignment horizontal="right"/>
    </xf>
    <xf numFmtId="0" fontId="4" fillId="0" borderId="18" xfId="0" applyFont="1" applyBorder="1" applyAlignment="1">
      <alignment horizontal="right"/>
    </xf>
    <xf numFmtId="0" fontId="4" fillId="0" borderId="43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28" xfId="0" applyFont="1" applyBorder="1" applyAlignment="1">
      <alignment horizontal="right"/>
    </xf>
    <xf numFmtId="0" fontId="0" fillId="0" borderId="42" xfId="0" applyBorder="1"/>
    <xf numFmtId="43" fontId="4" fillId="0" borderId="40" xfId="1" applyFont="1" applyBorder="1"/>
    <xf numFmtId="43" fontId="4" fillId="0" borderId="21" xfId="1" applyFont="1" applyBorder="1"/>
    <xf numFmtId="0" fontId="0" fillId="0" borderId="21" xfId="0" applyBorder="1"/>
    <xf numFmtId="43" fontId="0" fillId="2" borderId="1" xfId="0" applyNumberFormat="1" applyFill="1" applyBorder="1"/>
    <xf numFmtId="43" fontId="4" fillId="0" borderId="23" xfId="1" applyFont="1" applyBorder="1"/>
    <xf numFmtId="0" fontId="3" fillId="3" borderId="10" xfId="0" applyFont="1" applyFill="1" applyBorder="1"/>
    <xf numFmtId="0" fontId="0" fillId="0" borderId="43" xfId="0" applyBorder="1"/>
    <xf numFmtId="0" fontId="4" fillId="0" borderId="21" xfId="0" applyFont="1" applyBorder="1"/>
    <xf numFmtId="0" fontId="4" fillId="0" borderId="10" xfId="0" applyFont="1" applyBorder="1"/>
    <xf numFmtId="0" fontId="4" fillId="0" borderId="18" xfId="0" applyFont="1" applyBorder="1"/>
    <xf numFmtId="0" fontId="4" fillId="0" borderId="27" xfId="0" applyFont="1" applyBorder="1"/>
    <xf numFmtId="0" fontId="0" fillId="0" borderId="0" xfId="0" applyAlignment="1">
      <alignment horizontal="center"/>
    </xf>
    <xf numFmtId="0" fontId="0" fillId="3" borderId="21" xfId="0" applyFill="1" applyBorder="1"/>
    <xf numFmtId="0" fontId="0" fillId="3" borderId="18" xfId="0" applyFill="1" applyBorder="1"/>
    <xf numFmtId="43" fontId="4" fillId="0" borderId="12" xfId="1" applyFont="1" applyBorder="1"/>
    <xf numFmtId="0" fontId="4" fillId="0" borderId="16" xfId="0" applyFont="1" applyBorder="1" applyAlignment="1">
      <alignment horizontal="center"/>
    </xf>
    <xf numFmtId="0" fontId="9" fillId="0" borderId="10" xfId="0" applyFont="1" applyBorder="1" applyAlignment="1">
      <alignment horizontal="left" vertical="center"/>
    </xf>
    <xf numFmtId="0" fontId="10" fillId="0" borderId="40" xfId="0" applyFont="1" applyBorder="1" applyAlignment="1">
      <alignment horizontal="left"/>
    </xf>
    <xf numFmtId="49" fontId="4" fillId="0" borderId="16" xfId="0" applyNumberFormat="1" applyFont="1" applyBorder="1" applyAlignment="1">
      <alignment horizontal="right"/>
    </xf>
    <xf numFmtId="0" fontId="4" fillId="0" borderId="23" xfId="0" applyFont="1" applyBorder="1"/>
    <xf numFmtId="0" fontId="9" fillId="0" borderId="1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11" fillId="0" borderId="28" xfId="0" applyFont="1" applyBorder="1" applyAlignment="1">
      <alignment horizontal="left"/>
    </xf>
    <xf numFmtId="0" fontId="11" fillId="3" borderId="10" xfId="0" applyFont="1" applyFill="1" applyBorder="1"/>
    <xf numFmtId="0" fontId="11" fillId="0" borderId="43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4" fillId="0" borderId="41" xfId="0" applyFont="1" applyBorder="1" applyAlignment="1">
      <alignment horizontal="left"/>
    </xf>
    <xf numFmtId="0" fontId="16" fillId="0" borderId="16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5" fillId="0" borderId="43" xfId="0" applyFont="1" applyBorder="1" applyAlignment="1">
      <alignment horizontal="right"/>
    </xf>
    <xf numFmtId="0" fontId="17" fillId="0" borderId="10" xfId="0" applyFont="1" applyBorder="1" applyAlignment="1">
      <alignment horizontal="center"/>
    </xf>
    <xf numFmtId="49" fontId="0" fillId="0" borderId="16" xfId="0" applyNumberFormat="1" applyBorder="1" applyAlignment="1">
      <alignment horizontal="right"/>
    </xf>
    <xf numFmtId="0" fontId="18" fillId="0" borderId="10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4" fillId="0" borderId="36" xfId="0" applyFont="1" applyBorder="1"/>
    <xf numFmtId="4" fontId="12" fillId="0" borderId="28" xfId="0" applyNumberFormat="1" applyFont="1" applyBorder="1" applyAlignment="1">
      <alignment horizontal="center"/>
    </xf>
    <xf numFmtId="0" fontId="9" fillId="0" borderId="21" xfId="0" applyFont="1" applyBorder="1"/>
    <xf numFmtId="0" fontId="4" fillId="0" borderId="16" xfId="0" applyFont="1" applyFill="1" applyBorder="1"/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23" fillId="0" borderId="16" xfId="0" applyFont="1" applyBorder="1"/>
    <xf numFmtId="49" fontId="24" fillId="0" borderId="16" xfId="0" applyNumberFormat="1" applyFont="1" applyBorder="1" applyAlignment="1">
      <alignment horizontal="right"/>
    </xf>
    <xf numFmtId="0" fontId="9" fillId="0" borderId="16" xfId="0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28" xfId="0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4" fillId="0" borderId="23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4" fillId="0" borderId="23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0" fillId="0" borderId="16" xfId="0" applyFont="1" applyBorder="1" applyAlignment="1">
      <alignment horizontal="right"/>
    </xf>
    <xf numFmtId="0" fontId="23" fillId="0" borderId="21" xfId="0" applyFont="1" applyBorder="1"/>
    <xf numFmtId="0" fontId="24" fillId="0" borderId="16" xfId="0" applyFont="1" applyBorder="1"/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4" fillId="0" borderId="23" xfId="0" applyFont="1" applyBorder="1" applyAlignment="1">
      <alignment horizontal="center"/>
    </xf>
    <xf numFmtId="0" fontId="9" fillId="0" borderId="16" xfId="0" applyFont="1" applyBorder="1"/>
    <xf numFmtId="0" fontId="14" fillId="0" borderId="10" xfId="0" applyFont="1" applyBorder="1" applyAlignment="1">
      <alignment horizontal="center"/>
    </xf>
    <xf numFmtId="49" fontId="0" fillId="0" borderId="16" xfId="0" applyNumberFormat="1" applyFont="1" applyBorder="1" applyAlignment="1">
      <alignment horizontal="right"/>
    </xf>
    <xf numFmtId="0" fontId="0" fillId="0" borderId="6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25" xfId="0" applyBorder="1" applyAlignment="1">
      <alignment horizontal="right" vertical="center" wrapText="1"/>
    </xf>
    <xf numFmtId="0" fontId="0" fillId="0" borderId="30" xfId="0" applyBorder="1" applyAlignment="1">
      <alignment horizontal="right" vertical="center" wrapText="1"/>
    </xf>
    <xf numFmtId="0" fontId="0" fillId="0" borderId="26" xfId="0" applyBorder="1" applyAlignment="1">
      <alignment horizontal="right" vertical="center" wrapText="1"/>
    </xf>
    <xf numFmtId="43" fontId="13" fillId="0" borderId="8" xfId="1" applyFont="1" applyBorder="1" applyAlignment="1">
      <alignment horizontal="left" vertical="center"/>
    </xf>
    <xf numFmtId="43" fontId="13" fillId="0" borderId="17" xfId="1" applyFont="1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textRotation="90"/>
    </xf>
    <xf numFmtId="0" fontId="5" fillId="3" borderId="21" xfId="0" applyFont="1" applyFill="1" applyBorder="1" applyAlignment="1">
      <alignment horizontal="center" vertical="center" textRotation="90"/>
    </xf>
    <xf numFmtId="0" fontId="5" fillId="3" borderId="18" xfId="0" applyFont="1" applyFill="1" applyBorder="1" applyAlignment="1">
      <alignment horizontal="center" vertical="center" textRotation="90"/>
    </xf>
    <xf numFmtId="0" fontId="4" fillId="0" borderId="12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0" fillId="0" borderId="46" xfId="0" applyBorder="1" applyAlignment="1">
      <alignment horizontal="right" wrapText="1"/>
    </xf>
    <xf numFmtId="0" fontId="0" fillId="0" borderId="34" xfId="0" applyBorder="1" applyAlignment="1">
      <alignment horizontal="right" wrapText="1"/>
    </xf>
    <xf numFmtId="44" fontId="8" fillId="0" borderId="33" xfId="0" applyNumberFormat="1" applyFont="1" applyBorder="1" applyAlignment="1">
      <alignment horizontal="left" vertical="center"/>
    </xf>
    <xf numFmtId="44" fontId="8" fillId="0" borderId="2" xfId="0" applyNumberFormat="1" applyFont="1" applyBorder="1" applyAlignment="1">
      <alignment horizontal="left" vertical="center"/>
    </xf>
    <xf numFmtId="44" fontId="8" fillId="0" borderId="38" xfId="0" applyNumberFormat="1" applyFont="1" applyBorder="1" applyAlignment="1">
      <alignment horizontal="left" vertical="center"/>
    </xf>
    <xf numFmtId="44" fontId="8" fillId="0" borderId="25" xfId="0" applyNumberFormat="1" applyFont="1" applyBorder="1" applyAlignment="1">
      <alignment horizontal="left" vertical="center"/>
    </xf>
    <xf numFmtId="44" fontId="8" fillId="0" borderId="30" xfId="0" applyNumberFormat="1" applyFont="1" applyBorder="1" applyAlignment="1">
      <alignment horizontal="left" vertical="center"/>
    </xf>
    <xf numFmtId="44" fontId="8" fillId="0" borderId="26" xfId="0" applyNumberFormat="1" applyFont="1" applyBorder="1" applyAlignment="1">
      <alignment horizontal="left" vertical="center"/>
    </xf>
    <xf numFmtId="0" fontId="3" fillId="0" borderId="1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right" vertical="center" wrapText="1"/>
    </xf>
    <xf numFmtId="165" fontId="19" fillId="0" borderId="6" xfId="0" applyNumberFormat="1" applyFont="1" applyBorder="1" applyAlignment="1">
      <alignment horizontal="left" vertical="center"/>
    </xf>
    <xf numFmtId="165" fontId="19" fillId="0" borderId="4" xfId="0" applyNumberFormat="1" applyFont="1" applyBorder="1" applyAlignment="1">
      <alignment horizontal="left" vertical="center"/>
    </xf>
    <xf numFmtId="165" fontId="19" fillId="0" borderId="7" xfId="0" applyNumberFormat="1" applyFont="1" applyBorder="1" applyAlignment="1">
      <alignment horizontal="left" vertical="center"/>
    </xf>
    <xf numFmtId="165" fontId="19" fillId="0" borderId="50" xfId="0" applyNumberFormat="1" applyFont="1" applyBorder="1" applyAlignment="1">
      <alignment horizontal="left" vertical="center"/>
    </xf>
    <xf numFmtId="165" fontId="19" fillId="0" borderId="51" xfId="0" applyNumberFormat="1" applyFont="1" applyBorder="1" applyAlignment="1">
      <alignment horizontal="left" vertical="center"/>
    </xf>
    <xf numFmtId="165" fontId="19" fillId="0" borderId="52" xfId="0" applyNumberFormat="1" applyFont="1" applyBorder="1" applyAlignment="1">
      <alignment horizontal="left" vertical="center"/>
    </xf>
    <xf numFmtId="0" fontId="4" fillId="0" borderId="2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4" fontId="4" fillId="0" borderId="16" xfId="0" applyNumberFormat="1" applyFont="1" applyBorder="1" applyAlignment="1">
      <alignment horizontal="center"/>
    </xf>
    <xf numFmtId="0" fontId="5" fillId="3" borderId="8" xfId="0" applyFont="1" applyFill="1" applyBorder="1" applyAlignment="1">
      <alignment horizontal="center" vertical="center" textRotation="90"/>
    </xf>
    <xf numFmtId="0" fontId="5" fillId="3" borderId="13" xfId="0" applyFont="1" applyFill="1" applyBorder="1" applyAlignment="1">
      <alignment horizontal="center" vertical="center" textRotation="90"/>
    </xf>
    <xf numFmtId="0" fontId="5" fillId="3" borderId="17" xfId="0" applyFont="1" applyFill="1" applyBorder="1" applyAlignment="1">
      <alignment horizontal="center" vertical="center" textRotation="90"/>
    </xf>
    <xf numFmtId="4" fontId="4" fillId="0" borderId="11" xfId="0" applyNumberFormat="1" applyFont="1" applyBorder="1" applyAlignment="1">
      <alignment horizontal="right"/>
    </xf>
    <xf numFmtId="4" fontId="4" fillId="0" borderId="14" xfId="0" applyNumberFormat="1" applyFont="1" applyBorder="1" applyAlignment="1">
      <alignment horizontal="right"/>
    </xf>
    <xf numFmtId="4" fontId="4" fillId="0" borderId="19" xfId="0" applyNumberFormat="1" applyFont="1" applyBorder="1" applyAlignment="1">
      <alignment horizontal="right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44" fontId="12" fillId="3" borderId="16" xfId="0" applyNumberFormat="1" applyFont="1" applyFill="1" applyBorder="1" applyAlignment="1">
      <alignment horizontal="center"/>
    </xf>
    <xf numFmtId="0" fontId="0" fillId="0" borderId="6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30" xfId="0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43" fontId="4" fillId="0" borderId="45" xfId="1" applyFont="1" applyBorder="1" applyAlignment="1">
      <alignment horizontal="left" vertical="center"/>
    </xf>
    <xf numFmtId="43" fontId="4" fillId="0" borderId="44" xfId="1" applyFont="1" applyBorder="1" applyAlignment="1">
      <alignment horizontal="left" vertical="center"/>
    </xf>
    <xf numFmtId="0" fontId="0" fillId="0" borderId="9" xfId="0" applyBorder="1" applyAlignment="1">
      <alignment horizontal="right" vertical="center" wrapText="1"/>
    </xf>
    <xf numFmtId="0" fontId="0" fillId="0" borderId="35" xfId="0" applyBorder="1" applyAlignment="1">
      <alignment horizontal="right" vertical="center" wrapText="1"/>
    </xf>
    <xf numFmtId="0" fontId="0" fillId="3" borderId="16" xfId="0" applyFill="1" applyBorder="1" applyAlignment="1">
      <alignment horizontal="center"/>
    </xf>
    <xf numFmtId="44" fontId="11" fillId="3" borderId="16" xfId="0" applyNumberFormat="1" applyFont="1" applyFill="1" applyBorder="1" applyAlignment="1">
      <alignment horizontal="right"/>
    </xf>
    <xf numFmtId="0" fontId="11" fillId="0" borderId="32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4" fontId="12" fillId="0" borderId="16" xfId="0" applyNumberFormat="1" applyFont="1" applyBorder="1" applyAlignment="1">
      <alignment horizontal="right"/>
    </xf>
    <xf numFmtId="4" fontId="4" fillId="0" borderId="23" xfId="0" applyNumberFormat="1" applyFont="1" applyBorder="1" applyAlignment="1">
      <alignment horizontal="right"/>
    </xf>
    <xf numFmtId="44" fontId="4" fillId="0" borderId="27" xfId="0" applyNumberFormat="1" applyFont="1" applyBorder="1" applyAlignment="1">
      <alignment horizontal="center"/>
    </xf>
    <xf numFmtId="44" fontId="4" fillId="0" borderId="41" xfId="0" applyNumberFormat="1" applyFont="1" applyBorder="1" applyAlignment="1">
      <alignment horizontal="center"/>
    </xf>
    <xf numFmtId="44" fontId="4" fillId="0" borderId="22" xfId="0" applyNumberFormat="1" applyFont="1" applyBorder="1" applyAlignment="1">
      <alignment horizontal="center"/>
    </xf>
    <xf numFmtId="44" fontId="4" fillId="0" borderId="12" xfId="0" applyNumberFormat="1" applyFont="1" applyBorder="1" applyAlignment="1">
      <alignment horizontal="right"/>
    </xf>
    <xf numFmtId="44" fontId="4" fillId="0" borderId="28" xfId="0" applyNumberFormat="1" applyFont="1" applyBorder="1" applyAlignment="1">
      <alignment horizontal="right"/>
    </xf>
    <xf numFmtId="44" fontId="4" fillId="0" borderId="23" xfId="0" applyNumberFormat="1" applyFont="1" applyBorder="1" applyAlignment="1">
      <alignment horizontal="right"/>
    </xf>
    <xf numFmtId="44" fontId="4" fillId="0" borderId="11" xfId="0" applyNumberFormat="1" applyFont="1" applyBorder="1" applyAlignment="1">
      <alignment horizontal="right"/>
    </xf>
    <xf numFmtId="44" fontId="4" fillId="0" borderId="14" xfId="0" applyNumberFormat="1" applyFont="1" applyBorder="1" applyAlignment="1">
      <alignment horizontal="right"/>
    </xf>
    <xf numFmtId="44" fontId="4" fillId="0" borderId="19" xfId="0" applyNumberFormat="1" applyFont="1" applyBorder="1" applyAlignment="1">
      <alignment horizontal="right"/>
    </xf>
    <xf numFmtId="44" fontId="4" fillId="0" borderId="47" xfId="0" applyNumberFormat="1" applyFont="1" applyBorder="1" applyAlignment="1">
      <alignment horizontal="right"/>
    </xf>
    <xf numFmtId="44" fontId="4" fillId="0" borderId="48" xfId="0" applyNumberFormat="1" applyFont="1" applyBorder="1" applyAlignment="1">
      <alignment horizontal="right"/>
    </xf>
    <xf numFmtId="44" fontId="4" fillId="0" borderId="49" xfId="0" applyNumberFormat="1" applyFont="1" applyBorder="1" applyAlignment="1">
      <alignment horizontal="right"/>
    </xf>
    <xf numFmtId="43" fontId="4" fillId="0" borderId="12" xfId="1" applyFont="1" applyBorder="1" applyAlignment="1">
      <alignment horizontal="left"/>
    </xf>
    <xf numFmtId="43" fontId="4" fillId="0" borderId="28" xfId="1" applyFont="1" applyBorder="1" applyAlignment="1">
      <alignment horizontal="left"/>
    </xf>
    <xf numFmtId="43" fontId="4" fillId="0" borderId="23" xfId="1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43" fontId="12" fillId="0" borderId="12" xfId="1" applyFont="1" applyBorder="1" applyAlignment="1">
      <alignment horizontal="left"/>
    </xf>
    <xf numFmtId="43" fontId="12" fillId="0" borderId="28" xfId="1" applyFont="1" applyBorder="1" applyAlignment="1">
      <alignment horizontal="left"/>
    </xf>
    <xf numFmtId="43" fontId="12" fillId="0" borderId="23" xfId="1" applyFont="1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3" xfId="0" applyBorder="1" applyAlignment="1">
      <alignment horizontal="left"/>
    </xf>
    <xf numFmtId="43" fontId="6" fillId="0" borderId="27" xfId="1" applyFont="1" applyBorder="1" applyAlignment="1">
      <alignment horizontal="right"/>
    </xf>
    <xf numFmtId="43" fontId="6" fillId="0" borderId="41" xfId="1" applyFont="1" applyBorder="1" applyAlignment="1">
      <alignment horizontal="right"/>
    </xf>
    <xf numFmtId="43" fontId="6" fillId="0" borderId="22" xfId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2" xfId="0" applyBorder="1" applyAlignment="1">
      <alignment horizontal="left"/>
    </xf>
    <xf numFmtId="165" fontId="21" fillId="0" borderId="6" xfId="0" applyNumberFormat="1" applyFont="1" applyBorder="1" applyAlignment="1">
      <alignment horizontal="left" vertical="center"/>
    </xf>
    <xf numFmtId="165" fontId="21" fillId="0" borderId="4" xfId="0" applyNumberFormat="1" applyFont="1" applyBorder="1" applyAlignment="1">
      <alignment horizontal="left" vertical="center"/>
    </xf>
    <xf numFmtId="165" fontId="21" fillId="0" borderId="7" xfId="0" applyNumberFormat="1" applyFont="1" applyBorder="1" applyAlignment="1">
      <alignment horizontal="left" vertical="center"/>
    </xf>
    <xf numFmtId="165" fontId="21" fillId="0" borderId="50" xfId="0" applyNumberFormat="1" applyFont="1" applyBorder="1" applyAlignment="1">
      <alignment horizontal="left" vertical="center"/>
    </xf>
    <xf numFmtId="165" fontId="21" fillId="0" borderId="51" xfId="0" applyNumberFormat="1" applyFont="1" applyBorder="1" applyAlignment="1">
      <alignment horizontal="left" vertical="center"/>
    </xf>
    <xf numFmtId="165" fontId="21" fillId="0" borderId="52" xfId="0" applyNumberFormat="1" applyFont="1" applyBorder="1" applyAlignment="1">
      <alignment horizontal="left" vertical="center"/>
    </xf>
    <xf numFmtId="4" fontId="12" fillId="0" borderId="23" xfId="0" applyNumberFormat="1" applyFont="1" applyBorder="1"/>
    <xf numFmtId="4" fontId="12" fillId="0" borderId="16" xfId="0" applyNumberFormat="1" applyFont="1" applyBorder="1"/>
    <xf numFmtId="4" fontId="4" fillId="0" borderId="23" xfId="0" applyNumberFormat="1" applyFont="1" applyBorder="1"/>
    <xf numFmtId="4" fontId="4" fillId="0" borderId="16" xfId="0" applyNumberFormat="1" applyFont="1" applyBorder="1"/>
    <xf numFmtId="44" fontId="0" fillId="3" borderId="16" xfId="0" applyNumberFormat="1" applyFill="1" applyBorder="1" applyAlignment="1">
      <alignment horizontal="right"/>
    </xf>
    <xf numFmtId="44" fontId="12" fillId="3" borderId="16" xfId="0" applyNumberFormat="1" applyFont="1" applyFill="1" applyBorder="1" applyAlignment="1">
      <alignment horizontal="right"/>
    </xf>
    <xf numFmtId="164" fontId="0" fillId="0" borderId="27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164" fontId="0" fillId="0" borderId="42" xfId="0" applyNumberForma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5E2AF8-C749-4947-A538-CDB9C3F24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4F98BA-609D-4BDA-AF52-74B1D5DEA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51B4D6-27BD-43E0-9BF5-173133EDD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A4559C-8456-4797-9CD9-9CD87A715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60E7C3-1277-4022-BEC5-839F7D5D6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7E8A34-F0A3-4C3E-A795-2F22F7AFD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8BC64-8BAD-4326-BFCF-CEED73E76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43A9EC-89A2-4834-A18B-72478773A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054E30-2D2B-4F41-99A7-9893D4F59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4ECCB8-89D8-4B2C-855D-15406F0EB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B55680-4897-49D6-B802-88DC6BF25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F77CB6-118B-4525-B5D7-45F8914BC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E523A4-C8DA-48A6-B948-FE16AB82D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FA5CEC-779C-4B6A-A407-BE9ED1B0B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5958B9-B199-4F10-91A3-389B9F902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707CFD-A374-40CD-B579-B4037E09E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48CB93-7FB0-40EB-A81C-9EA445708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63E69A-8F44-48C4-9541-28941DC4C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4FBB31-17A2-41E4-92D3-15B29D455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B66B2F-3378-4EFD-A361-38ED865ED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DCE24A-25E7-42F8-B151-3E362261C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3CAD8B-76AE-4E9B-B88B-14AE66E19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63EF41-5EE7-4366-AF41-22C894360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647701</xdr:colOff>
      <xdr:row>53</xdr:row>
      <xdr:rowOff>23131</xdr:rowOff>
    </xdr:from>
    <xdr:to>
      <xdr:col>3</xdr:col>
      <xdr:colOff>514351</xdr:colOff>
      <xdr:row>59</xdr:row>
      <xdr:rowOff>123824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BAA89C-DFEC-4C98-BED9-5E5567367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1" y="10386331"/>
          <a:ext cx="1485900" cy="124369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67D179-197A-4606-AEE5-38D4D6DDE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0C2C7B-79AD-4077-B8BC-541A1422F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08E58F-0905-4173-9552-30DB6CA1E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D4CC8F-4FC2-43C1-80EE-4802819F2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C868EF-81C0-4A97-B11B-94A1CB614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14C4A4-6038-47EA-8590-65305C77F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83F133-42FF-455F-8465-69C1EA2AB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447EB3-E76A-421B-BC44-6FDEEFCE2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E9D7A2-6443-42B9-992F-18D8F97CB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BB34D0-54A4-49BC-AE77-C92912B04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FE0EDD-963B-41B6-A3D7-DCEA4DE38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D06748-E591-4409-AD27-EC23C81EE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217AB1-F1D0-4E1F-B680-28E4C9B56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303AEB-FBE3-40DC-8F7E-FF1404C8F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A3889A-0856-4EAC-B0B4-A903CE071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DEE12F-A586-4502-8E13-BEF7DD14B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014934-73F4-4D3E-B85A-5AAFA1472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C133EB-54DD-4738-8E4B-3FF4182EC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17F768-3464-46CC-8A1E-95D0CDC88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4F7F86-D206-4C37-97BF-CC71B0941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367E31-1BE1-43E0-80FF-F8C1C8BE7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42A158-035F-4FBF-9948-75F8AA9BA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1AF431-7176-40E9-A605-8741F145B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19EBB3-162D-4402-8CEC-849EE7DE1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8EE3F9-F1A0-4EC1-8B29-34094E6F7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1147CA-7BA0-4FB0-B421-E87C06147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D79066-A9E5-46E8-8A54-84EDB6CAC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E0DB6B-8FDC-468A-AD44-189665F99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CD7F49-724B-4CA2-815F-E7990AA21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5C9621-A135-409D-989A-C64FCC7D2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A0A89F-7122-48BA-BB51-ECB44B972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5EEBDE-B0AB-454F-B57D-4BD0ADF7F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86E68A-D29A-4DED-9ED1-F744A48CB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FB3CFB-5D37-4517-950B-D4B033CFB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D08AD8-8D01-4AF0-A726-7A3072873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B72A3F-127E-415E-A2F6-94AD871CD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7D4E91-A7FB-4D71-B23F-201AA46BE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E0D86A-D4B1-4A86-A71F-53366D1FA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F346A2-436F-4DCB-BCD2-3C1D067D9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771525</xdr:colOff>
      <xdr:row>53</xdr:row>
      <xdr:rowOff>176159</xdr:rowOff>
    </xdr:from>
    <xdr:to>
      <xdr:col>3</xdr:col>
      <xdr:colOff>466725</xdr:colOff>
      <xdr:row>59</xdr:row>
      <xdr:rowOff>133349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552D848-526F-4CEA-8964-AFA7C9910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10539359"/>
          <a:ext cx="1314450" cy="110019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DC988-4E1E-4595-97C0-A9501CAE1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B03D84-9A41-49AA-A864-948F9B005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74B25F-48C3-403E-BB26-DA7B82635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781050</xdr:colOff>
      <xdr:row>52</xdr:row>
      <xdr:rowOff>190342</xdr:rowOff>
    </xdr:from>
    <xdr:to>
      <xdr:col>3</xdr:col>
      <xdr:colOff>504825</xdr:colOff>
      <xdr:row>58</xdr:row>
      <xdr:rowOff>161924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928A87-D20B-467E-B0D2-5ED73AC50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10353517"/>
          <a:ext cx="1343025" cy="1124107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4EC06D-3EDD-470E-A5F3-FFA5AC147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46B8A7-EAB1-4CA3-92A2-9B23D0103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1ED343-FF7C-43DA-B18B-0B7D86F6C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619125</xdr:colOff>
      <xdr:row>53</xdr:row>
      <xdr:rowOff>2320</xdr:rowOff>
    </xdr:from>
    <xdr:to>
      <xdr:col>3</xdr:col>
      <xdr:colOff>533400</xdr:colOff>
      <xdr:row>59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6B18F2-B2D0-4572-BBEF-6850E8B80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10365520"/>
          <a:ext cx="1533525" cy="1283555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CA31F0-D1A1-49FE-AE96-923761C5C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F53035-0E30-4334-8434-50436D62F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9EAFA8-6F5F-4DD6-A26C-C123DAF82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43C2DB-6BEA-4160-9528-652B41300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B1FB7C-020F-4024-8991-9FB896742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8C60DE-4E2F-4997-BF69-D4903D429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66559C-5B0E-4362-BFE4-D85A1B168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0BC28F-E80C-4229-9F5B-5DC80AB9D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D10632-2CAA-4B21-89B3-F2D67A046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5BCB99-1DDA-47E8-82A0-BB2150903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1CEE15-7AF6-45A5-983B-2BC7EC2CD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944A5F-6F39-460F-A41A-9776951B4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F563C2-1E7F-43E3-83A8-2C65626EA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8E3C4D-FA27-4109-9029-2578C58F2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B015AD-9C7E-4904-9462-6ED7E37B9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826F28-01C8-4EFE-9D56-E3A50EA88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A88C61-DAD2-4E18-8444-38A1A63E7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2826-7E98-4473-9814-1B8909A373CC}">
  <dimension ref="A1"/>
  <sheetViews>
    <sheetView workbookViewId="0">
      <selection activeCell="C44" sqref="C44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1F021-A59F-4DF7-847B-486D304BFED3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20" t="s">
        <v>1</v>
      </c>
      <c r="O1" s="220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71" t="s">
        <v>7</v>
      </c>
      <c r="B4" s="172"/>
      <c r="C4" s="172"/>
      <c r="D4" s="173"/>
      <c r="F4" s="221" t="s">
        <v>8</v>
      </c>
      <c r="G4" s="223"/>
      <c r="H4" s="225" t="s">
        <v>9</v>
      </c>
      <c r="I4" s="227"/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6"/>
      <c r="B6" s="16"/>
      <c r="C6" s="10"/>
      <c r="D6" s="13">
        <f t="shared" ref="D6:D28" si="1">C6*L6</f>
        <v>0</v>
      </c>
      <c r="F6" s="231" t="s">
        <v>16</v>
      </c>
      <c r="G6" s="233"/>
      <c r="H6" s="234"/>
      <c r="I6" s="234"/>
      <c r="J6" s="23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6"/>
      <c r="B7" s="16"/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6"/>
      <c r="B8" s="16"/>
      <c r="C8" s="10"/>
      <c r="D8" s="13">
        <f t="shared" si="1"/>
        <v>0</v>
      </c>
      <c r="F8" s="239" t="s">
        <v>21</v>
      </c>
      <c r="G8" s="240"/>
      <c r="H8" s="241"/>
      <c r="I8" s="241"/>
      <c r="J8" s="24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6"/>
      <c r="B9" s="16"/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6"/>
      <c r="C10" s="10"/>
      <c r="D10" s="13">
        <f t="shared" si="1"/>
        <v>0</v>
      </c>
      <c r="F10" s="231" t="s">
        <v>26</v>
      </c>
      <c r="G10" s="246"/>
      <c r="H10" s="247"/>
      <c r="I10" s="247"/>
      <c r="J10" s="248"/>
      <c r="K10" s="8"/>
      <c r="L10" s="6">
        <f>R36</f>
        <v>972</v>
      </c>
      <c r="P10" s="4"/>
      <c r="Q10" s="4"/>
      <c r="R10" s="5"/>
    </row>
    <row r="11" spans="1:19" ht="15.75" x14ac:dyDescent="0.25">
      <c r="A11" s="166"/>
      <c r="B11" s="17"/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6"/>
      <c r="B12" s="17"/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6"/>
      <c r="B13" s="17"/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6"/>
      <c r="B14" s="14"/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6"/>
      <c r="B15" s="14"/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/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/>
      <c r="C19" s="10"/>
      <c r="D19" s="48">
        <f t="shared" si="1"/>
        <v>0</v>
      </c>
      <c r="F19" s="56"/>
      <c r="G19" s="68" t="s">
        <v>50</v>
      </c>
      <c r="H19" s="189"/>
      <c r="I19" s="189"/>
      <c r="J19" s="18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/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6"/>
      <c r="B22" s="46"/>
      <c r="C22" s="10"/>
      <c r="D22" s="48">
        <f t="shared" si="1"/>
        <v>0</v>
      </c>
      <c r="F22" s="77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/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/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6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/>
      <c r="C28" s="10"/>
      <c r="D28" s="48">
        <f t="shared" si="1"/>
        <v>0</v>
      </c>
      <c r="F28" s="88"/>
      <c r="G28" s="61"/>
      <c r="H28" s="204"/>
      <c r="I28" s="205"/>
      <c r="J28" s="206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9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/>
      <c r="I34" s="169"/>
      <c r="J34" s="170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/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/>
      <c r="I36" s="169"/>
      <c r="J36" s="170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/>
      <c r="I37" s="169"/>
      <c r="J37" s="170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/>
      <c r="I38" s="169"/>
      <c r="J38" s="170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/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85" t="s">
        <v>83</v>
      </c>
      <c r="H43" s="160" t="s">
        <v>13</v>
      </c>
      <c r="I43" s="161"/>
      <c r="J43" s="162"/>
      <c r="K43" s="21"/>
      <c r="P43" s="4"/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76"/>
      <c r="H44" s="163"/>
      <c r="I44" s="163"/>
      <c r="J44" s="163"/>
      <c r="K44" s="21"/>
      <c r="P44" s="4"/>
      <c r="Q44" s="4"/>
      <c r="R44" s="5"/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P50" s="4"/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128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603C0-8A60-45BF-8795-C1318699A60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1</v>
      </c>
      <c r="H4" s="225" t="s">
        <v>9</v>
      </c>
      <c r="I4" s="227">
        <v>45658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84"/>
      <c r="D6" s="13">
        <f t="shared" ref="D6:D28" si="1">C6*L6</f>
        <v>0</v>
      </c>
      <c r="F6" s="231" t="s">
        <v>16</v>
      </c>
      <c r="G6" s="233" t="s">
        <v>129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84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84"/>
      <c r="D8" s="13">
        <f t="shared" si="1"/>
        <v>0</v>
      </c>
      <c r="F8" s="239" t="s">
        <v>21</v>
      </c>
      <c r="G8" s="240" t="s">
        <v>112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84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84"/>
      <c r="D10" s="13">
        <f t="shared" si="1"/>
        <v>0</v>
      </c>
      <c r="F10" s="231" t="s">
        <v>26</v>
      </c>
      <c r="G10" s="246" t="s">
        <v>130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84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84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84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84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84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137</v>
      </c>
      <c r="C17" s="84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88"/>
      <c r="I19" s="188"/>
      <c r="J19" s="188"/>
      <c r="L19" s="6">
        <v>1102</v>
      </c>
      <c r="Q19" s="4"/>
      <c r="R19" s="5">
        <f t="shared" si="0"/>
        <v>0</v>
      </c>
    </row>
    <row r="20" spans="1:18" ht="15.75" x14ac:dyDescent="0.25">
      <c r="A20" s="166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135</v>
      </c>
      <c r="C21" s="84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127</v>
      </c>
      <c r="C22" s="84"/>
      <c r="D22" s="48">
        <f t="shared" si="1"/>
        <v>0</v>
      </c>
      <c r="F22" s="77"/>
      <c r="G22" s="73"/>
      <c r="H22" s="193"/>
      <c r="I22" s="193"/>
      <c r="J22" s="193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101</v>
      </c>
      <c r="C23" s="84"/>
      <c r="D23" s="48">
        <f t="shared" si="1"/>
        <v>0</v>
      </c>
      <c r="F23" s="77"/>
      <c r="G23" s="79"/>
      <c r="H23" s="259"/>
      <c r="I23" s="260"/>
      <c r="J23" s="26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121</v>
      </c>
      <c r="C24" s="84"/>
      <c r="D24" s="48">
        <f t="shared" si="1"/>
        <v>0</v>
      </c>
      <c r="F24" s="77"/>
      <c r="G24" s="79"/>
      <c r="H24" s="259"/>
      <c r="I24" s="260"/>
      <c r="J24" s="26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138</v>
      </c>
      <c r="C25" s="84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136</v>
      </c>
      <c r="C26" s="84"/>
      <c r="D26" s="48">
        <f t="shared" si="1"/>
        <v>0</v>
      </c>
      <c r="F26" s="75"/>
      <c r="G26" s="65"/>
      <c r="H26" s="163"/>
      <c r="I26" s="163"/>
      <c r="J26" s="163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110</v>
      </c>
      <c r="C27" s="84"/>
      <c r="D27" s="44">
        <f t="shared" si="1"/>
        <v>0</v>
      </c>
      <c r="F27" s="71"/>
      <c r="G27" s="85"/>
      <c r="H27" s="261"/>
      <c r="I27" s="262"/>
      <c r="J27" s="26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84"/>
      <c r="D28" s="48">
        <f t="shared" si="1"/>
        <v>0</v>
      </c>
      <c r="F28" s="88"/>
      <c r="G28" s="61"/>
      <c r="H28" s="204"/>
      <c r="I28" s="205"/>
      <c r="J28" s="206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H15-H16-H17-H18-H19-H20-H22-H23-H24+H26+H27+H28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9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68">
        <f t="shared" ref="H34:H39" si="2">F34*G34</f>
        <v>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>
        <f t="shared" si="2"/>
        <v>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 t="shared" si="2"/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>
        <f t="shared" si="2"/>
        <v>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85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62"/>
      <c r="H44" s="163"/>
      <c r="I44" s="163"/>
      <c r="J44" s="163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3"/>
      <c r="I46" s="163"/>
      <c r="J46" s="163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131</v>
      </c>
      <c r="G51" s="253">
        <f>G49-H29</f>
        <v>0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95B9C-982B-4A48-BE38-866509822BA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2</v>
      </c>
      <c r="H4" s="225" t="s">
        <v>9</v>
      </c>
      <c r="I4" s="227">
        <v>45658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/>
      <c r="D6" s="13">
        <f t="shared" ref="D6:D28" si="1">C6*L6</f>
        <v>0</v>
      </c>
      <c r="F6" s="231" t="s">
        <v>16</v>
      </c>
      <c r="G6" s="233" t="s">
        <v>140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114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115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93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63"/>
      <c r="I19" s="263"/>
      <c r="J19" s="26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88"/>
      <c r="I20" s="188"/>
      <c r="J20" s="18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2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25"/>
      <c r="G23" s="37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123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88"/>
      <c r="G28" s="61"/>
      <c r="H28" s="204"/>
      <c r="I28" s="205"/>
      <c r="J28" s="206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9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>
        <f>F34*G34</f>
        <v>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>
        <f t="shared" ref="H35:H39" si="2">F35*G35</f>
        <v>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>
        <f t="shared" si="2"/>
        <v>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85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62"/>
      <c r="H44" s="163"/>
      <c r="I44" s="163"/>
      <c r="J44" s="163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86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142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6BE7-48CE-458D-AA89-CE10031A60C7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3</v>
      </c>
      <c r="H4" s="225" t="s">
        <v>9</v>
      </c>
      <c r="I4" s="227">
        <v>45658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/>
      <c r="D6" s="13">
        <f t="shared" ref="D6:D28" si="1">C6*L6</f>
        <v>0</v>
      </c>
      <c r="F6" s="231" t="s">
        <v>16</v>
      </c>
      <c r="G6" s="233" t="s">
        <v>111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119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134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113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64"/>
      <c r="I19" s="264"/>
      <c r="J19" s="26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7"/>
      <c r="G22" s="73"/>
      <c r="H22" s="193"/>
      <c r="I22" s="193"/>
      <c r="J22" s="193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101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88"/>
      <c r="G28" s="61"/>
      <c r="H28" s="204"/>
      <c r="I28" s="205"/>
      <c r="J28" s="206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9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>
        <f>F34*G34</f>
        <v>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>
        <f>F35*G35</f>
        <v>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 t="shared" ref="H36:H39" si="2"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>
        <f t="shared" si="2"/>
        <v>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85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76"/>
      <c r="H44" s="163"/>
      <c r="I44" s="163"/>
      <c r="J44" s="163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139</v>
      </c>
      <c r="G51" s="253">
        <f>G49-H29</f>
        <v>0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DF68-5657-4670-896E-72A0E0EDF230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71" t="s">
        <v>7</v>
      </c>
      <c r="B4" s="172"/>
      <c r="C4" s="172"/>
      <c r="D4" s="173"/>
      <c r="F4" s="221" t="s">
        <v>8</v>
      </c>
      <c r="G4" s="223"/>
      <c r="H4" s="225" t="s">
        <v>9</v>
      </c>
      <c r="I4" s="227"/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6"/>
      <c r="B6" s="16"/>
      <c r="C6" s="10"/>
      <c r="D6" s="13">
        <f t="shared" ref="D6:D28" si="1">C6*L6</f>
        <v>0</v>
      </c>
      <c r="F6" s="231" t="s">
        <v>16</v>
      </c>
      <c r="G6" s="233"/>
      <c r="H6" s="234"/>
      <c r="I6" s="234"/>
      <c r="J6" s="23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6"/>
      <c r="B7" s="16"/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6"/>
      <c r="B8" s="16"/>
      <c r="C8" s="10"/>
      <c r="D8" s="13">
        <f t="shared" si="1"/>
        <v>0</v>
      </c>
      <c r="F8" s="239" t="s">
        <v>21</v>
      </c>
      <c r="G8" s="240"/>
      <c r="H8" s="241"/>
      <c r="I8" s="241"/>
      <c r="J8" s="24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6"/>
      <c r="B9" s="16"/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6"/>
      <c r="C10" s="10"/>
      <c r="D10" s="13">
        <f t="shared" si="1"/>
        <v>0</v>
      </c>
      <c r="F10" s="231" t="s">
        <v>26</v>
      </c>
      <c r="G10" s="246"/>
      <c r="H10" s="247"/>
      <c r="I10" s="247"/>
      <c r="J10" s="248"/>
      <c r="K10" s="8"/>
      <c r="L10" s="6">
        <f>R36</f>
        <v>972</v>
      </c>
      <c r="P10" s="4"/>
      <c r="Q10" s="4"/>
      <c r="R10" s="5"/>
    </row>
    <row r="11" spans="1:19" ht="15.75" x14ac:dyDescent="0.25">
      <c r="A11" s="166"/>
      <c r="B11" s="17"/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6"/>
      <c r="B12" s="17"/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6"/>
      <c r="B13" s="17"/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6"/>
      <c r="B14" s="14"/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6"/>
      <c r="B15" s="14"/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/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/>
      <c r="C19" s="10"/>
      <c r="D19" s="48">
        <f t="shared" si="1"/>
        <v>0</v>
      </c>
      <c r="F19" s="56"/>
      <c r="G19" s="68" t="s">
        <v>50</v>
      </c>
      <c r="H19" s="189"/>
      <c r="I19" s="189"/>
      <c r="J19" s="18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/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6"/>
      <c r="B22" s="46"/>
      <c r="C22" s="10"/>
      <c r="D22" s="48">
        <f t="shared" si="1"/>
        <v>0</v>
      </c>
      <c r="F22" s="77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/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/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6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/>
      <c r="C28" s="10"/>
      <c r="D28" s="48">
        <f t="shared" si="1"/>
        <v>0</v>
      </c>
      <c r="F28" s="93"/>
      <c r="G28" s="61"/>
      <c r="H28" s="204"/>
      <c r="I28" s="205"/>
      <c r="J28" s="206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/>
      <c r="I34" s="169"/>
      <c r="J34" s="170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/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/>
      <c r="I36" s="169"/>
      <c r="J36" s="170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/>
      <c r="I37" s="169"/>
      <c r="J37" s="170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/>
      <c r="I38" s="169"/>
      <c r="J38" s="170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/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P43" s="4"/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76"/>
      <c r="H44" s="163"/>
      <c r="I44" s="163"/>
      <c r="J44" s="163"/>
      <c r="K44" s="21"/>
      <c r="P44" s="4"/>
      <c r="Q44" s="4"/>
      <c r="R44" s="5"/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P50" s="4"/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128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8389-AFAA-48C4-A744-D0F2E5BBB60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1</v>
      </c>
      <c r="H4" s="225" t="s">
        <v>9</v>
      </c>
      <c r="I4" s="227">
        <v>46024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84"/>
      <c r="D6" s="13">
        <f t="shared" ref="D6:D28" si="1">C6*L6</f>
        <v>0</v>
      </c>
      <c r="F6" s="231" t="s">
        <v>16</v>
      </c>
      <c r="G6" s="233" t="s">
        <v>129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84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84"/>
      <c r="D8" s="13">
        <f t="shared" si="1"/>
        <v>0</v>
      </c>
      <c r="F8" s="239" t="s">
        <v>21</v>
      </c>
      <c r="G8" s="240" t="s">
        <v>112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84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84"/>
      <c r="D10" s="13">
        <f t="shared" si="1"/>
        <v>0</v>
      </c>
      <c r="F10" s="231" t="s">
        <v>26</v>
      </c>
      <c r="G10" s="246" t="s">
        <v>130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84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84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84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84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84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137</v>
      </c>
      <c r="C17" s="84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88"/>
      <c r="I19" s="188"/>
      <c r="J19" s="188"/>
      <c r="L19" s="6">
        <v>1102</v>
      </c>
      <c r="Q19" s="4"/>
      <c r="R19" s="5">
        <f t="shared" si="0"/>
        <v>0</v>
      </c>
    </row>
    <row r="20" spans="1:18" ht="15.75" x14ac:dyDescent="0.25">
      <c r="A20" s="166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135</v>
      </c>
      <c r="C21" s="84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127</v>
      </c>
      <c r="C22" s="84"/>
      <c r="D22" s="48">
        <f t="shared" si="1"/>
        <v>0</v>
      </c>
      <c r="F22" s="77"/>
      <c r="G22" s="73"/>
      <c r="H22" s="193"/>
      <c r="I22" s="193"/>
      <c r="J22" s="193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101</v>
      </c>
      <c r="C23" s="84"/>
      <c r="D23" s="48">
        <f t="shared" si="1"/>
        <v>0</v>
      </c>
      <c r="F23" s="77"/>
      <c r="G23" s="79"/>
      <c r="H23" s="259"/>
      <c r="I23" s="260"/>
      <c r="J23" s="26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121</v>
      </c>
      <c r="C24" s="84"/>
      <c r="D24" s="48">
        <f t="shared" si="1"/>
        <v>0</v>
      </c>
      <c r="F24" s="77"/>
      <c r="G24" s="79"/>
      <c r="H24" s="259"/>
      <c r="I24" s="260"/>
      <c r="J24" s="26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138</v>
      </c>
      <c r="C25" s="84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136</v>
      </c>
      <c r="C26" s="84"/>
      <c r="D26" s="48">
        <f t="shared" si="1"/>
        <v>0</v>
      </c>
      <c r="F26" s="75"/>
      <c r="G26" s="65"/>
      <c r="H26" s="163"/>
      <c r="I26" s="163"/>
      <c r="J26" s="163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110</v>
      </c>
      <c r="C27" s="84"/>
      <c r="D27" s="44">
        <f t="shared" si="1"/>
        <v>0</v>
      </c>
      <c r="F27" s="71"/>
      <c r="G27" s="90"/>
      <c r="H27" s="261"/>
      <c r="I27" s="262"/>
      <c r="J27" s="26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84"/>
      <c r="D28" s="48">
        <f t="shared" si="1"/>
        <v>0</v>
      </c>
      <c r="F28" s="93"/>
      <c r="G28" s="61"/>
      <c r="H28" s="204"/>
      <c r="I28" s="205"/>
      <c r="J28" s="206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H15-H16-H17-H18-H19-H20-H22-H23-H24+H26+H27+H28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68">
        <f t="shared" ref="H34:H39" si="2">F34*G34</f>
        <v>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>
        <f t="shared" si="2"/>
        <v>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 t="shared" si="2"/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>
        <f t="shared" si="2"/>
        <v>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62"/>
      <c r="H44" s="163"/>
      <c r="I44" s="163"/>
      <c r="J44" s="163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3"/>
      <c r="I46" s="163"/>
      <c r="J46" s="163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131</v>
      </c>
      <c r="G51" s="253">
        <f>G49-H29</f>
        <v>0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557C5-0FED-4EBF-9006-15F5BEE292E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2</v>
      </c>
      <c r="H4" s="225" t="s">
        <v>9</v>
      </c>
      <c r="I4" s="227">
        <v>46024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/>
      <c r="D6" s="13">
        <f t="shared" ref="D6:D28" si="1">C6*L6</f>
        <v>0</v>
      </c>
      <c r="F6" s="231" t="s">
        <v>16</v>
      </c>
      <c r="G6" s="233" t="s">
        <v>140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114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115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93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63"/>
      <c r="I19" s="263"/>
      <c r="J19" s="26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88"/>
      <c r="I20" s="188"/>
      <c r="J20" s="18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2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25"/>
      <c r="G23" s="37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123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93"/>
      <c r="G28" s="61"/>
      <c r="H28" s="204"/>
      <c r="I28" s="205"/>
      <c r="J28" s="206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>
        <f>F34*G34</f>
        <v>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>
        <f t="shared" ref="H35:H39" si="2">F35*G35</f>
        <v>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>
        <f t="shared" si="2"/>
        <v>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62"/>
      <c r="H44" s="163"/>
      <c r="I44" s="163"/>
      <c r="J44" s="163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91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142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444B-CD4A-4E72-81CD-52274C4982C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3</v>
      </c>
      <c r="H4" s="225" t="s">
        <v>9</v>
      </c>
      <c r="I4" s="227">
        <v>46024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v>480</v>
      </c>
      <c r="D6" s="13">
        <f t="shared" ref="D6:D28" si="1">C6*L6</f>
        <v>365280</v>
      </c>
      <c r="F6" s="231" t="s">
        <v>16</v>
      </c>
      <c r="G6" s="233" t="s">
        <v>111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>
        <v>12</v>
      </c>
      <c r="D7" s="13">
        <f t="shared" si="1"/>
        <v>9372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119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75</v>
      </c>
      <c r="D9" s="13">
        <f t="shared" si="1"/>
        <v>54975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134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>
        <v>6</v>
      </c>
      <c r="D12" s="48">
        <f t="shared" si="1"/>
        <v>5952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4</v>
      </c>
      <c r="D13" s="48">
        <f t="shared" si="1"/>
        <v>1228</v>
      </c>
      <c r="F13" s="252" t="s">
        <v>36</v>
      </c>
      <c r="G13" s="216"/>
      <c r="H13" s="207">
        <f>D29</f>
        <v>443015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18</v>
      </c>
      <c r="D14" s="31">
        <f t="shared" si="1"/>
        <v>198</v>
      </c>
      <c r="F14" s="210" t="s">
        <v>39</v>
      </c>
      <c r="G14" s="211"/>
      <c r="H14" s="212">
        <f>D54</f>
        <v>77991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365024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>
        <f>1758+600+612</f>
        <v>2970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113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64"/>
      <c r="I19" s="264"/>
      <c r="J19" s="26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>
        <v>1</v>
      </c>
      <c r="D21" s="48">
        <f t="shared" si="1"/>
        <v>650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>
        <v>8</v>
      </c>
      <c r="D22" s="48">
        <f t="shared" si="1"/>
        <v>5360</v>
      </c>
      <c r="F22" s="77"/>
      <c r="G22" s="73"/>
      <c r="H22" s="193"/>
      <c r="I22" s="193"/>
      <c r="J22" s="193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101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93"/>
      <c r="G28" s="61"/>
      <c r="H28" s="204"/>
      <c r="I28" s="205"/>
      <c r="J28" s="206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443015</v>
      </c>
      <c r="F29" s="124" t="s">
        <v>55</v>
      </c>
      <c r="G29" s="186"/>
      <c r="H29" s="146">
        <f>H15-H16-H17-H18-H19-H20-H22-H23-H24+H26+H27</f>
        <v>362054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4">
        <v>78</v>
      </c>
      <c r="H34" s="168">
        <f>F34*G34</f>
        <v>78000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87</v>
      </c>
      <c r="H35" s="168">
        <f>F35*G35</f>
        <v>43500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 t="shared" ref="H36:H39" si="2"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680</v>
      </c>
      <c r="D37" s="12">
        <f>C37*111</f>
        <v>75480</v>
      </c>
      <c r="F37" s="12">
        <v>100</v>
      </c>
      <c r="G37" s="39">
        <v>10</v>
      </c>
      <c r="H37" s="168">
        <f t="shared" si="2"/>
        <v>1000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2</v>
      </c>
      <c r="D38" s="12">
        <f>C38*84</f>
        <v>168</v>
      </c>
      <c r="F38" s="30">
        <v>50</v>
      </c>
      <c r="G38" s="39">
        <v>1</v>
      </c>
      <c r="H38" s="168">
        <f t="shared" si="2"/>
        <v>50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21</v>
      </c>
      <c r="D39" s="31">
        <f>C39*4.5</f>
        <v>94.5</v>
      </c>
      <c r="F39" s="12">
        <v>20</v>
      </c>
      <c r="G39" s="37">
        <v>1</v>
      </c>
      <c r="H39" s="168">
        <f t="shared" si="2"/>
        <v>20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6</v>
      </c>
      <c r="D40" s="12">
        <f>C40*111</f>
        <v>666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>
        <v>6</v>
      </c>
      <c r="D41" s="12">
        <f>C41*84</f>
        <v>504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14</v>
      </c>
      <c r="D42" s="12">
        <f>C42*2.25</f>
        <v>31.5</v>
      </c>
      <c r="F42" s="39" t="s">
        <v>79</v>
      </c>
      <c r="G42" s="168">
        <v>47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4</v>
      </c>
      <c r="D44" s="12">
        <f>C44*120</f>
        <v>480</v>
      </c>
      <c r="F44" s="37" t="s">
        <v>145</v>
      </c>
      <c r="G44" s="76" t="s">
        <v>146</v>
      </c>
      <c r="H44" s="163">
        <v>54216</v>
      </c>
      <c r="I44" s="163"/>
      <c r="J44" s="163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39"/>
      <c r="B45" s="27" t="s">
        <v>68</v>
      </c>
      <c r="C45" s="33">
        <v>1</v>
      </c>
      <c r="D45" s="12">
        <f>C45*84</f>
        <v>84</v>
      </c>
      <c r="F45" s="37" t="s">
        <v>147</v>
      </c>
      <c r="G45" s="76" t="s">
        <v>148</v>
      </c>
      <c r="H45" s="163">
        <v>188602</v>
      </c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6</v>
      </c>
      <c r="D46" s="12">
        <f>C46*1.5</f>
        <v>9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2</v>
      </c>
      <c r="D49" s="12">
        <f>C49*42</f>
        <v>84</v>
      </c>
      <c r="F49" s="144" t="s">
        <v>86</v>
      </c>
      <c r="G49" s="146">
        <f>H34+H35+H36+H37+H38+H39+H40+H41+G42+H44+H45+H46</f>
        <v>365435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24</v>
      </c>
      <c r="D50" s="12">
        <f>C50*1.5</f>
        <v>36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149</v>
      </c>
      <c r="G51" s="154">
        <f>G49-H29</f>
        <v>3381</v>
      </c>
      <c r="H51" s="155"/>
      <c r="I51" s="155"/>
      <c r="J51" s="156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77991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06466-6A08-49B7-83C4-E2FBCF77C3D0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71" t="s">
        <v>7</v>
      </c>
      <c r="B4" s="172"/>
      <c r="C4" s="172"/>
      <c r="D4" s="173"/>
      <c r="F4" s="221" t="s">
        <v>8</v>
      </c>
      <c r="G4" s="223"/>
      <c r="H4" s="225" t="s">
        <v>9</v>
      </c>
      <c r="I4" s="227"/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6"/>
      <c r="B6" s="16"/>
      <c r="C6" s="10"/>
      <c r="D6" s="13">
        <f t="shared" ref="D6:D28" si="1">C6*L6</f>
        <v>0</v>
      </c>
      <c r="F6" s="231" t="s">
        <v>16</v>
      </c>
      <c r="G6" s="233"/>
      <c r="H6" s="234"/>
      <c r="I6" s="234"/>
      <c r="J6" s="23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6"/>
      <c r="B7" s="16"/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6"/>
      <c r="B8" s="16"/>
      <c r="C8" s="10"/>
      <c r="D8" s="13">
        <f t="shared" si="1"/>
        <v>0</v>
      </c>
      <c r="F8" s="239" t="s">
        <v>21</v>
      </c>
      <c r="G8" s="240"/>
      <c r="H8" s="241"/>
      <c r="I8" s="241"/>
      <c r="J8" s="24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6"/>
      <c r="B9" s="16"/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6"/>
      <c r="C10" s="10"/>
      <c r="D10" s="13">
        <f t="shared" si="1"/>
        <v>0</v>
      </c>
      <c r="F10" s="231" t="s">
        <v>26</v>
      </c>
      <c r="G10" s="246"/>
      <c r="H10" s="247"/>
      <c r="I10" s="247"/>
      <c r="J10" s="248"/>
      <c r="K10" s="8"/>
      <c r="L10" s="6">
        <f>R36</f>
        <v>972</v>
      </c>
      <c r="P10" s="4"/>
      <c r="Q10" s="4"/>
      <c r="R10" s="5"/>
    </row>
    <row r="11" spans="1:19" ht="15.75" x14ac:dyDescent="0.25">
      <c r="A11" s="166"/>
      <c r="B11" s="17"/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6"/>
      <c r="B12" s="17"/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6"/>
      <c r="B13" s="17"/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6"/>
      <c r="B14" s="14"/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6"/>
      <c r="B15" s="14"/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/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/>
      <c r="C19" s="10"/>
      <c r="D19" s="48">
        <f t="shared" si="1"/>
        <v>0</v>
      </c>
      <c r="F19" s="56"/>
      <c r="G19" s="68" t="s">
        <v>50</v>
      </c>
      <c r="H19" s="189"/>
      <c r="I19" s="189"/>
      <c r="J19" s="18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/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6"/>
      <c r="B22" s="46"/>
      <c r="C22" s="10"/>
      <c r="D22" s="48">
        <f t="shared" si="1"/>
        <v>0</v>
      </c>
      <c r="F22" s="77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/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/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6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/>
      <c r="C28" s="10"/>
      <c r="D28" s="48">
        <f t="shared" si="1"/>
        <v>0</v>
      </c>
      <c r="F28" s="93"/>
      <c r="G28" s="61"/>
      <c r="H28" s="204"/>
      <c r="I28" s="205"/>
      <c r="J28" s="206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/>
      <c r="I34" s="169"/>
      <c r="J34" s="170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/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/>
      <c r="I36" s="169"/>
      <c r="J36" s="170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/>
      <c r="I37" s="169"/>
      <c r="J37" s="170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/>
      <c r="I38" s="169"/>
      <c r="J38" s="170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/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P43" s="4"/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76"/>
      <c r="H44" s="163"/>
      <c r="I44" s="163"/>
      <c r="J44" s="163"/>
      <c r="K44" s="21"/>
      <c r="P44" s="4"/>
      <c r="Q44" s="4"/>
      <c r="R44" s="5"/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P50" s="4"/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128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EA96-5FED-46CD-9385-2C27C434BC0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1</v>
      </c>
      <c r="H4" s="225" t="s">
        <v>9</v>
      </c>
      <c r="I4" s="265">
        <v>46025</v>
      </c>
      <c r="J4" s="26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67"/>
      <c r="J5" s="26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84">
        <v>728</v>
      </c>
      <c r="D6" s="13">
        <f t="shared" ref="D6:D28" si="1">C6*L6</f>
        <v>554008</v>
      </c>
      <c r="F6" s="231" t="s">
        <v>16</v>
      </c>
      <c r="G6" s="233" t="s">
        <v>129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84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84">
        <v>60</v>
      </c>
      <c r="D8" s="13">
        <f t="shared" si="1"/>
        <v>65580</v>
      </c>
      <c r="F8" s="239" t="s">
        <v>21</v>
      </c>
      <c r="G8" s="240" t="s">
        <v>112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84">
        <v>9</v>
      </c>
      <c r="D9" s="13">
        <f t="shared" si="1"/>
        <v>6597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84">
        <v>5</v>
      </c>
      <c r="D10" s="13">
        <f t="shared" si="1"/>
        <v>5160</v>
      </c>
      <c r="F10" s="231" t="s">
        <v>26</v>
      </c>
      <c r="G10" s="246" t="s">
        <v>130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84">
        <v>16</v>
      </c>
      <c r="D11" s="13">
        <f t="shared" si="1"/>
        <v>18720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84">
        <f>23+3</f>
        <v>26</v>
      </c>
      <c r="D12" s="48">
        <f t="shared" si="1"/>
        <v>25792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84">
        <v>21</v>
      </c>
      <c r="D13" s="48">
        <f t="shared" si="1"/>
        <v>6447</v>
      </c>
      <c r="F13" s="252" t="s">
        <v>36</v>
      </c>
      <c r="G13" s="216"/>
      <c r="H13" s="207">
        <f>D29</f>
        <v>685162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84">
        <v>17</v>
      </c>
      <c r="D14" s="31">
        <f t="shared" si="1"/>
        <v>187</v>
      </c>
      <c r="F14" s="210" t="s">
        <v>39</v>
      </c>
      <c r="G14" s="211"/>
      <c r="H14" s="212">
        <f>D54</f>
        <v>145168.5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84">
        <v>1</v>
      </c>
      <c r="D15" s="31">
        <f t="shared" si="1"/>
        <v>620</v>
      </c>
      <c r="F15" s="215" t="s">
        <v>40</v>
      </c>
      <c r="G15" s="216"/>
      <c r="H15" s="217">
        <f>H13-H14</f>
        <v>539993.5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77">
        <f>2772</f>
        <v>2772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137</v>
      </c>
      <c r="C17" s="84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84">
        <v>2</v>
      </c>
      <c r="D18" s="48">
        <f t="shared" si="1"/>
        <v>1240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88"/>
      <c r="I19" s="188"/>
      <c r="J19" s="188"/>
      <c r="L19" s="6">
        <v>1102</v>
      </c>
      <c r="Q19" s="4"/>
      <c r="R19" s="5">
        <f t="shared" si="0"/>
        <v>0</v>
      </c>
    </row>
    <row r="20" spans="1:18" ht="15.75" x14ac:dyDescent="0.25">
      <c r="A20" s="166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135</v>
      </c>
      <c r="C21" s="84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127</v>
      </c>
      <c r="C22" s="84"/>
      <c r="D22" s="48">
        <f t="shared" si="1"/>
        <v>0</v>
      </c>
      <c r="F22" s="77"/>
      <c r="G22" s="73"/>
      <c r="H22" s="193"/>
      <c r="I22" s="193"/>
      <c r="J22" s="193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101</v>
      </c>
      <c r="C23" s="84"/>
      <c r="D23" s="48">
        <f t="shared" si="1"/>
        <v>0</v>
      </c>
      <c r="F23" s="77"/>
      <c r="G23" s="79"/>
      <c r="H23" s="259"/>
      <c r="I23" s="260"/>
      <c r="J23" s="26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121</v>
      </c>
      <c r="C24" s="84"/>
      <c r="D24" s="48">
        <f t="shared" si="1"/>
        <v>0</v>
      </c>
      <c r="F24" s="77"/>
      <c r="G24" s="79"/>
      <c r="H24" s="259"/>
      <c r="I24" s="260"/>
      <c r="J24" s="26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138</v>
      </c>
      <c r="C25" s="84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136</v>
      </c>
      <c r="C26" s="84"/>
      <c r="D26" s="48">
        <f t="shared" si="1"/>
        <v>0</v>
      </c>
      <c r="F26" s="75"/>
      <c r="G26" s="65"/>
      <c r="H26" s="163"/>
      <c r="I26" s="163"/>
      <c r="J26" s="163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110</v>
      </c>
      <c r="C27" s="84"/>
      <c r="D27" s="44">
        <f t="shared" si="1"/>
        <v>0</v>
      </c>
      <c r="F27" s="71"/>
      <c r="G27" s="90"/>
      <c r="H27" s="261"/>
      <c r="I27" s="262"/>
      <c r="J27" s="26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84">
        <v>1</v>
      </c>
      <c r="D28" s="48">
        <f t="shared" si="1"/>
        <v>811</v>
      </c>
      <c r="F28" s="93"/>
      <c r="G28" s="61"/>
      <c r="H28" s="204"/>
      <c r="I28" s="205"/>
      <c r="J28" s="206"/>
      <c r="L28" s="7"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685162</v>
      </c>
      <c r="F29" s="124" t="s">
        <v>55</v>
      </c>
      <c r="G29" s="186"/>
      <c r="H29" s="146">
        <f>H15-H16-H17-H18-H19-H20-H22-H23-H24+H26+H27+H28</f>
        <v>537221.5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>
        <v>18</v>
      </c>
      <c r="D34" s="30">
        <f>C34*120</f>
        <v>2160</v>
      </c>
      <c r="F34" s="12">
        <v>1000</v>
      </c>
      <c r="G34" s="40">
        <v>229</v>
      </c>
      <c r="H34" s="168">
        <f t="shared" ref="H34:H39" si="2">F34*G34</f>
        <v>229000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97</v>
      </c>
      <c r="H35" s="168">
        <f t="shared" si="2"/>
        <v>48500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 t="shared" si="2"/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1154</v>
      </c>
      <c r="D37" s="12">
        <f>C37*111</f>
        <v>128094</v>
      </c>
      <c r="F37" s="12">
        <v>100</v>
      </c>
      <c r="G37" s="39">
        <v>2</v>
      </c>
      <c r="H37" s="168">
        <f t="shared" si="2"/>
        <v>200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2</v>
      </c>
      <c r="D38" s="12">
        <f>C38*84</f>
        <v>168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16</v>
      </c>
      <c r="D39" s="31">
        <f>C39*4.5</f>
        <v>72</v>
      </c>
      <c r="F39" s="12">
        <v>20</v>
      </c>
      <c r="G39" s="37">
        <v>1</v>
      </c>
      <c r="H39" s="168">
        <f t="shared" si="2"/>
        <v>20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1</v>
      </c>
      <c r="D40" s="12">
        <f>C40*111</f>
        <v>111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107</v>
      </c>
      <c r="D44" s="12">
        <f>C44*120</f>
        <v>12840</v>
      </c>
      <c r="F44" s="37" t="s">
        <v>147</v>
      </c>
      <c r="G44" s="62" t="s">
        <v>151</v>
      </c>
      <c r="H44" s="163">
        <v>258954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3"/>
      <c r="I46" s="163"/>
      <c r="J46" s="163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20</v>
      </c>
      <c r="D48" s="12">
        <f>C48*78</f>
        <v>1560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1</v>
      </c>
      <c r="D49" s="12">
        <f>C49*42</f>
        <v>42</v>
      </c>
      <c r="F49" s="144" t="s">
        <v>86</v>
      </c>
      <c r="G49" s="146">
        <f>H34+H35+H36+H37+H38+H39+H40+H41+G42+H44+H45+H46</f>
        <v>536674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25</v>
      </c>
      <c r="D50" s="12">
        <f>C50*1.5</f>
        <v>37.5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131</v>
      </c>
      <c r="G51" s="253">
        <f>G49-H29</f>
        <v>-547.5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145168.5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D24F4-C6AF-4BD5-A56B-562B7C6DE13B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2</v>
      </c>
      <c r="H4" s="225" t="s">
        <v>9</v>
      </c>
      <c r="I4" s="265">
        <v>46025</v>
      </c>
      <c r="J4" s="26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67"/>
      <c r="J5" s="26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/>
      <c r="D6" s="13">
        <f t="shared" ref="D6:D28" si="1">C6*L6</f>
        <v>0</v>
      </c>
      <c r="F6" s="231" t="s">
        <v>16</v>
      </c>
      <c r="G6" s="233" t="s">
        <v>140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114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115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93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63"/>
      <c r="I19" s="263"/>
      <c r="J19" s="26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88"/>
      <c r="I20" s="188"/>
      <c r="J20" s="18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2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25"/>
      <c r="G23" s="37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123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93"/>
      <c r="G28" s="61"/>
      <c r="H28" s="204"/>
      <c r="I28" s="205"/>
      <c r="J28" s="206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>
        <f>F34*G34</f>
        <v>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>
        <f t="shared" ref="H35:H39" si="2">F35*G35</f>
        <v>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>
        <f t="shared" si="2"/>
        <v>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62"/>
      <c r="H44" s="163"/>
      <c r="I44" s="163"/>
      <c r="J44" s="163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91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142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3CDB-0E4E-4F8D-9CD8-0FDE4418508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3</v>
      </c>
      <c r="H4" s="225" t="s">
        <v>9</v>
      </c>
      <c r="I4" s="265">
        <v>46025</v>
      </c>
      <c r="J4" s="26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67"/>
      <c r="J5" s="26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v>480</v>
      </c>
      <c r="D6" s="13">
        <f t="shared" ref="D6:D28" si="1">C6*L6</f>
        <v>365280</v>
      </c>
      <c r="F6" s="231" t="s">
        <v>16</v>
      </c>
      <c r="G6" s="233" t="s">
        <v>111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>
        <v>15</v>
      </c>
      <c r="D7" s="13">
        <f t="shared" si="1"/>
        <v>11715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>
        <v>2</v>
      </c>
      <c r="D8" s="13">
        <f t="shared" si="1"/>
        <v>2186</v>
      </c>
      <c r="F8" s="239" t="s">
        <v>21</v>
      </c>
      <c r="G8" s="240" t="s">
        <v>119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37</v>
      </c>
      <c r="D9" s="13">
        <f t="shared" si="1"/>
        <v>27121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>
        <v>3</v>
      </c>
      <c r="D10" s="13">
        <f t="shared" si="1"/>
        <v>3096</v>
      </c>
      <c r="F10" s="231" t="s">
        <v>26</v>
      </c>
      <c r="G10" s="246" t="s">
        <v>134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>
        <v>2</v>
      </c>
      <c r="D11" s="13">
        <f t="shared" si="1"/>
        <v>2340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10</v>
      </c>
      <c r="D13" s="48">
        <f t="shared" si="1"/>
        <v>3070</v>
      </c>
      <c r="F13" s="252" t="s">
        <v>36</v>
      </c>
      <c r="G13" s="216"/>
      <c r="H13" s="207">
        <f>D29</f>
        <v>419083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/>
      <c r="D14" s="31">
        <f t="shared" si="1"/>
        <v>0</v>
      </c>
      <c r="F14" s="210" t="s">
        <v>39</v>
      </c>
      <c r="G14" s="211"/>
      <c r="H14" s="212">
        <f>D54</f>
        <v>68183.25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>
        <f>1</f>
        <v>1</v>
      </c>
      <c r="D15" s="31">
        <f t="shared" si="1"/>
        <v>620</v>
      </c>
      <c r="F15" s="215" t="s">
        <v>40</v>
      </c>
      <c r="G15" s="216"/>
      <c r="H15" s="217">
        <f>H13-H14</f>
        <v>350899.75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>
        <f>216*6+140*6</f>
        <v>2136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113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>
        <f>4</f>
        <v>4</v>
      </c>
      <c r="D18" s="48">
        <f t="shared" si="1"/>
        <v>2480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64"/>
      <c r="I19" s="264"/>
      <c r="J19" s="26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7" t="s">
        <v>154</v>
      </c>
      <c r="G22" s="73">
        <v>8243</v>
      </c>
      <c r="H22" s="193">
        <v>1440</v>
      </c>
      <c r="I22" s="193"/>
      <c r="J22" s="193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95" t="s">
        <v>150</v>
      </c>
      <c r="C23" s="10">
        <v>1</v>
      </c>
      <c r="D23" s="48">
        <f t="shared" si="1"/>
        <v>1175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101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93"/>
      <c r="G28" s="61"/>
      <c r="H28" s="204"/>
      <c r="I28" s="205"/>
      <c r="J28" s="206"/>
      <c r="L28" s="7">
        <v>820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419083</v>
      </c>
      <c r="F29" s="124" t="s">
        <v>55</v>
      </c>
      <c r="G29" s="186"/>
      <c r="H29" s="146">
        <f>H15-H16-H17-H18-H19-H20-H22-H23-H24+H26+H27</f>
        <v>347323.75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4">
        <v>133</v>
      </c>
      <c r="H34" s="168">
        <f>F34*G34</f>
        <v>133000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58</v>
      </c>
      <c r="H35" s="168">
        <f>F35*G35</f>
        <v>29000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 t="shared" ref="H36:H39" si="2"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567</v>
      </c>
      <c r="D37" s="12">
        <f>C37*111</f>
        <v>62937</v>
      </c>
      <c r="F37" s="12">
        <v>100</v>
      </c>
      <c r="G37" s="39"/>
      <c r="H37" s="168">
        <f t="shared" si="2"/>
        <v>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28</v>
      </c>
      <c r="D38" s="12">
        <f>C38*84</f>
        <v>2352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9</v>
      </c>
      <c r="D40" s="12">
        <f>C40*111</f>
        <v>999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7</v>
      </c>
      <c r="D42" s="12">
        <f>C42*2.25</f>
        <v>15.75</v>
      </c>
      <c r="F42" s="39" t="s">
        <v>79</v>
      </c>
      <c r="G42" s="168">
        <v>24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6</v>
      </c>
      <c r="D44" s="12">
        <f>C44*120</f>
        <v>720</v>
      </c>
      <c r="F44" s="37" t="s">
        <v>147</v>
      </c>
      <c r="G44" s="76" t="s">
        <v>152</v>
      </c>
      <c r="H44" s="163">
        <v>139104</v>
      </c>
      <c r="I44" s="163"/>
      <c r="J44" s="163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39"/>
      <c r="B45" s="27" t="s">
        <v>68</v>
      </c>
      <c r="C45" s="33">
        <v>2</v>
      </c>
      <c r="D45" s="12">
        <f>C45*84</f>
        <v>168</v>
      </c>
      <c r="F45" s="37" t="s">
        <v>153</v>
      </c>
      <c r="G45" s="76"/>
      <c r="H45" s="163">
        <v>45689</v>
      </c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19</v>
      </c>
      <c r="D46" s="12">
        <f>C46*1.5</f>
        <v>28.5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9</v>
      </c>
      <c r="D48" s="12">
        <f>C48*78</f>
        <v>702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1</v>
      </c>
      <c r="D49" s="12">
        <f>C49*42</f>
        <v>42</v>
      </c>
      <c r="F49" s="144" t="s">
        <v>86</v>
      </c>
      <c r="G49" s="146">
        <f>H34+H35+H36+H37+H38+H39+H40+H41+G42+H44+H45+H46</f>
        <v>346817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7</v>
      </c>
      <c r="D50" s="12">
        <f>C50*1.5</f>
        <v>10.5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139</v>
      </c>
      <c r="G51" s="253">
        <f>G49-H29</f>
        <v>-506.75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68183.25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2200-CFCC-42CF-BDB1-79F1895BAFA4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71" t="s">
        <v>7</v>
      </c>
      <c r="B4" s="172"/>
      <c r="C4" s="172"/>
      <c r="D4" s="173"/>
      <c r="F4" s="221" t="s">
        <v>8</v>
      </c>
      <c r="G4" s="223"/>
      <c r="H4" s="225" t="s">
        <v>9</v>
      </c>
      <c r="I4" s="227"/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6"/>
      <c r="B6" s="16"/>
      <c r="C6" s="10"/>
      <c r="D6" s="13">
        <f t="shared" ref="D6:D28" si="1">C6*L6</f>
        <v>0</v>
      </c>
      <c r="F6" s="231" t="s">
        <v>16</v>
      </c>
      <c r="G6" s="233"/>
      <c r="H6" s="234"/>
      <c r="I6" s="234"/>
      <c r="J6" s="23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6"/>
      <c r="B7" s="16"/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6"/>
      <c r="B8" s="16"/>
      <c r="C8" s="10"/>
      <c r="D8" s="13">
        <f t="shared" si="1"/>
        <v>0</v>
      </c>
      <c r="F8" s="239" t="s">
        <v>21</v>
      </c>
      <c r="G8" s="240"/>
      <c r="H8" s="241"/>
      <c r="I8" s="241"/>
      <c r="J8" s="24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6"/>
      <c r="B9" s="16"/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6"/>
      <c r="C10" s="10"/>
      <c r="D10" s="13">
        <f t="shared" si="1"/>
        <v>0</v>
      </c>
      <c r="F10" s="231" t="s">
        <v>26</v>
      </c>
      <c r="G10" s="246"/>
      <c r="H10" s="247"/>
      <c r="I10" s="247"/>
      <c r="J10" s="248"/>
      <c r="K10" s="8"/>
      <c r="L10" s="6">
        <f>R36</f>
        <v>972</v>
      </c>
      <c r="P10" s="4"/>
      <c r="Q10" s="4"/>
      <c r="R10" s="5"/>
    </row>
    <row r="11" spans="1:19" ht="15.75" x14ac:dyDescent="0.25">
      <c r="A11" s="166"/>
      <c r="B11" s="17"/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6"/>
      <c r="B12" s="17"/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6"/>
      <c r="B13" s="17"/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6"/>
      <c r="B14" s="14"/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6"/>
      <c r="B15" s="14"/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/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/>
      <c r="C19" s="10"/>
      <c r="D19" s="48">
        <f t="shared" si="1"/>
        <v>0</v>
      </c>
      <c r="F19" s="56"/>
      <c r="G19" s="68" t="s">
        <v>50</v>
      </c>
      <c r="H19" s="189"/>
      <c r="I19" s="189"/>
      <c r="J19" s="18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/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6"/>
      <c r="B22" s="46"/>
      <c r="C22" s="10"/>
      <c r="D22" s="48">
        <f t="shared" si="1"/>
        <v>0</v>
      </c>
      <c r="F22" s="77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/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/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6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/>
      <c r="C28" s="10"/>
      <c r="D28" s="48">
        <f t="shared" si="1"/>
        <v>0</v>
      </c>
      <c r="F28" s="93"/>
      <c r="G28" s="61"/>
      <c r="H28" s="204"/>
      <c r="I28" s="205"/>
      <c r="J28" s="206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/>
      <c r="I34" s="169"/>
      <c r="J34" s="170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/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/>
      <c r="I36" s="169"/>
      <c r="J36" s="170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/>
      <c r="I37" s="169"/>
      <c r="J37" s="170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/>
      <c r="I38" s="169"/>
      <c r="J38" s="170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/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P43" s="4"/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76"/>
      <c r="H44" s="163"/>
      <c r="I44" s="163"/>
      <c r="J44" s="163"/>
      <c r="K44" s="21"/>
      <c r="P44" s="4"/>
      <c r="Q44" s="4"/>
      <c r="R44" s="5"/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P50" s="4"/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128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8C2B7-E6D8-421C-A10E-78B57F50A687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1</v>
      </c>
      <c r="H4" s="225" t="s">
        <v>9</v>
      </c>
      <c r="I4" s="227">
        <v>46027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84">
        <v>463</v>
      </c>
      <c r="D6" s="13">
        <f t="shared" ref="D6:D28" si="1">C6*L6</f>
        <v>352343</v>
      </c>
      <c r="F6" s="231" t="s">
        <v>16</v>
      </c>
      <c r="G6" s="233" t="s">
        <v>129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84">
        <v>7</v>
      </c>
      <c r="D7" s="13">
        <f t="shared" si="1"/>
        <v>5467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84">
        <v>2</v>
      </c>
      <c r="D8" s="13">
        <f t="shared" si="1"/>
        <v>2186</v>
      </c>
      <c r="F8" s="239" t="s">
        <v>21</v>
      </c>
      <c r="G8" s="240" t="s">
        <v>112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84">
        <f>120-5</f>
        <v>115</v>
      </c>
      <c r="D9" s="13">
        <f t="shared" si="1"/>
        <v>84295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84">
        <v>2</v>
      </c>
      <c r="D10" s="13">
        <f t="shared" si="1"/>
        <v>2064</v>
      </c>
      <c r="F10" s="231" t="s">
        <v>26</v>
      </c>
      <c r="G10" s="246" t="s">
        <v>130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84">
        <v>2</v>
      </c>
      <c r="D11" s="13">
        <f t="shared" si="1"/>
        <v>2340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84">
        <v>2</v>
      </c>
      <c r="D12" s="48">
        <f t="shared" si="1"/>
        <v>1984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84">
        <v>24</v>
      </c>
      <c r="D13" s="48">
        <f t="shared" si="1"/>
        <v>7368</v>
      </c>
      <c r="F13" s="252" t="s">
        <v>36</v>
      </c>
      <c r="G13" s="216"/>
      <c r="H13" s="207">
        <f>D29</f>
        <v>463474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84">
        <v>12</v>
      </c>
      <c r="D14" s="31">
        <f t="shared" si="1"/>
        <v>132</v>
      </c>
      <c r="F14" s="210" t="s">
        <v>39</v>
      </c>
      <c r="G14" s="211"/>
      <c r="H14" s="212">
        <f>D54</f>
        <v>115968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84"/>
      <c r="D15" s="31">
        <f t="shared" si="1"/>
        <v>0</v>
      </c>
      <c r="F15" s="215" t="s">
        <v>40</v>
      </c>
      <c r="G15" s="216"/>
      <c r="H15" s="217">
        <f>H13-H14</f>
        <v>347506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77">
        <f>2592</f>
        <v>2592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137</v>
      </c>
      <c r="C17" s="84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84">
        <v>2</v>
      </c>
      <c r="D18" s="48">
        <f t="shared" si="1"/>
        <v>1240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88"/>
      <c r="I19" s="188"/>
      <c r="J19" s="188"/>
      <c r="L19" s="6">
        <v>1102</v>
      </c>
      <c r="Q19" s="4"/>
      <c r="R19" s="5">
        <f t="shared" si="0"/>
        <v>0</v>
      </c>
    </row>
    <row r="20" spans="1:18" ht="15.75" x14ac:dyDescent="0.25">
      <c r="A20" s="166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135</v>
      </c>
      <c r="C21" s="84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127</v>
      </c>
      <c r="C22" s="84"/>
      <c r="D22" s="48">
        <f t="shared" si="1"/>
        <v>0</v>
      </c>
      <c r="F22" s="77" t="s">
        <v>159</v>
      </c>
      <c r="G22" s="73">
        <v>8315</v>
      </c>
      <c r="H22" s="193">
        <v>92560</v>
      </c>
      <c r="I22" s="193"/>
      <c r="J22" s="193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101</v>
      </c>
      <c r="C23" s="84"/>
      <c r="D23" s="48">
        <f t="shared" si="1"/>
        <v>0</v>
      </c>
      <c r="F23" s="77"/>
      <c r="G23" s="79"/>
      <c r="H23" s="259"/>
      <c r="I23" s="260"/>
      <c r="J23" s="26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121</v>
      </c>
      <c r="C24" s="84"/>
      <c r="D24" s="48">
        <f t="shared" si="1"/>
        <v>0</v>
      </c>
      <c r="F24" s="77"/>
      <c r="G24" s="79"/>
      <c r="H24" s="259"/>
      <c r="I24" s="260"/>
      <c r="J24" s="26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138</v>
      </c>
      <c r="C25" s="84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136</v>
      </c>
      <c r="C26" s="84"/>
      <c r="D26" s="48">
        <f t="shared" si="1"/>
        <v>0</v>
      </c>
      <c r="F26" s="75" t="s">
        <v>159</v>
      </c>
      <c r="G26" s="65">
        <v>8042</v>
      </c>
      <c r="H26" s="163">
        <v>84449</v>
      </c>
      <c r="I26" s="163"/>
      <c r="J26" s="163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110</v>
      </c>
      <c r="C27" s="84"/>
      <c r="D27" s="44">
        <f t="shared" si="1"/>
        <v>0</v>
      </c>
      <c r="F27" s="71"/>
      <c r="G27" s="90"/>
      <c r="H27" s="261"/>
      <c r="I27" s="262"/>
      <c r="J27" s="26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84">
        <v>5</v>
      </c>
      <c r="D28" s="48">
        <f t="shared" si="1"/>
        <v>4055</v>
      </c>
      <c r="F28" s="93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463474</v>
      </c>
      <c r="F29" s="124" t="s">
        <v>55</v>
      </c>
      <c r="G29" s="186"/>
      <c r="H29" s="146">
        <f>H15-H16-H17-H18-H19-H20-H22-H23-H24+H26+H27+H28</f>
        <v>336803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40">
        <v>19</v>
      </c>
      <c r="H34" s="168">
        <f t="shared" ref="H34:H39" si="2">F34*G34</f>
        <v>19000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1</v>
      </c>
      <c r="H35" s="168">
        <f t="shared" si="2"/>
        <v>500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>
        <v>11</v>
      </c>
      <c r="D36" s="12">
        <f>C36*1.5</f>
        <v>16.5</v>
      </c>
      <c r="F36" s="12">
        <v>200</v>
      </c>
      <c r="G36" s="37"/>
      <c r="H36" s="168">
        <f t="shared" si="2"/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1013</v>
      </c>
      <c r="D37" s="12">
        <f>C37*111</f>
        <v>112443</v>
      </c>
      <c r="F37" s="12">
        <v>100</v>
      </c>
      <c r="G37" s="39">
        <v>3</v>
      </c>
      <c r="H37" s="168">
        <f t="shared" si="2"/>
        <v>300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12</v>
      </c>
      <c r="D38" s="12">
        <f>C38*84</f>
        <v>1008</v>
      </c>
      <c r="F38" s="30">
        <v>50</v>
      </c>
      <c r="G38" s="39">
        <v>2</v>
      </c>
      <c r="H38" s="168">
        <f t="shared" si="2"/>
        <v>100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7</v>
      </c>
      <c r="D40" s="12">
        <f>C40*111</f>
        <v>777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>
        <v>8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5</v>
      </c>
      <c r="D44" s="12">
        <f>C44*120</f>
        <v>600</v>
      </c>
      <c r="F44" s="37" t="s">
        <v>147</v>
      </c>
      <c r="G44" s="62" t="s">
        <v>157</v>
      </c>
      <c r="H44" s="163">
        <v>188388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>
        <v>4</v>
      </c>
      <c r="D45" s="12">
        <f>C45*84</f>
        <v>336</v>
      </c>
      <c r="F45" s="37" t="s">
        <v>156</v>
      </c>
      <c r="G45" s="96" t="s">
        <v>158</v>
      </c>
      <c r="H45" s="163">
        <v>84449</v>
      </c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21</v>
      </c>
      <c r="D46" s="12">
        <f>C46*1.5</f>
        <v>31.5</v>
      </c>
      <c r="F46" s="37"/>
      <c r="G46" s="62"/>
      <c r="H46" s="163"/>
      <c r="I46" s="163"/>
      <c r="J46" s="163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6</v>
      </c>
      <c r="D48" s="12">
        <f>C48*78</f>
        <v>468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1</v>
      </c>
      <c r="D49" s="12">
        <f>C49*42</f>
        <v>42</v>
      </c>
      <c r="F49" s="144" t="s">
        <v>86</v>
      </c>
      <c r="G49" s="146">
        <f>H34+H35+H36+H37+H38+H39+H40+H41+G42+H44+H45+H46</f>
        <v>292745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22</v>
      </c>
      <c r="D50" s="12">
        <f>C50*1.5</f>
        <v>33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131</v>
      </c>
      <c r="G51" s="253">
        <f>G49-H29</f>
        <v>-44058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115968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4E513-35E2-436E-AD64-FF7682C2A9B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2</v>
      </c>
      <c r="H4" s="225" t="s">
        <v>9</v>
      </c>
      <c r="I4" s="227">
        <v>46027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v>501</v>
      </c>
      <c r="D6" s="13">
        <f t="shared" ref="D6:D28" si="1">C6*L6</f>
        <v>381261</v>
      </c>
      <c r="F6" s="231" t="s">
        <v>16</v>
      </c>
      <c r="G6" s="233" t="s">
        <v>155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114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8</v>
      </c>
      <c r="D9" s="13">
        <f t="shared" si="1"/>
        <v>5864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115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18</v>
      </c>
      <c r="D13" s="48">
        <f t="shared" si="1"/>
        <v>5526</v>
      </c>
      <c r="F13" s="252" t="s">
        <v>36</v>
      </c>
      <c r="G13" s="216"/>
      <c r="H13" s="207">
        <f>D29</f>
        <v>392761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10</v>
      </c>
      <c r="D14" s="31">
        <f t="shared" si="1"/>
        <v>110</v>
      </c>
      <c r="F14" s="210" t="s">
        <v>39</v>
      </c>
      <c r="G14" s="211"/>
      <c r="H14" s="212">
        <f>D54</f>
        <v>57342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335419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>
        <f>1296+1284</f>
        <v>2580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93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63"/>
      <c r="I19" s="263"/>
      <c r="J19" s="26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88"/>
      <c r="I20" s="188"/>
      <c r="J20" s="18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2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25"/>
      <c r="G23" s="37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123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93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392761</v>
      </c>
      <c r="F29" s="124" t="s">
        <v>55</v>
      </c>
      <c r="G29" s="186"/>
      <c r="H29" s="146">
        <f>H15-H16-H17-H18-H19-H20-H22-H23-H24+H26+H27</f>
        <v>332839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186</v>
      </c>
      <c r="H34" s="168">
        <f>F34*G34</f>
        <v>186000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13</v>
      </c>
      <c r="H35" s="168">
        <f t="shared" ref="H35:H39" si="2">F35*G35</f>
        <v>6500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509</v>
      </c>
      <c r="D37" s="12">
        <f>C37*111</f>
        <v>56499</v>
      </c>
      <c r="F37" s="12">
        <v>100</v>
      </c>
      <c r="G37" s="39">
        <v>3</v>
      </c>
      <c r="H37" s="168">
        <f t="shared" si="2"/>
        <v>300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>
        <v>1</v>
      </c>
      <c r="H38" s="168">
        <f t="shared" si="2"/>
        <v>50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>
        <v>32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 t="s">
        <v>147</v>
      </c>
      <c r="G44" s="62" t="s">
        <v>160</v>
      </c>
      <c r="H44" s="163">
        <v>139756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91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7</v>
      </c>
      <c r="D48" s="12">
        <f>C48*78</f>
        <v>546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6</v>
      </c>
      <c r="D49" s="12">
        <f>C49*42</f>
        <v>252</v>
      </c>
      <c r="F49" s="144" t="s">
        <v>86</v>
      </c>
      <c r="G49" s="146">
        <f>H34+H35+H36+H37+H38+H39+H40+H41+G42+H44+H45+H46</f>
        <v>332638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30</v>
      </c>
      <c r="D50" s="12">
        <f>C50*1.5</f>
        <v>45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161</v>
      </c>
      <c r="G51" s="253">
        <f>G49-H29</f>
        <v>-201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57342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FC99D-FE27-483E-A38C-5058B5372F3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3</v>
      </c>
      <c r="H4" s="225" t="s">
        <v>9</v>
      </c>
      <c r="I4" s="227">
        <v>46027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v>735</v>
      </c>
      <c r="D6" s="13">
        <f t="shared" ref="D6:D28" si="1">C6*L6</f>
        <v>559335</v>
      </c>
      <c r="F6" s="231" t="s">
        <v>16</v>
      </c>
      <c r="G6" s="233" t="s">
        <v>111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>
        <v>4</v>
      </c>
      <c r="D7" s="13">
        <f t="shared" si="1"/>
        <v>3124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>
        <v>1</v>
      </c>
      <c r="D8" s="13">
        <f t="shared" si="1"/>
        <v>1093</v>
      </c>
      <c r="F8" s="239" t="s">
        <v>21</v>
      </c>
      <c r="G8" s="240" t="s">
        <v>119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114</v>
      </c>
      <c r="D9" s="13">
        <f t="shared" si="1"/>
        <v>83562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>
        <v>3</v>
      </c>
      <c r="D10" s="13">
        <f t="shared" si="1"/>
        <v>3096</v>
      </c>
      <c r="F10" s="231" t="s">
        <v>26</v>
      </c>
      <c r="G10" s="246" t="s">
        <v>134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>
        <v>2</v>
      </c>
      <c r="D11" s="13">
        <f t="shared" si="1"/>
        <v>2340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>
        <f>5+1</f>
        <v>6</v>
      </c>
      <c r="D12" s="48">
        <f t="shared" si="1"/>
        <v>5952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22</v>
      </c>
      <c r="D13" s="48">
        <f t="shared" si="1"/>
        <v>6754</v>
      </c>
      <c r="F13" s="252" t="s">
        <v>36</v>
      </c>
      <c r="G13" s="216"/>
      <c r="H13" s="207">
        <f>D29</f>
        <v>667630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12</v>
      </c>
      <c r="D14" s="31">
        <f t="shared" si="1"/>
        <v>132</v>
      </c>
      <c r="F14" s="210" t="s">
        <v>39</v>
      </c>
      <c r="G14" s="211"/>
      <c r="H14" s="212">
        <f>D54</f>
        <v>100451.25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567178.75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>
        <f>600+1050+456</f>
        <v>2106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113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>
        <v>1</v>
      </c>
      <c r="D18" s="48">
        <f t="shared" si="1"/>
        <v>620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64">
        <v>50</v>
      </c>
      <c r="I19" s="264"/>
      <c r="J19" s="26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7"/>
      <c r="G22" s="73"/>
      <c r="H22" s="193"/>
      <c r="I22" s="193"/>
      <c r="J22" s="193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101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>
        <v>2</v>
      </c>
      <c r="D28" s="48">
        <f t="shared" si="1"/>
        <v>1622</v>
      </c>
      <c r="F28" s="93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667630</v>
      </c>
      <c r="F29" s="124" t="s">
        <v>55</v>
      </c>
      <c r="G29" s="186"/>
      <c r="H29" s="146">
        <f>H15-H16-H17-H18-H19-H20-H22-H23-H24+H26+H27</f>
        <v>565022.75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74">
        <v>242</v>
      </c>
      <c r="H34" s="168">
        <f>F34*G34</f>
        <v>242000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135</v>
      </c>
      <c r="H35" s="168">
        <f>F35*G35</f>
        <v>67500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>
        <v>1</v>
      </c>
      <c r="D36" s="12">
        <f>C36*1.5</f>
        <v>1.5</v>
      </c>
      <c r="F36" s="12">
        <v>200</v>
      </c>
      <c r="G36" s="37"/>
      <c r="H36" s="168">
        <f t="shared" ref="H36:H39" si="2"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853</v>
      </c>
      <c r="D37" s="12">
        <f>C37*111</f>
        <v>94683</v>
      </c>
      <c r="F37" s="12">
        <v>100</v>
      </c>
      <c r="G37" s="39">
        <v>10</v>
      </c>
      <c r="H37" s="168">
        <f t="shared" si="2"/>
        <v>1000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8</v>
      </c>
      <c r="D38" s="12">
        <f>C38*84</f>
        <v>672</v>
      </c>
      <c r="F38" s="30">
        <v>50</v>
      </c>
      <c r="G38" s="39">
        <v>1</v>
      </c>
      <c r="H38" s="168">
        <f t="shared" si="2"/>
        <v>50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4</v>
      </c>
      <c r="D39" s="31">
        <f>C39*4.5</f>
        <v>18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22</v>
      </c>
      <c r="D40" s="12">
        <f>C40*111</f>
        <v>2442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9</v>
      </c>
      <c r="D42" s="12">
        <f>C42*2.25</f>
        <v>20.25</v>
      </c>
      <c r="F42" s="39" t="s">
        <v>79</v>
      </c>
      <c r="G42" s="168">
        <v>58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8</v>
      </c>
      <c r="D44" s="12">
        <f>C44*120</f>
        <v>960</v>
      </c>
      <c r="F44" s="37" t="s">
        <v>147</v>
      </c>
      <c r="G44" s="76" t="s">
        <v>163</v>
      </c>
      <c r="H44" s="163">
        <v>112763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>
        <v>3</v>
      </c>
      <c r="D45" s="12">
        <f>C45*84</f>
        <v>252</v>
      </c>
      <c r="F45" s="97" t="s">
        <v>162</v>
      </c>
      <c r="G45" s="76" t="s">
        <v>164</v>
      </c>
      <c r="H45" s="163">
        <v>142785</v>
      </c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4</v>
      </c>
      <c r="D46" s="12">
        <f>C46*1.5</f>
        <v>6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7</v>
      </c>
      <c r="D48" s="12">
        <f>C48*78</f>
        <v>546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12</v>
      </c>
      <c r="D49" s="12">
        <f>C49*42</f>
        <v>504</v>
      </c>
      <c r="F49" s="144" t="s">
        <v>86</v>
      </c>
      <c r="G49" s="146">
        <f>H34+H35+H36+H37+H38+H39+H40+H41+G42+H44+H45+H46</f>
        <v>566156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15</v>
      </c>
      <c r="D50" s="12">
        <f>C50*1.5</f>
        <v>22.5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149</v>
      </c>
      <c r="G51" s="154">
        <f>G49-H29</f>
        <v>1133.25</v>
      </c>
      <c r="H51" s="155"/>
      <c r="I51" s="155"/>
      <c r="J51" s="156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100451.25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BFF7F-3EE5-4E6C-9A10-7EFD9C0D88FC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71" t="s">
        <v>7</v>
      </c>
      <c r="B4" s="172"/>
      <c r="C4" s="172"/>
      <c r="D4" s="173"/>
      <c r="F4" s="221" t="s">
        <v>8</v>
      </c>
      <c r="G4" s="223"/>
      <c r="H4" s="225" t="s">
        <v>9</v>
      </c>
      <c r="I4" s="227"/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6"/>
      <c r="B6" s="16"/>
      <c r="C6" s="10"/>
      <c r="D6" s="13">
        <f t="shared" ref="D6:D28" si="1">C6*L6</f>
        <v>0</v>
      </c>
      <c r="F6" s="231" t="s">
        <v>16</v>
      </c>
      <c r="G6" s="233"/>
      <c r="H6" s="234"/>
      <c r="I6" s="234"/>
      <c r="J6" s="23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6"/>
      <c r="B7" s="16"/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6"/>
      <c r="B8" s="16"/>
      <c r="C8" s="10"/>
      <c r="D8" s="13">
        <f t="shared" si="1"/>
        <v>0</v>
      </c>
      <c r="F8" s="239" t="s">
        <v>21</v>
      </c>
      <c r="G8" s="240"/>
      <c r="H8" s="241"/>
      <c r="I8" s="241"/>
      <c r="J8" s="24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6"/>
      <c r="B9" s="16"/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6"/>
      <c r="C10" s="10"/>
      <c r="D10" s="13">
        <f t="shared" si="1"/>
        <v>0</v>
      </c>
      <c r="F10" s="231" t="s">
        <v>26</v>
      </c>
      <c r="G10" s="246"/>
      <c r="H10" s="247"/>
      <c r="I10" s="247"/>
      <c r="J10" s="248"/>
      <c r="K10" s="8"/>
      <c r="L10" s="6">
        <f>R36</f>
        <v>972</v>
      </c>
      <c r="P10" s="4"/>
      <c r="Q10" s="4"/>
      <c r="R10" s="5"/>
    </row>
    <row r="11" spans="1:19" ht="15.75" x14ac:dyDescent="0.25">
      <c r="A11" s="166"/>
      <c r="B11" s="17"/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6"/>
      <c r="B12" s="17"/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6"/>
      <c r="B13" s="17"/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6"/>
      <c r="B14" s="14"/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6"/>
      <c r="B15" s="14"/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/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/>
      <c r="C19" s="10"/>
      <c r="D19" s="48">
        <f t="shared" si="1"/>
        <v>0</v>
      </c>
      <c r="F19" s="56"/>
      <c r="G19" s="68" t="s">
        <v>50</v>
      </c>
      <c r="H19" s="189"/>
      <c r="I19" s="189"/>
      <c r="J19" s="18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/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6"/>
      <c r="B22" s="46"/>
      <c r="C22" s="10"/>
      <c r="D22" s="48">
        <f t="shared" si="1"/>
        <v>0</v>
      </c>
      <c r="F22" s="77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/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/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6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/>
      <c r="C28" s="10"/>
      <c r="D28" s="48">
        <f t="shared" si="1"/>
        <v>0</v>
      </c>
      <c r="F28" s="93"/>
      <c r="G28" s="61"/>
      <c r="H28" s="204"/>
      <c r="I28" s="205"/>
      <c r="J28" s="206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/>
      <c r="I34" s="169"/>
      <c r="J34" s="170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/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/>
      <c r="I36" s="169"/>
      <c r="J36" s="170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/>
      <c r="I37" s="169"/>
      <c r="J37" s="170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/>
      <c r="I38" s="169"/>
      <c r="J38" s="170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/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P43" s="4"/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76"/>
      <c r="H44" s="163"/>
      <c r="I44" s="163"/>
      <c r="J44" s="163"/>
      <c r="K44" s="21"/>
      <c r="P44" s="4"/>
      <c r="Q44" s="4"/>
      <c r="R44" s="5"/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P50" s="4"/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128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35C8-4A98-49E5-AB0F-A1AB14D62548}">
  <dimension ref="A1:R59"/>
  <sheetViews>
    <sheetView zoomScaleNormal="100" zoomScaleSheetLayoutView="85" workbookViewId="0">
      <selection activeCell="L25" sqref="L2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1</v>
      </c>
      <c r="H4" s="225" t="s">
        <v>9</v>
      </c>
      <c r="I4" s="227">
        <v>46028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84">
        <v>633</v>
      </c>
      <c r="D6" s="13">
        <f t="shared" ref="D6:D28" si="1">C6*L6</f>
        <v>481713</v>
      </c>
      <c r="F6" s="231" t="s">
        <v>16</v>
      </c>
      <c r="G6" s="233" t="s">
        <v>129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84">
        <v>2</v>
      </c>
      <c r="D7" s="13">
        <f t="shared" si="1"/>
        <v>1562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84">
        <v>1</v>
      </c>
      <c r="D8" s="13">
        <f t="shared" si="1"/>
        <v>1093</v>
      </c>
      <c r="F8" s="239" t="s">
        <v>21</v>
      </c>
      <c r="G8" s="240" t="s">
        <v>112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84">
        <v>27</v>
      </c>
      <c r="D9" s="13">
        <f t="shared" si="1"/>
        <v>19791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84">
        <v>1</v>
      </c>
      <c r="D10" s="13">
        <f t="shared" si="1"/>
        <v>1032</v>
      </c>
      <c r="F10" s="231" t="s">
        <v>26</v>
      </c>
      <c r="G10" s="246" t="s">
        <v>130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84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84">
        <v>1</v>
      </c>
      <c r="D12" s="48">
        <f t="shared" si="1"/>
        <v>992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84">
        <v>9</v>
      </c>
      <c r="D13" s="48">
        <f t="shared" si="1"/>
        <v>2763</v>
      </c>
      <c r="F13" s="252" t="s">
        <v>36</v>
      </c>
      <c r="G13" s="216"/>
      <c r="H13" s="207">
        <f>D29</f>
        <v>509943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84"/>
      <c r="D14" s="31">
        <f t="shared" si="1"/>
        <v>0</v>
      </c>
      <c r="F14" s="210" t="s">
        <v>39</v>
      </c>
      <c r="G14" s="211"/>
      <c r="H14" s="212">
        <f>D54</f>
        <v>74673.75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84"/>
      <c r="D15" s="31">
        <f t="shared" si="1"/>
        <v>0</v>
      </c>
      <c r="F15" s="215" t="s">
        <v>40</v>
      </c>
      <c r="G15" s="216"/>
      <c r="H15" s="217">
        <f>H13-H14</f>
        <v>435269.25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137</v>
      </c>
      <c r="C17" s="84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88"/>
      <c r="I19" s="188"/>
      <c r="J19" s="188"/>
      <c r="L19" s="6">
        <v>1102</v>
      </c>
      <c r="Q19" s="4"/>
      <c r="R19" s="5">
        <f t="shared" si="0"/>
        <v>0</v>
      </c>
    </row>
    <row r="20" spans="1:18" ht="15.75" x14ac:dyDescent="0.25">
      <c r="A20" s="166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135</v>
      </c>
      <c r="C21" s="84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127</v>
      </c>
      <c r="C22" s="84"/>
      <c r="D22" s="48">
        <f t="shared" si="1"/>
        <v>0</v>
      </c>
      <c r="F22" s="77"/>
      <c r="G22" s="73"/>
      <c r="H22" s="193"/>
      <c r="I22" s="193"/>
      <c r="J22" s="193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169</v>
      </c>
      <c r="C23" s="84">
        <v>12</v>
      </c>
      <c r="D23" s="48">
        <f t="shared" si="1"/>
        <v>454</v>
      </c>
      <c r="F23" s="77"/>
      <c r="G23" s="79"/>
      <c r="H23" s="259"/>
      <c r="I23" s="260"/>
      <c r="J23" s="260"/>
      <c r="L23" s="47">
        <f>872/24+1.5</f>
        <v>37.833333333333336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121</v>
      </c>
      <c r="C24" s="84"/>
      <c r="D24" s="48">
        <f t="shared" si="1"/>
        <v>0</v>
      </c>
      <c r="F24" s="77"/>
      <c r="G24" s="79"/>
      <c r="H24" s="259"/>
      <c r="I24" s="260"/>
      <c r="J24" s="26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168</v>
      </c>
      <c r="C25" s="84">
        <v>12</v>
      </c>
      <c r="D25" s="48">
        <f t="shared" si="1"/>
        <v>543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1050/24+1.5</f>
        <v>45.25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136</v>
      </c>
      <c r="C26" s="84"/>
      <c r="D26" s="48">
        <f t="shared" si="1"/>
        <v>0</v>
      </c>
      <c r="F26" s="75"/>
      <c r="G26" s="65"/>
      <c r="H26" s="163"/>
      <c r="I26" s="163"/>
      <c r="J26" s="163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110</v>
      </c>
      <c r="C27" s="84"/>
      <c r="D27" s="44">
        <f t="shared" si="1"/>
        <v>0</v>
      </c>
      <c r="F27" s="71"/>
      <c r="G27" s="90"/>
      <c r="H27" s="261"/>
      <c r="I27" s="262"/>
      <c r="J27" s="26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84"/>
      <c r="D28" s="48">
        <f t="shared" si="1"/>
        <v>0</v>
      </c>
      <c r="F28" s="93"/>
      <c r="G28" s="61"/>
      <c r="H28" s="204"/>
      <c r="I28" s="205"/>
      <c r="J28" s="206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509943</v>
      </c>
      <c r="F29" s="124" t="s">
        <v>55</v>
      </c>
      <c r="G29" s="186"/>
      <c r="H29" s="146">
        <f>H15-H16-H17-H18-H19-H20-H22-H23-H24+H26+H27+H28</f>
        <v>435269.25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225</v>
      </c>
      <c r="H34" s="168">
        <f t="shared" ref="H34:H39" si="2">F34*G34</f>
        <v>225000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300</v>
      </c>
      <c r="H35" s="168">
        <f t="shared" si="2"/>
        <v>150000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168">
        <f t="shared" si="2"/>
        <v>200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641</v>
      </c>
      <c r="D37" s="12">
        <f>C37*111</f>
        <v>71151</v>
      </c>
      <c r="F37" s="12">
        <v>100</v>
      </c>
      <c r="G37" s="39">
        <v>36</v>
      </c>
      <c r="H37" s="168">
        <f t="shared" si="2"/>
        <v>3600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12</v>
      </c>
      <c r="D38" s="12">
        <f>C38*84</f>
        <v>1008</v>
      </c>
      <c r="F38" s="30">
        <v>50</v>
      </c>
      <c r="G38" s="39">
        <v>10</v>
      </c>
      <c r="H38" s="168">
        <f t="shared" si="2"/>
        <v>500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9</v>
      </c>
      <c r="D39" s="31">
        <f>C39*4.5</f>
        <v>40.5</v>
      </c>
      <c r="F39" s="12">
        <v>20</v>
      </c>
      <c r="G39" s="37">
        <v>1</v>
      </c>
      <c r="H39" s="168">
        <f t="shared" si="2"/>
        <v>20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12</v>
      </c>
      <c r="D40" s="12">
        <f>C40*111</f>
        <v>1332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11</v>
      </c>
      <c r="D42" s="12">
        <f>C42*2.25</f>
        <v>24.75</v>
      </c>
      <c r="F42" s="39" t="s">
        <v>79</v>
      </c>
      <c r="G42" s="168">
        <v>72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3</v>
      </c>
      <c r="D44" s="12">
        <f>C44*120</f>
        <v>360</v>
      </c>
      <c r="F44" s="37" t="s">
        <v>153</v>
      </c>
      <c r="G44" s="62"/>
      <c r="H44" s="163">
        <v>56000</v>
      </c>
      <c r="I44" s="163"/>
      <c r="J44" s="163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39"/>
      <c r="B45" s="27" t="s">
        <v>68</v>
      </c>
      <c r="C45" s="33">
        <v>1</v>
      </c>
      <c r="D45" s="12">
        <f>C45*84</f>
        <v>84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3</v>
      </c>
      <c r="D46" s="12">
        <f>C46*1.5</f>
        <v>4.5</v>
      </c>
      <c r="F46" s="37"/>
      <c r="G46" s="62"/>
      <c r="H46" s="163"/>
      <c r="I46" s="163"/>
      <c r="J46" s="163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6</v>
      </c>
      <c r="D48" s="12">
        <f>C48*78</f>
        <v>468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435392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22</v>
      </c>
      <c r="D50" s="12">
        <f>C50*1.5</f>
        <v>33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149</v>
      </c>
      <c r="G51" s="154">
        <f>G49-H29</f>
        <v>122.75</v>
      </c>
      <c r="H51" s="155"/>
      <c r="I51" s="155"/>
      <c r="J51" s="156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74673.75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D703-BF79-43EA-99D6-F42943139DC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2</v>
      </c>
      <c r="H4" s="225" t="s">
        <v>9</v>
      </c>
      <c r="I4" s="227">
        <v>46028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v>581</v>
      </c>
      <c r="D6" s="13">
        <f t="shared" ref="D6:D28" si="1">C6*L6</f>
        <v>442141</v>
      </c>
      <c r="F6" s="231" t="s">
        <v>16</v>
      </c>
      <c r="G6" s="233" t="s">
        <v>140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>
        <v>3</v>
      </c>
      <c r="D7" s="13">
        <f t="shared" si="1"/>
        <v>2343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114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41</v>
      </c>
      <c r="D9" s="13">
        <f t="shared" si="1"/>
        <v>30053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115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>
        <v>2</v>
      </c>
      <c r="D12" s="48">
        <f t="shared" si="1"/>
        <v>1984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17</v>
      </c>
      <c r="D13" s="48">
        <f t="shared" si="1"/>
        <v>5219</v>
      </c>
      <c r="F13" s="252" t="s">
        <v>36</v>
      </c>
      <c r="G13" s="216"/>
      <c r="H13" s="207">
        <f>D29</f>
        <v>486638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1</v>
      </c>
      <c r="D14" s="31">
        <f t="shared" si="1"/>
        <v>11</v>
      </c>
      <c r="F14" s="210" t="s">
        <v>39</v>
      </c>
      <c r="G14" s="211"/>
      <c r="H14" s="212">
        <f>D54</f>
        <v>85668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>
        <v>1</v>
      </c>
      <c r="D15" s="31">
        <f t="shared" si="1"/>
        <v>620</v>
      </c>
      <c r="F15" s="215" t="s">
        <v>40</v>
      </c>
      <c r="G15" s="216"/>
      <c r="H15" s="217">
        <f>H13-H14</f>
        <v>400970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>
        <f>324*6+201*6</f>
        <v>3150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93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63"/>
      <c r="I19" s="263"/>
      <c r="J19" s="26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88"/>
      <c r="I20" s="188"/>
      <c r="J20" s="18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135</v>
      </c>
      <c r="C21" s="10">
        <f>3+1</f>
        <v>4</v>
      </c>
      <c r="D21" s="48">
        <f t="shared" si="1"/>
        <v>2600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2" t="s">
        <v>166</v>
      </c>
      <c r="G22" s="73">
        <v>8133</v>
      </c>
      <c r="H22" s="193">
        <v>131647</v>
      </c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25"/>
      <c r="G23" s="37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101</v>
      </c>
      <c r="C24" s="10">
        <v>1</v>
      </c>
      <c r="D24" s="48">
        <f t="shared" si="1"/>
        <v>1667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93"/>
      <c r="G28" s="61"/>
      <c r="H28" s="204"/>
      <c r="I28" s="205"/>
      <c r="J28" s="206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486638</v>
      </c>
      <c r="F29" s="124" t="s">
        <v>55</v>
      </c>
      <c r="G29" s="186"/>
      <c r="H29" s="146">
        <f>H15-H16-H17-H18-H19-H20-H22-H23-H24+H26+H27</f>
        <v>266173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39</v>
      </c>
      <c r="H34" s="168">
        <f>F34*G34</f>
        <v>39000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45</v>
      </c>
      <c r="H35" s="168">
        <f t="shared" ref="H35:H37" si="2">F35*G35</f>
        <v>22500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168">
        <f>F36*G36</f>
        <v>200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758</v>
      </c>
      <c r="D37" s="12">
        <f>C37*111</f>
        <v>84138</v>
      </c>
      <c r="F37" s="12">
        <v>100</v>
      </c>
      <c r="G37" s="39">
        <v>40</v>
      </c>
      <c r="H37" s="168">
        <f t="shared" si="2"/>
        <v>4000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6</v>
      </c>
      <c r="H38" s="168">
        <f t="shared" ref="H38:H39" si="3">F38*G38</f>
        <v>300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>
        <v>1</v>
      </c>
      <c r="H39" s="168">
        <f t="shared" si="3"/>
        <v>20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2</v>
      </c>
      <c r="D40" s="12">
        <f>C40*111</f>
        <v>222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2</v>
      </c>
      <c r="D42" s="12">
        <f>C42*2.25</f>
        <v>4.5</v>
      </c>
      <c r="F42" s="39" t="s">
        <v>79</v>
      </c>
      <c r="G42" s="168">
        <v>18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3</v>
      </c>
      <c r="D44" s="12">
        <f>C44*120</f>
        <v>360</v>
      </c>
      <c r="F44" s="37" t="s">
        <v>147</v>
      </c>
      <c r="G44" s="62" t="s">
        <v>165</v>
      </c>
      <c r="H44" s="163">
        <v>198198</v>
      </c>
      <c r="I44" s="163"/>
      <c r="J44" s="163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24</v>
      </c>
      <c r="D46" s="12">
        <f>C46*1.5</f>
        <v>36</v>
      </c>
      <c r="F46" s="37"/>
      <c r="G46" s="91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8</v>
      </c>
      <c r="D48" s="12">
        <f>C48*78</f>
        <v>624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2</v>
      </c>
      <c r="D49" s="12">
        <f>C49*42</f>
        <v>84</v>
      </c>
      <c r="F49" s="144" t="s">
        <v>86</v>
      </c>
      <c r="G49" s="146">
        <f>H34+H35+H36+H37+H38+H39+H40+H41+G42+H44+H45+H46</f>
        <v>264236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21</v>
      </c>
      <c r="D50" s="12">
        <f>C50*1.5</f>
        <v>31.5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161</v>
      </c>
      <c r="G51" s="253">
        <f>G49-H29</f>
        <v>-1937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85668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146DD-CFF6-4F84-82C8-DDA2C84A40E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3</v>
      </c>
      <c r="H4" s="225" t="s">
        <v>9</v>
      </c>
      <c r="I4" s="227">
        <v>46028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f>614-273</f>
        <v>341</v>
      </c>
      <c r="D6" s="13">
        <f t="shared" ref="D6:D28" si="1">C6*L6</f>
        <v>259501</v>
      </c>
      <c r="F6" s="231" t="s">
        <v>16</v>
      </c>
      <c r="G6" s="233" t="s">
        <v>111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>
        <v>1</v>
      </c>
      <c r="D7" s="13">
        <f t="shared" si="1"/>
        <v>781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119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13</v>
      </c>
      <c r="D9" s="13">
        <f t="shared" si="1"/>
        <v>9529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134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>
        <v>3</v>
      </c>
      <c r="D12" s="48">
        <f t="shared" si="1"/>
        <v>2976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2</v>
      </c>
      <c r="D13" s="48">
        <f t="shared" si="1"/>
        <v>614</v>
      </c>
      <c r="F13" s="252" t="s">
        <v>36</v>
      </c>
      <c r="G13" s="216"/>
      <c r="H13" s="207">
        <f>D29</f>
        <v>275314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8</v>
      </c>
      <c r="D14" s="31">
        <f t="shared" si="1"/>
        <v>88</v>
      </c>
      <c r="F14" s="210" t="s">
        <v>39</v>
      </c>
      <c r="G14" s="211"/>
      <c r="H14" s="212">
        <f>D54</f>
        <v>52389.75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222924.25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>
        <f>268*6+51*6</f>
        <v>1914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113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64"/>
      <c r="I19" s="264"/>
      <c r="J19" s="26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>
        <v>1</v>
      </c>
      <c r="D21" s="48">
        <f t="shared" si="1"/>
        <v>650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7" t="s">
        <v>167</v>
      </c>
      <c r="G22" s="73">
        <v>7798</v>
      </c>
      <c r="H22" s="193">
        <v>173644</v>
      </c>
      <c r="I22" s="193"/>
      <c r="J22" s="193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>
        <v>1</v>
      </c>
      <c r="D23" s="48">
        <f t="shared" si="1"/>
        <v>1175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101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93"/>
      <c r="G28" s="61"/>
      <c r="H28" s="204"/>
      <c r="I28" s="205"/>
      <c r="J28" s="206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275314</v>
      </c>
      <c r="F29" s="124" t="s">
        <v>55</v>
      </c>
      <c r="G29" s="186"/>
      <c r="H29" s="146">
        <f>H15-H16-H17-H18-H19-H20-H22-H23-H24+H26+H27</f>
        <v>47366.25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4">
        <v>26</v>
      </c>
      <c r="H34" s="168">
        <f>F34*G34</f>
        <v>26000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35</v>
      </c>
      <c r="H35" s="168">
        <f>F35*G35</f>
        <v>17500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>
        <v>1</v>
      </c>
      <c r="D36" s="12">
        <f>C36*1.5</f>
        <v>1.5</v>
      </c>
      <c r="F36" s="12">
        <v>200</v>
      </c>
      <c r="G36" s="37">
        <v>1</v>
      </c>
      <c r="H36" s="168">
        <f t="shared" ref="H36:H39" si="2">F36*G36</f>
        <v>200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439</v>
      </c>
      <c r="D37" s="12">
        <f>C37*111</f>
        <v>48729</v>
      </c>
      <c r="F37" s="12">
        <v>100</v>
      </c>
      <c r="G37" s="39">
        <v>34</v>
      </c>
      <c r="H37" s="168">
        <f t="shared" si="2"/>
        <v>3400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3</v>
      </c>
      <c r="D38" s="12">
        <f>C38*84</f>
        <v>252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25</v>
      </c>
      <c r="D40" s="12">
        <f>C40*111</f>
        <v>2775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11</v>
      </c>
      <c r="D42" s="12">
        <f>C42*2.25</f>
        <v>24.75</v>
      </c>
      <c r="F42" s="39" t="s">
        <v>79</v>
      </c>
      <c r="G42" s="168">
        <v>142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2</v>
      </c>
      <c r="D44" s="12">
        <f>C44*120</f>
        <v>240</v>
      </c>
      <c r="F44" s="37"/>
      <c r="G44" s="76"/>
      <c r="H44" s="163"/>
      <c r="I44" s="163"/>
      <c r="J44" s="163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7</v>
      </c>
      <c r="D46" s="12">
        <f>C46*1.5</f>
        <v>10.5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1</v>
      </c>
      <c r="D48" s="12">
        <f>C48*78</f>
        <v>78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1</v>
      </c>
      <c r="D49" s="12">
        <f>C49*42</f>
        <v>42</v>
      </c>
      <c r="F49" s="144" t="s">
        <v>86</v>
      </c>
      <c r="G49" s="146">
        <f>H34+H35+H36+H37+H38+H39+H40+H41+G42+H44+H45+H46</f>
        <v>47242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16</v>
      </c>
      <c r="D50" s="12">
        <f>C50*1.5</f>
        <v>24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139</v>
      </c>
      <c r="G51" s="253">
        <f>G49-H29</f>
        <v>-124.25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52389.75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E17D0-404F-49AF-B1D2-8044EFB5CED3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71" t="s">
        <v>7</v>
      </c>
      <c r="B4" s="172"/>
      <c r="C4" s="172"/>
      <c r="D4" s="173"/>
      <c r="F4" s="221" t="s">
        <v>8</v>
      </c>
      <c r="G4" s="223"/>
      <c r="H4" s="225" t="s">
        <v>9</v>
      </c>
      <c r="I4" s="227"/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6"/>
      <c r="B6" s="16"/>
      <c r="C6" s="10"/>
      <c r="D6" s="13">
        <f t="shared" ref="D6:D28" si="1">C6*L6</f>
        <v>0</v>
      </c>
      <c r="F6" s="231" t="s">
        <v>16</v>
      </c>
      <c r="G6" s="233"/>
      <c r="H6" s="234"/>
      <c r="I6" s="234"/>
      <c r="J6" s="23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6"/>
      <c r="B7" s="16"/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6"/>
      <c r="B8" s="16"/>
      <c r="C8" s="10"/>
      <c r="D8" s="13">
        <f t="shared" si="1"/>
        <v>0</v>
      </c>
      <c r="F8" s="239" t="s">
        <v>21</v>
      </c>
      <c r="G8" s="240"/>
      <c r="H8" s="241"/>
      <c r="I8" s="241"/>
      <c r="J8" s="24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6"/>
      <c r="B9" s="16"/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6"/>
      <c r="C10" s="10"/>
      <c r="D10" s="13">
        <f t="shared" si="1"/>
        <v>0</v>
      </c>
      <c r="F10" s="231" t="s">
        <v>26</v>
      </c>
      <c r="G10" s="246"/>
      <c r="H10" s="247"/>
      <c r="I10" s="247"/>
      <c r="J10" s="248"/>
      <c r="K10" s="8"/>
      <c r="L10" s="6">
        <f>R36</f>
        <v>972</v>
      </c>
      <c r="P10" s="4"/>
      <c r="Q10" s="4"/>
      <c r="R10" s="5"/>
    </row>
    <row r="11" spans="1:19" ht="15.75" x14ac:dyDescent="0.25">
      <c r="A11" s="166"/>
      <c r="B11" s="17"/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6"/>
      <c r="B12" s="17"/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6"/>
      <c r="B13" s="17"/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6"/>
      <c r="B14" s="14"/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6"/>
      <c r="B15" s="14"/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/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/>
      <c r="C19" s="10"/>
      <c r="D19" s="48">
        <f t="shared" si="1"/>
        <v>0</v>
      </c>
      <c r="F19" s="56"/>
      <c r="G19" s="68" t="s">
        <v>50</v>
      </c>
      <c r="H19" s="189"/>
      <c r="I19" s="189"/>
      <c r="J19" s="18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/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6"/>
      <c r="B22" s="46"/>
      <c r="C22" s="10"/>
      <c r="D22" s="48">
        <f t="shared" si="1"/>
        <v>0</v>
      </c>
      <c r="F22" s="77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/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/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6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/>
      <c r="C28" s="10"/>
      <c r="D28" s="48">
        <f t="shared" si="1"/>
        <v>0</v>
      </c>
      <c r="F28" s="93"/>
      <c r="G28" s="61"/>
      <c r="H28" s="204"/>
      <c r="I28" s="205"/>
      <c r="J28" s="206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/>
      <c r="I34" s="169"/>
      <c r="J34" s="170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/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/>
      <c r="I36" s="169"/>
      <c r="J36" s="170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/>
      <c r="I37" s="169"/>
      <c r="J37" s="170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/>
      <c r="I38" s="169"/>
      <c r="J38" s="170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/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P43" s="4"/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76"/>
      <c r="H44" s="163"/>
      <c r="I44" s="163"/>
      <c r="J44" s="163"/>
      <c r="K44" s="21"/>
      <c r="P44" s="4"/>
      <c r="Q44" s="4"/>
      <c r="R44" s="5"/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P50" s="4"/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128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F9B40-1E74-404F-A7FA-39AAF57DE09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1</v>
      </c>
      <c r="H4" s="225" t="s">
        <v>9</v>
      </c>
      <c r="I4" s="227">
        <v>46029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84">
        <v>523</v>
      </c>
      <c r="D6" s="13">
        <f t="shared" ref="D6:D28" si="1">C6*L6</f>
        <v>398003</v>
      </c>
      <c r="F6" s="231" t="s">
        <v>16</v>
      </c>
      <c r="G6" s="233" t="s">
        <v>129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84">
        <v>2</v>
      </c>
      <c r="D7" s="13">
        <f t="shared" si="1"/>
        <v>1562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84">
        <v>2</v>
      </c>
      <c r="D8" s="13">
        <f t="shared" si="1"/>
        <v>2186</v>
      </c>
      <c r="F8" s="239" t="s">
        <v>21</v>
      </c>
      <c r="G8" s="240" t="s">
        <v>112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84">
        <v>10</v>
      </c>
      <c r="D9" s="13">
        <f t="shared" si="1"/>
        <v>7330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84"/>
      <c r="D10" s="13">
        <f t="shared" si="1"/>
        <v>0</v>
      </c>
      <c r="F10" s="231" t="s">
        <v>26</v>
      </c>
      <c r="G10" s="246" t="s">
        <v>130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84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84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84">
        <v>13</v>
      </c>
      <c r="D13" s="48">
        <f t="shared" si="1"/>
        <v>3991</v>
      </c>
      <c r="F13" s="252" t="s">
        <v>36</v>
      </c>
      <c r="G13" s="216"/>
      <c r="H13" s="207">
        <f>D29</f>
        <v>416738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84">
        <v>3</v>
      </c>
      <c r="D14" s="31">
        <f t="shared" si="1"/>
        <v>33</v>
      </c>
      <c r="F14" s="210" t="s">
        <v>39</v>
      </c>
      <c r="G14" s="211"/>
      <c r="H14" s="212">
        <f>D54</f>
        <v>113626.5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84"/>
      <c r="D15" s="31">
        <f t="shared" si="1"/>
        <v>0</v>
      </c>
      <c r="F15" s="215" t="s">
        <v>40</v>
      </c>
      <c r="G15" s="216"/>
      <c r="H15" s="217">
        <f>H13-H14</f>
        <v>303111.5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77">
        <f>2586</f>
        <v>2586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137</v>
      </c>
      <c r="C17" s="84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88"/>
      <c r="I19" s="188"/>
      <c r="J19" s="188"/>
      <c r="L19" s="6">
        <v>1102</v>
      </c>
      <c r="Q19" s="4"/>
      <c r="R19" s="5">
        <f t="shared" si="0"/>
        <v>0</v>
      </c>
    </row>
    <row r="20" spans="1:18" ht="15.75" x14ac:dyDescent="0.25">
      <c r="A20" s="166"/>
      <c r="B20" s="83" t="s">
        <v>125</v>
      </c>
      <c r="C20" s="84">
        <v>1</v>
      </c>
      <c r="D20" s="13">
        <f t="shared" si="1"/>
        <v>1175</v>
      </c>
      <c r="F20" s="57"/>
      <c r="G20" s="70" t="s">
        <v>120</v>
      </c>
      <c r="H20" s="177"/>
      <c r="I20" s="177"/>
      <c r="J20" s="17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135</v>
      </c>
      <c r="C21" s="84">
        <v>1</v>
      </c>
      <c r="D21" s="48">
        <f t="shared" si="1"/>
        <v>650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127</v>
      </c>
      <c r="C22" s="84"/>
      <c r="D22" s="48">
        <f t="shared" si="1"/>
        <v>0</v>
      </c>
      <c r="F22" s="77"/>
      <c r="G22" s="73"/>
      <c r="H22" s="193"/>
      <c r="I22" s="193"/>
      <c r="J22" s="193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169</v>
      </c>
      <c r="C23" s="84">
        <v>12</v>
      </c>
      <c r="D23" s="48">
        <f t="shared" si="1"/>
        <v>454</v>
      </c>
      <c r="F23" s="77"/>
      <c r="G23" s="79"/>
      <c r="H23" s="259"/>
      <c r="I23" s="260"/>
      <c r="J23" s="260"/>
      <c r="L23" s="47">
        <f>872/24+1.5</f>
        <v>37.833333333333336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121</v>
      </c>
      <c r="C24" s="84"/>
      <c r="D24" s="48">
        <f t="shared" si="1"/>
        <v>0</v>
      </c>
      <c r="F24" s="77"/>
      <c r="G24" s="79"/>
      <c r="H24" s="259"/>
      <c r="I24" s="260"/>
      <c r="J24" s="26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168</v>
      </c>
      <c r="C25" s="84">
        <v>12</v>
      </c>
      <c r="D25" s="48">
        <f t="shared" si="1"/>
        <v>543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1050/24+1.5</f>
        <v>45.25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136</v>
      </c>
      <c r="C26" s="84"/>
      <c r="D26" s="48">
        <f t="shared" si="1"/>
        <v>0</v>
      </c>
      <c r="F26" s="75"/>
      <c r="G26" s="65"/>
      <c r="H26" s="163"/>
      <c r="I26" s="163"/>
      <c r="J26" s="163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110</v>
      </c>
      <c r="C27" s="84"/>
      <c r="D27" s="44">
        <f t="shared" si="1"/>
        <v>0</v>
      </c>
      <c r="F27" s="71"/>
      <c r="G27" s="90"/>
      <c r="H27" s="261"/>
      <c r="I27" s="262"/>
      <c r="J27" s="26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84">
        <v>1</v>
      </c>
      <c r="D28" s="48">
        <f t="shared" si="1"/>
        <v>811</v>
      </c>
      <c r="F28" s="93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416738</v>
      </c>
      <c r="F29" s="124" t="s">
        <v>55</v>
      </c>
      <c r="G29" s="186"/>
      <c r="H29" s="146">
        <f>H15-H16-H17-H18-H19-H20-H22-H23-H24+H26+H27+H28</f>
        <v>300525.5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51</v>
      </c>
      <c r="H34" s="168">
        <f t="shared" ref="H34:H39" si="2">F34*G34</f>
        <v>51000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>
        <v>2</v>
      </c>
      <c r="D35" s="30">
        <f>C35*84</f>
        <v>168</v>
      </c>
      <c r="F35" s="58">
        <v>500</v>
      </c>
      <c r="G35" s="41">
        <v>20</v>
      </c>
      <c r="H35" s="168">
        <f t="shared" si="2"/>
        <v>10000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 t="shared" si="2"/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1005</v>
      </c>
      <c r="D37" s="12">
        <f>C37*111</f>
        <v>111555</v>
      </c>
      <c r="F37" s="12">
        <v>100</v>
      </c>
      <c r="G37" s="39">
        <v>41</v>
      </c>
      <c r="H37" s="168">
        <f t="shared" si="2"/>
        <v>4100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4</v>
      </c>
      <c r="D38" s="12">
        <f>C38*84</f>
        <v>336</v>
      </c>
      <c r="F38" s="30">
        <v>50</v>
      </c>
      <c r="G38" s="39">
        <v>15</v>
      </c>
      <c r="H38" s="168">
        <f t="shared" si="2"/>
        <v>750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5</v>
      </c>
      <c r="D40" s="12">
        <f>C40*111</f>
        <v>555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30</v>
      </c>
      <c r="D42" s="12">
        <f>C42*2.25</f>
        <v>67.5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 t="s">
        <v>147</v>
      </c>
      <c r="G44" s="62" t="s">
        <v>170</v>
      </c>
      <c r="H44" s="163">
        <v>234325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>
        <v>1</v>
      </c>
      <c r="D45" s="12">
        <f>C45*84</f>
        <v>84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34</v>
      </c>
      <c r="D46" s="12">
        <f>C46*1.5</f>
        <v>51</v>
      </c>
      <c r="F46" s="37"/>
      <c r="G46" s="62"/>
      <c r="H46" s="163"/>
      <c r="I46" s="163"/>
      <c r="J46" s="163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9</v>
      </c>
      <c r="D48" s="12">
        <f>C48*78</f>
        <v>702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300175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10</v>
      </c>
      <c r="D50" s="12">
        <f>C50*1.5</f>
        <v>15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131</v>
      </c>
      <c r="G51" s="253">
        <f>G49-H29</f>
        <v>-350.5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113626.5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D1DB-0449-492C-A8C7-2F65547D42F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2</v>
      </c>
      <c r="H4" s="225" t="s">
        <v>9</v>
      </c>
      <c r="I4" s="227">
        <v>46029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v>450</v>
      </c>
      <c r="D6" s="13">
        <f t="shared" ref="D6:D28" si="1">C6*L6</f>
        <v>342450</v>
      </c>
      <c r="F6" s="231" t="s">
        <v>16</v>
      </c>
      <c r="G6" s="233" t="s">
        <v>140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114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20</v>
      </c>
      <c r="D9" s="13">
        <f t="shared" si="1"/>
        <v>14660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115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15</v>
      </c>
      <c r="D13" s="48">
        <f t="shared" si="1"/>
        <v>4605</v>
      </c>
      <c r="F13" s="252" t="s">
        <v>36</v>
      </c>
      <c r="G13" s="216"/>
      <c r="H13" s="207">
        <f>D29</f>
        <v>364269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11</v>
      </c>
      <c r="D14" s="31">
        <f t="shared" si="1"/>
        <v>121</v>
      </c>
      <c r="F14" s="210" t="s">
        <v>39</v>
      </c>
      <c r="G14" s="211"/>
      <c r="H14" s="212">
        <f>D54</f>
        <v>53587.5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310681.5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>
        <f>2064</f>
        <v>2064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93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63"/>
      <c r="I19" s="263"/>
      <c r="J19" s="26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88"/>
      <c r="I20" s="188"/>
      <c r="J20" s="18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2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25"/>
      <c r="G23" s="37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123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 t="s">
        <v>166</v>
      </c>
      <c r="G26" s="59">
        <v>8133</v>
      </c>
      <c r="H26" s="198">
        <v>131647</v>
      </c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>
        <v>3</v>
      </c>
      <c r="D28" s="48">
        <f t="shared" si="1"/>
        <v>2433</v>
      </c>
      <c r="F28" s="93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364269</v>
      </c>
      <c r="F29" s="124" t="s">
        <v>55</v>
      </c>
      <c r="G29" s="186"/>
      <c r="H29" s="146">
        <f>H15-H16-H17-H18-H19-H20-H22-H23-H24+H26+H27</f>
        <v>440264.5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243</v>
      </c>
      <c r="H34" s="168">
        <f>F34*G34</f>
        <v>243000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101</v>
      </c>
      <c r="H35" s="168">
        <f t="shared" ref="H35:H39" si="2">F35*G35</f>
        <v>50500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466</v>
      </c>
      <c r="D37" s="12">
        <f>C37*111</f>
        <v>51726</v>
      </c>
      <c r="F37" s="12">
        <v>100</v>
      </c>
      <c r="G37" s="39">
        <v>128</v>
      </c>
      <c r="H37" s="168">
        <f t="shared" si="2"/>
        <v>12800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8</v>
      </c>
      <c r="D38" s="12">
        <f>C38*84</f>
        <v>672</v>
      </c>
      <c r="F38" s="30">
        <v>50</v>
      </c>
      <c r="G38" s="39">
        <v>46</v>
      </c>
      <c r="H38" s="168">
        <f t="shared" si="2"/>
        <v>2300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>
        <v>71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 t="s">
        <v>147</v>
      </c>
      <c r="G44" s="62" t="s">
        <v>171</v>
      </c>
      <c r="H44" s="163">
        <v>131647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91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10</v>
      </c>
      <c r="D48" s="12">
        <f>C48*78</f>
        <v>780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9</v>
      </c>
      <c r="D49" s="12">
        <f>C49*42</f>
        <v>378</v>
      </c>
      <c r="F49" s="144" t="s">
        <v>86</v>
      </c>
      <c r="G49" s="146">
        <f>H34+H35+H36+H37+H38+H39+H40+H41+G42+H44+H45+H46</f>
        <v>440318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15</v>
      </c>
      <c r="D50" s="12">
        <f>C50*1.5</f>
        <v>22.5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142</v>
      </c>
      <c r="G51" s="154">
        <f>G49-H29</f>
        <v>53.5</v>
      </c>
      <c r="H51" s="155"/>
      <c r="I51" s="155"/>
      <c r="J51" s="156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53587.5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B1D7E-AC3B-4A1A-9DF9-F2224DED701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8" t="s">
        <v>2</v>
      </c>
      <c r="Q1" s="9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 t="s">
        <v>179</v>
      </c>
      <c r="H4" s="225" t="s">
        <v>9</v>
      </c>
      <c r="I4" s="227">
        <v>46029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/>
      <c r="D6" s="13">
        <f t="shared" ref="D6:D28" si="1">C6*L6</f>
        <v>0</v>
      </c>
      <c r="F6" s="231" t="s">
        <v>16</v>
      </c>
      <c r="G6" s="233" t="s">
        <v>178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/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/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93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63"/>
      <c r="I19" s="263"/>
      <c r="J19" s="26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88"/>
      <c r="I20" s="188"/>
      <c r="J20" s="18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2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25"/>
      <c r="G23" s="37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123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 t="s">
        <v>174</v>
      </c>
      <c r="G26" s="59">
        <v>8269</v>
      </c>
      <c r="H26" s="198">
        <v>7281</v>
      </c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102" t="s">
        <v>175</v>
      </c>
      <c r="G27" s="59">
        <v>8269</v>
      </c>
      <c r="H27" s="198">
        <v>1000</v>
      </c>
      <c r="I27" s="199"/>
      <c r="J27" s="20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102" t="s">
        <v>176</v>
      </c>
      <c r="G28" s="59">
        <v>8269</v>
      </c>
      <c r="H28" s="198">
        <v>3130</v>
      </c>
      <c r="I28" s="199"/>
      <c r="J28" s="20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H15-H16-H17-H18-H19-H20-H22-H23-H24+H26+H27+H28</f>
        <v>11411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9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>
        <f>F34*G34</f>
        <v>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>
        <f t="shared" ref="H35:H39" si="2">F35*G35</f>
        <v>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>
        <f t="shared" si="2"/>
        <v>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01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 t="s">
        <v>153</v>
      </c>
      <c r="G44" s="62"/>
      <c r="H44" s="163">
        <v>11411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100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11411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177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180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D6E1-A235-427E-8635-9ADA7BD0B7C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3</v>
      </c>
      <c r="H4" s="225" t="s">
        <v>9</v>
      </c>
      <c r="I4" s="227">
        <v>46029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v>380</v>
      </c>
      <c r="D6" s="13">
        <f t="shared" ref="D6:D28" si="1">C6*L6</f>
        <v>289180</v>
      </c>
      <c r="F6" s="231" t="s">
        <v>16</v>
      </c>
      <c r="G6" s="233" t="s">
        <v>111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>
        <v>19</v>
      </c>
      <c r="D7" s="13">
        <f t="shared" si="1"/>
        <v>14839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>
        <v>2</v>
      </c>
      <c r="D8" s="13">
        <f t="shared" si="1"/>
        <v>2186</v>
      </c>
      <c r="F8" s="239" t="s">
        <v>21</v>
      </c>
      <c r="G8" s="240" t="s">
        <v>119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84</v>
      </c>
      <c r="D9" s="13">
        <f t="shared" si="1"/>
        <v>61572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>
        <v>1</v>
      </c>
      <c r="D10" s="13">
        <f t="shared" si="1"/>
        <v>1032</v>
      </c>
      <c r="F10" s="231" t="s">
        <v>26</v>
      </c>
      <c r="G10" s="246" t="s">
        <v>134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>
        <f>3+1</f>
        <v>4</v>
      </c>
      <c r="D12" s="48">
        <f t="shared" si="1"/>
        <v>3968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14</v>
      </c>
      <c r="D13" s="48">
        <f t="shared" si="1"/>
        <v>4298</v>
      </c>
      <c r="F13" s="252" t="s">
        <v>36</v>
      </c>
      <c r="G13" s="216"/>
      <c r="H13" s="207">
        <f>D29</f>
        <v>383641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6</v>
      </c>
      <c r="D14" s="31">
        <f t="shared" si="1"/>
        <v>66</v>
      </c>
      <c r="F14" s="210" t="s">
        <v>39</v>
      </c>
      <c r="G14" s="211"/>
      <c r="H14" s="212">
        <f>D54</f>
        <v>52228.5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331412.5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>
        <v>1248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113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64">
        <v>50</v>
      </c>
      <c r="I19" s="264"/>
      <c r="J19" s="26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135</v>
      </c>
      <c r="C21" s="10">
        <f>5+5</f>
        <v>10</v>
      </c>
      <c r="D21" s="48">
        <f t="shared" si="1"/>
        <v>6500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7"/>
      <c r="G22" s="73"/>
      <c r="H22" s="193"/>
      <c r="I22" s="193"/>
      <c r="J22" s="193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101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 t="s">
        <v>167</v>
      </c>
      <c r="G26" s="59">
        <v>7798</v>
      </c>
      <c r="H26" s="198">
        <v>173644</v>
      </c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93"/>
      <c r="G28" s="61"/>
      <c r="H28" s="204"/>
      <c r="I28" s="205"/>
      <c r="J28" s="206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383641</v>
      </c>
      <c r="F29" s="124" t="s">
        <v>55</v>
      </c>
      <c r="G29" s="186"/>
      <c r="H29" s="146">
        <f>H15-H16-H17-H18-H19-H20-H22-H23-H24+H26+H27</f>
        <v>503758.5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4">
        <v>148</v>
      </c>
      <c r="H34" s="168">
        <f>F34*G34</f>
        <v>148000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20</v>
      </c>
      <c r="H35" s="168">
        <f>F35*G35</f>
        <v>10000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>
        <v>3</v>
      </c>
      <c r="H36" s="168">
        <f t="shared" ref="H36:H39" si="2">F36*G36</f>
        <v>600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429</v>
      </c>
      <c r="D37" s="12">
        <f>C37*111</f>
        <v>47619</v>
      </c>
      <c r="F37" s="12">
        <v>100</v>
      </c>
      <c r="G37" s="39">
        <v>151</v>
      </c>
      <c r="H37" s="168">
        <f t="shared" si="2"/>
        <v>15100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14</v>
      </c>
      <c r="D38" s="12">
        <f>C38*84</f>
        <v>1176</v>
      </c>
      <c r="F38" s="30">
        <v>50</v>
      </c>
      <c r="G38" s="39">
        <v>335</v>
      </c>
      <c r="H38" s="168">
        <f t="shared" si="2"/>
        <v>16750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17</v>
      </c>
      <c r="D40" s="12">
        <f>C40*111</f>
        <v>1887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4</v>
      </c>
      <c r="D42" s="12">
        <f>C42*2.25</f>
        <v>9</v>
      </c>
      <c r="F42" s="39" t="s">
        <v>79</v>
      </c>
      <c r="G42" s="168">
        <v>175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5</v>
      </c>
      <c r="D44" s="12">
        <f>C44*120</f>
        <v>600</v>
      </c>
      <c r="F44" s="37" t="s">
        <v>147</v>
      </c>
      <c r="G44" s="76" t="s">
        <v>172</v>
      </c>
      <c r="H44" s="163">
        <v>139318</v>
      </c>
      <c r="I44" s="163"/>
      <c r="J44" s="163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39"/>
      <c r="B45" s="27" t="s">
        <v>68</v>
      </c>
      <c r="C45" s="33">
        <v>2</v>
      </c>
      <c r="D45" s="12">
        <f>C45*84</f>
        <v>168</v>
      </c>
      <c r="F45" s="37" t="s">
        <v>147</v>
      </c>
      <c r="G45" s="76" t="s">
        <v>173</v>
      </c>
      <c r="H45" s="163">
        <v>173644</v>
      </c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9</v>
      </c>
      <c r="D46" s="12">
        <f>C46*1.5</f>
        <v>13.5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5</v>
      </c>
      <c r="D48" s="12">
        <f>C48*78</f>
        <v>390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5</v>
      </c>
      <c r="D49" s="12">
        <f>C49*42</f>
        <v>210</v>
      </c>
      <c r="F49" s="144" t="s">
        <v>86</v>
      </c>
      <c r="G49" s="146">
        <f>H34+H35+H36+H37+H38+H39+H40+H41+G42+H44+H45+H46</f>
        <v>503587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18</v>
      </c>
      <c r="D50" s="12">
        <f>C50*1.5</f>
        <v>27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139</v>
      </c>
      <c r="G51" s="253">
        <f>G49-H29</f>
        <v>-171.5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52228.5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7782-9F68-4B75-8208-605F1C60D1A0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71" t="s">
        <v>7</v>
      </c>
      <c r="B4" s="172"/>
      <c r="C4" s="172"/>
      <c r="D4" s="173"/>
      <c r="F4" s="221" t="s">
        <v>8</v>
      </c>
      <c r="G4" s="223"/>
      <c r="H4" s="225" t="s">
        <v>9</v>
      </c>
      <c r="I4" s="227"/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6"/>
      <c r="B6" s="16"/>
      <c r="C6" s="10"/>
      <c r="D6" s="13">
        <f t="shared" ref="D6:D28" si="1">C6*L6</f>
        <v>0</v>
      </c>
      <c r="F6" s="231" t="s">
        <v>16</v>
      </c>
      <c r="G6" s="233"/>
      <c r="H6" s="234"/>
      <c r="I6" s="234"/>
      <c r="J6" s="23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6"/>
      <c r="B7" s="16"/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6"/>
      <c r="B8" s="16"/>
      <c r="C8" s="10"/>
      <c r="D8" s="13">
        <f t="shared" si="1"/>
        <v>0</v>
      </c>
      <c r="F8" s="239" t="s">
        <v>21</v>
      </c>
      <c r="G8" s="240"/>
      <c r="H8" s="241"/>
      <c r="I8" s="241"/>
      <c r="J8" s="24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6"/>
      <c r="B9" s="16"/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6"/>
      <c r="C10" s="10"/>
      <c r="D10" s="13">
        <f t="shared" si="1"/>
        <v>0</v>
      </c>
      <c r="F10" s="231" t="s">
        <v>26</v>
      </c>
      <c r="G10" s="246"/>
      <c r="H10" s="247"/>
      <c r="I10" s="247"/>
      <c r="J10" s="248"/>
      <c r="K10" s="8"/>
      <c r="L10" s="6">
        <f>R36</f>
        <v>972</v>
      </c>
      <c r="P10" s="4"/>
      <c r="Q10" s="4"/>
      <c r="R10" s="5"/>
    </row>
    <row r="11" spans="1:19" ht="15.75" x14ac:dyDescent="0.25">
      <c r="A11" s="166"/>
      <c r="B11" s="17"/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6"/>
      <c r="B12" s="17"/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6"/>
      <c r="B13" s="17"/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6"/>
      <c r="B14" s="14"/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6"/>
      <c r="B15" s="14"/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/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/>
      <c r="C19" s="10"/>
      <c r="D19" s="48">
        <f t="shared" si="1"/>
        <v>0</v>
      </c>
      <c r="F19" s="56"/>
      <c r="G19" s="68" t="s">
        <v>50</v>
      </c>
      <c r="H19" s="189"/>
      <c r="I19" s="189"/>
      <c r="J19" s="18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/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6"/>
      <c r="B22" s="46"/>
      <c r="C22" s="10"/>
      <c r="D22" s="48">
        <f t="shared" si="1"/>
        <v>0</v>
      </c>
      <c r="F22" s="77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/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/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6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/>
      <c r="C28" s="10"/>
      <c r="D28" s="48">
        <f t="shared" si="1"/>
        <v>0</v>
      </c>
      <c r="F28" s="93"/>
      <c r="G28" s="61"/>
      <c r="H28" s="204"/>
      <c r="I28" s="205"/>
      <c r="J28" s="206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/>
      <c r="I34" s="169"/>
      <c r="J34" s="170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/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/>
      <c r="I36" s="169"/>
      <c r="J36" s="170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/>
      <c r="I37" s="169"/>
      <c r="J37" s="170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/>
      <c r="I38" s="169"/>
      <c r="J38" s="170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/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P43" s="4"/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76"/>
      <c r="H44" s="163"/>
      <c r="I44" s="163"/>
      <c r="J44" s="163"/>
      <c r="K44" s="21"/>
      <c r="P44" s="4"/>
      <c r="Q44" s="4"/>
      <c r="R44" s="5"/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P50" s="4"/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128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4C857-BA52-4829-8B51-359EC0CFBAB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1</v>
      </c>
      <c r="H4" s="225" t="s">
        <v>9</v>
      </c>
      <c r="I4" s="227">
        <v>46030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84">
        <v>707</v>
      </c>
      <c r="D6" s="13">
        <f t="shared" ref="D6:D28" si="1">C6*L6</f>
        <v>538027</v>
      </c>
      <c r="F6" s="231" t="s">
        <v>16</v>
      </c>
      <c r="G6" s="233" t="s">
        <v>129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84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84"/>
      <c r="D8" s="13">
        <f t="shared" si="1"/>
        <v>0</v>
      </c>
      <c r="F8" s="239" t="s">
        <v>21</v>
      </c>
      <c r="G8" s="240" t="s">
        <v>112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84">
        <v>10</v>
      </c>
      <c r="D9" s="13">
        <f t="shared" si="1"/>
        <v>7330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84"/>
      <c r="D10" s="13">
        <f t="shared" si="1"/>
        <v>0</v>
      </c>
      <c r="F10" s="231" t="s">
        <v>26</v>
      </c>
      <c r="G10" s="246" t="s">
        <v>130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84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84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84">
        <v>26</v>
      </c>
      <c r="D13" s="48">
        <f t="shared" si="1"/>
        <v>7982</v>
      </c>
      <c r="F13" s="252" t="s">
        <v>36</v>
      </c>
      <c r="G13" s="216"/>
      <c r="H13" s="207">
        <f>D29</f>
        <v>555289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84"/>
      <c r="D14" s="31">
        <f t="shared" si="1"/>
        <v>0</v>
      </c>
      <c r="F14" s="210" t="s">
        <v>39</v>
      </c>
      <c r="G14" s="211"/>
      <c r="H14" s="212">
        <f>D54</f>
        <v>79440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84"/>
      <c r="D15" s="31">
        <f t="shared" si="1"/>
        <v>0</v>
      </c>
      <c r="F15" s="215" t="s">
        <v>40</v>
      </c>
      <c r="G15" s="216"/>
      <c r="H15" s="217">
        <f>H13-H14</f>
        <v>475849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77">
        <f>3882</f>
        <v>3882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137</v>
      </c>
      <c r="C17" s="84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88"/>
      <c r="I19" s="188"/>
      <c r="J19" s="188"/>
      <c r="L19" s="6">
        <v>1102</v>
      </c>
      <c r="Q19" s="4"/>
      <c r="R19" s="5">
        <f t="shared" si="0"/>
        <v>0</v>
      </c>
    </row>
    <row r="20" spans="1:18" ht="15.75" x14ac:dyDescent="0.25">
      <c r="A20" s="166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135</v>
      </c>
      <c r="C21" s="84">
        <v>3</v>
      </c>
      <c r="D21" s="48">
        <f t="shared" si="1"/>
        <v>1950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127</v>
      </c>
      <c r="C22" s="84"/>
      <c r="D22" s="48">
        <f t="shared" si="1"/>
        <v>0</v>
      </c>
      <c r="F22" s="77"/>
      <c r="G22" s="73"/>
      <c r="H22" s="193"/>
      <c r="I22" s="193"/>
      <c r="J22" s="193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101</v>
      </c>
      <c r="C23" s="84"/>
      <c r="D23" s="48">
        <f t="shared" si="1"/>
        <v>0</v>
      </c>
      <c r="F23" s="77"/>
      <c r="G23" s="79"/>
      <c r="H23" s="259"/>
      <c r="I23" s="260"/>
      <c r="J23" s="26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121</v>
      </c>
      <c r="C24" s="84"/>
      <c r="D24" s="48">
        <f t="shared" si="1"/>
        <v>0</v>
      </c>
      <c r="F24" s="77"/>
      <c r="G24" s="79"/>
      <c r="H24" s="259"/>
      <c r="I24" s="260"/>
      <c r="J24" s="26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138</v>
      </c>
      <c r="C25" s="84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136</v>
      </c>
      <c r="C26" s="84"/>
      <c r="D26" s="48">
        <f t="shared" si="1"/>
        <v>0</v>
      </c>
      <c r="F26" s="75"/>
      <c r="G26" s="65"/>
      <c r="H26" s="163"/>
      <c r="I26" s="163"/>
      <c r="J26" s="163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110</v>
      </c>
      <c r="C27" s="84"/>
      <c r="D27" s="44">
        <f t="shared" si="1"/>
        <v>0</v>
      </c>
      <c r="F27" s="71"/>
      <c r="G27" s="90"/>
      <c r="H27" s="261"/>
      <c r="I27" s="262"/>
      <c r="J27" s="26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84"/>
      <c r="D28" s="48">
        <f t="shared" si="1"/>
        <v>0</v>
      </c>
      <c r="F28" s="93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555289</v>
      </c>
      <c r="F29" s="124" t="s">
        <v>55</v>
      </c>
      <c r="G29" s="186"/>
      <c r="H29" s="146">
        <f>H15-H16-H17-H18-H19-H20-H22-H23-H24+H26+H27+H28</f>
        <v>471967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262</v>
      </c>
      <c r="H34" s="168">
        <f t="shared" ref="H34:H39" si="2">F34*G34</f>
        <v>262000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402</v>
      </c>
      <c r="H35" s="168">
        <f t="shared" si="2"/>
        <v>201000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>
        <v>3</v>
      </c>
      <c r="H36" s="168">
        <f t="shared" si="2"/>
        <v>600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694</v>
      </c>
      <c r="D37" s="12">
        <f>C37*111</f>
        <v>77034</v>
      </c>
      <c r="F37" s="12">
        <v>100</v>
      </c>
      <c r="G37" s="39">
        <v>68</v>
      </c>
      <c r="H37" s="168">
        <f t="shared" si="2"/>
        <v>6800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15</v>
      </c>
      <c r="D38" s="12">
        <f>C38*84</f>
        <v>1260</v>
      </c>
      <c r="F38" s="30">
        <v>50</v>
      </c>
      <c r="G38" s="39">
        <v>2</v>
      </c>
      <c r="H38" s="168">
        <f t="shared" si="2"/>
        <v>100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>
        <v>8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2</v>
      </c>
      <c r="D44" s="12">
        <f>C44*120</f>
        <v>240</v>
      </c>
      <c r="F44" s="37"/>
      <c r="G44" s="62"/>
      <c r="H44" s="163"/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3"/>
      <c r="I46" s="163"/>
      <c r="J46" s="163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16</v>
      </c>
      <c r="D49" s="12">
        <f>C49*42</f>
        <v>672</v>
      </c>
      <c r="F49" s="144" t="s">
        <v>86</v>
      </c>
      <c r="G49" s="146">
        <f>H34+H35+H36+H37+H38+H39+H40+H41+G42+H44+H45+H46</f>
        <v>470508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131</v>
      </c>
      <c r="G51" s="253">
        <f>G49-H29</f>
        <v>-1459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79440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4AF4C-799B-4CCC-867A-64D1685E7412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2</v>
      </c>
      <c r="H4" s="225" t="s">
        <v>9</v>
      </c>
      <c r="I4" s="227">
        <v>46030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v>314</v>
      </c>
      <c r="D6" s="13">
        <f t="shared" ref="D6:D28" si="1">C6*L6</f>
        <v>238954</v>
      </c>
      <c r="F6" s="231" t="s">
        <v>16</v>
      </c>
      <c r="G6" s="233" t="s">
        <v>140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>
        <v>5</v>
      </c>
      <c r="D7" s="13">
        <f t="shared" si="1"/>
        <v>3905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114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19</v>
      </c>
      <c r="D9" s="13">
        <f t="shared" si="1"/>
        <v>13927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>
        <v>1</v>
      </c>
      <c r="D10" s="13">
        <f t="shared" si="1"/>
        <v>1032</v>
      </c>
      <c r="F10" s="231" t="s">
        <v>26</v>
      </c>
      <c r="G10" s="246" t="s">
        <v>115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>
        <f>2+1+1</f>
        <v>4</v>
      </c>
      <c r="D12" s="48">
        <f t="shared" si="1"/>
        <v>3968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7</v>
      </c>
      <c r="D13" s="48">
        <f t="shared" si="1"/>
        <v>2149</v>
      </c>
      <c r="F13" s="252" t="s">
        <v>36</v>
      </c>
      <c r="G13" s="216"/>
      <c r="H13" s="207">
        <f>D29</f>
        <v>263957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2</v>
      </c>
      <c r="D14" s="31">
        <f t="shared" si="1"/>
        <v>22</v>
      </c>
      <c r="F14" s="210" t="s">
        <v>39</v>
      </c>
      <c r="G14" s="211"/>
      <c r="H14" s="212">
        <f>D54</f>
        <v>52866.75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211090.25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93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63"/>
      <c r="I19" s="263"/>
      <c r="J19" s="26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88"/>
      <c r="I20" s="188"/>
      <c r="J20" s="18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2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25"/>
      <c r="G23" s="37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123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93"/>
      <c r="G28" s="61"/>
      <c r="H28" s="204"/>
      <c r="I28" s="205"/>
      <c r="J28" s="206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263957</v>
      </c>
      <c r="F29" s="124" t="s">
        <v>55</v>
      </c>
      <c r="G29" s="186"/>
      <c r="H29" s="146">
        <f>H15-H16-H17-H18-H19-H20-H22-H23-H24+H26+H27</f>
        <v>211090.25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199</v>
      </c>
      <c r="H34" s="168">
        <f>F34*G34</f>
        <v>199000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1</v>
      </c>
      <c r="H35" s="168">
        <f t="shared" ref="H35:H39" si="2">F35*G35</f>
        <v>500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456</v>
      </c>
      <c r="D37" s="12">
        <f>C37*111</f>
        <v>50616</v>
      </c>
      <c r="F37" s="12">
        <v>100</v>
      </c>
      <c r="G37" s="39">
        <v>56</v>
      </c>
      <c r="H37" s="168">
        <f t="shared" si="2"/>
        <v>5600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5</v>
      </c>
      <c r="D38" s="12">
        <f>C38*84</f>
        <v>420</v>
      </c>
      <c r="F38" s="30">
        <v>50</v>
      </c>
      <c r="G38" s="39">
        <v>1</v>
      </c>
      <c r="H38" s="168">
        <f t="shared" si="2"/>
        <v>50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9</v>
      </c>
      <c r="D39" s="31">
        <f>C39*4.5</f>
        <v>40.5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7</v>
      </c>
      <c r="D40" s="12">
        <f>C40*111</f>
        <v>777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1</v>
      </c>
      <c r="D42" s="12">
        <f>C42*2.25</f>
        <v>2.25</v>
      </c>
      <c r="F42" s="39" t="s">
        <v>79</v>
      </c>
      <c r="G42" s="168">
        <v>10004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2</v>
      </c>
      <c r="D44" s="12">
        <f>C44*120</f>
        <v>240</v>
      </c>
      <c r="F44" s="37"/>
      <c r="G44" s="62"/>
      <c r="H44" s="163"/>
      <c r="I44" s="163"/>
      <c r="J44" s="163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39"/>
      <c r="B45" s="27" t="s">
        <v>68</v>
      </c>
      <c r="C45" s="33">
        <v>1</v>
      </c>
      <c r="D45" s="12">
        <f>C45*84</f>
        <v>84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22</v>
      </c>
      <c r="D46" s="12">
        <f>C46*1.5</f>
        <v>33</v>
      </c>
      <c r="F46" s="37"/>
      <c r="G46" s="91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5</v>
      </c>
      <c r="D48" s="12">
        <f>C48*78</f>
        <v>390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3</v>
      </c>
      <c r="D49" s="12">
        <f>C49*42</f>
        <v>126</v>
      </c>
      <c r="F49" s="144" t="s">
        <v>86</v>
      </c>
      <c r="G49" s="146">
        <f>H34+H35+H36+H37+H38+H39+H40+H41+G42+H44+H45+H46</f>
        <v>215154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36</v>
      </c>
      <c r="D50" s="12">
        <f>C50*1.5</f>
        <v>54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142</v>
      </c>
      <c r="G51" s="154">
        <f>G49-H29</f>
        <v>4063.75</v>
      </c>
      <c r="H51" s="155"/>
      <c r="I51" s="155"/>
      <c r="J51" s="156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52866.75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9605-2183-4C17-95EE-4E0761910F0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3</v>
      </c>
      <c r="H4" s="225" t="s">
        <v>9</v>
      </c>
      <c r="I4" s="227">
        <v>46030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v>529</v>
      </c>
      <c r="D6" s="13">
        <f t="shared" ref="D6:D28" si="1">C6*L6</f>
        <v>402569</v>
      </c>
      <c r="F6" s="231" t="s">
        <v>16</v>
      </c>
      <c r="G6" s="233" t="s">
        <v>111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>
        <v>15</v>
      </c>
      <c r="D7" s="13">
        <f t="shared" si="1"/>
        <v>11715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>
        <v>2</v>
      </c>
      <c r="D8" s="13">
        <f t="shared" si="1"/>
        <v>2186</v>
      </c>
      <c r="F8" s="239" t="s">
        <v>21</v>
      </c>
      <c r="G8" s="240" t="s">
        <v>119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>
        <v>3</v>
      </c>
      <c r="D10" s="13">
        <f t="shared" si="1"/>
        <v>3096</v>
      </c>
      <c r="F10" s="231" t="s">
        <v>26</v>
      </c>
      <c r="G10" s="246" t="s">
        <v>134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>
        <v>2</v>
      </c>
      <c r="D11" s="13">
        <f t="shared" si="1"/>
        <v>2340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>
        <f>8+1+1</f>
        <v>10</v>
      </c>
      <c r="D12" s="48">
        <f t="shared" si="1"/>
        <v>9920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5</v>
      </c>
      <c r="D13" s="48">
        <f t="shared" si="1"/>
        <v>1535</v>
      </c>
      <c r="F13" s="252" t="s">
        <v>36</v>
      </c>
      <c r="G13" s="216"/>
      <c r="H13" s="207">
        <f>D29</f>
        <v>434667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6</v>
      </c>
      <c r="D14" s="31">
        <f t="shared" si="1"/>
        <v>66</v>
      </c>
      <c r="F14" s="210" t="s">
        <v>39</v>
      </c>
      <c r="G14" s="211"/>
      <c r="H14" s="212">
        <f>D54</f>
        <v>66066.75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>
        <v>2</v>
      </c>
      <c r="D15" s="31">
        <f t="shared" si="1"/>
        <v>1240</v>
      </c>
      <c r="F15" s="215" t="s">
        <v>40</v>
      </c>
      <c r="G15" s="216"/>
      <c r="H15" s="217">
        <f>H13-H14</f>
        <v>368600.25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>
        <f>2772+330</f>
        <v>3102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113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64"/>
      <c r="I19" s="264"/>
      <c r="J19" s="26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7"/>
      <c r="G22" s="73"/>
      <c r="H22" s="193"/>
      <c r="I22" s="193"/>
      <c r="J22" s="193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101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93"/>
      <c r="G28" s="61"/>
      <c r="H28" s="204"/>
      <c r="I28" s="205"/>
      <c r="J28" s="206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434667</v>
      </c>
      <c r="F29" s="124" t="s">
        <v>55</v>
      </c>
      <c r="G29" s="186"/>
      <c r="H29" s="146">
        <f>H15-H16-H17-H18-H19-H20-H22-H23-H24+H26+H27</f>
        <v>365498.25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41</v>
      </c>
      <c r="H34" s="168">
        <f>F34*G34</f>
        <v>41000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30</v>
      </c>
      <c r="H35" s="168">
        <f>F35*G35</f>
        <v>15000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168">
        <f t="shared" ref="H36:H39" si="2">F36*G36</f>
        <v>200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550</v>
      </c>
      <c r="D37" s="12">
        <f>C37*111</f>
        <v>61050</v>
      </c>
      <c r="F37" s="12">
        <v>100</v>
      </c>
      <c r="G37" s="39">
        <v>73</v>
      </c>
      <c r="H37" s="168">
        <f t="shared" si="2"/>
        <v>7300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3</v>
      </c>
      <c r="D38" s="12">
        <f>C38*84</f>
        <v>252</v>
      </c>
      <c r="F38" s="30">
        <v>50</v>
      </c>
      <c r="G38" s="39">
        <v>2</v>
      </c>
      <c r="H38" s="168">
        <f t="shared" si="2"/>
        <v>100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3</v>
      </c>
      <c r="D39" s="31">
        <f>C39*4.5</f>
        <v>13.5</v>
      </c>
      <c r="F39" s="12">
        <v>20</v>
      </c>
      <c r="G39" s="37">
        <v>1</v>
      </c>
      <c r="H39" s="168">
        <f t="shared" si="2"/>
        <v>20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13</v>
      </c>
      <c r="D40" s="12">
        <f>C40*111</f>
        <v>1443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>
        <v>4</v>
      </c>
      <c r="D41" s="12">
        <f>C41*84</f>
        <v>336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3</v>
      </c>
      <c r="D42" s="12">
        <f>C42*2.25</f>
        <v>6.75</v>
      </c>
      <c r="F42" s="39" t="s">
        <v>79</v>
      </c>
      <c r="G42" s="168">
        <v>165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21</v>
      </c>
      <c r="D44" s="12">
        <f>C44*120</f>
        <v>2520</v>
      </c>
      <c r="F44" s="37" t="s">
        <v>181</v>
      </c>
      <c r="G44" s="76" t="s">
        <v>182</v>
      </c>
      <c r="H44" s="163">
        <v>301634</v>
      </c>
      <c r="I44" s="163"/>
      <c r="J44" s="163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39"/>
      <c r="B45" s="27" t="s">
        <v>68</v>
      </c>
      <c r="C45" s="33">
        <v>1</v>
      </c>
      <c r="D45" s="12">
        <f>C45*84</f>
        <v>84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4</v>
      </c>
      <c r="D46" s="12">
        <f>C46*1.5</f>
        <v>6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4</v>
      </c>
      <c r="D48" s="12">
        <f>C48*78</f>
        <v>312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1</v>
      </c>
      <c r="D49" s="12">
        <f>C49*42</f>
        <v>42</v>
      </c>
      <c r="F49" s="144" t="s">
        <v>86</v>
      </c>
      <c r="G49" s="146">
        <f>H34+H35+H36+H37+H38+H39+H40+H41+G42+H44+H45+H46</f>
        <v>365419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1</v>
      </c>
      <c r="D50" s="12">
        <f>C50*1.5</f>
        <v>1.5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139</v>
      </c>
      <c r="G51" s="253">
        <f>G49-H29</f>
        <v>-79.25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66066.75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BD6E-7FB6-4412-BEFB-0E21667F6E42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71" t="s">
        <v>7</v>
      </c>
      <c r="B4" s="172"/>
      <c r="C4" s="172"/>
      <c r="D4" s="173"/>
      <c r="F4" s="221" t="s">
        <v>8</v>
      </c>
      <c r="G4" s="223"/>
      <c r="H4" s="225" t="s">
        <v>9</v>
      </c>
      <c r="I4" s="227"/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6"/>
      <c r="B6" s="16"/>
      <c r="C6" s="10"/>
      <c r="D6" s="13">
        <f t="shared" ref="D6:D28" si="1">C6*L6</f>
        <v>0</v>
      </c>
      <c r="F6" s="231" t="s">
        <v>16</v>
      </c>
      <c r="G6" s="233"/>
      <c r="H6" s="234"/>
      <c r="I6" s="234"/>
      <c r="J6" s="23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6"/>
      <c r="B7" s="16"/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6"/>
      <c r="B8" s="16"/>
      <c r="C8" s="10"/>
      <c r="D8" s="13">
        <f t="shared" si="1"/>
        <v>0</v>
      </c>
      <c r="F8" s="239" t="s">
        <v>21</v>
      </c>
      <c r="G8" s="240"/>
      <c r="H8" s="241"/>
      <c r="I8" s="241"/>
      <c r="J8" s="24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6"/>
      <c r="B9" s="16"/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6"/>
      <c r="C10" s="10"/>
      <c r="D10" s="13">
        <f t="shared" si="1"/>
        <v>0</v>
      </c>
      <c r="F10" s="231" t="s">
        <v>26</v>
      </c>
      <c r="G10" s="246"/>
      <c r="H10" s="247"/>
      <c r="I10" s="247"/>
      <c r="J10" s="248"/>
      <c r="K10" s="8"/>
      <c r="L10" s="6">
        <f>R36</f>
        <v>972</v>
      </c>
      <c r="P10" s="4"/>
      <c r="Q10" s="4"/>
      <c r="R10" s="5"/>
    </row>
    <row r="11" spans="1:19" ht="15.75" x14ac:dyDescent="0.25">
      <c r="A11" s="166"/>
      <c r="B11" s="17"/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6"/>
      <c r="B12" s="17"/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6"/>
      <c r="B13" s="17"/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6"/>
      <c r="B14" s="14"/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6"/>
      <c r="B15" s="14"/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/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/>
      <c r="C19" s="10"/>
      <c r="D19" s="48">
        <f t="shared" si="1"/>
        <v>0</v>
      </c>
      <c r="F19" s="56"/>
      <c r="G19" s="68" t="s">
        <v>50</v>
      </c>
      <c r="H19" s="189"/>
      <c r="I19" s="189"/>
      <c r="J19" s="18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/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6"/>
      <c r="B22" s="46"/>
      <c r="C22" s="10"/>
      <c r="D22" s="48">
        <f t="shared" si="1"/>
        <v>0</v>
      </c>
      <c r="F22" s="77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/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/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6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/>
      <c r="C28" s="10"/>
      <c r="D28" s="48">
        <f t="shared" si="1"/>
        <v>0</v>
      </c>
      <c r="F28" s="93"/>
      <c r="G28" s="61"/>
      <c r="H28" s="204"/>
      <c r="I28" s="205"/>
      <c r="J28" s="206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/>
      <c r="I34" s="169"/>
      <c r="J34" s="170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/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/>
      <c r="I36" s="169"/>
      <c r="J36" s="170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/>
      <c r="I37" s="169"/>
      <c r="J37" s="170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/>
      <c r="I38" s="169"/>
      <c r="J38" s="170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/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P43" s="4"/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76"/>
      <c r="H44" s="163"/>
      <c r="I44" s="163"/>
      <c r="J44" s="163"/>
      <c r="K44" s="21"/>
      <c r="P44" s="4"/>
      <c r="Q44" s="4"/>
      <c r="R44" s="5"/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P50" s="4"/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128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C24E1-A897-47E6-A4FF-FF94A239BFE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1</v>
      </c>
      <c r="H4" s="225" t="s">
        <v>9</v>
      </c>
      <c r="I4" s="227">
        <v>46031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84">
        <v>647</v>
      </c>
      <c r="D6" s="13">
        <f t="shared" ref="D6:D28" si="1">C6*L6</f>
        <v>492367</v>
      </c>
      <c r="F6" s="231" t="s">
        <v>16</v>
      </c>
      <c r="G6" s="233" t="s">
        <v>129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84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84"/>
      <c r="D8" s="13">
        <f t="shared" si="1"/>
        <v>0</v>
      </c>
      <c r="F8" s="239" t="s">
        <v>21</v>
      </c>
      <c r="G8" s="240" t="s">
        <v>112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84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84"/>
      <c r="D10" s="13">
        <f t="shared" si="1"/>
        <v>0</v>
      </c>
      <c r="F10" s="231" t="s">
        <v>26</v>
      </c>
      <c r="G10" s="246" t="s">
        <v>130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84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84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84">
        <v>20</v>
      </c>
      <c r="D13" s="48">
        <f t="shared" si="1"/>
        <v>6140</v>
      </c>
      <c r="F13" s="252" t="s">
        <v>36</v>
      </c>
      <c r="G13" s="216"/>
      <c r="H13" s="207">
        <f>D29</f>
        <v>498507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84"/>
      <c r="D14" s="31">
        <f t="shared" si="1"/>
        <v>0</v>
      </c>
      <c r="F14" s="210" t="s">
        <v>39</v>
      </c>
      <c r="G14" s="211"/>
      <c r="H14" s="212">
        <f>D54</f>
        <v>99282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84"/>
      <c r="D15" s="31">
        <f t="shared" si="1"/>
        <v>0</v>
      </c>
      <c r="F15" s="215" t="s">
        <v>40</v>
      </c>
      <c r="G15" s="216"/>
      <c r="H15" s="217">
        <f>H13-H14</f>
        <v>399225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77">
        <v>3882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137</v>
      </c>
      <c r="C17" s="84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88"/>
      <c r="I19" s="188"/>
      <c r="J19" s="188"/>
      <c r="L19" s="6">
        <v>1102</v>
      </c>
      <c r="Q19" s="4"/>
      <c r="R19" s="5">
        <f t="shared" si="0"/>
        <v>0</v>
      </c>
    </row>
    <row r="20" spans="1:18" ht="15.75" x14ac:dyDescent="0.25">
      <c r="A20" s="166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135</v>
      </c>
      <c r="C21" s="84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127</v>
      </c>
      <c r="C22" s="84"/>
      <c r="D22" s="48">
        <f t="shared" si="1"/>
        <v>0</v>
      </c>
      <c r="F22" s="77"/>
      <c r="G22" s="73"/>
      <c r="H22" s="193"/>
      <c r="I22" s="193"/>
      <c r="J22" s="193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101</v>
      </c>
      <c r="C23" s="84"/>
      <c r="D23" s="48">
        <f t="shared" si="1"/>
        <v>0</v>
      </c>
      <c r="F23" s="77"/>
      <c r="G23" s="79"/>
      <c r="H23" s="259"/>
      <c r="I23" s="260"/>
      <c r="J23" s="26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121</v>
      </c>
      <c r="C24" s="84"/>
      <c r="D24" s="48">
        <f t="shared" si="1"/>
        <v>0</v>
      </c>
      <c r="F24" s="77"/>
      <c r="G24" s="79"/>
      <c r="H24" s="259"/>
      <c r="I24" s="260"/>
      <c r="J24" s="26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138</v>
      </c>
      <c r="C25" s="84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136</v>
      </c>
      <c r="C26" s="84"/>
      <c r="D26" s="48">
        <f t="shared" si="1"/>
        <v>0</v>
      </c>
      <c r="F26" s="75"/>
      <c r="G26" s="65"/>
      <c r="H26" s="163"/>
      <c r="I26" s="163"/>
      <c r="J26" s="163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110</v>
      </c>
      <c r="C27" s="84"/>
      <c r="D27" s="44">
        <f t="shared" si="1"/>
        <v>0</v>
      </c>
      <c r="F27" s="71"/>
      <c r="G27" s="90"/>
      <c r="H27" s="261"/>
      <c r="I27" s="262"/>
      <c r="J27" s="26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84"/>
      <c r="D28" s="48">
        <f t="shared" si="1"/>
        <v>0</v>
      </c>
      <c r="F28" s="93"/>
      <c r="G28" s="61"/>
      <c r="H28" s="204"/>
      <c r="I28" s="205"/>
      <c r="J28" s="206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498507</v>
      </c>
      <c r="F29" s="124" t="s">
        <v>55</v>
      </c>
      <c r="G29" s="186"/>
      <c r="H29" s="146">
        <f>H15-H16-H17-H18-H19-H20-H22-H23-H24+H26+H27+H28</f>
        <v>395343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395</v>
      </c>
      <c r="H34" s="168">
        <f t="shared" ref="H34:H39" si="2">F34*G34</f>
        <v>395000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>
        <f t="shared" si="2"/>
        <v>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 t="shared" si="2"/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864</v>
      </c>
      <c r="D37" s="12">
        <f>C37*111</f>
        <v>95904</v>
      </c>
      <c r="F37" s="12">
        <v>100</v>
      </c>
      <c r="G37" s="39">
        <v>3</v>
      </c>
      <c r="H37" s="168">
        <f t="shared" si="2"/>
        <v>300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>
        <v>13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62"/>
      <c r="H44" s="163"/>
      <c r="I44" s="163"/>
      <c r="J44" s="163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3"/>
      <c r="I46" s="163"/>
      <c r="J46" s="163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25</v>
      </c>
      <c r="D48" s="12">
        <f>C48*78</f>
        <v>1950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34</v>
      </c>
      <c r="D49" s="12">
        <f>C49*42</f>
        <v>1428</v>
      </c>
      <c r="F49" s="144" t="s">
        <v>86</v>
      </c>
      <c r="G49" s="146">
        <f>H34+H35+H36+H37+H38+H39+H40+H41+G42+H44+H45+H46</f>
        <v>395313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131</v>
      </c>
      <c r="G51" s="253">
        <f>G49-H29</f>
        <v>-30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99282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61630-3EB8-4211-A7C1-B833962E79C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2</v>
      </c>
      <c r="H4" s="225" t="s">
        <v>9</v>
      </c>
      <c r="I4" s="227">
        <v>46031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v>317</v>
      </c>
      <c r="D6" s="13">
        <f t="shared" ref="D6:D28" si="1">C6*L6</f>
        <v>241237</v>
      </c>
      <c r="F6" s="231" t="s">
        <v>16</v>
      </c>
      <c r="G6" s="233" t="s">
        <v>140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>
        <v>9</v>
      </c>
      <c r="D7" s="13">
        <f t="shared" si="1"/>
        <v>7029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114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23</v>
      </c>
      <c r="D9" s="13">
        <f t="shared" si="1"/>
        <v>16859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115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>
        <v>1</v>
      </c>
      <c r="D11" s="13">
        <f t="shared" si="1"/>
        <v>1170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>
        <f>1+1</f>
        <v>2</v>
      </c>
      <c r="D12" s="48">
        <f t="shared" si="1"/>
        <v>1984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10</v>
      </c>
      <c r="D13" s="48">
        <f t="shared" si="1"/>
        <v>3070</v>
      </c>
      <c r="F13" s="252" t="s">
        <v>36</v>
      </c>
      <c r="G13" s="216"/>
      <c r="H13" s="207">
        <f>D29</f>
        <v>273073.33333333331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22</v>
      </c>
      <c r="D14" s="31">
        <f t="shared" si="1"/>
        <v>242</v>
      </c>
      <c r="F14" s="210" t="s">
        <v>39</v>
      </c>
      <c r="G14" s="211"/>
      <c r="H14" s="212">
        <f>D54</f>
        <v>45388.5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>
        <v>2</v>
      </c>
      <c r="D15" s="31">
        <f t="shared" si="1"/>
        <v>1240</v>
      </c>
      <c r="F15" s="215" t="s">
        <v>40</v>
      </c>
      <c r="G15" s="216"/>
      <c r="H15" s="217">
        <f>H13-H14</f>
        <v>227684.83333333331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>
        <v>1074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93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63"/>
      <c r="I19" s="263"/>
      <c r="J19" s="26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88"/>
      <c r="I20" s="188"/>
      <c r="J20" s="18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2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25"/>
      <c r="G23" s="37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123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124</v>
      </c>
      <c r="C25" s="10">
        <v>2</v>
      </c>
      <c r="D25" s="48">
        <f t="shared" si="1"/>
        <v>242.33333333333334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700/6+4.5</f>
        <v>121.16666666666667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93"/>
      <c r="G28" s="61"/>
      <c r="H28" s="204"/>
      <c r="I28" s="205"/>
      <c r="J28" s="206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273073.33333333331</v>
      </c>
      <c r="F29" s="124" t="s">
        <v>55</v>
      </c>
      <c r="G29" s="186"/>
      <c r="H29" s="146">
        <f>H15-H16-H17-H18-H19-H20-H22-H23-H24+H26+H27</f>
        <v>226610.83333333331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4">
        <v>148</v>
      </c>
      <c r="H34" s="168">
        <f>F34*G34</f>
        <v>148000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147</v>
      </c>
      <c r="H35" s="168">
        <f t="shared" ref="H35:H39" si="2">F35*G35</f>
        <v>73500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>
        <v>10</v>
      </c>
      <c r="D36" s="12">
        <f>C36*1.5</f>
        <v>15</v>
      </c>
      <c r="F36" s="12">
        <v>200</v>
      </c>
      <c r="G36" s="37">
        <v>3</v>
      </c>
      <c r="H36" s="168">
        <f>F36*G36</f>
        <v>600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394</v>
      </c>
      <c r="D37" s="12">
        <f>C37*111</f>
        <v>43734</v>
      </c>
      <c r="F37" s="12">
        <v>100</v>
      </c>
      <c r="G37" s="39">
        <v>29</v>
      </c>
      <c r="H37" s="168">
        <f t="shared" si="2"/>
        <v>2900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>
        <v>1</v>
      </c>
      <c r="H38" s="168">
        <f t="shared" si="2"/>
        <v>50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4</v>
      </c>
      <c r="D40" s="12">
        <f>C40*111</f>
        <v>444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1</v>
      </c>
      <c r="D44" s="12">
        <f>C44*120</f>
        <v>120</v>
      </c>
      <c r="F44" s="37"/>
      <c r="G44" s="62"/>
      <c r="H44" s="163"/>
      <c r="I44" s="163"/>
      <c r="J44" s="163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39"/>
      <c r="B45" s="27" t="s">
        <v>68</v>
      </c>
      <c r="C45" s="33">
        <v>2</v>
      </c>
      <c r="D45" s="12">
        <f>C45*84</f>
        <v>168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3</v>
      </c>
      <c r="D46" s="12">
        <f>C46*1.5</f>
        <v>4.5</v>
      </c>
      <c r="F46" s="37"/>
      <c r="G46" s="91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2</v>
      </c>
      <c r="D48" s="12">
        <f>C48*78</f>
        <v>156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8</v>
      </c>
      <c r="D49" s="12">
        <f>C49*42</f>
        <v>336</v>
      </c>
      <c r="F49" s="144" t="s">
        <v>86</v>
      </c>
      <c r="G49" s="146">
        <f>H34+H35+H36+H37+H38+H39+H40+H41+G42+H44+H45+H46</f>
        <v>225050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20</v>
      </c>
      <c r="D50" s="12">
        <f>C50*1.5</f>
        <v>30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161</v>
      </c>
      <c r="G51" s="253">
        <f>G49-H29</f>
        <v>-1560.8333333333139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45388.5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3F3F1-5256-4795-A607-ECE807DB614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3</v>
      </c>
      <c r="H4" s="225" t="s">
        <v>9</v>
      </c>
      <c r="I4" s="227">
        <v>46031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v>344</v>
      </c>
      <c r="D6" s="13">
        <f t="shared" ref="D6:D28" si="1">C6*L6</f>
        <v>261784</v>
      </c>
      <c r="F6" s="231" t="s">
        <v>16</v>
      </c>
      <c r="G6" s="233" t="s">
        <v>111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>
        <v>12</v>
      </c>
      <c r="D7" s="13">
        <f t="shared" si="1"/>
        <v>9372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119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78</v>
      </c>
      <c r="D9" s="13">
        <f t="shared" si="1"/>
        <v>57174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>
        <v>1</v>
      </c>
      <c r="D10" s="13">
        <f t="shared" si="1"/>
        <v>1032</v>
      </c>
      <c r="F10" s="231" t="s">
        <v>26</v>
      </c>
      <c r="G10" s="246" t="s">
        <v>134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>
        <f>4+1+1</f>
        <v>6</v>
      </c>
      <c r="D12" s="48">
        <f t="shared" si="1"/>
        <v>5952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10</v>
      </c>
      <c r="D13" s="48">
        <f t="shared" si="1"/>
        <v>3070</v>
      </c>
      <c r="F13" s="252" t="s">
        <v>36</v>
      </c>
      <c r="G13" s="216"/>
      <c r="H13" s="207">
        <f>D29</f>
        <v>341782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14</v>
      </c>
      <c r="D14" s="31">
        <f t="shared" si="1"/>
        <v>154</v>
      </c>
      <c r="F14" s="210" t="s">
        <v>39</v>
      </c>
      <c r="G14" s="211"/>
      <c r="H14" s="212">
        <f>D54</f>
        <v>52036.5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289745.5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>
        <f>684+672</f>
        <v>1356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113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64"/>
      <c r="I19" s="264"/>
      <c r="J19" s="26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7"/>
      <c r="G22" s="73"/>
      <c r="H22" s="193"/>
      <c r="I22" s="193"/>
      <c r="J22" s="193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101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>
        <v>4</v>
      </c>
      <c r="D28" s="48">
        <f t="shared" si="1"/>
        <v>3244</v>
      </c>
      <c r="F28" s="93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341782</v>
      </c>
      <c r="F29" s="124" t="s">
        <v>55</v>
      </c>
      <c r="G29" s="186"/>
      <c r="H29" s="146">
        <f>H15-H16-H17-H18-H19-H20-H22-H23-H24+H26+H27</f>
        <v>288389.5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4">
        <v>83</v>
      </c>
      <c r="H34" s="168">
        <f>F34*G34</f>
        <v>83000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50</v>
      </c>
      <c r="H35" s="168">
        <f>F35*G35</f>
        <v>25000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>
        <v>3</v>
      </c>
      <c r="D36" s="12">
        <f>C36*1.5</f>
        <v>4.5</v>
      </c>
      <c r="F36" s="12">
        <v>200</v>
      </c>
      <c r="G36" s="37">
        <v>6</v>
      </c>
      <c r="H36" s="168">
        <f t="shared" ref="H36:H39" si="2">F36*G36</f>
        <v>1200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452</v>
      </c>
      <c r="D37" s="12">
        <f>C37*111</f>
        <v>50172</v>
      </c>
      <c r="F37" s="12">
        <v>100</v>
      </c>
      <c r="G37" s="39">
        <v>171</v>
      </c>
      <c r="H37" s="168">
        <f t="shared" si="2"/>
        <v>17100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49</v>
      </c>
      <c r="H38" s="168">
        <f t="shared" si="2"/>
        <v>2450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4</v>
      </c>
      <c r="D39" s="31">
        <f>C39*4.5</f>
        <v>18</v>
      </c>
      <c r="F39" s="12">
        <v>20</v>
      </c>
      <c r="G39" s="37">
        <v>3</v>
      </c>
      <c r="H39" s="168">
        <f t="shared" si="2"/>
        <v>60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1</v>
      </c>
      <c r="D40" s="12">
        <f>C40*111</f>
        <v>111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4</v>
      </c>
      <c r="D42" s="12">
        <f>C42*2.25</f>
        <v>9</v>
      </c>
      <c r="F42" s="39" t="s">
        <v>79</v>
      </c>
      <c r="G42" s="168">
        <v>16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5</v>
      </c>
      <c r="D44" s="12">
        <f>C44*120</f>
        <v>600</v>
      </c>
      <c r="F44" s="37" t="s">
        <v>183</v>
      </c>
      <c r="G44" s="76" t="s">
        <v>184</v>
      </c>
      <c r="H44" s="163">
        <v>84877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>
        <v>1</v>
      </c>
      <c r="D45" s="12">
        <f>C45*84</f>
        <v>84</v>
      </c>
      <c r="F45" s="37" t="s">
        <v>147</v>
      </c>
      <c r="G45" s="76" t="s">
        <v>185</v>
      </c>
      <c r="H45" s="163">
        <v>74828</v>
      </c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12</v>
      </c>
      <c r="D46" s="12">
        <f>C46*1.5</f>
        <v>18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6</v>
      </c>
      <c r="D48" s="12">
        <f>C48*78</f>
        <v>468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8</v>
      </c>
      <c r="D49" s="12">
        <f>C49*42</f>
        <v>336</v>
      </c>
      <c r="F49" s="144" t="s">
        <v>86</v>
      </c>
      <c r="G49" s="146">
        <f>H34+H35+H36+H37+H38+H39+H40+H41+G42+H44+H45+H46</f>
        <v>288531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8</v>
      </c>
      <c r="D50" s="12">
        <f>C50*1.5</f>
        <v>12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149</v>
      </c>
      <c r="G51" s="154">
        <f>G49-H29</f>
        <v>141.5</v>
      </c>
      <c r="H51" s="155"/>
      <c r="I51" s="155"/>
      <c r="J51" s="156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52036.5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4D5C-15B7-4FF1-AB19-8AEC2ECEED07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71" t="s">
        <v>7</v>
      </c>
      <c r="B4" s="172"/>
      <c r="C4" s="172"/>
      <c r="D4" s="173"/>
      <c r="F4" s="221" t="s">
        <v>8</v>
      </c>
      <c r="G4" s="223"/>
      <c r="H4" s="225" t="s">
        <v>9</v>
      </c>
      <c r="I4" s="227"/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6"/>
      <c r="B6" s="16"/>
      <c r="C6" s="10"/>
      <c r="D6" s="13">
        <f t="shared" ref="D6:D28" si="1">C6*L6</f>
        <v>0</v>
      </c>
      <c r="F6" s="231" t="s">
        <v>16</v>
      </c>
      <c r="G6" s="233"/>
      <c r="H6" s="234"/>
      <c r="I6" s="234"/>
      <c r="J6" s="23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6"/>
      <c r="B7" s="16"/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6"/>
      <c r="B8" s="16"/>
      <c r="C8" s="10"/>
      <c r="D8" s="13">
        <f t="shared" si="1"/>
        <v>0</v>
      </c>
      <c r="F8" s="239" t="s">
        <v>21</v>
      </c>
      <c r="G8" s="240"/>
      <c r="H8" s="241"/>
      <c r="I8" s="241"/>
      <c r="J8" s="24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6"/>
      <c r="B9" s="16"/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6"/>
      <c r="C10" s="10"/>
      <c r="D10" s="13">
        <f t="shared" si="1"/>
        <v>0</v>
      </c>
      <c r="F10" s="231" t="s">
        <v>26</v>
      </c>
      <c r="G10" s="246"/>
      <c r="H10" s="247"/>
      <c r="I10" s="247"/>
      <c r="J10" s="248"/>
      <c r="K10" s="8"/>
      <c r="L10" s="6">
        <f>R36</f>
        <v>972</v>
      </c>
      <c r="P10" s="4"/>
      <c r="Q10" s="4"/>
      <c r="R10" s="5"/>
    </row>
    <row r="11" spans="1:19" ht="15.75" x14ac:dyDescent="0.25">
      <c r="A11" s="166"/>
      <c r="B11" s="17"/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6"/>
      <c r="B12" s="17"/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6"/>
      <c r="B13" s="17"/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6"/>
      <c r="B14" s="14"/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6"/>
      <c r="B15" s="14"/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/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/>
      <c r="C19" s="10"/>
      <c r="D19" s="48">
        <f t="shared" si="1"/>
        <v>0</v>
      </c>
      <c r="F19" s="56"/>
      <c r="G19" s="68" t="s">
        <v>50</v>
      </c>
      <c r="H19" s="189"/>
      <c r="I19" s="189"/>
      <c r="J19" s="18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/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6"/>
      <c r="B22" s="46"/>
      <c r="C22" s="10"/>
      <c r="D22" s="48">
        <f t="shared" si="1"/>
        <v>0</v>
      </c>
      <c r="F22" s="77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/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/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6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/>
      <c r="C28" s="10"/>
      <c r="D28" s="48">
        <f t="shared" si="1"/>
        <v>0</v>
      </c>
      <c r="F28" s="93"/>
      <c r="G28" s="61"/>
      <c r="H28" s="204"/>
      <c r="I28" s="205"/>
      <c r="J28" s="206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/>
      <c r="I34" s="169"/>
      <c r="J34" s="170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/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/>
      <c r="I36" s="169"/>
      <c r="J36" s="170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/>
      <c r="I37" s="169"/>
      <c r="J37" s="170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/>
      <c r="I38" s="169"/>
      <c r="J38" s="170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/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P43" s="4"/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76"/>
      <c r="H44" s="163"/>
      <c r="I44" s="163"/>
      <c r="J44" s="163"/>
      <c r="K44" s="21"/>
      <c r="P44" s="4"/>
      <c r="Q44" s="4"/>
      <c r="R44" s="5"/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P50" s="4"/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128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77569-A1B8-490B-909F-69E0F3766C9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1</v>
      </c>
      <c r="H4" s="225" t="s">
        <v>9</v>
      </c>
      <c r="I4" s="227">
        <v>46032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84">
        <v>467</v>
      </c>
      <c r="D6" s="13">
        <f t="shared" ref="D6:D28" si="1">C6*L6</f>
        <v>355387</v>
      </c>
      <c r="F6" s="231" t="s">
        <v>16</v>
      </c>
      <c r="G6" s="233" t="s">
        <v>129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84">
        <v>3</v>
      </c>
      <c r="D7" s="13">
        <f t="shared" si="1"/>
        <v>2343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84">
        <v>70</v>
      </c>
      <c r="D8" s="13">
        <f t="shared" si="1"/>
        <v>76510</v>
      </c>
      <c r="F8" s="239" t="s">
        <v>21</v>
      </c>
      <c r="G8" s="240" t="s">
        <v>112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84">
        <v>20</v>
      </c>
      <c r="D9" s="13">
        <f t="shared" si="1"/>
        <v>14660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84">
        <v>2</v>
      </c>
      <c r="D10" s="13">
        <f t="shared" si="1"/>
        <v>2064</v>
      </c>
      <c r="F10" s="231" t="s">
        <v>26</v>
      </c>
      <c r="G10" s="246" t="s">
        <v>130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84">
        <v>2</v>
      </c>
      <c r="D11" s="13">
        <f t="shared" si="1"/>
        <v>2340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84">
        <v>3</v>
      </c>
      <c r="D12" s="48">
        <f t="shared" si="1"/>
        <v>2976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84">
        <v>8</v>
      </c>
      <c r="D13" s="48">
        <f t="shared" si="1"/>
        <v>2456</v>
      </c>
      <c r="F13" s="252" t="s">
        <v>36</v>
      </c>
      <c r="G13" s="216"/>
      <c r="H13" s="207">
        <f>D29</f>
        <v>458758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84">
        <v>2</v>
      </c>
      <c r="D14" s="31">
        <f t="shared" si="1"/>
        <v>22</v>
      </c>
      <c r="F14" s="210" t="s">
        <v>39</v>
      </c>
      <c r="G14" s="211"/>
      <c r="H14" s="212">
        <f>D54</f>
        <v>63504.75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84"/>
      <c r="D15" s="31">
        <f t="shared" si="1"/>
        <v>0</v>
      </c>
      <c r="F15" s="215" t="s">
        <v>40</v>
      </c>
      <c r="G15" s="216"/>
      <c r="H15" s="217">
        <f>H13-H14</f>
        <v>395253.25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137</v>
      </c>
      <c r="C17" s="84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88"/>
      <c r="I19" s="188"/>
      <c r="J19" s="188"/>
      <c r="L19" s="6">
        <v>1102</v>
      </c>
      <c r="Q19" s="4"/>
      <c r="R19" s="5">
        <f t="shared" si="0"/>
        <v>0</v>
      </c>
    </row>
    <row r="20" spans="1:18" ht="15.75" x14ac:dyDescent="0.25">
      <c r="A20" s="166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135</v>
      </c>
      <c r="C21" s="84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127</v>
      </c>
      <c r="C22" s="84"/>
      <c r="D22" s="48">
        <f t="shared" si="1"/>
        <v>0</v>
      </c>
      <c r="F22" s="77"/>
      <c r="G22" s="73"/>
      <c r="H22" s="193"/>
      <c r="I22" s="193"/>
      <c r="J22" s="193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101</v>
      </c>
      <c r="C23" s="84"/>
      <c r="D23" s="48">
        <f t="shared" si="1"/>
        <v>0</v>
      </c>
      <c r="F23" s="77"/>
      <c r="G23" s="79"/>
      <c r="H23" s="259"/>
      <c r="I23" s="260"/>
      <c r="J23" s="26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121</v>
      </c>
      <c r="C24" s="84"/>
      <c r="D24" s="48">
        <f t="shared" si="1"/>
        <v>0</v>
      </c>
      <c r="F24" s="77"/>
      <c r="G24" s="79"/>
      <c r="H24" s="259"/>
      <c r="I24" s="260"/>
      <c r="J24" s="26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138</v>
      </c>
      <c r="C25" s="84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136</v>
      </c>
      <c r="C26" s="84"/>
      <c r="D26" s="48">
        <f t="shared" si="1"/>
        <v>0</v>
      </c>
      <c r="F26" s="75"/>
      <c r="G26" s="65"/>
      <c r="H26" s="163"/>
      <c r="I26" s="163"/>
      <c r="J26" s="163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110</v>
      </c>
      <c r="C27" s="84"/>
      <c r="D27" s="44">
        <f t="shared" si="1"/>
        <v>0</v>
      </c>
      <c r="F27" s="71"/>
      <c r="G27" s="90"/>
      <c r="H27" s="261"/>
      <c r="I27" s="262"/>
      <c r="J27" s="26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84"/>
      <c r="D28" s="48">
        <f t="shared" si="1"/>
        <v>0</v>
      </c>
      <c r="F28" s="93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458758</v>
      </c>
      <c r="F29" s="124" t="s">
        <v>55</v>
      </c>
      <c r="G29" s="186"/>
      <c r="H29" s="146">
        <f>H15-H16-H17-H18-H19-H20-H22-H23-H24+H26+H27+H28</f>
        <v>395253.25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>
        <v>5</v>
      </c>
      <c r="D34" s="30">
        <f>C34*120</f>
        <v>600</v>
      </c>
      <c r="F34" s="12">
        <v>1000</v>
      </c>
      <c r="G34" s="40">
        <v>233</v>
      </c>
      <c r="H34" s="168">
        <f t="shared" ref="H34:H39" si="2">F34*G34</f>
        <v>233000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71</v>
      </c>
      <c r="H35" s="168">
        <f t="shared" si="2"/>
        <v>35500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>
        <v>2</v>
      </c>
      <c r="H36" s="168">
        <f t="shared" si="2"/>
        <v>400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466</v>
      </c>
      <c r="D37" s="12">
        <f>C37*111</f>
        <v>51726</v>
      </c>
      <c r="F37" s="12">
        <v>100</v>
      </c>
      <c r="G37" s="39">
        <v>49</v>
      </c>
      <c r="H37" s="168">
        <f t="shared" si="2"/>
        <v>4900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15</v>
      </c>
      <c r="H38" s="168">
        <f t="shared" si="2"/>
        <v>750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2</v>
      </c>
      <c r="D39" s="31">
        <f>C39*4.5</f>
        <v>9</v>
      </c>
      <c r="F39" s="12">
        <v>20</v>
      </c>
      <c r="G39" s="37">
        <v>1</v>
      </c>
      <c r="H39" s="168">
        <f t="shared" si="2"/>
        <v>20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9</v>
      </c>
      <c r="D40" s="12">
        <f>C40*111</f>
        <v>999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>
        <v>10</v>
      </c>
      <c r="D41" s="12">
        <f>C41*84</f>
        <v>840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9</v>
      </c>
      <c r="D42" s="12">
        <f>C42*2.25</f>
        <v>20.25</v>
      </c>
      <c r="F42" s="39" t="s">
        <v>79</v>
      </c>
      <c r="G42" s="168">
        <v>62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71</v>
      </c>
      <c r="D44" s="12">
        <f>C44*120</f>
        <v>8520</v>
      </c>
      <c r="F44" s="37" t="s">
        <v>186</v>
      </c>
      <c r="G44" s="62" t="s">
        <v>187</v>
      </c>
      <c r="H44" s="163">
        <v>73477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>
        <v>1</v>
      </c>
      <c r="D45" s="12">
        <f>C45*84</f>
        <v>84</v>
      </c>
      <c r="F45" s="37" t="s">
        <v>153</v>
      </c>
      <c r="G45" s="62"/>
      <c r="H45" s="163">
        <v>20198</v>
      </c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9</v>
      </c>
      <c r="D46" s="12">
        <f>C46*1.5</f>
        <v>13.5</v>
      </c>
      <c r="F46" s="37" t="s">
        <v>153</v>
      </c>
      <c r="G46" s="62"/>
      <c r="H46" s="163">
        <v>27000</v>
      </c>
      <c r="I46" s="163"/>
      <c r="J46" s="163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7</v>
      </c>
      <c r="D48" s="12">
        <f>C48*78</f>
        <v>546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1</v>
      </c>
      <c r="D49" s="12">
        <f>C49*42</f>
        <v>42</v>
      </c>
      <c r="F49" s="144" t="s">
        <v>86</v>
      </c>
      <c r="G49" s="146">
        <f>H34+H35+H36+H37+H38+H39+H40+H41+G42+H44+H45+H46</f>
        <v>395307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14</v>
      </c>
      <c r="D50" s="12">
        <f>C50*1.5</f>
        <v>21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149</v>
      </c>
      <c r="G51" s="154">
        <f>G49-H29</f>
        <v>53.75</v>
      </c>
      <c r="H51" s="155"/>
      <c r="I51" s="155"/>
      <c r="J51" s="156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63504.75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3891E-ED09-443C-A190-A5FAC5B0356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2</v>
      </c>
      <c r="H4" s="225" t="s">
        <v>9</v>
      </c>
      <c r="I4" s="227">
        <v>46032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v>264</v>
      </c>
      <c r="D6" s="13">
        <f t="shared" ref="D6:D28" si="1">C6*L6</f>
        <v>200904</v>
      </c>
      <c r="F6" s="231" t="s">
        <v>16</v>
      </c>
      <c r="G6" s="233" t="s">
        <v>140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>
        <v>19</v>
      </c>
      <c r="D7" s="13">
        <f t="shared" si="1"/>
        <v>14839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114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37</v>
      </c>
      <c r="D9" s="13">
        <f t="shared" si="1"/>
        <v>27121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115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>
        <v>2</v>
      </c>
      <c r="D12" s="48">
        <f t="shared" si="1"/>
        <v>1984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9</v>
      </c>
      <c r="D13" s="48">
        <f t="shared" si="1"/>
        <v>2763</v>
      </c>
      <c r="F13" s="252" t="s">
        <v>36</v>
      </c>
      <c r="G13" s="216"/>
      <c r="H13" s="207">
        <f>D29</f>
        <v>250831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23</v>
      </c>
      <c r="D14" s="31">
        <f t="shared" si="1"/>
        <v>253</v>
      </c>
      <c r="F14" s="210" t="s">
        <v>39</v>
      </c>
      <c r="G14" s="211"/>
      <c r="H14" s="212">
        <f>D54</f>
        <v>44389.5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206441.5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>
        <v>1176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93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63"/>
      <c r="I19" s="263"/>
      <c r="J19" s="26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88"/>
      <c r="I20" s="188"/>
      <c r="J20" s="18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>
        <v>2</v>
      </c>
      <c r="D21" s="48">
        <f t="shared" si="1"/>
        <v>1300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101</v>
      </c>
      <c r="C22" s="10">
        <v>1</v>
      </c>
      <c r="D22" s="48">
        <f t="shared" si="1"/>
        <v>1667</v>
      </c>
      <c r="F22" s="72"/>
      <c r="G22" s="73"/>
      <c r="H22" s="193"/>
      <c r="I22" s="193"/>
      <c r="J22" s="193"/>
      <c r="L22" s="7">
        <v>1667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25"/>
      <c r="G23" s="37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123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700/6+4.5</f>
        <v>121.16666666666667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93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250831</v>
      </c>
      <c r="F29" s="124" t="s">
        <v>55</v>
      </c>
      <c r="G29" s="186"/>
      <c r="H29" s="146">
        <f>H15-H16-H17-H18-H19-H20-H22-H23-H24+H26+H27</f>
        <v>205265.5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49</v>
      </c>
      <c r="H34" s="168">
        <f>F34*G34</f>
        <v>49000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32</v>
      </c>
      <c r="H35" s="168">
        <f t="shared" ref="H35:H39" si="2">F35*G35</f>
        <v>16000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>
        <v>2</v>
      </c>
      <c r="D36" s="12">
        <f>C36*1.5</f>
        <v>3</v>
      </c>
      <c r="F36" s="12">
        <v>200</v>
      </c>
      <c r="G36" s="37">
        <v>4</v>
      </c>
      <c r="H36" s="168">
        <f>F36*G36</f>
        <v>800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370</v>
      </c>
      <c r="D37" s="12">
        <f>C37*111</f>
        <v>41070</v>
      </c>
      <c r="F37" s="12">
        <v>100</v>
      </c>
      <c r="G37" s="39">
        <v>142</v>
      </c>
      <c r="H37" s="168">
        <f t="shared" si="2"/>
        <v>14200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3</v>
      </c>
      <c r="D38" s="12">
        <f>C38*84</f>
        <v>252</v>
      </c>
      <c r="F38" s="30">
        <v>50</v>
      </c>
      <c r="G38" s="39">
        <v>13</v>
      </c>
      <c r="H38" s="168">
        <f t="shared" si="2"/>
        <v>650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4</v>
      </c>
      <c r="D39" s="31">
        <f>C39*4.5</f>
        <v>18</v>
      </c>
      <c r="F39" s="12">
        <v>20</v>
      </c>
      <c r="G39" s="37">
        <v>1</v>
      </c>
      <c r="H39" s="168">
        <f t="shared" si="2"/>
        <v>20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20</v>
      </c>
      <c r="D40" s="12">
        <f>C40*111</f>
        <v>2220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16</v>
      </c>
      <c r="D42" s="12">
        <f>C42*2.25</f>
        <v>36</v>
      </c>
      <c r="F42" s="39" t="s">
        <v>79</v>
      </c>
      <c r="G42" s="168">
        <v>34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2</v>
      </c>
      <c r="D44" s="12">
        <f>C44*120</f>
        <v>240</v>
      </c>
      <c r="F44" s="37" t="s">
        <v>147</v>
      </c>
      <c r="G44" s="62" t="s">
        <v>188</v>
      </c>
      <c r="H44" s="163">
        <v>124746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2</v>
      </c>
      <c r="D46" s="12">
        <f>C46*1.5</f>
        <v>3</v>
      </c>
      <c r="F46" s="37"/>
      <c r="G46" s="91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4</v>
      </c>
      <c r="D48" s="12">
        <f>C48*78</f>
        <v>312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1</v>
      </c>
      <c r="D49" s="12">
        <f>C49*42</f>
        <v>42</v>
      </c>
      <c r="F49" s="144" t="s">
        <v>86</v>
      </c>
      <c r="G49" s="146">
        <f>H34+H35+H36+H37+H38+H39+H40+H41+G42+H44+H45+H46</f>
        <v>205450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17</v>
      </c>
      <c r="D50" s="12">
        <f>C50*1.5</f>
        <v>25.5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142</v>
      </c>
      <c r="G51" s="154">
        <f>G49-H29</f>
        <v>184.5</v>
      </c>
      <c r="H51" s="155"/>
      <c r="I51" s="155"/>
      <c r="J51" s="156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44389.5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4CCB8-C46D-4AEA-A1A7-C9ADADAE7C6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3</v>
      </c>
      <c r="H4" s="225" t="s">
        <v>9</v>
      </c>
      <c r="I4" s="227">
        <v>46032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v>394</v>
      </c>
      <c r="D6" s="13">
        <f t="shared" ref="D6:D28" si="1">C6*L6</f>
        <v>299834</v>
      </c>
      <c r="F6" s="231" t="s">
        <v>16</v>
      </c>
      <c r="G6" s="233" t="s">
        <v>111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>
        <v>3</v>
      </c>
      <c r="D7" s="13">
        <f t="shared" si="1"/>
        <v>2343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119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11</v>
      </c>
      <c r="D9" s="13">
        <f t="shared" si="1"/>
        <v>8063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>
        <v>2</v>
      </c>
      <c r="D10" s="13">
        <f t="shared" si="1"/>
        <v>2064</v>
      </c>
      <c r="F10" s="231" t="s">
        <v>26</v>
      </c>
      <c r="G10" s="246" t="s">
        <v>134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>
        <v>2</v>
      </c>
      <c r="D12" s="48">
        <f t="shared" si="1"/>
        <v>1984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6</v>
      </c>
      <c r="D13" s="48">
        <f t="shared" si="1"/>
        <v>1842</v>
      </c>
      <c r="F13" s="252" t="s">
        <v>36</v>
      </c>
      <c r="G13" s="216"/>
      <c r="H13" s="207">
        <f>D29</f>
        <v>317305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/>
      <c r="D14" s="31">
        <f t="shared" si="1"/>
        <v>0</v>
      </c>
      <c r="F14" s="210" t="s">
        <v>39</v>
      </c>
      <c r="G14" s="211"/>
      <c r="H14" s="212">
        <f>D54</f>
        <v>75464.25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241840.75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>
        <f>342+1296+666</f>
        <v>2304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113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64"/>
      <c r="I19" s="264"/>
      <c r="J19" s="26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7"/>
      <c r="G22" s="73"/>
      <c r="H22" s="193"/>
      <c r="I22" s="193"/>
      <c r="J22" s="193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95" t="s">
        <v>150</v>
      </c>
      <c r="C23" s="10">
        <v>1</v>
      </c>
      <c r="D23" s="48">
        <f t="shared" si="1"/>
        <v>1175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101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93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317305</v>
      </c>
      <c r="F29" s="124" t="s">
        <v>55</v>
      </c>
      <c r="G29" s="186"/>
      <c r="H29" s="146">
        <f>H15-H16-H17-H18-H19-H20-H22-H23-H24+H26+H27</f>
        <v>239536.75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>
        <v>3</v>
      </c>
      <c r="D34" s="30">
        <f>C34*120</f>
        <v>360</v>
      </c>
      <c r="F34" s="12">
        <v>1000</v>
      </c>
      <c r="G34" s="74">
        <v>51</v>
      </c>
      <c r="H34" s="168">
        <f>F34*G34</f>
        <v>51000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>
        <v>2</v>
      </c>
      <c r="D35" s="30">
        <f>C35*84</f>
        <v>168</v>
      </c>
      <c r="F35" s="58">
        <v>500</v>
      </c>
      <c r="G35" s="41">
        <v>10</v>
      </c>
      <c r="H35" s="168">
        <f>F35*G35</f>
        <v>5000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 t="shared" ref="H36:H39" si="2"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627</v>
      </c>
      <c r="D37" s="12">
        <f>C37*111</f>
        <v>69597</v>
      </c>
      <c r="F37" s="12">
        <v>100</v>
      </c>
      <c r="G37" s="39">
        <v>1</v>
      </c>
      <c r="H37" s="168">
        <f t="shared" si="2"/>
        <v>100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48</v>
      </c>
      <c r="D38" s="12">
        <f>C38*84</f>
        <v>4032</v>
      </c>
      <c r="F38" s="30">
        <v>50</v>
      </c>
      <c r="G38" s="39">
        <v>2</v>
      </c>
      <c r="H38" s="168">
        <f t="shared" si="2"/>
        <v>100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2</v>
      </c>
      <c r="H39" s="168">
        <f t="shared" si="2"/>
        <v>40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2</v>
      </c>
      <c r="D40" s="12">
        <f>C40*111</f>
        <v>222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11</v>
      </c>
      <c r="D42" s="12">
        <f>C42*2.25</f>
        <v>24.75</v>
      </c>
      <c r="F42" s="39" t="s">
        <v>79</v>
      </c>
      <c r="G42" s="168">
        <v>38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1</v>
      </c>
      <c r="D44" s="12">
        <f>C44*120</f>
        <v>120</v>
      </c>
      <c r="F44" s="37" t="s">
        <v>156</v>
      </c>
      <c r="G44" s="76" t="s">
        <v>189</v>
      </c>
      <c r="H44" s="163">
        <v>44070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 t="s">
        <v>156</v>
      </c>
      <c r="G45" s="76" t="s">
        <v>190</v>
      </c>
      <c r="H45" s="163">
        <v>139104</v>
      </c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1</v>
      </c>
      <c r="D48" s="12">
        <f>C48*78</f>
        <v>78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16</v>
      </c>
      <c r="D49" s="12">
        <f>C49*42</f>
        <v>672</v>
      </c>
      <c r="F49" s="144" t="s">
        <v>86</v>
      </c>
      <c r="G49" s="146">
        <f>H34+H35+H36+H37+H38+H39+H40+H41+G42+H44+H45+H46</f>
        <v>239452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139</v>
      </c>
      <c r="G51" s="253">
        <f>G49-H29</f>
        <v>-84.75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75464.25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20FCC-6EB1-4288-BD3B-524B2D0A9838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71" t="s">
        <v>7</v>
      </c>
      <c r="B4" s="172"/>
      <c r="C4" s="172"/>
      <c r="D4" s="173"/>
      <c r="F4" s="221" t="s">
        <v>8</v>
      </c>
      <c r="G4" s="223"/>
      <c r="H4" s="225" t="s">
        <v>9</v>
      </c>
      <c r="I4" s="227"/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6"/>
      <c r="B6" s="16"/>
      <c r="C6" s="10"/>
      <c r="D6" s="13">
        <f t="shared" ref="D6:D28" si="1">C6*L6</f>
        <v>0</v>
      </c>
      <c r="F6" s="231" t="s">
        <v>16</v>
      </c>
      <c r="G6" s="233"/>
      <c r="H6" s="234"/>
      <c r="I6" s="234"/>
      <c r="J6" s="23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6"/>
      <c r="B7" s="16"/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6"/>
      <c r="B8" s="16"/>
      <c r="C8" s="10"/>
      <c r="D8" s="13">
        <f t="shared" si="1"/>
        <v>0</v>
      </c>
      <c r="F8" s="239" t="s">
        <v>21</v>
      </c>
      <c r="G8" s="240"/>
      <c r="H8" s="241"/>
      <c r="I8" s="241"/>
      <c r="J8" s="24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6"/>
      <c r="B9" s="16"/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6"/>
      <c r="C10" s="10"/>
      <c r="D10" s="13">
        <f t="shared" si="1"/>
        <v>0</v>
      </c>
      <c r="F10" s="231" t="s">
        <v>26</v>
      </c>
      <c r="G10" s="246"/>
      <c r="H10" s="247"/>
      <c r="I10" s="247"/>
      <c r="J10" s="248"/>
      <c r="K10" s="8"/>
      <c r="L10" s="6">
        <f>R36</f>
        <v>972</v>
      </c>
      <c r="P10" s="4"/>
      <c r="Q10" s="4"/>
      <c r="R10" s="5"/>
    </row>
    <row r="11" spans="1:19" ht="15.75" x14ac:dyDescent="0.25">
      <c r="A11" s="166"/>
      <c r="B11" s="17"/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6"/>
      <c r="B12" s="17"/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6"/>
      <c r="B13" s="17"/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6"/>
      <c r="B14" s="14"/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6"/>
      <c r="B15" s="14"/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/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/>
      <c r="C19" s="10"/>
      <c r="D19" s="48">
        <f t="shared" si="1"/>
        <v>0</v>
      </c>
      <c r="F19" s="56"/>
      <c r="G19" s="68" t="s">
        <v>50</v>
      </c>
      <c r="H19" s="189"/>
      <c r="I19" s="189"/>
      <c r="J19" s="18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/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6"/>
      <c r="B22" s="46"/>
      <c r="C22" s="10"/>
      <c r="D22" s="48">
        <f t="shared" si="1"/>
        <v>0</v>
      </c>
      <c r="F22" s="77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/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/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6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/>
      <c r="C28" s="10"/>
      <c r="D28" s="48">
        <f t="shared" si="1"/>
        <v>0</v>
      </c>
      <c r="F28" s="93"/>
      <c r="G28" s="61"/>
      <c r="H28" s="204"/>
      <c r="I28" s="205"/>
      <c r="J28" s="206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/>
      <c r="I34" s="169"/>
      <c r="J34" s="170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/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/>
      <c r="I36" s="169"/>
      <c r="J36" s="170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/>
      <c r="I37" s="169"/>
      <c r="J37" s="170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/>
      <c r="I38" s="169"/>
      <c r="J38" s="170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/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P43" s="4"/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76"/>
      <c r="H44" s="163"/>
      <c r="I44" s="163"/>
      <c r="J44" s="163"/>
      <c r="K44" s="21"/>
      <c r="P44" s="4"/>
      <c r="Q44" s="4"/>
      <c r="R44" s="5"/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P50" s="4"/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128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D0D5-9461-4279-AC47-71E0A74AE20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1</v>
      </c>
      <c r="H4" s="225" t="s">
        <v>9</v>
      </c>
      <c r="I4" s="227">
        <v>46034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84">
        <v>233</v>
      </c>
      <c r="D6" s="13">
        <f t="shared" ref="D6:D28" si="1">C6*L6</f>
        <v>177313</v>
      </c>
      <c r="F6" s="231" t="s">
        <v>16</v>
      </c>
      <c r="G6" s="233" t="s">
        <v>129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84">
        <v>12</v>
      </c>
      <c r="D7" s="13">
        <f t="shared" si="1"/>
        <v>9372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84">
        <v>3</v>
      </c>
      <c r="D8" s="13">
        <f t="shared" si="1"/>
        <v>3279</v>
      </c>
      <c r="F8" s="239" t="s">
        <v>21</v>
      </c>
      <c r="G8" s="240" t="s">
        <v>112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84">
        <v>20</v>
      </c>
      <c r="D9" s="13">
        <f t="shared" si="1"/>
        <v>14660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84">
        <v>3</v>
      </c>
      <c r="D10" s="13">
        <f t="shared" si="1"/>
        <v>3096</v>
      </c>
      <c r="F10" s="231" t="s">
        <v>26</v>
      </c>
      <c r="G10" s="246" t="s">
        <v>130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84">
        <v>3</v>
      </c>
      <c r="D11" s="13">
        <f t="shared" si="1"/>
        <v>3510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84">
        <f>4+1</f>
        <v>5</v>
      </c>
      <c r="D12" s="48">
        <f t="shared" si="1"/>
        <v>4960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84">
        <v>7</v>
      </c>
      <c r="D13" s="48">
        <f t="shared" si="1"/>
        <v>2149</v>
      </c>
      <c r="F13" s="252" t="s">
        <v>36</v>
      </c>
      <c r="G13" s="216"/>
      <c r="H13" s="207">
        <f>D29</f>
        <v>228543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84">
        <v>19</v>
      </c>
      <c r="D14" s="31">
        <f t="shared" si="1"/>
        <v>209</v>
      </c>
      <c r="F14" s="210" t="s">
        <v>39</v>
      </c>
      <c r="G14" s="211"/>
      <c r="H14" s="212">
        <f>D54</f>
        <v>28542.75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84"/>
      <c r="D15" s="31">
        <f t="shared" si="1"/>
        <v>0</v>
      </c>
      <c r="F15" s="215" t="s">
        <v>40</v>
      </c>
      <c r="G15" s="216"/>
      <c r="H15" s="217">
        <f>H13-H14</f>
        <v>200000.25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137</v>
      </c>
      <c r="C17" s="84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84">
        <v>2</v>
      </c>
      <c r="D18" s="48">
        <f t="shared" si="1"/>
        <v>1240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88"/>
      <c r="I19" s="188"/>
      <c r="J19" s="188"/>
      <c r="L19" s="6">
        <v>1102</v>
      </c>
      <c r="Q19" s="4"/>
      <c r="R19" s="5">
        <f t="shared" si="0"/>
        <v>0</v>
      </c>
    </row>
    <row r="20" spans="1:18" ht="15.75" x14ac:dyDescent="0.25">
      <c r="A20" s="166"/>
      <c r="B20" s="83" t="s">
        <v>125</v>
      </c>
      <c r="C20" s="84">
        <f>1+3</f>
        <v>4</v>
      </c>
      <c r="D20" s="13">
        <f t="shared" si="1"/>
        <v>4700</v>
      </c>
      <c r="F20" s="57"/>
      <c r="G20" s="70" t="s">
        <v>120</v>
      </c>
      <c r="H20" s="177"/>
      <c r="I20" s="177"/>
      <c r="J20" s="17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135</v>
      </c>
      <c r="C21" s="84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127</v>
      </c>
      <c r="C22" s="84"/>
      <c r="D22" s="48">
        <f t="shared" si="1"/>
        <v>0</v>
      </c>
      <c r="F22" s="77" t="s">
        <v>159</v>
      </c>
      <c r="G22" s="73">
        <v>8418</v>
      </c>
      <c r="H22" s="193">
        <v>99507</v>
      </c>
      <c r="I22" s="193"/>
      <c r="J22" s="193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101</v>
      </c>
      <c r="C23" s="84"/>
      <c r="D23" s="48">
        <f t="shared" si="1"/>
        <v>0</v>
      </c>
      <c r="F23" s="77"/>
      <c r="G23" s="79"/>
      <c r="H23" s="259"/>
      <c r="I23" s="260"/>
      <c r="J23" s="26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121</v>
      </c>
      <c r="C24" s="84"/>
      <c r="D24" s="48">
        <f t="shared" si="1"/>
        <v>0</v>
      </c>
      <c r="F24" s="77"/>
      <c r="G24" s="79"/>
      <c r="H24" s="259"/>
      <c r="I24" s="260"/>
      <c r="J24" s="26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138</v>
      </c>
      <c r="C25" s="84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136</v>
      </c>
      <c r="C26" s="84"/>
      <c r="D26" s="48">
        <f t="shared" si="1"/>
        <v>0</v>
      </c>
      <c r="F26" s="75" t="s">
        <v>159</v>
      </c>
      <c r="G26" s="65">
        <v>8315</v>
      </c>
      <c r="H26" s="163">
        <v>92560</v>
      </c>
      <c r="I26" s="163"/>
      <c r="J26" s="163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110</v>
      </c>
      <c r="C27" s="84"/>
      <c r="D27" s="44">
        <f t="shared" si="1"/>
        <v>0</v>
      </c>
      <c r="F27" s="71"/>
      <c r="G27" s="90"/>
      <c r="H27" s="261"/>
      <c r="I27" s="262"/>
      <c r="J27" s="26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84">
        <v>5</v>
      </c>
      <c r="D28" s="48">
        <f t="shared" si="1"/>
        <v>4055</v>
      </c>
      <c r="F28" s="93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228543</v>
      </c>
      <c r="F29" s="124" t="s">
        <v>55</v>
      </c>
      <c r="G29" s="186"/>
      <c r="H29" s="146">
        <f>H15-H16-H17-H18-H19-H20-H22-H23-H24+H26+H27+H28</f>
        <v>193053.25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40">
        <v>42</v>
      </c>
      <c r="H34" s="168">
        <f t="shared" ref="H34:H39" si="2">F34*G34</f>
        <v>42000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29</v>
      </c>
      <c r="H35" s="168">
        <f t="shared" si="2"/>
        <v>14500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>
        <v>36</v>
      </c>
      <c r="D36" s="12">
        <f>C36*1.5</f>
        <v>54</v>
      </c>
      <c r="F36" s="12">
        <v>200</v>
      </c>
      <c r="G36" s="37"/>
      <c r="H36" s="168">
        <f t="shared" si="2"/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156</v>
      </c>
      <c r="D37" s="12">
        <f>C37*111</f>
        <v>17316</v>
      </c>
      <c r="F37" s="12">
        <v>100</v>
      </c>
      <c r="G37" s="39">
        <v>6</v>
      </c>
      <c r="H37" s="168">
        <f t="shared" si="2"/>
        <v>600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79</v>
      </c>
      <c r="D38" s="12">
        <f>C38*84</f>
        <v>6636</v>
      </c>
      <c r="F38" s="30">
        <v>50</v>
      </c>
      <c r="G38" s="39">
        <v>2</v>
      </c>
      <c r="H38" s="168">
        <f t="shared" si="2"/>
        <v>100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4</v>
      </c>
      <c r="D39" s="31">
        <f>C39*4.5</f>
        <v>18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6</v>
      </c>
      <c r="D40" s="12">
        <f>C40*111</f>
        <v>666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>
        <v>5</v>
      </c>
      <c r="D41" s="12">
        <f>C41*84</f>
        <v>420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9</v>
      </c>
      <c r="D42" s="12">
        <f>C42*2.25</f>
        <v>20.25</v>
      </c>
      <c r="F42" s="39" t="s">
        <v>79</v>
      </c>
      <c r="G42" s="168">
        <v>159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7</v>
      </c>
      <c r="D44" s="12">
        <f>C44*120</f>
        <v>840</v>
      </c>
      <c r="F44" s="37" t="s">
        <v>153</v>
      </c>
      <c r="G44" s="62"/>
      <c r="H44" s="163">
        <v>11432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>
        <v>6</v>
      </c>
      <c r="D45" s="12">
        <f>C45*84</f>
        <v>504</v>
      </c>
      <c r="F45" s="37" t="s">
        <v>153</v>
      </c>
      <c r="G45" s="62"/>
      <c r="H45" s="163">
        <v>30888</v>
      </c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5</v>
      </c>
      <c r="D46" s="12">
        <f>C46*1.5</f>
        <v>7.5</v>
      </c>
      <c r="F46" s="37" t="s">
        <v>156</v>
      </c>
      <c r="G46" s="96" t="s">
        <v>158</v>
      </c>
      <c r="H46" s="163">
        <v>92560</v>
      </c>
      <c r="I46" s="163"/>
      <c r="J46" s="163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23</v>
      </c>
      <c r="D48" s="12">
        <f>C48*78</f>
        <v>1794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192239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42</v>
      </c>
      <c r="D50" s="12">
        <f>C50*1.5</f>
        <v>63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131</v>
      </c>
      <c r="G51" s="253">
        <f>G49-H29</f>
        <v>-814.25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28542.75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7F3A-5F49-4B3A-8A37-12F5AA06B9E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2</v>
      </c>
      <c r="H4" s="225" t="s">
        <v>9</v>
      </c>
      <c r="I4" s="227">
        <v>46034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v>351</v>
      </c>
      <c r="D6" s="13">
        <f t="shared" ref="D6:D28" si="1">C6*L6</f>
        <v>267111</v>
      </c>
      <c r="F6" s="231" t="s">
        <v>16</v>
      </c>
      <c r="G6" s="233" t="s">
        <v>140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>
        <v>11</v>
      </c>
      <c r="D7" s="13">
        <f t="shared" si="1"/>
        <v>8591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114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110</v>
      </c>
      <c r="D9" s="13">
        <f t="shared" si="1"/>
        <v>80630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115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13</v>
      </c>
      <c r="D13" s="48">
        <f t="shared" si="1"/>
        <v>3991</v>
      </c>
      <c r="F13" s="252" t="s">
        <v>36</v>
      </c>
      <c r="G13" s="216"/>
      <c r="H13" s="207">
        <f>D29</f>
        <v>360378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5</v>
      </c>
      <c r="D14" s="31">
        <f t="shared" si="1"/>
        <v>55</v>
      </c>
      <c r="F14" s="210" t="s">
        <v>39</v>
      </c>
      <c r="G14" s="211"/>
      <c r="H14" s="212">
        <f>D54</f>
        <v>53643.75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306734.25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>
        <f>2652</f>
        <v>2652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93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63"/>
      <c r="I19" s="263"/>
      <c r="J19" s="26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88"/>
      <c r="I20" s="188"/>
      <c r="J20" s="18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2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25"/>
      <c r="G23" s="37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123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93"/>
      <c r="G28" s="61"/>
      <c r="H28" s="204"/>
      <c r="I28" s="205"/>
      <c r="J28" s="206"/>
      <c r="L28" s="7">
        <v>785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360378</v>
      </c>
      <c r="F29" s="124" t="s">
        <v>55</v>
      </c>
      <c r="G29" s="186"/>
      <c r="H29" s="146">
        <f>H15-H16-H17-H18-H19-H20-H22-H23-H24+H26+H27</f>
        <v>304082.25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123</v>
      </c>
      <c r="H34" s="168">
        <f>F34*G34</f>
        <v>123000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267</v>
      </c>
      <c r="H35" s="168">
        <f t="shared" ref="H35:H39" si="2">F35*G35</f>
        <v>133500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168">
        <f>F36*G36</f>
        <v>200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471</v>
      </c>
      <c r="D37" s="12">
        <f>C37*111</f>
        <v>52281</v>
      </c>
      <c r="F37" s="12">
        <v>100</v>
      </c>
      <c r="G37" s="39">
        <v>384</v>
      </c>
      <c r="H37" s="168">
        <f t="shared" si="2"/>
        <v>38400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2</v>
      </c>
      <c r="D38" s="12">
        <f>C38*84</f>
        <v>168</v>
      </c>
      <c r="F38" s="30">
        <v>50</v>
      </c>
      <c r="G38" s="39">
        <v>177</v>
      </c>
      <c r="H38" s="168">
        <f t="shared" si="2"/>
        <v>8850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4</v>
      </c>
      <c r="D39" s="31">
        <f>C39*4.5</f>
        <v>18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1</v>
      </c>
      <c r="D40" s="12">
        <f>C40*111</f>
        <v>111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5</v>
      </c>
      <c r="D42" s="12">
        <f>C42*2.25</f>
        <v>11.25</v>
      </c>
      <c r="F42" s="39" t="s">
        <v>79</v>
      </c>
      <c r="G42" s="168">
        <v>61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62"/>
      <c r="H44" s="163"/>
      <c r="I44" s="163"/>
      <c r="J44" s="163"/>
      <c r="K44" s="21"/>
      <c r="O44" t="s">
        <v>106</v>
      </c>
      <c r="P44" s="4">
        <v>700</v>
      </c>
      <c r="Q44" s="4">
        <v>120</v>
      </c>
      <c r="R44" s="5">
        <f>Q44+P44</f>
        <v>820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6</v>
      </c>
      <c r="D46" s="12">
        <f>C46*1.5</f>
        <v>9</v>
      </c>
      <c r="F46" s="37"/>
      <c r="G46" s="91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12</v>
      </c>
      <c r="D48" s="12">
        <f>C48*78</f>
        <v>936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2</v>
      </c>
      <c r="D49" s="12">
        <f>C49*42</f>
        <v>84</v>
      </c>
      <c r="F49" s="144" t="s">
        <v>86</v>
      </c>
      <c r="G49" s="146">
        <f>H34+H35+H36+H37+H38+H39+H40+H41+G42+H44+H45+H46</f>
        <v>304011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17</v>
      </c>
      <c r="D50" s="12">
        <f>C50*1.5</f>
        <v>25.5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161</v>
      </c>
      <c r="G51" s="253">
        <f>G49-H29</f>
        <v>-71.25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53643.75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768AE-9C4C-4242-8281-75B8C43306B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3</v>
      </c>
      <c r="H4" s="225" t="s">
        <v>9</v>
      </c>
      <c r="I4" s="227">
        <v>46034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v>437</v>
      </c>
      <c r="D6" s="13">
        <f t="shared" ref="D6:D28" si="1">C6*L6</f>
        <v>332557</v>
      </c>
      <c r="F6" s="231" t="s">
        <v>16</v>
      </c>
      <c r="G6" s="233" t="s">
        <v>111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>
        <v>4</v>
      </c>
      <c r="D7" s="13">
        <f t="shared" si="1"/>
        <v>3124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119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114</v>
      </c>
      <c r="D9" s="13">
        <f t="shared" si="1"/>
        <v>83562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134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>
        <f>4+1</f>
        <v>5</v>
      </c>
      <c r="D12" s="48">
        <f t="shared" si="1"/>
        <v>4960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13</v>
      </c>
      <c r="D13" s="48">
        <f t="shared" si="1"/>
        <v>3991</v>
      </c>
      <c r="F13" s="252" t="s">
        <v>36</v>
      </c>
      <c r="G13" s="216"/>
      <c r="H13" s="207">
        <f>D29</f>
        <v>429225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20</v>
      </c>
      <c r="D14" s="31">
        <f t="shared" si="1"/>
        <v>220</v>
      </c>
      <c r="F14" s="210" t="s">
        <v>39</v>
      </c>
      <c r="G14" s="211"/>
      <c r="H14" s="212">
        <f>D54</f>
        <v>84082.5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345142.5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>
        <f>1026+312</f>
        <v>1338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113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64">
        <v>50</v>
      </c>
      <c r="I19" s="264"/>
      <c r="J19" s="26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7"/>
      <c r="G22" s="73"/>
      <c r="H22" s="193"/>
      <c r="I22" s="193"/>
      <c r="J22" s="193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101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>
        <v>1</v>
      </c>
      <c r="D28" s="48">
        <f t="shared" si="1"/>
        <v>811</v>
      </c>
      <c r="F28" s="93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429225</v>
      </c>
      <c r="F29" s="124" t="s">
        <v>55</v>
      </c>
      <c r="G29" s="186"/>
      <c r="H29" s="146">
        <f>H15-H16-H17-H18-H19-H20-H22-H23-H24+H26+H27</f>
        <v>343754.5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66</v>
      </c>
      <c r="H34" s="168">
        <f>F34*G34</f>
        <v>66000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35</v>
      </c>
      <c r="H35" s="168">
        <f>F35*G35</f>
        <v>17500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>
        <v>3</v>
      </c>
      <c r="H36" s="168">
        <f t="shared" ref="H36:H39" si="2">F36*G36</f>
        <v>600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706</v>
      </c>
      <c r="D37" s="12">
        <f>C37*111</f>
        <v>78366</v>
      </c>
      <c r="F37" s="12">
        <v>100</v>
      </c>
      <c r="G37" s="39">
        <v>84</v>
      </c>
      <c r="H37" s="168">
        <f t="shared" si="2"/>
        <v>8400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37</v>
      </c>
      <c r="D38" s="12">
        <f>C38*84</f>
        <v>3108</v>
      </c>
      <c r="F38" s="30">
        <v>50</v>
      </c>
      <c r="G38" s="39">
        <v>35</v>
      </c>
      <c r="H38" s="168">
        <f t="shared" si="2"/>
        <v>1750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8</v>
      </c>
      <c r="D40" s="12">
        <f>C40*111</f>
        <v>888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>
        <v>3</v>
      </c>
      <c r="D41" s="12">
        <f>C41*84</f>
        <v>252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8</v>
      </c>
      <c r="D42" s="12">
        <f>C42*2.25</f>
        <v>18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9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2</v>
      </c>
      <c r="D44" s="12">
        <f>C44*120</f>
        <v>240</v>
      </c>
      <c r="F44" s="113" t="s">
        <v>191</v>
      </c>
      <c r="G44" s="76" t="s">
        <v>192</v>
      </c>
      <c r="H44" s="163">
        <v>140724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>
        <v>3</v>
      </c>
      <c r="D45" s="12">
        <f>C45*84</f>
        <v>252</v>
      </c>
      <c r="F45" s="37" t="s">
        <v>147</v>
      </c>
      <c r="G45" s="76" t="s">
        <v>193</v>
      </c>
      <c r="H45" s="163">
        <v>108088</v>
      </c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17</v>
      </c>
      <c r="D46" s="12">
        <f>C46*1.5</f>
        <v>25.5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9</v>
      </c>
      <c r="D48" s="12">
        <f>C48*78</f>
        <v>702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5</v>
      </c>
      <c r="D49" s="12">
        <f>C49*42</f>
        <v>210</v>
      </c>
      <c r="F49" s="144" t="s">
        <v>86</v>
      </c>
      <c r="G49" s="146">
        <f>H34+H35+H36+H37+H38+H39+H40+H41+G42+H44+H45+H46</f>
        <v>343062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14</v>
      </c>
      <c r="D50" s="12">
        <f>C50*1.5</f>
        <v>21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139</v>
      </c>
      <c r="G51" s="253">
        <f>G49-H29</f>
        <v>-692.5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84082.5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435D0-A781-43B0-BB54-63A5594375BA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20" t="s">
        <v>1</v>
      </c>
      <c r="O1" s="220"/>
      <c r="P1" s="103" t="s">
        <v>2</v>
      </c>
      <c r="Q1" s="10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71" t="s">
        <v>7</v>
      </c>
      <c r="B4" s="172"/>
      <c r="C4" s="172"/>
      <c r="D4" s="173"/>
      <c r="F4" s="221" t="s">
        <v>8</v>
      </c>
      <c r="G4" s="223"/>
      <c r="H4" s="225" t="s">
        <v>9</v>
      </c>
      <c r="I4" s="227"/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6"/>
      <c r="B6" s="16"/>
      <c r="C6" s="10"/>
      <c r="D6" s="13">
        <f t="shared" ref="D6:D28" si="1">C6*L6</f>
        <v>0</v>
      </c>
      <c r="F6" s="231" t="s">
        <v>16</v>
      </c>
      <c r="G6" s="233"/>
      <c r="H6" s="234"/>
      <c r="I6" s="234"/>
      <c r="J6" s="23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6"/>
      <c r="B7" s="16"/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6"/>
      <c r="B8" s="16"/>
      <c r="C8" s="10"/>
      <c r="D8" s="13">
        <f t="shared" si="1"/>
        <v>0</v>
      </c>
      <c r="F8" s="239" t="s">
        <v>21</v>
      </c>
      <c r="G8" s="240"/>
      <c r="H8" s="241"/>
      <c r="I8" s="241"/>
      <c r="J8" s="24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6"/>
      <c r="B9" s="16"/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6"/>
      <c r="C10" s="10"/>
      <c r="D10" s="13">
        <f t="shared" si="1"/>
        <v>0</v>
      </c>
      <c r="F10" s="231" t="s">
        <v>26</v>
      </c>
      <c r="G10" s="246"/>
      <c r="H10" s="247"/>
      <c r="I10" s="247"/>
      <c r="J10" s="248"/>
      <c r="K10" s="8"/>
      <c r="L10" s="6">
        <f>R36</f>
        <v>972</v>
      </c>
      <c r="P10" s="4"/>
      <c r="Q10" s="4"/>
      <c r="R10" s="5"/>
    </row>
    <row r="11" spans="1:19" ht="15.75" x14ac:dyDescent="0.25">
      <c r="A11" s="166"/>
      <c r="B11" s="17"/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6"/>
      <c r="B12" s="17"/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6"/>
      <c r="B13" s="17"/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6"/>
      <c r="B14" s="14"/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6"/>
      <c r="B15" s="14"/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/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/>
      <c r="C19" s="10"/>
      <c r="D19" s="48">
        <f t="shared" si="1"/>
        <v>0</v>
      </c>
      <c r="F19" s="56"/>
      <c r="G19" s="68" t="s">
        <v>50</v>
      </c>
      <c r="H19" s="189"/>
      <c r="I19" s="189"/>
      <c r="J19" s="18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/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6"/>
      <c r="B22" s="46"/>
      <c r="C22" s="10"/>
      <c r="D22" s="48">
        <f t="shared" si="1"/>
        <v>0</v>
      </c>
      <c r="F22" s="77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/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/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6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/>
      <c r="C28" s="10"/>
      <c r="D28" s="48">
        <f t="shared" si="1"/>
        <v>0</v>
      </c>
      <c r="F28" s="104"/>
      <c r="G28" s="61"/>
      <c r="H28" s="204"/>
      <c r="I28" s="205"/>
      <c r="J28" s="206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/>
      <c r="I34" s="169"/>
      <c r="J34" s="170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/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/>
      <c r="I36" s="169"/>
      <c r="J36" s="170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/>
      <c r="I37" s="169"/>
      <c r="J37" s="170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/>
      <c r="I38" s="169"/>
      <c r="J38" s="170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/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07" t="s">
        <v>83</v>
      </c>
      <c r="H43" s="160" t="s">
        <v>13</v>
      </c>
      <c r="I43" s="161"/>
      <c r="J43" s="162"/>
      <c r="K43" s="21"/>
      <c r="P43" s="4"/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76"/>
      <c r="H44" s="163"/>
      <c r="I44" s="163"/>
      <c r="J44" s="163"/>
      <c r="K44" s="21"/>
      <c r="P44" s="4"/>
      <c r="Q44" s="4"/>
      <c r="R44" s="5"/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P50" s="4"/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128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F96F-764A-49BB-A36E-4DC837A8A004}">
  <dimension ref="A1:R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1</v>
      </c>
      <c r="H4" s="225" t="s">
        <v>9</v>
      </c>
      <c r="I4" s="227">
        <v>46035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84">
        <v>355</v>
      </c>
      <c r="D6" s="13">
        <f t="shared" ref="D6:D28" si="1">C6*L6</f>
        <v>270155</v>
      </c>
      <c r="F6" s="231" t="s">
        <v>16</v>
      </c>
      <c r="G6" s="233" t="s">
        <v>129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84">
        <v>3</v>
      </c>
      <c r="D7" s="13">
        <f t="shared" si="1"/>
        <v>2343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84"/>
      <c r="D8" s="13">
        <f t="shared" si="1"/>
        <v>0</v>
      </c>
      <c r="F8" s="239" t="s">
        <v>21</v>
      </c>
      <c r="G8" s="240" t="s">
        <v>112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84">
        <v>20</v>
      </c>
      <c r="D9" s="13">
        <f t="shared" si="1"/>
        <v>14660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84">
        <v>5</v>
      </c>
      <c r="D10" s="13">
        <f t="shared" si="1"/>
        <v>5160</v>
      </c>
      <c r="F10" s="231" t="s">
        <v>26</v>
      </c>
      <c r="G10" s="246" t="s">
        <v>130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84">
        <v>5</v>
      </c>
      <c r="D11" s="13">
        <f t="shared" si="1"/>
        <v>5850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84">
        <v>6</v>
      </c>
      <c r="D12" s="48">
        <f t="shared" si="1"/>
        <v>5952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84">
        <v>8</v>
      </c>
      <c r="D13" s="48">
        <f t="shared" si="1"/>
        <v>2456</v>
      </c>
      <c r="F13" s="252" t="s">
        <v>36</v>
      </c>
      <c r="G13" s="216"/>
      <c r="H13" s="207">
        <f>D29</f>
        <v>308880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84">
        <v>23</v>
      </c>
      <c r="D14" s="31">
        <f t="shared" si="1"/>
        <v>253</v>
      </c>
      <c r="F14" s="210" t="s">
        <v>39</v>
      </c>
      <c r="G14" s="211"/>
      <c r="H14" s="212">
        <f>D54</f>
        <v>123354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84"/>
      <c r="D15" s="31">
        <f t="shared" si="1"/>
        <v>0</v>
      </c>
      <c r="F15" s="215" t="s">
        <v>40</v>
      </c>
      <c r="G15" s="216"/>
      <c r="H15" s="217">
        <f>H13-H14</f>
        <v>185526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77">
        <f>1314</f>
        <v>1314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137</v>
      </c>
      <c r="C17" s="84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84">
        <v>2</v>
      </c>
      <c r="D18" s="48">
        <f t="shared" si="1"/>
        <v>1240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88"/>
      <c r="I19" s="188"/>
      <c r="J19" s="188"/>
      <c r="L19" s="6">
        <v>1102</v>
      </c>
      <c r="Q19" s="4"/>
      <c r="R19" s="5">
        <f t="shared" si="0"/>
        <v>0</v>
      </c>
    </row>
    <row r="20" spans="1:18" ht="15.75" x14ac:dyDescent="0.25">
      <c r="A20" s="166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135</v>
      </c>
      <c r="C21" s="84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127</v>
      </c>
      <c r="C22" s="84"/>
      <c r="D22" s="48">
        <f t="shared" si="1"/>
        <v>0</v>
      </c>
      <c r="F22" s="77"/>
      <c r="G22" s="73"/>
      <c r="H22" s="193"/>
      <c r="I22" s="193"/>
      <c r="J22" s="193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101</v>
      </c>
      <c r="C23" s="84"/>
      <c r="D23" s="48">
        <f t="shared" si="1"/>
        <v>0</v>
      </c>
      <c r="F23" s="77"/>
      <c r="G23" s="79"/>
      <c r="H23" s="259"/>
      <c r="I23" s="260"/>
      <c r="J23" s="26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121</v>
      </c>
      <c r="C24" s="84"/>
      <c r="D24" s="48">
        <f t="shared" si="1"/>
        <v>0</v>
      </c>
      <c r="F24" s="77"/>
      <c r="G24" s="79"/>
      <c r="H24" s="259"/>
      <c r="I24" s="260"/>
      <c r="J24" s="26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138</v>
      </c>
      <c r="C25" s="84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136</v>
      </c>
      <c r="C26" s="84"/>
      <c r="D26" s="48">
        <f t="shared" si="1"/>
        <v>0</v>
      </c>
      <c r="F26" s="75"/>
      <c r="G26" s="65"/>
      <c r="H26" s="163"/>
      <c r="I26" s="163"/>
      <c r="J26" s="163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110</v>
      </c>
      <c r="C27" s="84"/>
      <c r="D27" s="44">
        <f t="shared" si="1"/>
        <v>0</v>
      </c>
      <c r="F27" s="71"/>
      <c r="G27" s="107"/>
      <c r="H27" s="261"/>
      <c r="I27" s="262"/>
      <c r="J27" s="26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84">
        <v>1</v>
      </c>
      <c r="D28" s="48">
        <f t="shared" si="1"/>
        <v>811</v>
      </c>
      <c r="F28" s="104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308880</v>
      </c>
      <c r="F29" s="124" t="s">
        <v>55</v>
      </c>
      <c r="G29" s="186"/>
      <c r="H29" s="146">
        <f>H15-H16-H17-H18-H19-H20-H22-H23-H24+H26+H27+H28</f>
        <v>184212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>
        <v>4</v>
      </c>
      <c r="D34" s="30">
        <f>C34*120</f>
        <v>480</v>
      </c>
      <c r="F34" s="12">
        <v>1000</v>
      </c>
      <c r="G34" s="40">
        <v>78</v>
      </c>
      <c r="H34" s="168">
        <f t="shared" ref="H34:H39" si="2">F34*G34</f>
        <v>78000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21</v>
      </c>
      <c r="H35" s="168">
        <f t="shared" si="2"/>
        <v>10500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 t="shared" si="2"/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1045</v>
      </c>
      <c r="D37" s="12">
        <f>C37*111</f>
        <v>115995</v>
      </c>
      <c r="F37" s="12">
        <v>100</v>
      </c>
      <c r="G37" s="39">
        <v>8</v>
      </c>
      <c r="H37" s="168">
        <f t="shared" si="2"/>
        <v>800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23</v>
      </c>
      <c r="D38" s="12">
        <f>C38*84</f>
        <v>1932</v>
      </c>
      <c r="F38" s="30">
        <v>50</v>
      </c>
      <c r="G38" s="39">
        <v>7</v>
      </c>
      <c r="H38" s="168">
        <f t="shared" si="2"/>
        <v>350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18</v>
      </c>
      <c r="D40" s="12">
        <f>C40*111</f>
        <v>1998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>
        <v>20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07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19</v>
      </c>
      <c r="D44" s="12">
        <f>C44*120</f>
        <v>2280</v>
      </c>
      <c r="F44" s="37" t="s">
        <v>147</v>
      </c>
      <c r="G44" s="62" t="s">
        <v>195</v>
      </c>
      <c r="H44" s="163">
        <v>69378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>
        <v>1</v>
      </c>
      <c r="D45" s="12">
        <f>C45*84</f>
        <v>84</v>
      </c>
      <c r="F45" s="37" t="s">
        <v>153</v>
      </c>
      <c r="G45" s="62"/>
      <c r="H45" s="163">
        <v>25500</v>
      </c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22</v>
      </c>
      <c r="D46" s="12">
        <f>C46*1.5</f>
        <v>33</v>
      </c>
      <c r="F46" s="37"/>
      <c r="G46" s="62"/>
      <c r="H46" s="163"/>
      <c r="I46" s="163"/>
      <c r="J46" s="163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7</v>
      </c>
      <c r="D48" s="12">
        <f>C48*78</f>
        <v>546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184548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1</v>
      </c>
      <c r="D50" s="12">
        <f>C50*1.5</f>
        <v>1.5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149</v>
      </c>
      <c r="G51" s="154">
        <f>G49-H29</f>
        <v>336</v>
      </c>
      <c r="H51" s="155"/>
      <c r="I51" s="155"/>
      <c r="J51" s="156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123354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E9F3C-999B-4470-A701-EA35174B52F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2</v>
      </c>
      <c r="H4" s="225" t="s">
        <v>9</v>
      </c>
      <c r="I4" s="227">
        <v>46035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f>394-63</f>
        <v>331</v>
      </c>
      <c r="D6" s="13">
        <f t="shared" ref="D6:D28" si="1">C6*L6</f>
        <v>251891</v>
      </c>
      <c r="F6" s="231" t="s">
        <v>16</v>
      </c>
      <c r="G6" s="233" t="s">
        <v>140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>
        <v>6</v>
      </c>
      <c r="D7" s="13">
        <f t="shared" si="1"/>
        <v>4686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114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f>54-14</f>
        <v>40</v>
      </c>
      <c r="D9" s="13">
        <f t="shared" si="1"/>
        <v>29320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115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>
        <v>3</v>
      </c>
      <c r="D12" s="48">
        <f t="shared" si="1"/>
        <v>2976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8</v>
      </c>
      <c r="D13" s="48">
        <f t="shared" si="1"/>
        <v>2456</v>
      </c>
      <c r="F13" s="252" t="s">
        <v>36</v>
      </c>
      <c r="G13" s="216"/>
      <c r="H13" s="207">
        <f>D29</f>
        <v>295463.33333333331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22</v>
      </c>
      <c r="D14" s="31">
        <f t="shared" si="1"/>
        <v>242</v>
      </c>
      <c r="F14" s="210" t="s">
        <v>39</v>
      </c>
      <c r="G14" s="211"/>
      <c r="H14" s="212">
        <f>D54</f>
        <v>42937.5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252525.83333333331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>
        <v>1182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93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63"/>
      <c r="I19" s="263"/>
      <c r="J19" s="26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114" t="s">
        <v>194</v>
      </c>
      <c r="C20" s="10">
        <f>1+1</f>
        <v>2</v>
      </c>
      <c r="D20" s="13">
        <f t="shared" si="1"/>
        <v>2350</v>
      </c>
      <c r="F20" s="57"/>
      <c r="G20" s="70" t="s">
        <v>120</v>
      </c>
      <c r="H20" s="188"/>
      <c r="I20" s="188"/>
      <c r="J20" s="18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>
        <f>1+1</f>
        <v>2</v>
      </c>
      <c r="D21" s="48">
        <f t="shared" si="1"/>
        <v>1300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2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25"/>
      <c r="G23" s="37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123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>
        <v>2</v>
      </c>
      <c r="D28" s="48">
        <f t="shared" si="1"/>
        <v>242.33333333333334</v>
      </c>
      <c r="F28" s="104"/>
      <c r="G28" s="61"/>
      <c r="H28" s="204"/>
      <c r="I28" s="205"/>
      <c r="J28" s="206"/>
      <c r="L28" s="47">
        <f>700/6+4.5</f>
        <v>121.16666666666667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295463.33333333331</v>
      </c>
      <c r="F29" s="124" t="s">
        <v>55</v>
      </c>
      <c r="G29" s="186"/>
      <c r="H29" s="146">
        <f>H15-H16-H17-H18-H19-H20-H22-H23-H24+H26+H27</f>
        <v>251343.83333333331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>
        <v>3</v>
      </c>
      <c r="D34" s="30">
        <f>C34*120</f>
        <v>360</v>
      </c>
      <c r="F34" s="12">
        <v>1000</v>
      </c>
      <c r="G34" s="74">
        <v>93</v>
      </c>
      <c r="H34" s="168">
        <f>F34*G34</f>
        <v>93000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28</v>
      </c>
      <c r="H35" s="168">
        <f t="shared" ref="H35:H39" si="2">F35*G35</f>
        <v>14000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>
        <v>7</v>
      </c>
      <c r="H36" s="168">
        <f>F36*G36</f>
        <v>1400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349</v>
      </c>
      <c r="D37" s="12">
        <f>C37*111</f>
        <v>38739</v>
      </c>
      <c r="F37" s="12">
        <v>100</v>
      </c>
      <c r="G37" s="39">
        <v>100</v>
      </c>
      <c r="H37" s="168">
        <f t="shared" si="2"/>
        <v>10000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21</v>
      </c>
      <c r="D38" s="12">
        <f>C38*84</f>
        <v>1764</v>
      </c>
      <c r="F38" s="30">
        <v>50</v>
      </c>
      <c r="G38" s="39">
        <v>4</v>
      </c>
      <c r="H38" s="168">
        <f t="shared" si="2"/>
        <v>200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1</v>
      </c>
      <c r="D40" s="12">
        <f>C40*111</f>
        <v>111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12</v>
      </c>
      <c r="D42" s="12">
        <f>C42*2.25</f>
        <v>27</v>
      </c>
      <c r="F42" s="39" t="s">
        <v>79</v>
      </c>
      <c r="G42" s="168">
        <v>50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07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 t="s">
        <v>147</v>
      </c>
      <c r="G44" s="62" t="s">
        <v>196</v>
      </c>
      <c r="H44" s="163">
        <v>131773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>
        <v>1</v>
      </c>
      <c r="D45" s="12">
        <f>C45*84</f>
        <v>84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106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5</v>
      </c>
      <c r="D48" s="12">
        <f>C48*78</f>
        <v>390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30</v>
      </c>
      <c r="D49" s="12">
        <f>C49*42</f>
        <v>1260</v>
      </c>
      <c r="F49" s="144" t="s">
        <v>86</v>
      </c>
      <c r="G49" s="146">
        <f>H34+H35+H36+H37+H38+H39+H40+H41+G42+H44+H45+H46</f>
        <v>250423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8</v>
      </c>
      <c r="D50" s="12">
        <f>C50*1.5</f>
        <v>12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161</v>
      </c>
      <c r="G51" s="253">
        <f>G49-H29</f>
        <v>-920.83333333331393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42937.5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7A12E-9992-4A31-9BCC-46FD40EA0F1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3</v>
      </c>
      <c r="H4" s="225" t="s">
        <v>9</v>
      </c>
      <c r="I4" s="227">
        <v>46035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v>363</v>
      </c>
      <c r="D6" s="13">
        <f t="shared" ref="D6:D28" si="1">C6*L6</f>
        <v>276243</v>
      </c>
      <c r="F6" s="231" t="s">
        <v>16</v>
      </c>
      <c r="G6" s="233" t="s">
        <v>111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>
        <v>7</v>
      </c>
      <c r="D7" s="13">
        <f t="shared" si="1"/>
        <v>5467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119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15</v>
      </c>
      <c r="D9" s="13">
        <f t="shared" si="1"/>
        <v>10995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>
        <v>3</v>
      </c>
      <c r="D10" s="13">
        <f t="shared" si="1"/>
        <v>3096</v>
      </c>
      <c r="F10" s="231" t="s">
        <v>26</v>
      </c>
      <c r="G10" s="246" t="s">
        <v>134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12</v>
      </c>
      <c r="D13" s="48">
        <f t="shared" si="1"/>
        <v>3684</v>
      </c>
      <c r="F13" s="252" t="s">
        <v>36</v>
      </c>
      <c r="G13" s="216"/>
      <c r="H13" s="207">
        <f>D29</f>
        <v>302382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5</v>
      </c>
      <c r="D14" s="31">
        <f t="shared" si="1"/>
        <v>55</v>
      </c>
      <c r="F14" s="210" t="s">
        <v>39</v>
      </c>
      <c r="G14" s="211"/>
      <c r="H14" s="212">
        <f>D54</f>
        <v>67329.75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235052.25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>
        <f>1296+324</f>
        <v>1620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113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64"/>
      <c r="I19" s="264"/>
      <c r="J19" s="26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7"/>
      <c r="G22" s="73"/>
      <c r="H22" s="193"/>
      <c r="I22" s="193"/>
      <c r="J22" s="193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95" t="s">
        <v>150</v>
      </c>
      <c r="C23" s="10">
        <v>1</v>
      </c>
      <c r="D23" s="48">
        <f t="shared" si="1"/>
        <v>1175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101</v>
      </c>
      <c r="C24" s="10">
        <v>1</v>
      </c>
      <c r="D24" s="48">
        <f t="shared" si="1"/>
        <v>1667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104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302382</v>
      </c>
      <c r="F29" s="124" t="s">
        <v>55</v>
      </c>
      <c r="G29" s="186"/>
      <c r="H29" s="146">
        <f>H15-H16-H17-H18-H19-H20-H22-H23-H24+H26+H27</f>
        <v>233432.25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74">
        <v>87</v>
      </c>
      <c r="H34" s="168">
        <f>F34*G34</f>
        <v>87000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48</v>
      </c>
      <c r="H35" s="168">
        <f>F35*G35</f>
        <v>24000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>
        <v>23</v>
      </c>
      <c r="D36" s="12">
        <f>C36*1.5</f>
        <v>34.5</v>
      </c>
      <c r="F36" s="12">
        <v>200</v>
      </c>
      <c r="G36" s="37"/>
      <c r="H36" s="168">
        <f t="shared" ref="H36:H39" si="2"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568</v>
      </c>
      <c r="D37" s="12">
        <f>C37*111</f>
        <v>63048</v>
      </c>
      <c r="F37" s="12">
        <v>100</v>
      </c>
      <c r="G37" s="39">
        <v>39</v>
      </c>
      <c r="H37" s="168">
        <f t="shared" si="2"/>
        <v>3900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22</v>
      </c>
      <c r="D38" s="12">
        <f>C38*84</f>
        <v>1848</v>
      </c>
      <c r="F38" s="30">
        <v>50</v>
      </c>
      <c r="G38" s="39">
        <v>27</v>
      </c>
      <c r="H38" s="168">
        <f t="shared" si="2"/>
        <v>1350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3</v>
      </c>
      <c r="D39" s="31">
        <f>C39*4.5</f>
        <v>13.5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6</v>
      </c>
      <c r="D40" s="12">
        <f>C40*111</f>
        <v>666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>
        <v>7</v>
      </c>
      <c r="D41" s="12">
        <f>C41*84</f>
        <v>588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11</v>
      </c>
      <c r="D42" s="12">
        <f>C42*2.25</f>
        <v>24.75</v>
      </c>
      <c r="F42" s="39" t="s">
        <v>79</v>
      </c>
      <c r="G42" s="168">
        <v>59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07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 t="s">
        <v>156</v>
      </c>
      <c r="G44" s="76" t="s">
        <v>197</v>
      </c>
      <c r="H44" s="163">
        <v>117189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10</v>
      </c>
      <c r="D48" s="12">
        <f>C48*78</f>
        <v>780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233498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2</v>
      </c>
      <c r="D50" s="12">
        <f>C50*1.5</f>
        <v>3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149</v>
      </c>
      <c r="G51" s="154">
        <f>G49-H29</f>
        <v>65.75</v>
      </c>
      <c r="H51" s="155"/>
      <c r="I51" s="155"/>
      <c r="J51" s="156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67329.75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09A9C-F6F9-49C7-A02F-E12D7DC3E9C0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20" t="s">
        <v>1</v>
      </c>
      <c r="O1" s="220"/>
      <c r="P1" s="110" t="s">
        <v>2</v>
      </c>
      <c r="Q1" s="11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71" t="s">
        <v>7</v>
      </c>
      <c r="B4" s="172"/>
      <c r="C4" s="172"/>
      <c r="D4" s="173"/>
      <c r="F4" s="221" t="s">
        <v>8</v>
      </c>
      <c r="G4" s="223"/>
      <c r="H4" s="225" t="s">
        <v>9</v>
      </c>
      <c r="I4" s="227"/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6"/>
      <c r="B6" s="16"/>
      <c r="C6" s="10"/>
      <c r="D6" s="13">
        <f t="shared" ref="D6:D28" si="1">C6*L6</f>
        <v>0</v>
      </c>
      <c r="F6" s="231" t="s">
        <v>16</v>
      </c>
      <c r="G6" s="233"/>
      <c r="H6" s="234"/>
      <c r="I6" s="234"/>
      <c r="J6" s="23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6"/>
      <c r="B7" s="16"/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6"/>
      <c r="B8" s="16"/>
      <c r="C8" s="10"/>
      <c r="D8" s="13">
        <f t="shared" si="1"/>
        <v>0</v>
      </c>
      <c r="F8" s="239" t="s">
        <v>21</v>
      </c>
      <c r="G8" s="240"/>
      <c r="H8" s="241"/>
      <c r="I8" s="241"/>
      <c r="J8" s="24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6"/>
      <c r="B9" s="16"/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6"/>
      <c r="C10" s="10"/>
      <c r="D10" s="13">
        <f t="shared" si="1"/>
        <v>0</v>
      </c>
      <c r="F10" s="231" t="s">
        <v>26</v>
      </c>
      <c r="G10" s="246"/>
      <c r="H10" s="247"/>
      <c r="I10" s="247"/>
      <c r="J10" s="248"/>
      <c r="K10" s="8"/>
      <c r="L10" s="6">
        <f>R36</f>
        <v>972</v>
      </c>
      <c r="P10" s="4"/>
      <c r="Q10" s="4"/>
      <c r="R10" s="5"/>
    </row>
    <row r="11" spans="1:19" ht="15.75" x14ac:dyDescent="0.25">
      <c r="A11" s="166"/>
      <c r="B11" s="17"/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6"/>
      <c r="B12" s="17"/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6"/>
      <c r="B13" s="17"/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6"/>
      <c r="B14" s="14"/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6"/>
      <c r="B15" s="14"/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/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/>
      <c r="C19" s="10"/>
      <c r="D19" s="48">
        <f t="shared" si="1"/>
        <v>0</v>
      </c>
      <c r="F19" s="56"/>
      <c r="G19" s="68" t="s">
        <v>50</v>
      </c>
      <c r="H19" s="189"/>
      <c r="I19" s="189"/>
      <c r="J19" s="18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/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6"/>
      <c r="B22" s="46"/>
      <c r="C22" s="10"/>
      <c r="D22" s="48">
        <f t="shared" si="1"/>
        <v>0</v>
      </c>
      <c r="F22" s="77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/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/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6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/>
      <c r="C28" s="10"/>
      <c r="D28" s="48">
        <f t="shared" si="1"/>
        <v>0</v>
      </c>
      <c r="F28" s="111"/>
      <c r="G28" s="61"/>
      <c r="H28" s="204"/>
      <c r="I28" s="205"/>
      <c r="J28" s="206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2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/>
      <c r="I34" s="169"/>
      <c r="J34" s="170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/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/>
      <c r="I36" s="169"/>
      <c r="J36" s="170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/>
      <c r="I37" s="169"/>
      <c r="J37" s="170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/>
      <c r="I38" s="169"/>
      <c r="J38" s="170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/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08" t="s">
        <v>83</v>
      </c>
      <c r="H43" s="160" t="s">
        <v>13</v>
      </c>
      <c r="I43" s="161"/>
      <c r="J43" s="162"/>
      <c r="K43" s="21"/>
      <c r="P43" s="4"/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76"/>
      <c r="H44" s="163"/>
      <c r="I44" s="163"/>
      <c r="J44" s="163"/>
      <c r="K44" s="21"/>
      <c r="P44" s="4"/>
      <c r="Q44" s="4"/>
      <c r="R44" s="5"/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P50" s="4"/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128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B20F5-1FE7-47A9-9712-2C45168303A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1</v>
      </c>
      <c r="H4" s="225" t="s">
        <v>9</v>
      </c>
      <c r="I4" s="227">
        <v>46036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84"/>
      <c r="D6" s="13">
        <f t="shared" ref="D6:D28" si="1">C6*L6</f>
        <v>0</v>
      </c>
      <c r="F6" s="231" t="s">
        <v>16</v>
      </c>
      <c r="G6" s="233" t="s">
        <v>129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84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84"/>
      <c r="D8" s="13">
        <f t="shared" si="1"/>
        <v>0</v>
      </c>
      <c r="F8" s="239" t="s">
        <v>21</v>
      </c>
      <c r="G8" s="240" t="s">
        <v>112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84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84"/>
      <c r="D10" s="13">
        <f t="shared" si="1"/>
        <v>0</v>
      </c>
      <c r="F10" s="231" t="s">
        <v>26</v>
      </c>
      <c r="G10" s="246" t="s">
        <v>130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84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84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84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84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84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137</v>
      </c>
      <c r="C17" s="84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88"/>
      <c r="I19" s="188"/>
      <c r="J19" s="188"/>
      <c r="L19" s="6">
        <v>1102</v>
      </c>
      <c r="Q19" s="4"/>
      <c r="R19" s="5">
        <f t="shared" si="0"/>
        <v>0</v>
      </c>
    </row>
    <row r="20" spans="1:18" ht="15.75" x14ac:dyDescent="0.25">
      <c r="A20" s="166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135</v>
      </c>
      <c r="C21" s="84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127</v>
      </c>
      <c r="C22" s="84"/>
      <c r="D22" s="48">
        <f t="shared" si="1"/>
        <v>0</v>
      </c>
      <c r="F22" s="77"/>
      <c r="G22" s="73"/>
      <c r="H22" s="193"/>
      <c r="I22" s="193"/>
      <c r="J22" s="193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101</v>
      </c>
      <c r="C23" s="84"/>
      <c r="D23" s="48">
        <f t="shared" si="1"/>
        <v>0</v>
      </c>
      <c r="F23" s="77"/>
      <c r="G23" s="79"/>
      <c r="H23" s="259"/>
      <c r="I23" s="260"/>
      <c r="J23" s="26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121</v>
      </c>
      <c r="C24" s="84"/>
      <c r="D24" s="48">
        <f t="shared" si="1"/>
        <v>0</v>
      </c>
      <c r="F24" s="77"/>
      <c r="G24" s="79"/>
      <c r="H24" s="259"/>
      <c r="I24" s="260"/>
      <c r="J24" s="26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138</v>
      </c>
      <c r="C25" s="84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136</v>
      </c>
      <c r="C26" s="84"/>
      <c r="D26" s="48">
        <f t="shared" si="1"/>
        <v>0</v>
      </c>
      <c r="F26" s="75"/>
      <c r="G26" s="65"/>
      <c r="H26" s="163"/>
      <c r="I26" s="163"/>
      <c r="J26" s="163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110</v>
      </c>
      <c r="C27" s="84"/>
      <c r="D27" s="44">
        <f t="shared" si="1"/>
        <v>0</v>
      </c>
      <c r="F27" s="71"/>
      <c r="G27" s="108"/>
      <c r="H27" s="261"/>
      <c r="I27" s="262"/>
      <c r="J27" s="26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84"/>
      <c r="D28" s="48">
        <f t="shared" si="1"/>
        <v>0</v>
      </c>
      <c r="F28" s="111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H15-H16-H17-H18-H19-H20-H22-H23-H24+H26+H27+H28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2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68">
        <f t="shared" ref="H34:H39" si="2">F34*G34</f>
        <v>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>
        <f t="shared" si="2"/>
        <v>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 t="shared" si="2"/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>
        <f t="shared" si="2"/>
        <v>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08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62"/>
      <c r="H44" s="163"/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3"/>
      <c r="I46" s="163"/>
      <c r="J46" s="163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131</v>
      </c>
      <c r="G51" s="253">
        <f>G49-H29</f>
        <v>0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A80A9-8B03-4023-809A-82C2B2065F6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2</v>
      </c>
      <c r="H4" s="225" t="s">
        <v>9</v>
      </c>
      <c r="I4" s="227">
        <v>46036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v>509</v>
      </c>
      <c r="D6" s="13">
        <f t="shared" ref="D6:D28" si="1">C6*L6</f>
        <v>387349</v>
      </c>
      <c r="F6" s="231" t="s">
        <v>16</v>
      </c>
      <c r="G6" s="233" t="s">
        <v>140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114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82</v>
      </c>
      <c r="D9" s="13">
        <f t="shared" si="1"/>
        <v>60106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115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19</v>
      </c>
      <c r="D13" s="48">
        <f t="shared" si="1"/>
        <v>5833</v>
      </c>
      <c r="F13" s="252" t="s">
        <v>36</v>
      </c>
      <c r="G13" s="216"/>
      <c r="H13" s="207">
        <f>D29</f>
        <v>453420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12</v>
      </c>
      <c r="D14" s="31">
        <f t="shared" si="1"/>
        <v>132</v>
      </c>
      <c r="F14" s="210" t="s">
        <v>39</v>
      </c>
      <c r="G14" s="211"/>
      <c r="H14" s="212">
        <f>D54</f>
        <v>80525.25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372894.75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>
        <f>235*6+350*6</f>
        <v>3510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93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63"/>
      <c r="I19" s="263"/>
      <c r="J19" s="26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88"/>
      <c r="I20" s="188"/>
      <c r="J20" s="18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2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25"/>
      <c r="G23" s="37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123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111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453420</v>
      </c>
      <c r="F29" s="124" t="s">
        <v>55</v>
      </c>
      <c r="G29" s="186"/>
      <c r="H29" s="146">
        <f>H15-H16-H17-H18-H19-H20-H22-H23-H24+H26+H27</f>
        <v>369384.75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2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101</v>
      </c>
      <c r="H34" s="168">
        <f>F34*G34</f>
        <v>101000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96</v>
      </c>
      <c r="H35" s="168">
        <f t="shared" ref="H35:H39" si="2">F35*G35</f>
        <v>48000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715</v>
      </c>
      <c r="D37" s="12">
        <f>C37*111</f>
        <v>79365</v>
      </c>
      <c r="F37" s="12">
        <v>100</v>
      </c>
      <c r="G37" s="39">
        <v>3</v>
      </c>
      <c r="H37" s="168">
        <f t="shared" si="2"/>
        <v>300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1</v>
      </c>
      <c r="D38" s="12">
        <f>C38*84</f>
        <v>84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4</v>
      </c>
      <c r="D40" s="12">
        <f>C40*111</f>
        <v>444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3</v>
      </c>
      <c r="D42" s="12">
        <f>C42*2.25</f>
        <v>6.75</v>
      </c>
      <c r="F42" s="39" t="s">
        <v>79</v>
      </c>
      <c r="G42" s="168">
        <v>4035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08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 t="s">
        <v>147</v>
      </c>
      <c r="G44" s="62" t="s">
        <v>198</v>
      </c>
      <c r="H44" s="163">
        <v>216075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35</v>
      </c>
      <c r="D46" s="12">
        <f>C46*1.5</f>
        <v>52.5</v>
      </c>
      <c r="F46" s="37"/>
      <c r="G46" s="109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5</v>
      </c>
      <c r="D48" s="12">
        <f>C48*78</f>
        <v>390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3</v>
      </c>
      <c r="D49" s="12">
        <f>C49*42</f>
        <v>126</v>
      </c>
      <c r="F49" s="144" t="s">
        <v>86</v>
      </c>
      <c r="G49" s="146">
        <f>H34+H35+H36+H37+H38+H39+H40+H41+G42+H44+H45+H46</f>
        <v>369410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23</v>
      </c>
      <c r="D50" s="12">
        <f>C50*1.5</f>
        <v>34.5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142</v>
      </c>
      <c r="G51" s="154">
        <f>G49-H29</f>
        <v>25.25</v>
      </c>
      <c r="H51" s="155"/>
      <c r="I51" s="155"/>
      <c r="J51" s="156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80525.25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6A9B0-77A8-40FF-9B79-B0FECAABF354}">
  <dimension ref="A1:R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3</v>
      </c>
      <c r="H4" s="225" t="s">
        <v>9</v>
      </c>
      <c r="I4" s="227">
        <v>46036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v>205</v>
      </c>
      <c r="D6" s="13">
        <f t="shared" ref="D6:D28" si="1">C6*L6</f>
        <v>156005</v>
      </c>
      <c r="F6" s="231" t="s">
        <v>16</v>
      </c>
      <c r="G6" s="233" t="s">
        <v>111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119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5</v>
      </c>
      <c r="D9" s="13">
        <f t="shared" si="1"/>
        <v>3665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>
        <v>2</v>
      </c>
      <c r="D10" s="13">
        <f t="shared" si="1"/>
        <v>2064</v>
      </c>
      <c r="F10" s="231" t="s">
        <v>26</v>
      </c>
      <c r="G10" s="246" t="s">
        <v>134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>
        <v>1</v>
      </c>
      <c r="D12" s="48">
        <f t="shared" si="1"/>
        <v>992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7</v>
      </c>
      <c r="D13" s="48">
        <f t="shared" si="1"/>
        <v>2149</v>
      </c>
      <c r="F13" s="252" t="s">
        <v>36</v>
      </c>
      <c r="G13" s="216"/>
      <c r="H13" s="207">
        <f>D29</f>
        <v>164919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4</v>
      </c>
      <c r="D14" s="31">
        <f t="shared" si="1"/>
        <v>44</v>
      </c>
      <c r="F14" s="210" t="s">
        <v>39</v>
      </c>
      <c r="G14" s="211"/>
      <c r="H14" s="212">
        <f>D54</f>
        <v>24184.5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140734.5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>
        <f>128*6+50*6</f>
        <v>1068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113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64"/>
      <c r="I19" s="264"/>
      <c r="J19" s="26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7"/>
      <c r="G22" s="73"/>
      <c r="H22" s="193"/>
      <c r="I22" s="193"/>
      <c r="J22" s="193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101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111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164919</v>
      </c>
      <c r="F29" s="124" t="s">
        <v>55</v>
      </c>
      <c r="G29" s="186"/>
      <c r="H29" s="146">
        <f>H15-H16-H17-H18-H19-H20-H22-H23-H24+H26+H27</f>
        <v>139666.5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2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74">
        <v>38</v>
      </c>
      <c r="H34" s="168">
        <f>F34*G34</f>
        <v>38000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34</v>
      </c>
      <c r="H35" s="168">
        <f>F35*G35</f>
        <v>17000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 t="shared" ref="H36:H39" si="2"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210</v>
      </c>
      <c r="D37" s="12">
        <f>C37*111</f>
        <v>23310</v>
      </c>
      <c r="F37" s="12">
        <v>100</v>
      </c>
      <c r="G37" s="39">
        <v>2</v>
      </c>
      <c r="H37" s="168">
        <f t="shared" si="2"/>
        <v>200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08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1</v>
      </c>
      <c r="D44" s="12">
        <f>C44*120</f>
        <v>120</v>
      </c>
      <c r="F44" s="37" t="s">
        <v>147</v>
      </c>
      <c r="G44" s="76" t="s">
        <v>199</v>
      </c>
      <c r="H44" s="163">
        <v>84323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4</v>
      </c>
      <c r="D48" s="12">
        <f>C48*78</f>
        <v>312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4</v>
      </c>
      <c r="D49" s="12">
        <f>C49*42</f>
        <v>168</v>
      </c>
      <c r="F49" s="144" t="s">
        <v>86</v>
      </c>
      <c r="G49" s="146">
        <f>H34+H35+H36+H37+H38+H39+H40+H41+G42+H44+H45+H46</f>
        <v>139523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23</v>
      </c>
      <c r="D50" s="12">
        <f>C50*1.5</f>
        <v>34.5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139</v>
      </c>
      <c r="G51" s="253">
        <f>G49-H29</f>
        <v>-143.5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24184.5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33036-3E20-4C50-BB00-4CDC7B5352EC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20" t="s">
        <v>1</v>
      </c>
      <c r="O1" s="220"/>
      <c r="P1" s="110" t="s">
        <v>2</v>
      </c>
      <c r="Q1" s="11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71" t="s">
        <v>7</v>
      </c>
      <c r="B4" s="172"/>
      <c r="C4" s="172"/>
      <c r="D4" s="173"/>
      <c r="F4" s="221" t="s">
        <v>8</v>
      </c>
      <c r="G4" s="223"/>
      <c r="H4" s="225" t="s">
        <v>9</v>
      </c>
      <c r="I4" s="227"/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6"/>
      <c r="B6" s="16"/>
      <c r="C6" s="10"/>
      <c r="D6" s="13">
        <f t="shared" ref="D6:D28" si="1">C6*L6</f>
        <v>0</v>
      </c>
      <c r="F6" s="231" t="s">
        <v>16</v>
      </c>
      <c r="G6" s="233"/>
      <c r="H6" s="234"/>
      <c r="I6" s="234"/>
      <c r="J6" s="23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6"/>
      <c r="B7" s="16"/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6"/>
      <c r="B8" s="16"/>
      <c r="C8" s="10"/>
      <c r="D8" s="13">
        <f t="shared" si="1"/>
        <v>0</v>
      </c>
      <c r="F8" s="239" t="s">
        <v>21</v>
      </c>
      <c r="G8" s="240"/>
      <c r="H8" s="241"/>
      <c r="I8" s="241"/>
      <c r="J8" s="24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6"/>
      <c r="B9" s="16"/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6"/>
      <c r="C10" s="10"/>
      <c r="D10" s="13">
        <f t="shared" si="1"/>
        <v>0</v>
      </c>
      <c r="F10" s="231" t="s">
        <v>26</v>
      </c>
      <c r="G10" s="246"/>
      <c r="H10" s="247"/>
      <c r="I10" s="247"/>
      <c r="J10" s="248"/>
      <c r="K10" s="8"/>
      <c r="L10" s="6">
        <f>R36</f>
        <v>972</v>
      </c>
      <c r="P10" s="4"/>
      <c r="Q10" s="4"/>
      <c r="R10" s="5"/>
    </row>
    <row r="11" spans="1:19" ht="15.75" x14ac:dyDescent="0.25">
      <c r="A11" s="166"/>
      <c r="B11" s="17"/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6"/>
      <c r="B12" s="17"/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6"/>
      <c r="B13" s="17"/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6"/>
      <c r="B14" s="14"/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6"/>
      <c r="B15" s="14"/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/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/>
      <c r="C19" s="10"/>
      <c r="D19" s="48">
        <f t="shared" si="1"/>
        <v>0</v>
      </c>
      <c r="F19" s="56"/>
      <c r="G19" s="68" t="s">
        <v>50</v>
      </c>
      <c r="H19" s="189"/>
      <c r="I19" s="189"/>
      <c r="J19" s="18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/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6"/>
      <c r="B22" s="46"/>
      <c r="C22" s="10"/>
      <c r="D22" s="48">
        <f t="shared" si="1"/>
        <v>0</v>
      </c>
      <c r="F22" s="77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/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/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6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/>
      <c r="C28" s="10"/>
      <c r="D28" s="48">
        <f t="shared" si="1"/>
        <v>0</v>
      </c>
      <c r="F28" s="111"/>
      <c r="G28" s="61"/>
      <c r="H28" s="204"/>
      <c r="I28" s="205"/>
      <c r="J28" s="206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2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/>
      <c r="I34" s="169"/>
      <c r="J34" s="170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/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/>
      <c r="I36" s="169"/>
      <c r="J36" s="170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/>
      <c r="I37" s="169"/>
      <c r="J37" s="170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/>
      <c r="I38" s="169"/>
      <c r="J38" s="170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/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08" t="s">
        <v>83</v>
      </c>
      <c r="H43" s="160" t="s">
        <v>13</v>
      </c>
      <c r="I43" s="161"/>
      <c r="J43" s="162"/>
      <c r="K43" s="21"/>
      <c r="P43" s="4"/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76"/>
      <c r="H44" s="163"/>
      <c r="I44" s="163"/>
      <c r="J44" s="163"/>
      <c r="K44" s="21"/>
      <c r="P44" s="4"/>
      <c r="Q44" s="4"/>
      <c r="R44" s="5"/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P50" s="4"/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128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D27CF-D19C-4D6A-810D-1A453C022A9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1</v>
      </c>
      <c r="H4" s="225" t="s">
        <v>9</v>
      </c>
      <c r="I4" s="227">
        <v>46037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84">
        <v>503</v>
      </c>
      <c r="D6" s="13">
        <f t="shared" ref="D6:D28" si="1">C6*L6</f>
        <v>382783</v>
      </c>
      <c r="F6" s="231" t="s">
        <v>16</v>
      </c>
      <c r="G6" s="233" t="s">
        <v>129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84">
        <v>25</v>
      </c>
      <c r="D7" s="13">
        <f t="shared" si="1"/>
        <v>19525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84"/>
      <c r="D8" s="13">
        <f t="shared" si="1"/>
        <v>0</v>
      </c>
      <c r="F8" s="239" t="s">
        <v>21</v>
      </c>
      <c r="G8" s="240" t="s">
        <v>112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84">
        <v>10</v>
      </c>
      <c r="D9" s="13">
        <f t="shared" si="1"/>
        <v>7330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84"/>
      <c r="D10" s="13">
        <f t="shared" si="1"/>
        <v>0</v>
      </c>
      <c r="F10" s="231" t="s">
        <v>26</v>
      </c>
      <c r="G10" s="246" t="s">
        <v>130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84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84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84">
        <v>16</v>
      </c>
      <c r="D13" s="48">
        <f t="shared" si="1"/>
        <v>4912</v>
      </c>
      <c r="F13" s="252" t="s">
        <v>36</v>
      </c>
      <c r="G13" s="216"/>
      <c r="H13" s="207">
        <f>D29</f>
        <v>414803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84">
        <v>23</v>
      </c>
      <c r="D14" s="31">
        <f t="shared" si="1"/>
        <v>253</v>
      </c>
      <c r="F14" s="210" t="s">
        <v>39</v>
      </c>
      <c r="G14" s="211"/>
      <c r="H14" s="212">
        <f>D54</f>
        <v>93813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84"/>
      <c r="D15" s="31">
        <f t="shared" si="1"/>
        <v>0</v>
      </c>
      <c r="F15" s="215" t="s">
        <v>40</v>
      </c>
      <c r="G15" s="216"/>
      <c r="H15" s="217">
        <f>H13-H14</f>
        <v>320990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77">
        <f>432*6</f>
        <v>2592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137</v>
      </c>
      <c r="C17" s="84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88"/>
      <c r="I19" s="188"/>
      <c r="J19" s="188"/>
      <c r="L19" s="6">
        <v>1102</v>
      </c>
      <c r="Q19" s="4"/>
      <c r="R19" s="5">
        <f t="shared" si="0"/>
        <v>0</v>
      </c>
    </row>
    <row r="20" spans="1:18" ht="15.75" x14ac:dyDescent="0.25">
      <c r="A20" s="166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135</v>
      </c>
      <c r="C21" s="84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127</v>
      </c>
      <c r="C22" s="84"/>
      <c r="D22" s="48">
        <f t="shared" si="1"/>
        <v>0</v>
      </c>
      <c r="F22" s="77"/>
      <c r="G22" s="73"/>
      <c r="H22" s="193"/>
      <c r="I22" s="193"/>
      <c r="J22" s="193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101</v>
      </c>
      <c r="C23" s="84"/>
      <c r="D23" s="48">
        <f t="shared" si="1"/>
        <v>0</v>
      </c>
      <c r="F23" s="77"/>
      <c r="G23" s="79"/>
      <c r="H23" s="259"/>
      <c r="I23" s="260"/>
      <c r="J23" s="26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121</v>
      </c>
      <c r="C24" s="84"/>
      <c r="D24" s="48">
        <f t="shared" si="1"/>
        <v>0</v>
      </c>
      <c r="F24" s="77"/>
      <c r="G24" s="79"/>
      <c r="H24" s="259"/>
      <c r="I24" s="260"/>
      <c r="J24" s="26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138</v>
      </c>
      <c r="C25" s="84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136</v>
      </c>
      <c r="C26" s="84"/>
      <c r="D26" s="48">
        <f t="shared" si="1"/>
        <v>0</v>
      </c>
      <c r="F26" s="75"/>
      <c r="G26" s="65"/>
      <c r="H26" s="163"/>
      <c r="I26" s="163"/>
      <c r="J26" s="163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110</v>
      </c>
      <c r="C27" s="84"/>
      <c r="D27" s="44">
        <f t="shared" si="1"/>
        <v>0</v>
      </c>
      <c r="F27" s="71"/>
      <c r="G27" s="108"/>
      <c r="H27" s="261"/>
      <c r="I27" s="262"/>
      <c r="J27" s="26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84"/>
      <c r="D28" s="48">
        <f t="shared" si="1"/>
        <v>0</v>
      </c>
      <c r="F28" s="111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414803</v>
      </c>
      <c r="F29" s="124" t="s">
        <v>55</v>
      </c>
      <c r="G29" s="186"/>
      <c r="H29" s="146">
        <f>H15-H16-H17-H18-H19-H20-H22-H23-H24+H26+H27+H28</f>
        <v>318398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2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>
        <v>8</v>
      </c>
      <c r="D34" s="30">
        <f>C34*120</f>
        <v>960</v>
      </c>
      <c r="F34" s="12">
        <v>1000</v>
      </c>
      <c r="G34" s="40">
        <v>61</v>
      </c>
      <c r="H34" s="168">
        <f t="shared" ref="H34:H39" si="2">F34*G34</f>
        <v>61000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6</v>
      </c>
      <c r="H35" s="168">
        <f t="shared" si="2"/>
        <v>3000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>
        <v>4</v>
      </c>
      <c r="D36" s="12">
        <f>C36*1.5</f>
        <v>6</v>
      </c>
      <c r="F36" s="12">
        <v>200</v>
      </c>
      <c r="G36" s="37">
        <v>3</v>
      </c>
      <c r="H36" s="168">
        <f t="shared" si="2"/>
        <v>600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659</v>
      </c>
      <c r="D37" s="12">
        <f>C37*111</f>
        <v>73149</v>
      </c>
      <c r="F37" s="12">
        <v>100</v>
      </c>
      <c r="G37" s="39">
        <v>11</v>
      </c>
      <c r="H37" s="168">
        <f t="shared" si="2"/>
        <v>1100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70</v>
      </c>
      <c r="D38" s="12">
        <f>C38*84</f>
        <v>5880</v>
      </c>
      <c r="F38" s="30">
        <v>50</v>
      </c>
      <c r="G38" s="39">
        <v>8</v>
      </c>
      <c r="H38" s="168">
        <f t="shared" si="2"/>
        <v>400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6</v>
      </c>
      <c r="D39" s="31">
        <f>C39*4.5</f>
        <v>27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105</v>
      </c>
      <c r="D40" s="12">
        <f>C40*111</f>
        <v>11655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>
        <v>3</v>
      </c>
      <c r="D41" s="12">
        <f>C41*84</f>
        <v>252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>
        <v>38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08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12</v>
      </c>
      <c r="D44" s="12">
        <f>C44*120</f>
        <v>1440</v>
      </c>
      <c r="F44" s="37" t="s">
        <v>147</v>
      </c>
      <c r="G44" s="62" t="s">
        <v>202</v>
      </c>
      <c r="H44" s="163">
        <v>252228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23</v>
      </c>
      <c r="D46" s="12">
        <f>C46*1.5</f>
        <v>34.5</v>
      </c>
      <c r="F46" s="37"/>
      <c r="G46" s="62"/>
      <c r="H46" s="163"/>
      <c r="I46" s="163"/>
      <c r="J46" s="163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5</v>
      </c>
      <c r="D48" s="12">
        <f>C48*78</f>
        <v>390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318366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13</v>
      </c>
      <c r="D50" s="12">
        <f>C50*1.5</f>
        <v>19.5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131</v>
      </c>
      <c r="G51" s="253">
        <f>G49-H29</f>
        <v>-32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93813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EBCD-BA6C-4638-81AC-A0B39A6F584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2</v>
      </c>
      <c r="H4" s="225" t="s">
        <v>9</v>
      </c>
      <c r="I4" s="227">
        <v>46037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v>285</v>
      </c>
      <c r="D6" s="13">
        <f t="shared" ref="D6:D28" si="1">C6*L6</f>
        <v>216885</v>
      </c>
      <c r="F6" s="231" t="s">
        <v>16</v>
      </c>
      <c r="G6" s="233" t="s">
        <v>140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>
        <v>3</v>
      </c>
      <c r="D7" s="13">
        <f t="shared" si="1"/>
        <v>2343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114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21</v>
      </c>
      <c r="D9" s="13">
        <f t="shared" si="1"/>
        <v>15393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115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13</v>
      </c>
      <c r="D13" s="48">
        <f t="shared" si="1"/>
        <v>3991</v>
      </c>
      <c r="F13" s="252" t="s">
        <v>36</v>
      </c>
      <c r="G13" s="216"/>
      <c r="H13" s="207">
        <f>D29</f>
        <v>238821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19</v>
      </c>
      <c r="D14" s="31">
        <f t="shared" si="1"/>
        <v>209</v>
      </c>
      <c r="F14" s="210" t="s">
        <v>39</v>
      </c>
      <c r="G14" s="211"/>
      <c r="H14" s="212">
        <f>D54</f>
        <v>59093.25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179727.75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>
        <f>216*6</f>
        <v>1296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93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63"/>
      <c r="I19" s="263"/>
      <c r="J19" s="26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88"/>
      <c r="I20" s="188"/>
      <c r="J20" s="18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2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25"/>
      <c r="G23" s="37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123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111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238821</v>
      </c>
      <c r="F29" s="124" t="s">
        <v>55</v>
      </c>
      <c r="G29" s="186"/>
      <c r="H29" s="146">
        <f>H15-H16-H17-H18-H19-H20-H22-H23-H24+H26+H27</f>
        <v>178431.75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2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44</v>
      </c>
      <c r="H34" s="168">
        <f>F34*G34</f>
        <v>44000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22</v>
      </c>
      <c r="H35" s="168">
        <f t="shared" ref="H35:H39" si="2">F35*G35</f>
        <v>11000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168">
        <f>F36*G36</f>
        <v>200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521</v>
      </c>
      <c r="D37" s="12">
        <f>C37*111</f>
        <v>57831</v>
      </c>
      <c r="F37" s="12">
        <v>100</v>
      </c>
      <c r="G37" s="39">
        <v>45</v>
      </c>
      <c r="H37" s="168">
        <f t="shared" si="2"/>
        <v>4500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21</v>
      </c>
      <c r="H38" s="168">
        <f t="shared" si="2"/>
        <v>1050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2</v>
      </c>
      <c r="D40" s="12">
        <f>C40*111</f>
        <v>222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7</v>
      </c>
      <c r="D42" s="12">
        <f>C42*2.25</f>
        <v>15.75</v>
      </c>
      <c r="F42" s="39" t="s">
        <v>79</v>
      </c>
      <c r="G42" s="168">
        <v>243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08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 t="s">
        <v>147</v>
      </c>
      <c r="G44" s="62" t="s">
        <v>201</v>
      </c>
      <c r="H44" s="163">
        <v>117436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109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5</v>
      </c>
      <c r="D48" s="12">
        <f>C48*78</f>
        <v>390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9</v>
      </c>
      <c r="D49" s="12">
        <f>C49*42</f>
        <v>378</v>
      </c>
      <c r="F49" s="144" t="s">
        <v>86</v>
      </c>
      <c r="G49" s="146">
        <f>H34+H35+H36+H37+H38+H39+H40+H41+G42+H44+H45+H46</f>
        <v>178429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44</v>
      </c>
      <c r="D50" s="12">
        <f>C50*1.5</f>
        <v>66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161</v>
      </c>
      <c r="G51" s="253">
        <f>G49-H29</f>
        <v>-2.75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59093.25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9592F-D0CB-4A32-B713-7F1C8764364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3</v>
      </c>
      <c r="H4" s="225" t="s">
        <v>9</v>
      </c>
      <c r="I4" s="227">
        <v>46037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v>421</v>
      </c>
      <c r="D6" s="13">
        <f t="shared" ref="D6:D28" si="1">C6*L6</f>
        <v>320381</v>
      </c>
      <c r="F6" s="231" t="s">
        <v>16</v>
      </c>
      <c r="G6" s="233" t="s">
        <v>111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119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15</v>
      </c>
      <c r="D9" s="13">
        <f t="shared" si="1"/>
        <v>10995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134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>
        <v>1</v>
      </c>
      <c r="D11" s="13">
        <f t="shared" si="1"/>
        <v>1170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5</v>
      </c>
      <c r="D13" s="48">
        <f t="shared" si="1"/>
        <v>1535</v>
      </c>
      <c r="F13" s="252" t="s">
        <v>36</v>
      </c>
      <c r="G13" s="216"/>
      <c r="H13" s="207">
        <f>D29</f>
        <v>334136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5</v>
      </c>
      <c r="D14" s="31">
        <f t="shared" si="1"/>
        <v>55</v>
      </c>
      <c r="F14" s="210" t="s">
        <v>39</v>
      </c>
      <c r="G14" s="211"/>
      <c r="H14" s="212">
        <f>D54</f>
        <v>59604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274532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>
        <f>291*6+56*6</f>
        <v>2082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113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64"/>
      <c r="I19" s="264"/>
      <c r="J19" s="26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7"/>
      <c r="G22" s="73"/>
      <c r="H22" s="193"/>
      <c r="I22" s="193"/>
      <c r="J22" s="193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101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111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334136</v>
      </c>
      <c r="F29" s="124" t="s">
        <v>55</v>
      </c>
      <c r="G29" s="186"/>
      <c r="H29" s="146">
        <f>H15-H16-H17-H18-H19-H20-H22-H23-H24+H26+H27</f>
        <v>272450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2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78</v>
      </c>
      <c r="H34" s="168">
        <f>F34*G34</f>
        <v>78000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14</v>
      </c>
      <c r="H35" s="168">
        <f>F35*G35</f>
        <v>7000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168">
        <f t="shared" ref="H36:H39" si="2">F36*G36</f>
        <v>200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522</v>
      </c>
      <c r="D37" s="12">
        <f>C37*111</f>
        <v>57942</v>
      </c>
      <c r="F37" s="12">
        <v>100</v>
      </c>
      <c r="G37" s="39">
        <v>30</v>
      </c>
      <c r="H37" s="168">
        <f t="shared" si="2"/>
        <v>3000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12</v>
      </c>
      <c r="D38" s="12">
        <f>C38*84</f>
        <v>1008</v>
      </c>
      <c r="F38" s="30">
        <v>50</v>
      </c>
      <c r="G38" s="39">
        <v>126</v>
      </c>
      <c r="H38" s="168">
        <f t="shared" si="2"/>
        <v>6300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1</v>
      </c>
      <c r="H39" s="168">
        <f t="shared" si="2"/>
        <v>20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1</v>
      </c>
      <c r="D40" s="12">
        <f>C40*111</f>
        <v>111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2</v>
      </c>
      <c r="D42" s="12">
        <f>C42*2.25</f>
        <v>4.5</v>
      </c>
      <c r="F42" s="39" t="s">
        <v>79</v>
      </c>
      <c r="G42" s="168">
        <v>38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08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 t="s">
        <v>156</v>
      </c>
      <c r="G44" s="76" t="s">
        <v>200</v>
      </c>
      <c r="H44" s="163">
        <v>177449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>
        <v>1</v>
      </c>
      <c r="D45" s="12">
        <f>C45*84</f>
        <v>84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8</v>
      </c>
      <c r="D46" s="12">
        <f>C46*1.5</f>
        <v>12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5</v>
      </c>
      <c r="D48" s="12">
        <f>C48*78</f>
        <v>390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272007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20</v>
      </c>
      <c r="D50" s="12">
        <f>C50*1.5</f>
        <v>30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139</v>
      </c>
      <c r="G51" s="253">
        <f>G49-H29</f>
        <v>-443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59604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BBDA0-3B6A-491C-9C8E-7B711F6366B3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20" t="s">
        <v>1</v>
      </c>
      <c r="O1" s="220"/>
      <c r="P1" s="110" t="s">
        <v>2</v>
      </c>
      <c r="Q1" s="11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71" t="s">
        <v>7</v>
      </c>
      <c r="B4" s="172"/>
      <c r="C4" s="172"/>
      <c r="D4" s="173"/>
      <c r="F4" s="221" t="s">
        <v>8</v>
      </c>
      <c r="G4" s="223"/>
      <c r="H4" s="225" t="s">
        <v>9</v>
      </c>
      <c r="I4" s="227"/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6"/>
      <c r="B6" s="16"/>
      <c r="C6" s="10"/>
      <c r="D6" s="13">
        <f t="shared" ref="D6:D28" si="1">C6*L6</f>
        <v>0</v>
      </c>
      <c r="F6" s="231" t="s">
        <v>16</v>
      </c>
      <c r="G6" s="233"/>
      <c r="H6" s="234"/>
      <c r="I6" s="234"/>
      <c r="J6" s="23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6"/>
      <c r="B7" s="16"/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6"/>
      <c r="B8" s="16"/>
      <c r="C8" s="10"/>
      <c r="D8" s="13">
        <f t="shared" si="1"/>
        <v>0</v>
      </c>
      <c r="F8" s="239" t="s">
        <v>21</v>
      </c>
      <c r="G8" s="240"/>
      <c r="H8" s="241"/>
      <c r="I8" s="241"/>
      <c r="J8" s="24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6"/>
      <c r="B9" s="16"/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6"/>
      <c r="C10" s="10"/>
      <c r="D10" s="13">
        <f t="shared" si="1"/>
        <v>0</v>
      </c>
      <c r="F10" s="231" t="s">
        <v>26</v>
      </c>
      <c r="G10" s="246"/>
      <c r="H10" s="247"/>
      <c r="I10" s="247"/>
      <c r="J10" s="248"/>
      <c r="K10" s="8"/>
      <c r="L10" s="6">
        <f>R36</f>
        <v>972</v>
      </c>
      <c r="P10" s="4"/>
      <c r="Q10" s="4"/>
      <c r="R10" s="5"/>
    </row>
    <row r="11" spans="1:19" ht="15.75" x14ac:dyDescent="0.25">
      <c r="A11" s="166"/>
      <c r="B11" s="17"/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6"/>
      <c r="B12" s="17"/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6"/>
      <c r="B13" s="17"/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6"/>
      <c r="B14" s="14"/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6"/>
      <c r="B15" s="14"/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/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/>
      <c r="C19" s="10"/>
      <c r="D19" s="48">
        <f t="shared" si="1"/>
        <v>0</v>
      </c>
      <c r="F19" s="56"/>
      <c r="G19" s="68" t="s">
        <v>50</v>
      </c>
      <c r="H19" s="189"/>
      <c r="I19" s="189"/>
      <c r="J19" s="18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/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6"/>
      <c r="B22" s="46"/>
      <c r="C22" s="10"/>
      <c r="D22" s="48">
        <f t="shared" si="1"/>
        <v>0</v>
      </c>
      <c r="F22" s="77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/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/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6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/>
      <c r="C28" s="10"/>
      <c r="D28" s="48">
        <f t="shared" si="1"/>
        <v>0</v>
      </c>
      <c r="F28" s="111"/>
      <c r="G28" s="61"/>
      <c r="H28" s="204"/>
      <c r="I28" s="205"/>
      <c r="J28" s="206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2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/>
      <c r="I34" s="169"/>
      <c r="J34" s="170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/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/>
      <c r="I36" s="169"/>
      <c r="J36" s="170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/>
      <c r="I37" s="169"/>
      <c r="J37" s="170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/>
      <c r="I38" s="169"/>
      <c r="J38" s="170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/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08" t="s">
        <v>83</v>
      </c>
      <c r="H43" s="160" t="s">
        <v>13</v>
      </c>
      <c r="I43" s="161"/>
      <c r="J43" s="162"/>
      <c r="K43" s="21"/>
      <c r="P43" s="4"/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76"/>
      <c r="H44" s="163"/>
      <c r="I44" s="163"/>
      <c r="J44" s="163"/>
      <c r="K44" s="21"/>
      <c r="P44" s="4"/>
      <c r="Q44" s="4"/>
      <c r="R44" s="5"/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P50" s="4"/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128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BBDF-472B-4131-8C5C-02F8C36714F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1</v>
      </c>
      <c r="H4" s="225" t="s">
        <v>9</v>
      </c>
      <c r="I4" s="227">
        <v>46038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84">
        <v>210</v>
      </c>
      <c r="D6" s="13">
        <f t="shared" ref="D6:D28" si="1">C6*L6</f>
        <v>159810</v>
      </c>
      <c r="F6" s="231" t="s">
        <v>16</v>
      </c>
      <c r="G6" s="233" t="s">
        <v>129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84">
        <v>11</v>
      </c>
      <c r="D7" s="13">
        <f t="shared" si="1"/>
        <v>8591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84"/>
      <c r="D8" s="13">
        <f t="shared" si="1"/>
        <v>0</v>
      </c>
      <c r="F8" s="239" t="s">
        <v>21</v>
      </c>
      <c r="G8" s="240" t="s">
        <v>112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84">
        <v>51</v>
      </c>
      <c r="D9" s="13">
        <f t="shared" si="1"/>
        <v>37383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84"/>
      <c r="D10" s="13">
        <f t="shared" si="1"/>
        <v>0</v>
      </c>
      <c r="F10" s="231" t="s">
        <v>26</v>
      </c>
      <c r="G10" s="246" t="s">
        <v>130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84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84">
        <f>3+2</f>
        <v>5</v>
      </c>
      <c r="D12" s="48">
        <f t="shared" si="1"/>
        <v>4960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84">
        <v>6</v>
      </c>
      <c r="D13" s="48">
        <f t="shared" si="1"/>
        <v>1842</v>
      </c>
      <c r="F13" s="252" t="s">
        <v>36</v>
      </c>
      <c r="G13" s="216"/>
      <c r="H13" s="207">
        <f>D29</f>
        <v>213357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84">
        <v>11</v>
      </c>
      <c r="D14" s="31">
        <f t="shared" si="1"/>
        <v>121</v>
      </c>
      <c r="F14" s="210" t="s">
        <v>39</v>
      </c>
      <c r="G14" s="211"/>
      <c r="H14" s="212">
        <f>D54</f>
        <v>30288.75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84"/>
      <c r="D15" s="31">
        <f t="shared" si="1"/>
        <v>0</v>
      </c>
      <c r="F15" s="215" t="s">
        <v>40</v>
      </c>
      <c r="G15" s="216"/>
      <c r="H15" s="217">
        <f>H13-H14</f>
        <v>183068.25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137</v>
      </c>
      <c r="C17" s="84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77">
        <v>313.88</v>
      </c>
      <c r="I19" s="177"/>
      <c r="J19" s="177"/>
      <c r="L19" s="6">
        <v>1102</v>
      </c>
      <c r="Q19" s="4"/>
      <c r="R19" s="5">
        <f t="shared" si="0"/>
        <v>0</v>
      </c>
    </row>
    <row r="20" spans="1:18" ht="15.75" x14ac:dyDescent="0.25">
      <c r="A20" s="166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135</v>
      </c>
      <c r="C21" s="84">
        <v>1</v>
      </c>
      <c r="D21" s="48">
        <f t="shared" si="1"/>
        <v>650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127</v>
      </c>
      <c r="C22" s="84"/>
      <c r="D22" s="48">
        <f t="shared" si="1"/>
        <v>0</v>
      </c>
      <c r="F22" s="77"/>
      <c r="G22" s="73"/>
      <c r="H22" s="193"/>
      <c r="I22" s="193"/>
      <c r="J22" s="193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101</v>
      </c>
      <c r="C23" s="84"/>
      <c r="D23" s="48">
        <f t="shared" si="1"/>
        <v>0</v>
      </c>
      <c r="F23" s="77"/>
      <c r="G23" s="79"/>
      <c r="H23" s="259"/>
      <c r="I23" s="260"/>
      <c r="J23" s="26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121</v>
      </c>
      <c r="C24" s="84"/>
      <c r="D24" s="48">
        <f t="shared" si="1"/>
        <v>0</v>
      </c>
      <c r="F24" s="77"/>
      <c r="G24" s="79"/>
      <c r="H24" s="259"/>
      <c r="I24" s="260"/>
      <c r="J24" s="26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138</v>
      </c>
      <c r="C25" s="84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136</v>
      </c>
      <c r="C26" s="84"/>
      <c r="D26" s="48">
        <f t="shared" si="1"/>
        <v>0</v>
      </c>
      <c r="F26" s="75"/>
      <c r="G26" s="65"/>
      <c r="H26" s="163"/>
      <c r="I26" s="163"/>
      <c r="J26" s="163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110</v>
      </c>
      <c r="C27" s="84"/>
      <c r="D27" s="44">
        <f t="shared" si="1"/>
        <v>0</v>
      </c>
      <c r="F27" s="71"/>
      <c r="G27" s="108"/>
      <c r="H27" s="261"/>
      <c r="I27" s="262"/>
      <c r="J27" s="26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84"/>
      <c r="D28" s="48">
        <f t="shared" si="1"/>
        <v>0</v>
      </c>
      <c r="F28" s="111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213357</v>
      </c>
      <c r="F29" s="124" t="s">
        <v>55</v>
      </c>
      <c r="G29" s="186"/>
      <c r="H29" s="146">
        <f>H15-H16-H17-H18-H19-H20-H22-H23-H24+H26+H27+H28</f>
        <v>182754.37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2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149</v>
      </c>
      <c r="H34" s="168">
        <f t="shared" ref="H34:H39" si="2">F34*G34</f>
        <v>149000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56</v>
      </c>
      <c r="H35" s="168">
        <f t="shared" si="2"/>
        <v>28000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>
        <v>4</v>
      </c>
      <c r="D36" s="12">
        <f>C36*1.5</f>
        <v>6</v>
      </c>
      <c r="F36" s="12">
        <v>200</v>
      </c>
      <c r="G36" s="37">
        <v>3</v>
      </c>
      <c r="H36" s="168">
        <f t="shared" si="2"/>
        <v>600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247</v>
      </c>
      <c r="D37" s="12">
        <f>C37*111</f>
        <v>27417</v>
      </c>
      <c r="F37" s="12">
        <v>100</v>
      </c>
      <c r="G37" s="39">
        <v>48</v>
      </c>
      <c r="H37" s="168">
        <f t="shared" si="2"/>
        <v>4800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4</v>
      </c>
      <c r="D38" s="12">
        <f>C38*84</f>
        <v>336</v>
      </c>
      <c r="F38" s="30">
        <v>50</v>
      </c>
      <c r="G38" s="39">
        <v>7</v>
      </c>
      <c r="H38" s="168">
        <f t="shared" si="2"/>
        <v>350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10</v>
      </c>
      <c r="D40" s="12">
        <f>C40*111</f>
        <v>1110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1</v>
      </c>
      <c r="D42" s="12">
        <f>C42*2.25</f>
        <v>2.25</v>
      </c>
      <c r="F42" s="39" t="s">
        <v>79</v>
      </c>
      <c r="G42" s="168">
        <v>131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08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6</v>
      </c>
      <c r="D44" s="12">
        <f>C44*120</f>
        <v>720</v>
      </c>
      <c r="F44" s="37"/>
      <c r="G44" s="62"/>
      <c r="H44" s="163"/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18</v>
      </c>
      <c r="D46" s="12">
        <f>C46*1.5</f>
        <v>27</v>
      </c>
      <c r="F46" s="37"/>
      <c r="G46" s="62"/>
      <c r="H46" s="163"/>
      <c r="I46" s="163"/>
      <c r="J46" s="163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6</v>
      </c>
      <c r="D48" s="12">
        <f>C48*78</f>
        <v>468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2</v>
      </c>
      <c r="D49" s="12">
        <f>C49*42</f>
        <v>84</v>
      </c>
      <c r="F49" s="144" t="s">
        <v>86</v>
      </c>
      <c r="G49" s="146">
        <f>H34+H35+H36+H37+H38+H39+H40+H41+G42+H44+H45+H46</f>
        <v>182881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20</v>
      </c>
      <c r="D50" s="12">
        <f>C50*1.5</f>
        <v>30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149</v>
      </c>
      <c r="G51" s="154">
        <f>G49-H29</f>
        <v>126.63000000000466</v>
      </c>
      <c r="H51" s="155"/>
      <c r="I51" s="155"/>
      <c r="J51" s="156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30288.75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B18EE-7BDF-4E14-811A-CE4FCA4B5BC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2</v>
      </c>
      <c r="H4" s="225" t="s">
        <v>9</v>
      </c>
      <c r="I4" s="227">
        <v>46038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v>346</v>
      </c>
      <c r="D6" s="13">
        <f t="shared" ref="D6:D28" si="1">C6*L6</f>
        <v>263306</v>
      </c>
      <c r="F6" s="231" t="s">
        <v>16</v>
      </c>
      <c r="G6" s="233" t="s">
        <v>140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>
        <v>1</v>
      </c>
      <c r="D7" s="13">
        <f t="shared" si="1"/>
        <v>781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114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18</v>
      </c>
      <c r="D9" s="13">
        <f t="shared" si="1"/>
        <v>13194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>
        <v>1</v>
      </c>
      <c r="D10" s="13">
        <f t="shared" si="1"/>
        <v>1032</v>
      </c>
      <c r="F10" s="231" t="s">
        <v>26</v>
      </c>
      <c r="G10" s="246" t="s">
        <v>115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14</v>
      </c>
      <c r="D13" s="48">
        <f t="shared" si="1"/>
        <v>4298</v>
      </c>
      <c r="F13" s="252" t="s">
        <v>36</v>
      </c>
      <c r="G13" s="216"/>
      <c r="H13" s="207">
        <f>D29</f>
        <v>282677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6</v>
      </c>
      <c r="D14" s="31">
        <f t="shared" si="1"/>
        <v>66</v>
      </c>
      <c r="F14" s="210" t="s">
        <v>39</v>
      </c>
      <c r="G14" s="211"/>
      <c r="H14" s="212">
        <f>D54</f>
        <v>41862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240815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>
        <f>1296</f>
        <v>1296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93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63"/>
      <c r="I19" s="263"/>
      <c r="J19" s="26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88"/>
      <c r="I20" s="188"/>
      <c r="J20" s="18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2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25"/>
      <c r="G23" s="37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123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111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282677</v>
      </c>
      <c r="F29" s="124" t="s">
        <v>55</v>
      </c>
      <c r="G29" s="186"/>
      <c r="H29" s="146">
        <f>H15-H16-H17-H18-H19-H20-H22-H23-H24+H26+H27</f>
        <v>239519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2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180</v>
      </c>
      <c r="H34" s="168">
        <f>F34*G34</f>
        <v>180000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24</v>
      </c>
      <c r="H35" s="168">
        <f t="shared" ref="H35:H39" si="2">F35*G35</f>
        <v>12000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>
        <v>23</v>
      </c>
      <c r="D36" s="12">
        <f>C36*1.5</f>
        <v>34.5</v>
      </c>
      <c r="F36" s="12">
        <v>200</v>
      </c>
      <c r="G36" s="37">
        <v>2</v>
      </c>
      <c r="H36" s="168">
        <f>F36*G36</f>
        <v>400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366</v>
      </c>
      <c r="D37" s="12">
        <f>C37*111</f>
        <v>40626</v>
      </c>
      <c r="F37" s="12">
        <v>100</v>
      </c>
      <c r="G37" s="39">
        <v>338</v>
      </c>
      <c r="H37" s="168">
        <f t="shared" si="2"/>
        <v>33800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4</v>
      </c>
      <c r="D38" s="12">
        <f>C38*84</f>
        <v>336</v>
      </c>
      <c r="F38" s="30">
        <v>50</v>
      </c>
      <c r="G38" s="39">
        <v>208</v>
      </c>
      <c r="H38" s="168">
        <f t="shared" si="2"/>
        <v>10400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>
        <v>1</v>
      </c>
      <c r="H39" s="168">
        <f t="shared" si="2"/>
        <v>20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>
        <v>103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08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 t="s">
        <v>153</v>
      </c>
      <c r="G44" s="62" t="s">
        <v>206</v>
      </c>
      <c r="H44" s="163">
        <v>3308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109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6</v>
      </c>
      <c r="D48" s="12">
        <f>C48*78</f>
        <v>468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7</v>
      </c>
      <c r="D49" s="12">
        <f>C49*42</f>
        <v>294</v>
      </c>
      <c r="F49" s="144" t="s">
        <v>86</v>
      </c>
      <c r="G49" s="146">
        <f>H34+H35+H36+H37+H38+H39+H40+H41+G42+H44+H45+H46</f>
        <v>240031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13</v>
      </c>
      <c r="D50" s="12">
        <f>C50*1.5</f>
        <v>19.5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142</v>
      </c>
      <c r="G51" s="154">
        <f>G49-H29</f>
        <v>512</v>
      </c>
      <c r="H51" s="155"/>
      <c r="I51" s="155"/>
      <c r="J51" s="156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41862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E0117-E2EB-4ACC-AD48-797593FB3126}">
  <dimension ref="A1:R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3</v>
      </c>
      <c r="H4" s="225" t="s">
        <v>9</v>
      </c>
      <c r="I4" s="227">
        <v>46038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v>241</v>
      </c>
      <c r="D6" s="13">
        <f t="shared" ref="D6:D28" si="1">C6*L6</f>
        <v>183401</v>
      </c>
      <c r="F6" s="231" t="s">
        <v>16</v>
      </c>
      <c r="G6" s="233" t="s">
        <v>111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>
        <v>2</v>
      </c>
      <c r="D7" s="13">
        <f t="shared" si="1"/>
        <v>1562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>
        <v>10</v>
      </c>
      <c r="D8" s="13">
        <f t="shared" si="1"/>
        <v>10930</v>
      </c>
      <c r="F8" s="239" t="s">
        <v>21</v>
      </c>
      <c r="G8" s="240" t="s">
        <v>119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107</v>
      </c>
      <c r="D9" s="13">
        <f t="shared" si="1"/>
        <v>78431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>
        <v>10</v>
      </c>
      <c r="D10" s="13">
        <f t="shared" si="1"/>
        <v>10320</v>
      </c>
      <c r="F10" s="231" t="s">
        <v>26</v>
      </c>
      <c r="G10" s="246" t="s">
        <v>134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>
        <v>20</v>
      </c>
      <c r="D11" s="13">
        <f t="shared" si="1"/>
        <v>23400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>
        <f>21+3+3</f>
        <v>27</v>
      </c>
      <c r="D12" s="48">
        <f t="shared" si="1"/>
        <v>26784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2</v>
      </c>
      <c r="D13" s="48">
        <f t="shared" si="1"/>
        <v>614</v>
      </c>
      <c r="F13" s="252" t="s">
        <v>36</v>
      </c>
      <c r="G13" s="216"/>
      <c r="H13" s="207">
        <f>D29</f>
        <v>400123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4</v>
      </c>
      <c r="D14" s="31">
        <f t="shared" si="1"/>
        <v>44</v>
      </c>
      <c r="F14" s="210" t="s">
        <v>39</v>
      </c>
      <c r="G14" s="211"/>
      <c r="H14" s="212">
        <f>D54</f>
        <v>77359.5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>
        <f>15</f>
        <v>15</v>
      </c>
      <c r="D15" s="31">
        <f t="shared" si="1"/>
        <v>9300</v>
      </c>
      <c r="F15" s="215" t="s">
        <v>40</v>
      </c>
      <c r="G15" s="216"/>
      <c r="H15" s="217">
        <f>H13-H14</f>
        <v>322763.5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>
        <v>1</v>
      </c>
      <c r="D16" s="48">
        <f t="shared" si="1"/>
        <v>1702</v>
      </c>
      <c r="F16" s="67" t="s">
        <v>42</v>
      </c>
      <c r="G16" s="66" t="s">
        <v>43</v>
      </c>
      <c r="H16" s="177"/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113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>
        <v>11</v>
      </c>
      <c r="D18" s="48">
        <f t="shared" si="1"/>
        <v>6820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15" t="s">
        <v>204</v>
      </c>
      <c r="C19" s="10">
        <f>4</f>
        <v>4</v>
      </c>
      <c r="D19" s="48">
        <f t="shared" si="1"/>
        <v>4408</v>
      </c>
      <c r="F19" s="56"/>
      <c r="G19" s="68" t="s">
        <v>50</v>
      </c>
      <c r="H19" s="264"/>
      <c r="I19" s="264"/>
      <c r="J19" s="26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>
        <v>3</v>
      </c>
      <c r="D21" s="48">
        <f t="shared" si="1"/>
        <v>1950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7"/>
      <c r="G22" s="73"/>
      <c r="H22" s="193"/>
      <c r="I22" s="193"/>
      <c r="J22" s="193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>
        <f>10+10</f>
        <v>20</v>
      </c>
      <c r="D23" s="48">
        <f t="shared" si="1"/>
        <v>23500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138</v>
      </c>
      <c r="C24" s="10">
        <v>1</v>
      </c>
      <c r="D24" s="48">
        <f t="shared" si="1"/>
        <v>1277</v>
      </c>
      <c r="F24" s="38"/>
      <c r="G24" s="37"/>
      <c r="H24" s="194"/>
      <c r="I24" s="163"/>
      <c r="J24" s="163"/>
      <c r="L24" s="47">
        <f>R31</f>
        <v>1277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95" t="s">
        <v>203</v>
      </c>
      <c r="C25" s="10">
        <f>1+1+1</f>
        <v>3</v>
      </c>
      <c r="D25" s="48">
        <f t="shared" si="1"/>
        <v>4746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205</v>
      </c>
      <c r="C26" s="10">
        <v>1</v>
      </c>
      <c r="D26" s="48">
        <f t="shared" si="1"/>
        <v>1242</v>
      </c>
      <c r="F26" s="64"/>
      <c r="G26" s="59"/>
      <c r="H26" s="198"/>
      <c r="I26" s="199"/>
      <c r="J26" s="200"/>
      <c r="L26" s="47">
        <f>R37</f>
        <v>1242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>
        <v>1</v>
      </c>
      <c r="D27" s="44">
        <f t="shared" si="1"/>
        <v>1582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>
        <v>10</v>
      </c>
      <c r="D28" s="48">
        <f t="shared" si="1"/>
        <v>8110</v>
      </c>
      <c r="F28" s="111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400123</v>
      </c>
      <c r="F29" s="124" t="s">
        <v>55</v>
      </c>
      <c r="G29" s="186"/>
      <c r="H29" s="146">
        <f>H15-H16-H17-H18-H19-H20-H22-H23-H24+H26+H27</f>
        <v>322763.5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2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23</v>
      </c>
      <c r="H34" s="168">
        <f>F34*G34</f>
        <v>23000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>
        <v>8</v>
      </c>
      <c r="D35" s="30">
        <f>C35*84</f>
        <v>672</v>
      </c>
      <c r="F35" s="58">
        <v>500</v>
      </c>
      <c r="G35" s="41">
        <v>2</v>
      </c>
      <c r="H35" s="168">
        <f>F35*G35</f>
        <v>1000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>
        <v>18</v>
      </c>
      <c r="D36" s="12">
        <f>C36*1.5</f>
        <v>27</v>
      </c>
      <c r="F36" s="12">
        <v>200</v>
      </c>
      <c r="G36" s="37"/>
      <c r="H36" s="168">
        <f t="shared" ref="H36:H39" si="2"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216</v>
      </c>
      <c r="D37" s="12">
        <f>C37*111</f>
        <v>23976</v>
      </c>
      <c r="F37" s="12">
        <v>100</v>
      </c>
      <c r="G37" s="39">
        <v>5</v>
      </c>
      <c r="H37" s="168">
        <f t="shared" si="2"/>
        <v>500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512</v>
      </c>
      <c r="D38" s="12">
        <f>C38*84</f>
        <v>43008</v>
      </c>
      <c r="F38" s="30">
        <v>50</v>
      </c>
      <c r="G38" s="39">
        <v>2</v>
      </c>
      <c r="H38" s="168">
        <f t="shared" si="2"/>
        <v>100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3</v>
      </c>
      <c r="D39" s="31">
        <f>C39*4.5</f>
        <v>13.5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4</v>
      </c>
      <c r="D40" s="12">
        <f>C40*111</f>
        <v>444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>
        <v>32</v>
      </c>
      <c r="D41" s="12">
        <f>C41*84</f>
        <v>2688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4</v>
      </c>
      <c r="D42" s="12">
        <f>C42*2.25</f>
        <v>9</v>
      </c>
      <c r="F42" s="39" t="s">
        <v>79</v>
      </c>
      <c r="G42" s="168">
        <v>2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08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4</v>
      </c>
      <c r="D44" s="12">
        <f>C44*120</f>
        <v>480</v>
      </c>
      <c r="F44" s="37" t="s">
        <v>147</v>
      </c>
      <c r="G44" s="76" t="s">
        <v>207</v>
      </c>
      <c r="H44" s="163">
        <v>296913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>
        <v>71</v>
      </c>
      <c r="D45" s="12">
        <f>C45*84</f>
        <v>5964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2</v>
      </c>
      <c r="D46" s="12">
        <f>C46*1.5</f>
        <v>3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1</v>
      </c>
      <c r="D49" s="12">
        <f>C49*42</f>
        <v>42</v>
      </c>
      <c r="F49" s="144" t="s">
        <v>86</v>
      </c>
      <c r="G49" s="146">
        <f>H34+H35+H36+H37+H38+H39+H40+H41+G42+H44+H45+H46</f>
        <v>321515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22</v>
      </c>
      <c r="D50" s="12">
        <f>C50*1.5</f>
        <v>33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139</v>
      </c>
      <c r="G51" s="253">
        <f>G49-H29</f>
        <v>-1248.5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77359.5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E3E87-005A-4067-89B1-5F54B2CFA3EA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20" t="s">
        <v>1</v>
      </c>
      <c r="O1" s="220"/>
      <c r="P1" s="110" t="s">
        <v>2</v>
      </c>
      <c r="Q1" s="11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71" t="s">
        <v>7</v>
      </c>
      <c r="B4" s="172"/>
      <c r="C4" s="172"/>
      <c r="D4" s="173"/>
      <c r="F4" s="221" t="s">
        <v>8</v>
      </c>
      <c r="G4" s="223"/>
      <c r="H4" s="225" t="s">
        <v>9</v>
      </c>
      <c r="I4" s="227"/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6"/>
      <c r="B6" s="16"/>
      <c r="C6" s="10"/>
      <c r="D6" s="13">
        <f t="shared" ref="D6:D28" si="1">C6*L6</f>
        <v>0</v>
      </c>
      <c r="F6" s="231" t="s">
        <v>16</v>
      </c>
      <c r="G6" s="233"/>
      <c r="H6" s="234"/>
      <c r="I6" s="234"/>
      <c r="J6" s="23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6"/>
      <c r="B7" s="16"/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6"/>
      <c r="B8" s="16"/>
      <c r="C8" s="10"/>
      <c r="D8" s="13">
        <f t="shared" si="1"/>
        <v>0</v>
      </c>
      <c r="F8" s="239" t="s">
        <v>21</v>
      </c>
      <c r="G8" s="240"/>
      <c r="H8" s="241"/>
      <c r="I8" s="241"/>
      <c r="J8" s="24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6"/>
      <c r="B9" s="16"/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6"/>
      <c r="C10" s="10"/>
      <c r="D10" s="13">
        <f t="shared" si="1"/>
        <v>0</v>
      </c>
      <c r="F10" s="231" t="s">
        <v>26</v>
      </c>
      <c r="G10" s="246"/>
      <c r="H10" s="247"/>
      <c r="I10" s="247"/>
      <c r="J10" s="248"/>
      <c r="K10" s="8"/>
      <c r="L10" s="6">
        <f>R36</f>
        <v>972</v>
      </c>
      <c r="P10" s="4"/>
      <c r="Q10" s="4"/>
      <c r="R10" s="5"/>
    </row>
    <row r="11" spans="1:19" ht="15.75" x14ac:dyDescent="0.25">
      <c r="A11" s="166"/>
      <c r="B11" s="17"/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6"/>
      <c r="B12" s="17"/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6"/>
      <c r="B13" s="17"/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6"/>
      <c r="B14" s="14"/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6"/>
      <c r="B15" s="14"/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/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/>
      <c r="C19" s="10"/>
      <c r="D19" s="48">
        <f t="shared" si="1"/>
        <v>0</v>
      </c>
      <c r="F19" s="56"/>
      <c r="G19" s="68" t="s">
        <v>50</v>
      </c>
      <c r="H19" s="189"/>
      <c r="I19" s="189"/>
      <c r="J19" s="18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/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6"/>
      <c r="B22" s="46"/>
      <c r="C22" s="10"/>
      <c r="D22" s="48">
        <f t="shared" si="1"/>
        <v>0</v>
      </c>
      <c r="F22" s="77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/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/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6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/>
      <c r="C28" s="10"/>
      <c r="D28" s="48">
        <f t="shared" si="1"/>
        <v>0</v>
      </c>
      <c r="F28" s="111"/>
      <c r="G28" s="61"/>
      <c r="H28" s="204"/>
      <c r="I28" s="205"/>
      <c r="J28" s="206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2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/>
      <c r="I34" s="169"/>
      <c r="J34" s="170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/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/>
      <c r="I36" s="169"/>
      <c r="J36" s="170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/>
      <c r="I37" s="169"/>
      <c r="J37" s="170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/>
      <c r="I38" s="169"/>
      <c r="J38" s="170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/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08" t="s">
        <v>83</v>
      </c>
      <c r="H43" s="160" t="s">
        <v>13</v>
      </c>
      <c r="I43" s="161"/>
      <c r="J43" s="162"/>
      <c r="K43" s="21"/>
      <c r="P43" s="4"/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76"/>
      <c r="H44" s="163"/>
      <c r="I44" s="163"/>
      <c r="J44" s="163"/>
      <c r="K44" s="21"/>
      <c r="P44" s="4"/>
      <c r="Q44" s="4"/>
      <c r="R44" s="5"/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P50" s="4"/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128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78C5-181C-4BA8-83C6-4A3575D4D51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1</v>
      </c>
      <c r="H4" s="225" t="s">
        <v>9</v>
      </c>
      <c r="I4" s="227">
        <v>46039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84">
        <v>347</v>
      </c>
      <c r="D6" s="13">
        <f t="shared" ref="D6:D28" si="1">C6*L6</f>
        <v>264067</v>
      </c>
      <c r="F6" s="231" t="s">
        <v>16</v>
      </c>
      <c r="G6" s="233" t="s">
        <v>129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84">
        <v>6</v>
      </c>
      <c r="D7" s="13">
        <f t="shared" si="1"/>
        <v>4686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84">
        <v>60</v>
      </c>
      <c r="D8" s="13">
        <f t="shared" si="1"/>
        <v>65580</v>
      </c>
      <c r="F8" s="239" t="s">
        <v>21</v>
      </c>
      <c r="G8" s="240" t="s">
        <v>112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84">
        <v>20</v>
      </c>
      <c r="D9" s="13">
        <f t="shared" si="1"/>
        <v>14660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84">
        <v>3</v>
      </c>
      <c r="D10" s="13">
        <f t="shared" si="1"/>
        <v>3096</v>
      </c>
      <c r="F10" s="231" t="s">
        <v>26</v>
      </c>
      <c r="G10" s="246" t="s">
        <v>130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84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84">
        <v>3</v>
      </c>
      <c r="D12" s="48">
        <f t="shared" si="1"/>
        <v>2976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84">
        <v>9</v>
      </c>
      <c r="D13" s="48">
        <f t="shared" si="1"/>
        <v>2763</v>
      </c>
      <c r="F13" s="252" t="s">
        <v>36</v>
      </c>
      <c r="G13" s="216"/>
      <c r="H13" s="207">
        <f>D29</f>
        <v>360136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84">
        <v>6</v>
      </c>
      <c r="D14" s="31">
        <f t="shared" si="1"/>
        <v>66</v>
      </c>
      <c r="F14" s="210" t="s">
        <v>39</v>
      </c>
      <c r="G14" s="211"/>
      <c r="H14" s="212">
        <f>D54</f>
        <v>47431.5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84">
        <v>1</v>
      </c>
      <c r="D15" s="31">
        <f t="shared" si="1"/>
        <v>620</v>
      </c>
      <c r="F15" s="215" t="s">
        <v>40</v>
      </c>
      <c r="G15" s="216"/>
      <c r="H15" s="217">
        <f>H13-H14</f>
        <v>312704.5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137</v>
      </c>
      <c r="C17" s="84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88"/>
      <c r="I19" s="188"/>
      <c r="J19" s="188"/>
      <c r="L19" s="6">
        <v>1102</v>
      </c>
      <c r="Q19" s="4"/>
      <c r="R19" s="5">
        <f t="shared" si="0"/>
        <v>0</v>
      </c>
    </row>
    <row r="20" spans="1:18" ht="15.75" x14ac:dyDescent="0.25">
      <c r="A20" s="166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135</v>
      </c>
      <c r="C21" s="84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127</v>
      </c>
      <c r="C22" s="84"/>
      <c r="D22" s="48">
        <f t="shared" si="1"/>
        <v>0</v>
      </c>
      <c r="F22" s="77"/>
      <c r="G22" s="73"/>
      <c r="H22" s="193"/>
      <c r="I22" s="193"/>
      <c r="J22" s="193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101</v>
      </c>
      <c r="C23" s="84"/>
      <c r="D23" s="48">
        <f t="shared" si="1"/>
        <v>0</v>
      </c>
      <c r="F23" s="77"/>
      <c r="G23" s="79"/>
      <c r="H23" s="259"/>
      <c r="I23" s="260"/>
      <c r="J23" s="26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121</v>
      </c>
      <c r="C24" s="84"/>
      <c r="D24" s="48">
        <f t="shared" si="1"/>
        <v>0</v>
      </c>
      <c r="F24" s="77"/>
      <c r="G24" s="79"/>
      <c r="H24" s="259"/>
      <c r="I24" s="260"/>
      <c r="J24" s="26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138</v>
      </c>
      <c r="C25" s="84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136</v>
      </c>
      <c r="C26" s="84"/>
      <c r="D26" s="48">
        <f t="shared" si="1"/>
        <v>0</v>
      </c>
      <c r="F26" s="75"/>
      <c r="G26" s="65"/>
      <c r="H26" s="163"/>
      <c r="I26" s="163"/>
      <c r="J26" s="163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110</v>
      </c>
      <c r="C27" s="84"/>
      <c r="D27" s="44">
        <f t="shared" si="1"/>
        <v>0</v>
      </c>
      <c r="F27" s="71"/>
      <c r="G27" s="108"/>
      <c r="H27" s="261"/>
      <c r="I27" s="262"/>
      <c r="J27" s="26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84">
        <v>2</v>
      </c>
      <c r="D28" s="48">
        <f t="shared" si="1"/>
        <v>1622</v>
      </c>
      <c r="F28" s="111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360136</v>
      </c>
      <c r="F29" s="124" t="s">
        <v>55</v>
      </c>
      <c r="G29" s="186"/>
      <c r="H29" s="146">
        <f>H15-H16-H17-H18-H19-H20-H22-H23-H24+H26+H27+H28</f>
        <v>312704.5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2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268</v>
      </c>
      <c r="H34" s="168">
        <f t="shared" ref="H34:H39" si="2">F34*G34</f>
        <v>268000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71</v>
      </c>
      <c r="H35" s="168">
        <f t="shared" si="2"/>
        <v>35500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>
        <v>22</v>
      </c>
      <c r="D36" s="12">
        <f>C36*1.5</f>
        <v>33</v>
      </c>
      <c r="F36" s="12">
        <v>200</v>
      </c>
      <c r="G36" s="37">
        <v>3</v>
      </c>
      <c r="H36" s="168">
        <f t="shared" si="2"/>
        <v>600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327</v>
      </c>
      <c r="D37" s="12">
        <f>C37*111</f>
        <v>36297</v>
      </c>
      <c r="F37" s="12">
        <v>100</v>
      </c>
      <c r="G37" s="39">
        <v>54</v>
      </c>
      <c r="H37" s="168">
        <f t="shared" si="2"/>
        <v>5400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12</v>
      </c>
      <c r="D38" s="12">
        <f>C38*84</f>
        <v>1008</v>
      </c>
      <c r="F38" s="30">
        <v>50</v>
      </c>
      <c r="G38" s="39">
        <v>41</v>
      </c>
      <c r="H38" s="168">
        <f t="shared" si="2"/>
        <v>2050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6</v>
      </c>
      <c r="D39" s="31">
        <f>C39*4.5</f>
        <v>27</v>
      </c>
      <c r="F39" s="12">
        <v>20</v>
      </c>
      <c r="G39" s="37">
        <v>57</v>
      </c>
      <c r="H39" s="168">
        <f t="shared" si="2"/>
        <v>1140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10</v>
      </c>
      <c r="D40" s="12">
        <f>C40*111</f>
        <v>1110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6</v>
      </c>
      <c r="D42" s="12">
        <f>C42*2.25</f>
        <v>13.5</v>
      </c>
      <c r="F42" s="39" t="s">
        <v>79</v>
      </c>
      <c r="G42" s="168">
        <v>67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08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68</v>
      </c>
      <c r="D44" s="12">
        <f>C44*120</f>
        <v>8160</v>
      </c>
      <c r="F44" s="37" t="s">
        <v>153</v>
      </c>
      <c r="G44" s="62"/>
      <c r="H44" s="163">
        <v>458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4</v>
      </c>
      <c r="D46" s="12">
        <f>C46*1.5</f>
        <v>6</v>
      </c>
      <c r="F46" s="37"/>
      <c r="G46" s="62"/>
      <c r="H46" s="163"/>
      <c r="I46" s="163"/>
      <c r="J46" s="163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8</v>
      </c>
      <c r="D48" s="12">
        <f>C48*78</f>
        <v>624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1</v>
      </c>
      <c r="D49" s="12">
        <f>C49*42</f>
        <v>42</v>
      </c>
      <c r="F49" s="144" t="s">
        <v>86</v>
      </c>
      <c r="G49" s="146">
        <f>H34+H35+H36+H37+H38+H39+H40+H41+G42+H44+H45+H46</f>
        <v>313215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18</v>
      </c>
      <c r="D50" s="12">
        <f>C50*1.5</f>
        <v>27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149</v>
      </c>
      <c r="G51" s="154">
        <f>G49-H29</f>
        <v>510.5</v>
      </c>
      <c r="H51" s="155"/>
      <c r="I51" s="155"/>
      <c r="J51" s="156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47431.5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EB48-92EF-4D63-BBC6-C6D6485C8BD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2</v>
      </c>
      <c r="H4" s="225" t="s">
        <v>9</v>
      </c>
      <c r="I4" s="227">
        <v>46039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v>156</v>
      </c>
      <c r="D6" s="13">
        <f t="shared" ref="D6:D28" si="1">C6*L6</f>
        <v>118716</v>
      </c>
      <c r="F6" s="231" t="s">
        <v>16</v>
      </c>
      <c r="G6" s="233" t="s">
        <v>140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>
        <v>2</v>
      </c>
      <c r="D7" s="13">
        <f t="shared" si="1"/>
        <v>1562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114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39</v>
      </c>
      <c r="D9" s="13">
        <f t="shared" si="1"/>
        <v>28587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115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6</v>
      </c>
      <c r="D13" s="48">
        <f t="shared" si="1"/>
        <v>1842</v>
      </c>
      <c r="F13" s="252" t="s">
        <v>36</v>
      </c>
      <c r="G13" s="216"/>
      <c r="H13" s="207">
        <f>D29</f>
        <v>150960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23</v>
      </c>
      <c r="D14" s="31">
        <f t="shared" si="1"/>
        <v>253</v>
      </c>
      <c r="F14" s="210" t="s">
        <v>39</v>
      </c>
      <c r="G14" s="211"/>
      <c r="H14" s="212">
        <f>D54</f>
        <v>23091.75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127868.25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93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63"/>
      <c r="I19" s="263"/>
      <c r="J19" s="26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88"/>
      <c r="I20" s="188"/>
      <c r="J20" s="18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2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25"/>
      <c r="G23" s="37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123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111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150960</v>
      </c>
      <c r="F29" s="124" t="s">
        <v>55</v>
      </c>
      <c r="G29" s="186"/>
      <c r="H29" s="146">
        <f>H15-H16-H17-H18-H19-H20-H22-H23-H24+H26+H27</f>
        <v>127868.25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2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123</v>
      </c>
      <c r="H34" s="168">
        <f>F34*G34</f>
        <v>123000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>
        <f t="shared" ref="H35:H39" si="2">F35*G35</f>
        <v>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f>83+108+4</f>
        <v>195</v>
      </c>
      <c r="D37" s="12">
        <f>C37*111</f>
        <v>21645</v>
      </c>
      <c r="F37" s="12">
        <v>100</v>
      </c>
      <c r="G37" s="39">
        <v>6</v>
      </c>
      <c r="H37" s="168">
        <f t="shared" si="2"/>
        <v>600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8</v>
      </c>
      <c r="D38" s="12">
        <f>C38*84</f>
        <v>672</v>
      </c>
      <c r="F38" s="30">
        <v>50</v>
      </c>
      <c r="G38" s="39">
        <v>19</v>
      </c>
      <c r="H38" s="168">
        <f t="shared" si="2"/>
        <v>950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2</v>
      </c>
      <c r="D40" s="12">
        <f>C40*111</f>
        <v>222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3</v>
      </c>
      <c r="D42" s="12">
        <f>C42*2.25</f>
        <v>6.75</v>
      </c>
      <c r="F42" s="39" t="s">
        <v>79</v>
      </c>
      <c r="G42" s="168">
        <v>623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08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62"/>
      <c r="H44" s="163"/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109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6</v>
      </c>
      <c r="D48" s="12">
        <f>C48*78</f>
        <v>468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1</v>
      </c>
      <c r="D49" s="12">
        <f>C49*42</f>
        <v>42</v>
      </c>
      <c r="F49" s="144" t="s">
        <v>86</v>
      </c>
      <c r="G49" s="146">
        <f>H34+H35+H36+H37+H38+H39+H40+H41+G42+H44+H45+H46</f>
        <v>125173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18</v>
      </c>
      <c r="D50" s="12">
        <f>C50*1.5</f>
        <v>27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161</v>
      </c>
      <c r="G51" s="253">
        <f>G49-H29</f>
        <v>-2695.25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23091.75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DEBB5-562F-43BE-A6E6-00B6C2D43D4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3</v>
      </c>
      <c r="H4" s="225" t="s">
        <v>9</v>
      </c>
      <c r="I4" s="227">
        <v>46039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v>231</v>
      </c>
      <c r="D6" s="13">
        <f t="shared" ref="D6:D28" si="1">C6*L6</f>
        <v>175791</v>
      </c>
      <c r="F6" s="231" t="s">
        <v>16</v>
      </c>
      <c r="G6" s="233" t="s">
        <v>111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>
        <v>3</v>
      </c>
      <c r="D7" s="13">
        <f t="shared" si="1"/>
        <v>2343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119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33</v>
      </c>
      <c r="D9" s="13">
        <f t="shared" si="1"/>
        <v>24189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134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>
        <v>1</v>
      </c>
      <c r="D12" s="48">
        <f t="shared" si="1"/>
        <v>992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8</v>
      </c>
      <c r="D13" s="48">
        <f t="shared" si="1"/>
        <v>2456</v>
      </c>
      <c r="F13" s="252" t="s">
        <v>36</v>
      </c>
      <c r="G13" s="216"/>
      <c r="H13" s="207">
        <f>D29</f>
        <v>205815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4</v>
      </c>
      <c r="D14" s="31">
        <f t="shared" si="1"/>
        <v>44</v>
      </c>
      <c r="F14" s="210" t="s">
        <v>39</v>
      </c>
      <c r="G14" s="211"/>
      <c r="H14" s="212">
        <f>D54</f>
        <v>83061.75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122753.25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>
        <f>468+648</f>
        <v>1116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113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64"/>
      <c r="I19" s="264"/>
      <c r="J19" s="26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7"/>
      <c r="G22" s="73"/>
      <c r="H22" s="193"/>
      <c r="I22" s="193"/>
      <c r="J22" s="193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101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111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205815</v>
      </c>
      <c r="F29" s="124" t="s">
        <v>55</v>
      </c>
      <c r="G29" s="186"/>
      <c r="H29" s="146">
        <f>H15-H16-H17-H18-H19-H20-H22-H23-H24+H26+H27</f>
        <v>121637.25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2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4">
        <v>84</v>
      </c>
      <c r="H34" s="168">
        <f>F34*G34</f>
        <v>84000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43</v>
      </c>
      <c r="H35" s="168">
        <f>F35*G35</f>
        <v>21500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>
        <v>4</v>
      </c>
      <c r="D36" s="12">
        <f>C36*1.5</f>
        <v>6</v>
      </c>
      <c r="F36" s="12">
        <v>200</v>
      </c>
      <c r="G36" s="37">
        <v>5</v>
      </c>
      <c r="H36" s="168">
        <f t="shared" ref="H36:H39" si="2">F36*G36</f>
        <v>1000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693</v>
      </c>
      <c r="D37" s="12">
        <f>C37*111</f>
        <v>76923</v>
      </c>
      <c r="F37" s="12">
        <v>100</v>
      </c>
      <c r="G37" s="39">
        <v>122</v>
      </c>
      <c r="H37" s="168">
        <f t="shared" si="2"/>
        <v>12200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11</v>
      </c>
      <c r="D38" s="12">
        <f>C38*84</f>
        <v>924</v>
      </c>
      <c r="F38" s="30">
        <v>50</v>
      </c>
      <c r="G38" s="39">
        <v>49</v>
      </c>
      <c r="H38" s="168">
        <f t="shared" si="2"/>
        <v>2450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4</v>
      </c>
      <c r="D39" s="31">
        <f>C39*4.5</f>
        <v>18</v>
      </c>
      <c r="F39" s="12">
        <v>20</v>
      </c>
      <c r="G39" s="37">
        <v>1</v>
      </c>
      <c r="H39" s="168">
        <f t="shared" si="2"/>
        <v>20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25</v>
      </c>
      <c r="D40" s="12">
        <f>C40*111</f>
        <v>2775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>
        <v>7</v>
      </c>
      <c r="D41" s="12">
        <f>C41*84</f>
        <v>588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7</v>
      </c>
      <c r="D42" s="12">
        <f>C42*2.25</f>
        <v>15.75</v>
      </c>
      <c r="F42" s="39" t="s">
        <v>79</v>
      </c>
      <c r="G42" s="168">
        <v>30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08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10</v>
      </c>
      <c r="D44" s="12">
        <f>C44*120</f>
        <v>1200</v>
      </c>
      <c r="F44" s="37"/>
      <c r="G44" s="76"/>
      <c r="H44" s="163"/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2</v>
      </c>
      <c r="D46" s="12">
        <f>C46*1.5</f>
        <v>3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6</v>
      </c>
      <c r="D49" s="12">
        <f>C49*42</f>
        <v>252</v>
      </c>
      <c r="F49" s="144" t="s">
        <v>86</v>
      </c>
      <c r="G49" s="146">
        <f>H34+H35+H36+H37+H38+H39+H40+H41+G42+H44+H45+H46</f>
        <v>121200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2</v>
      </c>
      <c r="D50" s="12">
        <f>C50*1.5</f>
        <v>3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139</v>
      </c>
      <c r="G51" s="253">
        <f>G49-H29</f>
        <v>-437.25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83061.75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50515-980C-48CF-98E5-A126F545398A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20" t="s">
        <v>1</v>
      </c>
      <c r="O1" s="220"/>
      <c r="P1" s="110" t="s">
        <v>2</v>
      </c>
      <c r="Q1" s="11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71" t="s">
        <v>7</v>
      </c>
      <c r="B4" s="172"/>
      <c r="C4" s="172"/>
      <c r="D4" s="173"/>
      <c r="F4" s="221" t="s">
        <v>8</v>
      </c>
      <c r="G4" s="223"/>
      <c r="H4" s="225" t="s">
        <v>9</v>
      </c>
      <c r="I4" s="227"/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6"/>
      <c r="B6" s="16"/>
      <c r="C6" s="10"/>
      <c r="D6" s="13">
        <f t="shared" ref="D6:D28" si="1">C6*L6</f>
        <v>0</v>
      </c>
      <c r="F6" s="231" t="s">
        <v>16</v>
      </c>
      <c r="G6" s="233"/>
      <c r="H6" s="234"/>
      <c r="I6" s="234"/>
      <c r="J6" s="23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6"/>
      <c r="B7" s="16"/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6"/>
      <c r="B8" s="16"/>
      <c r="C8" s="10"/>
      <c r="D8" s="13">
        <f t="shared" si="1"/>
        <v>0</v>
      </c>
      <c r="F8" s="239" t="s">
        <v>21</v>
      </c>
      <c r="G8" s="240"/>
      <c r="H8" s="241"/>
      <c r="I8" s="241"/>
      <c r="J8" s="24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6"/>
      <c r="B9" s="16"/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6"/>
      <c r="C10" s="10"/>
      <c r="D10" s="13">
        <f t="shared" si="1"/>
        <v>0</v>
      </c>
      <c r="F10" s="231" t="s">
        <v>26</v>
      </c>
      <c r="G10" s="246"/>
      <c r="H10" s="247"/>
      <c r="I10" s="247"/>
      <c r="J10" s="248"/>
      <c r="K10" s="8"/>
      <c r="L10" s="6">
        <f>R36</f>
        <v>972</v>
      </c>
      <c r="P10" s="4"/>
      <c r="Q10" s="4"/>
      <c r="R10" s="5"/>
    </row>
    <row r="11" spans="1:19" ht="15.75" x14ac:dyDescent="0.25">
      <c r="A11" s="166"/>
      <c r="B11" s="17"/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6"/>
      <c r="B12" s="17"/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6"/>
      <c r="B13" s="17"/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6"/>
      <c r="B14" s="14"/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6"/>
      <c r="B15" s="14"/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/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/>
      <c r="C19" s="10"/>
      <c r="D19" s="48">
        <f t="shared" si="1"/>
        <v>0</v>
      </c>
      <c r="F19" s="56"/>
      <c r="G19" s="68" t="s">
        <v>50</v>
      </c>
      <c r="H19" s="189"/>
      <c r="I19" s="189"/>
      <c r="J19" s="18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/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6"/>
      <c r="B22" s="46"/>
      <c r="C22" s="10"/>
      <c r="D22" s="48">
        <f t="shared" si="1"/>
        <v>0</v>
      </c>
      <c r="F22" s="77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/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/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6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/>
      <c r="C28" s="10"/>
      <c r="D28" s="48">
        <f t="shared" si="1"/>
        <v>0</v>
      </c>
      <c r="F28" s="111"/>
      <c r="G28" s="61"/>
      <c r="H28" s="204"/>
      <c r="I28" s="205"/>
      <c r="J28" s="206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2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/>
      <c r="I34" s="169"/>
      <c r="J34" s="170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/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/>
      <c r="I36" s="169"/>
      <c r="J36" s="170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/>
      <c r="I37" s="169"/>
      <c r="J37" s="170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/>
      <c r="I38" s="169"/>
      <c r="J38" s="170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/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08" t="s">
        <v>83</v>
      </c>
      <c r="H43" s="160" t="s">
        <v>13</v>
      </c>
      <c r="I43" s="161"/>
      <c r="J43" s="162"/>
      <c r="K43" s="21"/>
      <c r="P43" s="4"/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76"/>
      <c r="H44" s="163"/>
      <c r="I44" s="163"/>
      <c r="J44" s="163"/>
      <c r="K44" s="21"/>
      <c r="P44" s="4"/>
      <c r="Q44" s="4"/>
      <c r="R44" s="5"/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P50" s="4"/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128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D4AEF-B715-4981-804F-5DC1F75F6CCC}">
  <dimension ref="A1:R59"/>
  <sheetViews>
    <sheetView topLeftCell="A19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1</v>
      </c>
      <c r="H4" s="225" t="s">
        <v>9</v>
      </c>
      <c r="I4" s="227">
        <v>46041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84">
        <v>168</v>
      </c>
      <c r="D6" s="13">
        <f t="shared" ref="D6:D28" si="1">C6*L6</f>
        <v>127848</v>
      </c>
      <c r="F6" s="231" t="s">
        <v>16</v>
      </c>
      <c r="G6" s="233" t="s">
        <v>129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84">
        <v>10</v>
      </c>
      <c r="D7" s="13">
        <f t="shared" si="1"/>
        <v>7810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84">
        <v>11</v>
      </c>
      <c r="D8" s="13">
        <f t="shared" si="1"/>
        <v>12023</v>
      </c>
      <c r="F8" s="239" t="s">
        <v>21</v>
      </c>
      <c r="G8" s="240" t="s">
        <v>112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84">
        <v>117</v>
      </c>
      <c r="D9" s="13">
        <f t="shared" si="1"/>
        <v>85761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84">
        <v>21</v>
      </c>
      <c r="D10" s="13">
        <f t="shared" si="1"/>
        <v>21672</v>
      </c>
      <c r="F10" s="231" t="s">
        <v>26</v>
      </c>
      <c r="G10" s="246" t="s">
        <v>130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84">
        <v>29</v>
      </c>
      <c r="D11" s="13">
        <f t="shared" si="1"/>
        <v>33930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84">
        <f>15+6</f>
        <v>21</v>
      </c>
      <c r="D12" s="48">
        <f t="shared" si="1"/>
        <v>20832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84">
        <v>2</v>
      </c>
      <c r="D13" s="48">
        <f t="shared" si="1"/>
        <v>614</v>
      </c>
      <c r="F13" s="252" t="s">
        <v>36</v>
      </c>
      <c r="G13" s="216"/>
      <c r="H13" s="207">
        <f>D29</f>
        <v>346953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84">
        <v>14</v>
      </c>
      <c r="D14" s="31">
        <f t="shared" si="1"/>
        <v>154</v>
      </c>
      <c r="F14" s="210" t="s">
        <v>39</v>
      </c>
      <c r="G14" s="211"/>
      <c r="H14" s="212">
        <f>D54</f>
        <v>73926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84">
        <f>16</f>
        <v>16</v>
      </c>
      <c r="D15" s="31">
        <f t="shared" si="1"/>
        <v>9920</v>
      </c>
      <c r="F15" s="215" t="s">
        <v>40</v>
      </c>
      <c r="G15" s="216"/>
      <c r="H15" s="217">
        <f>H13-H14</f>
        <v>273027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137</v>
      </c>
      <c r="C17" s="84">
        <f>1</f>
        <v>1</v>
      </c>
      <c r="D17" s="48">
        <f t="shared" si="1"/>
        <v>1582</v>
      </c>
      <c r="F17" s="56"/>
      <c r="G17" s="66" t="s">
        <v>45</v>
      </c>
      <c r="H17" s="188"/>
      <c r="I17" s="188"/>
      <c r="J17" s="188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84">
        <v>6</v>
      </c>
      <c r="D18" s="48">
        <f t="shared" si="1"/>
        <v>3720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15" t="s">
        <v>204</v>
      </c>
      <c r="C19" s="84">
        <f>1</f>
        <v>1</v>
      </c>
      <c r="D19" s="48">
        <f t="shared" si="1"/>
        <v>1102</v>
      </c>
      <c r="F19" s="56"/>
      <c r="G19" s="68" t="s">
        <v>50</v>
      </c>
      <c r="H19" s="188"/>
      <c r="I19" s="188"/>
      <c r="J19" s="188"/>
      <c r="L19" s="6">
        <v>1102</v>
      </c>
      <c r="Q19" s="4"/>
      <c r="R19" s="5">
        <f t="shared" si="0"/>
        <v>0</v>
      </c>
    </row>
    <row r="20" spans="1:18" ht="15.75" x14ac:dyDescent="0.25">
      <c r="A20" s="166"/>
      <c r="B20" s="83" t="s">
        <v>125</v>
      </c>
      <c r="C20" s="84">
        <f>2+2</f>
        <v>4</v>
      </c>
      <c r="D20" s="13">
        <f t="shared" si="1"/>
        <v>4700</v>
      </c>
      <c r="F20" s="57"/>
      <c r="G20" s="70" t="s">
        <v>120</v>
      </c>
      <c r="H20" s="177"/>
      <c r="I20" s="177"/>
      <c r="J20" s="17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135</v>
      </c>
      <c r="C21" s="84">
        <f>2+10</f>
        <v>12</v>
      </c>
      <c r="D21" s="48">
        <f t="shared" si="1"/>
        <v>7800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127</v>
      </c>
      <c r="C22" s="84"/>
      <c r="D22" s="48">
        <f t="shared" si="1"/>
        <v>0</v>
      </c>
      <c r="F22" s="77"/>
      <c r="G22" s="73"/>
      <c r="H22" s="193"/>
      <c r="I22" s="193"/>
      <c r="J22" s="193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101</v>
      </c>
      <c r="C23" s="84"/>
      <c r="D23" s="48">
        <f t="shared" si="1"/>
        <v>0</v>
      </c>
      <c r="F23" s="77"/>
      <c r="G23" s="79"/>
      <c r="H23" s="259"/>
      <c r="I23" s="260"/>
      <c r="J23" s="26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208</v>
      </c>
      <c r="C24" s="84">
        <v>1</v>
      </c>
      <c r="D24" s="48">
        <f t="shared" si="1"/>
        <v>1728</v>
      </c>
      <c r="F24" s="77"/>
      <c r="G24" s="79"/>
      <c r="H24" s="259"/>
      <c r="I24" s="260"/>
      <c r="J24" s="260"/>
      <c r="L24" s="47">
        <v>1728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138</v>
      </c>
      <c r="C25" s="84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21" t="s">
        <v>209</v>
      </c>
      <c r="C26" s="84">
        <f>1</f>
        <v>1</v>
      </c>
      <c r="D26" s="48">
        <f t="shared" si="1"/>
        <v>1702</v>
      </c>
      <c r="F26" s="75"/>
      <c r="G26" s="65"/>
      <c r="H26" s="163"/>
      <c r="I26" s="163"/>
      <c r="J26" s="163"/>
      <c r="L26" s="7">
        <f>1582+120</f>
        <v>1702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110</v>
      </c>
      <c r="C27" s="84"/>
      <c r="D27" s="44">
        <f t="shared" si="1"/>
        <v>0</v>
      </c>
      <c r="F27" s="71"/>
      <c r="G27" s="108"/>
      <c r="H27" s="261"/>
      <c r="I27" s="262"/>
      <c r="J27" s="26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84">
        <v>5</v>
      </c>
      <c r="D28" s="48">
        <f t="shared" si="1"/>
        <v>4055</v>
      </c>
      <c r="F28" s="111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346953</v>
      </c>
      <c r="F29" s="124" t="s">
        <v>55</v>
      </c>
      <c r="G29" s="186"/>
      <c r="H29" s="146">
        <f>H15-H16-H17-H18-H19-H20-H22-H23-H24+H26+H27+H28</f>
        <v>273027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2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>
        <v>4</v>
      </c>
      <c r="D34" s="30">
        <f>C34*120</f>
        <v>480</v>
      </c>
      <c r="F34" s="12">
        <v>1000</v>
      </c>
      <c r="G34" s="40">
        <v>45</v>
      </c>
      <c r="H34" s="168">
        <f t="shared" ref="H34:H39" si="2">F34*G34</f>
        <v>45000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>
        <v>9</v>
      </c>
      <c r="D35" s="30">
        <f>C35*84</f>
        <v>756</v>
      </c>
      <c r="F35" s="58">
        <v>500</v>
      </c>
      <c r="G35" s="41">
        <v>28</v>
      </c>
      <c r="H35" s="168">
        <f t="shared" si="2"/>
        <v>14000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>
        <v>32</v>
      </c>
      <c r="D36" s="12">
        <f>C36*1.5</f>
        <v>48</v>
      </c>
      <c r="F36" s="12">
        <v>200</v>
      </c>
      <c r="G36" s="37">
        <v>4</v>
      </c>
      <c r="H36" s="168">
        <f t="shared" si="2"/>
        <v>800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258</v>
      </c>
      <c r="D37" s="12">
        <f>C37*111</f>
        <v>28638</v>
      </c>
      <c r="F37" s="12">
        <v>100</v>
      </c>
      <c r="G37" s="39">
        <v>23</v>
      </c>
      <c r="H37" s="168">
        <f t="shared" si="2"/>
        <v>2300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374</v>
      </c>
      <c r="D38" s="12">
        <f>C38*84</f>
        <v>31416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6</v>
      </c>
      <c r="D39" s="31">
        <f>C39*4.5</f>
        <v>27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4</v>
      </c>
      <c r="D40" s="12">
        <f>C40*111</f>
        <v>444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>
        <v>38</v>
      </c>
      <c r="D41" s="12">
        <f>C41*84</f>
        <v>3192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22</v>
      </c>
      <c r="D42" s="12">
        <f>C42*2.25</f>
        <v>49.5</v>
      </c>
      <c r="F42" s="39" t="s">
        <v>79</v>
      </c>
      <c r="G42" s="168">
        <v>73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08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1</v>
      </c>
      <c r="D44" s="12">
        <f>C44*120</f>
        <v>120</v>
      </c>
      <c r="F44" s="37" t="s">
        <v>147</v>
      </c>
      <c r="G44" s="62" t="s">
        <v>211</v>
      </c>
      <c r="H44" s="163">
        <v>164812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>
        <v>102</v>
      </c>
      <c r="D45" s="12">
        <f>C45*84</f>
        <v>8568</v>
      </c>
      <c r="F45" s="37" t="s">
        <v>153</v>
      </c>
      <c r="G45" s="62"/>
      <c r="H45" s="163">
        <v>20176</v>
      </c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12</v>
      </c>
      <c r="D46" s="12">
        <f>C46*1.5</f>
        <v>18</v>
      </c>
      <c r="F46" s="37" t="s">
        <v>153</v>
      </c>
      <c r="G46" s="62"/>
      <c r="H46" s="163">
        <v>26000</v>
      </c>
      <c r="I46" s="163"/>
      <c r="J46" s="163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1</v>
      </c>
      <c r="D48" s="12">
        <f>C48*78</f>
        <v>78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2</v>
      </c>
      <c r="D49" s="12">
        <f>C49*42</f>
        <v>84</v>
      </c>
      <c r="F49" s="144" t="s">
        <v>86</v>
      </c>
      <c r="G49" s="146">
        <f>H34+H35+H36+H37+H38+H39+H40+H41+G42+H44+H45+H46</f>
        <v>273161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5</v>
      </c>
      <c r="D50" s="12">
        <f>C50*1.5</f>
        <v>7.5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149</v>
      </c>
      <c r="G51" s="154">
        <f>G49-H29</f>
        <v>134</v>
      </c>
      <c r="H51" s="155"/>
      <c r="I51" s="155"/>
      <c r="J51" s="156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73926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260E0-1753-4068-8330-7995D1A13BE4}">
  <dimension ref="A1:R59"/>
  <sheetViews>
    <sheetView zoomScaleNormal="100" zoomScaleSheetLayoutView="85" workbookViewId="0">
      <selection activeCell="G6" sqref="G6:J7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2</v>
      </c>
      <c r="H4" s="225" t="s">
        <v>9</v>
      </c>
      <c r="I4" s="227">
        <v>46041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v>250</v>
      </c>
      <c r="D6" s="13">
        <f t="shared" ref="D6:D28" si="1">C6*L6</f>
        <v>190250</v>
      </c>
      <c r="F6" s="231" t="s">
        <v>16</v>
      </c>
      <c r="G6" s="233" t="s">
        <v>212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114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51</v>
      </c>
      <c r="D9" s="13">
        <f t="shared" si="1"/>
        <v>37383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115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11</v>
      </c>
      <c r="D13" s="48">
        <f t="shared" si="1"/>
        <v>3377</v>
      </c>
      <c r="F13" s="252" t="s">
        <v>36</v>
      </c>
      <c r="G13" s="216"/>
      <c r="H13" s="207">
        <f>D29</f>
        <v>231241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21</v>
      </c>
      <c r="D14" s="31">
        <f t="shared" si="1"/>
        <v>231</v>
      </c>
      <c r="F14" s="210" t="s">
        <v>39</v>
      </c>
      <c r="G14" s="211"/>
      <c r="H14" s="212">
        <f>D54</f>
        <v>34290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196951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>
        <f>266*6</f>
        <v>1596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93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63"/>
      <c r="I19" s="263"/>
      <c r="J19" s="26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88"/>
      <c r="I20" s="188"/>
      <c r="J20" s="18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2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25"/>
      <c r="G23" s="37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123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111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231241</v>
      </c>
      <c r="F29" s="124" t="s">
        <v>55</v>
      </c>
      <c r="G29" s="186"/>
      <c r="H29" s="146">
        <f>H15-H16-H17-H18-H19-H20-H22-H23-H24+H26+H27</f>
        <v>195355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2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139</v>
      </c>
      <c r="H34" s="168">
        <f>F34*G34</f>
        <v>139000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107</v>
      </c>
      <c r="H35" s="168">
        <f t="shared" ref="H35:H39" si="2">F35*G35</f>
        <v>53500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301</v>
      </c>
      <c r="D37" s="12">
        <f>C37*111</f>
        <v>33411</v>
      </c>
      <c r="F37" s="12">
        <v>100</v>
      </c>
      <c r="G37" s="39">
        <v>23</v>
      </c>
      <c r="H37" s="168">
        <f t="shared" si="2"/>
        <v>2300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>
        <v>10</v>
      </c>
      <c r="H38" s="168">
        <f t="shared" si="2"/>
        <v>500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>
        <v>63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08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62"/>
      <c r="H44" s="163"/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109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1</v>
      </c>
      <c r="D48" s="12">
        <f>C48*78</f>
        <v>78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19</v>
      </c>
      <c r="D49" s="12">
        <f>C49*42</f>
        <v>798</v>
      </c>
      <c r="F49" s="144" t="s">
        <v>86</v>
      </c>
      <c r="G49" s="146">
        <f>H34+H35+H36+H37+H38+H39+H40+H41+G42+H44+H45+H46</f>
        <v>195363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2</v>
      </c>
      <c r="D50" s="12">
        <f>C50*1.5</f>
        <v>3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142</v>
      </c>
      <c r="G51" s="154">
        <f>G49-H29</f>
        <v>8</v>
      </c>
      <c r="H51" s="155"/>
      <c r="I51" s="155"/>
      <c r="J51" s="156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34290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180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6DA73-110F-49BD-9DD0-A2B1E89FB062}">
  <dimension ref="A1:R59"/>
  <sheetViews>
    <sheetView topLeftCell="A4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3</v>
      </c>
      <c r="H4" s="225" t="s">
        <v>9</v>
      </c>
      <c r="I4" s="227">
        <v>46041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v>499</v>
      </c>
      <c r="D6" s="13">
        <f t="shared" ref="D6:D28" si="1">C6*L6</f>
        <v>379739</v>
      </c>
      <c r="F6" s="231" t="s">
        <v>16</v>
      </c>
      <c r="G6" s="233" t="s">
        <v>111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>
        <v>2</v>
      </c>
      <c r="D7" s="13">
        <f t="shared" si="1"/>
        <v>1562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119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86</v>
      </c>
      <c r="D9" s="13">
        <f t="shared" si="1"/>
        <v>63038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134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9</v>
      </c>
      <c r="D13" s="48">
        <f t="shared" si="1"/>
        <v>2763</v>
      </c>
      <c r="F13" s="252" t="s">
        <v>36</v>
      </c>
      <c r="G13" s="216"/>
      <c r="H13" s="207">
        <f>D29</f>
        <v>448931.5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21</v>
      </c>
      <c r="D14" s="31">
        <f t="shared" si="1"/>
        <v>231</v>
      </c>
      <c r="F14" s="210" t="s">
        <v>39</v>
      </c>
      <c r="G14" s="211"/>
      <c r="H14" s="212">
        <f>D54</f>
        <v>79731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369200.5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>
        <f>318*6</f>
        <v>1908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113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>
        <v>1</v>
      </c>
      <c r="D18" s="48">
        <f t="shared" si="1"/>
        <v>620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64"/>
      <c r="I19" s="264"/>
      <c r="J19" s="26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122" t="s">
        <v>213</v>
      </c>
      <c r="G22" s="73">
        <v>8511</v>
      </c>
      <c r="H22" s="193">
        <v>127768</v>
      </c>
      <c r="I22" s="193"/>
      <c r="J22" s="193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121</v>
      </c>
      <c r="C24" s="10">
        <v>12</v>
      </c>
      <c r="D24" s="48">
        <f t="shared" si="1"/>
        <v>504.5</v>
      </c>
      <c r="F24" s="38"/>
      <c r="G24" s="37"/>
      <c r="H24" s="194"/>
      <c r="I24" s="163"/>
      <c r="J24" s="163"/>
      <c r="L24" s="47">
        <f>973/24+1.5</f>
        <v>42.041666666666664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210</v>
      </c>
      <c r="C25" s="10">
        <v>12</v>
      </c>
      <c r="D25" s="48">
        <f t="shared" si="1"/>
        <v>474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912/24+1.5</f>
        <v>39.5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111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448931.5</v>
      </c>
      <c r="F29" s="124" t="s">
        <v>55</v>
      </c>
      <c r="G29" s="186"/>
      <c r="H29" s="146">
        <f>H15-H16-H17-H18-H19-H20-H22-H23-H24+H26+H27</f>
        <v>239524.5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2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12</v>
      </c>
      <c r="H34" s="168">
        <f>F34*G34</f>
        <v>12000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8</v>
      </c>
      <c r="H35" s="168">
        <f>F35*G35</f>
        <v>4000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 t="shared" ref="H36:H39" si="2"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690</v>
      </c>
      <c r="D37" s="12">
        <f>C37*111</f>
        <v>76590</v>
      </c>
      <c r="F37" s="12">
        <v>100</v>
      </c>
      <c r="G37" s="39"/>
      <c r="H37" s="168">
        <f t="shared" si="2"/>
        <v>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9</v>
      </c>
      <c r="D38" s="12">
        <f>C38*84</f>
        <v>756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3</v>
      </c>
      <c r="D40" s="12">
        <f>C40*111</f>
        <v>333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08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1</v>
      </c>
      <c r="D44" s="12">
        <f>C44*120</f>
        <v>120</v>
      </c>
      <c r="F44" s="37" t="s">
        <v>153</v>
      </c>
      <c r="G44" s="76"/>
      <c r="H44" s="163">
        <v>20442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 t="s">
        <v>147</v>
      </c>
      <c r="G45" s="76"/>
      <c r="H45" s="163">
        <v>203392</v>
      </c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1</v>
      </c>
      <c r="D46" s="12">
        <f>C46*1.5</f>
        <v>1.5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9</v>
      </c>
      <c r="D48" s="12">
        <f>C48*78</f>
        <v>702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27</v>
      </c>
      <c r="D49" s="12">
        <f>C49*42</f>
        <v>1134</v>
      </c>
      <c r="F49" s="144" t="s">
        <v>86</v>
      </c>
      <c r="G49" s="146">
        <f>H34+H35+H36+H37+H38+H39+H40+H41+G42+H44+H45+H46</f>
        <v>239834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4</v>
      </c>
      <c r="D50" s="12">
        <f>C50*1.5</f>
        <v>6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149</v>
      </c>
      <c r="G51" s="154">
        <f>G49-H29</f>
        <v>309.5</v>
      </c>
      <c r="H51" s="155"/>
      <c r="I51" s="155"/>
      <c r="J51" s="156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79731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B923C-3FD1-46C7-814D-A794C74C3FFD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20" t="s">
        <v>1</v>
      </c>
      <c r="O1" s="220"/>
      <c r="P1" s="116" t="s">
        <v>2</v>
      </c>
      <c r="Q1" s="116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71" t="s">
        <v>7</v>
      </c>
      <c r="B4" s="172"/>
      <c r="C4" s="172"/>
      <c r="D4" s="173"/>
      <c r="F4" s="221" t="s">
        <v>8</v>
      </c>
      <c r="G4" s="223"/>
      <c r="H4" s="225" t="s">
        <v>9</v>
      </c>
      <c r="I4" s="227"/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6"/>
      <c r="B6" s="16"/>
      <c r="C6" s="10"/>
      <c r="D6" s="13">
        <f t="shared" ref="D6:D28" si="1">C6*L6</f>
        <v>0</v>
      </c>
      <c r="F6" s="231" t="s">
        <v>16</v>
      </c>
      <c r="G6" s="233"/>
      <c r="H6" s="234"/>
      <c r="I6" s="234"/>
      <c r="J6" s="23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6"/>
      <c r="B7" s="16"/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6"/>
      <c r="B8" s="16"/>
      <c r="C8" s="10"/>
      <c r="D8" s="13">
        <f t="shared" si="1"/>
        <v>0</v>
      </c>
      <c r="F8" s="239" t="s">
        <v>21</v>
      </c>
      <c r="G8" s="240"/>
      <c r="H8" s="241"/>
      <c r="I8" s="241"/>
      <c r="J8" s="24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6"/>
      <c r="B9" s="16"/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6"/>
      <c r="C10" s="10"/>
      <c r="D10" s="13">
        <f t="shared" si="1"/>
        <v>0</v>
      </c>
      <c r="F10" s="231" t="s">
        <v>26</v>
      </c>
      <c r="G10" s="246"/>
      <c r="H10" s="247"/>
      <c r="I10" s="247"/>
      <c r="J10" s="248"/>
      <c r="K10" s="8"/>
      <c r="L10" s="6">
        <f>R36</f>
        <v>972</v>
      </c>
      <c r="P10" s="4"/>
      <c r="Q10" s="4"/>
      <c r="R10" s="5"/>
    </row>
    <row r="11" spans="1:19" ht="15.75" x14ac:dyDescent="0.25">
      <c r="A11" s="166"/>
      <c r="B11" s="17"/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6"/>
      <c r="B12" s="17"/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6"/>
      <c r="B13" s="17"/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6"/>
      <c r="B14" s="14"/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6"/>
      <c r="B15" s="14"/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/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/>
      <c r="C19" s="10"/>
      <c r="D19" s="48">
        <f t="shared" si="1"/>
        <v>0</v>
      </c>
      <c r="F19" s="56"/>
      <c r="G19" s="68" t="s">
        <v>50</v>
      </c>
      <c r="H19" s="189"/>
      <c r="I19" s="189"/>
      <c r="J19" s="18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/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6"/>
      <c r="B22" s="46"/>
      <c r="C22" s="10"/>
      <c r="D22" s="48">
        <f t="shared" si="1"/>
        <v>0</v>
      </c>
      <c r="F22" s="77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/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/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6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/>
      <c r="C28" s="10"/>
      <c r="D28" s="48">
        <f t="shared" si="1"/>
        <v>0</v>
      </c>
      <c r="F28" s="117"/>
      <c r="G28" s="61"/>
      <c r="H28" s="204"/>
      <c r="I28" s="205"/>
      <c r="J28" s="206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8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/>
      <c r="I34" s="169"/>
      <c r="J34" s="170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/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/>
      <c r="I36" s="169"/>
      <c r="J36" s="170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/>
      <c r="I37" s="169"/>
      <c r="J37" s="170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/>
      <c r="I38" s="169"/>
      <c r="J38" s="170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/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20" t="s">
        <v>83</v>
      </c>
      <c r="H43" s="160" t="s">
        <v>13</v>
      </c>
      <c r="I43" s="161"/>
      <c r="J43" s="162"/>
      <c r="K43" s="21"/>
      <c r="P43" s="4"/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76"/>
      <c r="H44" s="163"/>
      <c r="I44" s="163"/>
      <c r="J44" s="163"/>
      <c r="K44" s="21"/>
      <c r="P44" s="4"/>
      <c r="Q44" s="4"/>
      <c r="R44" s="5"/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P50" s="4"/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128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2DE2-3D16-48CE-A1D2-E0978F9D92D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6" t="s">
        <v>2</v>
      </c>
      <c r="Q1" s="11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1</v>
      </c>
      <c r="H4" s="225" t="s">
        <v>9</v>
      </c>
      <c r="I4" s="227">
        <v>46042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84">
        <v>772</v>
      </c>
      <c r="D6" s="13">
        <f t="shared" ref="D6:D28" si="1">C6*L6</f>
        <v>587492</v>
      </c>
      <c r="F6" s="231" t="s">
        <v>16</v>
      </c>
      <c r="G6" s="233" t="s">
        <v>129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84">
        <v>50</v>
      </c>
      <c r="D7" s="13">
        <f t="shared" si="1"/>
        <v>39050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84"/>
      <c r="D8" s="13">
        <f t="shared" si="1"/>
        <v>0</v>
      </c>
      <c r="F8" s="239" t="s">
        <v>21</v>
      </c>
      <c r="G8" s="240" t="s">
        <v>112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84">
        <v>63</v>
      </c>
      <c r="D9" s="13">
        <f t="shared" si="1"/>
        <v>46179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84"/>
      <c r="D10" s="13">
        <f t="shared" si="1"/>
        <v>0</v>
      </c>
      <c r="F10" s="231" t="s">
        <v>26</v>
      </c>
      <c r="G10" s="246" t="s">
        <v>130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84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84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84">
        <v>28</v>
      </c>
      <c r="D13" s="48">
        <f t="shared" si="1"/>
        <v>8596</v>
      </c>
      <c r="F13" s="252" t="s">
        <v>36</v>
      </c>
      <c r="G13" s="216"/>
      <c r="H13" s="207">
        <f>D29</f>
        <v>684428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84">
        <v>1</v>
      </c>
      <c r="D14" s="31">
        <f t="shared" si="1"/>
        <v>11</v>
      </c>
      <c r="F14" s="210" t="s">
        <v>39</v>
      </c>
      <c r="G14" s="211"/>
      <c r="H14" s="212">
        <f>D54</f>
        <v>157947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84">
        <f>1</f>
        <v>1</v>
      </c>
      <c r="D15" s="31">
        <f t="shared" si="1"/>
        <v>620</v>
      </c>
      <c r="F15" s="215" t="s">
        <v>40</v>
      </c>
      <c r="G15" s="216"/>
      <c r="H15" s="217">
        <f>H13-H14</f>
        <v>526481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77">
        <f>2646+2574</f>
        <v>5220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137</v>
      </c>
      <c r="C17" s="84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84">
        <v>4</v>
      </c>
      <c r="D18" s="48">
        <f t="shared" si="1"/>
        <v>2480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88"/>
      <c r="I19" s="188"/>
      <c r="J19" s="188"/>
      <c r="L19" s="6">
        <v>1102</v>
      </c>
      <c r="Q19" s="4"/>
      <c r="R19" s="5">
        <f t="shared" si="0"/>
        <v>0</v>
      </c>
    </row>
    <row r="20" spans="1:18" ht="15.75" x14ac:dyDescent="0.25">
      <c r="A20" s="166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135</v>
      </c>
      <c r="C21" s="84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127</v>
      </c>
      <c r="C22" s="84"/>
      <c r="D22" s="48">
        <f t="shared" si="1"/>
        <v>0</v>
      </c>
      <c r="F22" s="77"/>
      <c r="G22" s="73"/>
      <c r="H22" s="193"/>
      <c r="I22" s="193"/>
      <c r="J22" s="193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101</v>
      </c>
      <c r="C23" s="84"/>
      <c r="D23" s="48">
        <f t="shared" si="1"/>
        <v>0</v>
      </c>
      <c r="F23" s="77"/>
      <c r="G23" s="79"/>
      <c r="H23" s="259"/>
      <c r="I23" s="260"/>
      <c r="J23" s="26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121</v>
      </c>
      <c r="C24" s="84"/>
      <c r="D24" s="48">
        <f t="shared" si="1"/>
        <v>0</v>
      </c>
      <c r="F24" s="77"/>
      <c r="G24" s="79"/>
      <c r="H24" s="259"/>
      <c r="I24" s="260"/>
      <c r="J24" s="26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138</v>
      </c>
      <c r="C25" s="84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136</v>
      </c>
      <c r="C26" s="84"/>
      <c r="D26" s="48">
        <f t="shared" si="1"/>
        <v>0</v>
      </c>
      <c r="F26" s="75"/>
      <c r="G26" s="65"/>
      <c r="H26" s="163"/>
      <c r="I26" s="163"/>
      <c r="J26" s="163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110</v>
      </c>
      <c r="C27" s="84"/>
      <c r="D27" s="44">
        <f t="shared" si="1"/>
        <v>0</v>
      </c>
      <c r="F27" s="71"/>
      <c r="G27" s="120"/>
      <c r="H27" s="261"/>
      <c r="I27" s="262"/>
      <c r="J27" s="26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84"/>
      <c r="D28" s="48">
        <f t="shared" si="1"/>
        <v>0</v>
      </c>
      <c r="F28" s="117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684428</v>
      </c>
      <c r="F29" s="124" t="s">
        <v>55</v>
      </c>
      <c r="G29" s="186"/>
      <c r="H29" s="146">
        <f>H15-H16-H17-H18-H19-H20-H22-H23-H24+H26+H27+H28</f>
        <v>521261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8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>
        <v>6</v>
      </c>
      <c r="D34" s="30">
        <f>C34*120</f>
        <v>720</v>
      </c>
      <c r="F34" s="12">
        <v>1000</v>
      </c>
      <c r="G34" s="40">
        <v>8</v>
      </c>
      <c r="H34" s="168">
        <f t="shared" ref="H34:H39" si="2">F34*G34</f>
        <v>8000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>
        <v>4</v>
      </c>
      <c r="D35" s="30">
        <f>C35*84</f>
        <v>336</v>
      </c>
      <c r="F35" s="58">
        <v>500</v>
      </c>
      <c r="G35" s="41">
        <v>4</v>
      </c>
      <c r="H35" s="168">
        <f t="shared" si="2"/>
        <v>2000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>
        <v>4</v>
      </c>
      <c r="D36" s="12">
        <f>C36*1.5</f>
        <v>6</v>
      </c>
      <c r="F36" s="12">
        <v>200</v>
      </c>
      <c r="G36" s="37">
        <v>1</v>
      </c>
      <c r="H36" s="168">
        <f t="shared" si="2"/>
        <v>200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1334</v>
      </c>
      <c r="D37" s="12">
        <f>C37*111</f>
        <v>148074</v>
      </c>
      <c r="F37" s="12">
        <v>100</v>
      </c>
      <c r="G37" s="39">
        <v>1</v>
      </c>
      <c r="H37" s="168">
        <f t="shared" si="2"/>
        <v>100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29</v>
      </c>
      <c r="D38" s="12">
        <f>C38*84</f>
        <v>2436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1</v>
      </c>
      <c r="H39" s="168">
        <f t="shared" si="2"/>
        <v>20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8</v>
      </c>
      <c r="D40" s="12">
        <f>C40*111</f>
        <v>888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4</v>
      </c>
      <c r="D42" s="12">
        <f>C42*2.25</f>
        <v>9</v>
      </c>
      <c r="F42" s="39" t="s">
        <v>79</v>
      </c>
      <c r="G42" s="168">
        <v>7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2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9</v>
      </c>
      <c r="D44" s="12">
        <f>C44*120</f>
        <v>1080</v>
      </c>
      <c r="F44" s="37" t="s">
        <v>147</v>
      </c>
      <c r="G44" s="62" t="s">
        <v>214</v>
      </c>
      <c r="H44" s="163">
        <v>288122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>
        <v>5</v>
      </c>
      <c r="D45" s="12">
        <f>C45*84</f>
        <v>420</v>
      </c>
      <c r="F45" s="37" t="s">
        <v>147</v>
      </c>
      <c r="G45" s="62" t="s">
        <v>215</v>
      </c>
      <c r="H45" s="163">
        <v>222876</v>
      </c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16</v>
      </c>
      <c r="D46" s="12">
        <f>C46*1.5</f>
        <v>24</v>
      </c>
      <c r="F46" s="37"/>
      <c r="G46" s="62"/>
      <c r="H46" s="163"/>
      <c r="I46" s="163"/>
      <c r="J46" s="163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10</v>
      </c>
      <c r="D48" s="12">
        <f>C48*78</f>
        <v>780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75</v>
      </c>
      <c r="D49" s="12">
        <f>C49*42</f>
        <v>3150</v>
      </c>
      <c r="F49" s="144" t="s">
        <v>86</v>
      </c>
      <c r="G49" s="146">
        <f>H34+H35+H36+H37+H38+H39+H40+H41+G42+H44+H45+H46</f>
        <v>521325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1</v>
      </c>
      <c r="D50" s="12">
        <f>C50*1.5</f>
        <v>1.5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149</v>
      </c>
      <c r="G51" s="154">
        <f>G49-H29</f>
        <v>64</v>
      </c>
      <c r="H51" s="155"/>
      <c r="I51" s="155"/>
      <c r="J51" s="156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157947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B3B36-1293-494E-B544-2EE0B1F50A34}">
  <dimension ref="A1:R59"/>
  <sheetViews>
    <sheetView zoomScaleNormal="100" zoomScaleSheetLayoutView="85" workbookViewId="0">
      <selection activeCell="G8" sqref="G8:J9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6" t="s">
        <v>2</v>
      </c>
      <c r="Q1" s="11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2</v>
      </c>
      <c r="H4" s="225" t="s">
        <v>9</v>
      </c>
      <c r="I4" s="227">
        <v>46042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f>474-64</f>
        <v>410</v>
      </c>
      <c r="D6" s="13">
        <f t="shared" ref="D6:D28" si="1">C6*L6</f>
        <v>312010</v>
      </c>
      <c r="F6" s="231" t="s">
        <v>16</v>
      </c>
      <c r="G6" s="233" t="s">
        <v>212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>
        <v>2</v>
      </c>
      <c r="D7" s="13">
        <f t="shared" si="1"/>
        <v>1562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134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20</v>
      </c>
      <c r="D9" s="13">
        <f t="shared" si="1"/>
        <v>14660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115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>
        <v>2</v>
      </c>
      <c r="D12" s="48">
        <f t="shared" si="1"/>
        <v>1984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17</v>
      </c>
      <c r="D13" s="48">
        <f t="shared" si="1"/>
        <v>5219</v>
      </c>
      <c r="F13" s="252" t="s">
        <v>36</v>
      </c>
      <c r="G13" s="216"/>
      <c r="H13" s="207">
        <f>D29</f>
        <v>336779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4</v>
      </c>
      <c r="D14" s="31">
        <f t="shared" si="1"/>
        <v>44</v>
      </c>
      <c r="F14" s="210" t="s">
        <v>39</v>
      </c>
      <c r="G14" s="211"/>
      <c r="H14" s="212">
        <f>D54</f>
        <v>73817.25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262961.75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>
        <f>216*6+1224</f>
        <v>2520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93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63"/>
      <c r="I19" s="263"/>
      <c r="J19" s="26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88"/>
      <c r="I20" s="188"/>
      <c r="J20" s="18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135</v>
      </c>
      <c r="C21" s="10">
        <v>2</v>
      </c>
      <c r="D21" s="48">
        <f t="shared" si="1"/>
        <v>1300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2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25"/>
      <c r="G23" s="37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123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117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336779</v>
      </c>
      <c r="F29" s="124" t="s">
        <v>55</v>
      </c>
      <c r="G29" s="186"/>
      <c r="H29" s="146">
        <f>H15-H16-H17-H18-H19-H20-H22-H23-H24+H26+H27</f>
        <v>260441.75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8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10</v>
      </c>
      <c r="H34" s="168">
        <f>F34*G34</f>
        <v>10000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2</v>
      </c>
      <c r="H35" s="168">
        <f t="shared" ref="H35:H39" si="2">F35*G35</f>
        <v>1000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>
        <v>2</v>
      </c>
      <c r="D36" s="12">
        <f>C36*1.5</f>
        <v>3</v>
      </c>
      <c r="F36" s="12">
        <v>200</v>
      </c>
      <c r="G36" s="37"/>
      <c r="H36" s="168">
        <f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654</v>
      </c>
      <c r="D37" s="12">
        <f>C37*111</f>
        <v>72594</v>
      </c>
      <c r="F37" s="12">
        <v>100</v>
      </c>
      <c r="G37" s="39">
        <v>3</v>
      </c>
      <c r="H37" s="168">
        <f t="shared" si="2"/>
        <v>300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1</v>
      </c>
      <c r="D40" s="12">
        <f>C40*111</f>
        <v>111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9</v>
      </c>
      <c r="D42" s="12">
        <f>C42*2.25</f>
        <v>20.25</v>
      </c>
      <c r="F42" s="39" t="s">
        <v>79</v>
      </c>
      <c r="G42" s="168">
        <v>73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2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 t="s">
        <v>181</v>
      </c>
      <c r="G44" s="123" t="s">
        <v>216</v>
      </c>
      <c r="H44" s="163">
        <v>117513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>
        <v>1</v>
      </c>
      <c r="D45" s="12">
        <f>C45*84</f>
        <v>84</v>
      </c>
      <c r="F45" s="37" t="s">
        <v>147</v>
      </c>
      <c r="G45" s="62" t="s">
        <v>217</v>
      </c>
      <c r="H45" s="163">
        <v>131604</v>
      </c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18</v>
      </c>
      <c r="D46" s="12">
        <f>C46*1.5</f>
        <v>27</v>
      </c>
      <c r="F46" s="37"/>
      <c r="G46" s="119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1</v>
      </c>
      <c r="D48" s="12">
        <f>C48*78</f>
        <v>78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17</v>
      </c>
      <c r="D49" s="12">
        <f>C49*42</f>
        <v>714</v>
      </c>
      <c r="F49" s="144" t="s">
        <v>86</v>
      </c>
      <c r="G49" s="146">
        <f>H34+H35+H36+H37+H38+H39+H40+H41+G42+H44+H45+H46</f>
        <v>260490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6</v>
      </c>
      <c r="D50" s="12">
        <f>C50*1.5</f>
        <v>9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142</v>
      </c>
      <c r="G51" s="154">
        <f>G49-H29</f>
        <v>48.25</v>
      </c>
      <c r="H51" s="155"/>
      <c r="I51" s="155"/>
      <c r="J51" s="156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73817.25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180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63019-9353-4F98-93BD-BBCCFD92D0AA}">
  <dimension ref="A1:R59"/>
  <sheetViews>
    <sheetView zoomScaleNormal="100" zoomScaleSheetLayoutView="85" workbookViewId="0">
      <selection activeCell="G10" sqref="G10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6" t="s">
        <v>2</v>
      </c>
      <c r="Q1" s="11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3</v>
      </c>
      <c r="H4" s="225" t="s">
        <v>9</v>
      </c>
      <c r="I4" s="227">
        <v>46042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v>162</v>
      </c>
      <c r="D6" s="13">
        <f t="shared" ref="D6:D28" si="1">C6*L6</f>
        <v>123282</v>
      </c>
      <c r="F6" s="231" t="s">
        <v>16</v>
      </c>
      <c r="G6" s="233" t="s">
        <v>111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>
        <v>9</v>
      </c>
      <c r="D7" s="13">
        <f t="shared" si="1"/>
        <v>7029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>
        <v>1</v>
      </c>
      <c r="D8" s="13">
        <f t="shared" si="1"/>
        <v>1093</v>
      </c>
      <c r="F8" s="239" t="s">
        <v>21</v>
      </c>
      <c r="G8" s="240" t="s">
        <v>119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30</v>
      </c>
      <c r="D9" s="13">
        <f t="shared" si="1"/>
        <v>21990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218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7</v>
      </c>
      <c r="D13" s="48">
        <f t="shared" si="1"/>
        <v>2149</v>
      </c>
      <c r="F13" s="252" t="s">
        <v>36</v>
      </c>
      <c r="G13" s="216"/>
      <c r="H13" s="207">
        <f>D29</f>
        <v>156237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4</v>
      </c>
      <c r="D14" s="31">
        <f t="shared" si="1"/>
        <v>44</v>
      </c>
      <c r="F14" s="210" t="s">
        <v>39</v>
      </c>
      <c r="G14" s="211"/>
      <c r="H14" s="212">
        <f>D54</f>
        <v>22064.25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134172.75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>
        <f>372</f>
        <v>372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113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64"/>
      <c r="I19" s="264"/>
      <c r="J19" s="26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135</v>
      </c>
      <c r="C21" s="10">
        <v>1</v>
      </c>
      <c r="D21" s="48">
        <f t="shared" si="1"/>
        <v>650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7"/>
      <c r="G22" s="73"/>
      <c r="H22" s="193"/>
      <c r="I22" s="193"/>
      <c r="J22" s="193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101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117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156237</v>
      </c>
      <c r="F29" s="124" t="s">
        <v>55</v>
      </c>
      <c r="G29" s="186"/>
      <c r="H29" s="146">
        <f>H15-H16-H17-H18-H19-H20-H22-H23-H24+H26+H27</f>
        <v>133800.75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8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124</v>
      </c>
      <c r="H34" s="168">
        <f>F34*G34</f>
        <v>124000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17</v>
      </c>
      <c r="H35" s="168">
        <f>F35*G35</f>
        <v>8500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>
        <v>2</v>
      </c>
      <c r="D36" s="12">
        <f>C36*1.5</f>
        <v>3</v>
      </c>
      <c r="F36" s="12">
        <v>200</v>
      </c>
      <c r="G36" s="37"/>
      <c r="H36" s="168">
        <f t="shared" ref="H36:H39" si="2"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f>108+66</f>
        <v>174</v>
      </c>
      <c r="D37" s="12">
        <f>C37*111</f>
        <v>19314</v>
      </c>
      <c r="F37" s="12">
        <v>100</v>
      </c>
      <c r="G37" s="39">
        <v>10</v>
      </c>
      <c r="H37" s="168">
        <f t="shared" si="2"/>
        <v>1000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7</v>
      </c>
      <c r="D38" s="12">
        <f>C38*84</f>
        <v>588</v>
      </c>
      <c r="F38" s="30">
        <v>50</v>
      </c>
      <c r="G38" s="39">
        <v>3</v>
      </c>
      <c r="H38" s="168">
        <f t="shared" si="2"/>
        <v>150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11</v>
      </c>
      <c r="D40" s="12">
        <f>C40*111</f>
        <v>1221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1</v>
      </c>
      <c r="D42" s="12">
        <f>C42*2.25</f>
        <v>2.25</v>
      </c>
      <c r="F42" s="39" t="s">
        <v>79</v>
      </c>
      <c r="G42" s="168">
        <v>48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2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1</v>
      </c>
      <c r="D44" s="12">
        <f>C44*120</f>
        <v>120</v>
      </c>
      <c r="F44" s="37"/>
      <c r="G44" s="76"/>
      <c r="H44" s="163"/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>
        <v>2</v>
      </c>
      <c r="D45" s="12">
        <f>C45*84</f>
        <v>168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8</v>
      </c>
      <c r="D46" s="12">
        <f>C46*1.5</f>
        <v>12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7</v>
      </c>
      <c r="D48" s="12">
        <f>C48*78</f>
        <v>546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133698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4</v>
      </c>
      <c r="D50" s="12">
        <f>C50*1.5</f>
        <v>6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131</v>
      </c>
      <c r="G51" s="253">
        <f>G49-H29</f>
        <v>-102.75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22064.25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199B8-E486-412F-AAE5-218DC8B77AED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20" t="s">
        <v>1</v>
      </c>
      <c r="O1" s="220"/>
      <c r="P1" s="116" t="s">
        <v>2</v>
      </c>
      <c r="Q1" s="116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71" t="s">
        <v>7</v>
      </c>
      <c r="B4" s="172"/>
      <c r="C4" s="172"/>
      <c r="D4" s="173"/>
      <c r="F4" s="221" t="s">
        <v>8</v>
      </c>
      <c r="G4" s="223"/>
      <c r="H4" s="225" t="s">
        <v>9</v>
      </c>
      <c r="I4" s="227"/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6"/>
      <c r="B6" s="16"/>
      <c r="C6" s="10"/>
      <c r="D6" s="13">
        <f t="shared" ref="D6:D28" si="1">C6*L6</f>
        <v>0</v>
      </c>
      <c r="F6" s="231" t="s">
        <v>16</v>
      </c>
      <c r="G6" s="233"/>
      <c r="H6" s="234"/>
      <c r="I6" s="234"/>
      <c r="J6" s="23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6"/>
      <c r="B7" s="16"/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6"/>
      <c r="B8" s="16"/>
      <c r="C8" s="10"/>
      <c r="D8" s="13">
        <f t="shared" si="1"/>
        <v>0</v>
      </c>
      <c r="F8" s="239" t="s">
        <v>21</v>
      </c>
      <c r="G8" s="240"/>
      <c r="H8" s="241"/>
      <c r="I8" s="241"/>
      <c r="J8" s="24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6"/>
      <c r="B9" s="16"/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6"/>
      <c r="C10" s="10"/>
      <c r="D10" s="13">
        <f t="shared" si="1"/>
        <v>0</v>
      </c>
      <c r="F10" s="231" t="s">
        <v>26</v>
      </c>
      <c r="G10" s="246"/>
      <c r="H10" s="247"/>
      <c r="I10" s="247"/>
      <c r="J10" s="248"/>
      <c r="K10" s="8"/>
      <c r="L10" s="6">
        <f>R36</f>
        <v>972</v>
      </c>
      <c r="P10" s="4"/>
      <c r="Q10" s="4"/>
      <c r="R10" s="5"/>
    </row>
    <row r="11" spans="1:19" ht="15.75" x14ac:dyDescent="0.25">
      <c r="A11" s="166"/>
      <c r="B11" s="17"/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6"/>
      <c r="B12" s="17"/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6"/>
      <c r="B13" s="17"/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6"/>
      <c r="B14" s="14"/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6"/>
      <c r="B15" s="14"/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/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/>
      <c r="C19" s="10"/>
      <c r="D19" s="48">
        <f t="shared" si="1"/>
        <v>0</v>
      </c>
      <c r="F19" s="56"/>
      <c r="G19" s="68" t="s">
        <v>50</v>
      </c>
      <c r="H19" s="189"/>
      <c r="I19" s="189"/>
      <c r="J19" s="18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/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6"/>
      <c r="B22" s="46"/>
      <c r="C22" s="10"/>
      <c r="D22" s="48">
        <f t="shared" si="1"/>
        <v>0</v>
      </c>
      <c r="F22" s="77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/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/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6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/>
      <c r="C28" s="10"/>
      <c r="D28" s="48">
        <f t="shared" si="1"/>
        <v>0</v>
      </c>
      <c r="F28" s="117"/>
      <c r="G28" s="61"/>
      <c r="H28" s="204"/>
      <c r="I28" s="205"/>
      <c r="J28" s="206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8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/>
      <c r="I34" s="169"/>
      <c r="J34" s="170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/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/>
      <c r="I36" s="169"/>
      <c r="J36" s="170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/>
      <c r="I37" s="169"/>
      <c r="J37" s="170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/>
      <c r="I38" s="169"/>
      <c r="J38" s="170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/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20" t="s">
        <v>83</v>
      </c>
      <c r="H43" s="160" t="s">
        <v>13</v>
      </c>
      <c r="I43" s="161"/>
      <c r="J43" s="162"/>
      <c r="K43" s="21"/>
      <c r="P43" s="4"/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76"/>
      <c r="H44" s="163"/>
      <c r="I44" s="163"/>
      <c r="J44" s="163"/>
      <c r="K44" s="21"/>
      <c r="P44" s="4"/>
      <c r="Q44" s="4"/>
      <c r="R44" s="5"/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P50" s="4"/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128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D6F3-0619-460B-A1D5-FBEFC324D859}">
  <dimension ref="A1:R59"/>
  <sheetViews>
    <sheetView tabSelected="1" zoomScaleNormal="100" zoomScaleSheetLayoutView="85" workbookViewId="0">
      <selection activeCell="C6" sqref="C6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6" t="s">
        <v>2</v>
      </c>
      <c r="Q1" s="11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1</v>
      </c>
      <c r="H4" s="225" t="s">
        <v>9</v>
      </c>
      <c r="I4" s="227">
        <v>46043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84">
        <v>584</v>
      </c>
      <c r="D6" s="13">
        <f t="shared" ref="D6:D28" si="1">C6*L6</f>
        <v>444424</v>
      </c>
      <c r="F6" s="231" t="s">
        <v>16</v>
      </c>
      <c r="G6" s="233" t="s">
        <v>129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84">
        <v>5</v>
      </c>
      <c r="D7" s="13">
        <f t="shared" si="1"/>
        <v>3905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84">
        <v>1</v>
      </c>
      <c r="D8" s="13">
        <f t="shared" si="1"/>
        <v>1093</v>
      </c>
      <c r="F8" s="239" t="s">
        <v>21</v>
      </c>
      <c r="G8" s="240" t="s">
        <v>112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84">
        <v>46</v>
      </c>
      <c r="D9" s="13">
        <f t="shared" si="1"/>
        <v>33718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84">
        <v>1</v>
      </c>
      <c r="D10" s="13">
        <f t="shared" si="1"/>
        <v>1032</v>
      </c>
      <c r="F10" s="231" t="s">
        <v>26</v>
      </c>
      <c r="G10" s="246" t="s">
        <v>130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84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84">
        <v>1</v>
      </c>
      <c r="D12" s="48">
        <f t="shared" si="1"/>
        <v>992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84">
        <v>21</v>
      </c>
      <c r="D13" s="48">
        <f t="shared" si="1"/>
        <v>6447</v>
      </c>
      <c r="F13" s="252" t="s">
        <v>36</v>
      </c>
      <c r="G13" s="216"/>
      <c r="H13" s="207">
        <f>D29</f>
        <v>498306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84">
        <v>2</v>
      </c>
      <c r="D14" s="31">
        <f t="shared" si="1"/>
        <v>22</v>
      </c>
      <c r="F14" s="210" t="s">
        <v>39</v>
      </c>
      <c r="G14" s="211"/>
      <c r="H14" s="212">
        <f>D54</f>
        <v>117753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84">
        <f>1</f>
        <v>1</v>
      </c>
      <c r="D15" s="31">
        <f t="shared" si="1"/>
        <v>620</v>
      </c>
      <c r="F15" s="215" t="s">
        <v>40</v>
      </c>
      <c r="G15" s="216"/>
      <c r="H15" s="217">
        <f>H13-H14</f>
        <v>380553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77">
        <f>2802</f>
        <v>2802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137</v>
      </c>
      <c r="C17" s="84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84">
        <v>1</v>
      </c>
      <c r="D18" s="48">
        <f t="shared" si="1"/>
        <v>620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88"/>
      <c r="I19" s="188"/>
      <c r="J19" s="188"/>
      <c r="L19" s="6">
        <v>1102</v>
      </c>
      <c r="Q19" s="4"/>
      <c r="R19" s="5">
        <f t="shared" si="0"/>
        <v>0</v>
      </c>
    </row>
    <row r="20" spans="1:18" ht="15.75" x14ac:dyDescent="0.25">
      <c r="A20" s="166"/>
      <c r="B20" s="83" t="s">
        <v>125</v>
      </c>
      <c r="C20" s="84">
        <f>1+1</f>
        <v>2</v>
      </c>
      <c r="D20" s="13">
        <f t="shared" si="1"/>
        <v>2350</v>
      </c>
      <c r="F20" s="57"/>
      <c r="G20" s="70" t="s">
        <v>120</v>
      </c>
      <c r="H20" s="177"/>
      <c r="I20" s="177"/>
      <c r="J20" s="17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135</v>
      </c>
      <c r="C21" s="84">
        <v>1</v>
      </c>
      <c r="D21" s="48">
        <f t="shared" si="1"/>
        <v>650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127</v>
      </c>
      <c r="C22" s="84"/>
      <c r="D22" s="48">
        <f t="shared" si="1"/>
        <v>0</v>
      </c>
      <c r="F22" s="77" t="s">
        <v>159</v>
      </c>
      <c r="G22" s="73">
        <v>8639</v>
      </c>
      <c r="H22" s="193">
        <v>86324</v>
      </c>
      <c r="I22" s="193"/>
      <c r="J22" s="193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101</v>
      </c>
      <c r="C23" s="84"/>
      <c r="D23" s="48">
        <f t="shared" si="1"/>
        <v>0</v>
      </c>
      <c r="F23" s="77"/>
      <c r="G23" s="79"/>
      <c r="H23" s="259"/>
      <c r="I23" s="260"/>
      <c r="J23" s="26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121</v>
      </c>
      <c r="C24" s="84"/>
      <c r="D24" s="48">
        <f t="shared" si="1"/>
        <v>0</v>
      </c>
      <c r="F24" s="77"/>
      <c r="G24" s="79"/>
      <c r="H24" s="259"/>
      <c r="I24" s="260"/>
      <c r="J24" s="26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138</v>
      </c>
      <c r="C25" s="84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136</v>
      </c>
      <c r="C26" s="84"/>
      <c r="D26" s="48">
        <f t="shared" si="1"/>
        <v>0</v>
      </c>
      <c r="F26" s="75" t="s">
        <v>159</v>
      </c>
      <c r="G26" s="65">
        <v>8418</v>
      </c>
      <c r="H26" s="163">
        <v>99507</v>
      </c>
      <c r="I26" s="163"/>
      <c r="J26" s="163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110</v>
      </c>
      <c r="C27" s="84"/>
      <c r="D27" s="44">
        <f t="shared" si="1"/>
        <v>0</v>
      </c>
      <c r="F27" s="71"/>
      <c r="G27" s="120"/>
      <c r="H27" s="261"/>
      <c r="I27" s="262"/>
      <c r="J27" s="26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84">
        <v>3</v>
      </c>
      <c r="D28" s="48">
        <f t="shared" si="1"/>
        <v>2433</v>
      </c>
      <c r="F28" s="117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498306</v>
      </c>
      <c r="F29" s="124" t="s">
        <v>55</v>
      </c>
      <c r="G29" s="186"/>
      <c r="H29" s="146">
        <f>H15-H16-H17-H18-H19-H20-H22-H23-H24+H26+H27+H28</f>
        <v>390934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8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40">
        <v>201</v>
      </c>
      <c r="H34" s="168">
        <f t="shared" ref="H34:H39" si="2">F34*G34</f>
        <v>201000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16</v>
      </c>
      <c r="H35" s="168">
        <f t="shared" si="2"/>
        <v>8000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>
        <v>1</v>
      </c>
      <c r="D36" s="12">
        <f>C36*1.5</f>
        <v>1.5</v>
      </c>
      <c r="F36" s="12">
        <v>200</v>
      </c>
      <c r="G36" s="37">
        <v>12</v>
      </c>
      <c r="H36" s="168">
        <f t="shared" si="2"/>
        <v>2400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1025</v>
      </c>
      <c r="D37" s="12">
        <f>C37*111</f>
        <v>113775</v>
      </c>
      <c r="F37" s="12">
        <v>100</v>
      </c>
      <c r="G37" s="39">
        <v>356</v>
      </c>
      <c r="H37" s="168">
        <f t="shared" si="2"/>
        <v>35600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7</v>
      </c>
      <c r="D38" s="12">
        <f>C38*84</f>
        <v>588</v>
      </c>
      <c r="F38" s="30">
        <v>50</v>
      </c>
      <c r="G38" s="39">
        <v>227</v>
      </c>
      <c r="H38" s="168">
        <f t="shared" si="2"/>
        <v>11350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3</v>
      </c>
      <c r="D39" s="31">
        <f>C39*4.5</f>
        <v>13.5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3</v>
      </c>
      <c r="D40" s="12">
        <f>C40*111</f>
        <v>333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6</v>
      </c>
      <c r="D42" s="12">
        <f>C42*2.25</f>
        <v>13.5</v>
      </c>
      <c r="F42" s="39" t="s">
        <v>79</v>
      </c>
      <c r="G42" s="168">
        <v>15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2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>
        <v>4</v>
      </c>
      <c r="D44" s="12">
        <f>C44*120</f>
        <v>480</v>
      </c>
      <c r="F44" s="37" t="s">
        <v>153</v>
      </c>
      <c r="G44" s="62"/>
      <c r="H44" s="163">
        <v>32860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>
        <v>1</v>
      </c>
      <c r="D45" s="12">
        <f>C45*84</f>
        <v>84</v>
      </c>
      <c r="F45" s="37" t="s">
        <v>156</v>
      </c>
      <c r="G45" s="96" t="s">
        <v>158</v>
      </c>
      <c r="H45" s="163">
        <v>99507</v>
      </c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23</v>
      </c>
      <c r="D46" s="12">
        <f>C46*1.5</f>
        <v>34.5</v>
      </c>
      <c r="F46" s="37"/>
      <c r="G46" s="62"/>
      <c r="H46" s="163"/>
      <c r="I46" s="163"/>
      <c r="J46" s="163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21</v>
      </c>
      <c r="D48" s="12">
        <f>C48*78</f>
        <v>1638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16</v>
      </c>
      <c r="D49" s="12">
        <f>C49*42</f>
        <v>672</v>
      </c>
      <c r="F49" s="144" t="s">
        <v>86</v>
      </c>
      <c r="G49" s="146">
        <f>H34+H35+H36+H37+H38+H39+H40+H41+G42+H44+H45+H46</f>
        <v>390732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221</v>
      </c>
      <c r="G51" s="253">
        <f>G49-H29</f>
        <v>-202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117753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42DC5-0EB0-434F-8C74-7D351C7D0F1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6" t="s">
        <v>2</v>
      </c>
      <c r="Q1" s="11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2</v>
      </c>
      <c r="H4" s="225" t="s">
        <v>9</v>
      </c>
      <c r="I4" s="227">
        <v>46043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v>336</v>
      </c>
      <c r="D6" s="13">
        <f t="shared" ref="D6:D28" si="1">C6*L6</f>
        <v>255696</v>
      </c>
      <c r="F6" s="231" t="s">
        <v>16</v>
      </c>
      <c r="G6" s="233" t="s">
        <v>212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>
        <v>1</v>
      </c>
      <c r="D7" s="13">
        <f t="shared" si="1"/>
        <v>781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>
        <v>1</v>
      </c>
      <c r="D8" s="13">
        <f t="shared" si="1"/>
        <v>1093</v>
      </c>
      <c r="F8" s="239" t="s">
        <v>21</v>
      </c>
      <c r="G8" s="240" t="s">
        <v>134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27</v>
      </c>
      <c r="D9" s="13">
        <f t="shared" si="1"/>
        <v>19791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115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10</v>
      </c>
      <c r="D13" s="48">
        <f t="shared" si="1"/>
        <v>3070</v>
      </c>
      <c r="F13" s="252" t="s">
        <v>36</v>
      </c>
      <c r="G13" s="216"/>
      <c r="H13" s="207">
        <f>D29</f>
        <v>282218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15</v>
      </c>
      <c r="D14" s="31">
        <f t="shared" si="1"/>
        <v>165</v>
      </c>
      <c r="F14" s="210" t="s">
        <v>39</v>
      </c>
      <c r="G14" s="211"/>
      <c r="H14" s="212">
        <f>D54</f>
        <v>36882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245336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>
        <f>1248</f>
        <v>1248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93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63"/>
      <c r="I19" s="263"/>
      <c r="J19" s="26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88"/>
      <c r="I20" s="188"/>
      <c r="J20" s="18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2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25"/>
      <c r="G23" s="37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123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>
        <v>2</v>
      </c>
      <c r="D28" s="48">
        <f t="shared" si="1"/>
        <v>1622</v>
      </c>
      <c r="F28" s="117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282218</v>
      </c>
      <c r="F29" s="124" t="s">
        <v>55</v>
      </c>
      <c r="G29" s="186"/>
      <c r="H29" s="146">
        <f>H15-H16-H17-H18-H19-H20-H22-H23-H24+H26+H27</f>
        <v>244088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8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211</v>
      </c>
      <c r="H34" s="168">
        <f>F34*G34</f>
        <v>211000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64</v>
      </c>
      <c r="H35" s="168">
        <f t="shared" ref="H35:H39" si="2">F35*G35</f>
        <v>32000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>
        <v>14</v>
      </c>
      <c r="D36" s="12">
        <f>C36*1.5</f>
        <v>21</v>
      </c>
      <c r="F36" s="12">
        <v>200</v>
      </c>
      <c r="G36" s="37">
        <v>1</v>
      </c>
      <c r="H36" s="168">
        <f>F36*G36</f>
        <v>200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322</v>
      </c>
      <c r="D37" s="12">
        <f>C37*111</f>
        <v>35742</v>
      </c>
      <c r="F37" s="12">
        <v>100</v>
      </c>
      <c r="G37" s="39">
        <v>7</v>
      </c>
      <c r="H37" s="168">
        <f t="shared" si="2"/>
        <v>700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2</v>
      </c>
      <c r="D38" s="12">
        <f>C38*84</f>
        <v>168</v>
      </c>
      <c r="F38" s="30">
        <v>50</v>
      </c>
      <c r="G38" s="39">
        <v>5</v>
      </c>
      <c r="H38" s="168">
        <f t="shared" si="2"/>
        <v>250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3</v>
      </c>
      <c r="D40" s="12">
        <f>C40*111</f>
        <v>333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2</v>
      </c>
      <c r="D42" s="12">
        <f>C42*2.25</f>
        <v>4.5</v>
      </c>
      <c r="F42" s="39" t="s">
        <v>79</v>
      </c>
      <c r="G42" s="168">
        <v>30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2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62"/>
      <c r="H44" s="163"/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2</v>
      </c>
      <c r="D46" s="12">
        <f>C46*1.5</f>
        <v>3</v>
      </c>
      <c r="F46" s="37"/>
      <c r="G46" s="119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2</v>
      </c>
      <c r="D48" s="12">
        <f>C48*78</f>
        <v>156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8</v>
      </c>
      <c r="D49" s="12">
        <f>C49*42</f>
        <v>336</v>
      </c>
      <c r="F49" s="144" t="s">
        <v>86</v>
      </c>
      <c r="G49" s="146">
        <f>H34+H35+H36+H37+H38+H39+H40+H41+G42+H44+H45+H46</f>
        <v>244180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17</v>
      </c>
      <c r="D50" s="12">
        <f>C50*1.5</f>
        <v>25.5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142</v>
      </c>
      <c r="G51" s="154">
        <f>G49-H29</f>
        <v>92</v>
      </c>
      <c r="H51" s="155"/>
      <c r="I51" s="155"/>
      <c r="J51" s="156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36882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180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06215-47E1-403A-9A63-CCC210FC4FA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6" t="s">
        <v>2</v>
      </c>
      <c r="Q1" s="11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3</v>
      </c>
      <c r="H4" s="225" t="s">
        <v>9</v>
      </c>
      <c r="I4" s="227">
        <v>46043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>
        <v>435</v>
      </c>
      <c r="D6" s="13">
        <f t="shared" ref="D6:D28" si="1">C6*L6</f>
        <v>331035</v>
      </c>
      <c r="F6" s="231" t="s">
        <v>16</v>
      </c>
      <c r="G6" s="233" t="s">
        <v>111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>
        <v>20</v>
      </c>
      <c r="D7" s="13">
        <f t="shared" si="1"/>
        <v>15620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119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>
        <v>85</v>
      </c>
      <c r="D9" s="13">
        <f t="shared" si="1"/>
        <v>62305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218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>
        <v>9</v>
      </c>
      <c r="D13" s="48">
        <f t="shared" si="1"/>
        <v>2763</v>
      </c>
      <c r="F13" s="252" t="s">
        <v>36</v>
      </c>
      <c r="G13" s="216"/>
      <c r="H13" s="207">
        <f>D29</f>
        <v>414974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>
        <v>18</v>
      </c>
      <c r="D14" s="31">
        <f t="shared" si="1"/>
        <v>198</v>
      </c>
      <c r="F14" s="210" t="s">
        <v>39</v>
      </c>
      <c r="G14" s="211"/>
      <c r="H14" s="212">
        <f>D54</f>
        <v>67197.75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347776.25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>
        <f>600+630+1248</f>
        <v>2478</v>
      </c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113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>
        <v>1</v>
      </c>
      <c r="D18" s="48">
        <f t="shared" si="1"/>
        <v>620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64">
        <v>50</v>
      </c>
      <c r="I19" s="264"/>
      <c r="J19" s="26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7"/>
      <c r="G22" s="73"/>
      <c r="H22" s="193"/>
      <c r="I22" s="193"/>
      <c r="J22" s="193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101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>
        <v>3</v>
      </c>
      <c r="D28" s="48">
        <f t="shared" si="1"/>
        <v>2433</v>
      </c>
      <c r="F28" s="117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414974</v>
      </c>
      <c r="F29" s="124" t="s">
        <v>55</v>
      </c>
      <c r="G29" s="186"/>
      <c r="H29" s="146">
        <f>H15-H16-H17-H18-H19-H20-H22-H23-H24+H26+H27</f>
        <v>345248.25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8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141</v>
      </c>
      <c r="H34" s="168">
        <f>F34*G34</f>
        <v>141000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>
        <v>6</v>
      </c>
      <c r="H35" s="168">
        <f>F35*G35</f>
        <v>3000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 t="shared" ref="H36:H39" si="2"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>
        <v>540</v>
      </c>
      <c r="D37" s="12">
        <f>C37*111</f>
        <v>59940</v>
      </c>
      <c r="F37" s="12">
        <v>100</v>
      </c>
      <c r="G37" s="39"/>
      <c r="H37" s="168">
        <f t="shared" si="2"/>
        <v>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>
        <v>1</v>
      </c>
      <c r="D38" s="12">
        <f>C38*84</f>
        <v>84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>
        <v>58</v>
      </c>
      <c r="D40" s="12">
        <f>C40*111</f>
        <v>6438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>
        <v>1</v>
      </c>
      <c r="D42" s="12">
        <f>C42*2.25</f>
        <v>2.25</v>
      </c>
      <c r="F42" s="39" t="s">
        <v>79</v>
      </c>
      <c r="G42" s="168">
        <v>131</v>
      </c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2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 t="s">
        <v>147</v>
      </c>
      <c r="G44" s="76" t="s">
        <v>219</v>
      </c>
      <c r="H44" s="163">
        <v>132552</v>
      </c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>
        <v>1</v>
      </c>
      <c r="D45" s="12">
        <f>C45*84</f>
        <v>84</v>
      </c>
      <c r="F45" s="37" t="s">
        <v>147</v>
      </c>
      <c r="G45" s="76" t="s">
        <v>220</v>
      </c>
      <c r="H45" s="163">
        <v>68636</v>
      </c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>
        <v>19</v>
      </c>
      <c r="D46" s="12">
        <f>C46*1.5</f>
        <v>28.5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>
        <v>4</v>
      </c>
      <c r="D48" s="12">
        <f>C48*78</f>
        <v>312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>
        <v>7</v>
      </c>
      <c r="D49" s="12">
        <f>C49*42</f>
        <v>294</v>
      </c>
      <c r="F49" s="144" t="s">
        <v>86</v>
      </c>
      <c r="G49" s="146">
        <f>H34+H35+H36+H37+H38+H39+H40+H41+G42+H44+H45+H46</f>
        <v>345319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>
        <v>4</v>
      </c>
      <c r="D50" s="12">
        <f>C50*1.5</f>
        <v>6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149</v>
      </c>
      <c r="G51" s="154">
        <f>G49-H29</f>
        <v>70.75</v>
      </c>
      <c r="H51" s="155"/>
      <c r="I51" s="155"/>
      <c r="J51" s="156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67197.75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1A3A8-1687-4994-A52A-6CBC7951E46A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20" t="s">
        <v>1</v>
      </c>
      <c r="O1" s="220"/>
      <c r="P1" s="116" t="s">
        <v>2</v>
      </c>
      <c r="Q1" s="116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71" t="s">
        <v>7</v>
      </c>
      <c r="B4" s="172"/>
      <c r="C4" s="172"/>
      <c r="D4" s="173"/>
      <c r="F4" s="221" t="s">
        <v>8</v>
      </c>
      <c r="G4" s="223"/>
      <c r="H4" s="225" t="s">
        <v>9</v>
      </c>
      <c r="I4" s="227"/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6"/>
      <c r="B6" s="16"/>
      <c r="C6" s="10"/>
      <c r="D6" s="13">
        <f t="shared" ref="D6:D28" si="1">C6*L6</f>
        <v>0</v>
      </c>
      <c r="F6" s="231" t="s">
        <v>16</v>
      </c>
      <c r="G6" s="233"/>
      <c r="H6" s="234"/>
      <c r="I6" s="234"/>
      <c r="J6" s="23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6"/>
      <c r="B7" s="16"/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6"/>
      <c r="B8" s="16"/>
      <c r="C8" s="10"/>
      <c r="D8" s="13">
        <f t="shared" si="1"/>
        <v>0</v>
      </c>
      <c r="F8" s="239" t="s">
        <v>21</v>
      </c>
      <c r="G8" s="240"/>
      <c r="H8" s="241"/>
      <c r="I8" s="241"/>
      <c r="J8" s="24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6"/>
      <c r="B9" s="16"/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6"/>
      <c r="C10" s="10"/>
      <c r="D10" s="13">
        <f t="shared" si="1"/>
        <v>0</v>
      </c>
      <c r="F10" s="231" t="s">
        <v>26</v>
      </c>
      <c r="G10" s="246"/>
      <c r="H10" s="247"/>
      <c r="I10" s="247"/>
      <c r="J10" s="248"/>
      <c r="K10" s="8"/>
      <c r="L10" s="6">
        <f>R36</f>
        <v>972</v>
      </c>
      <c r="P10" s="4"/>
      <c r="Q10" s="4"/>
      <c r="R10" s="5"/>
    </row>
    <row r="11" spans="1:19" ht="15.75" x14ac:dyDescent="0.25">
      <c r="A11" s="166"/>
      <c r="B11" s="17"/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6"/>
      <c r="B12" s="17"/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6"/>
      <c r="B13" s="17"/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6"/>
      <c r="B14" s="14"/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6"/>
      <c r="B15" s="14"/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/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/>
      <c r="C19" s="10"/>
      <c r="D19" s="48">
        <f t="shared" si="1"/>
        <v>0</v>
      </c>
      <c r="F19" s="56"/>
      <c r="G19" s="68" t="s">
        <v>50</v>
      </c>
      <c r="H19" s="189"/>
      <c r="I19" s="189"/>
      <c r="J19" s="18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/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6"/>
      <c r="B22" s="46"/>
      <c r="C22" s="10"/>
      <c r="D22" s="48">
        <f t="shared" si="1"/>
        <v>0</v>
      </c>
      <c r="F22" s="77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/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/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6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/>
      <c r="C28" s="10"/>
      <c r="D28" s="48">
        <f t="shared" si="1"/>
        <v>0</v>
      </c>
      <c r="F28" s="117"/>
      <c r="G28" s="61"/>
      <c r="H28" s="204"/>
      <c r="I28" s="205"/>
      <c r="J28" s="206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8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/>
      <c r="I34" s="169"/>
      <c r="J34" s="170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/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/>
      <c r="I36" s="169"/>
      <c r="J36" s="170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/>
      <c r="I37" s="169"/>
      <c r="J37" s="170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/>
      <c r="I38" s="169"/>
      <c r="J38" s="170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/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20" t="s">
        <v>83</v>
      </c>
      <c r="H43" s="160" t="s">
        <v>13</v>
      </c>
      <c r="I43" s="161"/>
      <c r="J43" s="162"/>
      <c r="K43" s="21"/>
      <c r="P43" s="4"/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76"/>
      <c r="H44" s="163"/>
      <c r="I44" s="163"/>
      <c r="J44" s="163"/>
      <c r="K44" s="21"/>
      <c r="P44" s="4"/>
      <c r="Q44" s="4"/>
      <c r="R44" s="5"/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P50" s="4"/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128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89EB4-42B7-4128-B85B-DDB34371383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6" t="s">
        <v>2</v>
      </c>
      <c r="Q1" s="11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1</v>
      </c>
      <c r="H4" s="225" t="s">
        <v>9</v>
      </c>
      <c r="I4" s="227">
        <v>46044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84"/>
      <c r="D6" s="13">
        <f t="shared" ref="D6:D28" si="1">C6*L6</f>
        <v>0</v>
      </c>
      <c r="F6" s="231" t="s">
        <v>16</v>
      </c>
      <c r="G6" s="233" t="s">
        <v>129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84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84"/>
      <c r="D8" s="13">
        <f t="shared" si="1"/>
        <v>0</v>
      </c>
      <c r="F8" s="239" t="s">
        <v>21</v>
      </c>
      <c r="G8" s="240" t="s">
        <v>112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84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84"/>
      <c r="D10" s="13">
        <f t="shared" si="1"/>
        <v>0</v>
      </c>
      <c r="F10" s="231" t="s">
        <v>26</v>
      </c>
      <c r="G10" s="246" t="s">
        <v>130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84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84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84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84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84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137</v>
      </c>
      <c r="C17" s="84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88"/>
      <c r="I19" s="188"/>
      <c r="J19" s="188"/>
      <c r="L19" s="6">
        <v>1102</v>
      </c>
      <c r="Q19" s="4"/>
      <c r="R19" s="5">
        <f t="shared" si="0"/>
        <v>0</v>
      </c>
    </row>
    <row r="20" spans="1:18" ht="15.75" x14ac:dyDescent="0.25">
      <c r="A20" s="166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135</v>
      </c>
      <c r="C21" s="84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127</v>
      </c>
      <c r="C22" s="84"/>
      <c r="D22" s="48">
        <f t="shared" si="1"/>
        <v>0</v>
      </c>
      <c r="F22" s="77"/>
      <c r="G22" s="73"/>
      <c r="H22" s="193"/>
      <c r="I22" s="193"/>
      <c r="J22" s="193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101</v>
      </c>
      <c r="C23" s="84"/>
      <c r="D23" s="48">
        <f t="shared" si="1"/>
        <v>0</v>
      </c>
      <c r="F23" s="77"/>
      <c r="G23" s="79"/>
      <c r="H23" s="259"/>
      <c r="I23" s="260"/>
      <c r="J23" s="26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121</v>
      </c>
      <c r="C24" s="84"/>
      <c r="D24" s="48">
        <f t="shared" si="1"/>
        <v>0</v>
      </c>
      <c r="F24" s="77"/>
      <c r="G24" s="79"/>
      <c r="H24" s="259"/>
      <c r="I24" s="260"/>
      <c r="J24" s="26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138</v>
      </c>
      <c r="C25" s="84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136</v>
      </c>
      <c r="C26" s="84"/>
      <c r="D26" s="48">
        <f t="shared" si="1"/>
        <v>0</v>
      </c>
      <c r="F26" s="75"/>
      <c r="G26" s="65"/>
      <c r="H26" s="163"/>
      <c r="I26" s="163"/>
      <c r="J26" s="163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110</v>
      </c>
      <c r="C27" s="84"/>
      <c r="D27" s="44">
        <f t="shared" si="1"/>
        <v>0</v>
      </c>
      <c r="F27" s="71"/>
      <c r="G27" s="120"/>
      <c r="H27" s="261"/>
      <c r="I27" s="262"/>
      <c r="J27" s="26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84"/>
      <c r="D28" s="48">
        <f t="shared" si="1"/>
        <v>0</v>
      </c>
      <c r="F28" s="117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H15-H16-H17-H18-H19-H20-H22-H23-H24+H26+H27+H28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8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68">
        <f t="shared" ref="H34:H39" si="2">F34*G34</f>
        <v>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>
        <f t="shared" si="2"/>
        <v>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 t="shared" si="2"/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>
        <f t="shared" si="2"/>
        <v>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2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62"/>
      <c r="H44" s="163"/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3"/>
      <c r="I46" s="163"/>
      <c r="J46" s="163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131</v>
      </c>
      <c r="G51" s="253">
        <f>G49-H29</f>
        <v>0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1858A-297C-4E5E-8E3A-967D0FAE006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6" t="s">
        <v>2</v>
      </c>
      <c r="Q1" s="11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2</v>
      </c>
      <c r="H4" s="225" t="s">
        <v>9</v>
      </c>
      <c r="I4" s="227">
        <v>46044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/>
      <c r="D6" s="13">
        <f t="shared" ref="D6:D28" si="1">C6*L6</f>
        <v>0</v>
      </c>
      <c r="F6" s="231" t="s">
        <v>16</v>
      </c>
      <c r="G6" s="233" t="s">
        <v>140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114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115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93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63"/>
      <c r="I19" s="263"/>
      <c r="J19" s="26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88"/>
      <c r="I20" s="188"/>
      <c r="J20" s="18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2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25"/>
      <c r="G23" s="37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123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117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8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>
        <f>F34*G34</f>
        <v>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>
        <f t="shared" ref="H35:H39" si="2">F35*G35</f>
        <v>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>
        <f t="shared" si="2"/>
        <v>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2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62"/>
      <c r="H44" s="163"/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119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142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2B5D2-C704-4E0C-B9B3-00A5609708F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6" t="s">
        <v>2</v>
      </c>
      <c r="Q1" s="11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3</v>
      </c>
      <c r="H4" s="225" t="s">
        <v>9</v>
      </c>
      <c r="I4" s="227">
        <v>46044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/>
      <c r="D6" s="13">
        <f t="shared" ref="D6:D28" si="1">C6*L6</f>
        <v>0</v>
      </c>
      <c r="F6" s="231" t="s">
        <v>16</v>
      </c>
      <c r="G6" s="233" t="s">
        <v>111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119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134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113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64"/>
      <c r="I19" s="264"/>
      <c r="J19" s="26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7"/>
      <c r="G22" s="73"/>
      <c r="H22" s="193"/>
      <c r="I22" s="193"/>
      <c r="J22" s="193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101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117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8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>
        <f>F34*G34</f>
        <v>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>
        <f>F35*G35</f>
        <v>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 t="shared" ref="H36:H39" si="2"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>
        <f t="shared" si="2"/>
        <v>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2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76"/>
      <c r="H44" s="163"/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139</v>
      </c>
      <c r="G51" s="253">
        <f>G49-H29</f>
        <v>0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2855-51B2-47C5-ADBC-B3E52CF83450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20" t="s">
        <v>1</v>
      </c>
      <c r="O1" s="220"/>
      <c r="P1" s="116" t="s">
        <v>2</v>
      </c>
      <c r="Q1" s="116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71" t="s">
        <v>7</v>
      </c>
      <c r="B4" s="172"/>
      <c r="C4" s="172"/>
      <c r="D4" s="173"/>
      <c r="F4" s="221" t="s">
        <v>8</v>
      </c>
      <c r="G4" s="223"/>
      <c r="H4" s="225" t="s">
        <v>9</v>
      </c>
      <c r="I4" s="227"/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6"/>
      <c r="B6" s="16"/>
      <c r="C6" s="10"/>
      <c r="D6" s="13">
        <f t="shared" ref="D6:D28" si="1">C6*L6</f>
        <v>0</v>
      </c>
      <c r="F6" s="231" t="s">
        <v>16</v>
      </c>
      <c r="G6" s="233"/>
      <c r="H6" s="234"/>
      <c r="I6" s="234"/>
      <c r="J6" s="23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6"/>
      <c r="B7" s="16"/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6"/>
      <c r="B8" s="16"/>
      <c r="C8" s="10"/>
      <c r="D8" s="13">
        <f t="shared" si="1"/>
        <v>0</v>
      </c>
      <c r="F8" s="239" t="s">
        <v>21</v>
      </c>
      <c r="G8" s="240"/>
      <c r="H8" s="241"/>
      <c r="I8" s="241"/>
      <c r="J8" s="24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6"/>
      <c r="B9" s="16"/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6"/>
      <c r="C10" s="10"/>
      <c r="D10" s="13">
        <f t="shared" si="1"/>
        <v>0</v>
      </c>
      <c r="F10" s="231" t="s">
        <v>26</v>
      </c>
      <c r="G10" s="246"/>
      <c r="H10" s="247"/>
      <c r="I10" s="247"/>
      <c r="J10" s="248"/>
      <c r="K10" s="8"/>
      <c r="L10" s="6">
        <f>R36</f>
        <v>972</v>
      </c>
      <c r="P10" s="4"/>
      <c r="Q10" s="4"/>
      <c r="R10" s="5"/>
    </row>
    <row r="11" spans="1:19" ht="15.75" x14ac:dyDescent="0.25">
      <c r="A11" s="166"/>
      <c r="B11" s="17"/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6"/>
      <c r="B12" s="17"/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6"/>
      <c r="B13" s="17"/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6"/>
      <c r="B14" s="14"/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6"/>
      <c r="B15" s="14"/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/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/>
      <c r="C19" s="10"/>
      <c r="D19" s="48">
        <f t="shared" si="1"/>
        <v>0</v>
      </c>
      <c r="F19" s="56"/>
      <c r="G19" s="68" t="s">
        <v>50</v>
      </c>
      <c r="H19" s="189"/>
      <c r="I19" s="189"/>
      <c r="J19" s="18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/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6"/>
      <c r="B22" s="46"/>
      <c r="C22" s="10"/>
      <c r="D22" s="48">
        <f t="shared" si="1"/>
        <v>0</v>
      </c>
      <c r="F22" s="77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/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/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6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/>
      <c r="C28" s="10"/>
      <c r="D28" s="48">
        <f t="shared" si="1"/>
        <v>0</v>
      </c>
      <c r="F28" s="117"/>
      <c r="G28" s="61"/>
      <c r="H28" s="204"/>
      <c r="I28" s="205"/>
      <c r="J28" s="206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8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/>
      <c r="I34" s="169"/>
      <c r="J34" s="170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/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/>
      <c r="I36" s="169"/>
      <c r="J36" s="170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/>
      <c r="I37" s="169"/>
      <c r="J37" s="170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/>
      <c r="I38" s="169"/>
      <c r="J38" s="170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/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20" t="s">
        <v>83</v>
      </c>
      <c r="H43" s="160" t="s">
        <v>13</v>
      </c>
      <c r="I43" s="161"/>
      <c r="J43" s="162"/>
      <c r="K43" s="21"/>
      <c r="P43" s="4"/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76"/>
      <c r="H44" s="163"/>
      <c r="I44" s="163"/>
      <c r="J44" s="163"/>
      <c r="K44" s="21"/>
      <c r="P44" s="4"/>
      <c r="Q44" s="4"/>
      <c r="R44" s="5"/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P50" s="4"/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128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4062-E146-4288-8D8B-852BE8AA1BBB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6" t="s">
        <v>2</v>
      </c>
      <c r="Q1" s="11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1</v>
      </c>
      <c r="H4" s="225" t="s">
        <v>9</v>
      </c>
      <c r="I4" s="227">
        <v>46045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84"/>
      <c r="D6" s="13">
        <f t="shared" ref="D6:D28" si="1">C6*L6</f>
        <v>0</v>
      </c>
      <c r="F6" s="231" t="s">
        <v>16</v>
      </c>
      <c r="G6" s="233" t="s">
        <v>129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84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84"/>
      <c r="D8" s="13">
        <f t="shared" si="1"/>
        <v>0</v>
      </c>
      <c r="F8" s="239" t="s">
        <v>21</v>
      </c>
      <c r="G8" s="240" t="s">
        <v>112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84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84"/>
      <c r="D10" s="13">
        <f t="shared" si="1"/>
        <v>0</v>
      </c>
      <c r="F10" s="231" t="s">
        <v>26</v>
      </c>
      <c r="G10" s="246" t="s">
        <v>130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84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84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84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84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84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137</v>
      </c>
      <c r="C17" s="84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88"/>
      <c r="I19" s="188"/>
      <c r="J19" s="188"/>
      <c r="L19" s="6">
        <v>1102</v>
      </c>
      <c r="Q19" s="4"/>
      <c r="R19" s="5">
        <f t="shared" si="0"/>
        <v>0</v>
      </c>
    </row>
    <row r="20" spans="1:18" ht="15.75" x14ac:dyDescent="0.25">
      <c r="A20" s="166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135</v>
      </c>
      <c r="C21" s="84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127</v>
      </c>
      <c r="C22" s="84"/>
      <c r="D22" s="48">
        <f t="shared" si="1"/>
        <v>0</v>
      </c>
      <c r="F22" s="77"/>
      <c r="G22" s="73"/>
      <c r="H22" s="193"/>
      <c r="I22" s="193"/>
      <c r="J22" s="193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101</v>
      </c>
      <c r="C23" s="84"/>
      <c r="D23" s="48">
        <f t="shared" si="1"/>
        <v>0</v>
      </c>
      <c r="F23" s="77"/>
      <c r="G23" s="79"/>
      <c r="H23" s="259"/>
      <c r="I23" s="260"/>
      <c r="J23" s="26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121</v>
      </c>
      <c r="C24" s="84"/>
      <c r="D24" s="48">
        <f t="shared" si="1"/>
        <v>0</v>
      </c>
      <c r="F24" s="77"/>
      <c r="G24" s="79"/>
      <c r="H24" s="259"/>
      <c r="I24" s="260"/>
      <c r="J24" s="26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138</v>
      </c>
      <c r="C25" s="84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136</v>
      </c>
      <c r="C26" s="84"/>
      <c r="D26" s="48">
        <f t="shared" si="1"/>
        <v>0</v>
      </c>
      <c r="F26" s="75"/>
      <c r="G26" s="65"/>
      <c r="H26" s="163"/>
      <c r="I26" s="163"/>
      <c r="J26" s="163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110</v>
      </c>
      <c r="C27" s="84"/>
      <c r="D27" s="44">
        <f t="shared" si="1"/>
        <v>0</v>
      </c>
      <c r="F27" s="71"/>
      <c r="G27" s="120"/>
      <c r="H27" s="261"/>
      <c r="I27" s="262"/>
      <c r="J27" s="26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84"/>
      <c r="D28" s="48">
        <f t="shared" si="1"/>
        <v>0</v>
      </c>
      <c r="F28" s="117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H15-H16-H17-H18-H19-H20-H22-H23-H24+H26+H27+H28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8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68">
        <f t="shared" ref="H34:H39" si="2">F34*G34</f>
        <v>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>
        <f t="shared" si="2"/>
        <v>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 t="shared" si="2"/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>
        <f t="shared" si="2"/>
        <v>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2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62"/>
      <c r="H44" s="163"/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3"/>
      <c r="I46" s="163"/>
      <c r="J46" s="163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131</v>
      </c>
      <c r="G51" s="253">
        <f>G49-H29</f>
        <v>0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BD85-C2E6-4056-AFA4-AC92F704C40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6" t="s">
        <v>2</v>
      </c>
      <c r="Q1" s="11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2</v>
      </c>
      <c r="H4" s="225" t="s">
        <v>9</v>
      </c>
      <c r="I4" s="227">
        <v>46045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/>
      <c r="D6" s="13">
        <f t="shared" ref="D6:D28" si="1">C6*L6</f>
        <v>0</v>
      </c>
      <c r="F6" s="231" t="s">
        <v>16</v>
      </c>
      <c r="G6" s="233" t="s">
        <v>140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114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115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93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63"/>
      <c r="I19" s="263"/>
      <c r="J19" s="26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88"/>
      <c r="I20" s="188"/>
      <c r="J20" s="18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2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25"/>
      <c r="G23" s="37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123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117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8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>
        <f>F34*G34</f>
        <v>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>
        <f t="shared" ref="H35:H39" si="2">F35*G35</f>
        <v>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>
        <f t="shared" si="2"/>
        <v>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2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62"/>
      <c r="H44" s="163"/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119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142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6A047-020A-481C-8165-87A0976043A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6" t="s">
        <v>2</v>
      </c>
      <c r="Q1" s="11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3</v>
      </c>
      <c r="H4" s="225" t="s">
        <v>9</v>
      </c>
      <c r="I4" s="227">
        <v>46045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/>
      <c r="D6" s="13">
        <f t="shared" ref="D6:D28" si="1">C6*L6</f>
        <v>0</v>
      </c>
      <c r="F6" s="231" t="s">
        <v>16</v>
      </c>
      <c r="G6" s="233" t="s">
        <v>111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119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134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113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64"/>
      <c r="I19" s="264"/>
      <c r="J19" s="26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7"/>
      <c r="G22" s="73"/>
      <c r="H22" s="193"/>
      <c r="I22" s="193"/>
      <c r="J22" s="193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101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117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8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>
        <f>F34*G34</f>
        <v>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>
        <f>F35*G35</f>
        <v>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 t="shared" ref="H36:H39" si="2"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>
        <f t="shared" si="2"/>
        <v>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2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76"/>
      <c r="H44" s="163"/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139</v>
      </c>
      <c r="G51" s="253">
        <f>G49-H29</f>
        <v>0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2D089-3605-4E62-BCA1-1937E60146EA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20" t="s">
        <v>1</v>
      </c>
      <c r="O1" s="220"/>
      <c r="P1" s="116" t="s">
        <v>2</v>
      </c>
      <c r="Q1" s="116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71" t="s">
        <v>7</v>
      </c>
      <c r="B4" s="172"/>
      <c r="C4" s="172"/>
      <c r="D4" s="173"/>
      <c r="F4" s="221" t="s">
        <v>8</v>
      </c>
      <c r="G4" s="223"/>
      <c r="H4" s="225" t="s">
        <v>9</v>
      </c>
      <c r="I4" s="227"/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6"/>
      <c r="B6" s="16"/>
      <c r="C6" s="10"/>
      <c r="D6" s="13">
        <f t="shared" ref="D6:D28" si="1">C6*L6</f>
        <v>0</v>
      </c>
      <c r="F6" s="231" t="s">
        <v>16</v>
      </c>
      <c r="G6" s="233"/>
      <c r="H6" s="234"/>
      <c r="I6" s="234"/>
      <c r="J6" s="23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6"/>
      <c r="B7" s="16"/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6"/>
      <c r="B8" s="16"/>
      <c r="C8" s="10"/>
      <c r="D8" s="13">
        <f t="shared" si="1"/>
        <v>0</v>
      </c>
      <c r="F8" s="239" t="s">
        <v>21</v>
      </c>
      <c r="G8" s="240"/>
      <c r="H8" s="241"/>
      <c r="I8" s="241"/>
      <c r="J8" s="24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6"/>
      <c r="B9" s="16"/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6"/>
      <c r="C10" s="10"/>
      <c r="D10" s="13">
        <f t="shared" si="1"/>
        <v>0</v>
      </c>
      <c r="F10" s="231" t="s">
        <v>26</v>
      </c>
      <c r="G10" s="246"/>
      <c r="H10" s="247"/>
      <c r="I10" s="247"/>
      <c r="J10" s="248"/>
      <c r="K10" s="8"/>
      <c r="L10" s="6">
        <f>R36</f>
        <v>972</v>
      </c>
      <c r="P10" s="4"/>
      <c r="Q10" s="4"/>
      <c r="R10" s="5"/>
    </row>
    <row r="11" spans="1:19" ht="15.75" x14ac:dyDescent="0.25">
      <c r="A11" s="166"/>
      <c r="B11" s="17"/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6"/>
      <c r="B12" s="17"/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6"/>
      <c r="B13" s="17"/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6"/>
      <c r="B14" s="14"/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6"/>
      <c r="B15" s="14"/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/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/>
      <c r="C19" s="10"/>
      <c r="D19" s="48">
        <f t="shared" si="1"/>
        <v>0</v>
      </c>
      <c r="F19" s="56"/>
      <c r="G19" s="68" t="s">
        <v>50</v>
      </c>
      <c r="H19" s="189"/>
      <c r="I19" s="189"/>
      <c r="J19" s="18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/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6"/>
      <c r="B22" s="46"/>
      <c r="C22" s="10"/>
      <c r="D22" s="48">
        <f t="shared" si="1"/>
        <v>0</v>
      </c>
      <c r="F22" s="77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/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/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6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/>
      <c r="C28" s="10"/>
      <c r="D28" s="48">
        <f t="shared" si="1"/>
        <v>0</v>
      </c>
      <c r="F28" s="117"/>
      <c r="G28" s="61"/>
      <c r="H28" s="204"/>
      <c r="I28" s="205"/>
      <c r="J28" s="206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8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/>
      <c r="I34" s="169"/>
      <c r="J34" s="170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/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/>
      <c r="I36" s="169"/>
      <c r="J36" s="170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/>
      <c r="I37" s="169"/>
      <c r="J37" s="170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/>
      <c r="I38" s="169"/>
      <c r="J38" s="170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/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20" t="s">
        <v>83</v>
      </c>
      <c r="H43" s="160" t="s">
        <v>13</v>
      </c>
      <c r="I43" s="161"/>
      <c r="J43" s="162"/>
      <c r="K43" s="21"/>
      <c r="P43" s="4"/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76"/>
      <c r="H44" s="163"/>
      <c r="I44" s="163"/>
      <c r="J44" s="163"/>
      <c r="K44" s="21"/>
      <c r="P44" s="4"/>
      <c r="Q44" s="4"/>
      <c r="R44" s="5"/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P50" s="4"/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128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9DFAA-E803-4FEA-AC89-5DB0238299F7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6" t="s">
        <v>2</v>
      </c>
      <c r="Q1" s="11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1</v>
      </c>
      <c r="H4" s="225" t="s">
        <v>9</v>
      </c>
      <c r="I4" s="227">
        <v>46046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84"/>
      <c r="D6" s="13">
        <f t="shared" ref="D6:D28" si="1">C6*L6</f>
        <v>0</v>
      </c>
      <c r="F6" s="231" t="s">
        <v>16</v>
      </c>
      <c r="G6" s="233" t="s">
        <v>129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84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84"/>
      <c r="D8" s="13">
        <f t="shared" si="1"/>
        <v>0</v>
      </c>
      <c r="F8" s="239" t="s">
        <v>21</v>
      </c>
      <c r="G8" s="240" t="s">
        <v>112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84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84"/>
      <c r="D10" s="13">
        <f t="shared" si="1"/>
        <v>0</v>
      </c>
      <c r="F10" s="231" t="s">
        <v>26</v>
      </c>
      <c r="G10" s="246" t="s">
        <v>130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84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84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84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84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84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137</v>
      </c>
      <c r="C17" s="84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88"/>
      <c r="I19" s="188"/>
      <c r="J19" s="188"/>
      <c r="L19" s="6">
        <v>1102</v>
      </c>
      <c r="Q19" s="4"/>
      <c r="R19" s="5">
        <f t="shared" si="0"/>
        <v>0</v>
      </c>
    </row>
    <row r="20" spans="1:18" ht="15.75" x14ac:dyDescent="0.25">
      <c r="A20" s="166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135</v>
      </c>
      <c r="C21" s="84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127</v>
      </c>
      <c r="C22" s="84"/>
      <c r="D22" s="48">
        <f t="shared" si="1"/>
        <v>0</v>
      </c>
      <c r="F22" s="77"/>
      <c r="G22" s="73"/>
      <c r="H22" s="193"/>
      <c r="I22" s="193"/>
      <c r="J22" s="193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101</v>
      </c>
      <c r="C23" s="84"/>
      <c r="D23" s="48">
        <f t="shared" si="1"/>
        <v>0</v>
      </c>
      <c r="F23" s="77"/>
      <c r="G23" s="79"/>
      <c r="H23" s="259"/>
      <c r="I23" s="260"/>
      <c r="J23" s="26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121</v>
      </c>
      <c r="C24" s="84"/>
      <c r="D24" s="48">
        <f t="shared" si="1"/>
        <v>0</v>
      </c>
      <c r="F24" s="77"/>
      <c r="G24" s="79"/>
      <c r="H24" s="259"/>
      <c r="I24" s="260"/>
      <c r="J24" s="26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138</v>
      </c>
      <c r="C25" s="84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136</v>
      </c>
      <c r="C26" s="84"/>
      <c r="D26" s="48">
        <f t="shared" si="1"/>
        <v>0</v>
      </c>
      <c r="F26" s="75"/>
      <c r="G26" s="65"/>
      <c r="H26" s="163"/>
      <c r="I26" s="163"/>
      <c r="J26" s="163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110</v>
      </c>
      <c r="C27" s="84"/>
      <c r="D27" s="44">
        <f t="shared" si="1"/>
        <v>0</v>
      </c>
      <c r="F27" s="71"/>
      <c r="G27" s="120"/>
      <c r="H27" s="261"/>
      <c r="I27" s="262"/>
      <c r="J27" s="26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84"/>
      <c r="D28" s="48">
        <f t="shared" si="1"/>
        <v>0</v>
      </c>
      <c r="F28" s="117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H15-H16-H17-H18-H19-H20-H22-H23-H24+H26+H27+H28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8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68">
        <f t="shared" ref="H34:H39" si="2">F34*G34</f>
        <v>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>
        <f t="shared" si="2"/>
        <v>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 t="shared" si="2"/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>
        <f t="shared" si="2"/>
        <v>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2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62"/>
      <c r="H44" s="163"/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3"/>
      <c r="I46" s="163"/>
      <c r="J46" s="163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131</v>
      </c>
      <c r="G51" s="253">
        <f>G49-H29</f>
        <v>0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9C3F4-A70F-4D3D-99D9-AE3ED0880BD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6" t="s">
        <v>2</v>
      </c>
      <c r="Q1" s="11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2</v>
      </c>
      <c r="H4" s="225" t="s">
        <v>9</v>
      </c>
      <c r="I4" s="227">
        <v>46046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/>
      <c r="D6" s="13">
        <f t="shared" ref="D6:D28" si="1">C6*L6</f>
        <v>0</v>
      </c>
      <c r="F6" s="231" t="s">
        <v>16</v>
      </c>
      <c r="G6" s="233" t="s">
        <v>140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114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115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93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63"/>
      <c r="I19" s="263"/>
      <c r="J19" s="26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88"/>
      <c r="I20" s="188"/>
      <c r="J20" s="18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2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25"/>
      <c r="G23" s="37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123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117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8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>
        <f>F34*G34</f>
        <v>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>
        <f t="shared" ref="H35:H39" si="2">F35*G35</f>
        <v>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>
        <f t="shared" si="2"/>
        <v>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2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62"/>
      <c r="H44" s="163"/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119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142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7B241-2894-459A-A03A-95F2E7C0C64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6" t="s">
        <v>2</v>
      </c>
      <c r="Q1" s="11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3</v>
      </c>
      <c r="H4" s="225" t="s">
        <v>9</v>
      </c>
      <c r="I4" s="227">
        <v>46046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/>
      <c r="D6" s="13">
        <f t="shared" ref="D6:D28" si="1">C6*L6</f>
        <v>0</v>
      </c>
      <c r="F6" s="231" t="s">
        <v>16</v>
      </c>
      <c r="G6" s="233" t="s">
        <v>111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119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134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113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64"/>
      <c r="I19" s="264"/>
      <c r="J19" s="26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7"/>
      <c r="G22" s="73"/>
      <c r="H22" s="193"/>
      <c r="I22" s="193"/>
      <c r="J22" s="193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101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117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8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>
        <f>F34*G34</f>
        <v>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>
        <f>F35*G35</f>
        <v>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 t="shared" ref="H36:H39" si="2"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>
        <f t="shared" si="2"/>
        <v>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2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76"/>
      <c r="H44" s="163"/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139</v>
      </c>
      <c r="G51" s="253">
        <f>G49-H29</f>
        <v>0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0163-5914-42F1-B46B-FD040481ECE5}">
  <dimension ref="A1:S59"/>
  <sheetViews>
    <sheetView zoomScaleNormal="100" zoomScaleSheetLayoutView="85" workbookViewId="0">
      <selection activeCell="C44" sqref="C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20" t="s">
        <v>1</v>
      </c>
      <c r="O1" s="220"/>
      <c r="P1" s="116" t="s">
        <v>2</v>
      </c>
      <c r="Q1" s="116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71" t="s">
        <v>7</v>
      </c>
      <c r="B4" s="172"/>
      <c r="C4" s="172"/>
      <c r="D4" s="173"/>
      <c r="F4" s="221" t="s">
        <v>8</v>
      </c>
      <c r="G4" s="223"/>
      <c r="H4" s="225" t="s">
        <v>9</v>
      </c>
      <c r="I4" s="227"/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6"/>
      <c r="B6" s="16"/>
      <c r="C6" s="10"/>
      <c r="D6" s="13">
        <f t="shared" ref="D6:D28" si="1">C6*L6</f>
        <v>0</v>
      </c>
      <c r="F6" s="231" t="s">
        <v>16</v>
      </c>
      <c r="G6" s="233"/>
      <c r="H6" s="234"/>
      <c r="I6" s="234"/>
      <c r="J6" s="235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6"/>
      <c r="B7" s="16"/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6"/>
      <c r="B8" s="16"/>
      <c r="C8" s="10"/>
      <c r="D8" s="13">
        <f t="shared" si="1"/>
        <v>0</v>
      </c>
      <c r="F8" s="239" t="s">
        <v>21</v>
      </c>
      <c r="G8" s="240"/>
      <c r="H8" s="241"/>
      <c r="I8" s="241"/>
      <c r="J8" s="24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6"/>
      <c r="B9" s="16"/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6"/>
      <c r="C10" s="10"/>
      <c r="D10" s="13">
        <f t="shared" si="1"/>
        <v>0</v>
      </c>
      <c r="F10" s="231" t="s">
        <v>26</v>
      </c>
      <c r="G10" s="246"/>
      <c r="H10" s="247"/>
      <c r="I10" s="247"/>
      <c r="J10" s="248"/>
      <c r="K10" s="8"/>
      <c r="L10" s="6">
        <f>R36</f>
        <v>972</v>
      </c>
      <c r="P10" s="4"/>
      <c r="Q10" s="4"/>
      <c r="R10" s="5"/>
    </row>
    <row r="11" spans="1:19" ht="15.75" x14ac:dyDescent="0.25">
      <c r="A11" s="166"/>
      <c r="B11" s="17"/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6"/>
      <c r="B12" s="17"/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6"/>
      <c r="B13" s="17"/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6"/>
      <c r="B14" s="14"/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6"/>
      <c r="B15" s="14"/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/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/>
      <c r="C19" s="10"/>
      <c r="D19" s="48">
        <f t="shared" si="1"/>
        <v>0</v>
      </c>
      <c r="F19" s="56"/>
      <c r="G19" s="68" t="s">
        <v>50</v>
      </c>
      <c r="H19" s="189"/>
      <c r="I19" s="189"/>
      <c r="J19" s="18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/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6"/>
      <c r="B22" s="46"/>
      <c r="C22" s="10"/>
      <c r="D22" s="48">
        <f t="shared" si="1"/>
        <v>0</v>
      </c>
      <c r="F22" s="77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/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/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6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/>
      <c r="C28" s="10"/>
      <c r="D28" s="48">
        <f t="shared" si="1"/>
        <v>0</v>
      </c>
      <c r="F28" s="117"/>
      <c r="G28" s="61"/>
      <c r="H28" s="204"/>
      <c r="I28" s="205"/>
      <c r="J28" s="206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8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/>
      <c r="I34" s="169"/>
      <c r="J34" s="170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/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/>
      <c r="I36" s="169"/>
      <c r="J36" s="170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/>
      <c r="I37" s="169"/>
      <c r="J37" s="170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/>
      <c r="I38" s="169"/>
      <c r="J38" s="170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/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20" t="s">
        <v>83</v>
      </c>
      <c r="H43" s="160" t="s">
        <v>13</v>
      </c>
      <c r="I43" s="161"/>
      <c r="J43" s="162"/>
      <c r="K43" s="21"/>
      <c r="P43" s="4"/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76"/>
      <c r="H44" s="163"/>
      <c r="I44" s="163"/>
      <c r="J44" s="163"/>
      <c r="K44" s="21"/>
      <c r="P44" s="4"/>
      <c r="Q44" s="4"/>
      <c r="R44" s="5"/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P50" s="4"/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128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A89F1-C58C-454B-BFE8-E16D761894E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6" t="s">
        <v>2</v>
      </c>
      <c r="Q1" s="11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1</v>
      </c>
      <c r="H4" s="225" t="s">
        <v>9</v>
      </c>
      <c r="I4" s="227">
        <v>46048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84"/>
      <c r="D6" s="13">
        <f t="shared" ref="D6:D28" si="1">C6*L6</f>
        <v>0</v>
      </c>
      <c r="F6" s="231" t="s">
        <v>16</v>
      </c>
      <c r="G6" s="233" t="s">
        <v>129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84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84"/>
      <c r="D8" s="13">
        <f t="shared" si="1"/>
        <v>0</v>
      </c>
      <c r="F8" s="239" t="s">
        <v>21</v>
      </c>
      <c r="G8" s="240" t="s">
        <v>112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84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84"/>
      <c r="D10" s="13">
        <f t="shared" si="1"/>
        <v>0</v>
      </c>
      <c r="F10" s="231" t="s">
        <v>26</v>
      </c>
      <c r="G10" s="246" t="s">
        <v>130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84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84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84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84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84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137</v>
      </c>
      <c r="C17" s="84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133</v>
      </c>
      <c r="C19" s="84"/>
      <c r="D19" s="48">
        <f t="shared" si="1"/>
        <v>0</v>
      </c>
      <c r="F19" s="56"/>
      <c r="G19" s="68" t="s">
        <v>50</v>
      </c>
      <c r="H19" s="188"/>
      <c r="I19" s="188"/>
      <c r="J19" s="188"/>
      <c r="L19" s="6">
        <v>1102</v>
      </c>
      <c r="Q19" s="4"/>
      <c r="R19" s="5">
        <f t="shared" si="0"/>
        <v>0</v>
      </c>
    </row>
    <row r="20" spans="1:18" ht="15.75" x14ac:dyDescent="0.25">
      <c r="A20" s="166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135</v>
      </c>
      <c r="C21" s="84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127</v>
      </c>
      <c r="C22" s="84"/>
      <c r="D22" s="48">
        <f t="shared" si="1"/>
        <v>0</v>
      </c>
      <c r="F22" s="77"/>
      <c r="G22" s="73"/>
      <c r="H22" s="193"/>
      <c r="I22" s="193"/>
      <c r="J22" s="193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101</v>
      </c>
      <c r="C23" s="84"/>
      <c r="D23" s="48">
        <f t="shared" si="1"/>
        <v>0</v>
      </c>
      <c r="F23" s="77"/>
      <c r="G23" s="79"/>
      <c r="H23" s="259"/>
      <c r="I23" s="260"/>
      <c r="J23" s="26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121</v>
      </c>
      <c r="C24" s="84"/>
      <c r="D24" s="48">
        <f t="shared" si="1"/>
        <v>0</v>
      </c>
      <c r="F24" s="77"/>
      <c r="G24" s="79"/>
      <c r="H24" s="259"/>
      <c r="I24" s="260"/>
      <c r="J24" s="26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138</v>
      </c>
      <c r="C25" s="84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136</v>
      </c>
      <c r="C26" s="84"/>
      <c r="D26" s="48">
        <f t="shared" si="1"/>
        <v>0</v>
      </c>
      <c r="F26" s="75"/>
      <c r="G26" s="65"/>
      <c r="H26" s="163"/>
      <c r="I26" s="163"/>
      <c r="J26" s="163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110</v>
      </c>
      <c r="C27" s="84"/>
      <c r="D27" s="44">
        <f t="shared" si="1"/>
        <v>0</v>
      </c>
      <c r="F27" s="71"/>
      <c r="G27" s="120"/>
      <c r="H27" s="261"/>
      <c r="I27" s="262"/>
      <c r="J27" s="26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84"/>
      <c r="D28" s="48">
        <f t="shared" si="1"/>
        <v>0</v>
      </c>
      <c r="F28" s="117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H15-H16-H17-H18-H19-H20-H22-H23-H24+H26+H27+H28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8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68">
        <f t="shared" ref="H34:H39" si="2">F34*G34</f>
        <v>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>
        <f t="shared" si="2"/>
        <v>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 t="shared" si="2"/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>
        <f t="shared" si="2"/>
        <v>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2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62"/>
      <c r="H44" s="163"/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3"/>
      <c r="I46" s="163"/>
      <c r="J46" s="163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131</v>
      </c>
      <c r="G51" s="253">
        <f>G49-H29</f>
        <v>0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132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E158-9855-46D2-80D1-502DCE46756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6" t="s">
        <v>2</v>
      </c>
      <c r="Q1" s="11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2</v>
      </c>
      <c r="H4" s="225" t="s">
        <v>9</v>
      </c>
      <c r="I4" s="227">
        <v>46048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/>
      <c r="D6" s="13">
        <f t="shared" ref="D6:D28" si="1">C6*L6</f>
        <v>0</v>
      </c>
      <c r="F6" s="231" t="s">
        <v>16</v>
      </c>
      <c r="G6" s="233" t="s">
        <v>140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114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115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93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63"/>
      <c r="I19" s="263"/>
      <c r="J19" s="26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88"/>
      <c r="I20" s="188"/>
      <c r="J20" s="18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2"/>
      <c r="G22" s="73"/>
      <c r="H22" s="193"/>
      <c r="I22" s="193"/>
      <c r="J22" s="193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25"/>
      <c r="G23" s="37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123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117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8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>
        <f>F34*G34</f>
        <v>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>
        <f t="shared" ref="H35:H39" si="2">F35*G35</f>
        <v>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>
        <f t="shared" si="2"/>
        <v>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2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62"/>
      <c r="H44" s="163"/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62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119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142</v>
      </c>
      <c r="G51" s="154">
        <f>G49-H29</f>
        <v>0</v>
      </c>
      <c r="H51" s="155"/>
      <c r="I51" s="155"/>
      <c r="J51" s="156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157"/>
      <c r="H52" s="158"/>
      <c r="I52" s="158"/>
      <c r="J52" s="15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141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62791-BBF1-46BD-AF1D-E6F7D3E6BD2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20" t="s">
        <v>1</v>
      </c>
      <c r="O1" s="220"/>
      <c r="P1" s="116" t="s">
        <v>2</v>
      </c>
      <c r="Q1" s="11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71" t="s">
        <v>7</v>
      </c>
      <c r="B4" s="172"/>
      <c r="C4" s="172"/>
      <c r="D4" s="173"/>
      <c r="F4" s="221" t="s">
        <v>8</v>
      </c>
      <c r="G4" s="223">
        <v>3</v>
      </c>
      <c r="H4" s="225" t="s">
        <v>9</v>
      </c>
      <c r="I4" s="227">
        <v>46048</v>
      </c>
      <c r="J4" s="228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5" t="s">
        <v>7</v>
      </c>
      <c r="B5" s="15" t="s">
        <v>11</v>
      </c>
      <c r="C5" s="9" t="s">
        <v>12</v>
      </c>
      <c r="D5" s="25" t="s">
        <v>13</v>
      </c>
      <c r="F5" s="222"/>
      <c r="G5" s="224"/>
      <c r="H5" s="226"/>
      <c r="I5" s="229"/>
      <c r="J5" s="230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6"/>
      <c r="B6" s="16" t="s">
        <v>15</v>
      </c>
      <c r="C6" s="10"/>
      <c r="D6" s="13">
        <f t="shared" ref="D6:D28" si="1">C6*L6</f>
        <v>0</v>
      </c>
      <c r="F6" s="231" t="s">
        <v>16</v>
      </c>
      <c r="G6" s="233" t="s">
        <v>111</v>
      </c>
      <c r="H6" s="234"/>
      <c r="I6" s="234"/>
      <c r="J6" s="235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6"/>
      <c r="B7" s="16" t="s">
        <v>18</v>
      </c>
      <c r="C7" s="10"/>
      <c r="D7" s="13">
        <f t="shared" si="1"/>
        <v>0</v>
      </c>
      <c r="F7" s="232"/>
      <c r="G7" s="236"/>
      <c r="H7" s="237"/>
      <c r="I7" s="237"/>
      <c r="J7" s="238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66"/>
      <c r="B8" s="16" t="s">
        <v>20</v>
      </c>
      <c r="C8" s="10"/>
      <c r="D8" s="13">
        <f t="shared" si="1"/>
        <v>0</v>
      </c>
      <c r="F8" s="239" t="s">
        <v>21</v>
      </c>
      <c r="G8" s="240" t="s">
        <v>119</v>
      </c>
      <c r="H8" s="241"/>
      <c r="I8" s="241"/>
      <c r="J8" s="24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66"/>
      <c r="B9" s="16" t="s">
        <v>23</v>
      </c>
      <c r="C9" s="10"/>
      <c r="D9" s="13">
        <f t="shared" si="1"/>
        <v>0</v>
      </c>
      <c r="F9" s="232"/>
      <c r="G9" s="243"/>
      <c r="H9" s="244"/>
      <c r="I9" s="244"/>
      <c r="J9" s="24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66"/>
      <c r="B10" t="s">
        <v>25</v>
      </c>
      <c r="C10" s="10"/>
      <c r="D10" s="13">
        <f t="shared" si="1"/>
        <v>0</v>
      </c>
      <c r="F10" s="231" t="s">
        <v>26</v>
      </c>
      <c r="G10" s="246" t="s">
        <v>134</v>
      </c>
      <c r="H10" s="247"/>
      <c r="I10" s="247"/>
      <c r="J10" s="248"/>
      <c r="K10" s="8"/>
      <c r="L10" s="6">
        <f>R36</f>
        <v>1032</v>
      </c>
      <c r="P10" s="4"/>
      <c r="Q10" s="4"/>
      <c r="R10" s="5"/>
    </row>
    <row r="11" spans="1:18" ht="15.75" x14ac:dyDescent="0.25">
      <c r="A11" s="166"/>
      <c r="B11" s="17" t="s">
        <v>28</v>
      </c>
      <c r="C11" s="10"/>
      <c r="D11" s="13">
        <f t="shared" si="1"/>
        <v>0</v>
      </c>
      <c r="F11" s="232"/>
      <c r="G11" s="243"/>
      <c r="H11" s="244"/>
      <c r="I11" s="244"/>
      <c r="J11" s="24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6"/>
      <c r="B12" s="17" t="s">
        <v>30</v>
      </c>
      <c r="C12" s="10"/>
      <c r="D12" s="48">
        <f t="shared" si="1"/>
        <v>0</v>
      </c>
      <c r="F12" s="249" t="s">
        <v>33</v>
      </c>
      <c r="G12" s="250"/>
      <c r="H12" s="250"/>
      <c r="I12" s="250"/>
      <c r="J12" s="25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6"/>
      <c r="B13" s="17" t="s">
        <v>32</v>
      </c>
      <c r="C13" s="10"/>
      <c r="D13" s="48">
        <f t="shared" si="1"/>
        <v>0</v>
      </c>
      <c r="F13" s="252" t="s">
        <v>36</v>
      </c>
      <c r="G13" s="216"/>
      <c r="H13" s="207">
        <f>D29</f>
        <v>0</v>
      </c>
      <c r="I13" s="208"/>
      <c r="J13" s="20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6"/>
      <c r="B14" s="14" t="s">
        <v>35</v>
      </c>
      <c r="C14" s="10"/>
      <c r="D14" s="31">
        <f t="shared" si="1"/>
        <v>0</v>
      </c>
      <c r="F14" s="210" t="s">
        <v>39</v>
      </c>
      <c r="G14" s="211"/>
      <c r="H14" s="212">
        <f>D54</f>
        <v>0</v>
      </c>
      <c r="I14" s="213"/>
      <c r="J14" s="21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6"/>
      <c r="B15" s="14" t="s">
        <v>38</v>
      </c>
      <c r="C15" s="10"/>
      <c r="D15" s="31">
        <f t="shared" si="1"/>
        <v>0</v>
      </c>
      <c r="F15" s="215" t="s">
        <v>40</v>
      </c>
      <c r="G15" s="216"/>
      <c r="H15" s="217">
        <f>H13-H14</f>
        <v>0</v>
      </c>
      <c r="I15" s="218"/>
      <c r="J15" s="219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77"/>
      <c r="I16" s="177"/>
      <c r="J16" s="177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6"/>
      <c r="B17" t="s">
        <v>113</v>
      </c>
      <c r="C17" s="10"/>
      <c r="D17" s="48">
        <f t="shared" si="1"/>
        <v>0</v>
      </c>
      <c r="F17" s="56"/>
      <c r="G17" s="66" t="s">
        <v>45</v>
      </c>
      <c r="H17" s="188"/>
      <c r="I17" s="188"/>
      <c r="J17" s="188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88"/>
      <c r="I18" s="188"/>
      <c r="J18" s="188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64"/>
      <c r="I19" s="264"/>
      <c r="J19" s="26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77"/>
      <c r="I20" s="177"/>
      <c r="J20" s="177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90" t="s">
        <v>13</v>
      </c>
      <c r="I21" s="191"/>
      <c r="J21" s="192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66"/>
      <c r="B22" s="46" t="s">
        <v>104</v>
      </c>
      <c r="C22" s="10"/>
      <c r="D22" s="48">
        <f t="shared" si="1"/>
        <v>0</v>
      </c>
      <c r="F22" s="77"/>
      <c r="G22" s="73"/>
      <c r="H22" s="193"/>
      <c r="I22" s="193"/>
      <c r="J22" s="193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6"/>
      <c r="B23" s="14" t="s">
        <v>107</v>
      </c>
      <c r="C23" s="10"/>
      <c r="D23" s="48">
        <f t="shared" si="1"/>
        <v>0</v>
      </c>
      <c r="F23" s="78"/>
      <c r="G23" s="79"/>
      <c r="H23" s="194"/>
      <c r="I23" s="163"/>
      <c r="J23" s="16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6"/>
      <c r="B24" s="14" t="s">
        <v>101</v>
      </c>
      <c r="C24" s="10"/>
      <c r="D24" s="48">
        <f t="shared" si="1"/>
        <v>0</v>
      </c>
      <c r="F24" s="38"/>
      <c r="G24" s="37"/>
      <c r="H24" s="194"/>
      <c r="I24" s="163"/>
      <c r="J24" s="16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5" t="s">
        <v>13</v>
      </c>
      <c r="I25" s="196"/>
      <c r="J25" s="197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6"/>
      <c r="B26" s="14" t="s">
        <v>105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66"/>
      <c r="B27" s="14" t="s">
        <v>109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7"/>
      <c r="B28" s="46" t="s">
        <v>97</v>
      </c>
      <c r="C28" s="10"/>
      <c r="D28" s="48">
        <f t="shared" si="1"/>
        <v>0</v>
      </c>
      <c r="F28" s="117"/>
      <c r="G28" s="61"/>
      <c r="H28" s="204"/>
      <c r="I28" s="205"/>
      <c r="J28" s="206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8" t="s">
        <v>36</v>
      </c>
      <c r="B29" s="179"/>
      <c r="C29" s="180"/>
      <c r="D29" s="184">
        <f>SUM(D6:D28)</f>
        <v>0</v>
      </c>
      <c r="F29" s="124" t="s">
        <v>55</v>
      </c>
      <c r="G29" s="186"/>
      <c r="H29" s="146">
        <f>H15-H16-H17-H18-H19-H20-H22-H23-H24+H26+H27</f>
        <v>0</v>
      </c>
      <c r="I29" s="147"/>
      <c r="J29" s="14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81"/>
      <c r="B30" s="182"/>
      <c r="C30" s="183"/>
      <c r="D30" s="185"/>
      <c r="F30" s="127"/>
      <c r="G30" s="187"/>
      <c r="H30" s="149"/>
      <c r="I30" s="150"/>
      <c r="J30" s="151"/>
      <c r="N30" s="1"/>
      <c r="O30" t="s">
        <v>143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71" t="s">
        <v>58</v>
      </c>
      <c r="B32" s="172"/>
      <c r="C32" s="172"/>
      <c r="D32" s="173"/>
      <c r="F32" s="174" t="s">
        <v>59</v>
      </c>
      <c r="G32" s="175"/>
      <c r="H32" s="175"/>
      <c r="I32" s="175"/>
      <c r="J32" s="176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8" t="s">
        <v>63</v>
      </c>
      <c r="H33" s="174" t="s">
        <v>13</v>
      </c>
      <c r="I33" s="175"/>
      <c r="J33" s="17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68">
        <f>F34*G34</f>
        <v>0</v>
      </c>
      <c r="I34" s="169"/>
      <c r="J34" s="170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66"/>
      <c r="B35" s="27" t="s">
        <v>68</v>
      </c>
      <c r="C35" s="52"/>
      <c r="D35" s="30">
        <f>C35*84</f>
        <v>0</v>
      </c>
      <c r="F35" s="58">
        <v>500</v>
      </c>
      <c r="G35" s="41"/>
      <c r="H35" s="168">
        <f>F35*G35</f>
        <v>0</v>
      </c>
      <c r="I35" s="169"/>
      <c r="J35" s="170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7"/>
      <c r="B36" s="26" t="s">
        <v>70</v>
      </c>
      <c r="C36" s="10"/>
      <c r="D36" s="12">
        <f>C36*1.5</f>
        <v>0</v>
      </c>
      <c r="F36" s="12">
        <v>200</v>
      </c>
      <c r="G36" s="37"/>
      <c r="H36" s="168">
        <f t="shared" ref="H36:H39" si="2">F36*G36</f>
        <v>0</v>
      </c>
      <c r="I36" s="169"/>
      <c r="J36" s="170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6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8">
        <f t="shared" si="2"/>
        <v>0</v>
      </c>
      <c r="I37" s="169"/>
      <c r="J37" s="170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66"/>
      <c r="B38" s="29" t="s">
        <v>68</v>
      </c>
      <c r="C38" s="54"/>
      <c r="D38" s="12">
        <f>C38*84</f>
        <v>0</v>
      </c>
      <c r="F38" s="30">
        <v>50</v>
      </c>
      <c r="G38" s="39"/>
      <c r="H38" s="168">
        <f t="shared" si="2"/>
        <v>0</v>
      </c>
      <c r="I38" s="169"/>
      <c r="J38" s="170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67"/>
      <c r="B39" s="29" t="s">
        <v>70</v>
      </c>
      <c r="C39" s="52"/>
      <c r="D39" s="31">
        <f>C39*4.5</f>
        <v>0</v>
      </c>
      <c r="F39" s="12">
        <v>20</v>
      </c>
      <c r="G39" s="37"/>
      <c r="H39" s="168">
        <f t="shared" si="2"/>
        <v>0</v>
      </c>
      <c r="I39" s="169"/>
      <c r="J39" s="170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68"/>
      <c r="I40" s="169"/>
      <c r="J40" s="170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66"/>
      <c r="B41" s="27" t="s">
        <v>68</v>
      </c>
      <c r="C41" s="10"/>
      <c r="D41" s="12">
        <f>C41*84</f>
        <v>0</v>
      </c>
      <c r="F41" s="12">
        <v>5</v>
      </c>
      <c r="G41" s="42"/>
      <c r="H41" s="168"/>
      <c r="I41" s="169"/>
      <c r="J41" s="170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67"/>
      <c r="B42" s="27" t="s">
        <v>70</v>
      </c>
      <c r="C42" s="11"/>
      <c r="D42" s="12">
        <f>C42*2.25</f>
        <v>0</v>
      </c>
      <c r="F42" s="39" t="s">
        <v>79</v>
      </c>
      <c r="G42" s="168"/>
      <c r="H42" s="169"/>
      <c r="I42" s="169"/>
      <c r="J42" s="170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38" t="s">
        <v>81</v>
      </c>
      <c r="C43" s="11"/>
      <c r="D43" s="12"/>
      <c r="F43" s="59" t="s">
        <v>82</v>
      </c>
      <c r="G43" s="120" t="s">
        <v>83</v>
      </c>
      <c r="H43" s="160" t="s">
        <v>13</v>
      </c>
      <c r="I43" s="161"/>
      <c r="J43" s="16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9"/>
      <c r="B44" s="27" t="s">
        <v>66</v>
      </c>
      <c r="C44" s="10"/>
      <c r="D44" s="12">
        <f>C44*120</f>
        <v>0</v>
      </c>
      <c r="F44" s="37"/>
      <c r="G44" s="76"/>
      <c r="H44" s="163"/>
      <c r="I44" s="163"/>
      <c r="J44" s="163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39"/>
      <c r="B45" s="27" t="s">
        <v>68</v>
      </c>
      <c r="C45" s="33"/>
      <c r="D45" s="12">
        <f>C45*84</f>
        <v>0</v>
      </c>
      <c r="F45" s="37"/>
      <c r="G45" s="76"/>
      <c r="H45" s="163"/>
      <c r="I45" s="163"/>
      <c r="J45" s="163"/>
      <c r="K45" s="21"/>
      <c r="P45" s="4"/>
      <c r="Q45" s="4"/>
      <c r="R45" s="5"/>
    </row>
    <row r="46" spans="1:18" ht="15.75" x14ac:dyDescent="0.25">
      <c r="A46" s="139"/>
      <c r="B46" s="49" t="s">
        <v>70</v>
      </c>
      <c r="C46" s="81"/>
      <c r="D46" s="12">
        <f>C46*1.5</f>
        <v>0</v>
      </c>
      <c r="F46" s="37"/>
      <c r="G46" s="62"/>
      <c r="H46" s="164"/>
      <c r="I46" s="164"/>
      <c r="J46" s="164"/>
      <c r="K46" s="21"/>
      <c r="P46" s="4"/>
      <c r="Q46" s="4"/>
      <c r="R46" s="5"/>
    </row>
    <row r="47" spans="1:18" ht="15.75" x14ac:dyDescent="0.25">
      <c r="A47" s="140"/>
      <c r="B47" s="27"/>
      <c r="C47" s="11"/>
      <c r="D47" s="12"/>
      <c r="F47" s="59"/>
      <c r="G47" s="59"/>
      <c r="H47" s="141"/>
      <c r="I47" s="142"/>
      <c r="J47" s="143"/>
      <c r="K47" s="21"/>
      <c r="P47" s="4"/>
      <c r="Q47" s="4"/>
      <c r="R47" s="5"/>
    </row>
    <row r="48" spans="1:18" ht="15" customHeight="1" x14ac:dyDescent="0.25">
      <c r="A48" s="138" t="s">
        <v>32</v>
      </c>
      <c r="B48" s="27" t="s">
        <v>66</v>
      </c>
      <c r="C48" s="10"/>
      <c r="D48" s="12">
        <f>C48*78</f>
        <v>0</v>
      </c>
      <c r="F48" s="59"/>
      <c r="G48" s="59"/>
      <c r="H48" s="141"/>
      <c r="I48" s="142"/>
      <c r="J48" s="143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9"/>
      <c r="B49" s="29" t="s">
        <v>68</v>
      </c>
      <c r="C49" s="33"/>
      <c r="D49" s="12">
        <f>C49*42</f>
        <v>0</v>
      </c>
      <c r="F49" s="144" t="s">
        <v>86</v>
      </c>
      <c r="G49" s="146">
        <f>H34+H35+H36+H37+H38+H39+H40+H41+G42+H44+H45+H46</f>
        <v>0</v>
      </c>
      <c r="H49" s="147"/>
      <c r="I49" s="147"/>
      <c r="J49" s="14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9"/>
      <c r="B50" s="32" t="s">
        <v>70</v>
      </c>
      <c r="C50" s="11"/>
      <c r="D50" s="12">
        <f>C50*1.5</f>
        <v>0</v>
      </c>
      <c r="F50" s="145"/>
      <c r="G50" s="149"/>
      <c r="H50" s="150"/>
      <c r="I50" s="150"/>
      <c r="J50" s="151"/>
      <c r="O50" t="s">
        <v>144</v>
      </c>
      <c r="P50" s="4">
        <v>1204</v>
      </c>
      <c r="Q50" s="4"/>
      <c r="R50" s="5"/>
    </row>
    <row r="51" spans="1:18" ht="15" customHeight="1" x14ac:dyDescent="0.25">
      <c r="A51" s="139"/>
      <c r="B51" s="27"/>
      <c r="C51" s="10"/>
      <c r="D51" s="31"/>
      <c r="F51" s="152" t="s">
        <v>139</v>
      </c>
      <c r="G51" s="253">
        <f>G49-H29</f>
        <v>0</v>
      </c>
      <c r="H51" s="254"/>
      <c r="I51" s="254"/>
      <c r="J51" s="25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39"/>
      <c r="B52" s="29"/>
      <c r="C52" s="33"/>
      <c r="D52" s="45"/>
      <c r="F52" s="153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4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4" t="s">
        <v>90</v>
      </c>
      <c r="B54" s="125"/>
      <c r="C54" s="126"/>
      <c r="D54" s="130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7"/>
      <c r="B55" s="128"/>
      <c r="C55" s="129"/>
      <c r="D55" s="131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32" t="s">
        <v>91</v>
      </c>
      <c r="B58" s="133"/>
      <c r="C58" s="133"/>
      <c r="D58" s="134"/>
      <c r="F58" s="132" t="s">
        <v>92</v>
      </c>
      <c r="G58" s="133"/>
      <c r="H58" s="133"/>
      <c r="I58" s="133"/>
      <c r="J58" s="134"/>
    </row>
    <row r="59" spans="1:18" x14ac:dyDescent="0.25">
      <c r="A59" s="135"/>
      <c r="B59" s="136"/>
      <c r="C59" s="136"/>
      <c r="D59" s="137"/>
      <c r="F59" s="135"/>
      <c r="G59" s="136"/>
      <c r="H59" s="136"/>
      <c r="I59" s="136"/>
      <c r="J59" s="137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90</vt:i4>
      </vt:variant>
      <vt:variant>
        <vt:lpstr>Named Ranges</vt:lpstr>
      </vt:variant>
      <vt:variant>
        <vt:i4>89</vt:i4>
      </vt:variant>
    </vt:vector>
  </HeadingPairs>
  <TitlesOfParts>
    <vt:vector size="179" baseType="lpstr">
      <vt:lpstr>(January 2025)</vt:lpstr>
      <vt:lpstr>(01)</vt:lpstr>
      <vt:lpstr>01,01 R1</vt:lpstr>
      <vt:lpstr>01,01 R2</vt:lpstr>
      <vt:lpstr>01,01 R3</vt:lpstr>
      <vt:lpstr>(2)</vt:lpstr>
      <vt:lpstr>01,02 R1 NO TRIP</vt:lpstr>
      <vt:lpstr>01,02 R2 NO TRIP</vt:lpstr>
      <vt:lpstr>01,02 R3</vt:lpstr>
      <vt:lpstr>(3)</vt:lpstr>
      <vt:lpstr>01,03 R1</vt:lpstr>
      <vt:lpstr>01,03 R2 NO TRIP</vt:lpstr>
      <vt:lpstr>01,03 R3</vt:lpstr>
      <vt:lpstr>(5)</vt:lpstr>
      <vt:lpstr>01,05 R1</vt:lpstr>
      <vt:lpstr>01,05 R2</vt:lpstr>
      <vt:lpstr>01,05 R3</vt:lpstr>
      <vt:lpstr>(6)</vt:lpstr>
      <vt:lpstr>01,06 R1</vt:lpstr>
      <vt:lpstr>01,06 R2</vt:lpstr>
      <vt:lpstr>01,06 R3</vt:lpstr>
      <vt:lpstr>(7)</vt:lpstr>
      <vt:lpstr>01,07 R1</vt:lpstr>
      <vt:lpstr>01,07 R2</vt:lpstr>
      <vt:lpstr>01,07 R2B</vt:lpstr>
      <vt:lpstr>01,07 R3</vt:lpstr>
      <vt:lpstr>(8)</vt:lpstr>
      <vt:lpstr>01,08 R1</vt:lpstr>
      <vt:lpstr>01,08 R2</vt:lpstr>
      <vt:lpstr>01,08 R3</vt:lpstr>
      <vt:lpstr>(9)</vt:lpstr>
      <vt:lpstr>01,09 R1</vt:lpstr>
      <vt:lpstr>01,09 R2</vt:lpstr>
      <vt:lpstr>01,09 R3</vt:lpstr>
      <vt:lpstr>(10)</vt:lpstr>
      <vt:lpstr>01,10 R1</vt:lpstr>
      <vt:lpstr>01,10 R2</vt:lpstr>
      <vt:lpstr>01,10 R3</vt:lpstr>
      <vt:lpstr>(12)</vt:lpstr>
      <vt:lpstr>01,12 R1</vt:lpstr>
      <vt:lpstr>01,12 R2</vt:lpstr>
      <vt:lpstr>01,12 R3</vt:lpstr>
      <vt:lpstr>(13)</vt:lpstr>
      <vt:lpstr>01,13 R1</vt:lpstr>
      <vt:lpstr>01,13 R2</vt:lpstr>
      <vt:lpstr>01,13 R3</vt:lpstr>
      <vt:lpstr>(14)</vt:lpstr>
      <vt:lpstr>01,14 R1 NO TRIP</vt:lpstr>
      <vt:lpstr>01,14 R2</vt:lpstr>
      <vt:lpstr>01,14 R3</vt:lpstr>
      <vt:lpstr>(15)</vt:lpstr>
      <vt:lpstr>01,15 R1</vt:lpstr>
      <vt:lpstr>01,15 R2</vt:lpstr>
      <vt:lpstr>01,15 R3</vt:lpstr>
      <vt:lpstr>(16)</vt:lpstr>
      <vt:lpstr>01,16 R1</vt:lpstr>
      <vt:lpstr>01,16 R2</vt:lpstr>
      <vt:lpstr>01,16 R3</vt:lpstr>
      <vt:lpstr>(17)</vt:lpstr>
      <vt:lpstr>01,17 R1</vt:lpstr>
      <vt:lpstr>01,17 R2</vt:lpstr>
      <vt:lpstr>01,17 R3</vt:lpstr>
      <vt:lpstr>(19)</vt:lpstr>
      <vt:lpstr>01,19 R1</vt:lpstr>
      <vt:lpstr>01,19 R2</vt:lpstr>
      <vt:lpstr>01,19 R3</vt:lpstr>
      <vt:lpstr>(20)</vt:lpstr>
      <vt:lpstr>01,20 R1</vt:lpstr>
      <vt:lpstr>01,20 R2</vt:lpstr>
      <vt:lpstr>01,20 R3</vt:lpstr>
      <vt:lpstr>(21)</vt:lpstr>
      <vt:lpstr>01,21 R1</vt:lpstr>
      <vt:lpstr>01,21 R2</vt:lpstr>
      <vt:lpstr>01,21 R3</vt:lpstr>
      <vt:lpstr>(22)</vt:lpstr>
      <vt:lpstr>01,22 R1</vt:lpstr>
      <vt:lpstr>01,22 R2</vt:lpstr>
      <vt:lpstr>01,22 R3</vt:lpstr>
      <vt:lpstr>(23)</vt:lpstr>
      <vt:lpstr>01,23 R1</vt:lpstr>
      <vt:lpstr>01,23 R2</vt:lpstr>
      <vt:lpstr>01,23 R3</vt:lpstr>
      <vt:lpstr>(24)</vt:lpstr>
      <vt:lpstr>01,24 R1</vt:lpstr>
      <vt:lpstr>01,24 R2</vt:lpstr>
      <vt:lpstr>01,24 R3</vt:lpstr>
      <vt:lpstr>(26)</vt:lpstr>
      <vt:lpstr>01,26 R1</vt:lpstr>
      <vt:lpstr>01,26 R2</vt:lpstr>
      <vt:lpstr>01,26 R3</vt:lpstr>
      <vt:lpstr>'(01)'!Print_Area</vt:lpstr>
      <vt:lpstr>'(10)'!Print_Area</vt:lpstr>
      <vt:lpstr>'(12)'!Print_Area</vt:lpstr>
      <vt:lpstr>'(13)'!Print_Area</vt:lpstr>
      <vt:lpstr>'(14)'!Print_Area</vt:lpstr>
      <vt:lpstr>'(15)'!Print_Area</vt:lpstr>
      <vt:lpstr>'(16)'!Print_Area</vt:lpstr>
      <vt:lpstr>'(17)'!Print_Area</vt:lpstr>
      <vt:lpstr>'(19)'!Print_Area</vt:lpstr>
      <vt:lpstr>'(2)'!Print_Area</vt:lpstr>
      <vt:lpstr>'(20)'!Print_Area</vt:lpstr>
      <vt:lpstr>'(21)'!Print_Area</vt:lpstr>
      <vt:lpstr>'(22)'!Print_Area</vt:lpstr>
      <vt:lpstr>'(23)'!Print_Area</vt:lpstr>
      <vt:lpstr>'(24)'!Print_Area</vt:lpstr>
      <vt:lpstr>'(26)'!Print_Area</vt:lpstr>
      <vt:lpstr>'(3)'!Print_Area</vt:lpstr>
      <vt:lpstr>'(5)'!Print_Area</vt:lpstr>
      <vt:lpstr>'(6)'!Print_Area</vt:lpstr>
      <vt:lpstr>'(7)'!Print_Area</vt:lpstr>
      <vt:lpstr>'(8)'!Print_Area</vt:lpstr>
      <vt:lpstr>'(9)'!Print_Area</vt:lpstr>
      <vt:lpstr>'01,01 R1'!Print_Area</vt:lpstr>
      <vt:lpstr>'01,01 R2'!Print_Area</vt:lpstr>
      <vt:lpstr>'01,01 R3'!Print_Area</vt:lpstr>
      <vt:lpstr>'01,02 R1 NO TRIP'!Print_Area</vt:lpstr>
      <vt:lpstr>'01,02 R2 NO TRIP'!Print_Area</vt:lpstr>
      <vt:lpstr>'01,02 R3'!Print_Area</vt:lpstr>
      <vt:lpstr>'01,03 R1'!Print_Area</vt:lpstr>
      <vt:lpstr>'01,03 R2 NO TRIP'!Print_Area</vt:lpstr>
      <vt:lpstr>'01,03 R3'!Print_Area</vt:lpstr>
      <vt:lpstr>'01,05 R1'!Print_Area</vt:lpstr>
      <vt:lpstr>'01,05 R2'!Print_Area</vt:lpstr>
      <vt:lpstr>'01,05 R3'!Print_Area</vt:lpstr>
      <vt:lpstr>'01,06 R1'!Print_Area</vt:lpstr>
      <vt:lpstr>'01,06 R2'!Print_Area</vt:lpstr>
      <vt:lpstr>'01,06 R3'!Print_Area</vt:lpstr>
      <vt:lpstr>'01,07 R1'!Print_Area</vt:lpstr>
      <vt:lpstr>'01,07 R2'!Print_Area</vt:lpstr>
      <vt:lpstr>'01,07 R2B'!Print_Area</vt:lpstr>
      <vt:lpstr>'01,07 R3'!Print_Area</vt:lpstr>
      <vt:lpstr>'01,08 R1'!Print_Area</vt:lpstr>
      <vt:lpstr>'01,08 R2'!Print_Area</vt:lpstr>
      <vt:lpstr>'01,08 R3'!Print_Area</vt:lpstr>
      <vt:lpstr>'01,09 R1'!Print_Area</vt:lpstr>
      <vt:lpstr>'01,09 R2'!Print_Area</vt:lpstr>
      <vt:lpstr>'01,09 R3'!Print_Area</vt:lpstr>
      <vt:lpstr>'01,10 R1'!Print_Area</vt:lpstr>
      <vt:lpstr>'01,10 R2'!Print_Area</vt:lpstr>
      <vt:lpstr>'01,10 R3'!Print_Area</vt:lpstr>
      <vt:lpstr>'01,12 R1'!Print_Area</vt:lpstr>
      <vt:lpstr>'01,12 R2'!Print_Area</vt:lpstr>
      <vt:lpstr>'01,12 R3'!Print_Area</vt:lpstr>
      <vt:lpstr>'01,13 R1'!Print_Area</vt:lpstr>
      <vt:lpstr>'01,13 R2'!Print_Area</vt:lpstr>
      <vt:lpstr>'01,13 R3'!Print_Area</vt:lpstr>
      <vt:lpstr>'01,14 R1 NO TRIP'!Print_Area</vt:lpstr>
      <vt:lpstr>'01,14 R2'!Print_Area</vt:lpstr>
      <vt:lpstr>'01,14 R3'!Print_Area</vt:lpstr>
      <vt:lpstr>'01,15 R1'!Print_Area</vt:lpstr>
      <vt:lpstr>'01,15 R2'!Print_Area</vt:lpstr>
      <vt:lpstr>'01,15 R3'!Print_Area</vt:lpstr>
      <vt:lpstr>'01,16 R1'!Print_Area</vt:lpstr>
      <vt:lpstr>'01,16 R2'!Print_Area</vt:lpstr>
      <vt:lpstr>'01,16 R3'!Print_Area</vt:lpstr>
      <vt:lpstr>'01,17 R1'!Print_Area</vt:lpstr>
      <vt:lpstr>'01,17 R2'!Print_Area</vt:lpstr>
      <vt:lpstr>'01,17 R3'!Print_Area</vt:lpstr>
      <vt:lpstr>'01,19 R1'!Print_Area</vt:lpstr>
      <vt:lpstr>'01,19 R2'!Print_Area</vt:lpstr>
      <vt:lpstr>'01,19 R3'!Print_Area</vt:lpstr>
      <vt:lpstr>'01,20 R1'!Print_Area</vt:lpstr>
      <vt:lpstr>'01,20 R2'!Print_Area</vt:lpstr>
      <vt:lpstr>'01,20 R3'!Print_Area</vt:lpstr>
      <vt:lpstr>'01,21 R1'!Print_Area</vt:lpstr>
      <vt:lpstr>'01,21 R2'!Print_Area</vt:lpstr>
      <vt:lpstr>'01,21 R3'!Print_Area</vt:lpstr>
      <vt:lpstr>'01,22 R1'!Print_Area</vt:lpstr>
      <vt:lpstr>'01,22 R2'!Print_Area</vt:lpstr>
      <vt:lpstr>'01,22 R3'!Print_Area</vt:lpstr>
      <vt:lpstr>'01,23 R1'!Print_Area</vt:lpstr>
      <vt:lpstr>'01,23 R2'!Print_Area</vt:lpstr>
      <vt:lpstr>'01,23 R3'!Print_Area</vt:lpstr>
      <vt:lpstr>'01,24 R1'!Print_Area</vt:lpstr>
      <vt:lpstr>'01,24 R2'!Print_Area</vt:lpstr>
      <vt:lpstr>'01,24 R3'!Print_Area</vt:lpstr>
      <vt:lpstr>'01,26 R1'!Print_Area</vt:lpstr>
      <vt:lpstr>'01,26 R2'!Print_Area</vt:lpstr>
      <vt:lpstr>'01,26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2026-01-22T02:32:19Z</cp:lastPrinted>
  <dcterms:created xsi:type="dcterms:W3CDTF">2024-09-01T23:36:50Z</dcterms:created>
  <dcterms:modified xsi:type="dcterms:W3CDTF">2026-01-22T05:10:15Z</dcterms:modified>
</cp:coreProperties>
</file>