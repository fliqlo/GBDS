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ED238BCA-8872-405C-98F0-D618D6FDBE95}" xr6:coauthVersionLast="45" xr6:coauthVersionMax="45" xr10:uidLastSave="{00000000-0000-0000-0000-000000000000}"/>
  <bookViews>
    <workbookView xWindow="-120" yWindow="-120" windowWidth="29040" windowHeight="15840" tabRatio="586" xr2:uid="{1BECB66F-BB2E-4983-8F6C-4EC307945A01}"/>
  </bookViews>
  <sheets>
    <sheet name="MSIS JANUARY" sheetId="1" r:id="rId1"/>
    <sheet name="DSIS | JANUARY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131" i="2" l="1"/>
  <c r="AB130" i="2"/>
  <c r="AB129" i="2"/>
  <c r="AG128" i="2"/>
  <c r="AG165" i="2" s="1"/>
  <c r="AB128" i="2"/>
  <c r="AB127" i="2"/>
  <c r="AE127" i="2" s="1"/>
  <c r="AI127" i="2" s="1"/>
  <c r="AB126" i="2"/>
  <c r="AE126" i="2" s="1"/>
  <c r="AI126" i="2" s="1"/>
  <c r="AB125" i="2"/>
  <c r="AB124" i="2"/>
  <c r="AB123" i="2"/>
  <c r="AB122" i="2"/>
  <c r="AE122" i="2" s="1"/>
  <c r="AI122" i="2" s="1"/>
  <c r="AA123" i="2"/>
  <c r="AE123" i="2"/>
  <c r="AI123" i="2" s="1"/>
  <c r="AA124" i="2"/>
  <c r="AE124" i="2"/>
  <c r="AI124" i="2" s="1"/>
  <c r="AE125" i="2"/>
  <c r="AI125" i="2" s="1"/>
  <c r="AA126" i="2"/>
  <c r="AA127" i="2" s="1"/>
  <c r="AA128" i="2" s="1"/>
  <c r="AA129" i="2" s="1"/>
  <c r="AA130" i="2" s="1"/>
  <c r="AA131" i="2" s="1"/>
  <c r="AE128" i="2"/>
  <c r="AE129" i="2"/>
  <c r="AI129" i="2" s="1"/>
  <c r="AE130" i="2"/>
  <c r="AI130" i="2" s="1"/>
  <c r="AE131" i="2"/>
  <c r="AI131" i="2" s="1"/>
  <c r="AE132" i="2"/>
  <c r="AI132" i="2" s="1"/>
  <c r="AE133" i="2"/>
  <c r="AI133" i="2"/>
  <c r="AE134" i="2"/>
  <c r="AI134" i="2"/>
  <c r="AE135" i="2"/>
  <c r="AI135" i="2"/>
  <c r="AE136" i="2"/>
  <c r="AI136" i="2" s="1"/>
  <c r="AE137" i="2"/>
  <c r="AI137" i="2"/>
  <c r="AE138" i="2"/>
  <c r="AI138" i="2" s="1"/>
  <c r="AE139" i="2"/>
  <c r="AI139" i="2"/>
  <c r="AE140" i="2"/>
  <c r="AI140" i="2" s="1"/>
  <c r="AE141" i="2"/>
  <c r="AI141" i="2"/>
  <c r="AE142" i="2"/>
  <c r="AI142" i="2"/>
  <c r="AE143" i="2"/>
  <c r="AI143" i="2"/>
  <c r="AE144" i="2"/>
  <c r="AI144" i="2" s="1"/>
  <c r="AE145" i="2"/>
  <c r="AI145" i="2"/>
  <c r="AE146" i="2"/>
  <c r="AI146" i="2" s="1"/>
  <c r="AE147" i="2"/>
  <c r="AI147" i="2"/>
  <c r="AE148" i="2"/>
  <c r="AI148" i="2" s="1"/>
  <c r="AE149" i="2"/>
  <c r="AI149" i="2"/>
  <c r="AE150" i="2"/>
  <c r="AI150" i="2" s="1"/>
  <c r="AE151" i="2"/>
  <c r="AI151" i="2"/>
  <c r="AE152" i="2"/>
  <c r="AI152" i="2" s="1"/>
  <c r="AE153" i="2"/>
  <c r="AI153" i="2"/>
  <c r="AE154" i="2"/>
  <c r="AI154" i="2" s="1"/>
  <c r="AE155" i="2"/>
  <c r="AI155" i="2"/>
  <c r="AE156" i="2"/>
  <c r="AI156" i="2" s="1"/>
  <c r="AE157" i="2"/>
  <c r="AI157" i="2"/>
  <c r="AE158" i="2"/>
  <c r="AI158" i="2"/>
  <c r="AE159" i="2"/>
  <c r="AI159" i="2"/>
  <c r="AE160" i="2"/>
  <c r="AI160" i="2" s="1"/>
  <c r="AI161" i="2"/>
  <c r="AE162" i="2"/>
  <c r="AI162" i="2" s="1"/>
  <c r="AI163" i="2"/>
  <c r="AC165" i="2"/>
  <c r="AD165" i="2"/>
  <c r="AH165" i="2"/>
  <c r="P127" i="2"/>
  <c r="S127" i="2" s="1"/>
  <c r="W127" i="2" s="1"/>
  <c r="P126" i="2"/>
  <c r="S126" i="2" s="1"/>
  <c r="W126" i="2" s="1"/>
  <c r="Q125" i="2"/>
  <c r="Q165" i="2" s="1"/>
  <c r="P125" i="2"/>
  <c r="P124" i="2"/>
  <c r="S124" i="2" s="1"/>
  <c r="W124" i="2" s="1"/>
  <c r="P123" i="2"/>
  <c r="P122" i="2"/>
  <c r="S122" i="2" s="1"/>
  <c r="W122" i="2" s="1"/>
  <c r="V165" i="2"/>
  <c r="U165" i="2"/>
  <c r="R165" i="2"/>
  <c r="W163" i="2"/>
  <c r="S162" i="2"/>
  <c r="W162" i="2" s="1"/>
  <c r="W161" i="2"/>
  <c r="S160" i="2"/>
  <c r="W160" i="2" s="1"/>
  <c r="S159" i="2"/>
  <c r="W159" i="2" s="1"/>
  <c r="W158" i="2"/>
  <c r="S158" i="2"/>
  <c r="S157" i="2"/>
  <c r="W157" i="2" s="1"/>
  <c r="W156" i="2"/>
  <c r="S156" i="2"/>
  <c r="W155" i="2"/>
  <c r="S155" i="2"/>
  <c r="S154" i="2"/>
  <c r="W154" i="2" s="1"/>
  <c r="S153" i="2"/>
  <c r="W153" i="2" s="1"/>
  <c r="S152" i="2"/>
  <c r="W152" i="2" s="1"/>
  <c r="S151" i="2"/>
  <c r="W151" i="2" s="1"/>
  <c r="W150" i="2"/>
  <c r="S150" i="2"/>
  <c r="S149" i="2"/>
  <c r="W149" i="2" s="1"/>
  <c r="W148" i="2"/>
  <c r="S148" i="2"/>
  <c r="W147" i="2"/>
  <c r="S147" i="2"/>
  <c r="S146" i="2"/>
  <c r="W146" i="2" s="1"/>
  <c r="S145" i="2"/>
  <c r="W145" i="2" s="1"/>
  <c r="S144" i="2"/>
  <c r="W144" i="2" s="1"/>
  <c r="S143" i="2"/>
  <c r="W143" i="2" s="1"/>
  <c r="W142" i="2"/>
  <c r="S142" i="2"/>
  <c r="S141" i="2"/>
  <c r="W141" i="2" s="1"/>
  <c r="W140" i="2"/>
  <c r="S140" i="2"/>
  <c r="W139" i="2"/>
  <c r="S139" i="2"/>
  <c r="S138" i="2"/>
  <c r="W138" i="2" s="1"/>
  <c r="S137" i="2"/>
  <c r="W137" i="2" s="1"/>
  <c r="S136" i="2"/>
  <c r="W136" i="2" s="1"/>
  <c r="S135" i="2"/>
  <c r="W135" i="2" s="1"/>
  <c r="W134" i="2"/>
  <c r="S134" i="2"/>
  <c r="S133" i="2"/>
  <c r="W133" i="2" s="1"/>
  <c r="W132" i="2"/>
  <c r="S132" i="2"/>
  <c r="S131" i="2"/>
  <c r="W131" i="2" s="1"/>
  <c r="S130" i="2"/>
  <c r="W130" i="2" s="1"/>
  <c r="S129" i="2"/>
  <c r="W129" i="2" s="1"/>
  <c r="S128" i="2"/>
  <c r="W128" i="2" s="1"/>
  <c r="S123" i="2"/>
  <c r="O123" i="2"/>
  <c r="O124" i="2" s="1"/>
  <c r="O125" i="2" s="1"/>
  <c r="O126" i="2" s="1"/>
  <c r="O127" i="2" s="1"/>
  <c r="D126" i="2"/>
  <c r="D125" i="2"/>
  <c r="D124" i="2"/>
  <c r="G124" i="2" s="1"/>
  <c r="K124" i="2" s="1"/>
  <c r="C123" i="2"/>
  <c r="C124" i="2" s="1"/>
  <c r="C125" i="2" s="1"/>
  <c r="C126" i="2" s="1"/>
  <c r="I123" i="2"/>
  <c r="D123" i="2"/>
  <c r="G123" i="2" s="1"/>
  <c r="K123" i="2" s="1"/>
  <c r="J122" i="2"/>
  <c r="J165" i="2"/>
  <c r="D122" i="2"/>
  <c r="G122" i="2"/>
  <c r="K122" i="2" s="1"/>
  <c r="G125" i="2"/>
  <c r="K125" i="2" s="1"/>
  <c r="I165" i="2"/>
  <c r="G126" i="2"/>
  <c r="K126" i="2" s="1"/>
  <c r="G127" i="2"/>
  <c r="K127" i="2" s="1"/>
  <c r="G128" i="2"/>
  <c r="K128" i="2"/>
  <c r="G129" i="2"/>
  <c r="K129" i="2" s="1"/>
  <c r="G130" i="2"/>
  <c r="K130" i="2" s="1"/>
  <c r="G131" i="2"/>
  <c r="K131" i="2" s="1"/>
  <c r="G132" i="2"/>
  <c r="K132" i="2"/>
  <c r="G133" i="2"/>
  <c r="K133" i="2"/>
  <c r="G134" i="2"/>
  <c r="K134" i="2"/>
  <c r="G135" i="2"/>
  <c r="K135" i="2" s="1"/>
  <c r="G136" i="2"/>
  <c r="K136" i="2" s="1"/>
  <c r="G137" i="2"/>
  <c r="K137" i="2" s="1"/>
  <c r="G138" i="2"/>
  <c r="K138" i="2"/>
  <c r="G139" i="2"/>
  <c r="K139" i="2"/>
  <c r="G140" i="2"/>
  <c r="K140" i="2"/>
  <c r="G141" i="2"/>
  <c r="K141" i="2"/>
  <c r="G142" i="2"/>
  <c r="K142" i="2"/>
  <c r="G143" i="2"/>
  <c r="K143" i="2" s="1"/>
  <c r="G144" i="2"/>
  <c r="K144" i="2" s="1"/>
  <c r="G145" i="2"/>
  <c r="K145" i="2" s="1"/>
  <c r="G146" i="2"/>
  <c r="K146" i="2"/>
  <c r="G147" i="2"/>
  <c r="K147" i="2"/>
  <c r="G148" i="2"/>
  <c r="K148" i="2"/>
  <c r="G149" i="2"/>
  <c r="K149" i="2"/>
  <c r="G150" i="2"/>
  <c r="K150" i="2"/>
  <c r="G151" i="2"/>
  <c r="K151" i="2" s="1"/>
  <c r="G152" i="2"/>
  <c r="K152" i="2" s="1"/>
  <c r="G153" i="2"/>
  <c r="K153" i="2" s="1"/>
  <c r="G154" i="2"/>
  <c r="K154" i="2"/>
  <c r="G155" i="2"/>
  <c r="K155" i="2"/>
  <c r="G162" i="2"/>
  <c r="K162" i="2"/>
  <c r="E165" i="2"/>
  <c r="F165" i="2"/>
  <c r="AI128" i="2" l="1"/>
  <c r="AB165" i="2"/>
  <c r="AE165" i="2"/>
  <c r="AI165" i="2"/>
  <c r="S125" i="2"/>
  <c r="W125" i="2" s="1"/>
  <c r="P165" i="2"/>
  <c r="W123" i="2"/>
  <c r="D165" i="2"/>
  <c r="K165" i="2"/>
  <c r="G165" i="2"/>
  <c r="AB76" i="2"/>
  <c r="AB75" i="2"/>
  <c r="AE75" i="2" s="1"/>
  <c r="AI75" i="2" s="1"/>
  <c r="AB74" i="2"/>
  <c r="AE74" i="2" s="1"/>
  <c r="AI74" i="2" s="1"/>
  <c r="AB73" i="2"/>
  <c r="AE73" i="2"/>
  <c r="AI73" i="2" s="1"/>
  <c r="AB72" i="2"/>
  <c r="AE72" i="2" s="1"/>
  <c r="AI72" i="2" s="1"/>
  <c r="AB71" i="2"/>
  <c r="AE71" i="2"/>
  <c r="AI71" i="2" s="1"/>
  <c r="AB70" i="2"/>
  <c r="AB69" i="2"/>
  <c r="AB68" i="2"/>
  <c r="AB67" i="2"/>
  <c r="AA68" i="2"/>
  <c r="AA69" i="2" s="1"/>
  <c r="AA70" i="2" s="1"/>
  <c r="AA71" i="2" s="1"/>
  <c r="AA72" i="2" s="1"/>
  <c r="AA73" i="2" s="1"/>
  <c r="AA74" i="2" s="1"/>
  <c r="AA75" i="2" s="1"/>
  <c r="AA76" i="2" s="1"/>
  <c r="AE67" i="2"/>
  <c r="AI67" i="2"/>
  <c r="AE68" i="2"/>
  <c r="AI68" i="2" s="1"/>
  <c r="AE69" i="2"/>
  <c r="AI69" i="2" s="1"/>
  <c r="AE70" i="2"/>
  <c r="AI70" i="2"/>
  <c r="AE76" i="2"/>
  <c r="AI76" i="2"/>
  <c r="AE77" i="2"/>
  <c r="AI77" i="2" s="1"/>
  <c r="AE78" i="2"/>
  <c r="AI78" i="2"/>
  <c r="AE79" i="2"/>
  <c r="AI79" i="2"/>
  <c r="AE80" i="2"/>
  <c r="AI80" i="2"/>
  <c r="AE81" i="2"/>
  <c r="AI81" i="2"/>
  <c r="AE82" i="2"/>
  <c r="AI82" i="2"/>
  <c r="AE83" i="2"/>
  <c r="AI83" i="2"/>
  <c r="AE84" i="2"/>
  <c r="AI84" i="2" s="1"/>
  <c r="AE85" i="2"/>
  <c r="AI85" i="2" s="1"/>
  <c r="AE86" i="2"/>
  <c r="AI86" i="2"/>
  <c r="AE87" i="2"/>
  <c r="AI87" i="2"/>
  <c r="AE88" i="2"/>
  <c r="AI88" i="2"/>
  <c r="AE89" i="2"/>
  <c r="AI89" i="2"/>
  <c r="AE90" i="2"/>
  <c r="AI90" i="2"/>
  <c r="AE91" i="2"/>
  <c r="AI91" i="2"/>
  <c r="AE92" i="2"/>
  <c r="AI92" i="2"/>
  <c r="AE93" i="2"/>
  <c r="AI93" i="2" s="1"/>
  <c r="AE94" i="2"/>
  <c r="AI94" i="2"/>
  <c r="AE95" i="2"/>
  <c r="AI95" i="2"/>
  <c r="AE96" i="2"/>
  <c r="AI96" i="2"/>
  <c r="AE97" i="2"/>
  <c r="AI97" i="2"/>
  <c r="AE98" i="2"/>
  <c r="AI98" i="2"/>
  <c r="AE99" i="2"/>
  <c r="AI99" i="2" s="1"/>
  <c r="AE100" i="2"/>
  <c r="AI100" i="2"/>
  <c r="AE101" i="2"/>
  <c r="AI101" i="2"/>
  <c r="AE102" i="2"/>
  <c r="AI102" i="2"/>
  <c r="AE103" i="2"/>
  <c r="AI103" i="2"/>
  <c r="AE104" i="2"/>
  <c r="AI104" i="2"/>
  <c r="AE105" i="2"/>
  <c r="AI105" i="2"/>
  <c r="AI106" i="2"/>
  <c r="AE107" i="2"/>
  <c r="AI107" i="2"/>
  <c r="AI108" i="2"/>
  <c r="AC110" i="2"/>
  <c r="AD110" i="2"/>
  <c r="AG110" i="2"/>
  <c r="AH110" i="2"/>
  <c r="I77" i="2"/>
  <c r="K77" i="2" s="1"/>
  <c r="D77" i="2"/>
  <c r="D76" i="2"/>
  <c r="G76" i="2" s="1"/>
  <c r="K76" i="2" s="1"/>
  <c r="D75" i="2"/>
  <c r="D74" i="2"/>
  <c r="G74" i="2" s="1"/>
  <c r="K74" i="2" s="1"/>
  <c r="C77" i="2"/>
  <c r="D73" i="2"/>
  <c r="G73" i="2" s="1"/>
  <c r="K73" i="2" s="1"/>
  <c r="I72" i="2"/>
  <c r="D72" i="2"/>
  <c r="G72" i="2" s="1"/>
  <c r="I71" i="2"/>
  <c r="D71" i="2"/>
  <c r="G71" i="2" s="1"/>
  <c r="K71" i="2" s="1"/>
  <c r="I70" i="2"/>
  <c r="D70" i="2"/>
  <c r="G70" i="2" s="1"/>
  <c r="K70" i="2" s="1"/>
  <c r="D69" i="2"/>
  <c r="J68" i="2"/>
  <c r="D68" i="2"/>
  <c r="D67" i="2"/>
  <c r="G67" i="2"/>
  <c r="K67" i="2" s="1"/>
  <c r="C69" i="2"/>
  <c r="C70" i="2" s="1"/>
  <c r="C71" i="2" s="1"/>
  <c r="C72" i="2" s="1"/>
  <c r="C73" i="2" s="1"/>
  <c r="C74" i="2" s="1"/>
  <c r="C75" i="2" s="1"/>
  <c r="G69" i="2"/>
  <c r="K69" i="2"/>
  <c r="G75" i="2"/>
  <c r="K75" i="2" s="1"/>
  <c r="G77" i="2"/>
  <c r="G78" i="2"/>
  <c r="K78" i="2" s="1"/>
  <c r="G79" i="2"/>
  <c r="K79" i="2"/>
  <c r="G80" i="2"/>
  <c r="K80" i="2"/>
  <c r="G81" i="2"/>
  <c r="K81" i="2"/>
  <c r="G82" i="2"/>
  <c r="K82" i="2" s="1"/>
  <c r="G83" i="2"/>
  <c r="K83" i="2"/>
  <c r="G84" i="2"/>
  <c r="K84" i="2"/>
  <c r="G85" i="2"/>
  <c r="K85" i="2"/>
  <c r="G86" i="2"/>
  <c r="K86" i="2"/>
  <c r="G87" i="2"/>
  <c r="K87" i="2"/>
  <c r="G88" i="2"/>
  <c r="K88" i="2"/>
  <c r="G89" i="2"/>
  <c r="K89" i="2"/>
  <c r="G90" i="2"/>
  <c r="K90" i="2" s="1"/>
  <c r="G91" i="2"/>
  <c r="K91" i="2"/>
  <c r="G92" i="2"/>
  <c r="K92" i="2"/>
  <c r="G93" i="2"/>
  <c r="K93" i="2"/>
  <c r="G94" i="2"/>
  <c r="K94" i="2"/>
  <c r="G95" i="2"/>
  <c r="K95" i="2"/>
  <c r="G96" i="2"/>
  <c r="K96" i="2"/>
  <c r="G97" i="2"/>
  <c r="K97" i="2"/>
  <c r="G98" i="2"/>
  <c r="K98" i="2" s="1"/>
  <c r="G99" i="2"/>
  <c r="K99" i="2"/>
  <c r="G100" i="2"/>
  <c r="K100" i="2"/>
  <c r="G107" i="2"/>
  <c r="K107" i="2"/>
  <c r="E110" i="2"/>
  <c r="F110" i="2"/>
  <c r="J110" i="2"/>
  <c r="W165" i="2" l="1"/>
  <c r="S165" i="2"/>
  <c r="AB110" i="2"/>
  <c r="AE110" i="2"/>
  <c r="AI110" i="2"/>
  <c r="I110" i="2"/>
  <c r="K72" i="2"/>
  <c r="D110" i="2"/>
  <c r="G68" i="2"/>
  <c r="K68" i="2" s="1"/>
  <c r="D19" i="2"/>
  <c r="D18" i="2"/>
  <c r="J17" i="2"/>
  <c r="D17" i="2"/>
  <c r="D16" i="2"/>
  <c r="D15" i="2"/>
  <c r="D14" i="2"/>
  <c r="I13" i="2"/>
  <c r="D13" i="2"/>
  <c r="D12" i="2"/>
  <c r="C14" i="2"/>
  <c r="C15" i="2" s="1"/>
  <c r="C16" i="2" s="1"/>
  <c r="C17" i="2" s="1"/>
  <c r="C18" i="2" s="1"/>
  <c r="C19" i="2" s="1"/>
  <c r="C13" i="2"/>
  <c r="K110" i="2" l="1"/>
  <c r="G110" i="2"/>
  <c r="J38" i="1"/>
  <c r="J39" i="1"/>
  <c r="J40" i="1"/>
  <c r="J30" i="1"/>
  <c r="D30" i="1" s="1"/>
  <c r="J31" i="1"/>
  <c r="J32" i="1"/>
  <c r="D32" i="1" s="1"/>
  <c r="J22" i="1"/>
  <c r="J23" i="1"/>
  <c r="D23" i="1" s="1"/>
  <c r="J24" i="1"/>
  <c r="J25" i="1"/>
  <c r="J15" i="1"/>
  <c r="J16" i="1"/>
  <c r="J17" i="1"/>
  <c r="D17" i="1" s="1"/>
  <c r="J18" i="1"/>
  <c r="D18" i="1" s="1"/>
  <c r="D36" i="1"/>
  <c r="D37" i="1"/>
  <c r="D38" i="1"/>
  <c r="D39" i="1"/>
  <c r="D31" i="1"/>
  <c r="D24" i="1"/>
  <c r="D25" i="1"/>
  <c r="D15" i="1"/>
  <c r="D16" i="1"/>
  <c r="D19" i="1"/>
  <c r="D40" i="1" l="1"/>
  <c r="A40" i="1"/>
  <c r="O13" i="2"/>
  <c r="O14" i="2" s="1"/>
  <c r="O15" i="2" s="1"/>
  <c r="O16" i="2" s="1"/>
  <c r="O17" i="2" s="1"/>
  <c r="O18" i="2" s="1"/>
  <c r="O19" i="2" s="1"/>
  <c r="O20" i="2" s="1"/>
  <c r="O21" i="2" s="1"/>
  <c r="J33" i="1"/>
  <c r="D33" i="1" s="1"/>
  <c r="J35" i="1"/>
  <c r="D35" i="1" s="1"/>
  <c r="J36" i="1"/>
  <c r="J37" i="1"/>
  <c r="J26" i="1"/>
  <c r="D26" i="1" s="1"/>
  <c r="J28" i="1"/>
  <c r="D28" i="1" s="1"/>
  <c r="J29" i="1"/>
  <c r="J19" i="1"/>
  <c r="J21" i="1"/>
  <c r="D21" i="1" s="1"/>
  <c r="D22" i="1"/>
  <c r="J14" i="1"/>
  <c r="D14" i="1" s="1"/>
  <c r="J12" i="1"/>
  <c r="D12" i="1" s="1"/>
  <c r="J11" i="1"/>
  <c r="D11" i="1" s="1"/>
  <c r="D29" i="1" l="1"/>
  <c r="J10" i="1" l="1"/>
  <c r="D42" i="1" s="1"/>
  <c r="AA14" i="2" l="1"/>
  <c r="AA15" i="2" s="1"/>
  <c r="AA16" i="2" s="1"/>
  <c r="AA17" i="2" s="1"/>
  <c r="AA18" i="2" s="1"/>
  <c r="AA19" i="2" s="1"/>
  <c r="AA20" i="2" s="1"/>
  <c r="AA21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E78253FE-3B24-40C9-973F-C4393A1B4E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CFO
</t>
        </r>
      </text>
    </comment>
    <comment ref="C13" authorId="0" shapeId="0" xr:uid="{799598B4-7AF2-4509-AC12-BBE8127A07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ABRAHAM MAHINAY
DISUD, SINDANGAN</t>
        </r>
      </text>
    </comment>
    <comment ref="C14" authorId="0" shapeId="0" xr:uid="{0A7B2414-546C-4BE6-976F-80BC9214C7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TAGULOB, VILMA
POB, SALUG</t>
        </r>
      </text>
    </comment>
    <comment ref="C15" authorId="0" shapeId="0" xr:uid="{144A6D7C-9967-4DAF-A15D-245BCB7022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MAÑOSA ZENAIDA
POB, SALUG</t>
        </r>
      </text>
    </comment>
    <comment ref="C16" authorId="0" shapeId="0" xr:uid="{7641DDDC-2CB9-4F41-87E5-B921E62A89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 SALUG</t>
        </r>
      </text>
    </comment>
    <comment ref="C17" authorId="0" shapeId="0" xr:uid="{C79ACE3E-EA17-4A99-931F-9CD703AC45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HENSON, ELIZABETH
BACONG, SALUG</t>
        </r>
      </text>
    </comment>
    <comment ref="C18" authorId="0" shapeId="0" xr:uid="{93364A50-13BA-4CE4-B5C3-18C3EE04CC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C19" authorId="0" shapeId="0" xr:uid="{849A5BA1-0095-410A-BE25-76ADAAE54C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ROBERTO CHIONG</t>
        </r>
      </text>
    </comment>
    <comment ref="C67" authorId="0" shapeId="0" xr:uid="{831425DB-A424-4ACA-A4E9-59CEE34E11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ROMEO OMAO
POB, SIAYAN</t>
        </r>
      </text>
    </comment>
    <comment ref="AA67" authorId="0" shapeId="0" xr:uid="{C6532438-6E2A-4BA9-9B7D-CEB9222429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JOHN ANDAPO</t>
        </r>
      </text>
    </comment>
    <comment ref="C68" authorId="0" shapeId="0" xr:uid="{CB52DFE9-BF1D-4BF0-B814-34F24CD29B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SIAYAN</t>
        </r>
      </text>
    </comment>
    <comment ref="AA68" authorId="0" shapeId="0" xr:uid="{1E7FA03A-9E60-4974-8729-5AC0876A96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C69" authorId="0" shapeId="0" xr:uid="{D1510EF7-E7D1-4F68-BA94-9AE7A9910E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AA69" authorId="0" shapeId="0" xr:uid="{DD00712A-ADCB-46E7-B8C1-EAA166AB17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ANALIZA HAJAN
BAYBAY, LILOY</t>
        </r>
      </text>
    </comment>
    <comment ref="C70" authorId="0" shapeId="0" xr:uid="{DD7B166E-6241-4A1A-8887-BC07DEAF26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70" authorId="0" shapeId="0" xr:uid="{E9680EBD-BE09-4476-A984-B3E2F87809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TRUCIO
BAYBAY, LILOY</t>
        </r>
      </text>
    </comment>
    <comment ref="C71" authorId="0" shapeId="0" xr:uid="{80BAAF11-B5E4-4FAA-BF79-ED7B1E09C4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FERLINDA CATIG
DENOYAN, SIAYAN</t>
        </r>
      </text>
    </comment>
    <comment ref="AA71" authorId="0" shapeId="0" xr:uid="{69775B11-E427-45C1-81FA-8726399F6C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MICHELLE GENITA
BAYBAY, LILOY</t>
        </r>
      </text>
    </comment>
    <comment ref="C72" authorId="0" shapeId="0" xr:uid="{A2371677-BA73-405E-9030-A2EE4FC8AD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AIZA ILAGAN
DENOYAN, SIAYAN</t>
        </r>
      </text>
    </comment>
    <comment ref="AA72" authorId="0" shapeId="0" xr:uid="{A86A19B9-832B-46FE-932F-A40771CF29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73" authorId="0" shapeId="0" xr:uid="{7168DBDE-D3BD-4380-AA6F-99B68C70A9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GLEN ARIPAL</t>
        </r>
      </text>
    </comment>
    <comment ref="AA73" authorId="0" shapeId="0" xr:uid="{091F293A-C0B9-469A-BF11-0D47454A9C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74" authorId="0" shapeId="0" xr:uid="{549FBCA3-65A1-4EBE-91AB-CD4867BE7E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AA74" authorId="0" shapeId="0" xr:uid="{7AEE364B-5850-4F58-8D1F-785B0CB340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BAYBAY, LILOY</t>
        </r>
      </text>
    </comment>
    <comment ref="C75" authorId="0" shapeId="0" xr:uid="{9B7F1267-6342-45CD-B3D2-6FAEB27534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VINA MEJORADA
PIAO, SINDANGAN</t>
        </r>
      </text>
    </comment>
    <comment ref="AA75" authorId="0" shapeId="0" xr:uid="{88F2DE1B-4EB5-422D-B4FF-7E0E841AD6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76" authorId="0" shapeId="0" xr:uid="{719DD5F7-F7B0-4208-BD23-6BA4FC2F54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BUGANOTAN STORE
INUMAN, SINDANGAN</t>
        </r>
      </text>
    </comment>
    <comment ref="AA76" authorId="0" shapeId="0" xr:uid="{5C7E79C3-181A-4DC3-9138-AB64BC0A98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JOHN PASAMANTE
GOLEO, SINDANGAN</t>
        </r>
      </text>
    </comment>
    <comment ref="C77" authorId="0" shapeId="0" xr:uid="{6956EA22-1510-4A42-944F-206744B1C0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GREG SAGAPSAPAN
TINAPLAN, SINDANGAN</t>
        </r>
      </text>
    </comment>
    <comment ref="D122" authorId="0" shapeId="0" xr:uid="{18DB7D9F-E5CB-414A-B158-2047D26FF5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EDNA TAMPUS
POB, SINDANGAN</t>
        </r>
      </text>
    </comment>
    <comment ref="O122" authorId="0" shapeId="0" xr:uid="{A6C739AB-98C9-4FCA-9135-C99090986B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ANGCLO
DATU TANGKILAN, SINDANGAN</t>
        </r>
      </text>
    </comment>
    <comment ref="AA122" authorId="0" shapeId="0" xr:uid="{2BD71D9F-8CA2-490B-AB87-57EADFE970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</t>
        </r>
      </text>
    </comment>
    <comment ref="D123" authorId="0" shapeId="0" xr:uid="{AAF00163-A9C9-4AEB-9988-52BAEA7090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O123" authorId="0" shapeId="0" xr:uid="{A5F3C37C-93DB-4B97-AD8A-792E491EBA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JERSON
TALINGA, SINDANGAN</t>
        </r>
      </text>
    </comment>
    <comment ref="AA123" authorId="0" shapeId="0" xr:uid="{0230ACC4-8C82-44B2-A8E1-1B092CF88D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TAGULOB, VILMA
POB, SALUG</t>
        </r>
      </text>
    </comment>
    <comment ref="D124" authorId="0" shapeId="0" xr:uid="{7335945C-640B-4609-ACBB-4C4E94AD50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O124" authorId="0" shapeId="0" xr:uid="{7294077C-6600-4138-843B-7B6F3B7A13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AILEEN
GOLEO, SINDANGAN</t>
        </r>
      </text>
    </comment>
    <comment ref="AA124" authorId="0" shapeId="0" xr:uid="{0E67C7A1-21B0-4F04-BAA8-52E3B27770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JURLAN GOMORA
LAGAG, SINDANGAN</t>
        </r>
      </text>
    </comment>
    <comment ref="D125" authorId="0" shapeId="0" xr:uid="{59C1AE4C-BE95-42C0-B552-89176345D7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CHONA STORE
POB, SINDANGAN</t>
        </r>
      </text>
    </comment>
    <comment ref="O125" authorId="0" shapeId="0" xr:uid="{73402CEA-839F-4B08-8712-4CEE1F1639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
POB, BACUNGAN</t>
        </r>
      </text>
    </comment>
    <comment ref="AA125" authorId="0" shapeId="0" xr:uid="{76A2F2AF-8CDD-4EC1-8162-C4C9505E95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D126" authorId="0" shapeId="0" xr:uid="{ABA6857E-7B4F-47BC-94A0-37EEAA01B7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MAVY'S VARIETY STORE
DAPAON, SINDANGAN</t>
        </r>
      </text>
    </comment>
    <comment ref="O126" authorId="0" shapeId="0" xr:uid="{BE34E09D-FB89-4E12-94E0-0A735635CB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126" authorId="0" shapeId="0" xr:uid="{43F60E8B-058F-4E76-A3FF-4191BF5AD70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AMIT, ANALYN
BACONG, SALUG</t>
        </r>
      </text>
    </comment>
    <comment ref="O127" authorId="0" shapeId="0" xr:uid="{3DC26940-1592-490B-A40A-8084CD2009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
POB, BACUNGAN</t>
        </r>
      </text>
    </comment>
    <comment ref="AA127" authorId="0" shapeId="0" xr:uid="{B39854B1-15B5-4461-BC85-44BD2B89A4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SLPA 2
RAZIEL VUGAS
BACONG, SALUG</t>
        </r>
      </text>
    </comment>
    <comment ref="AA128" authorId="0" shapeId="0" xr:uid="{108ED6BF-BC0A-4004-B780-28FFB48267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MARVIN SULO
BACONG, SALUG</t>
        </r>
      </text>
    </comment>
    <comment ref="AA129" authorId="0" shapeId="0" xr:uid="{C67484DE-80E7-4110-9ED4-264B33D2B8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</t>
        </r>
      </text>
    </comment>
    <comment ref="AA130" authorId="0" shapeId="0" xr:uid="{4CCAFB6B-9384-4722-A785-D09A50EEA9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COMENDADOR
POB, SALUG</t>
        </r>
      </text>
    </comment>
    <comment ref="AA131" authorId="0" shapeId="0" xr:uid="{314774D9-4D30-4B22-8E76-A83E4DFFB6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</commentList>
</comments>
</file>

<file path=xl/sharedStrings.xml><?xml version="1.0" encoding="utf-8"?>
<sst xmlns="http://schemas.openxmlformats.org/spreadsheetml/2006/main" count="216" uniqueCount="49">
  <si>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</si>
  <si>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</si>
  <si>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</si>
  <si>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</si>
  <si>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</si>
  <si>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</si>
  <si>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</si>
  <si>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</si>
  <si>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</si>
  <si>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</si>
  <si>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</si>
  <si>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</si>
  <si>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</si>
  <si>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</si>
  <si>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</si>
  <si>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</si>
  <si>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</si>
  <si>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</si>
  <si>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</si>
  <si>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</si>
  <si>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</si>
  <si>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</si>
  <si>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</si>
  <si>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</si>
  <si>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</si>
  <si>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</si>
  <si>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</si>
  <si>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</si>
  <si>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</si>
  <si>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</si>
  <si>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</si>
  <si>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</si>
  <si>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</si>
  <si>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</si>
  <si>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R3A</t>
  </si>
  <si>
    <t>R3B</t>
  </si>
  <si>
    <t>GICA, GRACE B.</t>
  </si>
  <si>
    <t>JANUARY 2026</t>
  </si>
  <si>
    <t>JANUARY 02, 2026</t>
  </si>
  <si>
    <t>NO TRIP</t>
  </si>
  <si>
    <t>FRIDAY</t>
  </si>
  <si>
    <t>SATURDAY</t>
  </si>
  <si>
    <t>JANUARY 03, 2026</t>
  </si>
  <si>
    <t>8226-8233</t>
  </si>
  <si>
    <t>8100,8151-8152,8306-8313/8234-8243</t>
  </si>
  <si>
    <t>MONDAY</t>
  </si>
  <si>
    <t>JANUARY 05, 2026</t>
  </si>
  <si>
    <t>LOPEZ, GINA</t>
  </si>
  <si>
    <t>8314-8318/8153-8158/7795-7797,8244-8250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</si>
</sst>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10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abSelected="1" zoomScaleNormal="100" workbookViewId="0">
      <selection activeCell="H14" sqref="H14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99" t="s">
        <v>37</v>
      </c>
      <c r="B6" s="99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34</v>
      </c>
      <c r="I8" s="52" t="s">
        <v>35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1" t="s">
        <v>30</v>
      </c>
      <c r="C10" s="44" t="s">
        <v>39</v>
      </c>
      <c r="D10" s="55" t="s">
        <v>39</v>
      </c>
      <c r="F10" s="14"/>
      <c r="G10" s="14"/>
      <c r="H10" s="14"/>
      <c r="I10" s="14"/>
      <c r="J10" s="17">
        <f t="shared" ref="J10:J40" si="0">F10+G10+H10</f>
        <v>0</v>
      </c>
    </row>
    <row r="11" spans="1:10" x14ac:dyDescent="0.25">
      <c r="A11" s="10">
        <f>A10+1</f>
        <v>2</v>
      </c>
      <c r="B11" s="43" t="s">
        <v>4</v>
      </c>
      <c r="C11" s="12" t="s">
        <v>43</v>
      </c>
      <c r="D11" s="16">
        <f t="shared" ref="D11:D25" si="1">J11</f>
        <v>373017</v>
      </c>
      <c r="F11" s="14">
        <v>373017</v>
      </c>
      <c r="G11" s="14"/>
      <c r="H11" s="14"/>
      <c r="I11" s="14"/>
      <c r="J11" s="17">
        <f t="shared" si="0"/>
        <v>373017</v>
      </c>
    </row>
    <row r="12" spans="1:10" x14ac:dyDescent="0.25">
      <c r="A12" s="10">
        <f t="shared" ref="A12:A40" si="2">A11+1</f>
        <v>3</v>
      </c>
      <c r="B12" s="56" t="s">
        <v>5</v>
      </c>
      <c r="C12" s="12" t="s">
        <v>44</v>
      </c>
      <c r="D12" s="16">
        <f t="shared" si="1"/>
        <v>940444</v>
      </c>
      <c r="F12" s="14">
        <v>583720</v>
      </c>
      <c r="G12" s="14"/>
      <c r="H12" s="14">
        <v>356724</v>
      </c>
      <c r="I12" s="14"/>
      <c r="J12" s="17">
        <f t="shared" si="0"/>
        <v>940444</v>
      </c>
    </row>
    <row r="13" spans="1:10" x14ac:dyDescent="0.25">
      <c r="A13" s="10">
        <f t="shared" si="2"/>
        <v>4</v>
      </c>
      <c r="B13" s="13" t="s">
        <v>6</v>
      </c>
      <c r="C13" s="44" t="s">
        <v>29</v>
      </c>
      <c r="D13" s="55" t="s">
        <v>29</v>
      </c>
      <c r="F13" s="14"/>
      <c r="G13" s="14"/>
      <c r="H13" s="14"/>
      <c r="I13" s="14"/>
      <c r="J13" s="59"/>
    </row>
    <row r="14" spans="1:10" x14ac:dyDescent="0.25">
      <c r="A14" s="10">
        <f t="shared" si="2"/>
        <v>5</v>
      </c>
      <c r="B14" s="11" t="s">
        <v>7</v>
      </c>
      <c r="C14" s="12" t="s">
        <v>48</v>
      </c>
      <c r="D14" s="16">
        <f t="shared" si="1"/>
        <v>1291670.5</v>
      </c>
      <c r="F14" s="14">
        <v>392302</v>
      </c>
      <c r="G14" s="14">
        <v>331984.5</v>
      </c>
      <c r="H14" s="14">
        <v>567384</v>
      </c>
      <c r="I14" s="14"/>
      <c r="J14" s="17">
        <f t="shared" si="0"/>
        <v>1291670.5</v>
      </c>
    </row>
    <row r="15" spans="1:10" x14ac:dyDescent="0.25">
      <c r="A15" s="10">
        <f t="shared" si="2"/>
        <v>6</v>
      </c>
      <c r="B15" s="43" t="s">
        <v>8</v>
      </c>
      <c r="C15" s="12"/>
      <c r="D15" s="16">
        <f t="shared" si="1"/>
        <v>0</v>
      </c>
      <c r="F15" s="14"/>
      <c r="G15" s="14"/>
      <c r="H15" s="14"/>
      <c r="I15" s="14"/>
      <c r="J15" s="17">
        <f t="shared" si="0"/>
        <v>0</v>
      </c>
    </row>
    <row r="16" spans="1:10" x14ac:dyDescent="0.25">
      <c r="A16" s="10">
        <f t="shared" si="2"/>
        <v>7</v>
      </c>
      <c r="B16" s="56" t="s">
        <v>9</v>
      </c>
      <c r="C16" s="12"/>
      <c r="D16" s="16">
        <f t="shared" si="1"/>
        <v>0</v>
      </c>
      <c r="F16" s="14"/>
      <c r="G16" s="14"/>
      <c r="H16" s="14"/>
      <c r="I16" s="14"/>
      <c r="J16" s="17">
        <f t="shared" si="0"/>
        <v>0</v>
      </c>
    </row>
    <row r="17" spans="1:10" x14ac:dyDescent="0.25">
      <c r="A17" s="10">
        <f t="shared" si="2"/>
        <v>8</v>
      </c>
      <c r="B17" s="11" t="s">
        <v>30</v>
      </c>
      <c r="C17" s="12"/>
      <c r="D17" s="16">
        <f t="shared" si="1"/>
        <v>0</v>
      </c>
      <c r="F17" s="14"/>
      <c r="G17" s="14"/>
      <c r="H17" s="14"/>
      <c r="I17" s="14"/>
      <c r="J17" s="17">
        <f t="shared" si="0"/>
        <v>0</v>
      </c>
    </row>
    <row r="18" spans="1:10" x14ac:dyDescent="0.25">
      <c r="A18" s="10">
        <f t="shared" si="2"/>
        <v>9</v>
      </c>
      <c r="B18" s="43" t="s">
        <v>4</v>
      </c>
      <c r="C18" s="12"/>
      <c r="D18" s="16">
        <f t="shared" si="1"/>
        <v>0</v>
      </c>
      <c r="F18" s="14"/>
      <c r="G18" s="14"/>
      <c r="H18" s="14"/>
      <c r="I18" s="14"/>
      <c r="J18" s="17">
        <f t="shared" si="0"/>
        <v>0</v>
      </c>
    </row>
    <row r="19" spans="1:10" x14ac:dyDescent="0.25">
      <c r="A19" s="10">
        <f t="shared" si="2"/>
        <v>10</v>
      </c>
      <c r="B19" s="56" t="s">
        <v>5</v>
      </c>
      <c r="C19" s="12"/>
      <c r="D19" s="16">
        <f t="shared" si="1"/>
        <v>0</v>
      </c>
      <c r="F19" s="14"/>
      <c r="G19" s="14"/>
      <c r="H19" s="14"/>
      <c r="I19" s="14"/>
      <c r="J19" s="17">
        <f t="shared" si="0"/>
        <v>0</v>
      </c>
    </row>
    <row r="20" spans="1:10" x14ac:dyDescent="0.25">
      <c r="A20" s="10">
        <f t="shared" si="2"/>
        <v>11</v>
      </c>
      <c r="B20" s="13" t="s">
        <v>6</v>
      </c>
      <c r="C20" s="44" t="s">
        <v>29</v>
      </c>
      <c r="D20" s="55" t="s">
        <v>29</v>
      </c>
      <c r="F20" s="14"/>
      <c r="G20" s="14"/>
      <c r="H20" s="14"/>
      <c r="I20" s="14"/>
      <c r="J20" s="59"/>
    </row>
    <row r="21" spans="1:10" x14ac:dyDescent="0.25">
      <c r="A21" s="10">
        <f t="shared" si="2"/>
        <v>12</v>
      </c>
      <c r="B21" s="11" t="s">
        <v>7</v>
      </c>
      <c r="C21" s="12"/>
      <c r="D21" s="16">
        <f t="shared" si="1"/>
        <v>0</v>
      </c>
      <c r="F21" s="14"/>
      <c r="G21" s="14"/>
      <c r="H21" s="14"/>
      <c r="I21" s="14"/>
      <c r="J21" s="17">
        <f t="shared" si="0"/>
        <v>0</v>
      </c>
    </row>
    <row r="22" spans="1:10" x14ac:dyDescent="0.25">
      <c r="A22" s="10">
        <f t="shared" si="2"/>
        <v>13</v>
      </c>
      <c r="B22" s="43" t="s">
        <v>8</v>
      </c>
      <c r="C22" s="12"/>
      <c r="D22" s="16">
        <f t="shared" si="1"/>
        <v>0</v>
      </c>
      <c r="F22" s="14"/>
      <c r="G22" s="14"/>
      <c r="H22" s="14"/>
      <c r="I22" s="14"/>
      <c r="J22" s="17">
        <f t="shared" si="0"/>
        <v>0</v>
      </c>
    </row>
    <row r="23" spans="1:10" x14ac:dyDescent="0.25">
      <c r="A23" s="10">
        <f t="shared" si="2"/>
        <v>14</v>
      </c>
      <c r="B23" s="56" t="s">
        <v>9</v>
      </c>
      <c r="C23" s="12"/>
      <c r="D23" s="16">
        <f t="shared" si="1"/>
        <v>0</v>
      </c>
      <c r="F23" s="14"/>
      <c r="G23" s="14"/>
      <c r="H23" s="14"/>
      <c r="I23" s="14"/>
      <c r="J23" s="17">
        <f t="shared" si="0"/>
        <v>0</v>
      </c>
    </row>
    <row r="24" spans="1:10" x14ac:dyDescent="0.25">
      <c r="A24" s="10">
        <f t="shared" si="2"/>
        <v>15</v>
      </c>
      <c r="B24" s="11" t="s">
        <v>30</v>
      </c>
      <c r="C24" s="12"/>
      <c r="D24" s="16">
        <f t="shared" si="1"/>
        <v>0</v>
      </c>
      <c r="F24" s="14"/>
      <c r="G24" s="14"/>
      <c r="H24" s="14"/>
      <c r="I24" s="14"/>
      <c r="J24" s="17">
        <f t="shared" si="0"/>
        <v>0</v>
      </c>
    </row>
    <row r="25" spans="1:10" x14ac:dyDescent="0.25">
      <c r="A25" s="10">
        <f t="shared" si="2"/>
        <v>16</v>
      </c>
      <c r="B25" s="43" t="s">
        <v>4</v>
      </c>
      <c r="C25" s="12"/>
      <c r="D25" s="16">
        <f t="shared" si="1"/>
        <v>0</v>
      </c>
      <c r="F25" s="14"/>
      <c r="G25" s="14"/>
      <c r="H25" s="14"/>
      <c r="I25" s="14"/>
      <c r="J25" s="17">
        <f t="shared" si="0"/>
        <v>0</v>
      </c>
    </row>
    <row r="26" spans="1:10" x14ac:dyDescent="0.25">
      <c r="A26" s="10">
        <f t="shared" si="2"/>
        <v>17</v>
      </c>
      <c r="B26" s="56" t="s">
        <v>5</v>
      </c>
      <c r="C26" s="12"/>
      <c r="D26" s="16">
        <f t="shared" ref="D26:D28" si="3">J26</f>
        <v>0</v>
      </c>
      <c r="F26" s="14"/>
      <c r="G26" s="14"/>
      <c r="H26" s="14"/>
      <c r="I26" s="14"/>
      <c r="J26" s="17">
        <f t="shared" si="0"/>
        <v>0</v>
      </c>
    </row>
    <row r="27" spans="1:10" x14ac:dyDescent="0.25">
      <c r="A27" s="10">
        <f t="shared" si="2"/>
        <v>18</v>
      </c>
      <c r="B27" s="13" t="s">
        <v>6</v>
      </c>
      <c r="C27" s="44" t="s">
        <v>29</v>
      </c>
      <c r="D27" s="55" t="s">
        <v>29</v>
      </c>
      <c r="F27" s="14"/>
      <c r="G27" s="14"/>
      <c r="H27" s="14"/>
      <c r="I27" s="14"/>
      <c r="J27" s="59"/>
    </row>
    <row r="28" spans="1:10" x14ac:dyDescent="0.25">
      <c r="A28" s="10">
        <f t="shared" si="2"/>
        <v>19</v>
      </c>
      <c r="B28" s="11" t="s">
        <v>7</v>
      </c>
      <c r="C28" s="12"/>
      <c r="D28" s="16">
        <f t="shared" si="3"/>
        <v>0</v>
      </c>
      <c r="F28" s="14"/>
      <c r="G28" s="14"/>
      <c r="H28" s="14"/>
      <c r="I28" s="14"/>
      <c r="J28" s="17">
        <f t="shared" si="0"/>
        <v>0</v>
      </c>
    </row>
    <row r="29" spans="1:10" x14ac:dyDescent="0.25">
      <c r="A29" s="10">
        <f t="shared" si="2"/>
        <v>20</v>
      </c>
      <c r="B29" s="43" t="s">
        <v>8</v>
      </c>
      <c r="C29" s="12"/>
      <c r="D29" s="16">
        <f t="shared" ref="D29:D39" si="4">J29</f>
        <v>0</v>
      </c>
      <c r="F29" s="14"/>
      <c r="G29" s="14"/>
      <c r="H29" s="14"/>
      <c r="I29" s="14"/>
      <c r="J29" s="17">
        <f t="shared" si="0"/>
        <v>0</v>
      </c>
    </row>
    <row r="30" spans="1:10" x14ac:dyDescent="0.25">
      <c r="A30" s="10">
        <f t="shared" si="2"/>
        <v>21</v>
      </c>
      <c r="B30" s="56" t="s">
        <v>9</v>
      </c>
      <c r="C30" s="12"/>
      <c r="D30" s="16">
        <f t="shared" si="4"/>
        <v>0</v>
      </c>
      <c r="F30" s="14"/>
      <c r="G30" s="14"/>
      <c r="H30" s="14"/>
      <c r="I30" s="14"/>
      <c r="J30" s="17">
        <f t="shared" si="0"/>
        <v>0</v>
      </c>
    </row>
    <row r="31" spans="1:10" x14ac:dyDescent="0.25">
      <c r="A31" s="10">
        <f t="shared" si="2"/>
        <v>22</v>
      </c>
      <c r="B31" s="11" t="s">
        <v>30</v>
      </c>
      <c r="C31" s="12"/>
      <c r="D31" s="16">
        <f t="shared" si="4"/>
        <v>0</v>
      </c>
      <c r="E31" s="14"/>
      <c r="F31" s="14"/>
      <c r="G31" s="14"/>
      <c r="H31" s="14"/>
      <c r="I31" s="14"/>
      <c r="J31" s="17">
        <f t="shared" si="0"/>
        <v>0</v>
      </c>
    </row>
    <row r="32" spans="1:10" x14ac:dyDescent="0.25">
      <c r="A32" s="10">
        <f t="shared" si="2"/>
        <v>23</v>
      </c>
      <c r="B32" s="43" t="s">
        <v>4</v>
      </c>
      <c r="C32" s="12"/>
      <c r="D32" s="16">
        <f t="shared" si="4"/>
        <v>0</v>
      </c>
      <c r="E32" s="15"/>
      <c r="F32" s="15"/>
      <c r="G32" s="14"/>
      <c r="H32" s="54"/>
      <c r="I32" s="54"/>
      <c r="J32" s="17">
        <f t="shared" si="0"/>
        <v>0</v>
      </c>
    </row>
    <row r="33" spans="1:10" x14ac:dyDescent="0.25">
      <c r="A33" s="10">
        <f t="shared" si="2"/>
        <v>24</v>
      </c>
      <c r="B33" s="56" t="s">
        <v>5</v>
      </c>
      <c r="C33" s="12"/>
      <c r="D33" s="16">
        <f t="shared" si="4"/>
        <v>0</v>
      </c>
      <c r="E33" s="15"/>
      <c r="F33" s="15"/>
      <c r="G33" s="14"/>
      <c r="H33" s="14"/>
      <c r="I33" s="14"/>
      <c r="J33" s="17">
        <f t="shared" si="0"/>
        <v>0</v>
      </c>
    </row>
    <row r="34" spans="1:10" x14ac:dyDescent="0.25">
      <c r="A34" s="10">
        <f>A33+1</f>
        <v>25</v>
      </c>
      <c r="B34" s="13" t="s">
        <v>6</v>
      </c>
      <c r="C34" s="44" t="s">
        <v>29</v>
      </c>
      <c r="D34" s="55" t="s">
        <v>29</v>
      </c>
      <c r="E34" s="14"/>
      <c r="F34" s="15"/>
      <c r="G34" s="14"/>
      <c r="H34" s="14"/>
      <c r="I34" s="14"/>
      <c r="J34" s="59"/>
    </row>
    <row r="35" spans="1:10" x14ac:dyDescent="0.25">
      <c r="A35" s="10">
        <f t="shared" si="2"/>
        <v>26</v>
      </c>
      <c r="B35" s="11" t="s">
        <v>7</v>
      </c>
      <c r="C35" s="12"/>
      <c r="D35" s="16">
        <f t="shared" si="4"/>
        <v>0</v>
      </c>
      <c r="E35" s="14"/>
      <c r="F35" s="14"/>
      <c r="G35" s="14"/>
      <c r="H35" s="14"/>
      <c r="I35" s="14"/>
      <c r="J35" s="17">
        <f t="shared" si="0"/>
        <v>0</v>
      </c>
    </row>
    <row r="36" spans="1:10" x14ac:dyDescent="0.25">
      <c r="A36" s="10">
        <f t="shared" si="2"/>
        <v>27</v>
      </c>
      <c r="B36" s="43" t="s">
        <v>8</v>
      </c>
      <c r="C36" s="12"/>
      <c r="D36" s="16">
        <f t="shared" si="4"/>
        <v>0</v>
      </c>
      <c r="E36" s="14"/>
      <c r="F36" s="14"/>
      <c r="G36" s="14"/>
      <c r="H36" s="14"/>
      <c r="I36" s="14"/>
      <c r="J36" s="17">
        <f t="shared" si="0"/>
        <v>0</v>
      </c>
    </row>
    <row r="37" spans="1:10" x14ac:dyDescent="0.25">
      <c r="A37" s="10">
        <f t="shared" si="2"/>
        <v>28</v>
      </c>
      <c r="B37" s="56" t="s">
        <v>9</v>
      </c>
      <c r="C37" s="12"/>
      <c r="D37" s="16">
        <f t="shared" si="4"/>
        <v>0</v>
      </c>
      <c r="E37" s="14"/>
      <c r="F37" s="14"/>
      <c r="G37" s="14"/>
      <c r="H37" s="14"/>
      <c r="I37" s="14"/>
      <c r="J37" s="17">
        <f t="shared" si="0"/>
        <v>0</v>
      </c>
    </row>
    <row r="38" spans="1:10" x14ac:dyDescent="0.25">
      <c r="A38" s="10">
        <f t="shared" si="2"/>
        <v>29</v>
      </c>
      <c r="B38" s="11" t="s">
        <v>30</v>
      </c>
      <c r="C38" s="12"/>
      <c r="D38" s="16">
        <f t="shared" si="4"/>
        <v>0</v>
      </c>
      <c r="E38" s="14"/>
      <c r="F38" s="14"/>
      <c r="G38" s="14"/>
      <c r="H38" s="14"/>
      <c r="I38" s="14"/>
      <c r="J38" s="17">
        <f t="shared" si="0"/>
        <v>0</v>
      </c>
    </row>
    <row r="39" spans="1:10" x14ac:dyDescent="0.25">
      <c r="A39" s="10">
        <f t="shared" si="2"/>
        <v>30</v>
      </c>
      <c r="B39" s="43" t="s">
        <v>4</v>
      </c>
      <c r="C39" s="12"/>
      <c r="D39" s="16">
        <f t="shared" si="4"/>
        <v>0</v>
      </c>
      <c r="E39" s="14"/>
      <c r="F39" s="14"/>
      <c r="G39" s="14"/>
      <c r="H39" s="14"/>
      <c r="I39" s="14"/>
      <c r="J39" s="17">
        <f t="shared" si="0"/>
        <v>0</v>
      </c>
    </row>
    <row r="40" spans="1:10" x14ac:dyDescent="0.25">
      <c r="A40" s="10">
        <f t="shared" si="2"/>
        <v>31</v>
      </c>
      <c r="B40" s="56" t="s">
        <v>5</v>
      </c>
      <c r="C40" s="12"/>
      <c r="D40" s="16">
        <f t="shared" ref="D40" si="5">J40</f>
        <v>0</v>
      </c>
      <c r="E40" s="14"/>
      <c r="F40" s="14"/>
      <c r="G40" s="14"/>
      <c r="H40" s="14"/>
      <c r="I40" s="14"/>
      <c r="J40" s="17">
        <f t="shared" si="0"/>
        <v>0</v>
      </c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00" t="s">
        <v>10</v>
      </c>
      <c r="B42" s="101"/>
      <c r="C42" s="102"/>
      <c r="D42" s="48">
        <f>SUM(D2:D41)</f>
        <v>2605131.5</v>
      </c>
      <c r="J42" s="49">
        <f>SUM(J10:J41)</f>
        <v>2605131.5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329"/>
  <sheetViews>
    <sheetView topLeftCell="A114" zoomScaleNormal="100" workbookViewId="0">
      <selection activeCell="AE165" sqref="AE165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6" width="13.28515625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40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40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40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38</v>
      </c>
      <c r="B8" s="20"/>
      <c r="C8" s="57"/>
      <c r="D8" s="57"/>
      <c r="E8" s="57"/>
      <c r="G8" s="57"/>
      <c r="I8" s="22" t="s">
        <v>16</v>
      </c>
      <c r="J8" s="23" t="s">
        <v>33</v>
      </c>
      <c r="K8" s="24"/>
      <c r="M8" s="21" t="s">
        <v>38</v>
      </c>
      <c r="N8" s="20"/>
      <c r="O8" s="57"/>
      <c r="P8" s="57"/>
      <c r="Q8" s="57"/>
      <c r="R8" s="57"/>
      <c r="S8" s="57"/>
      <c r="U8" s="22" t="s">
        <v>16</v>
      </c>
      <c r="V8" s="23" t="s">
        <v>36</v>
      </c>
      <c r="W8" s="24"/>
      <c r="Y8" s="21" t="s">
        <v>38</v>
      </c>
      <c r="Z8" s="20"/>
      <c r="AA8" s="57"/>
      <c r="AB8" s="57"/>
      <c r="AC8" s="57"/>
      <c r="AD8" s="57"/>
      <c r="AE8" s="57"/>
      <c r="AG8" s="22" t="s">
        <v>16</v>
      </c>
      <c r="AH8" s="23" t="s">
        <v>31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09" t="s">
        <v>17</v>
      </c>
      <c r="E10" s="109"/>
      <c r="F10" s="77"/>
      <c r="G10" s="27"/>
      <c r="I10" s="107" t="s">
        <v>18</v>
      </c>
      <c r="J10" s="108"/>
      <c r="K10" s="105" t="s">
        <v>19</v>
      </c>
      <c r="N10" s="25"/>
      <c r="O10" s="26"/>
      <c r="P10" s="109" t="s">
        <v>17</v>
      </c>
      <c r="Q10" s="109"/>
      <c r="R10" s="77"/>
      <c r="S10" s="27"/>
      <c r="U10" s="107" t="s">
        <v>18</v>
      </c>
      <c r="V10" s="108"/>
      <c r="W10" s="105" t="s">
        <v>19</v>
      </c>
      <c r="Z10" s="25"/>
      <c r="AA10" s="26"/>
      <c r="AB10" s="109" t="s">
        <v>17</v>
      </c>
      <c r="AC10" s="109"/>
      <c r="AD10" s="77"/>
      <c r="AE10" s="27"/>
      <c r="AG10" s="107" t="s">
        <v>18</v>
      </c>
      <c r="AH10" s="108"/>
      <c r="AI10" s="105" t="s">
        <v>19</v>
      </c>
    </row>
    <row r="11" spans="1:35" ht="30" x14ac:dyDescent="0.25">
      <c r="B11" s="28" t="s">
        <v>20</v>
      </c>
      <c r="C11" s="28" t="s">
        <v>21</v>
      </c>
      <c r="D11" s="79" t="s">
        <v>22</v>
      </c>
      <c r="E11" s="78" t="s">
        <v>23</v>
      </c>
      <c r="F11" s="80" t="s">
        <v>32</v>
      </c>
      <c r="G11" s="80" t="s">
        <v>24</v>
      </c>
      <c r="I11" s="29" t="s">
        <v>25</v>
      </c>
      <c r="J11" s="29" t="s">
        <v>26</v>
      </c>
      <c r="K11" s="106"/>
      <c r="N11" s="28" t="s">
        <v>20</v>
      </c>
      <c r="O11" s="28" t="s">
        <v>21</v>
      </c>
      <c r="P11" s="79" t="s">
        <v>22</v>
      </c>
      <c r="Q11" s="80" t="s">
        <v>23</v>
      </c>
      <c r="R11" s="80" t="s">
        <v>32</v>
      </c>
      <c r="S11" s="80" t="s">
        <v>24</v>
      </c>
      <c r="U11" s="29" t="s">
        <v>25</v>
      </c>
      <c r="V11" s="29" t="s">
        <v>26</v>
      </c>
      <c r="W11" s="106"/>
      <c r="Z11" s="28" t="s">
        <v>20</v>
      </c>
      <c r="AA11" s="28" t="s">
        <v>21</v>
      </c>
      <c r="AB11" s="79" t="s">
        <v>22</v>
      </c>
      <c r="AC11" s="80" t="s">
        <v>23</v>
      </c>
      <c r="AD11" s="80" t="s">
        <v>32</v>
      </c>
      <c r="AE11" s="80" t="s">
        <v>24</v>
      </c>
      <c r="AG11" s="29" t="s">
        <v>25</v>
      </c>
      <c r="AH11" s="29" t="s">
        <v>26</v>
      </c>
      <c r="AI11" s="106"/>
    </row>
    <row r="12" spans="1:35" x14ac:dyDescent="0.25">
      <c r="A12" s="10">
        <v>1</v>
      </c>
      <c r="B12" s="30">
        <v>46054</v>
      </c>
      <c r="C12" s="91">
        <v>8226</v>
      </c>
      <c r="D12" s="32">
        <f>650</f>
        <v>650</v>
      </c>
      <c r="E12" s="32"/>
      <c r="F12" s="32"/>
      <c r="G12" s="32">
        <f t="shared" ref="G12:G45" si="0">SUM(D12:E12)</f>
        <v>650</v>
      </c>
      <c r="H12" s="12"/>
      <c r="I12" s="12"/>
      <c r="J12" s="12"/>
      <c r="K12" s="12">
        <f t="shared" ref="K12:K45" si="1">SUM(G12:J12)</f>
        <v>650</v>
      </c>
      <c r="M12" s="10">
        <v>1</v>
      </c>
      <c r="N12" s="30">
        <v>46054</v>
      </c>
      <c r="O12" s="31">
        <v>7595</v>
      </c>
      <c r="P12" s="32"/>
      <c r="Q12" s="32"/>
      <c r="R12" s="32"/>
      <c r="S12" s="32">
        <f>SUM(P12:Q12)</f>
        <v>0</v>
      </c>
      <c r="T12" s="12"/>
      <c r="U12" s="12"/>
      <c r="V12" s="12"/>
      <c r="W12" s="12">
        <f>SUM(S12:V12)</f>
        <v>0</v>
      </c>
      <c r="Y12" s="10">
        <v>1</v>
      </c>
      <c r="Z12" s="30">
        <v>46054</v>
      </c>
      <c r="AA12" s="31">
        <v>7350</v>
      </c>
      <c r="AB12" s="32"/>
      <c r="AC12" s="32"/>
      <c r="AD12" s="32"/>
      <c r="AE12" s="32">
        <f>SUM(AB12:AC12)</f>
        <v>0</v>
      </c>
      <c r="AF12" s="12"/>
      <c r="AG12" s="12"/>
      <c r="AH12" s="12"/>
      <c r="AI12" s="12">
        <f>SUM(AE12:AH12)</f>
        <v>0</v>
      </c>
    </row>
    <row r="13" spans="1:35" x14ac:dyDescent="0.25">
      <c r="A13" s="10">
        <v>2</v>
      </c>
      <c r="B13" s="30">
        <v>46054</v>
      </c>
      <c r="C13" s="91">
        <f>C12+1</f>
        <v>8227</v>
      </c>
      <c r="D13" s="32">
        <f>9100+1340+2488+171</f>
        <v>13099</v>
      </c>
      <c r="E13" s="32"/>
      <c r="F13" s="32"/>
      <c r="G13" s="32">
        <f t="shared" si="0"/>
        <v>13099</v>
      </c>
      <c r="H13" s="12"/>
      <c r="I13" s="12">
        <f>12+58.5+13.5</f>
        <v>84</v>
      </c>
      <c r="J13" s="12"/>
      <c r="K13" s="12">
        <f t="shared" si="1"/>
        <v>13183</v>
      </c>
      <c r="M13" s="10">
        <v>2</v>
      </c>
      <c r="N13" s="30">
        <v>46054</v>
      </c>
      <c r="O13" s="31">
        <f>O12+1</f>
        <v>7596</v>
      </c>
      <c r="P13" s="32"/>
      <c r="Q13" s="32"/>
      <c r="R13" s="32"/>
      <c r="S13" s="32">
        <f t="shared" ref="S13:S44" si="2">SUM(P13:Q13)</f>
        <v>0</v>
      </c>
      <c r="T13" s="12"/>
      <c r="U13" s="12"/>
      <c r="V13" s="12"/>
      <c r="W13" s="12">
        <f t="shared" ref="W13:W44" si="3">SUM(S13:V13)</f>
        <v>0</v>
      </c>
      <c r="Y13" s="10">
        <v>2</v>
      </c>
      <c r="Z13" s="30">
        <v>46054</v>
      </c>
      <c r="AA13" s="31">
        <v>7451</v>
      </c>
      <c r="AB13" s="32"/>
      <c r="AC13" s="32"/>
      <c r="AD13" s="32"/>
      <c r="AE13" s="32">
        <f t="shared" ref="AE13:AE44" si="4">SUM(AB13:AC13)</f>
        <v>0</v>
      </c>
      <c r="AF13" s="12"/>
      <c r="AG13" s="12"/>
      <c r="AH13" s="12"/>
      <c r="AI13" s="12">
        <f t="shared" ref="AI13:AI44" si="5">SUM(AE13:AH13)</f>
        <v>0</v>
      </c>
    </row>
    <row r="14" spans="1:35" x14ac:dyDescent="0.25">
      <c r="A14" s="10">
        <v>3</v>
      </c>
      <c r="B14" s="30">
        <v>46054</v>
      </c>
      <c r="C14" s="91">
        <f t="shared" ref="C14:C19" si="6">C13+1</f>
        <v>8228</v>
      </c>
      <c r="D14" s="33">
        <f>650*228+670*10+622*50+872*5</f>
        <v>190360</v>
      </c>
      <c r="E14" s="33">
        <v>-1758</v>
      </c>
      <c r="F14" s="33"/>
      <c r="G14" s="33">
        <f t="shared" si="0"/>
        <v>188602</v>
      </c>
      <c r="H14" s="34"/>
      <c r="I14" s="34"/>
      <c r="J14" s="34"/>
      <c r="K14" s="34">
        <f t="shared" si="1"/>
        <v>188602</v>
      </c>
      <c r="M14" s="10">
        <v>3</v>
      </c>
      <c r="N14" s="30">
        <v>46054</v>
      </c>
      <c r="O14" s="31">
        <f t="shared" ref="O14:O21" si="7">O13+1</f>
        <v>7597</v>
      </c>
      <c r="P14" s="32"/>
      <c r="Q14" s="32"/>
      <c r="R14" s="32"/>
      <c r="S14" s="32">
        <f t="shared" si="2"/>
        <v>0</v>
      </c>
      <c r="T14" s="12"/>
      <c r="U14" s="12"/>
      <c r="V14" s="12"/>
      <c r="W14" s="12">
        <f t="shared" si="3"/>
        <v>0</v>
      </c>
      <c r="Y14" s="10">
        <v>3</v>
      </c>
      <c r="Z14" s="30">
        <v>46054</v>
      </c>
      <c r="AA14" s="31">
        <f t="shared" ref="AA14:AA21" si="8">AA13+1</f>
        <v>7452</v>
      </c>
      <c r="AB14" s="33"/>
      <c r="AC14" s="33"/>
      <c r="AD14" s="32"/>
      <c r="AE14" s="32">
        <f t="shared" si="4"/>
        <v>0</v>
      </c>
      <c r="AF14" s="12"/>
      <c r="AG14" s="12"/>
      <c r="AH14" s="12"/>
      <c r="AI14" s="12">
        <f t="shared" si="5"/>
        <v>0</v>
      </c>
    </row>
    <row r="15" spans="1:35" x14ac:dyDescent="0.25">
      <c r="A15" s="10">
        <v>4</v>
      </c>
      <c r="B15" s="30">
        <v>46054</v>
      </c>
      <c r="C15" s="91">
        <f t="shared" si="6"/>
        <v>8229</v>
      </c>
      <c r="D15" s="32">
        <f>650*25</f>
        <v>16250</v>
      </c>
      <c r="E15" s="32"/>
      <c r="F15" s="32"/>
      <c r="G15" s="32">
        <f t="shared" si="0"/>
        <v>16250</v>
      </c>
      <c r="H15" s="12"/>
      <c r="I15" s="12"/>
      <c r="J15" s="12"/>
      <c r="K15" s="12">
        <f t="shared" si="1"/>
        <v>16250</v>
      </c>
      <c r="M15" s="10">
        <v>4</v>
      </c>
      <c r="N15" s="30">
        <v>46054</v>
      </c>
      <c r="O15" s="31">
        <f t="shared" si="7"/>
        <v>7598</v>
      </c>
      <c r="P15" s="32"/>
      <c r="Q15" s="32"/>
      <c r="R15" s="32"/>
      <c r="S15" s="32">
        <f t="shared" si="2"/>
        <v>0</v>
      </c>
      <c r="T15" s="12"/>
      <c r="U15" s="12"/>
      <c r="V15" s="12"/>
      <c r="W15" s="12">
        <f t="shared" si="3"/>
        <v>0</v>
      </c>
      <c r="Y15" s="10">
        <v>4</v>
      </c>
      <c r="Z15" s="30">
        <v>46054</v>
      </c>
      <c r="AA15" s="31">
        <f t="shared" si="8"/>
        <v>7453</v>
      </c>
      <c r="AB15" s="32"/>
      <c r="AC15" s="32"/>
      <c r="AD15" s="32"/>
      <c r="AE15" s="32">
        <f t="shared" si="4"/>
        <v>0</v>
      </c>
      <c r="AF15" s="12"/>
      <c r="AH15" s="12"/>
      <c r="AI15" s="12">
        <f t="shared" si="5"/>
        <v>0</v>
      </c>
    </row>
    <row r="16" spans="1:35" x14ac:dyDescent="0.25">
      <c r="A16" s="10">
        <v>5</v>
      </c>
      <c r="B16" s="30">
        <v>46054</v>
      </c>
      <c r="C16" s="91">
        <f t="shared" si="6"/>
        <v>8230</v>
      </c>
      <c r="D16" s="32">
        <f>13000+6220</f>
        <v>19220</v>
      </c>
      <c r="E16" s="32"/>
      <c r="F16" s="32"/>
      <c r="G16" s="32">
        <f t="shared" si="0"/>
        <v>19220</v>
      </c>
      <c r="H16" s="12"/>
      <c r="I16" s="12"/>
      <c r="J16" s="12"/>
      <c r="K16" s="12">
        <f t="shared" si="1"/>
        <v>19220</v>
      </c>
      <c r="M16" s="10">
        <v>5</v>
      </c>
      <c r="N16" s="30">
        <v>46054</v>
      </c>
      <c r="O16" s="31">
        <f t="shared" si="7"/>
        <v>7599</v>
      </c>
      <c r="P16" s="32"/>
      <c r="Q16" s="32"/>
      <c r="R16" s="32"/>
      <c r="S16" s="32">
        <f t="shared" si="2"/>
        <v>0</v>
      </c>
      <c r="T16" s="12"/>
      <c r="U16" s="12"/>
      <c r="V16" s="12"/>
      <c r="W16" s="12">
        <f t="shared" si="3"/>
        <v>0</v>
      </c>
      <c r="Y16" s="10">
        <v>5</v>
      </c>
      <c r="Z16" s="30">
        <v>46054</v>
      </c>
      <c r="AA16" s="31">
        <f t="shared" si="8"/>
        <v>7454</v>
      </c>
      <c r="AB16" s="32"/>
      <c r="AC16" s="32"/>
      <c r="AD16" s="32"/>
      <c r="AE16" s="32">
        <f t="shared" ref="AE16:AE21" si="9">SUM(AB16:AC16)</f>
        <v>0</v>
      </c>
      <c r="AF16" s="12"/>
      <c r="AG16" s="12"/>
      <c r="AH16" s="12"/>
      <c r="AI16" s="12">
        <f t="shared" si="5"/>
        <v>0</v>
      </c>
    </row>
    <row r="17" spans="1:35" x14ac:dyDescent="0.25">
      <c r="A17" s="10">
        <v>6</v>
      </c>
      <c r="B17" s="30">
        <v>46054</v>
      </c>
      <c r="C17" s="91">
        <f t="shared" si="6"/>
        <v>8231</v>
      </c>
      <c r="D17" s="32">
        <f>65000+916</f>
        <v>65916</v>
      </c>
      <c r="E17" s="32">
        <v>-600</v>
      </c>
      <c r="F17" s="32"/>
      <c r="G17" s="32">
        <f t="shared" si="0"/>
        <v>65316</v>
      </c>
      <c r="H17" s="12"/>
      <c r="I17" s="12"/>
      <c r="J17" s="12">
        <f>-100*111</f>
        <v>-11100</v>
      </c>
      <c r="K17" s="12">
        <f t="shared" si="1"/>
        <v>54216</v>
      </c>
      <c r="M17" s="10">
        <v>6</v>
      </c>
      <c r="N17" s="30">
        <v>46054</v>
      </c>
      <c r="O17" s="31">
        <f t="shared" si="7"/>
        <v>7600</v>
      </c>
      <c r="P17" s="32"/>
      <c r="Q17" s="32"/>
      <c r="R17" s="32"/>
      <c r="S17" s="32">
        <f t="shared" si="2"/>
        <v>0</v>
      </c>
      <c r="T17" s="12"/>
      <c r="U17" s="12"/>
      <c r="V17" s="10"/>
      <c r="W17" s="12">
        <f t="shared" si="3"/>
        <v>0</v>
      </c>
      <c r="Y17" s="10">
        <v>6</v>
      </c>
      <c r="Z17" s="30">
        <v>46054</v>
      </c>
      <c r="AA17" s="31">
        <f t="shared" si="8"/>
        <v>7455</v>
      </c>
      <c r="AB17" s="32"/>
      <c r="AC17" s="32"/>
      <c r="AD17" s="32"/>
      <c r="AE17" s="32">
        <f t="shared" si="9"/>
        <v>0</v>
      </c>
      <c r="AF17" s="12"/>
      <c r="AG17" s="12"/>
      <c r="AH17" s="10"/>
      <c r="AI17" s="12">
        <f t="shared" si="5"/>
        <v>0</v>
      </c>
    </row>
    <row r="18" spans="1:35" x14ac:dyDescent="0.25">
      <c r="A18" s="10">
        <v>7</v>
      </c>
      <c r="B18" s="30">
        <v>46054</v>
      </c>
      <c r="C18" s="91">
        <f t="shared" si="6"/>
        <v>8232</v>
      </c>
      <c r="D18" s="32">
        <f>59800+622*10</f>
        <v>66020</v>
      </c>
      <c r="E18" s="32">
        <v>-612</v>
      </c>
      <c r="F18" s="32"/>
      <c r="G18" s="32">
        <f t="shared" si="0"/>
        <v>65408</v>
      </c>
      <c r="H18" s="12"/>
      <c r="I18" s="12"/>
      <c r="J18" s="12">
        <v>-1998</v>
      </c>
      <c r="K18" s="12">
        <f t="shared" si="1"/>
        <v>63410</v>
      </c>
      <c r="M18" s="10">
        <v>7</v>
      </c>
      <c r="N18" s="30">
        <v>46054</v>
      </c>
      <c r="O18" s="31">
        <f t="shared" si="7"/>
        <v>7601</v>
      </c>
      <c r="P18" s="32"/>
      <c r="Q18" s="32"/>
      <c r="R18" s="32"/>
      <c r="S18" s="32">
        <f t="shared" si="2"/>
        <v>0</v>
      </c>
      <c r="T18" s="12"/>
      <c r="U18" s="12"/>
      <c r="V18" s="12"/>
      <c r="W18" s="12">
        <f t="shared" si="3"/>
        <v>0</v>
      </c>
      <c r="Y18" s="10">
        <v>7</v>
      </c>
      <c r="Z18" s="30">
        <v>46054</v>
      </c>
      <c r="AA18" s="31">
        <f t="shared" si="8"/>
        <v>7456</v>
      </c>
      <c r="AB18" s="32"/>
      <c r="AC18" s="32"/>
      <c r="AD18" s="32"/>
      <c r="AE18" s="32">
        <f t="shared" si="9"/>
        <v>0</v>
      </c>
      <c r="AF18" s="12"/>
      <c r="AG18" s="58"/>
      <c r="AH18" s="12"/>
      <c r="AI18" s="12">
        <f t="shared" si="5"/>
        <v>0</v>
      </c>
    </row>
    <row r="19" spans="1:35" x14ac:dyDescent="0.25">
      <c r="A19" s="10">
        <v>8</v>
      </c>
      <c r="B19" s="30">
        <v>46054</v>
      </c>
      <c r="C19" s="91">
        <f t="shared" si="6"/>
        <v>8233</v>
      </c>
      <c r="D19" s="32">
        <f>559*8</f>
        <v>4472</v>
      </c>
      <c r="E19" s="32"/>
      <c r="F19" s="32"/>
      <c r="G19" s="32">
        <f t="shared" si="0"/>
        <v>4472</v>
      </c>
      <c r="H19" s="12"/>
      <c r="I19" s="12"/>
      <c r="J19" s="12"/>
      <c r="K19" s="12">
        <f t="shared" si="1"/>
        <v>4472</v>
      </c>
      <c r="M19" s="10">
        <v>8</v>
      </c>
      <c r="N19" s="30">
        <v>46054</v>
      </c>
      <c r="O19" s="31">
        <f t="shared" si="7"/>
        <v>7602</v>
      </c>
      <c r="P19" s="32"/>
      <c r="Q19" s="32"/>
      <c r="R19" s="32"/>
      <c r="S19" s="32">
        <f t="shared" si="2"/>
        <v>0</v>
      </c>
      <c r="T19" s="12"/>
      <c r="U19" s="12"/>
      <c r="V19" s="12"/>
      <c r="W19" s="12">
        <f t="shared" si="3"/>
        <v>0</v>
      </c>
      <c r="Y19" s="10">
        <v>8</v>
      </c>
      <c r="Z19" s="30">
        <v>46054</v>
      </c>
      <c r="AA19" s="31">
        <f t="shared" si="8"/>
        <v>7457</v>
      </c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/>
      <c r="C20" s="11" t="s">
        <v>27</v>
      </c>
      <c r="D20" s="32"/>
      <c r="E20" s="32"/>
      <c r="F20" s="32"/>
      <c r="G20" s="32">
        <f t="shared" si="0"/>
        <v>0</v>
      </c>
      <c r="H20" s="12"/>
      <c r="I20" s="12"/>
      <c r="J20" s="12"/>
      <c r="K20" s="12">
        <f t="shared" si="1"/>
        <v>0</v>
      </c>
      <c r="M20" s="10">
        <v>9</v>
      </c>
      <c r="N20" s="30">
        <v>46054</v>
      </c>
      <c r="O20" s="31">
        <f t="shared" si="7"/>
        <v>7603</v>
      </c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>
        <v>46054</v>
      </c>
      <c r="AA20" s="31">
        <f t="shared" si="8"/>
        <v>7458</v>
      </c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/>
      <c r="C21" s="91"/>
      <c r="D21" s="32"/>
      <c r="E21" s="32"/>
      <c r="F21" s="32"/>
      <c r="G21" s="32">
        <f t="shared" si="0"/>
        <v>0</v>
      </c>
      <c r="H21" s="12"/>
      <c r="I21" s="12"/>
      <c r="J21" s="12"/>
      <c r="K21" s="12">
        <f t="shared" si="1"/>
        <v>0</v>
      </c>
      <c r="M21" s="10">
        <v>10</v>
      </c>
      <c r="N21" s="30">
        <v>46054</v>
      </c>
      <c r="O21" s="31">
        <f t="shared" si="7"/>
        <v>7604</v>
      </c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>
        <v>46054</v>
      </c>
      <c r="AA21" s="31">
        <f t="shared" si="8"/>
        <v>7459</v>
      </c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91"/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O22" s="11" t="s">
        <v>27</v>
      </c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A22" s="11" t="s">
        <v>27</v>
      </c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91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91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91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91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91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O27" s="31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C29" s="91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91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91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91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91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91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91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91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91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91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91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91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91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91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91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91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91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91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91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375987</v>
      </c>
      <c r="E55" s="38">
        <f t="shared" ref="E55:F55" si="18">SUM(E12:E52)</f>
        <v>-2970</v>
      </c>
      <c r="F55" s="38">
        <f t="shared" si="18"/>
        <v>0</v>
      </c>
      <c r="G55" s="38">
        <f>SUM(G12:G54)</f>
        <v>373017</v>
      </c>
      <c r="H55" s="4"/>
      <c r="I55" s="39">
        <f>SUM(I12:I54)</f>
        <v>84</v>
      </c>
      <c r="J55" s="39">
        <f>SUM(J12:J54)</f>
        <v>-13098</v>
      </c>
      <c r="K55" s="40">
        <f>SUM(K12:K54)</f>
        <v>360003</v>
      </c>
      <c r="N55" s="57"/>
      <c r="O55" s="57"/>
      <c r="P55" s="38">
        <f>SUM(P12:P54)</f>
        <v>0</v>
      </c>
      <c r="Q55" s="38">
        <f>SUM(Q12:Q36)</f>
        <v>0</v>
      </c>
      <c r="R55" s="38">
        <f>SUM(R12:R36)</f>
        <v>0</v>
      </c>
      <c r="S55" s="38">
        <f>SUM(S12:S54)</f>
        <v>0</v>
      </c>
      <c r="T55" s="4"/>
      <c r="U55" s="41">
        <f>SUM(U12:U54)</f>
        <v>0</v>
      </c>
      <c r="V55" s="41">
        <f>SUM(V12:V36)</f>
        <v>0</v>
      </c>
      <c r="W55" s="42">
        <f>SUM(W12:W54)</f>
        <v>0</v>
      </c>
      <c r="Z55" s="57"/>
      <c r="AA55" s="57"/>
      <c r="AB55" s="38">
        <f>SUM(AB12:AB54)</f>
        <v>0</v>
      </c>
      <c r="AC55" s="38">
        <f>SUM(AC12:AC36)</f>
        <v>0</v>
      </c>
      <c r="AD55" s="38">
        <f>SUM(AD12:AD36)</f>
        <v>0</v>
      </c>
      <c r="AE55" s="38">
        <f>SUM(AE12:AE54)</f>
        <v>0</v>
      </c>
      <c r="AF55" s="4"/>
      <c r="AG55" s="41">
        <f>SUM(AG12:AG54)</f>
        <v>0</v>
      </c>
      <c r="AH55" s="41">
        <f>SUM(AH12:AH36)</f>
        <v>0</v>
      </c>
      <c r="AI55" s="42">
        <f>SUM(AI12:AI54)</f>
        <v>0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</row>
    <row r="57" spans="1:52" x14ac:dyDescent="0.25">
      <c r="A57" t="s">
        <v>0</v>
      </c>
      <c r="B57" s="57"/>
      <c r="C57" s="57"/>
      <c r="D57" s="57"/>
      <c r="E57" s="57"/>
      <c r="G57" s="57"/>
      <c r="M57" s="62"/>
      <c r="N57" s="97"/>
      <c r="O57" s="97"/>
      <c r="P57" s="97"/>
      <c r="Q57" s="97"/>
      <c r="R57" s="97"/>
      <c r="S57" s="97"/>
      <c r="T57" s="62"/>
      <c r="U57" s="62"/>
      <c r="V57" s="62"/>
      <c r="W57" s="62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</row>
    <row r="58" spans="1:52" x14ac:dyDescent="0.25">
      <c r="A58" t="s">
        <v>28</v>
      </c>
      <c r="B58" s="57"/>
      <c r="C58" s="57"/>
      <c r="D58" s="57"/>
      <c r="E58" s="57"/>
      <c r="G58" s="57"/>
      <c r="M58" s="62"/>
      <c r="N58" s="97"/>
      <c r="O58" s="97"/>
      <c r="P58" s="97"/>
      <c r="Q58" s="97"/>
      <c r="R58" s="97"/>
      <c r="S58" s="97"/>
      <c r="T58" s="62"/>
      <c r="U58" s="62"/>
      <c r="V58" s="62"/>
      <c r="W58" s="62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M59" s="62"/>
      <c r="N59" s="97"/>
      <c r="O59" s="97"/>
      <c r="P59" s="97"/>
      <c r="Q59" s="97"/>
      <c r="R59" s="97"/>
      <c r="S59" s="97"/>
      <c r="T59" s="62"/>
      <c r="U59" s="62"/>
      <c r="V59" s="62"/>
      <c r="W59" s="62"/>
      <c r="Z59" s="57"/>
      <c r="AA59" s="57"/>
      <c r="AB59" s="57"/>
      <c r="AC59" s="57"/>
      <c r="AD59" s="57"/>
      <c r="AE59" s="57"/>
      <c r="AK59" s="62"/>
      <c r="AL59" s="87"/>
      <c r="AM59" s="87"/>
      <c r="AN59" s="87"/>
      <c r="AO59" s="87"/>
      <c r="AP59" s="87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63"/>
      <c r="N60" s="97"/>
      <c r="O60" s="97"/>
      <c r="P60" s="97"/>
      <c r="Q60" s="97"/>
      <c r="R60" s="97"/>
      <c r="S60" s="97"/>
      <c r="T60" s="62"/>
      <c r="U60" s="62"/>
      <c r="V60" s="62"/>
      <c r="W60" s="62"/>
      <c r="Y60" s="4" t="s">
        <v>14</v>
      </c>
      <c r="Z60" s="57"/>
      <c r="AA60" s="57"/>
      <c r="AB60" s="57"/>
      <c r="AC60" s="57"/>
      <c r="AD60" s="57"/>
      <c r="AE60" s="57"/>
      <c r="AK60" s="62"/>
      <c r="AL60" s="87"/>
      <c r="AM60" s="87"/>
      <c r="AN60" s="87"/>
      <c r="AO60" s="87"/>
      <c r="AP60" s="87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M61" s="62"/>
      <c r="N61" s="97"/>
      <c r="O61" s="97"/>
      <c r="P61" s="97"/>
      <c r="Q61" s="97"/>
      <c r="R61" s="97"/>
      <c r="S61" s="97"/>
      <c r="T61" s="62"/>
      <c r="U61" s="62"/>
      <c r="V61" s="62"/>
      <c r="W61" s="62"/>
      <c r="Z61" s="57"/>
      <c r="AA61" s="57"/>
      <c r="AB61" s="57"/>
      <c r="AC61" s="57"/>
      <c r="AD61" s="57"/>
      <c r="AE61" s="57"/>
      <c r="AK61" s="62"/>
      <c r="AL61" s="87"/>
      <c r="AM61" s="87"/>
      <c r="AN61" s="87"/>
      <c r="AO61" s="87"/>
      <c r="AP61" s="87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41</v>
      </c>
      <c r="B62" s="57"/>
      <c r="C62" s="57"/>
      <c r="D62" s="57"/>
      <c r="E62" s="57"/>
      <c r="G62" s="57"/>
      <c r="I62" s="57" t="s">
        <v>15</v>
      </c>
      <c r="J62" s="19">
        <v>1</v>
      </c>
      <c r="M62" s="62"/>
      <c r="N62" s="97"/>
      <c r="O62" s="97"/>
      <c r="P62" s="97"/>
      <c r="Q62" s="97"/>
      <c r="R62" s="97"/>
      <c r="S62" s="97"/>
      <c r="T62" s="62"/>
      <c r="U62" s="97"/>
      <c r="V62" s="74"/>
      <c r="W62" s="62"/>
      <c r="Y62" t="s">
        <v>41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7"/>
      <c r="AM62" s="87"/>
      <c r="AN62" s="87"/>
      <c r="AO62" s="87"/>
      <c r="AP62" s="87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42</v>
      </c>
      <c r="B63" s="20"/>
      <c r="C63" s="57"/>
      <c r="D63" s="57"/>
      <c r="E63" s="57"/>
      <c r="G63" s="57"/>
      <c r="I63" s="22" t="s">
        <v>16</v>
      </c>
      <c r="J63" s="23" t="s">
        <v>33</v>
      </c>
      <c r="K63" s="24"/>
      <c r="M63" s="64"/>
      <c r="N63" s="97"/>
      <c r="O63" s="97"/>
      <c r="P63" s="97"/>
      <c r="Q63" s="97"/>
      <c r="R63" s="97"/>
      <c r="S63" s="97"/>
      <c r="T63" s="62"/>
      <c r="U63" s="65"/>
      <c r="V63" s="65"/>
      <c r="W63" s="62"/>
      <c r="Y63" s="21" t="s">
        <v>42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31</v>
      </c>
      <c r="AI63" s="24"/>
      <c r="AK63" s="62"/>
      <c r="AL63" s="87"/>
      <c r="AM63" s="87"/>
      <c r="AN63" s="87"/>
      <c r="AO63" s="87"/>
      <c r="AP63" s="87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M64" s="62"/>
      <c r="N64" s="97"/>
      <c r="O64" s="97"/>
      <c r="P64" s="97"/>
      <c r="Q64" s="97"/>
      <c r="R64" s="97"/>
      <c r="S64" s="97"/>
      <c r="T64" s="62"/>
      <c r="U64" s="62"/>
      <c r="V64" s="62"/>
      <c r="W64" s="62"/>
      <c r="Z64" s="57"/>
      <c r="AA64" s="57"/>
      <c r="AB64" s="57"/>
      <c r="AC64" s="57"/>
      <c r="AD64" s="57"/>
      <c r="AE64" s="57"/>
      <c r="AK64" s="62"/>
      <c r="AL64" s="87"/>
      <c r="AM64" s="87"/>
      <c r="AN64" s="87"/>
      <c r="AO64" s="87"/>
      <c r="AP64" s="87"/>
      <c r="AQ64" s="62"/>
      <c r="AR64" s="84"/>
      <c r="AS64" s="84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09" t="s">
        <v>17</v>
      </c>
      <c r="E65" s="109"/>
      <c r="F65" s="95"/>
      <c r="G65" s="27"/>
      <c r="I65" s="107" t="s">
        <v>18</v>
      </c>
      <c r="J65" s="108"/>
      <c r="K65" s="105" t="s">
        <v>19</v>
      </c>
      <c r="M65" s="62"/>
      <c r="N65" s="65"/>
      <c r="O65" s="97"/>
      <c r="P65" s="104"/>
      <c r="Q65" s="104"/>
      <c r="R65" s="97"/>
      <c r="S65" s="97"/>
      <c r="T65" s="62"/>
      <c r="U65" s="104"/>
      <c r="V65" s="104"/>
      <c r="W65" s="103"/>
      <c r="Z65" s="25"/>
      <c r="AA65" s="26"/>
      <c r="AB65" s="109" t="s">
        <v>17</v>
      </c>
      <c r="AC65" s="109"/>
      <c r="AD65" s="95"/>
      <c r="AE65" s="27"/>
      <c r="AG65" s="107" t="s">
        <v>18</v>
      </c>
      <c r="AH65" s="108"/>
      <c r="AI65" s="105" t="s">
        <v>19</v>
      </c>
      <c r="AK65" s="64"/>
      <c r="AL65" s="87"/>
      <c r="AM65" s="87"/>
      <c r="AN65" s="87"/>
      <c r="AO65" s="87"/>
      <c r="AP65" s="87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9" t="s">
        <v>22</v>
      </c>
      <c r="E66" s="78" t="s">
        <v>23</v>
      </c>
      <c r="F66" s="80" t="s">
        <v>32</v>
      </c>
      <c r="G66" s="80" t="s">
        <v>24</v>
      </c>
      <c r="I66" s="29" t="s">
        <v>25</v>
      </c>
      <c r="J66" s="29" t="s">
        <v>26</v>
      </c>
      <c r="K66" s="106"/>
      <c r="M66" s="62"/>
      <c r="N66" s="97"/>
      <c r="O66" s="97"/>
      <c r="P66" s="81"/>
      <c r="Q66" s="83"/>
      <c r="R66" s="83"/>
      <c r="S66" s="83"/>
      <c r="T66" s="62"/>
      <c r="U66" s="96"/>
      <c r="V66" s="96"/>
      <c r="W66" s="103"/>
      <c r="Z66" s="28" t="s">
        <v>20</v>
      </c>
      <c r="AA66" s="28" t="s">
        <v>21</v>
      </c>
      <c r="AB66" s="79" t="s">
        <v>22</v>
      </c>
      <c r="AC66" s="80" t="s">
        <v>23</v>
      </c>
      <c r="AD66" s="80" t="s">
        <v>32</v>
      </c>
      <c r="AE66" s="80" t="s">
        <v>24</v>
      </c>
      <c r="AG66" s="29" t="s">
        <v>25</v>
      </c>
      <c r="AH66" s="29" t="s">
        <v>26</v>
      </c>
      <c r="AI66" s="106"/>
      <c r="AK66" s="62"/>
      <c r="AL66" s="87"/>
      <c r="AM66" s="87"/>
      <c r="AN66" s="87"/>
      <c r="AO66" s="87"/>
      <c r="AP66" s="87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46082</v>
      </c>
      <c r="C67" s="91">
        <v>8100</v>
      </c>
      <c r="D67" s="32">
        <f>650*8+76</f>
        <v>5276</v>
      </c>
      <c r="E67" s="32"/>
      <c r="F67" s="32"/>
      <c r="G67" s="32">
        <f t="shared" ref="G67:G100" si="19">SUM(D67:E67)</f>
        <v>5276</v>
      </c>
      <c r="H67" s="12"/>
      <c r="I67" s="12"/>
      <c r="J67" s="12"/>
      <c r="K67" s="12">
        <f t="shared" ref="K67:K100" si="20">SUM(G67:J67)</f>
        <v>5276</v>
      </c>
      <c r="M67" s="62"/>
      <c r="N67" s="66"/>
      <c r="O67" s="97"/>
      <c r="P67" s="60"/>
      <c r="Q67" s="60"/>
      <c r="R67" s="60"/>
      <c r="S67" s="60"/>
      <c r="T67" s="61"/>
      <c r="U67" s="61"/>
      <c r="V67" s="61"/>
      <c r="W67" s="61"/>
      <c r="Y67" s="10">
        <v>1</v>
      </c>
      <c r="Z67" s="30">
        <v>46082</v>
      </c>
      <c r="AA67" s="31">
        <v>8234</v>
      </c>
      <c r="AB67" s="32">
        <f>650+622</f>
        <v>1272</v>
      </c>
      <c r="AC67" s="32"/>
      <c r="AD67" s="32"/>
      <c r="AE67" s="32">
        <f>SUM(AB67:AC67)</f>
        <v>1272</v>
      </c>
      <c r="AF67" s="12"/>
      <c r="AG67" s="12"/>
      <c r="AH67" s="12"/>
      <c r="AI67" s="12">
        <f>SUM(AE67:AH67)</f>
        <v>1272</v>
      </c>
      <c r="AK67" s="62"/>
      <c r="AL67" s="65"/>
      <c r="AM67" s="87"/>
      <c r="AN67" s="104"/>
      <c r="AO67" s="104"/>
      <c r="AP67" s="87"/>
      <c r="AQ67" s="62"/>
      <c r="AR67" s="104"/>
      <c r="AS67" s="104"/>
      <c r="AT67" s="103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46082</v>
      </c>
      <c r="C68" s="91">
        <v>8306</v>
      </c>
      <c r="D68" s="32">
        <f>650*432+1050*10+872*20+229*14</f>
        <v>311946</v>
      </c>
      <c r="E68" s="32">
        <v>-2772</v>
      </c>
      <c r="F68" s="32"/>
      <c r="G68" s="32">
        <f t="shared" si="19"/>
        <v>309174</v>
      </c>
      <c r="H68" s="12"/>
      <c r="I68" s="12"/>
      <c r="J68" s="12">
        <f>-1800+-47952+-468</f>
        <v>-50220</v>
      </c>
      <c r="K68" s="12">
        <f t="shared" si="20"/>
        <v>258954</v>
      </c>
      <c r="M68" s="62"/>
      <c r="N68" s="66"/>
      <c r="O68" s="97"/>
      <c r="P68" s="60"/>
      <c r="Q68" s="60"/>
      <c r="R68" s="60"/>
      <c r="S68" s="60"/>
      <c r="T68" s="61"/>
      <c r="U68" s="61"/>
      <c r="V68" s="61"/>
      <c r="W68" s="61"/>
      <c r="Y68" s="10">
        <v>2</v>
      </c>
      <c r="Z68" s="30">
        <v>46082</v>
      </c>
      <c r="AA68" s="31">
        <f>AA67+1</f>
        <v>8235</v>
      </c>
      <c r="AB68" s="32">
        <f>140400</f>
        <v>140400</v>
      </c>
      <c r="AC68" s="32">
        <v>-1296</v>
      </c>
      <c r="AD68" s="32"/>
      <c r="AE68" s="32">
        <f t="shared" ref="AE68:AE70" si="21">SUM(AB68:AC68)</f>
        <v>139104</v>
      </c>
      <c r="AF68" s="12"/>
      <c r="AG68" s="12"/>
      <c r="AH68" s="12"/>
      <c r="AI68" s="12">
        <f t="shared" ref="AI68:AI99" si="22">SUM(AE68:AH68)</f>
        <v>139104</v>
      </c>
      <c r="AK68" s="62"/>
      <c r="AL68" s="87"/>
      <c r="AM68" s="87"/>
      <c r="AN68" s="87"/>
      <c r="AO68" s="86"/>
      <c r="AP68" s="86"/>
      <c r="AQ68" s="62"/>
      <c r="AR68" s="85"/>
      <c r="AS68" s="85"/>
      <c r="AT68" s="103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46082</v>
      </c>
      <c r="C69" s="91">
        <f t="shared" ref="C69:C77" si="23">C68+1</f>
        <v>8307</v>
      </c>
      <c r="D69" s="33">
        <f>11050+1866</f>
        <v>12916</v>
      </c>
      <c r="E69" s="33"/>
      <c r="F69" s="33"/>
      <c r="G69" s="33">
        <f t="shared" si="19"/>
        <v>12916</v>
      </c>
      <c r="H69" s="34"/>
      <c r="I69" s="34"/>
      <c r="J69" s="34"/>
      <c r="K69" s="34">
        <f t="shared" si="20"/>
        <v>12916</v>
      </c>
      <c r="M69" s="62"/>
      <c r="N69" s="66"/>
      <c r="O69" s="97"/>
      <c r="P69" s="60"/>
      <c r="Q69" s="60"/>
      <c r="R69" s="60"/>
      <c r="S69" s="60"/>
      <c r="T69" s="61"/>
      <c r="U69" s="61"/>
      <c r="V69" s="61"/>
      <c r="W69" s="61"/>
      <c r="Y69" s="10">
        <v>3</v>
      </c>
      <c r="Z69" s="30">
        <v>46082</v>
      </c>
      <c r="AA69" s="31">
        <f t="shared" ref="AA69:AA76" si="24">AA68+1</f>
        <v>8236</v>
      </c>
      <c r="AB69" s="33">
        <f>10400+2680+1244+458</f>
        <v>14782</v>
      </c>
      <c r="AC69" s="33"/>
      <c r="AD69" s="32"/>
      <c r="AE69" s="32">
        <f t="shared" si="21"/>
        <v>14782</v>
      </c>
      <c r="AF69" s="12"/>
      <c r="AG69" s="12"/>
      <c r="AH69" s="12"/>
      <c r="AI69" s="12">
        <f t="shared" si="22"/>
        <v>14782</v>
      </c>
      <c r="AK69" s="62"/>
      <c r="AL69" s="66"/>
      <c r="AM69" s="87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46082</v>
      </c>
      <c r="C70" s="91">
        <f t="shared" si="23"/>
        <v>8308</v>
      </c>
      <c r="D70" s="32">
        <f>84500+1145</f>
        <v>85645</v>
      </c>
      <c r="E70" s="32"/>
      <c r="F70" s="32"/>
      <c r="G70" s="32">
        <f t="shared" si="19"/>
        <v>85645</v>
      </c>
      <c r="H70" s="12"/>
      <c r="I70" s="12">
        <f>999+390</f>
        <v>1389</v>
      </c>
      <c r="J70" s="12"/>
      <c r="K70" s="12">
        <f t="shared" si="20"/>
        <v>87034</v>
      </c>
      <c r="M70" s="62"/>
      <c r="N70" s="66"/>
      <c r="O70" s="97"/>
      <c r="P70" s="60"/>
      <c r="Q70" s="60"/>
      <c r="R70" s="60"/>
      <c r="S70" s="60"/>
      <c r="T70" s="61"/>
      <c r="U70" s="61"/>
      <c r="V70" s="61"/>
      <c r="W70" s="61"/>
      <c r="Y70" s="10">
        <v>4</v>
      </c>
      <c r="Z70" s="30">
        <v>46082</v>
      </c>
      <c r="AA70" s="31">
        <f t="shared" si="24"/>
        <v>8237</v>
      </c>
      <c r="AB70" s="32">
        <f>650+1244</f>
        <v>1894</v>
      </c>
      <c r="AC70" s="32"/>
      <c r="AD70" s="32"/>
      <c r="AE70" s="32">
        <f t="shared" si="21"/>
        <v>1894</v>
      </c>
      <c r="AF70" s="12"/>
      <c r="AH70" s="12"/>
      <c r="AI70" s="12">
        <f t="shared" si="22"/>
        <v>1894</v>
      </c>
      <c r="AK70" s="62"/>
      <c r="AL70" s="66"/>
      <c r="AM70" s="87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46082</v>
      </c>
      <c r="C71" s="91">
        <f t="shared" si="23"/>
        <v>8309</v>
      </c>
      <c r="D71" s="32">
        <f>650*50+229</f>
        <v>32729</v>
      </c>
      <c r="E71" s="32"/>
      <c r="F71" s="32"/>
      <c r="G71" s="32">
        <f t="shared" si="19"/>
        <v>32729</v>
      </c>
      <c r="H71" s="12"/>
      <c r="I71" s="12">
        <f>78+4.5</f>
        <v>82.5</v>
      </c>
      <c r="J71" s="12"/>
      <c r="K71" s="12">
        <f t="shared" si="20"/>
        <v>32811.5</v>
      </c>
      <c r="M71" s="62"/>
      <c r="N71" s="66"/>
      <c r="O71" s="65"/>
      <c r="P71" s="60"/>
      <c r="Q71" s="60"/>
      <c r="R71" s="60"/>
      <c r="S71" s="60"/>
      <c r="T71" s="61"/>
      <c r="U71" s="61"/>
      <c r="V71" s="61"/>
      <c r="W71" s="61"/>
      <c r="Y71" s="10">
        <v>5</v>
      </c>
      <c r="Z71" s="30">
        <v>46082</v>
      </c>
      <c r="AA71" s="31">
        <f t="shared" si="24"/>
        <v>8238</v>
      </c>
      <c r="AB71" s="32">
        <f>39000+670*5+622*5+229</f>
        <v>45689</v>
      </c>
      <c r="AC71" s="32"/>
      <c r="AD71" s="32"/>
      <c r="AE71" s="32">
        <f t="shared" ref="AE71:AE76" si="25">SUM(AB71:AC71)</f>
        <v>45689</v>
      </c>
      <c r="AF71" s="12"/>
      <c r="AG71" s="12"/>
      <c r="AH71" s="12"/>
      <c r="AI71" s="12">
        <f t="shared" si="22"/>
        <v>45689</v>
      </c>
      <c r="AK71" s="62"/>
      <c r="AL71" s="66"/>
      <c r="AM71" s="87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46082</v>
      </c>
      <c r="C72" s="91">
        <f t="shared" si="23"/>
        <v>8310</v>
      </c>
      <c r="D72" s="32">
        <f>650*50+700</f>
        <v>33200</v>
      </c>
      <c r="E72" s="32"/>
      <c r="F72" s="32"/>
      <c r="G72" s="32">
        <f t="shared" si="19"/>
        <v>33200</v>
      </c>
      <c r="H72" s="12"/>
      <c r="I72" s="12">
        <f>5550+111</f>
        <v>5661</v>
      </c>
      <c r="J72" s="12"/>
      <c r="K72" s="12">
        <f t="shared" si="20"/>
        <v>38861</v>
      </c>
      <c r="M72" s="62"/>
      <c r="N72" s="66"/>
      <c r="O72" s="97"/>
      <c r="P72" s="60"/>
      <c r="Q72" s="60"/>
      <c r="R72" s="60"/>
      <c r="S72" s="60"/>
      <c r="T72" s="61"/>
      <c r="U72" s="61"/>
      <c r="V72" s="62"/>
      <c r="W72" s="61"/>
      <c r="Y72" s="10">
        <v>6</v>
      </c>
      <c r="Z72" s="30">
        <v>46082</v>
      </c>
      <c r="AA72" s="31">
        <f t="shared" si="24"/>
        <v>8239</v>
      </c>
      <c r="AB72" s="32">
        <f>650*130+973+622*10+229*3</f>
        <v>92380</v>
      </c>
      <c r="AC72" s="32">
        <v>-840</v>
      </c>
      <c r="AD72" s="32"/>
      <c r="AE72" s="32">
        <f t="shared" si="25"/>
        <v>91540</v>
      </c>
      <c r="AF72" s="12"/>
      <c r="AG72" s="12"/>
      <c r="AH72" s="10">
        <v>-7659</v>
      </c>
      <c r="AI72" s="12">
        <f t="shared" si="22"/>
        <v>83881</v>
      </c>
      <c r="AK72" s="62"/>
      <c r="AL72" s="66"/>
      <c r="AM72" s="87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46082</v>
      </c>
      <c r="C73" s="91">
        <f t="shared" si="23"/>
        <v>8311</v>
      </c>
      <c r="D73" s="32">
        <f>3900+57</f>
        <v>3957</v>
      </c>
      <c r="E73" s="32"/>
      <c r="F73" s="32"/>
      <c r="G73" s="32">
        <f t="shared" si="19"/>
        <v>3957</v>
      </c>
      <c r="H73" s="12"/>
      <c r="I73" s="12">
        <v>9</v>
      </c>
      <c r="J73" s="12"/>
      <c r="K73" s="12">
        <f t="shared" si="20"/>
        <v>3966</v>
      </c>
      <c r="M73" s="62"/>
      <c r="N73" s="66"/>
      <c r="O73" s="97"/>
      <c r="P73" s="60"/>
      <c r="Q73" s="60"/>
      <c r="R73" s="60"/>
      <c r="S73" s="60"/>
      <c r="T73" s="61"/>
      <c r="U73" s="61"/>
      <c r="V73" s="61"/>
      <c r="W73" s="61"/>
      <c r="Y73" s="10">
        <v>7</v>
      </c>
      <c r="Z73" s="30">
        <v>46082</v>
      </c>
      <c r="AA73" s="31">
        <f t="shared" si="24"/>
        <v>8240</v>
      </c>
      <c r="AB73" s="32">
        <f>650*30+670*5+622*8+2100+229*3</f>
        <v>30613</v>
      </c>
      <c r="AC73" s="32"/>
      <c r="AD73" s="32"/>
      <c r="AE73" s="32">
        <f t="shared" si="25"/>
        <v>30613</v>
      </c>
      <c r="AF73" s="12"/>
      <c r="AG73" s="58"/>
      <c r="AH73" s="12"/>
      <c r="AI73" s="12">
        <f t="shared" si="22"/>
        <v>30613</v>
      </c>
      <c r="AK73" s="62"/>
      <c r="AL73" s="66"/>
      <c r="AM73" s="87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46082</v>
      </c>
      <c r="C74" s="91">
        <f t="shared" si="23"/>
        <v>8312</v>
      </c>
      <c r="D74" s="32">
        <f>973*60+912*5+1050*6+872*6+500*3</f>
        <v>75972</v>
      </c>
      <c r="E74" s="32"/>
      <c r="F74" s="32"/>
      <c r="G74" s="32">
        <f t="shared" si="19"/>
        <v>75972</v>
      </c>
      <c r="H74" s="12"/>
      <c r="I74" s="12"/>
      <c r="J74" s="12"/>
      <c r="K74" s="12">
        <f t="shared" si="20"/>
        <v>75972</v>
      </c>
      <c r="M74" s="62"/>
      <c r="N74" s="66"/>
      <c r="O74" s="97"/>
      <c r="P74" s="60"/>
      <c r="Q74" s="60"/>
      <c r="R74" s="60"/>
      <c r="S74" s="60"/>
      <c r="T74" s="61"/>
      <c r="U74" s="61"/>
      <c r="V74" s="61"/>
      <c r="W74" s="61"/>
      <c r="Y74" s="10">
        <v>8</v>
      </c>
      <c r="Z74" s="30">
        <v>46082</v>
      </c>
      <c r="AA74" s="31">
        <f t="shared" si="24"/>
        <v>8241</v>
      </c>
      <c r="AB74" s="32">
        <f>2736+650*5</f>
        <v>5986</v>
      </c>
      <c r="AC74" s="32"/>
      <c r="AE74" s="32">
        <f t="shared" si="25"/>
        <v>5986</v>
      </c>
      <c r="AF74" s="12"/>
      <c r="AG74" s="12"/>
      <c r="AH74" s="12"/>
      <c r="AI74" s="12">
        <f t="shared" si="22"/>
        <v>5986</v>
      </c>
      <c r="AK74" s="62"/>
      <c r="AL74" s="66"/>
      <c r="AM74" s="87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46082</v>
      </c>
      <c r="C75" s="91">
        <f t="shared" si="23"/>
        <v>8313</v>
      </c>
      <c r="D75" s="32">
        <f>9750+1244</f>
        <v>10994</v>
      </c>
      <c r="E75" s="32"/>
      <c r="F75" s="32"/>
      <c r="G75" s="32">
        <f t="shared" si="19"/>
        <v>10994</v>
      </c>
      <c r="H75" s="12"/>
      <c r="I75" s="12"/>
      <c r="J75" s="12"/>
      <c r="K75" s="12">
        <f t="shared" si="20"/>
        <v>10994</v>
      </c>
      <c r="M75" s="62"/>
      <c r="N75" s="66"/>
      <c r="O75" s="97"/>
      <c r="P75" s="60"/>
      <c r="Q75" s="60"/>
      <c r="R75" s="60"/>
      <c r="S75" s="60"/>
      <c r="T75" s="61"/>
      <c r="U75" s="61"/>
      <c r="V75" s="61"/>
      <c r="W75" s="61"/>
      <c r="Y75" s="10">
        <v>9</v>
      </c>
      <c r="Z75" s="30">
        <v>46082</v>
      </c>
      <c r="AA75" s="31">
        <f t="shared" si="24"/>
        <v>8242</v>
      </c>
      <c r="AB75" s="32">
        <f>650*27+670+622*10</f>
        <v>24440</v>
      </c>
      <c r="AC75" s="32"/>
      <c r="AD75" s="32"/>
      <c r="AE75" s="32">
        <f t="shared" si="25"/>
        <v>24440</v>
      </c>
      <c r="AF75" s="12"/>
      <c r="AH75" s="12"/>
      <c r="AI75" s="12">
        <f t="shared" si="22"/>
        <v>24440</v>
      </c>
      <c r="AK75" s="62"/>
      <c r="AL75" s="66"/>
      <c r="AM75" s="87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46082</v>
      </c>
      <c r="C76" s="91">
        <v>8151</v>
      </c>
      <c r="D76" s="32">
        <f>7260+2488+152</f>
        <v>9900</v>
      </c>
      <c r="E76" s="32"/>
      <c r="F76" s="32"/>
      <c r="G76" s="32">
        <f t="shared" si="19"/>
        <v>9900</v>
      </c>
      <c r="H76" s="12"/>
      <c r="I76" s="12"/>
      <c r="J76" s="12"/>
      <c r="K76" s="12">
        <f t="shared" si="20"/>
        <v>9900</v>
      </c>
      <c r="M76" s="62"/>
      <c r="N76" s="66"/>
      <c r="O76" s="97"/>
      <c r="P76" s="60"/>
      <c r="Q76" s="60"/>
      <c r="R76" s="60"/>
      <c r="S76" s="60"/>
      <c r="T76" s="61"/>
      <c r="U76" s="61"/>
      <c r="V76" s="61"/>
      <c r="W76" s="61"/>
      <c r="Y76" s="10">
        <v>10</v>
      </c>
      <c r="Z76" s="30">
        <v>46082</v>
      </c>
      <c r="AA76" s="31">
        <f t="shared" si="24"/>
        <v>8243</v>
      </c>
      <c r="AB76" s="32">
        <f>1175+229</f>
        <v>1404</v>
      </c>
      <c r="AC76" s="32"/>
      <c r="AD76" s="32"/>
      <c r="AE76" s="32">
        <f t="shared" si="25"/>
        <v>1404</v>
      </c>
      <c r="AF76" s="12"/>
      <c r="AG76" s="12">
        <v>36</v>
      </c>
      <c r="AH76" s="12"/>
      <c r="AI76" s="12">
        <f t="shared" si="22"/>
        <v>1440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46082</v>
      </c>
      <c r="C77" s="91">
        <f t="shared" si="23"/>
        <v>8152</v>
      </c>
      <c r="D77" s="32">
        <f>3900+57</f>
        <v>3957</v>
      </c>
      <c r="E77" s="32"/>
      <c r="F77" s="32"/>
      <c r="G77" s="32">
        <f t="shared" si="19"/>
        <v>3957</v>
      </c>
      <c r="H77" s="12"/>
      <c r="I77" s="12">
        <f>4.5+6</f>
        <v>10.5</v>
      </c>
      <c r="J77" s="12"/>
      <c r="K77" s="12">
        <f t="shared" si="20"/>
        <v>3967.5</v>
      </c>
      <c r="M77" s="62"/>
      <c r="N77" s="66"/>
      <c r="O77" s="97"/>
      <c r="P77" s="60"/>
      <c r="Q77" s="60"/>
      <c r="R77" s="60"/>
      <c r="S77" s="60"/>
      <c r="T77" s="61"/>
      <c r="U77" s="61"/>
      <c r="V77" s="61"/>
      <c r="W77" s="61"/>
      <c r="Y77" s="10">
        <v>11</v>
      </c>
      <c r="Z77" s="30"/>
      <c r="AA77" s="11" t="s">
        <v>27</v>
      </c>
      <c r="AB77" s="32"/>
      <c r="AC77" s="32"/>
      <c r="AD77" s="32"/>
      <c r="AE77" s="32">
        <f t="shared" ref="AE77:AE99" si="26">SUM(AB77:AC77)</f>
        <v>0</v>
      </c>
      <c r="AF77" s="12"/>
      <c r="AG77" s="12"/>
      <c r="AH77" s="12"/>
      <c r="AI77" s="12">
        <f t="shared" si="22"/>
        <v>0</v>
      </c>
      <c r="AK77" s="62"/>
      <c r="AL77" s="66"/>
      <c r="AM77" s="87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11" t="s">
        <v>27</v>
      </c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M78" s="62"/>
      <c r="N78" s="66"/>
      <c r="O78" s="97"/>
      <c r="P78" s="60"/>
      <c r="Q78" s="60"/>
      <c r="R78" s="60"/>
      <c r="S78" s="60"/>
      <c r="T78" s="61"/>
      <c r="U78" s="61"/>
      <c r="V78" s="61"/>
      <c r="W78" s="61"/>
      <c r="Y78" s="10">
        <v>12</v>
      </c>
      <c r="Z78" s="30"/>
      <c r="AA78" s="31"/>
      <c r="AB78" s="32"/>
      <c r="AC78" s="32"/>
      <c r="AD78" s="32"/>
      <c r="AE78" s="32">
        <f t="shared" si="26"/>
        <v>0</v>
      </c>
      <c r="AF78" s="12"/>
      <c r="AG78" s="12"/>
      <c r="AH78" s="12"/>
      <c r="AI78" s="12">
        <f t="shared" si="22"/>
        <v>0</v>
      </c>
      <c r="AK78" s="62"/>
      <c r="AL78" s="66"/>
      <c r="AM78" s="87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91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M79" s="62"/>
      <c r="N79" s="66"/>
      <c r="O79" s="97"/>
      <c r="P79" s="60"/>
      <c r="Q79" s="60"/>
      <c r="R79" s="60"/>
      <c r="S79" s="60"/>
      <c r="T79" s="61"/>
      <c r="U79" s="61"/>
      <c r="V79" s="61"/>
      <c r="W79" s="61"/>
      <c r="Y79" s="10">
        <v>13</v>
      </c>
      <c r="Z79" s="30"/>
      <c r="AA79" s="31"/>
      <c r="AB79" s="32"/>
      <c r="AC79" s="32"/>
      <c r="AD79" s="32"/>
      <c r="AE79" s="32">
        <f t="shared" si="26"/>
        <v>0</v>
      </c>
      <c r="AF79" s="12"/>
      <c r="AG79" s="12"/>
      <c r="AH79" s="12"/>
      <c r="AI79" s="12">
        <f t="shared" si="22"/>
        <v>0</v>
      </c>
      <c r="AK79" s="62"/>
      <c r="AL79" s="66"/>
      <c r="AM79" s="87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91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62"/>
      <c r="N80" s="66"/>
      <c r="O80" s="97"/>
      <c r="P80" s="60"/>
      <c r="Q80" s="60"/>
      <c r="R80" s="60"/>
      <c r="S80" s="60"/>
      <c r="T80" s="61"/>
      <c r="U80" s="61"/>
      <c r="V80" s="61"/>
      <c r="W80" s="61"/>
      <c r="Y80" s="10">
        <v>14</v>
      </c>
      <c r="Z80" s="30"/>
      <c r="AA80" s="31"/>
      <c r="AB80" s="32"/>
      <c r="AC80" s="32"/>
      <c r="AD80" s="32"/>
      <c r="AE80" s="32">
        <f t="shared" si="26"/>
        <v>0</v>
      </c>
      <c r="AF80" s="12"/>
      <c r="AG80" s="12"/>
      <c r="AH80" s="12"/>
      <c r="AI80" s="12">
        <f t="shared" si="22"/>
        <v>0</v>
      </c>
      <c r="AK80" s="62"/>
      <c r="AL80" s="66"/>
      <c r="AM80" s="87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91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62"/>
      <c r="N81" s="66"/>
      <c r="O81" s="97"/>
      <c r="P81" s="60"/>
      <c r="Q81" s="60"/>
      <c r="R81" s="60"/>
      <c r="S81" s="60"/>
      <c r="T81" s="61"/>
      <c r="U81" s="61"/>
      <c r="V81" s="61"/>
      <c r="W81" s="61"/>
      <c r="Y81" s="10">
        <v>15</v>
      </c>
      <c r="Z81" s="30"/>
      <c r="AA81" s="31"/>
      <c r="AB81" s="32"/>
      <c r="AC81" s="32"/>
      <c r="AD81" s="32"/>
      <c r="AE81" s="32">
        <f t="shared" si="26"/>
        <v>0</v>
      </c>
      <c r="AF81" s="12"/>
      <c r="AG81" s="12"/>
      <c r="AH81" s="12"/>
      <c r="AI81" s="12">
        <f t="shared" si="22"/>
        <v>0</v>
      </c>
      <c r="AK81" s="62"/>
      <c r="AL81" s="66"/>
      <c r="AM81" s="87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91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62"/>
      <c r="N82" s="66"/>
      <c r="O82" s="97"/>
      <c r="P82" s="60"/>
      <c r="Q82" s="60"/>
      <c r="R82" s="60"/>
      <c r="S82" s="60"/>
      <c r="T82" s="61"/>
      <c r="U82" s="61"/>
      <c r="V82" s="61"/>
      <c r="W82" s="61"/>
      <c r="Y82" s="10">
        <v>16</v>
      </c>
      <c r="Z82" s="30"/>
      <c r="AA82" s="31"/>
      <c r="AB82" s="32"/>
      <c r="AC82" s="32"/>
      <c r="AD82" s="32"/>
      <c r="AE82" s="32">
        <f t="shared" si="26"/>
        <v>0</v>
      </c>
      <c r="AF82" s="12"/>
      <c r="AG82" s="12"/>
      <c r="AH82" s="12"/>
      <c r="AI82" s="12">
        <f t="shared" si="22"/>
        <v>0</v>
      </c>
      <c r="AK82" s="62"/>
      <c r="AL82" s="66"/>
      <c r="AM82" s="87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91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62"/>
      <c r="N83" s="66"/>
      <c r="O83" s="97"/>
      <c r="P83" s="60"/>
      <c r="Q83" s="60"/>
      <c r="R83" s="60"/>
      <c r="S83" s="60"/>
      <c r="T83" s="61"/>
      <c r="U83" s="61"/>
      <c r="V83" s="61"/>
      <c r="W83" s="61"/>
      <c r="Y83" s="10">
        <v>17</v>
      </c>
      <c r="Z83" s="30"/>
      <c r="AA83" s="31"/>
      <c r="AB83" s="35"/>
      <c r="AC83" s="32"/>
      <c r="AD83" s="32"/>
      <c r="AE83" s="32">
        <f t="shared" si="26"/>
        <v>0</v>
      </c>
      <c r="AF83" s="12"/>
      <c r="AG83" s="12"/>
      <c r="AH83" s="12"/>
      <c r="AI83" s="12">
        <f t="shared" si="22"/>
        <v>0</v>
      </c>
      <c r="AK83" s="62"/>
      <c r="AL83" s="66"/>
      <c r="AM83" s="87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91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62"/>
      <c r="N84" s="66"/>
      <c r="O84" s="97"/>
      <c r="P84" s="60"/>
      <c r="Q84" s="60"/>
      <c r="R84" s="60"/>
      <c r="S84" s="60"/>
      <c r="T84" s="61"/>
      <c r="U84" s="61"/>
      <c r="V84" s="61"/>
      <c r="W84" s="61"/>
      <c r="Y84" s="10">
        <v>18</v>
      </c>
      <c r="Z84" s="30"/>
      <c r="AA84" s="31"/>
      <c r="AB84" s="32"/>
      <c r="AC84" s="32"/>
      <c r="AD84" s="32"/>
      <c r="AE84" s="32">
        <f t="shared" si="26"/>
        <v>0</v>
      </c>
      <c r="AF84" s="12"/>
      <c r="AG84" s="12"/>
      <c r="AH84" s="12"/>
      <c r="AI84" s="12">
        <f t="shared" si="22"/>
        <v>0</v>
      </c>
      <c r="AK84" s="62"/>
      <c r="AL84" s="66"/>
      <c r="AM84" s="87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91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62"/>
      <c r="N85" s="66"/>
      <c r="O85" s="97"/>
      <c r="P85" s="60"/>
      <c r="Q85" s="60"/>
      <c r="R85" s="60"/>
      <c r="S85" s="60"/>
      <c r="T85" s="61"/>
      <c r="U85" s="61"/>
      <c r="V85" s="61"/>
      <c r="W85" s="61"/>
      <c r="Y85" s="10">
        <v>19</v>
      </c>
      <c r="Z85" s="30"/>
      <c r="AA85" s="31"/>
      <c r="AB85" s="32"/>
      <c r="AC85" s="32"/>
      <c r="AD85" s="32"/>
      <c r="AE85" s="32">
        <f t="shared" si="26"/>
        <v>0</v>
      </c>
      <c r="AF85" s="12"/>
      <c r="AG85" s="12"/>
      <c r="AH85" s="12"/>
      <c r="AI85" s="12">
        <f t="shared" si="22"/>
        <v>0</v>
      </c>
      <c r="AK85" s="62"/>
      <c r="AL85" s="66"/>
      <c r="AM85" s="87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62"/>
      <c r="N86" s="66"/>
      <c r="O86" s="97"/>
      <c r="P86" s="60"/>
      <c r="Q86" s="60"/>
      <c r="R86" s="60"/>
      <c r="S86" s="60"/>
      <c r="T86" s="61"/>
      <c r="U86" s="61"/>
      <c r="V86" s="61"/>
      <c r="W86" s="61"/>
      <c r="Y86" s="10">
        <v>20</v>
      </c>
      <c r="Z86" s="30"/>
      <c r="AA86" s="31"/>
      <c r="AB86" s="32"/>
      <c r="AC86" s="32"/>
      <c r="AD86" s="32"/>
      <c r="AE86" s="32">
        <f t="shared" si="26"/>
        <v>0</v>
      </c>
      <c r="AF86" s="12"/>
      <c r="AG86" s="12"/>
      <c r="AH86" s="12"/>
      <c r="AI86" s="12">
        <f t="shared" si="22"/>
        <v>0</v>
      </c>
      <c r="AK86" s="62"/>
      <c r="AL86" s="66"/>
      <c r="AM86" s="87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91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62"/>
      <c r="N87" s="66"/>
      <c r="O87" s="62"/>
      <c r="P87" s="67"/>
      <c r="Q87" s="97"/>
      <c r="R87" s="97"/>
      <c r="S87" s="60"/>
      <c r="T87" s="62"/>
      <c r="U87" s="62"/>
      <c r="V87" s="62"/>
      <c r="W87" s="61"/>
      <c r="Y87" s="10">
        <v>21</v>
      </c>
      <c r="Z87" s="30"/>
      <c r="AB87" s="46"/>
      <c r="AC87" s="31"/>
      <c r="AD87" s="31"/>
      <c r="AE87" s="32">
        <f t="shared" si="26"/>
        <v>0</v>
      </c>
      <c r="AF87" s="10"/>
      <c r="AG87" s="10"/>
      <c r="AH87" s="10"/>
      <c r="AI87" s="12">
        <f t="shared" si="22"/>
        <v>0</v>
      </c>
      <c r="AK87" s="62"/>
      <c r="AL87" s="66"/>
      <c r="AM87" s="87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91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62"/>
      <c r="N88" s="66"/>
      <c r="O88" s="62"/>
      <c r="P88" s="68"/>
      <c r="Q88" s="97"/>
      <c r="R88" s="97"/>
      <c r="S88" s="60"/>
      <c r="T88" s="62"/>
      <c r="U88" s="62"/>
      <c r="V88" s="62"/>
      <c r="W88" s="61"/>
      <c r="Y88" s="10">
        <v>22</v>
      </c>
      <c r="Z88" s="30"/>
      <c r="AA88" s="31"/>
      <c r="AB88" s="45"/>
      <c r="AC88" s="31"/>
      <c r="AD88" s="31"/>
      <c r="AE88" s="32">
        <f t="shared" si="26"/>
        <v>0</v>
      </c>
      <c r="AF88" s="10"/>
      <c r="AG88" s="10"/>
      <c r="AH88" s="10"/>
      <c r="AI88" s="12">
        <f t="shared" si="22"/>
        <v>0</v>
      </c>
      <c r="AK88" s="62"/>
      <c r="AL88" s="66"/>
      <c r="AM88" s="87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91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62"/>
      <c r="N89" s="66"/>
      <c r="O89" s="97"/>
      <c r="P89" s="69"/>
      <c r="Q89" s="62"/>
      <c r="R89" s="62"/>
      <c r="S89" s="60"/>
      <c r="T89" s="62"/>
      <c r="U89" s="62"/>
      <c r="V89" s="62"/>
      <c r="W89" s="61"/>
      <c r="Y89" s="10">
        <v>23</v>
      </c>
      <c r="Z89" s="30"/>
      <c r="AA89" s="31"/>
      <c r="AB89" s="47"/>
      <c r="AE89" s="32">
        <f t="shared" si="26"/>
        <v>0</v>
      </c>
      <c r="AF89" s="10"/>
      <c r="AG89" s="10"/>
      <c r="AH89" s="10"/>
      <c r="AI89" s="12">
        <f t="shared" si="22"/>
        <v>0</v>
      </c>
      <c r="AK89" s="62"/>
      <c r="AL89" s="66"/>
      <c r="AM89" s="87"/>
      <c r="AN89" s="67"/>
      <c r="AO89" s="87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91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62"/>
      <c r="N90" s="66"/>
      <c r="O90" s="65"/>
      <c r="P90" s="69"/>
      <c r="Q90" s="97"/>
      <c r="R90" s="97"/>
      <c r="S90" s="60"/>
      <c r="T90" s="62"/>
      <c r="U90" s="62"/>
      <c r="V90" s="62"/>
      <c r="W90" s="61"/>
      <c r="Y90" s="10">
        <v>24</v>
      </c>
      <c r="Z90" s="30"/>
      <c r="AA90" s="31"/>
      <c r="AB90" s="47"/>
      <c r="AC90" s="31"/>
      <c r="AD90" s="31"/>
      <c r="AE90" s="32">
        <f t="shared" si="26"/>
        <v>0</v>
      </c>
      <c r="AF90" s="10"/>
      <c r="AG90" s="10"/>
      <c r="AH90" s="10"/>
      <c r="AI90" s="12">
        <f t="shared" si="22"/>
        <v>0</v>
      </c>
      <c r="AK90" s="62"/>
      <c r="AL90" s="66"/>
      <c r="AM90" s="87"/>
      <c r="AN90" s="68"/>
      <c r="AO90" s="87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91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62"/>
      <c r="N91" s="66"/>
      <c r="O91" s="97"/>
      <c r="P91" s="69"/>
      <c r="Q91" s="97"/>
      <c r="R91" s="97"/>
      <c r="S91" s="60"/>
      <c r="T91" s="62"/>
      <c r="U91" s="62"/>
      <c r="V91" s="62"/>
      <c r="W91" s="61"/>
      <c r="Y91" s="10">
        <v>25</v>
      </c>
      <c r="Z91" s="30"/>
      <c r="AA91" s="31"/>
      <c r="AB91" s="47"/>
      <c r="AC91" s="31"/>
      <c r="AD91" s="31"/>
      <c r="AE91" s="32">
        <f t="shared" si="26"/>
        <v>0</v>
      </c>
      <c r="AF91" s="10"/>
      <c r="AG91" s="10"/>
      <c r="AH91" s="10"/>
      <c r="AI91" s="12">
        <f t="shared" si="22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91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62"/>
      <c r="N92" s="66"/>
      <c r="O92" s="97"/>
      <c r="P92" s="69"/>
      <c r="Q92" s="97"/>
      <c r="R92" s="97"/>
      <c r="S92" s="60"/>
      <c r="T92" s="62"/>
      <c r="U92" s="62"/>
      <c r="V92" s="62"/>
      <c r="W92" s="61"/>
      <c r="Y92" s="10">
        <v>26</v>
      </c>
      <c r="Z92" s="30"/>
      <c r="AA92" s="31"/>
      <c r="AB92" s="47"/>
      <c r="AC92" s="31"/>
      <c r="AD92" s="31"/>
      <c r="AE92" s="32">
        <f t="shared" si="26"/>
        <v>0</v>
      </c>
      <c r="AF92" s="10"/>
      <c r="AG92" s="10"/>
      <c r="AH92" s="10"/>
      <c r="AI92" s="12">
        <f t="shared" si="22"/>
        <v>0</v>
      </c>
      <c r="AK92" s="62"/>
      <c r="AL92" s="66"/>
      <c r="AM92" s="87"/>
      <c r="AN92" s="69"/>
      <c r="AO92" s="87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91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62"/>
      <c r="N93" s="66"/>
      <c r="O93" s="97"/>
      <c r="P93" s="69"/>
      <c r="Q93" s="97"/>
      <c r="R93" s="97"/>
      <c r="S93" s="60"/>
      <c r="T93" s="62"/>
      <c r="U93" s="62"/>
      <c r="V93" s="62"/>
      <c r="W93" s="61"/>
      <c r="Y93" s="10">
        <v>27</v>
      </c>
      <c r="Z93" s="30"/>
      <c r="AA93" s="31"/>
      <c r="AB93" s="47"/>
      <c r="AC93" s="31"/>
      <c r="AD93" s="31"/>
      <c r="AE93" s="32">
        <f t="shared" si="26"/>
        <v>0</v>
      </c>
      <c r="AF93" s="10"/>
      <c r="AG93" s="10"/>
      <c r="AH93" s="10"/>
      <c r="AI93" s="12">
        <f t="shared" si="22"/>
        <v>0</v>
      </c>
      <c r="AK93" s="62"/>
      <c r="AL93" s="66"/>
      <c r="AM93" s="87"/>
      <c r="AN93" s="69"/>
      <c r="AO93" s="87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91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62"/>
      <c r="N94" s="66"/>
      <c r="O94" s="97"/>
      <c r="P94" s="69"/>
      <c r="Q94" s="97"/>
      <c r="R94" s="97"/>
      <c r="S94" s="60"/>
      <c r="T94" s="62"/>
      <c r="U94" s="62"/>
      <c r="V94" s="62"/>
      <c r="W94" s="61"/>
      <c r="Y94" s="10">
        <v>28</v>
      </c>
      <c r="Z94" s="30"/>
      <c r="AA94" s="31"/>
      <c r="AB94" s="47"/>
      <c r="AC94" s="31"/>
      <c r="AD94" s="31"/>
      <c r="AE94" s="32">
        <f t="shared" si="26"/>
        <v>0</v>
      </c>
      <c r="AF94" s="10"/>
      <c r="AG94" s="10"/>
      <c r="AH94" s="10"/>
      <c r="AI94" s="12">
        <f t="shared" si="22"/>
        <v>0</v>
      </c>
      <c r="AK94" s="62"/>
      <c r="AL94" s="66"/>
      <c r="AM94" s="62"/>
      <c r="AN94" s="69"/>
      <c r="AO94" s="87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91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62"/>
      <c r="N95" s="66"/>
      <c r="O95" s="62"/>
      <c r="P95" s="69"/>
      <c r="Q95" s="97"/>
      <c r="R95" s="97"/>
      <c r="S95" s="60"/>
      <c r="T95" s="62"/>
      <c r="U95" s="62"/>
      <c r="V95" s="62"/>
      <c r="W95" s="61"/>
      <c r="Y95" s="10">
        <v>29</v>
      </c>
      <c r="Z95" s="30"/>
      <c r="AA95" s="31"/>
      <c r="AB95" s="47"/>
      <c r="AC95" s="31"/>
      <c r="AD95" s="31"/>
      <c r="AE95" s="32">
        <f t="shared" si="26"/>
        <v>0</v>
      </c>
      <c r="AF95" s="10"/>
      <c r="AG95" s="10"/>
      <c r="AH95" s="10"/>
      <c r="AI95" s="12">
        <f t="shared" si="22"/>
        <v>0</v>
      </c>
      <c r="AK95" s="62"/>
      <c r="AL95" s="66"/>
      <c r="AM95" s="87"/>
      <c r="AN95" s="69"/>
      <c r="AO95" s="87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91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62"/>
      <c r="N96" s="66"/>
      <c r="O96" s="62"/>
      <c r="P96" s="69"/>
      <c r="Q96" s="97"/>
      <c r="R96" s="97"/>
      <c r="S96" s="60"/>
      <c r="T96" s="62"/>
      <c r="U96" s="62"/>
      <c r="V96" s="62"/>
      <c r="W96" s="61"/>
      <c r="Y96" s="10">
        <v>30</v>
      </c>
      <c r="Z96" s="30"/>
      <c r="AA96" s="31"/>
      <c r="AB96" s="47"/>
      <c r="AC96" s="31"/>
      <c r="AD96" s="31"/>
      <c r="AE96" s="32">
        <f t="shared" si="26"/>
        <v>0</v>
      </c>
      <c r="AF96" s="10"/>
      <c r="AG96" s="10"/>
      <c r="AH96" s="10"/>
      <c r="AI96" s="12">
        <f t="shared" si="22"/>
        <v>0</v>
      </c>
      <c r="AK96" s="62"/>
      <c r="AL96" s="66"/>
      <c r="AM96" s="87"/>
      <c r="AN96" s="69"/>
      <c r="AO96" s="87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91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62"/>
      <c r="N97" s="66"/>
      <c r="O97" s="97"/>
      <c r="P97" s="69"/>
      <c r="Q97" s="97"/>
      <c r="R97" s="97"/>
      <c r="S97" s="60"/>
      <c r="T97" s="62"/>
      <c r="U97" s="62"/>
      <c r="V97" s="62"/>
      <c r="W97" s="61"/>
      <c r="Y97" s="10">
        <v>31</v>
      </c>
      <c r="Z97" s="30"/>
      <c r="AA97" s="31"/>
      <c r="AB97" s="47"/>
      <c r="AC97" s="31"/>
      <c r="AD97" s="31"/>
      <c r="AE97" s="32">
        <f t="shared" si="26"/>
        <v>0</v>
      </c>
      <c r="AF97" s="10"/>
      <c r="AG97" s="10"/>
      <c r="AH97" s="10"/>
      <c r="AI97" s="12">
        <f t="shared" si="22"/>
        <v>0</v>
      </c>
      <c r="AK97" s="62"/>
      <c r="AL97" s="66"/>
      <c r="AM97" s="87"/>
      <c r="AN97" s="69"/>
      <c r="AO97" s="87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91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62"/>
      <c r="N98" s="66"/>
      <c r="O98" s="62"/>
      <c r="P98" s="69"/>
      <c r="Q98" s="97"/>
      <c r="R98" s="97"/>
      <c r="S98" s="60"/>
      <c r="T98" s="62"/>
      <c r="U98" s="62"/>
      <c r="V98" s="62"/>
      <c r="W98" s="61"/>
      <c r="Y98" s="10">
        <v>32</v>
      </c>
      <c r="Z98" s="30"/>
      <c r="AA98" s="31"/>
      <c r="AB98" s="47"/>
      <c r="AC98" s="31"/>
      <c r="AD98" s="31"/>
      <c r="AE98" s="32">
        <f t="shared" si="26"/>
        <v>0</v>
      </c>
      <c r="AF98" s="10"/>
      <c r="AG98" s="10"/>
      <c r="AH98" s="10"/>
      <c r="AI98" s="12">
        <f t="shared" si="22"/>
        <v>0</v>
      </c>
      <c r="AK98" s="62"/>
      <c r="AL98" s="66"/>
      <c r="AM98" s="87"/>
      <c r="AN98" s="69"/>
      <c r="AO98" s="87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91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62"/>
      <c r="N99" s="66"/>
      <c r="O99" s="97"/>
      <c r="P99" s="69"/>
      <c r="Q99" s="97"/>
      <c r="R99" s="97"/>
      <c r="S99" s="60"/>
      <c r="T99" s="62"/>
      <c r="U99" s="62"/>
      <c r="V99" s="62"/>
      <c r="W99" s="61"/>
      <c r="Y99" s="10">
        <v>33</v>
      </c>
      <c r="Z99" s="30"/>
      <c r="AA99" s="31"/>
      <c r="AB99" s="47"/>
      <c r="AC99" s="31"/>
      <c r="AD99" s="31"/>
      <c r="AE99" s="32">
        <f t="shared" si="26"/>
        <v>0</v>
      </c>
      <c r="AF99" s="10"/>
      <c r="AG99" s="10"/>
      <c r="AH99" s="10"/>
      <c r="AI99" s="12">
        <f t="shared" si="22"/>
        <v>0</v>
      </c>
      <c r="AK99" s="62"/>
      <c r="AL99" s="66"/>
      <c r="AM99" s="87"/>
      <c r="AN99" s="69"/>
      <c r="AO99" s="87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91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62"/>
      <c r="N100" s="66"/>
      <c r="O100" s="97"/>
      <c r="P100" s="69"/>
      <c r="Q100" s="97"/>
      <c r="R100" s="97"/>
      <c r="S100" s="60"/>
      <c r="T100" s="62"/>
      <c r="U100" s="62"/>
      <c r="V100" s="62"/>
      <c r="W100" s="61"/>
      <c r="Y100" s="10">
        <v>34</v>
      </c>
      <c r="Z100" s="30"/>
      <c r="AA100" s="31"/>
      <c r="AB100" s="47"/>
      <c r="AC100" s="31"/>
      <c r="AD100" s="31"/>
      <c r="AE100" s="32">
        <f t="shared" ref="AE100:AE105" si="27">SUM(AB100:AC100)</f>
        <v>0</v>
      </c>
      <c r="AF100" s="10"/>
      <c r="AG100" s="10"/>
      <c r="AH100" s="10"/>
      <c r="AI100" s="12">
        <f t="shared" ref="AI100:AI108" si="28">SUM(AE100:AH100)</f>
        <v>0</v>
      </c>
      <c r="AK100" s="62"/>
      <c r="AL100" s="66"/>
      <c r="AM100" s="87"/>
      <c r="AN100" s="69"/>
      <c r="AO100" s="87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91"/>
      <c r="D101" s="32"/>
      <c r="E101" s="32"/>
      <c r="F101" s="32"/>
      <c r="G101" s="32"/>
      <c r="H101" s="10"/>
      <c r="I101" s="10"/>
      <c r="J101" s="10"/>
      <c r="K101" s="12"/>
      <c r="M101" s="62"/>
      <c r="N101" s="66"/>
      <c r="O101" s="97"/>
      <c r="P101" s="69"/>
      <c r="Q101" s="97"/>
      <c r="R101" s="97"/>
      <c r="S101" s="60"/>
      <c r="T101" s="62"/>
      <c r="U101" s="62"/>
      <c r="V101" s="62"/>
      <c r="W101" s="61"/>
      <c r="Y101" s="10">
        <v>35</v>
      </c>
      <c r="Z101" s="30"/>
      <c r="AA101" s="31"/>
      <c r="AB101" s="47"/>
      <c r="AC101" s="31"/>
      <c r="AD101" s="31"/>
      <c r="AE101" s="32">
        <f t="shared" si="27"/>
        <v>0</v>
      </c>
      <c r="AF101" s="10"/>
      <c r="AG101" s="10"/>
      <c r="AH101" s="10"/>
      <c r="AI101" s="12">
        <f t="shared" si="28"/>
        <v>0</v>
      </c>
      <c r="AK101" s="62"/>
      <c r="AL101" s="66"/>
      <c r="AM101" s="87"/>
      <c r="AN101" s="69"/>
      <c r="AO101" s="87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91"/>
      <c r="D102" s="32"/>
      <c r="E102" s="32"/>
      <c r="F102" s="32"/>
      <c r="G102" s="32"/>
      <c r="H102" s="10"/>
      <c r="I102" s="10"/>
      <c r="J102" s="10"/>
      <c r="K102" s="12"/>
      <c r="M102" s="62"/>
      <c r="N102" s="66"/>
      <c r="O102" s="97"/>
      <c r="P102" s="69"/>
      <c r="Q102" s="97"/>
      <c r="R102" s="97"/>
      <c r="S102" s="60"/>
      <c r="T102" s="62"/>
      <c r="U102" s="62"/>
      <c r="V102" s="62"/>
      <c r="W102" s="61"/>
      <c r="Y102" s="10">
        <v>36</v>
      </c>
      <c r="Z102" s="30"/>
      <c r="AA102" s="31"/>
      <c r="AB102" s="47"/>
      <c r="AC102" s="31"/>
      <c r="AD102" s="31"/>
      <c r="AE102" s="32">
        <f t="shared" si="27"/>
        <v>0</v>
      </c>
      <c r="AF102" s="10"/>
      <c r="AG102" s="10"/>
      <c r="AH102" s="10"/>
      <c r="AI102" s="12">
        <f t="shared" si="28"/>
        <v>0</v>
      </c>
      <c r="AK102" s="62"/>
      <c r="AL102" s="66"/>
      <c r="AM102" s="87"/>
      <c r="AN102" s="69"/>
      <c r="AO102" s="87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62"/>
      <c r="N103" s="66"/>
      <c r="O103" s="62"/>
      <c r="P103" s="69"/>
      <c r="Q103" s="97"/>
      <c r="R103" s="97"/>
      <c r="S103" s="60"/>
      <c r="T103" s="62"/>
      <c r="U103" s="62"/>
      <c r="V103" s="62"/>
      <c r="W103" s="61"/>
      <c r="Y103" s="10">
        <v>37</v>
      </c>
      <c r="Z103" s="30"/>
      <c r="AA103" s="31"/>
      <c r="AB103" s="47"/>
      <c r="AC103" s="31"/>
      <c r="AD103" s="31"/>
      <c r="AE103" s="32">
        <f t="shared" si="27"/>
        <v>0</v>
      </c>
      <c r="AF103" s="10"/>
      <c r="AG103" s="10"/>
      <c r="AH103" s="10"/>
      <c r="AI103" s="12">
        <f t="shared" si="28"/>
        <v>0</v>
      </c>
      <c r="AK103" s="62"/>
      <c r="AL103" s="66"/>
      <c r="AM103" s="87"/>
      <c r="AN103" s="69"/>
      <c r="AO103" s="87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62"/>
      <c r="N104" s="66"/>
      <c r="O104" s="97"/>
      <c r="P104" s="69"/>
      <c r="Q104" s="97"/>
      <c r="R104" s="97"/>
      <c r="S104" s="60"/>
      <c r="T104" s="62"/>
      <c r="U104" s="62"/>
      <c r="V104" s="62"/>
      <c r="W104" s="61"/>
      <c r="Y104" s="10">
        <v>38</v>
      </c>
      <c r="Z104" s="30"/>
      <c r="AA104" s="31"/>
      <c r="AB104" s="47"/>
      <c r="AC104" s="31"/>
      <c r="AD104" s="31"/>
      <c r="AE104" s="32">
        <f t="shared" si="27"/>
        <v>0</v>
      </c>
      <c r="AF104" s="10"/>
      <c r="AG104" s="10"/>
      <c r="AH104" s="10"/>
      <c r="AI104" s="12">
        <f t="shared" si="28"/>
        <v>0</v>
      </c>
      <c r="AK104" s="62"/>
      <c r="AL104" s="66"/>
      <c r="AM104" s="87"/>
      <c r="AN104" s="69"/>
      <c r="AO104" s="87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62"/>
      <c r="N105" s="66"/>
      <c r="O105" s="97"/>
      <c r="P105" s="69"/>
      <c r="Q105" s="97"/>
      <c r="R105" s="97"/>
      <c r="S105" s="60"/>
      <c r="T105" s="62"/>
      <c r="U105" s="62"/>
      <c r="V105" s="62"/>
      <c r="W105" s="61"/>
      <c r="Y105" s="10">
        <v>39</v>
      </c>
      <c r="Z105" s="30"/>
      <c r="AA105" s="31"/>
      <c r="AB105" s="47"/>
      <c r="AC105" s="31"/>
      <c r="AD105" s="31"/>
      <c r="AE105" s="32">
        <f t="shared" si="27"/>
        <v>0</v>
      </c>
      <c r="AF105" s="10"/>
      <c r="AG105" s="10"/>
      <c r="AH105" s="10"/>
      <c r="AI105" s="12">
        <f t="shared" si="28"/>
        <v>0</v>
      </c>
      <c r="AK105" s="62"/>
      <c r="AL105" s="66"/>
      <c r="AM105" s="87"/>
      <c r="AN105" s="69"/>
      <c r="AO105" s="87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62"/>
      <c r="N106" s="66"/>
      <c r="O106" s="62"/>
      <c r="P106" s="69"/>
      <c r="Q106" s="97"/>
      <c r="R106" s="97"/>
      <c r="S106" s="60"/>
      <c r="T106" s="62"/>
      <c r="U106" s="62"/>
      <c r="V106" s="62"/>
      <c r="W106" s="61"/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28"/>
        <v>0</v>
      </c>
      <c r="AK106" s="62"/>
      <c r="AL106" s="66"/>
      <c r="AM106" s="87"/>
      <c r="AN106" s="69"/>
      <c r="AO106" s="87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29">SUM(D107:E107)</f>
        <v>0</v>
      </c>
      <c r="H107" s="10"/>
      <c r="I107" s="10"/>
      <c r="J107" s="10"/>
      <c r="K107" s="12">
        <f t="shared" ref="K107" si="30">SUM(G107:J107)</f>
        <v>0</v>
      </c>
      <c r="M107" s="62"/>
      <c r="N107" s="66"/>
      <c r="O107" s="97"/>
      <c r="P107" s="69"/>
      <c r="Q107" s="97"/>
      <c r="R107" s="97"/>
      <c r="S107" s="60"/>
      <c r="T107" s="62"/>
      <c r="U107" s="62"/>
      <c r="V107" s="62"/>
      <c r="W107" s="61"/>
      <c r="Y107" s="10"/>
      <c r="Z107" s="30"/>
      <c r="AA107" s="31"/>
      <c r="AB107" s="47"/>
      <c r="AC107" s="31"/>
      <c r="AD107" s="31"/>
      <c r="AE107" s="32">
        <f t="shared" ref="AE107" si="31">SUM(AB107:AC107)</f>
        <v>0</v>
      </c>
      <c r="AF107" s="10"/>
      <c r="AG107" s="10"/>
      <c r="AH107" s="10"/>
      <c r="AI107" s="12">
        <f t="shared" si="28"/>
        <v>0</v>
      </c>
      <c r="AK107" s="62"/>
      <c r="AL107" s="66"/>
      <c r="AM107" s="87"/>
      <c r="AN107" s="69"/>
      <c r="AO107" s="87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62"/>
      <c r="N108" s="97"/>
      <c r="O108" s="97"/>
      <c r="P108" s="97"/>
      <c r="Q108" s="97"/>
      <c r="R108" s="97"/>
      <c r="S108" s="97"/>
      <c r="T108" s="62"/>
      <c r="U108" s="62"/>
      <c r="V108" s="62"/>
      <c r="W108" s="61"/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28"/>
        <v>0</v>
      </c>
      <c r="AK108" s="62"/>
      <c r="AL108" s="66"/>
      <c r="AM108" s="62"/>
      <c r="AN108" s="69"/>
      <c r="AO108" s="87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M109" s="62"/>
      <c r="N109" s="97"/>
      <c r="O109" s="97"/>
      <c r="P109" s="97"/>
      <c r="Q109" s="97"/>
      <c r="R109" s="97"/>
      <c r="S109" s="97"/>
      <c r="T109" s="62"/>
      <c r="U109" s="62"/>
      <c r="V109" s="62"/>
      <c r="W109" s="62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7"/>
      <c r="AN109" s="69"/>
      <c r="AO109" s="87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586492</v>
      </c>
      <c r="E110" s="38">
        <f t="shared" ref="E110:F110" si="32">SUM(E67:E107)</f>
        <v>-2772</v>
      </c>
      <c r="F110" s="38">
        <f t="shared" si="32"/>
        <v>0</v>
      </c>
      <c r="G110" s="38">
        <f>SUM(G67:G109)</f>
        <v>583720</v>
      </c>
      <c r="H110" s="4"/>
      <c r="I110" s="39">
        <f>SUM(I67:I109)</f>
        <v>7152</v>
      </c>
      <c r="J110" s="39">
        <f>SUM(J67:J109)</f>
        <v>-50220</v>
      </c>
      <c r="K110" s="40">
        <f>SUM(K67:K109)</f>
        <v>540652</v>
      </c>
      <c r="M110" s="62"/>
      <c r="N110" s="97"/>
      <c r="O110" s="97"/>
      <c r="P110" s="70"/>
      <c r="Q110" s="70"/>
      <c r="R110" s="70"/>
      <c r="S110" s="70"/>
      <c r="T110" s="63"/>
      <c r="U110" s="71"/>
      <c r="V110" s="71"/>
      <c r="W110" s="71"/>
      <c r="Z110" s="57"/>
      <c r="AA110" s="57"/>
      <c r="AB110" s="38">
        <f>SUM(AB67:AB109)</f>
        <v>358860</v>
      </c>
      <c r="AC110" s="38">
        <f>SUM(AC67:AC91)</f>
        <v>-2136</v>
      </c>
      <c r="AD110" s="38">
        <f>SUM(AD67:AD91)</f>
        <v>0</v>
      </c>
      <c r="AE110" s="38">
        <f>SUM(AE67:AE109)</f>
        <v>356724</v>
      </c>
      <c r="AF110" s="4"/>
      <c r="AG110" s="41">
        <f>SUM(AG67:AG109)</f>
        <v>36</v>
      </c>
      <c r="AH110" s="41">
        <f>SUM(AH67:AH91)</f>
        <v>-7659</v>
      </c>
      <c r="AI110" s="42">
        <f>SUM(AI67:AI109)</f>
        <v>349101</v>
      </c>
      <c r="AK110" s="62"/>
      <c r="AL110" s="87"/>
      <c r="AM110" s="87"/>
      <c r="AN110" s="87"/>
      <c r="AO110" s="87"/>
      <c r="AP110" s="87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7"/>
      <c r="AM111" s="87"/>
      <c r="AN111" s="87"/>
      <c r="AO111" s="87"/>
      <c r="AP111" s="87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7"/>
      <c r="AM112" s="87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7"/>
      <c r="AM113" s="87"/>
      <c r="AN113" s="72"/>
      <c r="AO113" s="87"/>
      <c r="AP113" s="87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7"/>
      <c r="AM114" s="87"/>
      <c r="AN114" s="87"/>
      <c r="AO114" s="87"/>
      <c r="AP114" s="87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45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45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45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46</v>
      </c>
      <c r="B118" s="20"/>
      <c r="C118" s="57"/>
      <c r="D118" s="57"/>
      <c r="E118" s="57"/>
      <c r="G118" s="57"/>
      <c r="I118" s="22" t="s">
        <v>16</v>
      </c>
      <c r="J118" s="23" t="s">
        <v>33</v>
      </c>
      <c r="K118" s="24"/>
      <c r="M118" s="21" t="s">
        <v>46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47</v>
      </c>
      <c r="W118" s="24"/>
      <c r="Y118" s="21" t="s">
        <v>46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31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09" t="s">
        <v>17</v>
      </c>
      <c r="E120" s="109"/>
      <c r="F120" s="98"/>
      <c r="G120" s="27"/>
      <c r="I120" s="107" t="s">
        <v>18</v>
      </c>
      <c r="J120" s="108"/>
      <c r="K120" s="105" t="s">
        <v>19</v>
      </c>
      <c r="N120" s="25"/>
      <c r="O120" s="26"/>
      <c r="P120" s="109" t="s">
        <v>17</v>
      </c>
      <c r="Q120" s="109"/>
      <c r="R120" s="98"/>
      <c r="S120" s="27"/>
      <c r="U120" s="107" t="s">
        <v>18</v>
      </c>
      <c r="V120" s="108"/>
      <c r="W120" s="105" t="s">
        <v>19</v>
      </c>
      <c r="Z120" s="25"/>
      <c r="AA120" s="26"/>
      <c r="AB120" s="109" t="s">
        <v>17</v>
      </c>
      <c r="AC120" s="109"/>
      <c r="AD120" s="98"/>
      <c r="AE120" s="27"/>
      <c r="AG120" s="107" t="s">
        <v>18</v>
      </c>
      <c r="AH120" s="108"/>
      <c r="AI120" s="105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9" t="s">
        <v>22</v>
      </c>
      <c r="E121" s="78" t="s">
        <v>23</v>
      </c>
      <c r="F121" s="80" t="s">
        <v>32</v>
      </c>
      <c r="G121" s="80" t="s">
        <v>24</v>
      </c>
      <c r="I121" s="29" t="s">
        <v>25</v>
      </c>
      <c r="J121" s="29" t="s">
        <v>26</v>
      </c>
      <c r="K121" s="106"/>
      <c r="N121" s="28" t="s">
        <v>20</v>
      </c>
      <c r="O121" s="28" t="s">
        <v>21</v>
      </c>
      <c r="P121" s="79" t="s">
        <v>22</v>
      </c>
      <c r="Q121" s="80" t="s">
        <v>23</v>
      </c>
      <c r="R121" s="80" t="s">
        <v>32</v>
      </c>
      <c r="S121" s="80" t="s">
        <v>24</v>
      </c>
      <c r="U121" s="29" t="s">
        <v>25</v>
      </c>
      <c r="V121" s="29" t="s">
        <v>26</v>
      </c>
      <c r="W121" s="106"/>
      <c r="Z121" s="28" t="s">
        <v>20</v>
      </c>
      <c r="AA121" s="28" t="s">
        <v>21</v>
      </c>
      <c r="AB121" s="79" t="s">
        <v>22</v>
      </c>
      <c r="AC121" s="80" t="s">
        <v>23</v>
      </c>
      <c r="AD121" s="80" t="s">
        <v>32</v>
      </c>
      <c r="AE121" s="80" t="s">
        <v>24</v>
      </c>
      <c r="AG121" s="29" t="s">
        <v>25</v>
      </c>
      <c r="AH121" s="29" t="s">
        <v>26</v>
      </c>
      <c r="AI121" s="106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46143</v>
      </c>
      <c r="C122" s="91">
        <v>8314</v>
      </c>
      <c r="D122" s="32">
        <f>210600+622*108+229*18</f>
        <v>281898</v>
      </c>
      <c r="E122" s="32">
        <v>-2592</v>
      </c>
      <c r="F122" s="32"/>
      <c r="G122" s="32">
        <f t="shared" ref="G122:G166" si="33">SUM(D122:E122)</f>
        <v>279306</v>
      </c>
      <c r="H122" s="12"/>
      <c r="I122" s="12">
        <v>1404</v>
      </c>
      <c r="J122" s="12">
        <f>-960+-89244+-666-1452</f>
        <v>-92322</v>
      </c>
      <c r="K122" s="12">
        <f t="shared" ref="K122:K166" si="34">SUM(G122:J122)</f>
        <v>188388</v>
      </c>
      <c r="M122" s="10">
        <v>1</v>
      </c>
      <c r="N122" s="30">
        <v>46143</v>
      </c>
      <c r="O122" s="31">
        <v>8153</v>
      </c>
      <c r="P122" s="32">
        <f>2600+40</f>
        <v>2640</v>
      </c>
      <c r="Q122" s="32"/>
      <c r="R122" s="32"/>
      <c r="S122" s="32">
        <f>SUM(P122:Q122)</f>
        <v>2640</v>
      </c>
      <c r="T122" s="12"/>
      <c r="U122" s="12"/>
      <c r="V122" s="12"/>
      <c r="W122" s="12">
        <f>SUM(S122:V122)</f>
        <v>2640</v>
      </c>
      <c r="Y122" s="10">
        <v>1</v>
      </c>
      <c r="Z122" s="30">
        <v>46143</v>
      </c>
      <c r="AA122" s="31">
        <v>7795</v>
      </c>
      <c r="AB122" s="32">
        <f>120*650+622*55+229*7</f>
        <v>113813</v>
      </c>
      <c r="AC122" s="32">
        <v>-1050</v>
      </c>
      <c r="AD122" s="32"/>
      <c r="AE122" s="32">
        <f>SUM(AB122:AC122)</f>
        <v>112763</v>
      </c>
      <c r="AF122" s="12"/>
      <c r="AG122" s="12"/>
      <c r="AH122" s="12"/>
      <c r="AI122" s="12">
        <f>SUM(AE122:AH122)</f>
        <v>112763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46143</v>
      </c>
      <c r="C123" s="91">
        <f>C122+1</f>
        <v>8315</v>
      </c>
      <c r="D123" s="32">
        <f>70200+4690+1946+3732+1824+2100+1744+1374+1000+3500</f>
        <v>92110</v>
      </c>
      <c r="E123" s="32"/>
      <c r="F123" s="32"/>
      <c r="G123" s="32">
        <f t="shared" si="33"/>
        <v>92110</v>
      </c>
      <c r="H123" s="12"/>
      <c r="I123" s="12">
        <f>108+324</f>
        <v>432</v>
      </c>
      <c r="J123" s="12"/>
      <c r="K123" s="12">
        <f t="shared" si="34"/>
        <v>92542</v>
      </c>
      <c r="M123" s="10">
        <v>2</v>
      </c>
      <c r="N123" s="30">
        <v>46143</v>
      </c>
      <c r="O123" s="31">
        <f>O122+1</f>
        <v>8154</v>
      </c>
      <c r="P123" s="32">
        <f>5200+80</f>
        <v>5280</v>
      </c>
      <c r="Q123" s="32"/>
      <c r="R123" s="32"/>
      <c r="S123" s="32">
        <f t="shared" ref="S123:S154" si="35">SUM(P123:Q123)</f>
        <v>5280</v>
      </c>
      <c r="T123" s="12"/>
      <c r="U123" s="12"/>
      <c r="V123" s="12"/>
      <c r="W123" s="12">
        <f t="shared" ref="W123:W154" si="36">SUM(S123:V123)</f>
        <v>5280</v>
      </c>
      <c r="Y123" s="10">
        <v>2</v>
      </c>
      <c r="Z123" s="30">
        <v>46143</v>
      </c>
      <c r="AA123" s="31">
        <f>AA122+1</f>
        <v>7796</v>
      </c>
      <c r="AB123" s="32">
        <f>650*76</f>
        <v>49400</v>
      </c>
      <c r="AC123" s="32">
        <v>-456</v>
      </c>
      <c r="AD123" s="32"/>
      <c r="AE123" s="32">
        <f t="shared" ref="AE123:AE127" si="37">SUM(AB123:AC123)</f>
        <v>48944</v>
      </c>
      <c r="AF123" s="12"/>
      <c r="AG123" s="12"/>
      <c r="AH123" s="12"/>
      <c r="AI123" s="12">
        <f t="shared" ref="AI123:AI166" si="38">SUM(AE123:AH123)</f>
        <v>48944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46143</v>
      </c>
      <c r="C124" s="91">
        <f t="shared" ref="C124:C132" si="39">C123+1</f>
        <v>8316</v>
      </c>
      <c r="D124" s="33">
        <f>650*20</f>
        <v>13000</v>
      </c>
      <c r="E124" s="33"/>
      <c r="F124" s="33"/>
      <c r="G124" s="33">
        <f t="shared" si="33"/>
        <v>13000</v>
      </c>
      <c r="H124" s="34"/>
      <c r="I124" s="34"/>
      <c r="J124" s="34"/>
      <c r="K124" s="34">
        <f t="shared" si="34"/>
        <v>13000</v>
      </c>
      <c r="M124" s="10">
        <v>3</v>
      </c>
      <c r="N124" s="30">
        <v>46143</v>
      </c>
      <c r="O124" s="31">
        <f t="shared" ref="O124:O131" si="40">O123+1</f>
        <v>8155</v>
      </c>
      <c r="P124" s="32">
        <f>2600+40</f>
        <v>2640</v>
      </c>
      <c r="Q124" s="32"/>
      <c r="R124" s="32"/>
      <c r="S124" s="32">
        <f t="shared" si="35"/>
        <v>2640</v>
      </c>
      <c r="T124" s="12"/>
      <c r="U124" s="12"/>
      <c r="V124" s="12"/>
      <c r="W124" s="12">
        <f t="shared" si="36"/>
        <v>2640</v>
      </c>
      <c r="Y124" s="10">
        <v>3</v>
      </c>
      <c r="Z124" s="30">
        <v>46143</v>
      </c>
      <c r="AA124" s="31">
        <f t="shared" ref="AA124:AA131" si="41">AA123+1</f>
        <v>7797</v>
      </c>
      <c r="AB124" s="33">
        <f>650*29+622*8</f>
        <v>23826</v>
      </c>
      <c r="AC124" s="33"/>
      <c r="AD124" s="32"/>
      <c r="AE124" s="32">
        <f t="shared" si="37"/>
        <v>23826</v>
      </c>
      <c r="AF124" s="12"/>
      <c r="AG124" s="12"/>
      <c r="AH124" s="12">
        <v>-2220</v>
      </c>
      <c r="AI124" s="12">
        <f t="shared" si="38"/>
        <v>21606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46143</v>
      </c>
      <c r="C125" s="91">
        <f t="shared" si="39"/>
        <v>8317</v>
      </c>
      <c r="D125" s="32">
        <f>1950+622+38</f>
        <v>2610</v>
      </c>
      <c r="E125" s="32"/>
      <c r="F125" s="32"/>
      <c r="G125" s="32">
        <f t="shared" si="33"/>
        <v>2610</v>
      </c>
      <c r="H125" s="12"/>
      <c r="I125" s="12"/>
      <c r="J125" s="12"/>
      <c r="K125" s="12">
        <f t="shared" si="34"/>
        <v>2610</v>
      </c>
      <c r="M125" s="10">
        <v>4</v>
      </c>
      <c r="N125" s="30">
        <v>46143</v>
      </c>
      <c r="O125" s="31">
        <f t="shared" si="40"/>
        <v>8156</v>
      </c>
      <c r="P125" s="32">
        <f>650*216+229*6</f>
        <v>141774</v>
      </c>
      <c r="Q125" s="32">
        <f>-216*6</f>
        <v>-1296</v>
      </c>
      <c r="R125" s="32"/>
      <c r="S125" s="32">
        <f t="shared" si="35"/>
        <v>140478</v>
      </c>
      <c r="T125" s="12"/>
      <c r="U125" s="12">
        <v>312</v>
      </c>
      <c r="V125" s="12"/>
      <c r="W125" s="12">
        <f t="shared" si="36"/>
        <v>140790</v>
      </c>
      <c r="Y125" s="10">
        <v>4</v>
      </c>
      <c r="Z125" s="30">
        <v>46143</v>
      </c>
      <c r="AA125" s="31">
        <v>8244</v>
      </c>
      <c r="AB125" s="32">
        <f>650*29+670*2+700+622*15+912+872*3+229*2+500</f>
        <v>34706</v>
      </c>
      <c r="AC125" s="32"/>
      <c r="AD125" s="32"/>
      <c r="AE125" s="32">
        <f t="shared" si="37"/>
        <v>34706</v>
      </c>
      <c r="AF125" s="12"/>
      <c r="AH125" s="12"/>
      <c r="AI125" s="12">
        <f t="shared" si="38"/>
        <v>34706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46143</v>
      </c>
      <c r="C126" s="91">
        <f t="shared" si="39"/>
        <v>8318</v>
      </c>
      <c r="D126" s="32">
        <f>650*8+9.5*8</f>
        <v>5276</v>
      </c>
      <c r="E126" s="32"/>
      <c r="F126" s="32"/>
      <c r="G126" s="32">
        <f t="shared" si="33"/>
        <v>5276</v>
      </c>
      <c r="H126" s="12"/>
      <c r="I126" s="12">
        <v>222</v>
      </c>
      <c r="J126" s="12"/>
      <c r="K126" s="12">
        <f t="shared" si="34"/>
        <v>5498</v>
      </c>
      <c r="M126" s="10">
        <v>5</v>
      </c>
      <c r="N126" s="30">
        <v>46143</v>
      </c>
      <c r="O126" s="31">
        <f t="shared" si="40"/>
        <v>8157</v>
      </c>
      <c r="P126" s="32">
        <f>650*55+622*8+572.5</f>
        <v>41298.5</v>
      </c>
      <c r="Q126" s="32"/>
      <c r="R126" s="32"/>
      <c r="S126" s="32">
        <f t="shared" si="35"/>
        <v>41298.5</v>
      </c>
      <c r="T126" s="12"/>
      <c r="U126" s="12">
        <v>195</v>
      </c>
      <c r="V126" s="12"/>
      <c r="W126" s="12">
        <f t="shared" si="36"/>
        <v>41493.5</v>
      </c>
      <c r="Y126" s="10">
        <v>5</v>
      </c>
      <c r="Z126" s="30">
        <v>46143</v>
      </c>
      <c r="AA126" s="31">
        <f t="shared" si="41"/>
        <v>8245</v>
      </c>
      <c r="AB126" s="32">
        <f>6500+95</f>
        <v>6595</v>
      </c>
      <c r="AC126" s="32"/>
      <c r="AD126" s="32"/>
      <c r="AE126" s="32">
        <f t="shared" ref="AE126:AE166" si="42">SUM(AB126:AC126)</f>
        <v>6595</v>
      </c>
      <c r="AF126" s="12"/>
      <c r="AG126" s="12"/>
      <c r="AH126" s="12"/>
      <c r="AI126" s="12">
        <f t="shared" si="38"/>
        <v>6595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/>
      <c r="C127" s="11" t="s">
        <v>27</v>
      </c>
      <c r="D127" s="32"/>
      <c r="E127" s="32"/>
      <c r="F127" s="32"/>
      <c r="G127" s="32">
        <f t="shared" si="33"/>
        <v>0</v>
      </c>
      <c r="H127" s="12"/>
      <c r="I127" s="12"/>
      <c r="J127" s="12"/>
      <c r="K127" s="12">
        <f t="shared" si="34"/>
        <v>0</v>
      </c>
      <c r="M127" s="10">
        <v>6</v>
      </c>
      <c r="N127" s="30">
        <v>46143</v>
      </c>
      <c r="O127" s="31">
        <f t="shared" si="40"/>
        <v>8158</v>
      </c>
      <c r="P127" s="32">
        <f>650*214+229*8</f>
        <v>140932</v>
      </c>
      <c r="Q127" s="32">
        <v>-1284</v>
      </c>
      <c r="R127" s="32"/>
      <c r="S127" s="32">
        <f t="shared" si="35"/>
        <v>139648</v>
      </c>
      <c r="T127" s="12"/>
      <c r="U127" s="12">
        <v>108</v>
      </c>
      <c r="V127" s="10"/>
      <c r="W127" s="12">
        <f t="shared" si="36"/>
        <v>139756</v>
      </c>
      <c r="Y127" s="10">
        <v>6</v>
      </c>
      <c r="Z127" s="30">
        <v>46143</v>
      </c>
      <c r="AA127" s="31">
        <f t="shared" si="41"/>
        <v>8246</v>
      </c>
      <c r="AB127" s="32">
        <f>650*59+670*2+700+622*10+912+872</f>
        <v>48394</v>
      </c>
      <c r="AC127" s="32"/>
      <c r="AD127" s="32"/>
      <c r="AE127" s="32">
        <f t="shared" si="42"/>
        <v>48394</v>
      </c>
      <c r="AF127" s="12"/>
      <c r="AG127" s="12">
        <v>63</v>
      </c>
      <c r="AH127" s="10"/>
      <c r="AI127" s="12">
        <f t="shared" si="38"/>
        <v>48457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/>
      <c r="C128" s="91"/>
      <c r="D128" s="32"/>
      <c r="E128" s="32"/>
      <c r="F128" s="32"/>
      <c r="G128" s="32">
        <f t="shared" si="33"/>
        <v>0</v>
      </c>
      <c r="H128" s="12"/>
      <c r="I128" s="12"/>
      <c r="J128" s="12"/>
      <c r="K128" s="12">
        <f t="shared" si="34"/>
        <v>0</v>
      </c>
      <c r="M128" s="10">
        <v>7</v>
      </c>
      <c r="N128" s="30"/>
      <c r="O128" s="11" t="s">
        <v>27</v>
      </c>
      <c r="P128" s="32"/>
      <c r="Q128" s="32"/>
      <c r="R128" s="32"/>
      <c r="S128" s="32">
        <f t="shared" si="35"/>
        <v>0</v>
      </c>
      <c r="T128" s="12"/>
      <c r="U128" s="12"/>
      <c r="V128" s="12"/>
      <c r="W128" s="12">
        <f t="shared" si="36"/>
        <v>0</v>
      </c>
      <c r="Y128" s="10">
        <v>7</v>
      </c>
      <c r="Z128" s="30">
        <v>46143</v>
      </c>
      <c r="AA128" s="31">
        <f t="shared" si="41"/>
        <v>8247</v>
      </c>
      <c r="AB128" s="32">
        <f>13650+973+912+2100+872</f>
        <v>18507</v>
      </c>
      <c r="AC128" s="32"/>
      <c r="AD128" s="32"/>
      <c r="AE128" s="32">
        <f t="shared" si="42"/>
        <v>18507</v>
      </c>
      <c r="AF128" s="12"/>
      <c r="AG128" s="58">
        <f>102+40.5</f>
        <v>142.5</v>
      </c>
      <c r="AH128" s="12"/>
      <c r="AI128" s="12">
        <f t="shared" si="38"/>
        <v>18649.5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/>
      <c r="C129" s="91"/>
      <c r="D129" s="32"/>
      <c r="E129" s="32"/>
      <c r="F129" s="32"/>
      <c r="G129" s="32">
        <f t="shared" si="33"/>
        <v>0</v>
      </c>
      <c r="H129" s="12"/>
      <c r="I129" s="12"/>
      <c r="J129" s="12"/>
      <c r="K129" s="12">
        <f t="shared" si="34"/>
        <v>0</v>
      </c>
      <c r="M129" s="10">
        <v>8</v>
      </c>
      <c r="N129" s="30"/>
      <c r="O129" s="31"/>
      <c r="P129" s="32"/>
      <c r="Q129" s="32"/>
      <c r="R129" s="32"/>
      <c r="S129" s="32">
        <f t="shared" si="35"/>
        <v>0</v>
      </c>
      <c r="T129" s="12"/>
      <c r="U129" s="12"/>
      <c r="V129" s="12"/>
      <c r="W129" s="12">
        <f t="shared" si="36"/>
        <v>0</v>
      </c>
      <c r="Y129" s="10">
        <v>8</v>
      </c>
      <c r="Z129" s="30">
        <v>46143</v>
      </c>
      <c r="AA129" s="31">
        <f t="shared" si="41"/>
        <v>8248</v>
      </c>
      <c r="AB129" s="32">
        <f>650*216+229*9</f>
        <v>142461</v>
      </c>
      <c r="AC129" s="32"/>
      <c r="AE129" s="32">
        <f t="shared" si="42"/>
        <v>142461</v>
      </c>
      <c r="AF129" s="12"/>
      <c r="AG129" s="12">
        <v>324</v>
      </c>
      <c r="AH129" s="12"/>
      <c r="AI129" s="12">
        <f t="shared" si="38"/>
        <v>142785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91"/>
      <c r="D130" s="32"/>
      <c r="E130" s="32"/>
      <c r="F130" s="32"/>
      <c r="G130" s="32">
        <f t="shared" si="33"/>
        <v>0</v>
      </c>
      <c r="H130" s="12"/>
      <c r="I130" s="12"/>
      <c r="J130" s="12"/>
      <c r="K130" s="12">
        <f t="shared" si="34"/>
        <v>0</v>
      </c>
      <c r="M130" s="10">
        <v>9</v>
      </c>
      <c r="N130" s="30"/>
      <c r="O130" s="31"/>
      <c r="P130" s="32"/>
      <c r="Q130" s="32"/>
      <c r="R130" s="32"/>
      <c r="S130" s="32">
        <f t="shared" si="35"/>
        <v>0</v>
      </c>
      <c r="T130" s="12"/>
      <c r="U130" s="12"/>
      <c r="V130" s="12"/>
      <c r="W130" s="12">
        <f t="shared" si="36"/>
        <v>0</v>
      </c>
      <c r="Y130" s="10">
        <v>9</v>
      </c>
      <c r="Z130" s="30">
        <v>46143</v>
      </c>
      <c r="AA130" s="31">
        <f t="shared" si="41"/>
        <v>8249</v>
      </c>
      <c r="AB130" s="32">
        <f>650*95+700+622*5+872</f>
        <v>66432</v>
      </c>
      <c r="AC130" s="32"/>
      <c r="AD130" s="32"/>
      <c r="AE130" s="32">
        <f t="shared" si="42"/>
        <v>66432</v>
      </c>
      <c r="AF130" s="12"/>
      <c r="AH130" s="12"/>
      <c r="AI130" s="12">
        <f t="shared" si="38"/>
        <v>66432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91"/>
      <c r="D131" s="32"/>
      <c r="E131" s="32"/>
      <c r="F131" s="32"/>
      <c r="G131" s="32">
        <f t="shared" si="33"/>
        <v>0</v>
      </c>
      <c r="H131" s="12"/>
      <c r="I131" s="12"/>
      <c r="J131" s="12"/>
      <c r="K131" s="12">
        <f t="shared" si="34"/>
        <v>0</v>
      </c>
      <c r="M131" s="10">
        <v>10</v>
      </c>
      <c r="N131" s="30"/>
      <c r="O131" s="31"/>
      <c r="P131" s="32"/>
      <c r="Q131" s="32"/>
      <c r="R131" s="32"/>
      <c r="S131" s="32">
        <f t="shared" si="35"/>
        <v>0</v>
      </c>
      <c r="T131" s="12"/>
      <c r="U131" s="12"/>
      <c r="V131" s="12"/>
      <c r="W131" s="12">
        <f t="shared" si="36"/>
        <v>0</v>
      </c>
      <c r="Y131" s="10">
        <v>10</v>
      </c>
      <c r="Z131" s="30">
        <v>46143</v>
      </c>
      <c r="AA131" s="31">
        <f t="shared" si="41"/>
        <v>8250</v>
      </c>
      <c r="AB131" s="32">
        <f>52000+12440+916</f>
        <v>65356</v>
      </c>
      <c r="AC131" s="32">
        <v>-600</v>
      </c>
      <c r="AD131" s="32"/>
      <c r="AE131" s="32">
        <f t="shared" si="42"/>
        <v>64756</v>
      </c>
      <c r="AF131" s="12"/>
      <c r="AG131" s="12">
        <v>72</v>
      </c>
      <c r="AH131" s="12"/>
      <c r="AI131" s="12">
        <f t="shared" si="38"/>
        <v>64828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91"/>
      <c r="D132" s="32"/>
      <c r="E132" s="32"/>
      <c r="F132" s="32"/>
      <c r="G132" s="32">
        <f t="shared" si="33"/>
        <v>0</v>
      </c>
      <c r="H132" s="12"/>
      <c r="I132" s="12"/>
      <c r="J132" s="12"/>
      <c r="K132" s="12">
        <f t="shared" si="34"/>
        <v>0</v>
      </c>
      <c r="M132" s="10">
        <v>11</v>
      </c>
      <c r="N132" s="30"/>
      <c r="P132" s="32"/>
      <c r="Q132" s="32"/>
      <c r="R132" s="32"/>
      <c r="S132" s="32">
        <f t="shared" si="35"/>
        <v>0</v>
      </c>
      <c r="T132" s="12"/>
      <c r="U132" s="12"/>
      <c r="V132" s="12"/>
      <c r="W132" s="12">
        <f t="shared" si="36"/>
        <v>0</v>
      </c>
      <c r="Y132" s="10">
        <v>11</v>
      </c>
      <c r="Z132" s="30"/>
      <c r="AA132" s="11" t="s">
        <v>27</v>
      </c>
      <c r="AB132" s="32"/>
      <c r="AC132" s="32"/>
      <c r="AD132" s="32"/>
      <c r="AE132" s="32">
        <f t="shared" si="42"/>
        <v>0</v>
      </c>
      <c r="AF132" s="12"/>
      <c r="AG132" s="12"/>
      <c r="AH132" s="12"/>
      <c r="AI132" s="12">
        <f t="shared" si="38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D133" s="32"/>
      <c r="E133" s="32"/>
      <c r="F133" s="32"/>
      <c r="G133" s="32">
        <f t="shared" si="33"/>
        <v>0</v>
      </c>
      <c r="H133" s="12"/>
      <c r="I133" s="12"/>
      <c r="J133" s="10"/>
      <c r="K133" s="12">
        <f t="shared" si="34"/>
        <v>0</v>
      </c>
      <c r="M133" s="10">
        <v>12</v>
      </c>
      <c r="N133" s="30"/>
      <c r="O133" s="31"/>
      <c r="P133" s="32"/>
      <c r="Q133" s="32"/>
      <c r="R133" s="32"/>
      <c r="S133" s="32">
        <f t="shared" si="35"/>
        <v>0</v>
      </c>
      <c r="T133" s="12"/>
      <c r="U133" s="12"/>
      <c r="V133" s="12"/>
      <c r="W133" s="12">
        <f t="shared" si="36"/>
        <v>0</v>
      </c>
      <c r="Y133" s="10">
        <v>12</v>
      </c>
      <c r="Z133" s="30"/>
      <c r="AA133" s="31"/>
      <c r="AB133" s="32"/>
      <c r="AC133" s="32"/>
      <c r="AD133" s="32"/>
      <c r="AE133" s="32">
        <f t="shared" si="42"/>
        <v>0</v>
      </c>
      <c r="AF133" s="12"/>
      <c r="AG133" s="12"/>
      <c r="AH133" s="12"/>
      <c r="AI133" s="12">
        <f t="shared" si="38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91"/>
      <c r="D134" s="32"/>
      <c r="E134" s="32"/>
      <c r="F134" s="32"/>
      <c r="G134" s="32">
        <f t="shared" si="33"/>
        <v>0</v>
      </c>
      <c r="H134" s="12"/>
      <c r="I134" s="12"/>
      <c r="J134" s="12"/>
      <c r="K134" s="12">
        <f t="shared" si="34"/>
        <v>0</v>
      </c>
      <c r="M134" s="10">
        <v>13</v>
      </c>
      <c r="N134" s="30"/>
      <c r="O134" s="31"/>
      <c r="P134" s="32"/>
      <c r="Q134" s="32"/>
      <c r="R134" s="32"/>
      <c r="S134" s="32">
        <f t="shared" si="35"/>
        <v>0</v>
      </c>
      <c r="T134" s="12"/>
      <c r="U134" s="12"/>
      <c r="V134" s="12"/>
      <c r="W134" s="12">
        <f t="shared" si="36"/>
        <v>0</v>
      </c>
      <c r="Y134" s="10">
        <v>13</v>
      </c>
      <c r="Z134" s="30"/>
      <c r="AA134" s="31"/>
      <c r="AB134" s="32"/>
      <c r="AC134" s="32"/>
      <c r="AD134" s="32"/>
      <c r="AE134" s="32">
        <f t="shared" si="42"/>
        <v>0</v>
      </c>
      <c r="AF134" s="12"/>
      <c r="AG134" s="12"/>
      <c r="AH134" s="12"/>
      <c r="AI134" s="12">
        <f t="shared" si="38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91"/>
      <c r="D135" s="32"/>
      <c r="E135" s="32"/>
      <c r="F135" s="32"/>
      <c r="G135" s="32">
        <f t="shared" si="33"/>
        <v>0</v>
      </c>
      <c r="H135" s="12"/>
      <c r="I135" s="12"/>
      <c r="J135" s="12"/>
      <c r="K135" s="12">
        <f t="shared" si="34"/>
        <v>0</v>
      </c>
      <c r="M135" s="10">
        <v>14</v>
      </c>
      <c r="N135" s="30"/>
      <c r="O135" s="31"/>
      <c r="P135" s="32"/>
      <c r="Q135" s="32"/>
      <c r="R135" s="32"/>
      <c r="S135" s="32">
        <f t="shared" si="35"/>
        <v>0</v>
      </c>
      <c r="T135" s="12"/>
      <c r="U135" s="12"/>
      <c r="V135" s="12"/>
      <c r="W135" s="12">
        <f t="shared" si="36"/>
        <v>0</v>
      </c>
      <c r="Y135" s="10">
        <v>14</v>
      </c>
      <c r="Z135" s="30"/>
      <c r="AA135" s="31"/>
      <c r="AB135" s="32"/>
      <c r="AC135" s="32"/>
      <c r="AD135" s="32"/>
      <c r="AE135" s="32">
        <f t="shared" si="42"/>
        <v>0</v>
      </c>
      <c r="AF135" s="12"/>
      <c r="AG135" s="12"/>
      <c r="AH135" s="12"/>
      <c r="AI135" s="12">
        <f t="shared" si="38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91"/>
      <c r="D136" s="32"/>
      <c r="E136" s="32"/>
      <c r="F136" s="32"/>
      <c r="G136" s="32">
        <f t="shared" si="33"/>
        <v>0</v>
      </c>
      <c r="H136" s="12"/>
      <c r="I136" s="12"/>
      <c r="J136" s="12"/>
      <c r="K136" s="12">
        <f t="shared" si="34"/>
        <v>0</v>
      </c>
      <c r="M136" s="10">
        <v>15</v>
      </c>
      <c r="N136" s="30"/>
      <c r="O136" s="31"/>
      <c r="P136" s="32"/>
      <c r="Q136" s="32"/>
      <c r="R136" s="32"/>
      <c r="S136" s="32">
        <f t="shared" si="35"/>
        <v>0</v>
      </c>
      <c r="T136" s="12"/>
      <c r="U136" s="12"/>
      <c r="V136" s="12"/>
      <c r="W136" s="12">
        <f t="shared" si="36"/>
        <v>0</v>
      </c>
      <c r="Y136" s="10">
        <v>15</v>
      </c>
      <c r="Z136" s="30"/>
      <c r="AA136" s="31"/>
      <c r="AB136" s="32"/>
      <c r="AC136" s="32"/>
      <c r="AD136" s="32"/>
      <c r="AE136" s="32">
        <f t="shared" si="42"/>
        <v>0</v>
      </c>
      <c r="AF136" s="12"/>
      <c r="AG136" s="12"/>
      <c r="AH136" s="12"/>
      <c r="AI136" s="12">
        <f t="shared" si="38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91"/>
      <c r="D137" s="32"/>
      <c r="E137" s="32"/>
      <c r="F137" s="32"/>
      <c r="G137" s="32">
        <f t="shared" si="33"/>
        <v>0</v>
      </c>
      <c r="H137" s="12"/>
      <c r="I137" s="12"/>
      <c r="J137" s="12"/>
      <c r="K137" s="12">
        <f t="shared" si="34"/>
        <v>0</v>
      </c>
      <c r="M137" s="10">
        <v>16</v>
      </c>
      <c r="N137" s="30"/>
      <c r="O137" s="31"/>
      <c r="P137" s="32"/>
      <c r="Q137" s="32"/>
      <c r="R137" s="32"/>
      <c r="S137" s="32">
        <f t="shared" si="35"/>
        <v>0</v>
      </c>
      <c r="T137" s="12"/>
      <c r="U137" s="12"/>
      <c r="V137" s="12"/>
      <c r="W137" s="12">
        <f t="shared" si="36"/>
        <v>0</v>
      </c>
      <c r="Y137" s="10">
        <v>16</v>
      </c>
      <c r="Z137" s="30"/>
      <c r="AA137" s="31"/>
      <c r="AB137" s="32"/>
      <c r="AC137" s="32"/>
      <c r="AD137" s="32"/>
      <c r="AE137" s="32">
        <f t="shared" si="42"/>
        <v>0</v>
      </c>
      <c r="AF137" s="12"/>
      <c r="AG137" s="12"/>
      <c r="AH137" s="12"/>
      <c r="AI137" s="12">
        <f t="shared" si="38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91"/>
      <c r="D138" s="32"/>
      <c r="E138" s="32"/>
      <c r="F138" s="32"/>
      <c r="G138" s="32">
        <f t="shared" si="33"/>
        <v>0</v>
      </c>
      <c r="H138" s="12"/>
      <c r="I138" s="12"/>
      <c r="J138" s="12"/>
      <c r="K138" s="12">
        <f t="shared" si="34"/>
        <v>0</v>
      </c>
      <c r="M138" s="10">
        <v>17</v>
      </c>
      <c r="N138" s="30"/>
      <c r="O138" s="31"/>
      <c r="P138" s="35"/>
      <c r="Q138" s="32"/>
      <c r="R138" s="32"/>
      <c r="S138" s="32">
        <f t="shared" si="35"/>
        <v>0</v>
      </c>
      <c r="T138" s="12"/>
      <c r="U138" s="12"/>
      <c r="V138" s="12"/>
      <c r="W138" s="12">
        <f t="shared" si="36"/>
        <v>0</v>
      </c>
      <c r="Y138" s="10">
        <v>17</v>
      </c>
      <c r="Z138" s="30"/>
      <c r="AA138" s="31"/>
      <c r="AB138" s="35"/>
      <c r="AC138" s="32"/>
      <c r="AD138" s="32"/>
      <c r="AE138" s="32">
        <f t="shared" si="42"/>
        <v>0</v>
      </c>
      <c r="AF138" s="12"/>
      <c r="AG138" s="12"/>
      <c r="AH138" s="12"/>
      <c r="AI138" s="12">
        <f t="shared" si="38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91"/>
      <c r="D139" s="32"/>
      <c r="E139" s="32"/>
      <c r="F139" s="32"/>
      <c r="G139" s="32">
        <f t="shared" si="33"/>
        <v>0</v>
      </c>
      <c r="H139" s="12"/>
      <c r="I139" s="12"/>
      <c r="J139" s="12"/>
      <c r="K139" s="12">
        <f t="shared" si="34"/>
        <v>0</v>
      </c>
      <c r="M139" s="10">
        <v>18</v>
      </c>
      <c r="N139" s="30"/>
      <c r="O139" s="31"/>
      <c r="P139" s="32"/>
      <c r="Q139" s="32"/>
      <c r="R139" s="32"/>
      <c r="S139" s="32">
        <f t="shared" si="35"/>
        <v>0</v>
      </c>
      <c r="T139" s="12"/>
      <c r="U139" s="12"/>
      <c r="V139" s="12"/>
      <c r="W139" s="12">
        <f t="shared" si="36"/>
        <v>0</v>
      </c>
      <c r="Y139" s="10">
        <v>18</v>
      </c>
      <c r="Z139" s="30"/>
      <c r="AA139" s="31"/>
      <c r="AB139" s="32"/>
      <c r="AC139" s="32"/>
      <c r="AD139" s="32"/>
      <c r="AE139" s="32">
        <f t="shared" si="42"/>
        <v>0</v>
      </c>
      <c r="AF139" s="12"/>
      <c r="AG139" s="12"/>
      <c r="AH139" s="12"/>
      <c r="AI139" s="12">
        <f t="shared" si="38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91"/>
      <c r="D140" s="32"/>
      <c r="E140" s="32"/>
      <c r="F140" s="32"/>
      <c r="G140" s="32">
        <f t="shared" si="33"/>
        <v>0</v>
      </c>
      <c r="H140" s="12"/>
      <c r="I140" s="12"/>
      <c r="J140" s="12"/>
      <c r="K140" s="12">
        <f t="shared" si="34"/>
        <v>0</v>
      </c>
      <c r="M140" s="10">
        <v>19</v>
      </c>
      <c r="N140" s="30"/>
      <c r="O140" s="31"/>
      <c r="P140" s="32"/>
      <c r="Q140" s="32"/>
      <c r="R140" s="32"/>
      <c r="S140" s="32">
        <f t="shared" si="35"/>
        <v>0</v>
      </c>
      <c r="T140" s="12"/>
      <c r="U140" s="12"/>
      <c r="V140" s="12"/>
      <c r="W140" s="12">
        <f t="shared" si="36"/>
        <v>0</v>
      </c>
      <c r="Y140" s="10">
        <v>19</v>
      </c>
      <c r="Z140" s="30"/>
      <c r="AA140" s="31"/>
      <c r="AB140" s="32"/>
      <c r="AC140" s="32"/>
      <c r="AD140" s="32"/>
      <c r="AE140" s="32">
        <f t="shared" si="42"/>
        <v>0</v>
      </c>
      <c r="AF140" s="12"/>
      <c r="AG140" s="12"/>
      <c r="AH140" s="12"/>
      <c r="AI140" s="12">
        <f t="shared" si="38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57"/>
      <c r="D141" s="32"/>
      <c r="E141" s="32"/>
      <c r="F141" s="32"/>
      <c r="G141" s="32">
        <f t="shared" si="33"/>
        <v>0</v>
      </c>
      <c r="H141" s="12"/>
      <c r="I141" s="12"/>
      <c r="J141" s="12"/>
      <c r="K141" s="12">
        <f t="shared" si="34"/>
        <v>0</v>
      </c>
      <c r="M141" s="10">
        <v>20</v>
      </c>
      <c r="N141" s="30"/>
      <c r="O141" s="31"/>
      <c r="P141" s="32"/>
      <c r="Q141" s="32"/>
      <c r="R141" s="32"/>
      <c r="S141" s="32">
        <f t="shared" si="35"/>
        <v>0</v>
      </c>
      <c r="T141" s="12"/>
      <c r="U141" s="12"/>
      <c r="V141" s="12"/>
      <c r="W141" s="12">
        <f t="shared" si="36"/>
        <v>0</v>
      </c>
      <c r="Y141" s="10">
        <v>20</v>
      </c>
      <c r="Z141" s="30"/>
      <c r="AA141" s="31"/>
      <c r="AB141" s="32"/>
      <c r="AC141" s="32"/>
      <c r="AD141" s="32"/>
      <c r="AE141" s="32">
        <f t="shared" si="42"/>
        <v>0</v>
      </c>
      <c r="AF141" s="12"/>
      <c r="AG141" s="12"/>
      <c r="AH141" s="12"/>
      <c r="AI141" s="12">
        <f t="shared" si="38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91"/>
      <c r="D142" s="32"/>
      <c r="E142" s="32"/>
      <c r="F142" s="32"/>
      <c r="G142" s="32">
        <f t="shared" si="33"/>
        <v>0</v>
      </c>
      <c r="H142" s="10"/>
      <c r="I142" s="10"/>
      <c r="J142" s="10"/>
      <c r="K142" s="12">
        <f t="shared" si="34"/>
        <v>0</v>
      </c>
      <c r="M142" s="10">
        <v>21</v>
      </c>
      <c r="N142" s="30"/>
      <c r="O142" s="31"/>
      <c r="P142" s="46"/>
      <c r="Q142" s="31"/>
      <c r="R142" s="31"/>
      <c r="S142" s="32">
        <f t="shared" si="35"/>
        <v>0</v>
      </c>
      <c r="T142" s="10"/>
      <c r="U142" s="10"/>
      <c r="V142" s="10"/>
      <c r="W142" s="12">
        <f t="shared" si="36"/>
        <v>0</v>
      </c>
      <c r="Y142" s="10">
        <v>21</v>
      </c>
      <c r="Z142" s="30"/>
      <c r="AB142" s="46"/>
      <c r="AC142" s="31"/>
      <c r="AD142" s="31"/>
      <c r="AE142" s="32">
        <f t="shared" si="42"/>
        <v>0</v>
      </c>
      <c r="AF142" s="10"/>
      <c r="AG142" s="10"/>
      <c r="AH142" s="10"/>
      <c r="AI142" s="12">
        <f t="shared" si="38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91"/>
      <c r="D143" s="32"/>
      <c r="E143" s="32"/>
      <c r="F143" s="32"/>
      <c r="G143" s="32">
        <f t="shared" si="33"/>
        <v>0</v>
      </c>
      <c r="H143" s="10"/>
      <c r="I143" s="10"/>
      <c r="J143" s="10"/>
      <c r="K143" s="12">
        <f t="shared" si="34"/>
        <v>0</v>
      </c>
      <c r="M143" s="10">
        <v>22</v>
      </c>
      <c r="N143" s="30"/>
      <c r="O143" s="31"/>
      <c r="P143" s="45"/>
      <c r="Q143" s="31"/>
      <c r="R143" s="31"/>
      <c r="S143" s="32">
        <f t="shared" si="35"/>
        <v>0</v>
      </c>
      <c r="T143" s="10"/>
      <c r="U143" s="10"/>
      <c r="V143" s="10"/>
      <c r="W143" s="12">
        <f t="shared" si="36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2"/>
        <v>0</v>
      </c>
      <c r="AF143" s="10"/>
      <c r="AG143" s="10"/>
      <c r="AH143" s="10"/>
      <c r="AI143" s="12">
        <f t="shared" si="38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91"/>
      <c r="D144" s="32"/>
      <c r="E144" s="32"/>
      <c r="F144" s="32"/>
      <c r="G144" s="32">
        <f t="shared" si="33"/>
        <v>0</v>
      </c>
      <c r="H144" s="10"/>
      <c r="I144" s="10"/>
      <c r="J144" s="12"/>
      <c r="K144" s="12">
        <f t="shared" si="34"/>
        <v>0</v>
      </c>
      <c r="M144" s="10">
        <v>23</v>
      </c>
      <c r="N144" s="30"/>
      <c r="O144" s="31"/>
      <c r="P144" s="47"/>
      <c r="S144" s="32">
        <f t="shared" si="35"/>
        <v>0</v>
      </c>
      <c r="T144" s="10"/>
      <c r="U144" s="10"/>
      <c r="V144" s="10"/>
      <c r="W144" s="12">
        <f t="shared" si="36"/>
        <v>0</v>
      </c>
      <c r="Y144" s="10">
        <v>23</v>
      </c>
      <c r="Z144" s="30"/>
      <c r="AA144" s="31"/>
      <c r="AB144" s="47"/>
      <c r="AE144" s="32">
        <f t="shared" si="42"/>
        <v>0</v>
      </c>
      <c r="AF144" s="10"/>
      <c r="AG144" s="10"/>
      <c r="AH144" s="10"/>
      <c r="AI144" s="12">
        <f t="shared" si="38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91"/>
      <c r="D145" s="32"/>
      <c r="E145" s="32"/>
      <c r="F145" s="32"/>
      <c r="G145" s="32">
        <f t="shared" si="33"/>
        <v>0</v>
      </c>
      <c r="H145" s="10"/>
      <c r="I145" s="10"/>
      <c r="J145" s="10"/>
      <c r="K145" s="12">
        <f t="shared" si="34"/>
        <v>0</v>
      </c>
      <c r="M145" s="10">
        <v>24</v>
      </c>
      <c r="N145" s="30"/>
      <c r="O145" s="31"/>
      <c r="P145" s="47"/>
      <c r="Q145" s="31"/>
      <c r="R145" s="31"/>
      <c r="S145" s="32">
        <f t="shared" si="35"/>
        <v>0</v>
      </c>
      <c r="T145" s="10"/>
      <c r="U145" s="10"/>
      <c r="V145" s="10"/>
      <c r="W145" s="12">
        <f t="shared" si="36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2"/>
        <v>0</v>
      </c>
      <c r="AF145" s="10"/>
      <c r="AG145" s="10"/>
      <c r="AH145" s="10"/>
      <c r="AI145" s="12">
        <f t="shared" si="38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91"/>
      <c r="D146" s="32"/>
      <c r="E146" s="32"/>
      <c r="F146" s="32"/>
      <c r="G146" s="32">
        <f t="shared" si="33"/>
        <v>0</v>
      </c>
      <c r="H146" s="10"/>
      <c r="I146" s="10"/>
      <c r="J146" s="10"/>
      <c r="K146" s="12">
        <f t="shared" si="34"/>
        <v>0</v>
      </c>
      <c r="M146" s="10">
        <v>25</v>
      </c>
      <c r="N146" s="30"/>
      <c r="O146" s="31"/>
      <c r="P146" s="47"/>
      <c r="Q146" s="31"/>
      <c r="R146" s="31"/>
      <c r="S146" s="32">
        <f t="shared" si="35"/>
        <v>0</v>
      </c>
      <c r="T146" s="10"/>
      <c r="U146" s="10"/>
      <c r="V146" s="10"/>
      <c r="W146" s="12">
        <f t="shared" si="36"/>
        <v>0</v>
      </c>
      <c r="Y146" s="10">
        <v>25</v>
      </c>
      <c r="Z146" s="30"/>
      <c r="AA146" s="31"/>
      <c r="AB146" s="47"/>
      <c r="AC146" s="31"/>
      <c r="AD146" s="31"/>
      <c r="AE146" s="32">
        <f t="shared" si="42"/>
        <v>0</v>
      </c>
      <c r="AF146" s="10"/>
      <c r="AG146" s="10"/>
      <c r="AH146" s="10"/>
      <c r="AI146" s="12">
        <f t="shared" si="38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91"/>
      <c r="D147" s="32"/>
      <c r="E147" s="32"/>
      <c r="F147" s="32"/>
      <c r="G147" s="32">
        <f t="shared" si="33"/>
        <v>0</v>
      </c>
      <c r="H147" s="10"/>
      <c r="I147" s="10"/>
      <c r="J147" s="10"/>
      <c r="K147" s="12">
        <f t="shared" si="34"/>
        <v>0</v>
      </c>
      <c r="M147" s="10">
        <v>26</v>
      </c>
      <c r="N147" s="30"/>
      <c r="O147" s="31"/>
      <c r="P147" s="47"/>
      <c r="Q147" s="31"/>
      <c r="R147" s="31"/>
      <c r="S147" s="32">
        <f t="shared" si="35"/>
        <v>0</v>
      </c>
      <c r="T147" s="10"/>
      <c r="U147" s="10"/>
      <c r="V147" s="10"/>
      <c r="W147" s="12">
        <f t="shared" si="36"/>
        <v>0</v>
      </c>
      <c r="Y147" s="10">
        <v>26</v>
      </c>
      <c r="Z147" s="30"/>
      <c r="AA147" s="31"/>
      <c r="AB147" s="47"/>
      <c r="AC147" s="31"/>
      <c r="AD147" s="31"/>
      <c r="AE147" s="32">
        <f t="shared" si="42"/>
        <v>0</v>
      </c>
      <c r="AF147" s="10"/>
      <c r="AG147" s="10"/>
      <c r="AH147" s="10"/>
      <c r="AI147" s="12">
        <f t="shared" si="38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91"/>
      <c r="D148" s="32"/>
      <c r="E148" s="32"/>
      <c r="F148" s="32"/>
      <c r="G148" s="32">
        <f t="shared" si="33"/>
        <v>0</v>
      </c>
      <c r="H148" s="10"/>
      <c r="I148" s="10"/>
      <c r="J148" s="10"/>
      <c r="K148" s="12">
        <f t="shared" si="34"/>
        <v>0</v>
      </c>
      <c r="M148" s="10">
        <v>27</v>
      </c>
      <c r="N148" s="30"/>
      <c r="O148" s="31"/>
      <c r="P148" s="47"/>
      <c r="Q148" s="31"/>
      <c r="R148" s="31"/>
      <c r="S148" s="32">
        <f t="shared" si="35"/>
        <v>0</v>
      </c>
      <c r="T148" s="10"/>
      <c r="U148" s="10"/>
      <c r="V148" s="10"/>
      <c r="W148" s="12">
        <f t="shared" si="36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2"/>
        <v>0</v>
      </c>
      <c r="AF148" s="10"/>
      <c r="AG148" s="10"/>
      <c r="AH148" s="10"/>
      <c r="AI148" s="12">
        <f t="shared" si="38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91"/>
      <c r="D149" s="32"/>
      <c r="E149" s="32"/>
      <c r="F149" s="32"/>
      <c r="G149" s="32">
        <f t="shared" si="33"/>
        <v>0</v>
      </c>
      <c r="H149" s="10"/>
      <c r="I149" s="10"/>
      <c r="J149" s="10"/>
      <c r="K149" s="12">
        <f t="shared" si="34"/>
        <v>0</v>
      </c>
      <c r="M149" s="10">
        <v>28</v>
      </c>
      <c r="N149" s="30"/>
      <c r="O149" s="31"/>
      <c r="P149" s="47"/>
      <c r="Q149" s="31"/>
      <c r="R149" s="31"/>
      <c r="S149" s="32">
        <f t="shared" si="35"/>
        <v>0</v>
      </c>
      <c r="T149" s="10"/>
      <c r="U149" s="10"/>
      <c r="V149" s="10"/>
      <c r="W149" s="12">
        <f t="shared" si="36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2"/>
        <v>0</v>
      </c>
      <c r="AF149" s="10"/>
      <c r="AG149" s="10"/>
      <c r="AH149" s="10"/>
      <c r="AI149" s="12">
        <f t="shared" si="38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91"/>
      <c r="D150" s="32"/>
      <c r="E150" s="32"/>
      <c r="F150" s="32"/>
      <c r="G150" s="32">
        <f t="shared" si="33"/>
        <v>0</v>
      </c>
      <c r="H150" s="10"/>
      <c r="I150" s="10"/>
      <c r="J150" s="10"/>
      <c r="K150" s="12">
        <f t="shared" si="34"/>
        <v>0</v>
      </c>
      <c r="M150" s="10">
        <v>29</v>
      </c>
      <c r="N150" s="30"/>
      <c r="O150" s="31"/>
      <c r="P150" s="47"/>
      <c r="Q150" s="31"/>
      <c r="R150" s="31"/>
      <c r="S150" s="32">
        <f t="shared" si="35"/>
        <v>0</v>
      </c>
      <c r="T150" s="10"/>
      <c r="U150" s="10"/>
      <c r="V150" s="10"/>
      <c r="W150" s="12">
        <f t="shared" si="36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2"/>
        <v>0</v>
      </c>
      <c r="AF150" s="10"/>
      <c r="AG150" s="10"/>
      <c r="AH150" s="10"/>
      <c r="AI150" s="12">
        <f t="shared" si="38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91"/>
      <c r="D151" s="32"/>
      <c r="E151" s="32"/>
      <c r="F151" s="32"/>
      <c r="G151" s="32">
        <f t="shared" si="33"/>
        <v>0</v>
      </c>
      <c r="H151" s="10"/>
      <c r="I151" s="10"/>
      <c r="J151" s="10"/>
      <c r="K151" s="12">
        <f t="shared" si="34"/>
        <v>0</v>
      </c>
      <c r="M151" s="10">
        <v>30</v>
      </c>
      <c r="N151" s="30"/>
      <c r="O151" s="31"/>
      <c r="P151" s="47"/>
      <c r="Q151" s="31"/>
      <c r="R151" s="31"/>
      <c r="S151" s="32">
        <f t="shared" si="35"/>
        <v>0</v>
      </c>
      <c r="T151" s="10"/>
      <c r="U151" s="10"/>
      <c r="V151" s="10"/>
      <c r="W151" s="12">
        <f t="shared" si="36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2"/>
        <v>0</v>
      </c>
      <c r="AF151" s="10"/>
      <c r="AG151" s="10"/>
      <c r="AH151" s="10"/>
      <c r="AI151" s="12">
        <f t="shared" si="38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91"/>
      <c r="D152" s="32"/>
      <c r="E152" s="32"/>
      <c r="F152" s="32"/>
      <c r="G152" s="32">
        <f t="shared" si="33"/>
        <v>0</v>
      </c>
      <c r="H152" s="10"/>
      <c r="I152" s="10"/>
      <c r="J152" s="10"/>
      <c r="K152" s="12">
        <f t="shared" si="34"/>
        <v>0</v>
      </c>
      <c r="M152" s="10">
        <v>31</v>
      </c>
      <c r="N152" s="30"/>
      <c r="O152" s="31"/>
      <c r="P152" s="47"/>
      <c r="Q152" s="31"/>
      <c r="R152" s="31"/>
      <c r="S152" s="32">
        <f t="shared" si="35"/>
        <v>0</v>
      </c>
      <c r="T152" s="10"/>
      <c r="U152" s="10"/>
      <c r="V152" s="10"/>
      <c r="W152" s="12">
        <f t="shared" si="36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2"/>
        <v>0</v>
      </c>
      <c r="AF152" s="10"/>
      <c r="AG152" s="10"/>
      <c r="AH152" s="10"/>
      <c r="AI152" s="12">
        <f t="shared" si="38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91"/>
      <c r="D153" s="32"/>
      <c r="E153" s="32"/>
      <c r="F153" s="32"/>
      <c r="G153" s="32">
        <f t="shared" si="33"/>
        <v>0</v>
      </c>
      <c r="H153" s="10"/>
      <c r="I153" s="10"/>
      <c r="J153" s="10"/>
      <c r="K153" s="12">
        <f t="shared" si="34"/>
        <v>0</v>
      </c>
      <c r="M153" s="10">
        <v>32</v>
      </c>
      <c r="N153" s="30"/>
      <c r="O153" s="31"/>
      <c r="P153" s="47"/>
      <c r="Q153" s="31"/>
      <c r="R153" s="31"/>
      <c r="S153" s="32">
        <f t="shared" si="35"/>
        <v>0</v>
      </c>
      <c r="T153" s="10"/>
      <c r="U153" s="10"/>
      <c r="V153" s="10"/>
      <c r="W153" s="12">
        <f t="shared" si="36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2"/>
        <v>0</v>
      </c>
      <c r="AF153" s="10"/>
      <c r="AG153" s="10"/>
      <c r="AH153" s="10"/>
      <c r="AI153" s="12">
        <f t="shared" si="38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91"/>
      <c r="D154" s="32"/>
      <c r="E154" s="32"/>
      <c r="F154" s="32"/>
      <c r="G154" s="32">
        <f t="shared" si="33"/>
        <v>0</v>
      </c>
      <c r="H154" s="10"/>
      <c r="I154" s="10"/>
      <c r="J154" s="10"/>
      <c r="K154" s="12">
        <f t="shared" si="34"/>
        <v>0</v>
      </c>
      <c r="M154" s="10">
        <v>33</v>
      </c>
      <c r="N154" s="30"/>
      <c r="O154" s="31"/>
      <c r="P154" s="47"/>
      <c r="Q154" s="31"/>
      <c r="R154" s="31"/>
      <c r="S154" s="32">
        <f t="shared" si="35"/>
        <v>0</v>
      </c>
      <c r="T154" s="10"/>
      <c r="U154" s="10"/>
      <c r="V154" s="10"/>
      <c r="W154" s="12">
        <f t="shared" si="36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2"/>
        <v>0</v>
      </c>
      <c r="AF154" s="10"/>
      <c r="AG154" s="10"/>
      <c r="AH154" s="10"/>
      <c r="AI154" s="12">
        <f t="shared" si="38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91"/>
      <c r="D155" s="32"/>
      <c r="E155" s="32"/>
      <c r="F155" s="32"/>
      <c r="G155" s="32">
        <f t="shared" si="33"/>
        <v>0</v>
      </c>
      <c r="H155" s="10"/>
      <c r="I155" s="10"/>
      <c r="J155" s="10"/>
      <c r="K155" s="12">
        <f t="shared" si="34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43">SUM(P155:Q155)</f>
        <v>0</v>
      </c>
      <c r="T155" s="10"/>
      <c r="U155" s="10"/>
      <c r="V155" s="10"/>
      <c r="W155" s="12">
        <f t="shared" ref="W155:W163" si="44">SUM(S155:V155)</f>
        <v>0</v>
      </c>
      <c r="Y155" s="10">
        <v>34</v>
      </c>
      <c r="Z155" s="30"/>
      <c r="AA155" s="31"/>
      <c r="AB155" s="47"/>
      <c r="AC155" s="31"/>
      <c r="AD155" s="31"/>
      <c r="AE155" s="32">
        <f t="shared" ref="AE155:AE165" si="45">SUM(AB155:AC155)</f>
        <v>0</v>
      </c>
      <c r="AF155" s="10"/>
      <c r="AG155" s="10"/>
      <c r="AH155" s="10"/>
      <c r="AI155" s="12">
        <f t="shared" ref="AI155:AI166" si="46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91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3"/>
        <v>0</v>
      </c>
      <c r="T156" s="10"/>
      <c r="U156" s="10"/>
      <c r="V156" s="10"/>
      <c r="W156" s="12">
        <f t="shared" si="44"/>
        <v>0</v>
      </c>
      <c r="Y156" s="10">
        <v>35</v>
      </c>
      <c r="Z156" s="30"/>
      <c r="AA156" s="31"/>
      <c r="AB156" s="47"/>
      <c r="AC156" s="31"/>
      <c r="AD156" s="31"/>
      <c r="AE156" s="32">
        <f t="shared" si="45"/>
        <v>0</v>
      </c>
      <c r="AF156" s="10"/>
      <c r="AG156" s="10"/>
      <c r="AH156" s="10"/>
      <c r="AI156" s="12">
        <f t="shared" si="46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91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3"/>
        <v>0</v>
      </c>
      <c r="T157" s="10"/>
      <c r="U157" s="10"/>
      <c r="V157" s="10"/>
      <c r="W157" s="12">
        <f t="shared" si="44"/>
        <v>0</v>
      </c>
      <c r="Y157" s="10">
        <v>36</v>
      </c>
      <c r="Z157" s="30"/>
      <c r="AA157" s="31"/>
      <c r="AB157" s="47"/>
      <c r="AC157" s="31"/>
      <c r="AD157" s="31"/>
      <c r="AE157" s="32">
        <f t="shared" si="45"/>
        <v>0</v>
      </c>
      <c r="AF157" s="10"/>
      <c r="AG157" s="10"/>
      <c r="AH157" s="10"/>
      <c r="AI157" s="12">
        <f t="shared" si="46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3"/>
        <v>0</v>
      </c>
      <c r="T158" s="10"/>
      <c r="U158" s="10"/>
      <c r="V158" s="10"/>
      <c r="W158" s="12">
        <f t="shared" si="44"/>
        <v>0</v>
      </c>
      <c r="Y158" s="10">
        <v>37</v>
      </c>
      <c r="Z158" s="30"/>
      <c r="AA158" s="31"/>
      <c r="AB158" s="47"/>
      <c r="AC158" s="31"/>
      <c r="AD158" s="31"/>
      <c r="AE158" s="32">
        <f t="shared" si="45"/>
        <v>0</v>
      </c>
      <c r="AF158" s="10"/>
      <c r="AG158" s="10"/>
      <c r="AH158" s="10"/>
      <c r="AI158" s="12">
        <f t="shared" si="46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3"/>
        <v>0</v>
      </c>
      <c r="T159" s="10"/>
      <c r="U159" s="10"/>
      <c r="V159" s="10"/>
      <c r="W159" s="12">
        <f t="shared" si="44"/>
        <v>0</v>
      </c>
      <c r="Y159" s="10">
        <v>38</v>
      </c>
      <c r="Z159" s="30"/>
      <c r="AA159" s="31"/>
      <c r="AB159" s="47"/>
      <c r="AC159" s="31"/>
      <c r="AD159" s="31"/>
      <c r="AE159" s="32">
        <f t="shared" si="45"/>
        <v>0</v>
      </c>
      <c r="AF159" s="10"/>
      <c r="AG159" s="10"/>
      <c r="AH159" s="10"/>
      <c r="AI159" s="12">
        <f t="shared" si="46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3"/>
        <v>0</v>
      </c>
      <c r="T160" s="10"/>
      <c r="U160" s="10"/>
      <c r="V160" s="10"/>
      <c r="W160" s="12">
        <f t="shared" si="44"/>
        <v>0</v>
      </c>
      <c r="Y160" s="10">
        <v>39</v>
      </c>
      <c r="Z160" s="30"/>
      <c r="AA160" s="31"/>
      <c r="AB160" s="47"/>
      <c r="AC160" s="31"/>
      <c r="AD160" s="31"/>
      <c r="AE160" s="32">
        <f t="shared" si="45"/>
        <v>0</v>
      </c>
      <c r="AF160" s="10"/>
      <c r="AG160" s="10"/>
      <c r="AH160" s="10"/>
      <c r="AI160" s="12">
        <f t="shared" si="46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44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46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47">SUM(D162:E162)</f>
        <v>0</v>
      </c>
      <c r="H162" s="10"/>
      <c r="I162" s="10"/>
      <c r="J162" s="10"/>
      <c r="K162" s="12">
        <f t="shared" ref="K162" si="48">SUM(G162:J162)</f>
        <v>0</v>
      </c>
      <c r="M162" s="10"/>
      <c r="N162" s="30"/>
      <c r="O162" s="31"/>
      <c r="P162" s="47"/>
      <c r="Q162" s="31"/>
      <c r="R162" s="31"/>
      <c r="S162" s="32">
        <f t="shared" ref="S162" si="49">SUM(P162:Q162)</f>
        <v>0</v>
      </c>
      <c r="T162" s="10"/>
      <c r="U162" s="10"/>
      <c r="V162" s="10"/>
      <c r="W162" s="12">
        <f t="shared" si="44"/>
        <v>0</v>
      </c>
      <c r="Y162" s="10"/>
      <c r="Z162" s="30"/>
      <c r="AA162" s="31"/>
      <c r="AB162" s="47"/>
      <c r="AC162" s="31"/>
      <c r="AD162" s="31"/>
      <c r="AE162" s="32">
        <f t="shared" ref="AE162" si="50">SUM(AB162:AC162)</f>
        <v>0</v>
      </c>
      <c r="AF162" s="10"/>
      <c r="AG162" s="10"/>
      <c r="AH162" s="10"/>
      <c r="AI162" s="12">
        <f t="shared" si="46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44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46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394894</v>
      </c>
      <c r="E165" s="38">
        <f t="shared" ref="E165:G165" si="51">SUM(E122:E162)</f>
        <v>-2592</v>
      </c>
      <c r="F165" s="38">
        <f t="shared" si="51"/>
        <v>0</v>
      </c>
      <c r="G165" s="38">
        <f>SUM(G122:G164)</f>
        <v>392302</v>
      </c>
      <c r="H165" s="4"/>
      <c r="I165" s="39">
        <f>SUM(I122:I164)</f>
        <v>2058</v>
      </c>
      <c r="J165" s="39">
        <f>SUM(J122:J164)</f>
        <v>-92322</v>
      </c>
      <c r="K165" s="40">
        <f>SUM(K122:K164)</f>
        <v>302038</v>
      </c>
      <c r="N165" s="57"/>
      <c r="O165" s="57"/>
      <c r="P165" s="38">
        <f>SUM(P122:P164)</f>
        <v>334564.5</v>
      </c>
      <c r="Q165" s="38">
        <f>SUM(Q122:Q146)</f>
        <v>-2580</v>
      </c>
      <c r="R165" s="38">
        <f>SUM(R122:R146)</f>
        <v>0</v>
      </c>
      <c r="S165" s="38">
        <f>SUM(S122:S164)</f>
        <v>331984.5</v>
      </c>
      <c r="T165" s="4"/>
      <c r="U165" s="41">
        <f>SUM(U122:U164)</f>
        <v>615</v>
      </c>
      <c r="V165" s="41">
        <f>SUM(V122:V146)</f>
        <v>0</v>
      </c>
      <c r="W165" s="42">
        <f>SUM(W122:W164)</f>
        <v>332599.5</v>
      </c>
      <c r="Z165" s="57"/>
      <c r="AA165" s="57"/>
      <c r="AB165" s="38">
        <f>SUM(AB122:AB164)</f>
        <v>569490</v>
      </c>
      <c r="AC165" s="38">
        <f>SUM(AC122:AC146)</f>
        <v>-2106</v>
      </c>
      <c r="AD165" s="38">
        <f>SUM(AD122:AD146)</f>
        <v>0</v>
      </c>
      <c r="AE165" s="38">
        <f>SUM(AE122:AE164)</f>
        <v>567384</v>
      </c>
      <c r="AF165" s="4"/>
      <c r="AG165" s="41">
        <f>SUM(AG122:AG164)</f>
        <v>601.5</v>
      </c>
      <c r="AH165" s="41">
        <f>SUM(AH122:AH146)</f>
        <v>-2220</v>
      </c>
      <c r="AI165" s="42">
        <f>SUM(AI122:AI164)</f>
        <v>565765.5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s="62"/>
      <c r="B167" s="94"/>
      <c r="C167" s="94"/>
      <c r="D167" s="94"/>
      <c r="E167" s="94"/>
      <c r="F167" s="94"/>
      <c r="G167" s="94"/>
      <c r="H167" s="62"/>
      <c r="I167" s="62"/>
      <c r="J167" s="62"/>
      <c r="K167" s="62"/>
      <c r="L167" s="62"/>
      <c r="M167" s="62"/>
      <c r="N167" s="94"/>
      <c r="O167" s="94"/>
      <c r="P167" s="94"/>
      <c r="Q167" s="94"/>
      <c r="R167" s="94"/>
      <c r="S167" s="94"/>
      <c r="T167" s="62"/>
      <c r="U167" s="62"/>
      <c r="V167" s="62"/>
      <c r="W167" s="62"/>
      <c r="X167" s="62"/>
      <c r="Y167" s="62"/>
      <c r="Z167" s="94"/>
      <c r="AA167" s="94"/>
      <c r="AB167" s="94"/>
      <c r="AC167" s="94"/>
      <c r="AD167" s="94"/>
      <c r="AE167" s="94"/>
      <c r="AF167" s="62"/>
      <c r="AG167" s="62"/>
      <c r="AH167" s="62"/>
      <c r="AI167" s="62"/>
      <c r="AJ167" s="62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s="62"/>
      <c r="B168" s="94"/>
      <c r="C168" s="94"/>
      <c r="D168" s="94"/>
      <c r="E168" s="94"/>
      <c r="F168" s="94"/>
      <c r="G168" s="94"/>
      <c r="H168" s="62"/>
      <c r="I168" s="62"/>
      <c r="J168" s="62"/>
      <c r="K168" s="62"/>
      <c r="L168" s="62"/>
      <c r="M168" s="62"/>
      <c r="N168" s="94"/>
      <c r="O168" s="94"/>
      <c r="P168" s="94"/>
      <c r="Q168" s="94"/>
      <c r="R168" s="94"/>
      <c r="S168" s="94"/>
      <c r="T168" s="62"/>
      <c r="U168" s="62"/>
      <c r="V168" s="62"/>
      <c r="W168" s="62"/>
      <c r="X168" s="62"/>
      <c r="Y168" s="62"/>
      <c r="Z168" s="94"/>
      <c r="AA168" s="94"/>
      <c r="AB168" s="94"/>
      <c r="AC168" s="94"/>
      <c r="AD168" s="94"/>
      <c r="AE168" s="94"/>
      <c r="AF168" s="62"/>
      <c r="AG168" s="62"/>
      <c r="AH168" s="62"/>
      <c r="AI168" s="62"/>
      <c r="AJ168" s="62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A169" s="62"/>
      <c r="B169" s="94"/>
      <c r="C169" s="94"/>
      <c r="D169" s="94"/>
      <c r="E169" s="94"/>
      <c r="F169" s="94"/>
      <c r="G169" s="94"/>
      <c r="H169" s="62"/>
      <c r="I169" s="62"/>
      <c r="J169" s="62"/>
      <c r="K169" s="62"/>
      <c r="L169" s="62"/>
      <c r="M169" s="62"/>
      <c r="N169" s="94"/>
      <c r="O169" s="94"/>
      <c r="P169" s="94"/>
      <c r="Q169" s="94"/>
      <c r="R169" s="94"/>
      <c r="S169" s="94"/>
      <c r="T169" s="62"/>
      <c r="U169" s="62"/>
      <c r="V169" s="62"/>
      <c r="W169" s="62"/>
      <c r="X169" s="62"/>
      <c r="Y169" s="62"/>
      <c r="Z169" s="94"/>
      <c r="AA169" s="94"/>
      <c r="AB169" s="94"/>
      <c r="AC169" s="94"/>
      <c r="AD169" s="94"/>
      <c r="AE169" s="94"/>
      <c r="AF169" s="62"/>
      <c r="AG169" s="62"/>
      <c r="AH169" s="62"/>
      <c r="AI169" s="62"/>
      <c r="AJ169" s="62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63"/>
      <c r="B170" s="94"/>
      <c r="C170" s="94"/>
      <c r="D170" s="94"/>
      <c r="E170" s="94"/>
      <c r="F170" s="94"/>
      <c r="G170" s="94"/>
      <c r="H170" s="62"/>
      <c r="I170" s="62"/>
      <c r="J170" s="62"/>
      <c r="K170" s="62"/>
      <c r="L170" s="62"/>
      <c r="M170" s="63"/>
      <c r="N170" s="94"/>
      <c r="O170" s="94"/>
      <c r="P170" s="94"/>
      <c r="Q170" s="94"/>
      <c r="R170" s="94"/>
      <c r="S170" s="94"/>
      <c r="T170" s="62"/>
      <c r="U170" s="62"/>
      <c r="V170" s="62"/>
      <c r="W170" s="62"/>
      <c r="X170" s="62"/>
      <c r="Y170" s="63"/>
      <c r="Z170" s="94"/>
      <c r="AA170" s="94"/>
      <c r="AB170" s="94"/>
      <c r="AC170" s="94"/>
      <c r="AD170" s="94"/>
      <c r="AE170" s="94"/>
      <c r="AF170" s="62"/>
      <c r="AG170" s="62"/>
      <c r="AH170" s="62"/>
      <c r="AI170" s="62"/>
      <c r="AJ170" s="62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A171" s="62"/>
      <c r="B171" s="94"/>
      <c r="C171" s="94"/>
      <c r="D171" s="94"/>
      <c r="E171" s="94"/>
      <c r="F171" s="94"/>
      <c r="G171" s="94"/>
      <c r="H171" s="62"/>
      <c r="I171" s="62"/>
      <c r="J171" s="62"/>
      <c r="K171" s="62"/>
      <c r="L171" s="62"/>
      <c r="M171" s="62"/>
      <c r="N171" s="94"/>
      <c r="O171" s="94"/>
      <c r="P171" s="94"/>
      <c r="Q171" s="94"/>
      <c r="R171" s="94"/>
      <c r="S171" s="94"/>
      <c r="T171" s="62"/>
      <c r="U171" s="62"/>
      <c r="V171" s="62"/>
      <c r="W171" s="62"/>
      <c r="X171" s="62"/>
      <c r="Y171" s="62"/>
      <c r="Z171" s="94"/>
      <c r="AA171" s="94"/>
      <c r="AB171" s="94"/>
      <c r="AC171" s="94"/>
      <c r="AD171" s="94"/>
      <c r="AE171" s="94"/>
      <c r="AF171" s="62"/>
      <c r="AG171" s="62"/>
      <c r="AH171" s="62"/>
      <c r="AI171" s="62"/>
      <c r="AJ171" s="62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s="62"/>
      <c r="B172" s="94"/>
      <c r="C172" s="94"/>
      <c r="D172" s="94"/>
      <c r="E172" s="94"/>
      <c r="F172" s="94"/>
      <c r="G172" s="94"/>
      <c r="H172" s="62"/>
      <c r="I172" s="94"/>
      <c r="J172" s="74"/>
      <c r="K172" s="62"/>
      <c r="L172" s="62"/>
      <c r="M172" s="62"/>
      <c r="N172" s="94"/>
      <c r="O172" s="94"/>
      <c r="P172" s="94"/>
      <c r="Q172" s="94"/>
      <c r="R172" s="94"/>
      <c r="S172" s="94"/>
      <c r="T172" s="62"/>
      <c r="U172" s="94"/>
      <c r="V172" s="74"/>
      <c r="W172" s="62"/>
      <c r="X172" s="62"/>
      <c r="Y172" s="62"/>
      <c r="Z172" s="94"/>
      <c r="AA172" s="94"/>
      <c r="AB172" s="94"/>
      <c r="AC172" s="94"/>
      <c r="AD172" s="94"/>
      <c r="AE172" s="94"/>
      <c r="AF172" s="62"/>
      <c r="AG172" s="94"/>
      <c r="AH172" s="94"/>
      <c r="AI172" s="62"/>
      <c r="AJ172" s="62"/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64"/>
      <c r="B173" s="94"/>
      <c r="C173" s="94"/>
      <c r="D173" s="94"/>
      <c r="E173" s="94"/>
      <c r="F173" s="94"/>
      <c r="G173" s="94"/>
      <c r="H173" s="62"/>
      <c r="I173" s="65"/>
      <c r="J173" s="65"/>
      <c r="K173" s="62"/>
      <c r="L173" s="62"/>
      <c r="M173" s="64"/>
      <c r="N173" s="94"/>
      <c r="O173" s="94"/>
      <c r="P173" s="94"/>
      <c r="Q173" s="94"/>
      <c r="R173" s="94"/>
      <c r="S173" s="94"/>
      <c r="T173" s="62"/>
      <c r="U173" s="65"/>
      <c r="V173" s="65"/>
      <c r="W173" s="62"/>
      <c r="X173" s="62"/>
      <c r="Y173" s="64"/>
      <c r="Z173" s="94"/>
      <c r="AA173" s="94"/>
      <c r="AB173" s="94"/>
      <c r="AC173" s="94"/>
      <c r="AD173" s="94"/>
      <c r="AE173" s="94"/>
      <c r="AF173" s="62"/>
      <c r="AG173" s="65"/>
      <c r="AH173" s="65"/>
      <c r="AI173" s="62"/>
      <c r="AJ173" s="62"/>
      <c r="AK173" s="62"/>
      <c r="AL173" s="87"/>
      <c r="AM173" s="87"/>
      <c r="AN173" s="87"/>
      <c r="AO173" s="87"/>
      <c r="AP173" s="87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A174" s="62"/>
      <c r="B174" s="94"/>
      <c r="C174" s="94"/>
      <c r="D174" s="94"/>
      <c r="E174" s="94"/>
      <c r="F174" s="94"/>
      <c r="G174" s="94"/>
      <c r="H174" s="62"/>
      <c r="I174" s="62"/>
      <c r="J174" s="62"/>
      <c r="K174" s="62"/>
      <c r="L174" s="62"/>
      <c r="M174" s="62"/>
      <c r="N174" s="94"/>
      <c r="O174" s="94"/>
      <c r="P174" s="94"/>
      <c r="Q174" s="94"/>
      <c r="R174" s="94"/>
      <c r="S174" s="94"/>
      <c r="T174" s="62"/>
      <c r="U174" s="62"/>
      <c r="V174" s="62"/>
      <c r="W174" s="62"/>
      <c r="X174" s="62"/>
      <c r="Y174" s="62"/>
      <c r="Z174" s="94"/>
      <c r="AA174" s="94"/>
      <c r="AB174" s="94"/>
      <c r="AC174" s="94"/>
      <c r="AD174" s="94"/>
      <c r="AE174" s="94"/>
      <c r="AF174" s="62"/>
      <c r="AG174" s="62"/>
      <c r="AH174" s="62"/>
      <c r="AI174" s="62"/>
      <c r="AJ174" s="62"/>
      <c r="AK174" s="62"/>
      <c r="AL174" s="87"/>
      <c r="AM174" s="87"/>
      <c r="AN174" s="87"/>
      <c r="AO174" s="87"/>
      <c r="AP174" s="87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A175" s="62"/>
      <c r="B175" s="65"/>
      <c r="C175" s="94"/>
      <c r="D175" s="104"/>
      <c r="E175" s="104"/>
      <c r="F175" s="94"/>
      <c r="G175" s="94"/>
      <c r="H175" s="62"/>
      <c r="I175" s="104"/>
      <c r="J175" s="104"/>
      <c r="K175" s="103"/>
      <c r="L175" s="62"/>
      <c r="M175" s="62"/>
      <c r="N175" s="65"/>
      <c r="O175" s="94"/>
      <c r="P175" s="104"/>
      <c r="Q175" s="104"/>
      <c r="R175" s="94"/>
      <c r="S175" s="94"/>
      <c r="T175" s="62"/>
      <c r="U175" s="104"/>
      <c r="V175" s="104"/>
      <c r="W175" s="103"/>
      <c r="X175" s="62"/>
      <c r="Y175" s="62"/>
      <c r="Z175" s="65"/>
      <c r="AA175" s="94"/>
      <c r="AB175" s="104"/>
      <c r="AC175" s="104"/>
      <c r="AD175" s="94"/>
      <c r="AE175" s="94"/>
      <c r="AF175" s="62"/>
      <c r="AG175" s="104"/>
      <c r="AH175" s="104"/>
      <c r="AI175" s="103"/>
      <c r="AJ175" s="62"/>
      <c r="AK175" s="62"/>
      <c r="AL175" s="87"/>
      <c r="AM175" s="87"/>
      <c r="AN175" s="87"/>
      <c r="AO175" s="87"/>
      <c r="AP175" s="87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x14ac:dyDescent="0.25">
      <c r="A176" s="62"/>
      <c r="B176" s="94"/>
      <c r="C176" s="94"/>
      <c r="D176" s="81"/>
      <c r="E176" s="82"/>
      <c r="F176" s="83"/>
      <c r="G176" s="83"/>
      <c r="H176" s="62"/>
      <c r="I176" s="93"/>
      <c r="J176" s="93"/>
      <c r="K176" s="103"/>
      <c r="L176" s="62"/>
      <c r="M176" s="62"/>
      <c r="N176" s="94"/>
      <c r="O176" s="94"/>
      <c r="P176" s="81"/>
      <c r="Q176" s="83"/>
      <c r="R176" s="83"/>
      <c r="S176" s="83"/>
      <c r="T176" s="62"/>
      <c r="U176" s="93"/>
      <c r="V176" s="93"/>
      <c r="W176" s="103"/>
      <c r="X176" s="62"/>
      <c r="Y176" s="62"/>
      <c r="Z176" s="94"/>
      <c r="AA176" s="94"/>
      <c r="AB176" s="81"/>
      <c r="AC176" s="83"/>
      <c r="AD176" s="83"/>
      <c r="AE176" s="83"/>
      <c r="AF176" s="62"/>
      <c r="AG176" s="93"/>
      <c r="AH176" s="93"/>
      <c r="AI176" s="103"/>
      <c r="AJ176" s="62"/>
      <c r="AK176" s="63"/>
      <c r="AL176" s="87"/>
      <c r="AM176" s="87"/>
      <c r="AN176" s="87"/>
      <c r="AO176" s="87"/>
      <c r="AP176" s="87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62"/>
      <c r="B177" s="66"/>
      <c r="C177" s="92"/>
      <c r="D177" s="60"/>
      <c r="E177" s="60"/>
      <c r="F177" s="60"/>
      <c r="G177" s="60"/>
      <c r="H177" s="61"/>
      <c r="I177" s="61"/>
      <c r="J177" s="61"/>
      <c r="K177" s="61"/>
      <c r="L177" s="62"/>
      <c r="M177" s="62"/>
      <c r="N177" s="66"/>
      <c r="O177" s="94"/>
      <c r="P177" s="60"/>
      <c r="Q177" s="60"/>
      <c r="R177" s="60"/>
      <c r="S177" s="60"/>
      <c r="T177" s="61"/>
      <c r="U177" s="61"/>
      <c r="V177" s="61"/>
      <c r="W177" s="61"/>
      <c r="X177" s="62"/>
      <c r="Y177" s="62"/>
      <c r="Z177" s="66"/>
      <c r="AA177" s="94"/>
      <c r="AB177" s="60"/>
      <c r="AC177" s="60"/>
      <c r="AD177" s="60"/>
      <c r="AE177" s="60"/>
      <c r="AF177" s="61"/>
      <c r="AG177" s="61"/>
      <c r="AH177" s="61"/>
      <c r="AI177" s="61"/>
      <c r="AJ177" s="62"/>
      <c r="AK177" s="62"/>
      <c r="AL177" s="87"/>
      <c r="AM177" s="87"/>
      <c r="AN177" s="87"/>
      <c r="AO177" s="87"/>
      <c r="AP177" s="87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62"/>
      <c r="B178" s="66"/>
      <c r="C178" s="92"/>
      <c r="D178" s="60"/>
      <c r="E178" s="60"/>
      <c r="F178" s="60"/>
      <c r="G178" s="60"/>
      <c r="H178" s="61"/>
      <c r="I178" s="61"/>
      <c r="J178" s="61"/>
      <c r="K178" s="61"/>
      <c r="L178" s="62"/>
      <c r="M178" s="62"/>
      <c r="N178" s="66"/>
      <c r="O178" s="94"/>
      <c r="P178" s="60"/>
      <c r="Q178" s="60"/>
      <c r="R178" s="60"/>
      <c r="S178" s="60"/>
      <c r="T178" s="61"/>
      <c r="U178" s="61"/>
      <c r="V178" s="61"/>
      <c r="W178" s="61"/>
      <c r="X178" s="62"/>
      <c r="Y178" s="62"/>
      <c r="Z178" s="66"/>
      <c r="AA178" s="94"/>
      <c r="AB178" s="60"/>
      <c r="AC178" s="60"/>
      <c r="AD178" s="60"/>
      <c r="AE178" s="60"/>
      <c r="AF178" s="61"/>
      <c r="AG178" s="61"/>
      <c r="AH178" s="61"/>
      <c r="AI178" s="61"/>
      <c r="AJ178" s="62"/>
      <c r="AK178" s="62"/>
      <c r="AL178" s="87"/>
      <c r="AM178" s="87"/>
      <c r="AN178" s="87"/>
      <c r="AO178" s="87"/>
      <c r="AP178" s="87"/>
      <c r="AQ178" s="62"/>
      <c r="AR178" s="84"/>
      <c r="AS178" s="84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62"/>
      <c r="B179" s="66"/>
      <c r="C179" s="92"/>
      <c r="D179" s="60"/>
      <c r="E179" s="60"/>
      <c r="F179" s="60"/>
      <c r="G179" s="60"/>
      <c r="H179" s="61"/>
      <c r="I179" s="61"/>
      <c r="J179" s="61"/>
      <c r="K179" s="61"/>
      <c r="L179" s="62"/>
      <c r="M179" s="62"/>
      <c r="N179" s="66"/>
      <c r="O179" s="94"/>
      <c r="P179" s="60"/>
      <c r="Q179" s="60"/>
      <c r="R179" s="60"/>
      <c r="S179" s="60"/>
      <c r="T179" s="61"/>
      <c r="U179" s="61"/>
      <c r="V179" s="61"/>
      <c r="W179" s="61"/>
      <c r="X179" s="62"/>
      <c r="Y179" s="62"/>
      <c r="Z179" s="66"/>
      <c r="AA179" s="94"/>
      <c r="AB179" s="60"/>
      <c r="AC179" s="60"/>
      <c r="AD179" s="60"/>
      <c r="AE179" s="60"/>
      <c r="AF179" s="61"/>
      <c r="AG179" s="61"/>
      <c r="AH179" s="61"/>
      <c r="AI179" s="61"/>
      <c r="AJ179" s="62"/>
      <c r="AK179" s="64"/>
      <c r="AL179" s="87"/>
      <c r="AM179" s="87"/>
      <c r="AN179" s="87"/>
      <c r="AO179" s="87"/>
      <c r="AP179" s="87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62"/>
      <c r="B180" s="66"/>
      <c r="C180" s="92"/>
      <c r="D180" s="60"/>
      <c r="E180" s="60"/>
      <c r="F180" s="60"/>
      <c r="G180" s="60"/>
      <c r="H180" s="61"/>
      <c r="I180" s="61"/>
      <c r="J180" s="61"/>
      <c r="K180" s="61"/>
      <c r="L180" s="62"/>
      <c r="M180" s="62"/>
      <c r="N180" s="66"/>
      <c r="O180" s="94"/>
      <c r="P180" s="60"/>
      <c r="Q180" s="60"/>
      <c r="R180" s="60"/>
      <c r="S180" s="60"/>
      <c r="T180" s="61"/>
      <c r="U180" s="61"/>
      <c r="V180" s="61"/>
      <c r="W180" s="61"/>
      <c r="X180" s="62"/>
      <c r="Y180" s="62"/>
      <c r="Z180" s="66"/>
      <c r="AA180" s="65"/>
      <c r="AB180" s="60"/>
      <c r="AC180" s="60"/>
      <c r="AD180" s="60"/>
      <c r="AE180" s="60"/>
      <c r="AF180" s="61"/>
      <c r="AG180" s="62"/>
      <c r="AH180" s="61"/>
      <c r="AI180" s="61"/>
      <c r="AJ180" s="62"/>
      <c r="AK180" s="62"/>
      <c r="AL180" s="87"/>
      <c r="AM180" s="87"/>
      <c r="AN180" s="87"/>
      <c r="AO180" s="87"/>
      <c r="AP180" s="87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62"/>
      <c r="B181" s="66"/>
      <c r="C181" s="92"/>
      <c r="D181" s="60"/>
      <c r="E181" s="60"/>
      <c r="F181" s="60"/>
      <c r="G181" s="60"/>
      <c r="H181" s="61"/>
      <c r="I181" s="61"/>
      <c r="J181" s="61"/>
      <c r="K181" s="61"/>
      <c r="L181" s="62"/>
      <c r="M181" s="62"/>
      <c r="N181" s="66"/>
      <c r="O181" s="94"/>
      <c r="P181" s="60"/>
      <c r="Q181" s="60"/>
      <c r="R181" s="60"/>
      <c r="S181" s="60"/>
      <c r="T181" s="61"/>
      <c r="U181" s="61"/>
      <c r="V181" s="61"/>
      <c r="W181" s="61"/>
      <c r="X181" s="62"/>
      <c r="Y181" s="62"/>
      <c r="Z181" s="66"/>
      <c r="AA181" s="94"/>
      <c r="AB181" s="60"/>
      <c r="AC181" s="60"/>
      <c r="AD181" s="60"/>
      <c r="AE181" s="60"/>
      <c r="AF181" s="61"/>
      <c r="AG181" s="61"/>
      <c r="AH181" s="61"/>
      <c r="AI181" s="61"/>
      <c r="AJ181" s="62"/>
      <c r="AK181" s="62"/>
      <c r="AL181" s="65"/>
      <c r="AM181" s="87"/>
      <c r="AN181" s="104"/>
      <c r="AO181" s="104"/>
      <c r="AP181" s="87"/>
      <c r="AQ181" s="62"/>
      <c r="AR181" s="104"/>
      <c r="AS181" s="104"/>
      <c r="AT181" s="103"/>
      <c r="AU181" s="62"/>
      <c r="AV181" s="62"/>
      <c r="AW181" s="62"/>
      <c r="AX181" s="62"/>
      <c r="AY181" s="62"/>
      <c r="AZ181" s="62"/>
    </row>
    <row r="182" spans="1:52" x14ac:dyDescent="0.25">
      <c r="A182" s="62"/>
      <c r="B182" s="66"/>
      <c r="C182" s="92"/>
      <c r="D182" s="60"/>
      <c r="E182" s="60"/>
      <c r="F182" s="60"/>
      <c r="G182" s="60"/>
      <c r="H182" s="61"/>
      <c r="I182" s="61"/>
      <c r="J182" s="61"/>
      <c r="K182" s="61"/>
      <c r="L182" s="62"/>
      <c r="M182" s="62"/>
      <c r="N182" s="66"/>
      <c r="O182" s="94"/>
      <c r="P182" s="60"/>
      <c r="Q182" s="60"/>
      <c r="R182" s="60"/>
      <c r="S182" s="60"/>
      <c r="T182" s="61"/>
      <c r="U182" s="61"/>
      <c r="V182" s="62"/>
      <c r="W182" s="61"/>
      <c r="X182" s="62"/>
      <c r="Y182" s="62"/>
      <c r="Z182" s="66"/>
      <c r="AA182" s="62"/>
      <c r="AB182" s="60"/>
      <c r="AC182" s="60"/>
      <c r="AD182" s="60"/>
      <c r="AE182" s="60"/>
      <c r="AF182" s="61"/>
      <c r="AG182" s="61"/>
      <c r="AH182" s="62"/>
      <c r="AI182" s="61"/>
      <c r="AJ182" s="62"/>
      <c r="AK182" s="62"/>
      <c r="AL182" s="87"/>
      <c r="AM182" s="87"/>
      <c r="AN182" s="87"/>
      <c r="AO182" s="86"/>
      <c r="AP182" s="86"/>
      <c r="AQ182" s="62"/>
      <c r="AR182" s="85"/>
      <c r="AS182" s="85"/>
      <c r="AT182" s="103"/>
      <c r="AU182" s="62"/>
      <c r="AV182" s="62"/>
      <c r="AW182" s="62"/>
      <c r="AX182" s="62"/>
      <c r="AY182" s="62"/>
      <c r="AZ182" s="62"/>
    </row>
    <row r="183" spans="1:52" x14ac:dyDescent="0.25">
      <c r="A183" s="62"/>
      <c r="B183" s="66"/>
      <c r="C183" s="92"/>
      <c r="D183" s="60"/>
      <c r="E183" s="60"/>
      <c r="F183" s="60"/>
      <c r="G183" s="60"/>
      <c r="H183" s="61"/>
      <c r="I183" s="61"/>
      <c r="J183" s="61"/>
      <c r="K183" s="61"/>
      <c r="L183" s="62"/>
      <c r="M183" s="62"/>
      <c r="N183" s="66"/>
      <c r="O183" s="94"/>
      <c r="P183" s="60"/>
      <c r="Q183" s="60"/>
      <c r="R183" s="60"/>
      <c r="S183" s="60"/>
      <c r="T183" s="61"/>
      <c r="U183" s="61"/>
      <c r="V183" s="61"/>
      <c r="W183" s="61"/>
      <c r="X183" s="62"/>
      <c r="Y183" s="62"/>
      <c r="Z183" s="66"/>
      <c r="AA183" s="94"/>
      <c r="AB183" s="60"/>
      <c r="AC183" s="60"/>
      <c r="AD183" s="60"/>
      <c r="AE183" s="60"/>
      <c r="AF183" s="61"/>
      <c r="AG183" s="61"/>
      <c r="AH183" s="61"/>
      <c r="AI183" s="61"/>
      <c r="AJ183" s="62"/>
      <c r="AK183" s="62"/>
      <c r="AL183" s="66"/>
      <c r="AM183" s="87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62"/>
      <c r="B184" s="66"/>
      <c r="C184" s="92"/>
      <c r="D184" s="60"/>
      <c r="E184" s="60"/>
      <c r="F184" s="60"/>
      <c r="G184" s="60"/>
      <c r="H184" s="61"/>
      <c r="I184" s="61"/>
      <c r="J184" s="61"/>
      <c r="K184" s="61"/>
      <c r="L184" s="62"/>
      <c r="M184" s="62"/>
      <c r="N184" s="66"/>
      <c r="O184" s="94"/>
      <c r="P184" s="60"/>
      <c r="Q184" s="60"/>
      <c r="R184" s="60"/>
      <c r="S184" s="60"/>
      <c r="T184" s="61"/>
      <c r="U184" s="61"/>
      <c r="V184" s="61"/>
      <c r="W184" s="61"/>
      <c r="X184" s="62"/>
      <c r="Y184" s="62"/>
      <c r="Z184" s="66"/>
      <c r="AA184" s="94"/>
      <c r="AB184" s="60"/>
      <c r="AC184" s="60"/>
      <c r="AD184" s="62"/>
      <c r="AE184" s="60"/>
      <c r="AF184" s="61"/>
      <c r="AG184" s="61"/>
      <c r="AH184" s="61"/>
      <c r="AI184" s="61"/>
      <c r="AJ184" s="62"/>
      <c r="AK184" s="62"/>
      <c r="AL184" s="66"/>
      <c r="AM184" s="87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62"/>
      <c r="B185" s="66"/>
      <c r="C185" s="92"/>
      <c r="D185" s="60"/>
      <c r="E185" s="60"/>
      <c r="F185" s="60"/>
      <c r="G185" s="60"/>
      <c r="H185" s="61"/>
      <c r="I185" s="61"/>
      <c r="J185" s="61"/>
      <c r="K185" s="61"/>
      <c r="L185" s="62"/>
      <c r="M185" s="62"/>
      <c r="N185" s="66"/>
      <c r="O185" s="65"/>
      <c r="P185" s="60"/>
      <c r="Q185" s="60"/>
      <c r="R185" s="60"/>
      <c r="S185" s="60"/>
      <c r="T185" s="61"/>
      <c r="U185" s="61"/>
      <c r="V185" s="61"/>
      <c r="W185" s="61"/>
      <c r="X185" s="62"/>
      <c r="Y185" s="62"/>
      <c r="Z185" s="66"/>
      <c r="AA185" s="94"/>
      <c r="AB185" s="62"/>
      <c r="AC185" s="60"/>
      <c r="AD185" s="60"/>
      <c r="AE185" s="60"/>
      <c r="AF185" s="61"/>
      <c r="AG185" s="62"/>
      <c r="AH185" s="61"/>
      <c r="AI185" s="61"/>
      <c r="AJ185" s="62"/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62"/>
      <c r="B186" s="66"/>
      <c r="C186" s="65"/>
      <c r="D186" s="60"/>
      <c r="E186" s="60"/>
      <c r="F186" s="60"/>
      <c r="G186" s="60"/>
      <c r="H186" s="61"/>
      <c r="I186" s="61"/>
      <c r="J186" s="61"/>
      <c r="K186" s="61"/>
      <c r="L186" s="62"/>
      <c r="M186" s="62"/>
      <c r="N186" s="66"/>
      <c r="O186" s="94"/>
      <c r="P186" s="60"/>
      <c r="Q186" s="60"/>
      <c r="R186" s="60"/>
      <c r="S186" s="60"/>
      <c r="T186" s="61"/>
      <c r="U186" s="61"/>
      <c r="V186" s="61"/>
      <c r="W186" s="61"/>
      <c r="X186" s="62"/>
      <c r="Y186" s="62"/>
      <c r="Z186" s="66"/>
      <c r="AA186" s="94"/>
      <c r="AB186" s="60"/>
      <c r="AC186" s="60"/>
      <c r="AD186" s="60"/>
      <c r="AE186" s="60"/>
      <c r="AF186" s="61"/>
      <c r="AG186" s="61"/>
      <c r="AH186" s="61"/>
      <c r="AI186" s="61"/>
      <c r="AJ186" s="62"/>
      <c r="AK186" s="62"/>
      <c r="AL186" s="66"/>
      <c r="AM186" s="87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62"/>
      <c r="B187" s="66"/>
      <c r="C187" s="92"/>
      <c r="D187" s="60"/>
      <c r="E187" s="60"/>
      <c r="F187" s="60"/>
      <c r="G187" s="60"/>
      <c r="H187" s="61"/>
      <c r="I187" s="61"/>
      <c r="J187" s="61"/>
      <c r="K187" s="61"/>
      <c r="L187" s="62"/>
      <c r="M187" s="62"/>
      <c r="N187" s="66"/>
      <c r="O187" s="94"/>
      <c r="P187" s="60"/>
      <c r="Q187" s="60"/>
      <c r="R187" s="60"/>
      <c r="S187" s="60"/>
      <c r="T187" s="61"/>
      <c r="U187" s="61"/>
      <c r="V187" s="61"/>
      <c r="W187" s="61"/>
      <c r="X187" s="62"/>
      <c r="Y187" s="62"/>
      <c r="Z187" s="66"/>
      <c r="AA187" s="65"/>
      <c r="AB187" s="60"/>
      <c r="AC187" s="60"/>
      <c r="AD187" s="60"/>
      <c r="AE187" s="60"/>
      <c r="AF187" s="61"/>
      <c r="AG187" s="61"/>
      <c r="AH187" s="61"/>
      <c r="AI187" s="61"/>
      <c r="AJ187" s="62"/>
      <c r="AK187" s="62"/>
      <c r="AL187" s="66"/>
      <c r="AM187" s="87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62"/>
      <c r="B188" s="66"/>
      <c r="C188" s="92"/>
      <c r="D188" s="60"/>
      <c r="E188" s="60"/>
      <c r="F188" s="60"/>
      <c r="G188" s="60"/>
      <c r="H188" s="61"/>
      <c r="I188" s="61"/>
      <c r="J188" s="62"/>
      <c r="K188" s="61"/>
      <c r="L188" s="62"/>
      <c r="M188" s="62"/>
      <c r="N188" s="66"/>
      <c r="O188" s="94"/>
      <c r="P188" s="60"/>
      <c r="Q188" s="60"/>
      <c r="R188" s="60"/>
      <c r="S188" s="60"/>
      <c r="T188" s="61"/>
      <c r="U188" s="61"/>
      <c r="V188" s="61"/>
      <c r="W188" s="61"/>
      <c r="X188" s="62"/>
      <c r="Y188" s="62"/>
      <c r="Z188" s="66"/>
      <c r="AA188" s="94"/>
      <c r="AB188" s="60"/>
      <c r="AC188" s="60"/>
      <c r="AD188" s="60"/>
      <c r="AE188" s="60"/>
      <c r="AF188" s="61"/>
      <c r="AG188" s="61"/>
      <c r="AH188" s="61"/>
      <c r="AI188" s="61"/>
      <c r="AJ188" s="62"/>
      <c r="AK188" s="62"/>
      <c r="AL188" s="66"/>
      <c r="AM188" s="87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62"/>
      <c r="B189" s="66"/>
      <c r="C189" s="92"/>
      <c r="D189" s="60"/>
      <c r="E189" s="60"/>
      <c r="F189" s="60"/>
      <c r="G189" s="60"/>
      <c r="H189" s="61"/>
      <c r="I189" s="61"/>
      <c r="J189" s="61"/>
      <c r="K189" s="61"/>
      <c r="L189" s="62"/>
      <c r="M189" s="62"/>
      <c r="N189" s="66"/>
      <c r="O189" s="94"/>
      <c r="P189" s="60"/>
      <c r="Q189" s="60"/>
      <c r="R189" s="60"/>
      <c r="S189" s="60"/>
      <c r="T189" s="61"/>
      <c r="U189" s="61"/>
      <c r="V189" s="61"/>
      <c r="W189" s="61"/>
      <c r="X189" s="62"/>
      <c r="Y189" s="62"/>
      <c r="Z189" s="66"/>
      <c r="AA189" s="94"/>
      <c r="AB189" s="60"/>
      <c r="AC189" s="60"/>
      <c r="AD189" s="60"/>
      <c r="AE189" s="60"/>
      <c r="AF189" s="61"/>
      <c r="AG189" s="61"/>
      <c r="AH189" s="61"/>
      <c r="AI189" s="61"/>
      <c r="AJ189" s="62"/>
      <c r="AK189" s="62"/>
      <c r="AL189" s="66"/>
      <c r="AM189" s="87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62"/>
      <c r="B190" s="66"/>
      <c r="C190" s="92"/>
      <c r="D190" s="60"/>
      <c r="E190" s="60"/>
      <c r="F190" s="60"/>
      <c r="G190" s="60"/>
      <c r="H190" s="61"/>
      <c r="I190" s="61"/>
      <c r="J190" s="61"/>
      <c r="K190" s="61"/>
      <c r="L190" s="62"/>
      <c r="M190" s="62"/>
      <c r="N190" s="66"/>
      <c r="O190" s="94"/>
      <c r="P190" s="60"/>
      <c r="Q190" s="60"/>
      <c r="R190" s="60"/>
      <c r="S190" s="60"/>
      <c r="T190" s="61"/>
      <c r="U190" s="61"/>
      <c r="V190" s="61"/>
      <c r="W190" s="61"/>
      <c r="X190" s="62"/>
      <c r="Y190" s="62"/>
      <c r="Z190" s="66"/>
      <c r="AA190" s="94"/>
      <c r="AB190" s="60"/>
      <c r="AC190" s="60"/>
      <c r="AD190" s="60"/>
      <c r="AE190" s="60"/>
      <c r="AF190" s="61"/>
      <c r="AG190" s="61"/>
      <c r="AH190" s="61"/>
      <c r="AI190" s="61"/>
      <c r="AJ190" s="62"/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62"/>
      <c r="B191" s="66"/>
      <c r="C191" s="92"/>
      <c r="D191" s="60"/>
      <c r="E191" s="60"/>
      <c r="F191" s="60"/>
      <c r="G191" s="60"/>
      <c r="H191" s="61"/>
      <c r="I191" s="61"/>
      <c r="J191" s="61"/>
      <c r="K191" s="61"/>
      <c r="L191" s="62"/>
      <c r="M191" s="62"/>
      <c r="N191" s="66"/>
      <c r="O191" s="94"/>
      <c r="P191" s="60"/>
      <c r="Q191" s="60"/>
      <c r="R191" s="60"/>
      <c r="S191" s="60"/>
      <c r="T191" s="61"/>
      <c r="U191" s="61"/>
      <c r="V191" s="61"/>
      <c r="W191" s="61"/>
      <c r="X191" s="62"/>
      <c r="Y191" s="62"/>
      <c r="Z191" s="66"/>
      <c r="AA191" s="94"/>
      <c r="AB191" s="60"/>
      <c r="AC191" s="60"/>
      <c r="AD191" s="60"/>
      <c r="AE191" s="60"/>
      <c r="AF191" s="61"/>
      <c r="AG191" s="61"/>
      <c r="AH191" s="61"/>
      <c r="AI191" s="61"/>
      <c r="AJ191" s="62"/>
      <c r="AK191" s="62"/>
      <c r="AL191" s="66"/>
      <c r="AM191" s="87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62"/>
      <c r="B192" s="66"/>
      <c r="C192" s="92"/>
      <c r="D192" s="60"/>
      <c r="E192" s="60"/>
      <c r="F192" s="60"/>
      <c r="G192" s="60"/>
      <c r="H192" s="61"/>
      <c r="I192" s="61"/>
      <c r="J192" s="61"/>
      <c r="K192" s="61"/>
      <c r="L192" s="62"/>
      <c r="M192" s="62"/>
      <c r="N192" s="66"/>
      <c r="O192" s="62"/>
      <c r="P192" s="60"/>
      <c r="Q192" s="60"/>
      <c r="R192" s="60"/>
      <c r="S192" s="60"/>
      <c r="T192" s="61"/>
      <c r="U192" s="61"/>
      <c r="V192" s="61"/>
      <c r="W192" s="61"/>
      <c r="X192" s="62"/>
      <c r="Y192" s="62"/>
      <c r="Z192" s="66"/>
      <c r="AA192" s="62"/>
      <c r="AB192" s="60"/>
      <c r="AC192" s="60"/>
      <c r="AD192" s="60"/>
      <c r="AE192" s="60"/>
      <c r="AF192" s="61"/>
      <c r="AG192" s="61"/>
      <c r="AH192" s="61"/>
      <c r="AI192" s="61"/>
      <c r="AJ192" s="62"/>
      <c r="AK192" s="62"/>
      <c r="AL192" s="66"/>
      <c r="AM192" s="87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62"/>
      <c r="B193" s="66"/>
      <c r="C193" s="92"/>
      <c r="D193" s="60"/>
      <c r="E193" s="60"/>
      <c r="F193" s="60"/>
      <c r="G193" s="60"/>
      <c r="H193" s="61"/>
      <c r="I193" s="61"/>
      <c r="J193" s="61"/>
      <c r="K193" s="61"/>
      <c r="L193" s="62"/>
      <c r="M193" s="62"/>
      <c r="N193" s="66"/>
      <c r="O193" s="94"/>
      <c r="P193" s="60"/>
      <c r="Q193" s="60"/>
      <c r="R193" s="60"/>
      <c r="S193" s="60"/>
      <c r="T193" s="61"/>
      <c r="U193" s="61"/>
      <c r="V193" s="61"/>
      <c r="W193" s="61"/>
      <c r="X193" s="62"/>
      <c r="Y193" s="62"/>
      <c r="Z193" s="66"/>
      <c r="AA193" s="94"/>
      <c r="AB193" s="60"/>
      <c r="AC193" s="60"/>
      <c r="AD193" s="60"/>
      <c r="AE193" s="60"/>
      <c r="AF193" s="61"/>
      <c r="AG193" s="61"/>
      <c r="AH193" s="61"/>
      <c r="AI193" s="61"/>
      <c r="AJ193" s="62"/>
      <c r="AK193" s="62"/>
      <c r="AL193" s="66"/>
      <c r="AM193" s="87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62"/>
      <c r="B194" s="66"/>
      <c r="C194" s="92"/>
      <c r="D194" s="60"/>
      <c r="E194" s="60"/>
      <c r="F194" s="60"/>
      <c r="G194" s="60"/>
      <c r="H194" s="61"/>
      <c r="I194" s="61"/>
      <c r="J194" s="61"/>
      <c r="K194" s="61"/>
      <c r="L194" s="62"/>
      <c r="M194" s="62"/>
      <c r="N194" s="66"/>
      <c r="O194" s="94"/>
      <c r="P194" s="60"/>
      <c r="Q194" s="60"/>
      <c r="R194" s="60"/>
      <c r="S194" s="60"/>
      <c r="T194" s="61"/>
      <c r="U194" s="61"/>
      <c r="V194" s="61"/>
      <c r="W194" s="61"/>
      <c r="X194" s="62"/>
      <c r="Y194" s="62"/>
      <c r="Z194" s="66"/>
      <c r="AA194" s="94"/>
      <c r="AB194" s="60"/>
      <c r="AC194" s="60"/>
      <c r="AD194" s="60"/>
      <c r="AE194" s="60"/>
      <c r="AF194" s="61"/>
      <c r="AG194" s="61"/>
      <c r="AH194" s="61"/>
      <c r="AI194" s="61"/>
      <c r="AJ194" s="62"/>
      <c r="AK194" s="62"/>
      <c r="AL194" s="66"/>
      <c r="AM194" s="87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62"/>
      <c r="B195" s="66"/>
      <c r="C195" s="92"/>
      <c r="D195" s="60"/>
      <c r="E195" s="60"/>
      <c r="F195" s="60"/>
      <c r="G195" s="60"/>
      <c r="H195" s="61"/>
      <c r="I195" s="61"/>
      <c r="J195" s="61"/>
      <c r="K195" s="61"/>
      <c r="L195" s="62"/>
      <c r="M195" s="62"/>
      <c r="N195" s="66"/>
      <c r="O195" s="94"/>
      <c r="P195" s="60"/>
      <c r="Q195" s="60"/>
      <c r="R195" s="60"/>
      <c r="S195" s="60"/>
      <c r="T195" s="61"/>
      <c r="U195" s="61"/>
      <c r="V195" s="61"/>
      <c r="W195" s="61"/>
      <c r="X195" s="62"/>
      <c r="Y195" s="62"/>
      <c r="Z195" s="66"/>
      <c r="AA195" s="94"/>
      <c r="AB195" s="60"/>
      <c r="AC195" s="60"/>
      <c r="AD195" s="60"/>
      <c r="AE195" s="60"/>
      <c r="AF195" s="61"/>
      <c r="AG195" s="61"/>
      <c r="AH195" s="61"/>
      <c r="AI195" s="61"/>
      <c r="AJ195" s="62"/>
      <c r="AK195" s="62"/>
      <c r="AL195" s="66"/>
      <c r="AM195" s="87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62"/>
      <c r="B196" s="66"/>
      <c r="C196" s="92"/>
      <c r="D196" s="60"/>
      <c r="E196" s="60"/>
      <c r="F196" s="60"/>
      <c r="G196" s="60"/>
      <c r="H196" s="61"/>
      <c r="I196" s="61"/>
      <c r="J196" s="61"/>
      <c r="K196" s="61"/>
      <c r="L196" s="62"/>
      <c r="M196" s="62"/>
      <c r="N196" s="66"/>
      <c r="O196" s="94"/>
      <c r="P196" s="60"/>
      <c r="Q196" s="60"/>
      <c r="R196" s="60"/>
      <c r="S196" s="60"/>
      <c r="T196" s="61"/>
      <c r="U196" s="61"/>
      <c r="V196" s="61"/>
      <c r="W196" s="61"/>
      <c r="X196" s="62"/>
      <c r="Y196" s="62"/>
      <c r="Z196" s="66"/>
      <c r="AA196" s="62"/>
      <c r="AB196" s="60"/>
      <c r="AC196" s="60"/>
      <c r="AD196" s="60"/>
      <c r="AE196" s="60"/>
      <c r="AF196" s="61"/>
      <c r="AG196" s="61"/>
      <c r="AH196" s="61"/>
      <c r="AI196" s="61"/>
      <c r="AJ196" s="62"/>
      <c r="AK196" s="62"/>
      <c r="AL196" s="66"/>
      <c r="AM196" s="87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62"/>
      <c r="B197" s="66"/>
      <c r="C197" s="92"/>
      <c r="D197" s="60"/>
      <c r="E197" s="60"/>
      <c r="F197" s="60"/>
      <c r="G197" s="60"/>
      <c r="H197" s="62"/>
      <c r="I197" s="62"/>
      <c r="J197" s="62"/>
      <c r="K197" s="61"/>
      <c r="L197" s="62"/>
      <c r="M197" s="62"/>
      <c r="N197" s="66"/>
      <c r="O197" s="62"/>
      <c r="P197" s="67"/>
      <c r="Q197" s="94"/>
      <c r="R197" s="94"/>
      <c r="S197" s="60"/>
      <c r="T197" s="62"/>
      <c r="U197" s="62"/>
      <c r="V197" s="62"/>
      <c r="W197" s="61"/>
      <c r="X197" s="62"/>
      <c r="Y197" s="62"/>
      <c r="Z197" s="66"/>
      <c r="AA197" s="94"/>
      <c r="AB197" s="67"/>
      <c r="AC197" s="94"/>
      <c r="AD197" s="94"/>
      <c r="AE197" s="60"/>
      <c r="AF197" s="62"/>
      <c r="AG197" s="62"/>
      <c r="AH197" s="62"/>
      <c r="AI197" s="61"/>
      <c r="AJ197" s="62"/>
      <c r="AK197" s="62"/>
      <c r="AL197" s="66"/>
      <c r="AM197" s="87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62"/>
      <c r="B198" s="66"/>
      <c r="C198" s="92"/>
      <c r="D198" s="60"/>
      <c r="E198" s="60"/>
      <c r="F198" s="60"/>
      <c r="G198" s="60"/>
      <c r="H198" s="62"/>
      <c r="I198" s="62"/>
      <c r="J198" s="62"/>
      <c r="K198" s="61"/>
      <c r="L198" s="62"/>
      <c r="M198" s="62"/>
      <c r="N198" s="66"/>
      <c r="O198" s="62"/>
      <c r="P198" s="68"/>
      <c r="Q198" s="94"/>
      <c r="R198" s="94"/>
      <c r="S198" s="60"/>
      <c r="T198" s="62"/>
      <c r="U198" s="62"/>
      <c r="V198" s="62"/>
      <c r="W198" s="61"/>
      <c r="X198" s="62"/>
      <c r="Y198" s="62"/>
      <c r="Z198" s="66"/>
      <c r="AA198" s="94"/>
      <c r="AB198" s="68"/>
      <c r="AC198" s="94"/>
      <c r="AD198" s="94"/>
      <c r="AE198" s="60"/>
      <c r="AF198" s="62"/>
      <c r="AG198" s="62"/>
      <c r="AH198" s="62"/>
      <c r="AI198" s="61"/>
      <c r="AJ198" s="62"/>
      <c r="AK198" s="62"/>
      <c r="AL198" s="66"/>
      <c r="AM198" s="87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62"/>
      <c r="B199" s="66"/>
      <c r="C199" s="92"/>
      <c r="D199" s="60"/>
      <c r="E199" s="60"/>
      <c r="F199" s="60"/>
      <c r="G199" s="60"/>
      <c r="H199" s="62"/>
      <c r="I199" s="62"/>
      <c r="J199" s="61"/>
      <c r="K199" s="61"/>
      <c r="L199" s="62"/>
      <c r="M199" s="62"/>
      <c r="N199" s="66"/>
      <c r="O199" s="94"/>
      <c r="P199" s="69"/>
      <c r="Q199" s="62"/>
      <c r="R199" s="62"/>
      <c r="S199" s="60"/>
      <c r="T199" s="62"/>
      <c r="U199" s="62"/>
      <c r="V199" s="62"/>
      <c r="W199" s="61"/>
      <c r="X199" s="62"/>
      <c r="Y199" s="62"/>
      <c r="Z199" s="66"/>
      <c r="AA199" s="94"/>
      <c r="AB199" s="69"/>
      <c r="AC199" s="62"/>
      <c r="AD199" s="62"/>
      <c r="AE199" s="60"/>
      <c r="AF199" s="62"/>
      <c r="AG199" s="62"/>
      <c r="AH199" s="62"/>
      <c r="AI199" s="61"/>
      <c r="AJ199" s="62"/>
      <c r="AK199" s="62"/>
      <c r="AL199" s="66"/>
      <c r="AM199" s="87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62"/>
      <c r="B200" s="66"/>
      <c r="C200" s="92"/>
      <c r="D200" s="60"/>
      <c r="E200" s="60"/>
      <c r="F200" s="60"/>
      <c r="G200" s="60"/>
      <c r="H200" s="62"/>
      <c r="I200" s="62"/>
      <c r="J200" s="62"/>
      <c r="K200" s="61"/>
      <c r="L200" s="62"/>
      <c r="M200" s="62"/>
      <c r="N200" s="66"/>
      <c r="O200" s="65"/>
      <c r="P200" s="69"/>
      <c r="Q200" s="94"/>
      <c r="R200" s="94"/>
      <c r="S200" s="60"/>
      <c r="T200" s="62"/>
      <c r="U200" s="62"/>
      <c r="V200" s="62"/>
      <c r="W200" s="61"/>
      <c r="X200" s="62"/>
      <c r="Y200" s="62"/>
      <c r="Z200" s="66"/>
      <c r="AA200" s="94"/>
      <c r="AB200" s="69"/>
      <c r="AC200" s="94"/>
      <c r="AD200" s="94"/>
      <c r="AE200" s="60"/>
      <c r="AF200" s="62"/>
      <c r="AG200" s="62"/>
      <c r="AH200" s="62"/>
      <c r="AI200" s="61"/>
      <c r="AJ200" s="62"/>
      <c r="AK200" s="62"/>
      <c r="AL200" s="66"/>
      <c r="AM200" s="87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62"/>
      <c r="B201" s="66"/>
      <c r="C201" s="94"/>
      <c r="D201" s="60"/>
      <c r="E201" s="60"/>
      <c r="F201" s="60"/>
      <c r="G201" s="60"/>
      <c r="H201" s="62"/>
      <c r="I201" s="62"/>
      <c r="J201" s="62"/>
      <c r="K201" s="61"/>
      <c r="L201" s="62"/>
      <c r="M201" s="62"/>
      <c r="N201" s="66"/>
      <c r="O201" s="94"/>
      <c r="P201" s="69"/>
      <c r="Q201" s="94"/>
      <c r="R201" s="94"/>
      <c r="S201" s="60"/>
      <c r="T201" s="62"/>
      <c r="U201" s="62"/>
      <c r="V201" s="62"/>
      <c r="W201" s="61"/>
      <c r="X201" s="62"/>
      <c r="Y201" s="62"/>
      <c r="Z201" s="66"/>
      <c r="AA201" s="65"/>
      <c r="AB201" s="69"/>
      <c r="AC201" s="94"/>
      <c r="AD201" s="94"/>
      <c r="AE201" s="60"/>
      <c r="AF201" s="62"/>
      <c r="AG201" s="62"/>
      <c r="AH201" s="62"/>
      <c r="AI201" s="61"/>
      <c r="AJ201" s="62"/>
      <c r="AK201" s="62"/>
      <c r="AL201" s="66"/>
      <c r="AM201" s="87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62"/>
      <c r="B202" s="66"/>
      <c r="C202" s="92"/>
      <c r="D202" s="60"/>
      <c r="E202" s="60"/>
      <c r="F202" s="60"/>
      <c r="G202" s="60"/>
      <c r="H202" s="62"/>
      <c r="I202" s="62"/>
      <c r="J202" s="62"/>
      <c r="K202" s="61"/>
      <c r="L202" s="62"/>
      <c r="M202" s="62"/>
      <c r="N202" s="66"/>
      <c r="O202" s="94"/>
      <c r="P202" s="69"/>
      <c r="Q202" s="94"/>
      <c r="R202" s="94"/>
      <c r="S202" s="60"/>
      <c r="T202" s="62"/>
      <c r="U202" s="62"/>
      <c r="V202" s="62"/>
      <c r="W202" s="61"/>
      <c r="X202" s="62"/>
      <c r="Y202" s="62"/>
      <c r="Z202" s="66"/>
      <c r="AA202" s="62"/>
      <c r="AB202" s="69"/>
      <c r="AC202" s="94"/>
      <c r="AD202" s="94"/>
      <c r="AE202" s="60"/>
      <c r="AF202" s="62"/>
      <c r="AG202" s="62"/>
      <c r="AH202" s="62"/>
      <c r="AI202" s="61"/>
      <c r="AJ202" s="62"/>
      <c r="AK202" s="62"/>
      <c r="AL202" s="66"/>
      <c r="AM202" s="87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62"/>
      <c r="B203" s="66"/>
      <c r="C203" s="92"/>
      <c r="D203" s="60"/>
      <c r="E203" s="60"/>
      <c r="F203" s="60"/>
      <c r="G203" s="60"/>
      <c r="H203" s="62"/>
      <c r="I203" s="62"/>
      <c r="J203" s="62"/>
      <c r="K203" s="61"/>
      <c r="L203" s="62"/>
      <c r="M203" s="62"/>
      <c r="N203" s="66"/>
      <c r="O203" s="94"/>
      <c r="P203" s="69"/>
      <c r="Q203" s="94"/>
      <c r="R203" s="94"/>
      <c r="S203" s="60"/>
      <c r="T203" s="62"/>
      <c r="U203" s="62"/>
      <c r="V203" s="62"/>
      <c r="W203" s="61"/>
      <c r="X203" s="62"/>
      <c r="Y203" s="62"/>
      <c r="Z203" s="66"/>
      <c r="AA203" s="94"/>
      <c r="AB203" s="69"/>
      <c r="AC203" s="94"/>
      <c r="AD203" s="94"/>
      <c r="AE203" s="60"/>
      <c r="AF203" s="62"/>
      <c r="AG203" s="62"/>
      <c r="AH203" s="62"/>
      <c r="AI203" s="61"/>
      <c r="AJ203" s="62"/>
      <c r="AK203" s="62"/>
      <c r="AL203" s="66"/>
      <c r="AM203" s="87"/>
      <c r="AN203" s="67"/>
      <c r="AO203" s="87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62"/>
      <c r="B204" s="66"/>
      <c r="C204" s="92"/>
      <c r="D204" s="60"/>
      <c r="E204" s="60"/>
      <c r="F204" s="60"/>
      <c r="G204" s="60"/>
      <c r="H204" s="62"/>
      <c r="I204" s="62"/>
      <c r="J204" s="62"/>
      <c r="K204" s="61"/>
      <c r="L204" s="62"/>
      <c r="M204" s="62"/>
      <c r="N204" s="66"/>
      <c r="O204" s="94"/>
      <c r="P204" s="69"/>
      <c r="Q204" s="94"/>
      <c r="R204" s="94"/>
      <c r="S204" s="60"/>
      <c r="T204" s="62"/>
      <c r="U204" s="62"/>
      <c r="V204" s="62"/>
      <c r="W204" s="61"/>
      <c r="X204" s="62"/>
      <c r="Y204" s="62"/>
      <c r="Z204" s="66"/>
      <c r="AA204" s="94"/>
      <c r="AB204" s="69"/>
      <c r="AC204" s="94"/>
      <c r="AD204" s="94"/>
      <c r="AE204" s="60"/>
      <c r="AF204" s="62"/>
      <c r="AG204" s="62"/>
      <c r="AH204" s="62"/>
      <c r="AI204" s="61"/>
      <c r="AJ204" s="62"/>
      <c r="AK204" s="62"/>
      <c r="AL204" s="66"/>
      <c r="AM204" s="87"/>
      <c r="AN204" s="68"/>
      <c r="AO204" s="87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62"/>
      <c r="B205" s="66"/>
      <c r="C205" s="92"/>
      <c r="D205" s="60"/>
      <c r="E205" s="60"/>
      <c r="F205" s="60"/>
      <c r="G205" s="60"/>
      <c r="H205" s="62"/>
      <c r="I205" s="62"/>
      <c r="J205" s="62"/>
      <c r="K205" s="61"/>
      <c r="L205" s="62"/>
      <c r="M205" s="62"/>
      <c r="N205" s="66"/>
      <c r="O205" s="62"/>
      <c r="P205" s="69"/>
      <c r="Q205" s="94"/>
      <c r="R205" s="94"/>
      <c r="S205" s="60"/>
      <c r="T205" s="62"/>
      <c r="U205" s="62"/>
      <c r="V205" s="62"/>
      <c r="W205" s="61"/>
      <c r="X205" s="62"/>
      <c r="Y205" s="62"/>
      <c r="Z205" s="66"/>
      <c r="AA205" s="94"/>
      <c r="AB205" s="69"/>
      <c r="AC205" s="94"/>
      <c r="AD205" s="94"/>
      <c r="AE205" s="60"/>
      <c r="AF205" s="62"/>
      <c r="AG205" s="62"/>
      <c r="AH205" s="62"/>
      <c r="AI205" s="61"/>
      <c r="AJ205" s="62"/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62"/>
      <c r="B206" s="66"/>
      <c r="C206" s="92"/>
      <c r="D206" s="60"/>
      <c r="E206" s="60"/>
      <c r="F206" s="60"/>
      <c r="G206" s="60"/>
      <c r="H206" s="62"/>
      <c r="I206" s="62"/>
      <c r="J206" s="62"/>
      <c r="K206" s="61"/>
      <c r="L206" s="62"/>
      <c r="M206" s="62"/>
      <c r="N206" s="66"/>
      <c r="O206" s="62"/>
      <c r="P206" s="69"/>
      <c r="Q206" s="94"/>
      <c r="R206" s="94"/>
      <c r="S206" s="60"/>
      <c r="T206" s="62"/>
      <c r="U206" s="62"/>
      <c r="V206" s="62"/>
      <c r="W206" s="61"/>
      <c r="X206" s="62"/>
      <c r="Y206" s="62"/>
      <c r="Z206" s="66"/>
      <c r="AA206" s="62"/>
      <c r="AB206" s="69"/>
      <c r="AC206" s="94"/>
      <c r="AD206" s="94"/>
      <c r="AE206" s="60"/>
      <c r="AF206" s="62"/>
      <c r="AG206" s="62"/>
      <c r="AH206" s="62"/>
      <c r="AI206" s="61"/>
      <c r="AJ206" s="62"/>
      <c r="AK206" s="62"/>
      <c r="AL206" s="66"/>
      <c r="AM206" s="87"/>
      <c r="AN206" s="69"/>
      <c r="AO206" s="87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62"/>
      <c r="B207" s="66"/>
      <c r="C207" s="92"/>
      <c r="D207" s="60"/>
      <c r="E207" s="60"/>
      <c r="F207" s="60"/>
      <c r="G207" s="60"/>
      <c r="H207" s="62"/>
      <c r="I207" s="62"/>
      <c r="J207" s="62"/>
      <c r="K207" s="61"/>
      <c r="L207" s="62"/>
      <c r="M207" s="62"/>
      <c r="N207" s="66"/>
      <c r="O207" s="94"/>
      <c r="P207" s="69"/>
      <c r="Q207" s="94"/>
      <c r="R207" s="94"/>
      <c r="S207" s="60"/>
      <c r="T207" s="62"/>
      <c r="U207" s="62"/>
      <c r="V207" s="62"/>
      <c r="W207" s="61"/>
      <c r="X207" s="62"/>
      <c r="Y207" s="62"/>
      <c r="Z207" s="66"/>
      <c r="AA207" s="62"/>
      <c r="AB207" s="69"/>
      <c r="AC207" s="94"/>
      <c r="AD207" s="94"/>
      <c r="AE207" s="60"/>
      <c r="AF207" s="62"/>
      <c r="AG207" s="62"/>
      <c r="AH207" s="62"/>
      <c r="AI207" s="61"/>
      <c r="AJ207" s="62"/>
      <c r="AK207" s="62"/>
      <c r="AL207" s="66"/>
      <c r="AM207" s="87"/>
      <c r="AN207" s="69"/>
      <c r="AO207" s="87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62"/>
      <c r="B208" s="66"/>
      <c r="C208" s="92"/>
      <c r="D208" s="60"/>
      <c r="E208" s="60"/>
      <c r="F208" s="60"/>
      <c r="G208" s="60"/>
      <c r="H208" s="62"/>
      <c r="I208" s="62"/>
      <c r="J208" s="62"/>
      <c r="K208" s="61"/>
      <c r="L208" s="62"/>
      <c r="M208" s="62"/>
      <c r="N208" s="66"/>
      <c r="O208" s="62"/>
      <c r="P208" s="69"/>
      <c r="Q208" s="94"/>
      <c r="R208" s="94"/>
      <c r="S208" s="60"/>
      <c r="T208" s="62"/>
      <c r="U208" s="62"/>
      <c r="V208" s="62"/>
      <c r="W208" s="61"/>
      <c r="X208" s="62"/>
      <c r="Y208" s="62"/>
      <c r="Z208" s="66"/>
      <c r="AA208" s="94"/>
      <c r="AB208" s="69"/>
      <c r="AC208" s="94"/>
      <c r="AD208" s="94"/>
      <c r="AE208" s="60"/>
      <c r="AF208" s="62"/>
      <c r="AG208" s="62"/>
      <c r="AH208" s="62"/>
      <c r="AI208" s="61"/>
      <c r="AJ208" s="62"/>
      <c r="AK208" s="62"/>
      <c r="AL208" s="66"/>
      <c r="AM208" s="62"/>
      <c r="AN208" s="69"/>
      <c r="AO208" s="87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62"/>
      <c r="B209" s="66"/>
      <c r="C209" s="92"/>
      <c r="D209" s="60"/>
      <c r="E209" s="60"/>
      <c r="F209" s="60"/>
      <c r="G209" s="60"/>
      <c r="H209" s="62"/>
      <c r="I209" s="62"/>
      <c r="J209" s="62"/>
      <c r="K209" s="61"/>
      <c r="L209" s="62"/>
      <c r="M209" s="62"/>
      <c r="N209" s="66"/>
      <c r="O209" s="94"/>
      <c r="P209" s="69"/>
      <c r="Q209" s="94"/>
      <c r="R209" s="94"/>
      <c r="S209" s="60"/>
      <c r="T209" s="62"/>
      <c r="U209" s="62"/>
      <c r="V209" s="62"/>
      <c r="W209" s="61"/>
      <c r="X209" s="62"/>
      <c r="Y209" s="62"/>
      <c r="Z209" s="66"/>
      <c r="AA209" s="94"/>
      <c r="AB209" s="69"/>
      <c r="AC209" s="94"/>
      <c r="AD209" s="94"/>
      <c r="AE209" s="60"/>
      <c r="AF209" s="62"/>
      <c r="AG209" s="62"/>
      <c r="AH209" s="62"/>
      <c r="AI209" s="61"/>
      <c r="AJ209" s="62"/>
      <c r="AK209" s="62"/>
      <c r="AL209" s="66"/>
      <c r="AM209" s="87"/>
      <c r="AN209" s="69"/>
      <c r="AO209" s="87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62"/>
      <c r="B210" s="66"/>
      <c r="C210" s="92"/>
      <c r="D210" s="60"/>
      <c r="E210" s="60"/>
      <c r="F210" s="60"/>
      <c r="G210" s="60"/>
      <c r="H210" s="62"/>
      <c r="I210" s="62"/>
      <c r="J210" s="62"/>
      <c r="K210" s="61"/>
      <c r="L210" s="62"/>
      <c r="M210" s="62"/>
      <c r="N210" s="66"/>
      <c r="O210" s="94"/>
      <c r="P210" s="69"/>
      <c r="Q210" s="94"/>
      <c r="R210" s="94"/>
      <c r="S210" s="60"/>
      <c r="T210" s="62"/>
      <c r="U210" s="62"/>
      <c r="V210" s="62"/>
      <c r="W210" s="61"/>
      <c r="X210" s="62"/>
      <c r="Y210" s="62"/>
      <c r="Z210" s="66"/>
      <c r="AA210" s="62"/>
      <c r="AB210" s="69"/>
      <c r="AC210" s="94"/>
      <c r="AD210" s="94"/>
      <c r="AE210" s="60"/>
      <c r="AF210" s="62"/>
      <c r="AG210" s="62"/>
      <c r="AH210" s="62"/>
      <c r="AI210" s="61"/>
      <c r="AJ210" s="62"/>
      <c r="AK210" s="62"/>
      <c r="AL210" s="66"/>
      <c r="AM210" s="87"/>
      <c r="AN210" s="69"/>
      <c r="AO210" s="87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62"/>
      <c r="B211" s="66"/>
      <c r="C211" s="94"/>
      <c r="D211" s="60"/>
      <c r="E211" s="60"/>
      <c r="F211" s="60"/>
      <c r="G211" s="60"/>
      <c r="H211" s="62"/>
      <c r="I211" s="62"/>
      <c r="J211" s="62"/>
      <c r="K211" s="61"/>
      <c r="L211" s="62"/>
      <c r="M211" s="62"/>
      <c r="N211" s="66"/>
      <c r="O211" s="94"/>
      <c r="P211" s="69"/>
      <c r="Q211" s="94"/>
      <c r="R211" s="94"/>
      <c r="S211" s="60"/>
      <c r="T211" s="62"/>
      <c r="U211" s="62"/>
      <c r="V211" s="62"/>
      <c r="W211" s="61"/>
      <c r="X211" s="62"/>
      <c r="Y211" s="62"/>
      <c r="Z211" s="66"/>
      <c r="AA211" s="94"/>
      <c r="AB211" s="69"/>
      <c r="AC211" s="94"/>
      <c r="AD211" s="94"/>
      <c r="AE211" s="60"/>
      <c r="AF211" s="62"/>
      <c r="AG211" s="62"/>
      <c r="AH211" s="62"/>
      <c r="AI211" s="61"/>
      <c r="AJ211" s="62"/>
      <c r="AK211" s="62"/>
      <c r="AL211" s="66"/>
      <c r="AM211" s="87"/>
      <c r="AN211" s="69"/>
      <c r="AO211" s="87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62"/>
      <c r="B212" s="66"/>
      <c r="C212" s="94"/>
      <c r="D212" s="60"/>
      <c r="E212" s="60"/>
      <c r="F212" s="60"/>
      <c r="G212" s="60"/>
      <c r="H212" s="62"/>
      <c r="I212" s="62"/>
      <c r="J212" s="62"/>
      <c r="K212" s="61"/>
      <c r="L212" s="62"/>
      <c r="M212" s="62"/>
      <c r="N212" s="66"/>
      <c r="O212" s="94"/>
      <c r="P212" s="69"/>
      <c r="Q212" s="94"/>
      <c r="R212" s="94"/>
      <c r="S212" s="60"/>
      <c r="T212" s="62"/>
      <c r="U212" s="62"/>
      <c r="V212" s="62"/>
      <c r="W212" s="61"/>
      <c r="X212" s="62"/>
      <c r="Y212" s="62"/>
      <c r="Z212" s="66"/>
      <c r="AA212" s="94"/>
      <c r="AB212" s="69"/>
      <c r="AC212" s="94"/>
      <c r="AD212" s="94"/>
      <c r="AE212" s="60"/>
      <c r="AF212" s="62"/>
      <c r="AG212" s="62"/>
      <c r="AH212" s="62"/>
      <c r="AI212" s="61"/>
      <c r="AJ212" s="62"/>
      <c r="AK212" s="62"/>
      <c r="AL212" s="66"/>
      <c r="AM212" s="87"/>
      <c r="AN212" s="69"/>
      <c r="AO212" s="87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62"/>
      <c r="B213" s="66"/>
      <c r="C213" s="94"/>
      <c r="D213" s="60"/>
      <c r="E213" s="60"/>
      <c r="F213" s="60"/>
      <c r="G213" s="60"/>
      <c r="H213" s="62"/>
      <c r="I213" s="62"/>
      <c r="J213" s="62"/>
      <c r="K213" s="61"/>
      <c r="L213" s="62"/>
      <c r="M213" s="62"/>
      <c r="N213" s="66"/>
      <c r="O213" s="62"/>
      <c r="P213" s="69"/>
      <c r="Q213" s="94"/>
      <c r="R213" s="94"/>
      <c r="S213" s="60"/>
      <c r="T213" s="62"/>
      <c r="U213" s="62"/>
      <c r="V213" s="62"/>
      <c r="W213" s="61"/>
      <c r="X213" s="62"/>
      <c r="Y213" s="62"/>
      <c r="Z213" s="66"/>
      <c r="AA213" s="94"/>
      <c r="AB213" s="69"/>
      <c r="AC213" s="94"/>
      <c r="AD213" s="94"/>
      <c r="AE213" s="60"/>
      <c r="AF213" s="62"/>
      <c r="AG213" s="62"/>
      <c r="AH213" s="62"/>
      <c r="AI213" s="61"/>
      <c r="AJ213" s="62"/>
      <c r="AK213" s="62"/>
      <c r="AL213" s="66"/>
      <c r="AM213" s="87"/>
      <c r="AN213" s="69"/>
      <c r="AO213" s="87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62"/>
      <c r="B214" s="66"/>
      <c r="C214" s="94"/>
      <c r="D214" s="60"/>
      <c r="E214" s="60"/>
      <c r="F214" s="60"/>
      <c r="G214" s="60"/>
      <c r="H214" s="62"/>
      <c r="I214" s="62"/>
      <c r="J214" s="62"/>
      <c r="K214" s="61"/>
      <c r="L214" s="62"/>
      <c r="M214" s="62"/>
      <c r="N214" s="66"/>
      <c r="O214" s="94"/>
      <c r="P214" s="69"/>
      <c r="Q214" s="94"/>
      <c r="R214" s="94"/>
      <c r="S214" s="60"/>
      <c r="T214" s="62"/>
      <c r="U214" s="62"/>
      <c r="V214" s="62"/>
      <c r="W214" s="61"/>
      <c r="X214" s="62"/>
      <c r="Y214" s="62"/>
      <c r="Z214" s="66"/>
      <c r="AA214" s="94"/>
      <c r="AB214" s="69"/>
      <c r="AC214" s="94"/>
      <c r="AD214" s="94"/>
      <c r="AE214" s="60"/>
      <c r="AF214" s="62"/>
      <c r="AG214" s="62"/>
      <c r="AH214" s="62"/>
      <c r="AI214" s="61"/>
      <c r="AJ214" s="62"/>
      <c r="AK214" s="62"/>
      <c r="AL214" s="66"/>
      <c r="AM214" s="87"/>
      <c r="AN214" s="69"/>
      <c r="AO214" s="87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62"/>
      <c r="B215" s="66"/>
      <c r="C215" s="94"/>
      <c r="D215" s="60"/>
      <c r="E215" s="60"/>
      <c r="F215" s="60"/>
      <c r="G215" s="60"/>
      <c r="H215" s="62"/>
      <c r="I215" s="62"/>
      <c r="J215" s="62"/>
      <c r="K215" s="61"/>
      <c r="L215" s="62"/>
      <c r="M215" s="62"/>
      <c r="N215" s="66"/>
      <c r="O215" s="94"/>
      <c r="P215" s="69"/>
      <c r="Q215" s="94"/>
      <c r="R215" s="94"/>
      <c r="S215" s="60"/>
      <c r="T215" s="62"/>
      <c r="U215" s="62"/>
      <c r="V215" s="62"/>
      <c r="W215" s="61"/>
      <c r="X215" s="62"/>
      <c r="Y215" s="62"/>
      <c r="Z215" s="66"/>
      <c r="AA215" s="94"/>
      <c r="AB215" s="69"/>
      <c r="AC215" s="94"/>
      <c r="AD215" s="94"/>
      <c r="AE215" s="60"/>
      <c r="AF215" s="62"/>
      <c r="AG215" s="62"/>
      <c r="AH215" s="62"/>
      <c r="AI215" s="61"/>
      <c r="AJ215" s="62"/>
      <c r="AK215" s="62"/>
      <c r="AL215" s="66"/>
      <c r="AM215" s="87"/>
      <c r="AN215" s="69"/>
      <c r="AO215" s="87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62"/>
      <c r="B216" s="66"/>
      <c r="C216" s="94"/>
      <c r="D216" s="60"/>
      <c r="E216" s="60"/>
      <c r="F216" s="60"/>
      <c r="G216" s="60"/>
      <c r="H216" s="62"/>
      <c r="I216" s="62"/>
      <c r="J216" s="62"/>
      <c r="K216" s="61"/>
      <c r="L216" s="62"/>
      <c r="M216" s="62"/>
      <c r="N216" s="66"/>
      <c r="O216" s="62"/>
      <c r="P216" s="69"/>
      <c r="Q216" s="94"/>
      <c r="R216" s="94"/>
      <c r="S216" s="60"/>
      <c r="T216" s="62"/>
      <c r="U216" s="62"/>
      <c r="V216" s="62"/>
      <c r="W216" s="61"/>
      <c r="X216" s="62"/>
      <c r="Y216" s="62"/>
      <c r="Z216" s="66"/>
      <c r="AA216" s="62"/>
      <c r="AB216" s="69"/>
      <c r="AC216" s="94"/>
      <c r="AD216" s="94"/>
      <c r="AE216" s="60"/>
      <c r="AF216" s="62"/>
      <c r="AG216" s="62"/>
      <c r="AH216" s="62"/>
      <c r="AI216" s="61"/>
      <c r="AJ216" s="62"/>
      <c r="AK216" s="62"/>
      <c r="AL216" s="66"/>
      <c r="AM216" s="87"/>
      <c r="AN216" s="69"/>
      <c r="AO216" s="87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62"/>
      <c r="B217" s="66"/>
      <c r="C217" s="94"/>
      <c r="D217" s="60"/>
      <c r="E217" s="60"/>
      <c r="F217" s="60"/>
      <c r="G217" s="60"/>
      <c r="H217" s="62"/>
      <c r="I217" s="62"/>
      <c r="J217" s="62"/>
      <c r="K217" s="61"/>
      <c r="L217" s="62"/>
      <c r="M217" s="62"/>
      <c r="N217" s="66"/>
      <c r="O217" s="94"/>
      <c r="P217" s="69"/>
      <c r="Q217" s="94"/>
      <c r="R217" s="94"/>
      <c r="S217" s="60"/>
      <c r="T217" s="62"/>
      <c r="U217" s="62"/>
      <c r="V217" s="62"/>
      <c r="W217" s="61"/>
      <c r="X217" s="62"/>
      <c r="Y217" s="62"/>
      <c r="Z217" s="66"/>
      <c r="AA217" s="94"/>
      <c r="AB217" s="69"/>
      <c r="AC217" s="94"/>
      <c r="AD217" s="94"/>
      <c r="AE217" s="60"/>
      <c r="AF217" s="62"/>
      <c r="AG217" s="62"/>
      <c r="AH217" s="62"/>
      <c r="AI217" s="61"/>
      <c r="AJ217" s="62"/>
      <c r="AK217" s="62"/>
      <c r="AL217" s="66"/>
      <c r="AM217" s="87"/>
      <c r="AN217" s="69"/>
      <c r="AO217" s="87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62"/>
      <c r="B218" s="66"/>
      <c r="C218" s="66"/>
      <c r="D218" s="60"/>
      <c r="E218" s="60"/>
      <c r="F218" s="60"/>
      <c r="G218" s="60"/>
      <c r="H218" s="62"/>
      <c r="I218" s="62"/>
      <c r="J218" s="62"/>
      <c r="K218" s="61"/>
      <c r="L218" s="62"/>
      <c r="M218" s="62"/>
      <c r="N218" s="94"/>
      <c r="O218" s="94"/>
      <c r="P218" s="94"/>
      <c r="Q218" s="94"/>
      <c r="R218" s="94"/>
      <c r="S218" s="94"/>
      <c r="T218" s="62"/>
      <c r="U218" s="62"/>
      <c r="V218" s="62"/>
      <c r="W218" s="61"/>
      <c r="X218" s="62"/>
      <c r="Y218" s="62"/>
      <c r="Z218" s="94"/>
      <c r="AA218" s="94"/>
      <c r="AB218" s="94"/>
      <c r="AC218" s="94"/>
      <c r="AD218" s="94"/>
      <c r="AE218" s="94"/>
      <c r="AF218" s="62"/>
      <c r="AG218" s="62"/>
      <c r="AH218" s="62"/>
      <c r="AI218" s="61"/>
      <c r="AJ218" s="62"/>
      <c r="AK218" s="62"/>
      <c r="AL218" s="66"/>
      <c r="AM218" s="87"/>
      <c r="AN218" s="69"/>
      <c r="AO218" s="87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A219" s="62"/>
      <c r="B219" s="94"/>
      <c r="C219" s="94"/>
      <c r="D219" s="94"/>
      <c r="E219" s="94"/>
      <c r="F219" s="94"/>
      <c r="G219" s="94"/>
      <c r="H219" s="62"/>
      <c r="I219" s="62"/>
      <c r="J219" s="62"/>
      <c r="K219" s="62"/>
      <c r="L219" s="62"/>
      <c r="M219" s="62"/>
      <c r="N219" s="94"/>
      <c r="O219" s="94"/>
      <c r="P219" s="94"/>
      <c r="Q219" s="94"/>
      <c r="R219" s="94"/>
      <c r="S219" s="94"/>
      <c r="T219" s="62"/>
      <c r="U219" s="62"/>
      <c r="V219" s="62"/>
      <c r="W219" s="62"/>
      <c r="X219" s="62"/>
      <c r="Y219" s="62"/>
      <c r="Z219" s="94"/>
      <c r="AA219" s="94"/>
      <c r="AB219" s="94"/>
      <c r="AC219" s="94"/>
      <c r="AD219" s="94"/>
      <c r="AE219" s="94"/>
      <c r="AF219" s="62"/>
      <c r="AG219" s="62"/>
      <c r="AH219" s="62"/>
      <c r="AI219" s="62"/>
      <c r="AJ219" s="62"/>
      <c r="AK219" s="62"/>
      <c r="AL219" s="66"/>
      <c r="AM219" s="87"/>
      <c r="AN219" s="69"/>
      <c r="AO219" s="87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A220" s="62"/>
      <c r="B220" s="94"/>
      <c r="C220" s="94"/>
      <c r="D220" s="70"/>
      <c r="E220" s="70"/>
      <c r="F220" s="70"/>
      <c r="G220" s="70"/>
      <c r="H220" s="63"/>
      <c r="I220" s="70"/>
      <c r="J220" s="70"/>
      <c r="K220" s="70"/>
      <c r="L220" s="62"/>
      <c r="M220" s="62"/>
      <c r="N220" s="94"/>
      <c r="O220" s="94"/>
      <c r="P220" s="70"/>
      <c r="Q220" s="70"/>
      <c r="R220" s="70"/>
      <c r="S220" s="70"/>
      <c r="T220" s="63"/>
      <c r="U220" s="71"/>
      <c r="V220" s="71"/>
      <c r="W220" s="71"/>
      <c r="X220" s="62"/>
      <c r="Y220" s="62"/>
      <c r="Z220" s="94"/>
      <c r="AA220" s="94"/>
      <c r="AB220" s="70"/>
      <c r="AC220" s="70"/>
      <c r="AD220" s="70"/>
      <c r="AE220" s="70"/>
      <c r="AF220" s="63"/>
      <c r="AG220" s="71"/>
      <c r="AH220" s="71"/>
      <c r="AI220" s="71"/>
      <c r="AJ220" s="62"/>
      <c r="AK220" s="62"/>
      <c r="AL220" s="66"/>
      <c r="AM220" s="87"/>
      <c r="AN220" s="69"/>
      <c r="AO220" s="87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62"/>
      <c r="B221" s="62"/>
      <c r="C221" s="62"/>
      <c r="D221" s="62"/>
      <c r="E221" s="62"/>
      <c r="F221" s="62"/>
      <c r="G221" s="62"/>
      <c r="H221" s="62"/>
      <c r="I221" s="62"/>
      <c r="J221" s="62"/>
      <c r="K221" s="62"/>
      <c r="L221" s="62"/>
      <c r="M221" s="62"/>
      <c r="N221" s="62"/>
      <c r="O221" s="62"/>
      <c r="P221" s="62"/>
      <c r="Q221" s="62"/>
      <c r="R221" s="62"/>
      <c r="S221" s="62"/>
      <c r="T221" s="62"/>
      <c r="U221" s="62"/>
      <c r="V221" s="62"/>
      <c r="W221" s="62"/>
      <c r="X221" s="62"/>
      <c r="Y221" s="62"/>
      <c r="Z221" s="62"/>
      <c r="AA221" s="62"/>
      <c r="AB221" s="62"/>
      <c r="AC221" s="62"/>
      <c r="AD221" s="62"/>
      <c r="AE221" s="62"/>
      <c r="AF221" s="62"/>
      <c r="AG221" s="62"/>
      <c r="AH221" s="62"/>
      <c r="AI221" s="62"/>
      <c r="AJ221" s="62"/>
      <c r="AK221" s="62"/>
      <c r="AL221" s="66"/>
      <c r="AM221" s="87"/>
      <c r="AN221" s="69"/>
      <c r="AO221" s="87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s="62"/>
      <c r="B222" s="94"/>
      <c r="C222" s="94"/>
      <c r="D222" s="94"/>
      <c r="E222" s="94"/>
      <c r="F222" s="94"/>
      <c r="G222" s="94"/>
      <c r="H222" s="62"/>
      <c r="I222" s="62"/>
      <c r="J222" s="62"/>
      <c r="K222" s="62"/>
      <c r="L222" s="62"/>
      <c r="M222" s="62"/>
      <c r="N222" s="94"/>
      <c r="O222" s="94"/>
      <c r="P222" s="94"/>
      <c r="Q222" s="94"/>
      <c r="R222" s="94"/>
      <c r="S222" s="94"/>
      <c r="T222" s="62"/>
      <c r="U222" s="62"/>
      <c r="V222" s="62"/>
      <c r="W222" s="62"/>
      <c r="X222" s="62"/>
      <c r="Y222" s="62"/>
      <c r="Z222" s="94"/>
      <c r="AA222" s="94"/>
      <c r="AB222" s="94"/>
      <c r="AC222" s="94"/>
      <c r="AD222" s="94"/>
      <c r="AE222" s="94"/>
      <c r="AF222" s="62"/>
      <c r="AG222" s="62"/>
      <c r="AH222" s="62"/>
      <c r="AI222" s="62"/>
      <c r="AJ222" s="62"/>
      <c r="AK222" s="62"/>
      <c r="AL222" s="66"/>
      <c r="AM222" s="62"/>
      <c r="AN222" s="69"/>
      <c r="AO222" s="87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s="62"/>
      <c r="B223" s="94"/>
      <c r="C223" s="94"/>
      <c r="D223" s="94"/>
      <c r="E223" s="94"/>
      <c r="F223" s="94"/>
      <c r="G223" s="94"/>
      <c r="H223" s="62"/>
      <c r="I223" s="62"/>
      <c r="J223" s="62"/>
      <c r="K223" s="62"/>
      <c r="L223" s="62"/>
      <c r="M223" s="62"/>
      <c r="N223" s="94"/>
      <c r="O223" s="94"/>
      <c r="P223" s="94"/>
      <c r="Q223" s="94"/>
      <c r="R223" s="94"/>
      <c r="S223" s="94"/>
      <c r="T223" s="62"/>
      <c r="U223" s="62"/>
      <c r="V223" s="62"/>
      <c r="W223" s="62"/>
      <c r="X223" s="62"/>
      <c r="Y223" s="62"/>
      <c r="Z223" s="94"/>
      <c r="AA223" s="94"/>
      <c r="AB223" s="94"/>
      <c r="AC223" s="94"/>
      <c r="AD223" s="94"/>
      <c r="AE223" s="94"/>
      <c r="AF223" s="62"/>
      <c r="AG223" s="62"/>
      <c r="AH223" s="62"/>
      <c r="AI223" s="62"/>
      <c r="AJ223" s="62"/>
      <c r="AK223" s="62"/>
      <c r="AL223" s="66"/>
      <c r="AM223" s="87"/>
      <c r="AN223" s="69"/>
      <c r="AO223" s="87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A224" s="62"/>
      <c r="B224" s="94"/>
      <c r="C224" s="94"/>
      <c r="D224" s="94"/>
      <c r="E224" s="94"/>
      <c r="F224" s="94"/>
      <c r="G224" s="94"/>
      <c r="H224" s="62"/>
      <c r="I224" s="62"/>
      <c r="J224" s="62"/>
      <c r="K224" s="62"/>
      <c r="L224" s="62"/>
      <c r="M224" s="62"/>
      <c r="N224" s="94"/>
      <c r="O224" s="94"/>
      <c r="P224" s="94"/>
      <c r="Q224" s="94"/>
      <c r="R224" s="94"/>
      <c r="S224" s="94"/>
      <c r="T224" s="62"/>
      <c r="U224" s="62"/>
      <c r="V224" s="62"/>
      <c r="W224" s="62"/>
      <c r="X224" s="62"/>
      <c r="Y224" s="62"/>
      <c r="Z224" s="94"/>
      <c r="AA224" s="94"/>
      <c r="AB224" s="94"/>
      <c r="AC224" s="94"/>
      <c r="AD224" s="94"/>
      <c r="AE224" s="94"/>
      <c r="AF224" s="62"/>
      <c r="AG224" s="62"/>
      <c r="AH224" s="62"/>
      <c r="AI224" s="62"/>
      <c r="AJ224" s="62"/>
      <c r="AK224" s="62"/>
      <c r="AL224" s="87"/>
      <c r="AM224" s="87"/>
      <c r="AN224" s="87"/>
      <c r="AO224" s="87"/>
      <c r="AP224" s="87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63"/>
      <c r="B225" s="94"/>
      <c r="C225" s="94"/>
      <c r="D225" s="94"/>
      <c r="E225" s="94"/>
      <c r="F225" s="94"/>
      <c r="G225" s="94"/>
      <c r="H225" s="62"/>
      <c r="I225" s="62"/>
      <c r="J225" s="62"/>
      <c r="K225" s="62"/>
      <c r="L225" s="62"/>
      <c r="M225" s="63"/>
      <c r="N225" s="94"/>
      <c r="O225" s="94"/>
      <c r="P225" s="94"/>
      <c r="Q225" s="94"/>
      <c r="R225" s="94"/>
      <c r="S225" s="94"/>
      <c r="T225" s="62"/>
      <c r="U225" s="62"/>
      <c r="V225" s="62"/>
      <c r="W225" s="62"/>
      <c r="X225" s="62"/>
      <c r="Y225" s="63"/>
      <c r="Z225" s="94"/>
      <c r="AA225" s="94"/>
      <c r="AB225" s="94"/>
      <c r="AC225" s="94"/>
      <c r="AD225" s="94"/>
      <c r="AE225" s="94"/>
      <c r="AF225" s="62"/>
      <c r="AG225" s="62"/>
      <c r="AH225" s="62"/>
      <c r="AI225" s="62"/>
      <c r="AJ225" s="62"/>
      <c r="AK225" s="62"/>
      <c r="AL225" s="87"/>
      <c r="AM225" s="87"/>
      <c r="AN225" s="87"/>
      <c r="AO225" s="87"/>
      <c r="AP225" s="87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A226" s="62"/>
      <c r="B226" s="94"/>
      <c r="C226" s="94"/>
      <c r="D226" s="94"/>
      <c r="E226" s="94"/>
      <c r="F226" s="94"/>
      <c r="G226" s="94"/>
      <c r="H226" s="62"/>
      <c r="I226" s="62"/>
      <c r="J226" s="62"/>
      <c r="K226" s="62"/>
      <c r="L226" s="62"/>
      <c r="M226" s="62"/>
      <c r="N226" s="94"/>
      <c r="O226" s="94"/>
      <c r="P226" s="94"/>
      <c r="Q226" s="94"/>
      <c r="R226" s="94"/>
      <c r="S226" s="94"/>
      <c r="T226" s="62"/>
      <c r="U226" s="62"/>
      <c r="V226" s="62"/>
      <c r="W226" s="62"/>
      <c r="X226" s="62"/>
      <c r="Y226" s="62"/>
      <c r="Z226" s="94"/>
      <c r="AA226" s="94"/>
      <c r="AB226" s="94"/>
      <c r="AC226" s="94"/>
      <c r="AD226" s="94"/>
      <c r="AE226" s="94"/>
      <c r="AF226" s="62"/>
      <c r="AG226" s="62"/>
      <c r="AH226" s="62"/>
      <c r="AI226" s="62"/>
      <c r="AJ226" s="62"/>
      <c r="AK226" s="62"/>
      <c r="AL226" s="87"/>
      <c r="AM226" s="87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s="62"/>
      <c r="B227" s="94"/>
      <c r="C227" s="94"/>
      <c r="D227" s="94"/>
      <c r="E227" s="94"/>
      <c r="F227" s="94"/>
      <c r="G227" s="94"/>
      <c r="H227" s="62"/>
      <c r="I227" s="94"/>
      <c r="J227" s="74"/>
      <c r="K227" s="62"/>
      <c r="L227" s="62"/>
      <c r="M227" s="62"/>
      <c r="N227" s="94"/>
      <c r="O227" s="94"/>
      <c r="P227" s="94"/>
      <c r="Q227" s="94"/>
      <c r="R227" s="94"/>
      <c r="S227" s="94"/>
      <c r="T227" s="62"/>
      <c r="U227" s="94"/>
      <c r="V227" s="74"/>
      <c r="W227" s="62"/>
      <c r="X227" s="62"/>
      <c r="Y227" s="62"/>
      <c r="Z227" s="94"/>
      <c r="AA227" s="94"/>
      <c r="AB227" s="94"/>
      <c r="AC227" s="94"/>
      <c r="AD227" s="94"/>
      <c r="AE227" s="94"/>
      <c r="AF227" s="62"/>
      <c r="AG227" s="94"/>
      <c r="AH227" s="94"/>
      <c r="AI227" s="62"/>
      <c r="AJ227" s="62"/>
      <c r="AK227" s="62"/>
      <c r="AL227" s="87"/>
      <c r="AM227" s="87"/>
      <c r="AN227" s="72"/>
      <c r="AO227" s="87"/>
      <c r="AP227" s="87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64"/>
      <c r="B228" s="94"/>
      <c r="C228" s="94"/>
      <c r="D228" s="94"/>
      <c r="E228" s="94"/>
      <c r="F228" s="94"/>
      <c r="G228" s="94"/>
      <c r="H228" s="62"/>
      <c r="I228" s="65"/>
      <c r="J228" s="65"/>
      <c r="K228" s="62"/>
      <c r="L228" s="62"/>
      <c r="M228" s="64"/>
      <c r="N228" s="94"/>
      <c r="O228" s="94"/>
      <c r="P228" s="94"/>
      <c r="Q228" s="94"/>
      <c r="R228" s="94"/>
      <c r="S228" s="94"/>
      <c r="T228" s="62"/>
      <c r="U228" s="65"/>
      <c r="V228" s="65"/>
      <c r="W228" s="62"/>
      <c r="X228" s="62"/>
      <c r="Y228" s="64"/>
      <c r="Z228" s="94"/>
      <c r="AA228" s="94"/>
      <c r="AB228" s="94"/>
      <c r="AC228" s="94"/>
      <c r="AD228" s="94"/>
      <c r="AE228" s="94"/>
      <c r="AF228" s="62"/>
      <c r="AG228" s="65"/>
      <c r="AH228" s="65"/>
      <c r="AI228" s="62"/>
      <c r="AJ228" s="62"/>
      <c r="AK228" s="62"/>
      <c r="AL228" s="87"/>
      <c r="AM228" s="87"/>
      <c r="AN228" s="87"/>
      <c r="AO228" s="87"/>
      <c r="AP228" s="87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A229" s="62"/>
      <c r="B229" s="94"/>
      <c r="C229" s="94"/>
      <c r="D229" s="94"/>
      <c r="E229" s="94"/>
      <c r="F229" s="94"/>
      <c r="G229" s="94"/>
      <c r="H229" s="62"/>
      <c r="I229" s="62"/>
      <c r="J229" s="62"/>
      <c r="K229" s="62"/>
      <c r="L229" s="62"/>
      <c r="M229" s="62"/>
      <c r="N229" s="94"/>
      <c r="O229" s="94"/>
      <c r="P229" s="94"/>
      <c r="Q229" s="94"/>
      <c r="R229" s="94"/>
      <c r="S229" s="94"/>
      <c r="T229" s="62"/>
      <c r="U229" s="62"/>
      <c r="V229" s="62"/>
      <c r="W229" s="62"/>
      <c r="X229" s="62"/>
      <c r="Y229" s="62"/>
      <c r="Z229" s="94"/>
      <c r="AA229" s="94"/>
      <c r="AB229" s="94"/>
      <c r="AC229" s="94"/>
      <c r="AD229" s="94"/>
      <c r="AE229" s="94"/>
      <c r="AF229" s="62"/>
      <c r="AG229" s="62"/>
      <c r="AH229" s="62"/>
      <c r="AI229" s="62"/>
      <c r="AJ229" s="62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A230" s="62"/>
      <c r="B230" s="65"/>
      <c r="C230" s="94"/>
      <c r="D230" s="104"/>
      <c r="E230" s="104"/>
      <c r="F230" s="94"/>
      <c r="G230" s="94"/>
      <c r="H230" s="62"/>
      <c r="I230" s="104"/>
      <c r="J230" s="104"/>
      <c r="K230" s="103"/>
      <c r="L230" s="62"/>
      <c r="M230" s="62"/>
      <c r="N230" s="65"/>
      <c r="O230" s="94"/>
      <c r="P230" s="104"/>
      <c r="Q230" s="104"/>
      <c r="R230" s="94"/>
      <c r="S230" s="94"/>
      <c r="T230" s="62"/>
      <c r="U230" s="104"/>
      <c r="V230" s="104"/>
      <c r="W230" s="103"/>
      <c r="X230" s="62"/>
      <c r="Y230" s="62"/>
      <c r="Z230" s="65"/>
      <c r="AA230" s="94"/>
      <c r="AB230" s="104"/>
      <c r="AC230" s="104"/>
      <c r="AD230" s="94"/>
      <c r="AE230" s="94"/>
      <c r="AF230" s="62"/>
      <c r="AG230" s="104"/>
      <c r="AH230" s="104"/>
      <c r="AI230" s="103"/>
      <c r="AJ230" s="62"/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x14ac:dyDescent="0.25">
      <c r="A231" s="62"/>
      <c r="B231" s="94"/>
      <c r="C231" s="94"/>
      <c r="D231" s="81"/>
      <c r="E231" s="82"/>
      <c r="F231" s="83"/>
      <c r="G231" s="83"/>
      <c r="H231" s="62"/>
      <c r="I231" s="93"/>
      <c r="J231" s="93"/>
      <c r="K231" s="103"/>
      <c r="L231" s="62"/>
      <c r="M231" s="62"/>
      <c r="N231" s="94"/>
      <c r="O231" s="94"/>
      <c r="P231" s="81"/>
      <c r="Q231" s="83"/>
      <c r="R231" s="83"/>
      <c r="S231" s="83"/>
      <c r="T231" s="62"/>
      <c r="U231" s="93"/>
      <c r="V231" s="93"/>
      <c r="W231" s="103"/>
      <c r="X231" s="62"/>
      <c r="Y231" s="62"/>
      <c r="Z231" s="94"/>
      <c r="AA231" s="94"/>
      <c r="AB231" s="81"/>
      <c r="AC231" s="83"/>
      <c r="AD231" s="83"/>
      <c r="AE231" s="83"/>
      <c r="AF231" s="62"/>
      <c r="AG231" s="93"/>
      <c r="AH231" s="93"/>
      <c r="AI231" s="103"/>
      <c r="AJ231" s="62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62"/>
      <c r="B232" s="66"/>
      <c r="C232" s="92"/>
      <c r="D232" s="60"/>
      <c r="E232" s="60"/>
      <c r="F232" s="60"/>
      <c r="G232" s="60"/>
      <c r="H232" s="61"/>
      <c r="I232" s="61"/>
      <c r="J232" s="61"/>
      <c r="K232" s="61"/>
      <c r="L232" s="62"/>
      <c r="M232" s="62"/>
      <c r="N232" s="66"/>
      <c r="O232" s="94"/>
      <c r="P232" s="60"/>
      <c r="Q232" s="60"/>
      <c r="R232" s="60"/>
      <c r="S232" s="60"/>
      <c r="T232" s="61"/>
      <c r="U232" s="61"/>
      <c r="V232" s="61"/>
      <c r="W232" s="61"/>
      <c r="X232" s="62"/>
      <c r="Y232" s="62"/>
      <c r="Z232" s="66"/>
      <c r="AA232" s="94"/>
      <c r="AB232" s="60"/>
      <c r="AC232" s="60"/>
      <c r="AD232" s="60"/>
      <c r="AE232" s="60"/>
      <c r="AF232" s="61"/>
      <c r="AG232" s="61"/>
      <c r="AH232" s="61"/>
      <c r="AI232" s="61"/>
      <c r="AJ232" s="62"/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62"/>
      <c r="B233" s="66"/>
      <c r="C233" s="92"/>
      <c r="D233" s="60"/>
      <c r="E233" s="60"/>
      <c r="F233" s="60"/>
      <c r="G233" s="60"/>
      <c r="H233" s="61"/>
      <c r="I233" s="61"/>
      <c r="J233" s="61"/>
      <c r="K233" s="61"/>
      <c r="L233" s="62"/>
      <c r="M233" s="62"/>
      <c r="N233" s="66"/>
      <c r="O233" s="94"/>
      <c r="P233" s="60"/>
      <c r="Q233" s="60"/>
      <c r="R233" s="60"/>
      <c r="S233" s="60"/>
      <c r="T233" s="61"/>
      <c r="U233" s="61"/>
      <c r="V233" s="61"/>
      <c r="W233" s="61"/>
      <c r="X233" s="62"/>
      <c r="Y233" s="62"/>
      <c r="Z233" s="66"/>
      <c r="AA233" s="94"/>
      <c r="AB233" s="60"/>
      <c r="AC233" s="60"/>
      <c r="AD233" s="60"/>
      <c r="AE233" s="60"/>
      <c r="AF233" s="61"/>
      <c r="AG233" s="61"/>
      <c r="AH233" s="61"/>
      <c r="AI233" s="61"/>
      <c r="AJ233" s="62"/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62"/>
      <c r="B234" s="66"/>
      <c r="C234" s="92"/>
      <c r="D234" s="60"/>
      <c r="E234" s="60"/>
      <c r="F234" s="60"/>
      <c r="G234" s="60"/>
      <c r="H234" s="61"/>
      <c r="I234" s="61"/>
      <c r="J234" s="61"/>
      <c r="K234" s="61"/>
      <c r="L234" s="62"/>
      <c r="M234" s="62"/>
      <c r="N234" s="66"/>
      <c r="O234" s="94"/>
      <c r="P234" s="60"/>
      <c r="Q234" s="60"/>
      <c r="R234" s="60"/>
      <c r="S234" s="60"/>
      <c r="T234" s="61"/>
      <c r="U234" s="61"/>
      <c r="V234" s="61"/>
      <c r="W234" s="61"/>
      <c r="X234" s="62"/>
      <c r="Y234" s="62"/>
      <c r="Z234" s="66"/>
      <c r="AA234" s="94"/>
      <c r="AB234" s="60"/>
      <c r="AC234" s="60"/>
      <c r="AD234" s="60"/>
      <c r="AE234" s="60"/>
      <c r="AF234" s="61"/>
      <c r="AG234" s="61"/>
      <c r="AH234" s="61"/>
      <c r="AI234" s="61"/>
      <c r="AJ234" s="62"/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62"/>
      <c r="B235" s="66"/>
      <c r="C235" s="92"/>
      <c r="D235" s="60"/>
      <c r="E235" s="60"/>
      <c r="F235" s="60"/>
      <c r="G235" s="60"/>
      <c r="H235" s="61"/>
      <c r="I235" s="61"/>
      <c r="J235" s="61"/>
      <c r="K235" s="61"/>
      <c r="L235" s="62"/>
      <c r="M235" s="62"/>
      <c r="N235" s="66"/>
      <c r="O235" s="94"/>
      <c r="P235" s="60"/>
      <c r="Q235" s="60"/>
      <c r="R235" s="60"/>
      <c r="S235" s="60"/>
      <c r="T235" s="61"/>
      <c r="U235" s="61"/>
      <c r="V235" s="61"/>
      <c r="W235" s="61"/>
      <c r="X235" s="62"/>
      <c r="Y235" s="62"/>
      <c r="Z235" s="66"/>
      <c r="AA235" s="94"/>
      <c r="AB235" s="60"/>
      <c r="AC235" s="60"/>
      <c r="AD235" s="60"/>
      <c r="AE235" s="60"/>
      <c r="AF235" s="61"/>
      <c r="AG235" s="62"/>
      <c r="AH235" s="61"/>
      <c r="AI235" s="61"/>
      <c r="AJ235" s="62"/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62"/>
      <c r="B236" s="66"/>
      <c r="C236" s="92"/>
      <c r="D236" s="60"/>
      <c r="E236" s="60"/>
      <c r="F236" s="60"/>
      <c r="G236" s="60"/>
      <c r="H236" s="61"/>
      <c r="I236" s="61"/>
      <c r="J236" s="61"/>
      <c r="K236" s="61"/>
      <c r="L236" s="62"/>
      <c r="M236" s="62"/>
      <c r="N236" s="66"/>
      <c r="O236" s="94"/>
      <c r="P236" s="60"/>
      <c r="Q236" s="60"/>
      <c r="R236" s="60"/>
      <c r="S236" s="60"/>
      <c r="T236" s="61"/>
      <c r="U236" s="61"/>
      <c r="V236" s="61"/>
      <c r="W236" s="61"/>
      <c r="X236" s="62"/>
      <c r="Y236" s="62"/>
      <c r="Z236" s="66"/>
      <c r="AA236" s="94"/>
      <c r="AB236" s="60"/>
      <c r="AC236" s="60"/>
      <c r="AD236" s="60"/>
      <c r="AE236" s="60"/>
      <c r="AF236" s="61"/>
      <c r="AG236" s="61"/>
      <c r="AH236" s="61"/>
      <c r="AI236" s="61"/>
      <c r="AJ236" s="62"/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62"/>
      <c r="B237" s="66"/>
      <c r="C237" s="92"/>
      <c r="D237" s="60"/>
      <c r="E237" s="60"/>
      <c r="F237" s="60"/>
      <c r="G237" s="60"/>
      <c r="H237" s="61"/>
      <c r="I237" s="61"/>
      <c r="J237" s="61"/>
      <c r="K237" s="61"/>
      <c r="L237" s="62"/>
      <c r="M237" s="62"/>
      <c r="N237" s="66"/>
      <c r="O237" s="94"/>
      <c r="P237" s="60"/>
      <c r="Q237" s="60"/>
      <c r="R237" s="60"/>
      <c r="S237" s="60"/>
      <c r="T237" s="61"/>
      <c r="U237" s="61"/>
      <c r="V237" s="62"/>
      <c r="W237" s="61"/>
      <c r="X237" s="62"/>
      <c r="Y237" s="62"/>
      <c r="Z237" s="66"/>
      <c r="AA237" s="94"/>
      <c r="AB237" s="60"/>
      <c r="AC237" s="60"/>
      <c r="AD237" s="60"/>
      <c r="AE237" s="60"/>
      <c r="AF237" s="61"/>
      <c r="AG237" s="61"/>
      <c r="AH237" s="62"/>
      <c r="AI237" s="61"/>
      <c r="AJ237" s="62"/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62"/>
      <c r="B238" s="66"/>
      <c r="C238" s="65"/>
      <c r="D238" s="60"/>
      <c r="E238" s="60"/>
      <c r="F238" s="60"/>
      <c r="G238" s="60"/>
      <c r="H238" s="61"/>
      <c r="I238" s="61"/>
      <c r="J238" s="61"/>
      <c r="K238" s="61"/>
      <c r="L238" s="62"/>
      <c r="M238" s="62"/>
      <c r="N238" s="66"/>
      <c r="O238" s="94"/>
      <c r="P238" s="60"/>
      <c r="Q238" s="60"/>
      <c r="R238" s="60"/>
      <c r="S238" s="60"/>
      <c r="T238" s="61"/>
      <c r="U238" s="61"/>
      <c r="V238" s="61"/>
      <c r="W238" s="61"/>
      <c r="X238" s="62"/>
      <c r="Y238" s="62"/>
      <c r="Z238" s="66"/>
      <c r="AA238" s="94"/>
      <c r="AB238" s="60"/>
      <c r="AC238" s="60"/>
      <c r="AD238" s="60"/>
      <c r="AE238" s="60"/>
      <c r="AF238" s="61"/>
      <c r="AG238" s="61"/>
      <c r="AH238" s="61"/>
      <c r="AI238" s="61"/>
      <c r="AJ238" s="62"/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62"/>
      <c r="B239" s="66"/>
      <c r="C239" s="92"/>
      <c r="D239" s="60"/>
      <c r="E239" s="60"/>
      <c r="F239" s="60"/>
      <c r="G239" s="60"/>
      <c r="H239" s="61"/>
      <c r="I239" s="61"/>
      <c r="J239" s="61"/>
      <c r="K239" s="61"/>
      <c r="L239" s="62"/>
      <c r="M239" s="62"/>
      <c r="N239" s="66"/>
      <c r="O239" s="94"/>
      <c r="P239" s="60"/>
      <c r="Q239" s="60"/>
      <c r="R239" s="60"/>
      <c r="S239" s="60"/>
      <c r="T239" s="61"/>
      <c r="U239" s="61"/>
      <c r="V239" s="61"/>
      <c r="W239" s="61"/>
      <c r="X239" s="62"/>
      <c r="Y239" s="62"/>
      <c r="Z239" s="66"/>
      <c r="AA239" s="94"/>
      <c r="AB239" s="60"/>
      <c r="AC239" s="60"/>
      <c r="AD239" s="62"/>
      <c r="AE239" s="60"/>
      <c r="AF239" s="61"/>
      <c r="AG239" s="61"/>
      <c r="AH239" s="61"/>
      <c r="AI239" s="61"/>
      <c r="AJ239" s="62"/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62"/>
      <c r="B240" s="66"/>
      <c r="C240" s="92"/>
      <c r="D240" s="60"/>
      <c r="E240" s="60"/>
      <c r="F240" s="60"/>
      <c r="G240" s="60"/>
      <c r="H240" s="61"/>
      <c r="I240" s="61"/>
      <c r="J240" s="61"/>
      <c r="K240" s="61"/>
      <c r="L240" s="62"/>
      <c r="M240" s="62"/>
      <c r="N240" s="66"/>
      <c r="O240" s="94"/>
      <c r="P240" s="60"/>
      <c r="Q240" s="60"/>
      <c r="R240" s="60"/>
      <c r="S240" s="60"/>
      <c r="T240" s="61"/>
      <c r="U240" s="61"/>
      <c r="V240" s="61"/>
      <c r="W240" s="61"/>
      <c r="X240" s="62"/>
      <c r="Y240" s="62"/>
      <c r="Z240" s="66"/>
      <c r="AA240" s="94"/>
      <c r="AB240" s="62"/>
      <c r="AC240" s="60"/>
      <c r="AD240" s="60"/>
      <c r="AE240" s="60"/>
      <c r="AF240" s="61"/>
      <c r="AG240" s="62"/>
      <c r="AH240" s="61"/>
      <c r="AI240" s="61"/>
      <c r="AJ240" s="62"/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62"/>
      <c r="B241" s="66"/>
      <c r="C241" s="92"/>
      <c r="D241" s="60"/>
      <c r="E241" s="60"/>
      <c r="F241" s="60"/>
      <c r="G241" s="60"/>
      <c r="H241" s="61"/>
      <c r="I241" s="61"/>
      <c r="J241" s="61"/>
      <c r="K241" s="61"/>
      <c r="L241" s="62"/>
      <c r="M241" s="62"/>
      <c r="N241" s="66"/>
      <c r="O241" s="94"/>
      <c r="P241" s="60"/>
      <c r="Q241" s="60"/>
      <c r="R241" s="60"/>
      <c r="S241" s="60"/>
      <c r="T241" s="61"/>
      <c r="U241" s="61"/>
      <c r="V241" s="61"/>
      <c r="W241" s="61"/>
      <c r="X241" s="62"/>
      <c r="Y241" s="62"/>
      <c r="Z241" s="66"/>
      <c r="AA241" s="94"/>
      <c r="AB241" s="60"/>
      <c r="AC241" s="60"/>
      <c r="AD241" s="60"/>
      <c r="AE241" s="60"/>
      <c r="AF241" s="61"/>
      <c r="AG241" s="61"/>
      <c r="AH241" s="61"/>
      <c r="AI241" s="61"/>
      <c r="AJ241" s="62"/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62"/>
      <c r="B242" s="66"/>
      <c r="C242" s="92"/>
      <c r="D242" s="60"/>
      <c r="E242" s="60"/>
      <c r="F242" s="60"/>
      <c r="G242" s="60"/>
      <c r="H242" s="61"/>
      <c r="I242" s="61"/>
      <c r="J242" s="61"/>
      <c r="K242" s="61"/>
      <c r="L242" s="62"/>
      <c r="M242" s="62"/>
      <c r="N242" s="66"/>
      <c r="O242" s="94"/>
      <c r="P242" s="60"/>
      <c r="Q242" s="60"/>
      <c r="R242" s="60"/>
      <c r="S242" s="60"/>
      <c r="T242" s="61"/>
      <c r="U242" s="61"/>
      <c r="V242" s="61"/>
      <c r="W242" s="61"/>
      <c r="X242" s="62"/>
      <c r="Y242" s="62"/>
      <c r="Z242" s="66"/>
      <c r="AA242" s="94"/>
      <c r="AB242" s="60"/>
      <c r="AC242" s="60"/>
      <c r="AD242" s="60"/>
      <c r="AE242" s="60"/>
      <c r="AF242" s="61"/>
      <c r="AG242" s="61"/>
      <c r="AH242" s="61"/>
      <c r="AI242" s="61"/>
      <c r="AJ242" s="62"/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62"/>
      <c r="B243" s="66"/>
      <c r="C243" s="92"/>
      <c r="D243" s="60"/>
      <c r="E243" s="60"/>
      <c r="F243" s="60"/>
      <c r="G243" s="60"/>
      <c r="H243" s="61"/>
      <c r="I243" s="61"/>
      <c r="J243" s="62"/>
      <c r="K243" s="61"/>
      <c r="L243" s="62"/>
      <c r="M243" s="62"/>
      <c r="N243" s="66"/>
      <c r="O243" s="94"/>
      <c r="P243" s="60"/>
      <c r="Q243" s="60"/>
      <c r="R243" s="60"/>
      <c r="S243" s="60"/>
      <c r="T243" s="61"/>
      <c r="U243" s="61"/>
      <c r="V243" s="61"/>
      <c r="W243" s="61"/>
      <c r="X243" s="62"/>
      <c r="Y243" s="62"/>
      <c r="Z243" s="66"/>
      <c r="AA243" s="94"/>
      <c r="AB243" s="60"/>
      <c r="AC243" s="60"/>
      <c r="AD243" s="60"/>
      <c r="AE243" s="60"/>
      <c r="AF243" s="61"/>
      <c r="AG243" s="61"/>
      <c r="AH243" s="61"/>
      <c r="AI243" s="61"/>
      <c r="AJ243" s="62"/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62"/>
      <c r="B244" s="66"/>
      <c r="C244" s="92"/>
      <c r="D244" s="60"/>
      <c r="E244" s="60"/>
      <c r="F244" s="60"/>
      <c r="G244" s="60"/>
      <c r="H244" s="61"/>
      <c r="I244" s="61"/>
      <c r="J244" s="61"/>
      <c r="K244" s="61"/>
      <c r="L244" s="62"/>
      <c r="M244" s="62"/>
      <c r="N244" s="66"/>
      <c r="O244" s="94"/>
      <c r="P244" s="60"/>
      <c r="Q244" s="60"/>
      <c r="R244" s="60"/>
      <c r="S244" s="60"/>
      <c r="T244" s="61"/>
      <c r="U244" s="61"/>
      <c r="V244" s="61"/>
      <c r="W244" s="61"/>
      <c r="X244" s="62"/>
      <c r="Y244" s="62"/>
      <c r="Z244" s="66"/>
      <c r="AA244" s="94"/>
      <c r="AB244" s="60"/>
      <c r="AC244" s="60"/>
      <c r="AD244" s="60"/>
      <c r="AE244" s="60"/>
      <c r="AF244" s="61"/>
      <c r="AG244" s="61"/>
      <c r="AH244" s="61"/>
      <c r="AI244" s="61"/>
      <c r="AJ244" s="62"/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62"/>
      <c r="B245" s="66"/>
      <c r="C245" s="92"/>
      <c r="D245" s="60"/>
      <c r="E245" s="60"/>
      <c r="F245" s="60"/>
      <c r="G245" s="60"/>
      <c r="H245" s="61"/>
      <c r="I245" s="61"/>
      <c r="J245" s="61"/>
      <c r="K245" s="61"/>
      <c r="L245" s="62"/>
      <c r="M245" s="62"/>
      <c r="N245" s="66"/>
      <c r="O245" s="94"/>
      <c r="P245" s="60"/>
      <c r="Q245" s="60"/>
      <c r="R245" s="60"/>
      <c r="S245" s="60"/>
      <c r="T245" s="61"/>
      <c r="U245" s="61"/>
      <c r="V245" s="61"/>
      <c r="W245" s="61"/>
      <c r="X245" s="62"/>
      <c r="Y245" s="62"/>
      <c r="Z245" s="66"/>
      <c r="AA245" s="94"/>
      <c r="AB245" s="60"/>
      <c r="AC245" s="60"/>
      <c r="AD245" s="60"/>
      <c r="AE245" s="60"/>
      <c r="AF245" s="61"/>
      <c r="AG245" s="61"/>
      <c r="AH245" s="61"/>
      <c r="AI245" s="61"/>
      <c r="AJ245" s="62"/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62"/>
      <c r="B246" s="66"/>
      <c r="C246" s="92"/>
      <c r="D246" s="60"/>
      <c r="E246" s="60"/>
      <c r="F246" s="60"/>
      <c r="G246" s="60"/>
      <c r="H246" s="61"/>
      <c r="I246" s="61"/>
      <c r="J246" s="61"/>
      <c r="K246" s="61"/>
      <c r="L246" s="62"/>
      <c r="M246" s="62"/>
      <c r="N246" s="66"/>
      <c r="O246" s="94"/>
      <c r="P246" s="60"/>
      <c r="Q246" s="60"/>
      <c r="R246" s="60"/>
      <c r="S246" s="60"/>
      <c r="T246" s="61"/>
      <c r="U246" s="61"/>
      <c r="V246" s="61"/>
      <c r="W246" s="61"/>
      <c r="X246" s="62"/>
      <c r="Y246" s="62"/>
      <c r="Z246" s="66"/>
      <c r="AA246" s="94"/>
      <c r="AB246" s="60"/>
      <c r="AC246" s="60"/>
      <c r="AD246" s="60"/>
      <c r="AE246" s="60"/>
      <c r="AF246" s="61"/>
      <c r="AG246" s="61"/>
      <c r="AH246" s="61"/>
      <c r="AI246" s="61"/>
      <c r="AJ246" s="62"/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62"/>
      <c r="B247" s="66"/>
      <c r="C247" s="92"/>
      <c r="D247" s="60"/>
      <c r="E247" s="60"/>
      <c r="F247" s="60"/>
      <c r="G247" s="60"/>
      <c r="H247" s="61"/>
      <c r="I247" s="61"/>
      <c r="J247" s="61"/>
      <c r="K247" s="61"/>
      <c r="L247" s="62"/>
      <c r="M247" s="62"/>
      <c r="N247" s="66"/>
      <c r="O247" s="94"/>
      <c r="P247" s="60"/>
      <c r="Q247" s="60"/>
      <c r="R247" s="60"/>
      <c r="S247" s="60"/>
      <c r="T247" s="61"/>
      <c r="U247" s="61"/>
      <c r="V247" s="61"/>
      <c r="W247" s="61"/>
      <c r="X247" s="62"/>
      <c r="Y247" s="62"/>
      <c r="Z247" s="66"/>
      <c r="AA247" s="94"/>
      <c r="AB247" s="60"/>
      <c r="AC247" s="60"/>
      <c r="AD247" s="60"/>
      <c r="AE247" s="60"/>
      <c r="AF247" s="61"/>
      <c r="AG247" s="61"/>
      <c r="AH247" s="61"/>
      <c r="AI247" s="61"/>
      <c r="AJ247" s="62"/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62"/>
      <c r="B248" s="66"/>
      <c r="C248" s="94"/>
      <c r="D248" s="60"/>
      <c r="E248" s="60"/>
      <c r="F248" s="60"/>
      <c r="G248" s="60"/>
      <c r="H248" s="61"/>
      <c r="I248" s="61"/>
      <c r="J248" s="61"/>
      <c r="K248" s="61"/>
      <c r="L248" s="62"/>
      <c r="M248" s="62"/>
      <c r="N248" s="66"/>
      <c r="O248" s="94"/>
      <c r="P248" s="60"/>
      <c r="Q248" s="60"/>
      <c r="R248" s="60"/>
      <c r="S248" s="60"/>
      <c r="T248" s="61"/>
      <c r="U248" s="61"/>
      <c r="V248" s="61"/>
      <c r="W248" s="61"/>
      <c r="X248" s="62"/>
      <c r="Y248" s="62"/>
      <c r="Z248" s="66"/>
      <c r="AA248" s="94"/>
      <c r="AB248" s="60"/>
      <c r="AC248" s="60"/>
      <c r="AD248" s="60"/>
      <c r="AE248" s="60"/>
      <c r="AF248" s="61"/>
      <c r="AG248" s="61"/>
      <c r="AH248" s="61"/>
      <c r="AI248" s="61"/>
      <c r="AJ248" s="62"/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62"/>
      <c r="B249" s="66"/>
      <c r="C249" s="94"/>
      <c r="D249" s="60"/>
      <c r="E249" s="60"/>
      <c r="F249" s="60"/>
      <c r="G249" s="60"/>
      <c r="H249" s="61"/>
      <c r="I249" s="61"/>
      <c r="J249" s="61"/>
      <c r="K249" s="61"/>
      <c r="L249" s="62"/>
      <c r="M249" s="62"/>
      <c r="N249" s="66"/>
      <c r="O249" s="94"/>
      <c r="P249" s="60"/>
      <c r="Q249" s="60"/>
      <c r="R249" s="60"/>
      <c r="S249" s="60"/>
      <c r="T249" s="61"/>
      <c r="U249" s="61"/>
      <c r="V249" s="61"/>
      <c r="W249" s="61"/>
      <c r="X249" s="62"/>
      <c r="Y249" s="62"/>
      <c r="Z249" s="66"/>
      <c r="AA249" s="94"/>
      <c r="AB249" s="60"/>
      <c r="AC249" s="60"/>
      <c r="AD249" s="60"/>
      <c r="AE249" s="60"/>
      <c r="AF249" s="61"/>
      <c r="AG249" s="61"/>
      <c r="AH249" s="61"/>
      <c r="AI249" s="61"/>
      <c r="AJ249" s="62"/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62"/>
      <c r="B250" s="66"/>
      <c r="C250" s="92"/>
      <c r="D250" s="60"/>
      <c r="E250" s="60"/>
      <c r="F250" s="60"/>
      <c r="G250" s="60"/>
      <c r="H250" s="61"/>
      <c r="I250" s="61"/>
      <c r="J250" s="61"/>
      <c r="K250" s="61"/>
      <c r="L250" s="62"/>
      <c r="M250" s="62"/>
      <c r="N250" s="66"/>
      <c r="O250" s="94"/>
      <c r="P250" s="60"/>
      <c r="Q250" s="60"/>
      <c r="R250" s="60"/>
      <c r="S250" s="60"/>
      <c r="T250" s="61"/>
      <c r="U250" s="61"/>
      <c r="V250" s="61"/>
      <c r="W250" s="61"/>
      <c r="X250" s="62"/>
      <c r="Y250" s="62"/>
      <c r="Z250" s="66"/>
      <c r="AA250" s="94"/>
      <c r="AB250" s="60"/>
      <c r="AC250" s="60"/>
      <c r="AD250" s="60"/>
      <c r="AE250" s="60"/>
      <c r="AF250" s="61"/>
      <c r="AG250" s="61"/>
      <c r="AH250" s="61"/>
      <c r="AI250" s="61"/>
      <c r="AJ250" s="62"/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62"/>
      <c r="B251" s="66"/>
      <c r="C251" s="92"/>
      <c r="D251" s="60"/>
      <c r="E251" s="60"/>
      <c r="F251" s="60"/>
      <c r="G251" s="60"/>
      <c r="H251" s="61"/>
      <c r="I251" s="61"/>
      <c r="J251" s="61"/>
      <c r="K251" s="61"/>
      <c r="L251" s="62"/>
      <c r="M251" s="62"/>
      <c r="N251" s="66"/>
      <c r="O251" s="94"/>
      <c r="P251" s="60"/>
      <c r="Q251" s="60"/>
      <c r="R251" s="60"/>
      <c r="S251" s="60"/>
      <c r="T251" s="61"/>
      <c r="U251" s="61"/>
      <c r="V251" s="61"/>
      <c r="W251" s="61"/>
      <c r="X251" s="62"/>
      <c r="Y251" s="62"/>
      <c r="Z251" s="66"/>
      <c r="AA251" s="94"/>
      <c r="AB251" s="60"/>
      <c r="AC251" s="60"/>
      <c r="AD251" s="60"/>
      <c r="AE251" s="60"/>
      <c r="AF251" s="61"/>
      <c r="AG251" s="61"/>
      <c r="AH251" s="61"/>
      <c r="AI251" s="61"/>
      <c r="AJ251" s="62"/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62"/>
      <c r="B252" s="66"/>
      <c r="C252" s="92"/>
      <c r="D252" s="60"/>
      <c r="E252" s="60"/>
      <c r="F252" s="60"/>
      <c r="G252" s="60"/>
      <c r="H252" s="62"/>
      <c r="I252" s="62"/>
      <c r="J252" s="62"/>
      <c r="K252" s="61"/>
      <c r="L252" s="62"/>
      <c r="M252" s="62"/>
      <c r="N252" s="66"/>
      <c r="O252" s="65"/>
      <c r="P252" s="67"/>
      <c r="Q252" s="94"/>
      <c r="R252" s="94"/>
      <c r="S252" s="60"/>
      <c r="T252" s="62"/>
      <c r="U252" s="62"/>
      <c r="V252" s="62"/>
      <c r="W252" s="61"/>
      <c r="X252" s="62"/>
      <c r="Y252" s="62"/>
      <c r="Z252" s="66"/>
      <c r="AA252" s="65"/>
      <c r="AB252" s="67"/>
      <c r="AC252" s="94"/>
      <c r="AD252" s="94"/>
      <c r="AE252" s="60"/>
      <c r="AF252" s="62"/>
      <c r="AG252" s="62"/>
      <c r="AH252" s="62"/>
      <c r="AI252" s="61"/>
      <c r="AJ252" s="62"/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62"/>
      <c r="B253" s="66"/>
      <c r="C253" s="92"/>
      <c r="D253" s="60"/>
      <c r="E253" s="60"/>
      <c r="F253" s="60"/>
      <c r="G253" s="60"/>
      <c r="H253" s="62"/>
      <c r="I253" s="62"/>
      <c r="J253" s="62"/>
      <c r="K253" s="61"/>
      <c r="L253" s="62"/>
      <c r="M253" s="62"/>
      <c r="N253" s="66"/>
      <c r="O253" s="94"/>
      <c r="P253" s="68"/>
      <c r="Q253" s="94"/>
      <c r="R253" s="94"/>
      <c r="S253" s="60"/>
      <c r="T253" s="62"/>
      <c r="U253" s="62"/>
      <c r="V253" s="62"/>
      <c r="W253" s="61"/>
      <c r="X253" s="62"/>
      <c r="Y253" s="62"/>
      <c r="Z253" s="66"/>
      <c r="AA253" s="62"/>
      <c r="AB253" s="68"/>
      <c r="AC253" s="94"/>
      <c r="AD253" s="94"/>
      <c r="AE253" s="60"/>
      <c r="AF253" s="62"/>
      <c r="AG253" s="62"/>
      <c r="AH253" s="62"/>
      <c r="AI253" s="61"/>
      <c r="AJ253" s="62"/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62"/>
      <c r="B254" s="66"/>
      <c r="C254" s="94"/>
      <c r="D254" s="60"/>
      <c r="E254" s="60"/>
      <c r="F254" s="60"/>
      <c r="G254" s="60"/>
      <c r="H254" s="62"/>
      <c r="I254" s="62"/>
      <c r="J254" s="61"/>
      <c r="K254" s="61"/>
      <c r="L254" s="62"/>
      <c r="M254" s="62"/>
      <c r="N254" s="66"/>
      <c r="O254" s="94"/>
      <c r="P254" s="69"/>
      <c r="Q254" s="62"/>
      <c r="R254" s="62"/>
      <c r="S254" s="60"/>
      <c r="T254" s="62"/>
      <c r="U254" s="62"/>
      <c r="V254" s="62"/>
      <c r="W254" s="61"/>
      <c r="X254" s="62"/>
      <c r="Y254" s="62"/>
      <c r="Z254" s="66"/>
      <c r="AA254" s="94"/>
      <c r="AB254" s="69"/>
      <c r="AC254" s="62"/>
      <c r="AD254" s="62"/>
      <c r="AE254" s="60"/>
      <c r="AF254" s="62"/>
      <c r="AG254" s="62"/>
      <c r="AH254" s="62"/>
      <c r="AI254" s="61"/>
      <c r="AJ254" s="62"/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62"/>
      <c r="B255" s="66"/>
      <c r="C255" s="94"/>
      <c r="D255" s="60"/>
      <c r="E255" s="60"/>
      <c r="F255" s="60"/>
      <c r="G255" s="60"/>
      <c r="H255" s="62"/>
      <c r="I255" s="62"/>
      <c r="J255" s="62"/>
      <c r="K255" s="61"/>
      <c r="L255" s="62"/>
      <c r="M255" s="62"/>
      <c r="N255" s="66"/>
      <c r="O255" s="94"/>
      <c r="P255" s="69"/>
      <c r="Q255" s="94"/>
      <c r="R255" s="94"/>
      <c r="S255" s="60"/>
      <c r="T255" s="62"/>
      <c r="U255" s="62"/>
      <c r="V255" s="62"/>
      <c r="W255" s="61"/>
      <c r="X255" s="62"/>
      <c r="Y255" s="62"/>
      <c r="Z255" s="66"/>
      <c r="AA255" s="94"/>
      <c r="AB255" s="69"/>
      <c r="AC255" s="94"/>
      <c r="AD255" s="94"/>
      <c r="AE255" s="60"/>
      <c r="AF255" s="62"/>
      <c r="AG255" s="62"/>
      <c r="AH255" s="62"/>
      <c r="AI255" s="61"/>
      <c r="AJ255" s="62"/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62"/>
      <c r="B256" s="66"/>
      <c r="C256" s="94"/>
      <c r="D256" s="60"/>
      <c r="E256" s="60"/>
      <c r="F256" s="60"/>
      <c r="G256" s="60"/>
      <c r="H256" s="62"/>
      <c r="I256" s="62"/>
      <c r="J256" s="62"/>
      <c r="K256" s="61"/>
      <c r="L256" s="62"/>
      <c r="M256" s="62"/>
      <c r="N256" s="66"/>
      <c r="O256" s="94"/>
      <c r="P256" s="69"/>
      <c r="Q256" s="94"/>
      <c r="R256" s="94"/>
      <c r="S256" s="60"/>
      <c r="T256" s="62"/>
      <c r="U256" s="62"/>
      <c r="V256" s="62"/>
      <c r="W256" s="61"/>
      <c r="X256" s="62"/>
      <c r="Y256" s="62"/>
      <c r="Z256" s="66"/>
      <c r="AA256" s="65"/>
      <c r="AB256" s="69"/>
      <c r="AC256" s="94"/>
      <c r="AD256" s="94"/>
      <c r="AE256" s="60"/>
      <c r="AF256" s="62"/>
      <c r="AG256" s="62"/>
      <c r="AH256" s="62"/>
      <c r="AI256" s="61"/>
      <c r="AJ256" s="62"/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62"/>
      <c r="B257" s="66"/>
      <c r="C257" s="65"/>
      <c r="D257" s="60"/>
      <c r="E257" s="60"/>
      <c r="F257" s="60"/>
      <c r="G257" s="60"/>
      <c r="H257" s="62"/>
      <c r="I257" s="62"/>
      <c r="J257" s="62"/>
      <c r="K257" s="61"/>
      <c r="L257" s="62"/>
      <c r="M257" s="62"/>
      <c r="N257" s="66"/>
      <c r="O257" s="62"/>
      <c r="P257" s="69"/>
      <c r="Q257" s="94"/>
      <c r="R257" s="94"/>
      <c r="S257" s="60"/>
      <c r="T257" s="62"/>
      <c r="U257" s="62"/>
      <c r="V257" s="62"/>
      <c r="W257" s="61"/>
      <c r="X257" s="62"/>
      <c r="Y257" s="62"/>
      <c r="Z257" s="66"/>
      <c r="AA257" s="62"/>
      <c r="AB257" s="69"/>
      <c r="AC257" s="94"/>
      <c r="AD257" s="94"/>
      <c r="AE257" s="60"/>
      <c r="AF257" s="62"/>
      <c r="AG257" s="62"/>
      <c r="AH257" s="62"/>
      <c r="AI257" s="61"/>
      <c r="AJ257" s="62"/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62"/>
      <c r="B258" s="66"/>
      <c r="C258" s="94"/>
      <c r="D258" s="60"/>
      <c r="E258" s="60"/>
      <c r="F258" s="60"/>
      <c r="G258" s="60"/>
      <c r="H258" s="62"/>
      <c r="I258" s="62"/>
      <c r="J258" s="62"/>
      <c r="K258" s="61"/>
      <c r="L258" s="62"/>
      <c r="M258" s="62"/>
      <c r="N258" s="66"/>
      <c r="O258" s="94"/>
      <c r="P258" s="69"/>
      <c r="Q258" s="94"/>
      <c r="R258" s="94"/>
      <c r="S258" s="60"/>
      <c r="T258" s="62"/>
      <c r="U258" s="62"/>
      <c r="V258" s="62"/>
      <c r="W258" s="61"/>
      <c r="X258" s="62"/>
      <c r="Y258" s="62"/>
      <c r="Z258" s="66"/>
      <c r="AA258" s="94"/>
      <c r="AB258" s="69"/>
      <c r="AC258" s="94"/>
      <c r="AD258" s="94"/>
      <c r="AE258" s="60"/>
      <c r="AF258" s="62"/>
      <c r="AG258" s="62"/>
      <c r="AH258" s="62"/>
      <c r="AI258" s="61"/>
      <c r="AJ258" s="62"/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62"/>
      <c r="B259" s="66"/>
      <c r="C259" s="94"/>
      <c r="D259" s="60"/>
      <c r="E259" s="60"/>
      <c r="F259" s="60"/>
      <c r="G259" s="60"/>
      <c r="H259" s="62"/>
      <c r="I259" s="62"/>
      <c r="J259" s="62"/>
      <c r="K259" s="61"/>
      <c r="L259" s="62"/>
      <c r="M259" s="62"/>
      <c r="N259" s="66"/>
      <c r="O259" s="94"/>
      <c r="P259" s="69"/>
      <c r="Q259" s="94"/>
      <c r="R259" s="94"/>
      <c r="S259" s="60"/>
      <c r="T259" s="62"/>
      <c r="U259" s="62"/>
      <c r="V259" s="62"/>
      <c r="W259" s="61"/>
      <c r="X259" s="62"/>
      <c r="Y259" s="62"/>
      <c r="Z259" s="66"/>
      <c r="AA259" s="94"/>
      <c r="AB259" s="69"/>
      <c r="AC259" s="94"/>
      <c r="AD259" s="94"/>
      <c r="AE259" s="60"/>
      <c r="AF259" s="62"/>
      <c r="AG259" s="62"/>
      <c r="AH259" s="62"/>
      <c r="AI259" s="61"/>
      <c r="AJ259" s="62"/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62"/>
      <c r="B260" s="66"/>
      <c r="C260" s="94"/>
      <c r="D260" s="60"/>
      <c r="E260" s="60"/>
      <c r="F260" s="60"/>
      <c r="G260" s="60"/>
      <c r="H260" s="62"/>
      <c r="I260" s="62"/>
      <c r="J260" s="62"/>
      <c r="K260" s="61"/>
      <c r="L260" s="62"/>
      <c r="M260" s="62"/>
      <c r="N260" s="66"/>
      <c r="O260" s="62"/>
      <c r="P260" s="69"/>
      <c r="Q260" s="94"/>
      <c r="R260" s="94"/>
      <c r="S260" s="60"/>
      <c r="T260" s="62"/>
      <c r="U260" s="62"/>
      <c r="V260" s="62"/>
      <c r="W260" s="61"/>
      <c r="X260" s="62"/>
      <c r="Y260" s="62"/>
      <c r="Z260" s="66"/>
      <c r="AA260" s="94"/>
      <c r="AB260" s="69"/>
      <c r="AC260" s="94"/>
      <c r="AD260" s="94"/>
      <c r="AE260" s="60"/>
      <c r="AF260" s="62"/>
      <c r="AG260" s="62"/>
      <c r="AH260" s="62"/>
      <c r="AI260" s="61"/>
      <c r="AJ260" s="62"/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62"/>
      <c r="B261" s="66"/>
      <c r="C261" s="94"/>
      <c r="D261" s="60"/>
      <c r="E261" s="60"/>
      <c r="F261" s="60"/>
      <c r="G261" s="60"/>
      <c r="H261" s="62"/>
      <c r="I261" s="62"/>
      <c r="J261" s="62"/>
      <c r="K261" s="61"/>
      <c r="L261" s="62"/>
      <c r="M261" s="62"/>
      <c r="N261" s="66"/>
      <c r="O261" s="62"/>
      <c r="P261" s="69"/>
      <c r="Q261" s="94"/>
      <c r="R261" s="94"/>
      <c r="S261" s="60"/>
      <c r="T261" s="62"/>
      <c r="U261" s="62"/>
      <c r="V261" s="62"/>
      <c r="W261" s="61"/>
      <c r="X261" s="62"/>
      <c r="Y261" s="62"/>
      <c r="Z261" s="66"/>
      <c r="AA261" s="62"/>
      <c r="AB261" s="69"/>
      <c r="AC261" s="94"/>
      <c r="AD261" s="94"/>
      <c r="AE261" s="60"/>
      <c r="AF261" s="62"/>
      <c r="AG261" s="62"/>
      <c r="AH261" s="62"/>
      <c r="AI261" s="61"/>
      <c r="AJ261" s="62"/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62"/>
      <c r="B262" s="66"/>
      <c r="C262" s="94"/>
      <c r="D262" s="60"/>
      <c r="E262" s="60"/>
      <c r="F262" s="60"/>
      <c r="G262" s="60"/>
      <c r="H262" s="62"/>
      <c r="I262" s="62"/>
      <c r="J262" s="62"/>
      <c r="K262" s="61"/>
      <c r="L262" s="62"/>
      <c r="M262" s="62"/>
      <c r="N262" s="66"/>
      <c r="O262" s="94"/>
      <c r="P262" s="69"/>
      <c r="Q262" s="94"/>
      <c r="R262" s="94"/>
      <c r="S262" s="60"/>
      <c r="T262" s="62"/>
      <c r="U262" s="62"/>
      <c r="V262" s="62"/>
      <c r="W262" s="61"/>
      <c r="X262" s="62"/>
      <c r="Y262" s="62"/>
      <c r="Z262" s="66"/>
      <c r="AA262" s="62"/>
      <c r="AB262" s="69"/>
      <c r="AC262" s="94"/>
      <c r="AD262" s="94"/>
      <c r="AE262" s="60"/>
      <c r="AF262" s="62"/>
      <c r="AG262" s="62"/>
      <c r="AH262" s="62"/>
      <c r="AI262" s="61"/>
      <c r="AJ262" s="62"/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62"/>
      <c r="B263" s="66"/>
      <c r="C263" s="94"/>
      <c r="D263" s="60"/>
      <c r="E263" s="60"/>
      <c r="F263" s="60"/>
      <c r="G263" s="60"/>
      <c r="H263" s="62"/>
      <c r="I263" s="62"/>
      <c r="J263" s="62"/>
      <c r="K263" s="61"/>
      <c r="L263" s="62"/>
      <c r="M263" s="62"/>
      <c r="N263" s="66"/>
      <c r="O263" s="62"/>
      <c r="P263" s="69"/>
      <c r="Q263" s="94"/>
      <c r="R263" s="94"/>
      <c r="S263" s="60"/>
      <c r="T263" s="62"/>
      <c r="U263" s="62"/>
      <c r="V263" s="62"/>
      <c r="W263" s="61"/>
      <c r="X263" s="62"/>
      <c r="Y263" s="62"/>
      <c r="Z263" s="66"/>
      <c r="AA263" s="94"/>
      <c r="AB263" s="69"/>
      <c r="AC263" s="94"/>
      <c r="AD263" s="94"/>
      <c r="AE263" s="60"/>
      <c r="AF263" s="62"/>
      <c r="AG263" s="62"/>
      <c r="AH263" s="62"/>
      <c r="AI263" s="61"/>
      <c r="AJ263" s="62"/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62"/>
      <c r="B264" s="66"/>
      <c r="C264" s="94"/>
      <c r="D264" s="60"/>
      <c r="E264" s="60"/>
      <c r="F264" s="60"/>
      <c r="G264" s="60"/>
      <c r="H264" s="62"/>
      <c r="I264" s="62"/>
      <c r="J264" s="62"/>
      <c r="K264" s="61"/>
      <c r="L264" s="62"/>
      <c r="M264" s="62"/>
      <c r="N264" s="66"/>
      <c r="O264" s="94"/>
      <c r="P264" s="69"/>
      <c r="Q264" s="94"/>
      <c r="R264" s="94"/>
      <c r="S264" s="60"/>
      <c r="T264" s="62"/>
      <c r="U264" s="62"/>
      <c r="V264" s="62"/>
      <c r="W264" s="61"/>
      <c r="X264" s="62"/>
      <c r="Y264" s="62"/>
      <c r="Z264" s="66"/>
      <c r="AA264" s="94"/>
      <c r="AB264" s="69"/>
      <c r="AC264" s="94"/>
      <c r="AD264" s="94"/>
      <c r="AE264" s="60"/>
      <c r="AF264" s="62"/>
      <c r="AG264" s="62"/>
      <c r="AH264" s="62"/>
      <c r="AI264" s="61"/>
      <c r="AJ264" s="62"/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62"/>
      <c r="B265" s="66"/>
      <c r="C265" s="94"/>
      <c r="D265" s="60"/>
      <c r="E265" s="60"/>
      <c r="F265" s="60"/>
      <c r="G265" s="60"/>
      <c r="H265" s="62"/>
      <c r="I265" s="62"/>
      <c r="J265" s="62"/>
      <c r="K265" s="61"/>
      <c r="L265" s="62"/>
      <c r="M265" s="62"/>
      <c r="N265" s="66"/>
      <c r="O265" s="94"/>
      <c r="P265" s="69"/>
      <c r="Q265" s="94"/>
      <c r="R265" s="94"/>
      <c r="S265" s="60"/>
      <c r="T265" s="62"/>
      <c r="U265" s="62"/>
      <c r="V265" s="62"/>
      <c r="W265" s="61"/>
      <c r="X265" s="62"/>
      <c r="Y265" s="62"/>
      <c r="Z265" s="66"/>
      <c r="AA265" s="62"/>
      <c r="AB265" s="69"/>
      <c r="AC265" s="94"/>
      <c r="AD265" s="94"/>
      <c r="AE265" s="60"/>
      <c r="AF265" s="62"/>
      <c r="AG265" s="62"/>
      <c r="AH265" s="62"/>
      <c r="AI265" s="61"/>
      <c r="AJ265" s="62"/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62"/>
      <c r="B266" s="66"/>
      <c r="C266" s="94"/>
      <c r="D266" s="60"/>
      <c r="E266" s="60"/>
      <c r="F266" s="60"/>
      <c r="G266" s="60"/>
      <c r="H266" s="62"/>
      <c r="I266" s="62"/>
      <c r="J266" s="62"/>
      <c r="K266" s="61"/>
      <c r="L266" s="62"/>
      <c r="M266" s="62"/>
      <c r="N266" s="66"/>
      <c r="O266" s="94"/>
      <c r="P266" s="69"/>
      <c r="Q266" s="94"/>
      <c r="R266" s="94"/>
      <c r="S266" s="60"/>
      <c r="T266" s="62"/>
      <c r="U266" s="62"/>
      <c r="V266" s="62"/>
      <c r="W266" s="61"/>
      <c r="X266" s="62"/>
      <c r="Y266" s="62"/>
      <c r="Z266" s="66"/>
      <c r="AA266" s="94"/>
      <c r="AB266" s="69"/>
      <c r="AC266" s="94"/>
      <c r="AD266" s="94"/>
      <c r="AE266" s="60"/>
      <c r="AF266" s="62"/>
      <c r="AG266" s="62"/>
      <c r="AH266" s="62"/>
      <c r="AI266" s="61"/>
      <c r="AJ266" s="62"/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62"/>
      <c r="B267" s="66"/>
      <c r="C267" s="94"/>
      <c r="D267" s="60"/>
      <c r="E267" s="60"/>
      <c r="F267" s="60"/>
      <c r="G267" s="60"/>
      <c r="H267" s="62"/>
      <c r="I267" s="62"/>
      <c r="J267" s="62"/>
      <c r="K267" s="61"/>
      <c r="L267" s="62"/>
      <c r="M267" s="62"/>
      <c r="N267" s="66"/>
      <c r="O267" s="94"/>
      <c r="P267" s="69"/>
      <c r="Q267" s="94"/>
      <c r="R267" s="94"/>
      <c r="S267" s="60"/>
      <c r="T267" s="62"/>
      <c r="U267" s="62"/>
      <c r="V267" s="62"/>
      <c r="W267" s="61"/>
      <c r="X267" s="62"/>
      <c r="Y267" s="62"/>
      <c r="Z267" s="66"/>
      <c r="AA267" s="94"/>
      <c r="AB267" s="69"/>
      <c r="AC267" s="94"/>
      <c r="AD267" s="94"/>
      <c r="AE267" s="60"/>
      <c r="AF267" s="62"/>
      <c r="AG267" s="62"/>
      <c r="AH267" s="62"/>
      <c r="AI267" s="61"/>
      <c r="AJ267" s="62"/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62"/>
      <c r="B268" s="66"/>
      <c r="C268" s="94"/>
      <c r="D268" s="60"/>
      <c r="E268" s="60"/>
      <c r="F268" s="60"/>
      <c r="G268" s="60"/>
      <c r="H268" s="62"/>
      <c r="I268" s="62"/>
      <c r="J268" s="62"/>
      <c r="K268" s="61"/>
      <c r="L268" s="62"/>
      <c r="M268" s="62"/>
      <c r="N268" s="66"/>
      <c r="O268" s="62"/>
      <c r="P268" s="69"/>
      <c r="Q268" s="94"/>
      <c r="R268" s="94"/>
      <c r="S268" s="60"/>
      <c r="T268" s="62"/>
      <c r="U268" s="62"/>
      <c r="V268" s="62"/>
      <c r="W268" s="61"/>
      <c r="X268" s="62"/>
      <c r="Y268" s="62"/>
      <c r="Z268" s="66"/>
      <c r="AA268" s="94"/>
      <c r="AB268" s="69"/>
      <c r="AC268" s="94"/>
      <c r="AD268" s="94"/>
      <c r="AE268" s="60"/>
      <c r="AF268" s="62"/>
      <c r="AG268" s="62"/>
      <c r="AH268" s="62"/>
      <c r="AI268" s="61"/>
      <c r="AJ268" s="62"/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62"/>
      <c r="B269" s="66"/>
      <c r="C269" s="94"/>
      <c r="D269" s="60"/>
      <c r="E269" s="60"/>
      <c r="F269" s="60"/>
      <c r="G269" s="60"/>
      <c r="H269" s="62"/>
      <c r="I269" s="62"/>
      <c r="J269" s="62"/>
      <c r="K269" s="61"/>
      <c r="L269" s="62"/>
      <c r="M269" s="62"/>
      <c r="N269" s="66"/>
      <c r="O269" s="94"/>
      <c r="P269" s="69"/>
      <c r="Q269" s="94"/>
      <c r="R269" s="94"/>
      <c r="S269" s="60"/>
      <c r="T269" s="62"/>
      <c r="U269" s="62"/>
      <c r="V269" s="62"/>
      <c r="W269" s="61"/>
      <c r="X269" s="62"/>
      <c r="Y269" s="62"/>
      <c r="Z269" s="66"/>
      <c r="AA269" s="94"/>
      <c r="AB269" s="69"/>
      <c r="AC269" s="94"/>
      <c r="AD269" s="94"/>
      <c r="AE269" s="60"/>
      <c r="AF269" s="62"/>
      <c r="AG269" s="62"/>
      <c r="AH269" s="62"/>
      <c r="AI269" s="61"/>
      <c r="AJ269" s="62"/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62"/>
      <c r="B270" s="66"/>
      <c r="C270" s="94"/>
      <c r="D270" s="60"/>
      <c r="E270" s="60"/>
      <c r="F270" s="60"/>
      <c r="G270" s="60"/>
      <c r="H270" s="62"/>
      <c r="I270" s="62"/>
      <c r="J270" s="62"/>
      <c r="K270" s="61"/>
      <c r="L270" s="62"/>
      <c r="M270" s="62"/>
      <c r="N270" s="66"/>
      <c r="O270" s="94"/>
      <c r="P270" s="69"/>
      <c r="Q270" s="94"/>
      <c r="R270" s="94"/>
      <c r="S270" s="60"/>
      <c r="T270" s="62"/>
      <c r="U270" s="62"/>
      <c r="V270" s="62"/>
      <c r="W270" s="61"/>
      <c r="X270" s="62"/>
      <c r="Y270" s="62"/>
      <c r="Z270" s="66"/>
      <c r="AA270" s="94"/>
      <c r="AB270" s="69"/>
      <c r="AC270" s="94"/>
      <c r="AD270" s="94"/>
      <c r="AE270" s="60"/>
      <c r="AF270" s="62"/>
      <c r="AG270" s="62"/>
      <c r="AH270" s="62"/>
      <c r="AI270" s="61"/>
      <c r="AJ270" s="62"/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62"/>
      <c r="B271" s="66"/>
      <c r="C271" s="94"/>
      <c r="D271" s="60"/>
      <c r="E271" s="60"/>
      <c r="F271" s="60"/>
      <c r="G271" s="60"/>
      <c r="H271" s="62"/>
      <c r="I271" s="62"/>
      <c r="J271" s="62"/>
      <c r="K271" s="61"/>
      <c r="L271" s="62"/>
      <c r="M271" s="62"/>
      <c r="N271" s="66"/>
      <c r="O271" s="62"/>
      <c r="P271" s="69"/>
      <c r="Q271" s="94"/>
      <c r="R271" s="94"/>
      <c r="S271" s="60"/>
      <c r="T271" s="62"/>
      <c r="U271" s="62"/>
      <c r="V271" s="62"/>
      <c r="W271" s="61"/>
      <c r="X271" s="62"/>
      <c r="Y271" s="62"/>
      <c r="Z271" s="66"/>
      <c r="AA271" s="62"/>
      <c r="AB271" s="69"/>
      <c r="AC271" s="94"/>
      <c r="AD271" s="94"/>
      <c r="AE271" s="60"/>
      <c r="AF271" s="62"/>
      <c r="AG271" s="62"/>
      <c r="AH271" s="62"/>
      <c r="AI271" s="61"/>
      <c r="AJ271" s="62"/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62"/>
      <c r="B272" s="66"/>
      <c r="C272" s="94"/>
      <c r="D272" s="60"/>
      <c r="E272" s="60"/>
      <c r="F272" s="60"/>
      <c r="G272" s="60"/>
      <c r="H272" s="62"/>
      <c r="I272" s="62"/>
      <c r="J272" s="62"/>
      <c r="K272" s="61"/>
      <c r="L272" s="62"/>
      <c r="M272" s="62"/>
      <c r="N272" s="66"/>
      <c r="O272" s="94"/>
      <c r="P272" s="69"/>
      <c r="Q272" s="94"/>
      <c r="R272" s="94"/>
      <c r="S272" s="60"/>
      <c r="T272" s="62"/>
      <c r="U272" s="62"/>
      <c r="V272" s="62"/>
      <c r="W272" s="61"/>
      <c r="X272" s="62"/>
      <c r="Y272" s="62"/>
      <c r="Z272" s="66"/>
      <c r="AA272" s="94"/>
      <c r="AB272" s="69"/>
      <c r="AC272" s="94"/>
      <c r="AD272" s="94"/>
      <c r="AE272" s="60"/>
      <c r="AF272" s="62"/>
      <c r="AG272" s="62"/>
      <c r="AH272" s="62"/>
      <c r="AI272" s="61"/>
      <c r="AJ272" s="62"/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62"/>
      <c r="B273" s="66"/>
      <c r="C273" s="66"/>
      <c r="D273" s="60"/>
      <c r="E273" s="60"/>
      <c r="F273" s="60"/>
      <c r="G273" s="60"/>
      <c r="H273" s="62"/>
      <c r="I273" s="62"/>
      <c r="J273" s="62"/>
      <c r="K273" s="61"/>
      <c r="L273" s="62"/>
      <c r="M273" s="62"/>
      <c r="N273" s="94"/>
      <c r="O273" s="94"/>
      <c r="P273" s="94"/>
      <c r="Q273" s="94"/>
      <c r="R273" s="94"/>
      <c r="S273" s="94"/>
      <c r="T273" s="62"/>
      <c r="U273" s="62"/>
      <c r="V273" s="62"/>
      <c r="W273" s="61"/>
      <c r="X273" s="62"/>
      <c r="Y273" s="62"/>
      <c r="Z273" s="94"/>
      <c r="AA273" s="94"/>
      <c r="AB273" s="94"/>
      <c r="AC273" s="94"/>
      <c r="AD273" s="94"/>
      <c r="AE273" s="94"/>
      <c r="AF273" s="62"/>
      <c r="AG273" s="62"/>
      <c r="AH273" s="62"/>
      <c r="AI273" s="61"/>
      <c r="AJ273" s="62"/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A274" s="62"/>
      <c r="B274" s="94"/>
      <c r="C274" s="94"/>
      <c r="D274" s="94"/>
      <c r="E274" s="94"/>
      <c r="F274" s="94"/>
      <c r="G274" s="94"/>
      <c r="H274" s="62"/>
      <c r="I274" s="62"/>
      <c r="J274" s="62"/>
      <c r="K274" s="62"/>
      <c r="L274" s="62"/>
      <c r="M274" s="62"/>
      <c r="N274" s="94"/>
      <c r="O274" s="94"/>
      <c r="P274" s="94"/>
      <c r="Q274" s="94"/>
      <c r="R274" s="94"/>
      <c r="S274" s="94"/>
      <c r="T274" s="62"/>
      <c r="U274" s="62"/>
      <c r="V274" s="62"/>
      <c r="W274" s="62"/>
      <c r="X274" s="62"/>
      <c r="Y274" s="62"/>
      <c r="Z274" s="94"/>
      <c r="AA274" s="94"/>
      <c r="AB274" s="94"/>
      <c r="AC274" s="94"/>
      <c r="AD274" s="94"/>
      <c r="AE274" s="94"/>
      <c r="AF274" s="62"/>
      <c r="AG274" s="62"/>
      <c r="AH274" s="62"/>
      <c r="AI274" s="62"/>
      <c r="AJ274" s="62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A275" s="62"/>
      <c r="B275" s="94"/>
      <c r="C275" s="94"/>
      <c r="D275" s="70"/>
      <c r="E275" s="70"/>
      <c r="F275" s="70"/>
      <c r="G275" s="70"/>
      <c r="H275" s="63"/>
      <c r="I275" s="70"/>
      <c r="J275" s="70"/>
      <c r="K275" s="70"/>
      <c r="L275" s="62"/>
      <c r="M275" s="62"/>
      <c r="N275" s="94"/>
      <c r="O275" s="94"/>
      <c r="P275" s="70"/>
      <c r="Q275" s="70"/>
      <c r="R275" s="70"/>
      <c r="S275" s="70"/>
      <c r="T275" s="63"/>
      <c r="U275" s="71"/>
      <c r="V275" s="71"/>
      <c r="W275" s="71"/>
      <c r="X275" s="62"/>
      <c r="Y275" s="62"/>
      <c r="Z275" s="94"/>
      <c r="AA275" s="94"/>
      <c r="AB275" s="70"/>
      <c r="AC275" s="70"/>
      <c r="AD275" s="70"/>
      <c r="AE275" s="70"/>
      <c r="AF275" s="63"/>
      <c r="AG275" s="71"/>
      <c r="AH275" s="71"/>
      <c r="AI275" s="71"/>
      <c r="AJ275" s="62"/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62"/>
      <c r="M276" s="62"/>
      <c r="N276" s="62"/>
      <c r="O276" s="62"/>
      <c r="P276" s="62"/>
      <c r="Q276" s="62"/>
      <c r="R276" s="62"/>
      <c r="S276" s="62"/>
      <c r="T276" s="62"/>
      <c r="U276" s="62"/>
      <c r="V276" s="62"/>
      <c r="W276" s="62"/>
      <c r="X276" s="62"/>
      <c r="Y276" s="62"/>
      <c r="Z276" s="62"/>
      <c r="AA276" s="62"/>
      <c r="AB276" s="62"/>
      <c r="AC276" s="62"/>
      <c r="AD276" s="62"/>
      <c r="AE276" s="62"/>
      <c r="AF276" s="62"/>
      <c r="AG276" s="62"/>
      <c r="AH276" s="62"/>
      <c r="AI276" s="62"/>
      <c r="AJ276" s="62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s="62"/>
      <c r="B277" s="94"/>
      <c r="C277" s="94"/>
      <c r="D277" s="94"/>
      <c r="E277" s="94"/>
      <c r="F277" s="94"/>
      <c r="G277" s="94"/>
      <c r="H277" s="62"/>
      <c r="I277" s="62"/>
      <c r="J277" s="62"/>
      <c r="K277" s="62"/>
      <c r="L277" s="62"/>
      <c r="M277" s="62"/>
      <c r="N277" s="94"/>
      <c r="O277" s="94"/>
      <c r="P277" s="94"/>
      <c r="Q277" s="94"/>
      <c r="R277" s="94"/>
      <c r="S277" s="94"/>
      <c r="T277" s="62"/>
      <c r="U277" s="62"/>
      <c r="V277" s="62"/>
      <c r="W277" s="62"/>
      <c r="X277" s="62"/>
      <c r="Y277" s="62"/>
      <c r="Z277" s="94"/>
      <c r="AA277" s="94"/>
      <c r="AB277" s="94"/>
      <c r="AC277" s="94"/>
      <c r="AD277" s="94"/>
      <c r="AE277" s="94"/>
      <c r="AF277" s="62"/>
      <c r="AG277" s="62"/>
      <c r="AH277" s="62"/>
      <c r="AI277" s="62"/>
      <c r="AJ277" s="62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s="62"/>
      <c r="B278" s="94"/>
      <c r="C278" s="94"/>
      <c r="D278" s="94"/>
      <c r="E278" s="94"/>
      <c r="F278" s="94"/>
      <c r="G278" s="94"/>
      <c r="H278" s="62"/>
      <c r="I278" s="62"/>
      <c r="J278" s="62"/>
      <c r="K278" s="62"/>
      <c r="L278" s="62"/>
      <c r="M278" s="62"/>
      <c r="N278" s="94"/>
      <c r="O278" s="94"/>
      <c r="P278" s="94"/>
      <c r="Q278" s="94"/>
      <c r="R278" s="94"/>
      <c r="S278" s="94"/>
      <c r="T278" s="62"/>
      <c r="U278" s="62"/>
      <c r="V278" s="62"/>
      <c r="W278" s="62"/>
      <c r="X278" s="62"/>
      <c r="Y278" s="62"/>
      <c r="Z278" s="94"/>
      <c r="AA278" s="94"/>
      <c r="AB278" s="94"/>
      <c r="AC278" s="94"/>
      <c r="AD278" s="94"/>
      <c r="AE278" s="94"/>
      <c r="AF278" s="62"/>
      <c r="AG278" s="62"/>
      <c r="AH278" s="62"/>
      <c r="AI278" s="62"/>
      <c r="AJ278" s="62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A279" s="62"/>
      <c r="B279" s="94"/>
      <c r="C279" s="94"/>
      <c r="D279" s="94"/>
      <c r="E279" s="94"/>
      <c r="F279" s="94"/>
      <c r="G279" s="94"/>
      <c r="H279" s="62"/>
      <c r="I279" s="62"/>
      <c r="J279" s="62"/>
      <c r="K279" s="62"/>
      <c r="L279" s="62"/>
      <c r="M279" s="62"/>
      <c r="N279" s="94"/>
      <c r="O279" s="94"/>
      <c r="P279" s="94"/>
      <c r="Q279" s="94"/>
      <c r="R279" s="94"/>
      <c r="S279" s="94"/>
      <c r="T279" s="62"/>
      <c r="U279" s="62"/>
      <c r="V279" s="62"/>
      <c r="W279" s="62"/>
      <c r="X279" s="62"/>
      <c r="Y279" s="62"/>
      <c r="Z279" s="94"/>
      <c r="AA279" s="94"/>
      <c r="AB279" s="94"/>
      <c r="AC279" s="94"/>
      <c r="AD279" s="94"/>
      <c r="AE279" s="94"/>
      <c r="AF279" s="62"/>
      <c r="AG279" s="62"/>
      <c r="AH279" s="62"/>
      <c r="AI279" s="62"/>
      <c r="AJ279" s="62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63"/>
      <c r="B280" s="94"/>
      <c r="C280" s="94"/>
      <c r="D280" s="94"/>
      <c r="E280" s="94"/>
      <c r="F280" s="94"/>
      <c r="G280" s="94"/>
      <c r="H280" s="62"/>
      <c r="I280" s="62"/>
      <c r="J280" s="62"/>
      <c r="K280" s="62"/>
      <c r="L280" s="62"/>
      <c r="M280" s="63"/>
      <c r="N280" s="94"/>
      <c r="O280" s="94"/>
      <c r="P280" s="94"/>
      <c r="Q280" s="94"/>
      <c r="R280" s="94"/>
      <c r="S280" s="94"/>
      <c r="T280" s="62"/>
      <c r="U280" s="62"/>
      <c r="V280" s="62"/>
      <c r="W280" s="62"/>
      <c r="X280" s="62"/>
      <c r="Y280" s="63"/>
      <c r="Z280" s="94"/>
      <c r="AA280" s="94"/>
      <c r="AB280" s="94"/>
      <c r="AC280" s="94"/>
      <c r="AD280" s="94"/>
      <c r="AE280" s="94"/>
      <c r="AF280" s="62"/>
      <c r="AG280" s="62"/>
      <c r="AH280" s="62"/>
      <c r="AI280" s="62"/>
      <c r="AJ280" s="62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A281" s="62"/>
      <c r="B281" s="94"/>
      <c r="C281" s="94"/>
      <c r="D281" s="94"/>
      <c r="E281" s="94"/>
      <c r="F281" s="94"/>
      <c r="G281" s="94"/>
      <c r="H281" s="62"/>
      <c r="I281" s="62"/>
      <c r="J281" s="62"/>
      <c r="K281" s="62"/>
      <c r="L281" s="62"/>
      <c r="M281" s="62"/>
      <c r="N281" s="94"/>
      <c r="O281" s="94"/>
      <c r="P281" s="94"/>
      <c r="Q281" s="94"/>
      <c r="R281" s="94"/>
      <c r="S281" s="94"/>
      <c r="T281" s="62"/>
      <c r="U281" s="62"/>
      <c r="V281" s="62"/>
      <c r="W281" s="62"/>
      <c r="X281" s="62"/>
      <c r="Y281" s="62"/>
      <c r="Z281" s="94"/>
      <c r="AA281" s="94"/>
      <c r="AB281" s="94"/>
      <c r="AC281" s="94"/>
      <c r="AD281" s="94"/>
      <c r="AE281" s="94"/>
      <c r="AF281" s="62"/>
      <c r="AG281" s="62"/>
      <c r="AH281" s="62"/>
      <c r="AI281" s="62"/>
      <c r="AJ281" s="62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s="62"/>
      <c r="B282" s="94"/>
      <c r="C282" s="94"/>
      <c r="D282" s="94"/>
      <c r="E282" s="94"/>
      <c r="F282" s="94"/>
      <c r="G282" s="94"/>
      <c r="H282" s="62"/>
      <c r="I282" s="94"/>
      <c r="J282" s="74"/>
      <c r="K282" s="62"/>
      <c r="L282" s="62"/>
      <c r="M282" s="62"/>
      <c r="N282" s="94"/>
      <c r="O282" s="94"/>
      <c r="P282" s="94"/>
      <c r="Q282" s="94"/>
      <c r="R282" s="94"/>
      <c r="S282" s="94"/>
      <c r="T282" s="62"/>
      <c r="U282" s="94"/>
      <c r="V282" s="74"/>
      <c r="W282" s="62"/>
      <c r="X282" s="62"/>
      <c r="Y282" s="62"/>
      <c r="Z282" s="94"/>
      <c r="AA282" s="94"/>
      <c r="AB282" s="94"/>
      <c r="AC282" s="94"/>
      <c r="AD282" s="94"/>
      <c r="AE282" s="94"/>
      <c r="AF282" s="62"/>
      <c r="AG282" s="94"/>
      <c r="AH282" s="94"/>
      <c r="AI282" s="62"/>
      <c r="AJ282" s="62"/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64"/>
      <c r="B283" s="94"/>
      <c r="C283" s="94"/>
      <c r="D283" s="94"/>
      <c r="E283" s="94"/>
      <c r="F283" s="94"/>
      <c r="G283" s="94"/>
      <c r="H283" s="62"/>
      <c r="I283" s="65"/>
      <c r="J283" s="65"/>
      <c r="K283" s="62"/>
      <c r="L283" s="62"/>
      <c r="M283" s="64"/>
      <c r="N283" s="94"/>
      <c r="O283" s="94"/>
      <c r="P283" s="94"/>
      <c r="Q283" s="94"/>
      <c r="R283" s="94"/>
      <c r="S283" s="94"/>
      <c r="T283" s="62"/>
      <c r="U283" s="65"/>
      <c r="V283" s="65"/>
      <c r="W283" s="62"/>
      <c r="X283" s="62"/>
      <c r="Y283" s="64"/>
      <c r="Z283" s="94"/>
      <c r="AA283" s="94"/>
      <c r="AB283" s="94"/>
      <c r="AC283" s="94"/>
      <c r="AD283" s="94"/>
      <c r="AE283" s="94"/>
      <c r="AF283" s="62"/>
      <c r="AG283" s="65"/>
      <c r="AH283" s="65"/>
      <c r="AI283" s="62"/>
      <c r="AJ283" s="62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A284" s="62"/>
      <c r="B284" s="94"/>
      <c r="C284" s="94"/>
      <c r="D284" s="94"/>
      <c r="E284" s="94"/>
      <c r="F284" s="94"/>
      <c r="G284" s="94"/>
      <c r="H284" s="62"/>
      <c r="I284" s="62"/>
      <c r="J284" s="62"/>
      <c r="K284" s="62"/>
      <c r="L284" s="62"/>
      <c r="M284" s="62"/>
      <c r="N284" s="94"/>
      <c r="O284" s="94"/>
      <c r="P284" s="94"/>
      <c r="Q284" s="94"/>
      <c r="R284" s="94"/>
      <c r="S284" s="94"/>
      <c r="T284" s="62"/>
      <c r="U284" s="62"/>
      <c r="V284" s="62"/>
      <c r="W284" s="62"/>
      <c r="X284" s="62"/>
      <c r="Y284" s="62"/>
      <c r="Z284" s="94"/>
      <c r="AA284" s="94"/>
      <c r="AB284" s="94"/>
      <c r="AC284" s="94"/>
      <c r="AD284" s="94"/>
      <c r="AE284" s="94"/>
      <c r="AF284" s="62"/>
      <c r="AG284" s="62"/>
      <c r="AH284" s="62"/>
      <c r="AI284" s="62"/>
      <c r="AJ284" s="62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A285" s="62"/>
      <c r="B285" s="65"/>
      <c r="C285" s="94"/>
      <c r="D285" s="104"/>
      <c r="E285" s="104"/>
      <c r="F285" s="94"/>
      <c r="G285" s="94"/>
      <c r="H285" s="62"/>
      <c r="I285" s="104"/>
      <c r="J285" s="104"/>
      <c r="K285" s="103"/>
      <c r="L285" s="62"/>
      <c r="M285" s="62"/>
      <c r="N285" s="65"/>
      <c r="O285" s="94"/>
      <c r="P285" s="104"/>
      <c r="Q285" s="104"/>
      <c r="R285" s="94"/>
      <c r="S285" s="94"/>
      <c r="T285" s="62"/>
      <c r="U285" s="104"/>
      <c r="V285" s="104"/>
      <c r="W285" s="103"/>
      <c r="X285" s="62"/>
      <c r="Y285" s="62"/>
      <c r="Z285" s="65"/>
      <c r="AA285" s="94"/>
      <c r="AB285" s="104"/>
      <c r="AC285" s="104"/>
      <c r="AD285" s="94"/>
      <c r="AE285" s="94"/>
      <c r="AF285" s="62"/>
      <c r="AG285" s="104"/>
      <c r="AH285" s="104"/>
      <c r="AI285" s="103"/>
      <c r="AJ285" s="62"/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x14ac:dyDescent="0.25">
      <c r="A286" s="62"/>
      <c r="B286" s="94"/>
      <c r="C286" s="94"/>
      <c r="D286" s="81"/>
      <c r="E286" s="82"/>
      <c r="F286" s="83"/>
      <c r="G286" s="83"/>
      <c r="H286" s="62"/>
      <c r="I286" s="93"/>
      <c r="J286" s="93"/>
      <c r="K286" s="103"/>
      <c r="L286" s="62"/>
      <c r="M286" s="62"/>
      <c r="N286" s="94"/>
      <c r="O286" s="94"/>
      <c r="P286" s="81"/>
      <c r="Q286" s="83"/>
      <c r="R286" s="83"/>
      <c r="S286" s="83"/>
      <c r="T286" s="62"/>
      <c r="U286" s="93"/>
      <c r="V286" s="93"/>
      <c r="W286" s="103"/>
      <c r="X286" s="62"/>
      <c r="Y286" s="62"/>
      <c r="Z286" s="94"/>
      <c r="AA286" s="94"/>
      <c r="AB286" s="81"/>
      <c r="AC286" s="83"/>
      <c r="AD286" s="83"/>
      <c r="AE286" s="83"/>
      <c r="AF286" s="62"/>
      <c r="AG286" s="93"/>
      <c r="AH286" s="93"/>
      <c r="AI286" s="103"/>
      <c r="AJ286" s="62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62"/>
      <c r="B287" s="66"/>
      <c r="C287" s="92"/>
      <c r="D287" s="60"/>
      <c r="E287" s="60"/>
      <c r="F287" s="60"/>
      <c r="G287" s="60"/>
      <c r="H287" s="61"/>
      <c r="I287" s="61"/>
      <c r="J287" s="61"/>
      <c r="K287" s="61"/>
      <c r="L287" s="62"/>
      <c r="M287" s="62"/>
      <c r="N287" s="66"/>
      <c r="O287" s="94"/>
      <c r="P287" s="60"/>
      <c r="Q287" s="60"/>
      <c r="R287" s="60"/>
      <c r="S287" s="60"/>
      <c r="T287" s="61"/>
      <c r="U287" s="61"/>
      <c r="V287" s="61"/>
      <c r="W287" s="61"/>
      <c r="X287" s="62"/>
      <c r="Y287" s="62"/>
      <c r="Z287" s="66"/>
      <c r="AA287" s="94"/>
      <c r="AB287" s="60"/>
      <c r="AC287" s="60"/>
      <c r="AD287" s="60"/>
      <c r="AE287" s="60"/>
      <c r="AF287" s="61"/>
      <c r="AG287" s="61"/>
      <c r="AH287" s="61"/>
      <c r="AI287" s="61"/>
      <c r="AJ287" s="62"/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62"/>
      <c r="B288" s="66"/>
      <c r="C288" s="92"/>
      <c r="D288" s="60"/>
      <c r="E288" s="60"/>
      <c r="F288" s="60"/>
      <c r="G288" s="60"/>
      <c r="H288" s="61"/>
      <c r="I288" s="61"/>
      <c r="J288" s="61"/>
      <c r="K288" s="61"/>
      <c r="L288" s="62"/>
      <c r="M288" s="62"/>
      <c r="N288" s="66"/>
      <c r="O288" s="94"/>
      <c r="P288" s="60"/>
      <c r="Q288" s="60"/>
      <c r="R288" s="60"/>
      <c r="S288" s="60"/>
      <c r="T288" s="61"/>
      <c r="U288" s="61"/>
      <c r="V288" s="61"/>
      <c r="W288" s="61"/>
      <c r="X288" s="62"/>
      <c r="Y288" s="62"/>
      <c r="Z288" s="66"/>
      <c r="AA288" s="94"/>
      <c r="AB288" s="60"/>
      <c r="AC288" s="60"/>
      <c r="AD288" s="60"/>
      <c r="AE288" s="60"/>
      <c r="AF288" s="61"/>
      <c r="AG288" s="61"/>
      <c r="AH288" s="61"/>
      <c r="AI288" s="61"/>
      <c r="AJ288" s="62"/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62"/>
      <c r="B289" s="66"/>
      <c r="C289" s="92"/>
      <c r="D289" s="60"/>
      <c r="E289" s="60"/>
      <c r="F289" s="60"/>
      <c r="G289" s="60"/>
      <c r="H289" s="61"/>
      <c r="I289" s="61"/>
      <c r="J289" s="61"/>
      <c r="K289" s="61"/>
      <c r="L289" s="62"/>
      <c r="M289" s="62"/>
      <c r="N289" s="66"/>
      <c r="O289" s="94"/>
      <c r="P289" s="60"/>
      <c r="Q289" s="60"/>
      <c r="R289" s="60"/>
      <c r="S289" s="60"/>
      <c r="T289" s="61"/>
      <c r="U289" s="61"/>
      <c r="V289" s="61"/>
      <c r="W289" s="61"/>
      <c r="X289" s="62"/>
      <c r="Y289" s="62"/>
      <c r="Z289" s="66"/>
      <c r="AA289" s="94"/>
      <c r="AB289" s="60"/>
      <c r="AC289" s="60"/>
      <c r="AD289" s="60"/>
      <c r="AE289" s="60"/>
      <c r="AF289" s="61"/>
      <c r="AG289" s="61"/>
      <c r="AH289" s="61"/>
      <c r="AI289" s="61"/>
      <c r="AJ289" s="62"/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62"/>
      <c r="B290" s="66"/>
      <c r="C290" s="92"/>
      <c r="D290" s="60"/>
      <c r="E290" s="60"/>
      <c r="F290" s="60"/>
      <c r="G290" s="60"/>
      <c r="H290" s="61"/>
      <c r="I290" s="61"/>
      <c r="J290" s="61"/>
      <c r="K290" s="61"/>
      <c r="L290" s="62"/>
      <c r="M290" s="62"/>
      <c r="N290" s="66"/>
      <c r="O290" s="94"/>
      <c r="P290" s="60"/>
      <c r="Q290" s="60"/>
      <c r="R290" s="60"/>
      <c r="S290" s="60"/>
      <c r="T290" s="61"/>
      <c r="U290" s="61"/>
      <c r="V290" s="61"/>
      <c r="W290" s="61"/>
      <c r="X290" s="62"/>
      <c r="Y290" s="62"/>
      <c r="Z290" s="66"/>
      <c r="AA290" s="94"/>
      <c r="AB290" s="60"/>
      <c r="AC290" s="60"/>
      <c r="AD290" s="60"/>
      <c r="AE290" s="60"/>
      <c r="AF290" s="61"/>
      <c r="AG290" s="62"/>
      <c r="AH290" s="61"/>
      <c r="AI290" s="61"/>
      <c r="AJ290" s="62"/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62"/>
      <c r="B291" s="66"/>
      <c r="C291" s="92"/>
      <c r="D291" s="60"/>
      <c r="E291" s="60"/>
      <c r="F291" s="60"/>
      <c r="G291" s="60"/>
      <c r="H291" s="61"/>
      <c r="I291" s="61"/>
      <c r="J291" s="61"/>
      <c r="K291" s="61"/>
      <c r="L291" s="62"/>
      <c r="M291" s="62"/>
      <c r="N291" s="66"/>
      <c r="O291" s="94"/>
      <c r="P291" s="60"/>
      <c r="Q291" s="60"/>
      <c r="R291" s="60"/>
      <c r="S291" s="60"/>
      <c r="T291" s="61"/>
      <c r="U291" s="61"/>
      <c r="V291" s="61"/>
      <c r="W291" s="61"/>
      <c r="X291" s="62"/>
      <c r="Y291" s="62"/>
      <c r="Z291" s="66"/>
      <c r="AA291" s="65"/>
      <c r="AB291" s="60"/>
      <c r="AC291" s="60"/>
      <c r="AD291" s="60"/>
      <c r="AE291" s="60"/>
      <c r="AF291" s="61"/>
      <c r="AG291" s="61"/>
      <c r="AH291" s="61"/>
      <c r="AI291" s="61"/>
      <c r="AJ291" s="62"/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62"/>
      <c r="B292" s="66"/>
      <c r="C292" s="92"/>
      <c r="D292" s="60"/>
      <c r="E292" s="60"/>
      <c r="F292" s="60"/>
      <c r="G292" s="60"/>
      <c r="H292" s="61"/>
      <c r="I292" s="61"/>
      <c r="J292" s="61"/>
      <c r="K292" s="61"/>
      <c r="L292" s="62"/>
      <c r="M292" s="62"/>
      <c r="N292" s="66"/>
      <c r="O292" s="94"/>
      <c r="P292" s="60"/>
      <c r="Q292" s="60"/>
      <c r="R292" s="60"/>
      <c r="S292" s="60"/>
      <c r="T292" s="61"/>
      <c r="U292" s="61"/>
      <c r="V292" s="62"/>
      <c r="W292" s="61"/>
      <c r="X292" s="62"/>
      <c r="Y292" s="62"/>
      <c r="Z292" s="66"/>
      <c r="AA292" s="94"/>
      <c r="AB292" s="60"/>
      <c r="AC292" s="60"/>
      <c r="AD292" s="60"/>
      <c r="AE292" s="60"/>
      <c r="AF292" s="61"/>
      <c r="AG292" s="61"/>
      <c r="AH292" s="62"/>
      <c r="AI292" s="61"/>
      <c r="AJ292" s="62"/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62"/>
      <c r="B293" s="66"/>
      <c r="C293" s="92"/>
      <c r="D293" s="60"/>
      <c r="E293" s="60"/>
      <c r="F293" s="60"/>
      <c r="G293" s="60"/>
      <c r="H293" s="61"/>
      <c r="I293" s="61"/>
      <c r="J293" s="61"/>
      <c r="K293" s="61"/>
      <c r="L293" s="62"/>
      <c r="M293" s="62"/>
      <c r="N293" s="66"/>
      <c r="O293" s="94"/>
      <c r="P293" s="60"/>
      <c r="Q293" s="60"/>
      <c r="R293" s="60"/>
      <c r="S293" s="60"/>
      <c r="T293" s="61"/>
      <c r="U293" s="61"/>
      <c r="V293" s="61"/>
      <c r="W293" s="61"/>
      <c r="X293" s="62"/>
      <c r="Y293" s="62"/>
      <c r="Z293" s="66"/>
      <c r="AA293" s="94"/>
      <c r="AB293" s="60"/>
      <c r="AC293" s="60"/>
      <c r="AD293" s="60"/>
      <c r="AE293" s="60"/>
      <c r="AF293" s="61"/>
      <c r="AG293" s="61"/>
      <c r="AH293" s="61"/>
      <c r="AI293" s="61"/>
      <c r="AJ293" s="62"/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62"/>
      <c r="B294" s="66"/>
      <c r="C294" s="92"/>
      <c r="D294" s="60"/>
      <c r="E294" s="60"/>
      <c r="F294" s="60"/>
      <c r="G294" s="60"/>
      <c r="H294" s="61"/>
      <c r="I294" s="61"/>
      <c r="J294" s="61"/>
      <c r="K294" s="61"/>
      <c r="L294" s="62"/>
      <c r="M294" s="62"/>
      <c r="N294" s="66"/>
      <c r="O294" s="94"/>
      <c r="P294" s="60"/>
      <c r="Q294" s="60"/>
      <c r="R294" s="60"/>
      <c r="S294" s="60"/>
      <c r="T294" s="61"/>
      <c r="U294" s="61"/>
      <c r="V294" s="61"/>
      <c r="W294" s="61"/>
      <c r="X294" s="62"/>
      <c r="Y294" s="62"/>
      <c r="Z294" s="66"/>
      <c r="AA294" s="94"/>
      <c r="AB294" s="60"/>
      <c r="AC294" s="60"/>
      <c r="AD294" s="62"/>
      <c r="AE294" s="60"/>
      <c r="AF294" s="61"/>
      <c r="AG294" s="61"/>
      <c r="AH294" s="61"/>
      <c r="AI294" s="61"/>
      <c r="AJ294" s="62"/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62"/>
      <c r="B295" s="66"/>
      <c r="C295" s="92"/>
      <c r="D295" s="60"/>
      <c r="E295" s="60"/>
      <c r="F295" s="60"/>
      <c r="G295" s="60"/>
      <c r="H295" s="61"/>
      <c r="I295" s="61"/>
      <c r="J295" s="61"/>
      <c r="K295" s="61"/>
      <c r="L295" s="62"/>
      <c r="M295" s="62"/>
      <c r="N295" s="66"/>
      <c r="O295" s="94"/>
      <c r="P295" s="60"/>
      <c r="Q295" s="60"/>
      <c r="R295" s="60"/>
      <c r="S295" s="60"/>
      <c r="T295" s="61"/>
      <c r="U295" s="61"/>
      <c r="V295" s="61"/>
      <c r="W295" s="61"/>
      <c r="X295" s="62"/>
      <c r="Y295" s="62"/>
      <c r="Z295" s="66"/>
      <c r="AA295" s="94"/>
      <c r="AB295" s="62"/>
      <c r="AC295" s="60"/>
      <c r="AD295" s="60"/>
      <c r="AE295" s="60"/>
      <c r="AF295" s="61"/>
      <c r="AG295" s="62"/>
      <c r="AH295" s="61"/>
      <c r="AI295" s="61"/>
      <c r="AJ295" s="62"/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62"/>
      <c r="B296" s="66"/>
      <c r="C296" s="92"/>
      <c r="D296" s="60"/>
      <c r="E296" s="60"/>
      <c r="F296" s="60"/>
      <c r="G296" s="60"/>
      <c r="H296" s="61"/>
      <c r="I296" s="61"/>
      <c r="J296" s="61"/>
      <c r="K296" s="61"/>
      <c r="L296" s="62"/>
      <c r="M296" s="62"/>
      <c r="N296" s="66"/>
      <c r="O296" s="94"/>
      <c r="P296" s="60"/>
      <c r="Q296" s="60"/>
      <c r="R296" s="60"/>
      <c r="S296" s="60"/>
      <c r="T296" s="61"/>
      <c r="U296" s="61"/>
      <c r="V296" s="61"/>
      <c r="W296" s="61"/>
      <c r="X296" s="62"/>
      <c r="Y296" s="62"/>
      <c r="Z296" s="66"/>
      <c r="AA296" s="94"/>
      <c r="AB296" s="60"/>
      <c r="AC296" s="60"/>
      <c r="AD296" s="60"/>
      <c r="AE296" s="60"/>
      <c r="AF296" s="61"/>
      <c r="AG296" s="61"/>
      <c r="AH296" s="61"/>
      <c r="AI296" s="61"/>
      <c r="AJ296" s="62"/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62"/>
      <c r="B297" s="66"/>
      <c r="C297" s="92"/>
      <c r="D297" s="60"/>
      <c r="E297" s="60"/>
      <c r="F297" s="60"/>
      <c r="G297" s="60"/>
      <c r="H297" s="61"/>
      <c r="I297" s="61"/>
      <c r="J297" s="61"/>
      <c r="K297" s="61"/>
      <c r="L297" s="62"/>
      <c r="M297" s="62"/>
      <c r="N297" s="66"/>
      <c r="O297" s="94"/>
      <c r="P297" s="60"/>
      <c r="Q297" s="60"/>
      <c r="R297" s="60"/>
      <c r="S297" s="60"/>
      <c r="T297" s="61"/>
      <c r="U297" s="61"/>
      <c r="V297" s="61"/>
      <c r="W297" s="61"/>
      <c r="X297" s="62"/>
      <c r="Y297" s="62"/>
      <c r="Z297" s="66"/>
      <c r="AA297" s="94"/>
      <c r="AB297" s="60"/>
      <c r="AC297" s="60"/>
      <c r="AD297" s="60"/>
      <c r="AE297" s="60"/>
      <c r="AF297" s="61"/>
      <c r="AG297" s="61"/>
      <c r="AH297" s="61"/>
      <c r="AI297" s="61"/>
      <c r="AJ297" s="62"/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62"/>
      <c r="B298" s="66"/>
      <c r="C298" s="65"/>
      <c r="D298" s="60"/>
      <c r="E298" s="60"/>
      <c r="F298" s="60"/>
      <c r="G298" s="60"/>
      <c r="H298" s="61"/>
      <c r="I298" s="61"/>
      <c r="J298" s="62"/>
      <c r="K298" s="61"/>
      <c r="L298" s="62"/>
      <c r="M298" s="62"/>
      <c r="N298" s="66"/>
      <c r="O298" s="94"/>
      <c r="P298" s="60"/>
      <c r="Q298" s="60"/>
      <c r="R298" s="60"/>
      <c r="S298" s="60"/>
      <c r="T298" s="61"/>
      <c r="U298" s="61"/>
      <c r="V298" s="61"/>
      <c r="W298" s="61"/>
      <c r="X298" s="62"/>
      <c r="Y298" s="62"/>
      <c r="Z298" s="66"/>
      <c r="AA298" s="94"/>
      <c r="AB298" s="60"/>
      <c r="AC298" s="60"/>
      <c r="AD298" s="60"/>
      <c r="AE298" s="60"/>
      <c r="AF298" s="61"/>
      <c r="AG298" s="61"/>
      <c r="AH298" s="61"/>
      <c r="AI298" s="61"/>
      <c r="AJ298" s="62"/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62"/>
      <c r="B299" s="66"/>
      <c r="C299" s="92"/>
      <c r="D299" s="60"/>
      <c r="E299" s="60"/>
      <c r="F299" s="60"/>
      <c r="G299" s="60"/>
      <c r="H299" s="61"/>
      <c r="I299" s="61"/>
      <c r="J299" s="61"/>
      <c r="K299" s="61"/>
      <c r="L299" s="62"/>
      <c r="M299" s="62"/>
      <c r="N299" s="66"/>
      <c r="O299" s="94"/>
      <c r="P299" s="60"/>
      <c r="Q299" s="60"/>
      <c r="R299" s="60"/>
      <c r="S299" s="60"/>
      <c r="T299" s="61"/>
      <c r="U299" s="61"/>
      <c r="V299" s="61"/>
      <c r="W299" s="61"/>
      <c r="X299" s="62"/>
      <c r="Y299" s="62"/>
      <c r="Z299" s="66"/>
      <c r="AA299" s="94"/>
      <c r="AB299" s="60"/>
      <c r="AC299" s="60"/>
      <c r="AD299" s="60"/>
      <c r="AE299" s="60"/>
      <c r="AF299" s="61"/>
      <c r="AG299" s="61"/>
      <c r="AH299" s="61"/>
      <c r="AI299" s="61"/>
      <c r="AJ299" s="62"/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62"/>
      <c r="B300" s="66"/>
      <c r="C300" s="92"/>
      <c r="D300" s="60"/>
      <c r="E300" s="60"/>
      <c r="F300" s="60"/>
      <c r="G300" s="60"/>
      <c r="H300" s="61"/>
      <c r="I300" s="61"/>
      <c r="J300" s="61"/>
      <c r="K300" s="61"/>
      <c r="L300" s="62"/>
      <c r="M300" s="62"/>
      <c r="N300" s="66"/>
      <c r="O300" s="94"/>
      <c r="P300" s="60"/>
      <c r="Q300" s="60"/>
      <c r="R300" s="60"/>
      <c r="S300" s="60"/>
      <c r="T300" s="61"/>
      <c r="U300" s="61"/>
      <c r="V300" s="61"/>
      <c r="W300" s="61"/>
      <c r="X300" s="62"/>
      <c r="Y300" s="62"/>
      <c r="Z300" s="66"/>
      <c r="AA300" s="94"/>
      <c r="AB300" s="60"/>
      <c r="AC300" s="60"/>
      <c r="AD300" s="60"/>
      <c r="AE300" s="60"/>
      <c r="AF300" s="61"/>
      <c r="AG300" s="61"/>
      <c r="AH300" s="61"/>
      <c r="AI300" s="61"/>
      <c r="AJ300" s="62"/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62"/>
      <c r="B301" s="66"/>
      <c r="C301" s="92"/>
      <c r="D301" s="60"/>
      <c r="E301" s="60"/>
      <c r="F301" s="60"/>
      <c r="G301" s="60"/>
      <c r="H301" s="61"/>
      <c r="I301" s="61"/>
      <c r="J301" s="61"/>
      <c r="K301" s="61"/>
      <c r="L301" s="62"/>
      <c r="M301" s="62"/>
      <c r="N301" s="66"/>
      <c r="O301" s="94"/>
      <c r="P301" s="60"/>
      <c r="Q301" s="60"/>
      <c r="R301" s="60"/>
      <c r="S301" s="60"/>
      <c r="T301" s="61"/>
      <c r="U301" s="61"/>
      <c r="V301" s="61"/>
      <c r="W301" s="61"/>
      <c r="X301" s="62"/>
      <c r="Y301" s="62"/>
      <c r="Z301" s="66"/>
      <c r="AA301" s="94"/>
      <c r="AB301" s="60"/>
      <c r="AC301" s="60"/>
      <c r="AD301" s="60"/>
      <c r="AE301" s="60"/>
      <c r="AF301" s="61"/>
      <c r="AG301" s="61"/>
      <c r="AH301" s="61"/>
      <c r="AI301" s="61"/>
      <c r="AJ301" s="62"/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62"/>
      <c r="B302" s="66"/>
      <c r="C302" s="65"/>
      <c r="D302" s="60"/>
      <c r="E302" s="60"/>
      <c r="F302" s="60"/>
      <c r="G302" s="60"/>
      <c r="H302" s="61"/>
      <c r="I302" s="61"/>
      <c r="J302" s="61"/>
      <c r="K302" s="61"/>
      <c r="L302" s="62"/>
      <c r="M302" s="62"/>
      <c r="N302" s="66"/>
      <c r="O302" s="94"/>
      <c r="P302" s="60"/>
      <c r="Q302" s="60"/>
      <c r="R302" s="60"/>
      <c r="S302" s="60"/>
      <c r="T302" s="61"/>
      <c r="U302" s="61"/>
      <c r="V302" s="61"/>
      <c r="W302" s="61"/>
      <c r="X302" s="62"/>
      <c r="Y302" s="62"/>
      <c r="Z302" s="66"/>
      <c r="AA302" s="94"/>
      <c r="AB302" s="60"/>
      <c r="AC302" s="60"/>
      <c r="AD302" s="60"/>
      <c r="AE302" s="60"/>
      <c r="AF302" s="61"/>
      <c r="AG302" s="61"/>
      <c r="AH302" s="61"/>
      <c r="AI302" s="61"/>
      <c r="AJ302" s="62"/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62"/>
      <c r="B303" s="66"/>
      <c r="C303" s="65"/>
      <c r="D303" s="60"/>
      <c r="E303" s="60"/>
      <c r="F303" s="60"/>
      <c r="G303" s="60"/>
      <c r="H303" s="61"/>
      <c r="I303" s="61"/>
      <c r="J303" s="61"/>
      <c r="K303" s="61"/>
      <c r="L303" s="62"/>
      <c r="M303" s="62"/>
      <c r="N303" s="66"/>
      <c r="O303" s="94"/>
      <c r="P303" s="60"/>
      <c r="Q303" s="60"/>
      <c r="R303" s="60"/>
      <c r="S303" s="60"/>
      <c r="T303" s="61"/>
      <c r="U303" s="61"/>
      <c r="V303" s="61"/>
      <c r="W303" s="61"/>
      <c r="X303" s="62"/>
      <c r="Y303" s="62"/>
      <c r="Z303" s="66"/>
      <c r="AA303" s="94"/>
      <c r="AB303" s="60"/>
      <c r="AC303" s="60"/>
      <c r="AD303" s="60"/>
      <c r="AE303" s="60"/>
      <c r="AF303" s="61"/>
      <c r="AG303" s="61"/>
      <c r="AH303" s="61"/>
      <c r="AI303" s="61"/>
      <c r="AJ303" s="62"/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62"/>
      <c r="B304" s="66"/>
      <c r="C304" s="94"/>
      <c r="D304" s="60"/>
      <c r="E304" s="60"/>
      <c r="F304" s="60"/>
      <c r="G304" s="60"/>
      <c r="H304" s="61"/>
      <c r="I304" s="61"/>
      <c r="J304" s="61"/>
      <c r="K304" s="61"/>
      <c r="L304" s="62"/>
      <c r="M304" s="62"/>
      <c r="N304" s="66"/>
      <c r="O304" s="94"/>
      <c r="P304" s="60"/>
      <c r="Q304" s="60"/>
      <c r="R304" s="60"/>
      <c r="S304" s="60"/>
      <c r="T304" s="61"/>
      <c r="U304" s="61"/>
      <c r="V304" s="61"/>
      <c r="W304" s="61"/>
      <c r="X304" s="62"/>
      <c r="Y304" s="62"/>
      <c r="Z304" s="66"/>
      <c r="AA304" s="94"/>
      <c r="AB304" s="60"/>
      <c r="AC304" s="60"/>
      <c r="AD304" s="60"/>
      <c r="AE304" s="60"/>
      <c r="AF304" s="61"/>
      <c r="AG304" s="61"/>
      <c r="AH304" s="61"/>
      <c r="AI304" s="61"/>
      <c r="AJ304" s="62"/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62"/>
      <c r="B305" s="66"/>
      <c r="C305" s="92"/>
      <c r="D305" s="60"/>
      <c r="E305" s="60"/>
      <c r="F305" s="60"/>
      <c r="G305" s="60"/>
      <c r="H305" s="61"/>
      <c r="I305" s="61"/>
      <c r="J305" s="61"/>
      <c r="K305" s="61"/>
      <c r="L305" s="62"/>
      <c r="M305" s="62"/>
      <c r="N305" s="66"/>
      <c r="O305" s="94"/>
      <c r="P305" s="60"/>
      <c r="Q305" s="60"/>
      <c r="R305" s="60"/>
      <c r="S305" s="60"/>
      <c r="T305" s="61"/>
      <c r="U305" s="61"/>
      <c r="V305" s="61"/>
      <c r="W305" s="61"/>
      <c r="X305" s="62"/>
      <c r="Y305" s="62"/>
      <c r="Z305" s="66"/>
      <c r="AA305" s="94"/>
      <c r="AB305" s="60"/>
      <c r="AC305" s="60"/>
      <c r="AD305" s="60"/>
      <c r="AE305" s="60"/>
      <c r="AF305" s="61"/>
      <c r="AG305" s="61"/>
      <c r="AH305" s="61"/>
      <c r="AI305" s="61"/>
      <c r="AJ305" s="62"/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62"/>
      <c r="B306" s="66"/>
      <c r="C306" s="92"/>
      <c r="D306" s="60"/>
      <c r="E306" s="60"/>
      <c r="F306" s="60"/>
      <c r="G306" s="60"/>
      <c r="H306" s="61"/>
      <c r="I306" s="61"/>
      <c r="J306" s="61"/>
      <c r="K306" s="61"/>
      <c r="L306" s="62"/>
      <c r="M306" s="62"/>
      <c r="N306" s="66"/>
      <c r="O306" s="94"/>
      <c r="P306" s="60"/>
      <c r="Q306" s="60"/>
      <c r="R306" s="60"/>
      <c r="S306" s="60"/>
      <c r="T306" s="61"/>
      <c r="U306" s="61"/>
      <c r="V306" s="61"/>
      <c r="W306" s="61"/>
      <c r="X306" s="62"/>
      <c r="Y306" s="62"/>
      <c r="Z306" s="66"/>
      <c r="AA306" s="94"/>
      <c r="AB306" s="60"/>
      <c r="AC306" s="60"/>
      <c r="AD306" s="60"/>
      <c r="AE306" s="60"/>
      <c r="AF306" s="61"/>
      <c r="AG306" s="61"/>
      <c r="AH306" s="61"/>
      <c r="AI306" s="61"/>
      <c r="AJ306" s="62"/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62"/>
      <c r="B307" s="66"/>
      <c r="C307" s="92"/>
      <c r="D307" s="60"/>
      <c r="E307" s="60"/>
      <c r="F307" s="60"/>
      <c r="G307" s="60"/>
      <c r="H307" s="62"/>
      <c r="I307" s="62"/>
      <c r="J307" s="62"/>
      <c r="K307" s="61"/>
      <c r="L307" s="62"/>
      <c r="M307" s="62"/>
      <c r="N307" s="66"/>
      <c r="O307" s="94"/>
      <c r="P307" s="67"/>
      <c r="Q307" s="94"/>
      <c r="R307" s="94"/>
      <c r="S307" s="60"/>
      <c r="T307" s="62"/>
      <c r="U307" s="62"/>
      <c r="V307" s="62"/>
      <c r="W307" s="61"/>
      <c r="X307" s="62"/>
      <c r="Y307" s="62"/>
      <c r="Z307" s="66"/>
      <c r="AA307" s="62"/>
      <c r="AB307" s="67"/>
      <c r="AC307" s="94"/>
      <c r="AD307" s="94"/>
      <c r="AE307" s="60"/>
      <c r="AF307" s="62"/>
      <c r="AG307" s="62"/>
      <c r="AH307" s="62"/>
      <c r="AI307" s="61"/>
      <c r="AJ307" s="62"/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62"/>
      <c r="B308" s="66"/>
      <c r="C308" s="92"/>
      <c r="D308" s="60"/>
      <c r="E308" s="60"/>
      <c r="F308" s="60"/>
      <c r="G308" s="60"/>
      <c r="H308" s="62"/>
      <c r="I308" s="62"/>
      <c r="J308" s="62"/>
      <c r="K308" s="61"/>
      <c r="L308" s="62"/>
      <c r="M308" s="62"/>
      <c r="N308" s="66"/>
      <c r="O308" s="94"/>
      <c r="P308" s="68"/>
      <c r="Q308" s="94"/>
      <c r="R308" s="94"/>
      <c r="S308" s="60"/>
      <c r="T308" s="62"/>
      <c r="U308" s="62"/>
      <c r="V308" s="62"/>
      <c r="W308" s="61"/>
      <c r="X308" s="62"/>
      <c r="Y308" s="62"/>
      <c r="Z308" s="66"/>
      <c r="AA308" s="62"/>
      <c r="AB308" s="68"/>
      <c r="AC308" s="94"/>
      <c r="AD308" s="94"/>
      <c r="AE308" s="60"/>
      <c r="AF308" s="62"/>
      <c r="AG308" s="62"/>
      <c r="AH308" s="62"/>
      <c r="AI308" s="61"/>
      <c r="AJ308" s="62"/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62"/>
      <c r="B309" s="66"/>
      <c r="C309" s="94"/>
      <c r="D309" s="60"/>
      <c r="E309" s="60"/>
      <c r="F309" s="60"/>
      <c r="G309" s="60"/>
      <c r="H309" s="62"/>
      <c r="I309" s="62"/>
      <c r="J309" s="61"/>
      <c r="K309" s="61"/>
      <c r="L309" s="62"/>
      <c r="M309" s="62"/>
      <c r="N309" s="66"/>
      <c r="O309" s="94"/>
      <c r="P309" s="69"/>
      <c r="Q309" s="62"/>
      <c r="R309" s="62"/>
      <c r="S309" s="60"/>
      <c r="T309" s="62"/>
      <c r="U309" s="62"/>
      <c r="V309" s="62"/>
      <c r="W309" s="61"/>
      <c r="X309" s="62"/>
      <c r="Y309" s="62"/>
      <c r="Z309" s="66"/>
      <c r="AA309" s="94"/>
      <c r="AB309" s="69"/>
      <c r="AC309" s="62"/>
      <c r="AD309" s="62"/>
      <c r="AE309" s="60"/>
      <c r="AF309" s="62"/>
      <c r="AG309" s="62"/>
      <c r="AH309" s="62"/>
      <c r="AI309" s="61"/>
      <c r="AJ309" s="62"/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62"/>
      <c r="B310" s="66"/>
      <c r="C310" s="94"/>
      <c r="D310" s="60"/>
      <c r="E310" s="60"/>
      <c r="F310" s="60"/>
      <c r="G310" s="60"/>
      <c r="H310" s="62"/>
      <c r="I310" s="62"/>
      <c r="J310" s="62"/>
      <c r="K310" s="61"/>
      <c r="L310" s="62"/>
      <c r="M310" s="62"/>
      <c r="N310" s="66"/>
      <c r="O310" s="65"/>
      <c r="P310" s="69"/>
      <c r="Q310" s="94"/>
      <c r="R310" s="94"/>
      <c r="S310" s="60"/>
      <c r="T310" s="62"/>
      <c r="U310" s="62"/>
      <c r="V310" s="62"/>
      <c r="W310" s="61"/>
      <c r="X310" s="62"/>
      <c r="Y310" s="62"/>
      <c r="Z310" s="66"/>
      <c r="AA310" s="94"/>
      <c r="AB310" s="69"/>
      <c r="AC310" s="94"/>
      <c r="AD310" s="94"/>
      <c r="AE310" s="60"/>
      <c r="AF310" s="62"/>
      <c r="AG310" s="62"/>
      <c r="AH310" s="62"/>
      <c r="AI310" s="61"/>
      <c r="AJ310" s="62"/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62"/>
      <c r="B311" s="66"/>
      <c r="C311" s="94"/>
      <c r="D311" s="60"/>
      <c r="E311" s="60"/>
      <c r="F311" s="60"/>
      <c r="G311" s="60"/>
      <c r="H311" s="62"/>
      <c r="I311" s="62"/>
      <c r="J311" s="62"/>
      <c r="K311" s="61"/>
      <c r="L311" s="62"/>
      <c r="M311" s="62"/>
      <c r="N311" s="66"/>
      <c r="O311" s="94"/>
      <c r="P311" s="69"/>
      <c r="Q311" s="94"/>
      <c r="R311" s="94"/>
      <c r="S311" s="60"/>
      <c r="T311" s="62"/>
      <c r="U311" s="62"/>
      <c r="V311" s="62"/>
      <c r="W311" s="61"/>
      <c r="X311" s="62"/>
      <c r="Y311" s="62"/>
      <c r="Z311" s="66"/>
      <c r="AA311" s="65"/>
      <c r="AB311" s="69"/>
      <c r="AC311" s="94"/>
      <c r="AD311" s="94"/>
      <c r="AE311" s="60"/>
      <c r="AF311" s="62"/>
      <c r="AG311" s="62"/>
      <c r="AH311" s="62"/>
      <c r="AI311" s="61"/>
      <c r="AJ311" s="62"/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62"/>
      <c r="B312" s="66"/>
      <c r="C312" s="65"/>
      <c r="D312" s="60"/>
      <c r="E312" s="60"/>
      <c r="F312" s="60"/>
      <c r="G312" s="60"/>
      <c r="H312" s="62"/>
      <c r="I312" s="62"/>
      <c r="J312" s="62"/>
      <c r="K312" s="61"/>
      <c r="L312" s="62"/>
      <c r="M312" s="62"/>
      <c r="N312" s="66"/>
      <c r="O312" s="62"/>
      <c r="P312" s="69"/>
      <c r="Q312" s="94"/>
      <c r="R312" s="94"/>
      <c r="S312" s="60"/>
      <c r="T312" s="62"/>
      <c r="U312" s="62"/>
      <c r="V312" s="62"/>
      <c r="W312" s="61"/>
      <c r="X312" s="62"/>
      <c r="Y312" s="62"/>
      <c r="Z312" s="66"/>
      <c r="AA312" s="62"/>
      <c r="AB312" s="69"/>
      <c r="AC312" s="94"/>
      <c r="AD312" s="94"/>
      <c r="AE312" s="60"/>
      <c r="AF312" s="62"/>
      <c r="AG312" s="62"/>
      <c r="AH312" s="62"/>
      <c r="AI312" s="61"/>
      <c r="AJ312" s="62"/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62"/>
      <c r="B313" s="66"/>
      <c r="C313" s="94"/>
      <c r="D313" s="60"/>
      <c r="E313" s="60"/>
      <c r="F313" s="60"/>
      <c r="G313" s="60"/>
      <c r="H313" s="62"/>
      <c r="I313" s="62"/>
      <c r="J313" s="62"/>
      <c r="K313" s="61"/>
      <c r="L313" s="62"/>
      <c r="M313" s="62"/>
      <c r="N313" s="66"/>
      <c r="O313" s="94"/>
      <c r="P313" s="69"/>
      <c r="Q313" s="94"/>
      <c r="R313" s="94"/>
      <c r="S313" s="60"/>
      <c r="T313" s="62"/>
      <c r="U313" s="62"/>
      <c r="V313" s="62"/>
      <c r="W313" s="61"/>
      <c r="X313" s="62"/>
      <c r="Y313" s="62"/>
      <c r="Z313" s="66"/>
      <c r="AA313" s="94"/>
      <c r="AB313" s="69"/>
      <c r="AC313" s="94"/>
      <c r="AD313" s="94"/>
      <c r="AE313" s="60"/>
      <c r="AF313" s="62"/>
      <c r="AG313" s="62"/>
      <c r="AH313" s="62"/>
      <c r="AI313" s="61"/>
      <c r="AJ313" s="62"/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62"/>
      <c r="B314" s="66"/>
      <c r="C314" s="94"/>
      <c r="D314" s="60"/>
      <c r="E314" s="60"/>
      <c r="F314" s="60"/>
      <c r="G314" s="60"/>
      <c r="H314" s="62"/>
      <c r="I314" s="62"/>
      <c r="J314" s="62"/>
      <c r="K314" s="61"/>
      <c r="L314" s="62"/>
      <c r="M314" s="62"/>
      <c r="N314" s="66"/>
      <c r="O314" s="94"/>
      <c r="P314" s="69"/>
      <c r="Q314" s="94"/>
      <c r="R314" s="94"/>
      <c r="S314" s="60"/>
      <c r="T314" s="62"/>
      <c r="U314" s="62"/>
      <c r="V314" s="62"/>
      <c r="W314" s="61"/>
      <c r="X314" s="62"/>
      <c r="Y314" s="62"/>
      <c r="Z314" s="66"/>
      <c r="AA314" s="94"/>
      <c r="AB314" s="69"/>
      <c r="AC314" s="94"/>
      <c r="AD314" s="94"/>
      <c r="AE314" s="60"/>
      <c r="AF314" s="62"/>
      <c r="AG314" s="62"/>
      <c r="AH314" s="62"/>
      <c r="AI314" s="61"/>
      <c r="AJ314" s="62"/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62"/>
      <c r="B315" s="66"/>
      <c r="C315" s="94"/>
      <c r="D315" s="60"/>
      <c r="E315" s="60"/>
      <c r="F315" s="60"/>
      <c r="G315" s="60"/>
      <c r="H315" s="62"/>
      <c r="I315" s="62"/>
      <c r="J315" s="62"/>
      <c r="K315" s="61"/>
      <c r="L315" s="62"/>
      <c r="M315" s="62"/>
      <c r="N315" s="66"/>
      <c r="O315" s="62"/>
      <c r="P315" s="69"/>
      <c r="Q315" s="94"/>
      <c r="R315" s="94"/>
      <c r="S315" s="60"/>
      <c r="T315" s="62"/>
      <c r="U315" s="62"/>
      <c r="V315" s="62"/>
      <c r="W315" s="61"/>
      <c r="X315" s="62"/>
      <c r="Y315" s="62"/>
      <c r="Z315" s="66"/>
      <c r="AA315" s="94"/>
      <c r="AB315" s="69"/>
      <c r="AC315" s="94"/>
      <c r="AD315" s="94"/>
      <c r="AE315" s="60"/>
      <c r="AF315" s="62"/>
      <c r="AG315" s="62"/>
      <c r="AH315" s="62"/>
      <c r="AI315" s="61"/>
      <c r="AJ315" s="62"/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62"/>
      <c r="B316" s="66"/>
      <c r="C316" s="94"/>
      <c r="D316" s="60"/>
      <c r="E316" s="60"/>
      <c r="F316" s="60"/>
      <c r="G316" s="60"/>
      <c r="H316" s="62"/>
      <c r="I316" s="62"/>
      <c r="J316" s="62"/>
      <c r="K316" s="61"/>
      <c r="L316" s="62"/>
      <c r="M316" s="62"/>
      <c r="N316" s="66"/>
      <c r="O316" s="62"/>
      <c r="P316" s="69"/>
      <c r="Q316" s="94"/>
      <c r="R316" s="94"/>
      <c r="S316" s="60"/>
      <c r="T316" s="62"/>
      <c r="U316" s="62"/>
      <c r="V316" s="62"/>
      <c r="W316" s="61"/>
      <c r="X316" s="62"/>
      <c r="Y316" s="62"/>
      <c r="Z316" s="66"/>
      <c r="AA316" s="62"/>
      <c r="AB316" s="69"/>
      <c r="AC316" s="94"/>
      <c r="AD316" s="94"/>
      <c r="AE316" s="60"/>
      <c r="AF316" s="62"/>
      <c r="AG316" s="62"/>
      <c r="AH316" s="62"/>
      <c r="AI316" s="61"/>
      <c r="AJ316" s="62"/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62"/>
      <c r="B317" s="66"/>
      <c r="C317" s="94"/>
      <c r="D317" s="60"/>
      <c r="E317" s="60"/>
      <c r="F317" s="60"/>
      <c r="G317" s="60"/>
      <c r="H317" s="62"/>
      <c r="I317" s="62"/>
      <c r="J317" s="62"/>
      <c r="K317" s="61"/>
      <c r="L317" s="62"/>
      <c r="M317" s="62"/>
      <c r="N317" s="66"/>
      <c r="O317" s="94"/>
      <c r="P317" s="69"/>
      <c r="Q317" s="94"/>
      <c r="R317" s="94"/>
      <c r="S317" s="60"/>
      <c r="T317" s="62"/>
      <c r="U317" s="62"/>
      <c r="V317" s="62"/>
      <c r="W317" s="61"/>
      <c r="X317" s="62"/>
      <c r="Y317" s="62"/>
      <c r="Z317" s="66"/>
      <c r="AA317" s="62"/>
      <c r="AB317" s="69"/>
      <c r="AC317" s="94"/>
      <c r="AD317" s="94"/>
      <c r="AE317" s="60"/>
      <c r="AF317" s="62"/>
      <c r="AG317" s="62"/>
      <c r="AH317" s="62"/>
      <c r="AI317" s="61"/>
      <c r="AJ317" s="62"/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62"/>
      <c r="B318" s="66"/>
      <c r="C318" s="94"/>
      <c r="D318" s="60"/>
      <c r="E318" s="60"/>
      <c r="F318" s="60"/>
      <c r="G318" s="60"/>
      <c r="H318" s="62"/>
      <c r="I318" s="62"/>
      <c r="J318" s="62"/>
      <c r="K318" s="61"/>
      <c r="L318" s="62"/>
      <c r="M318" s="62"/>
      <c r="N318" s="66"/>
      <c r="O318" s="62"/>
      <c r="P318" s="69"/>
      <c r="Q318" s="94"/>
      <c r="R318" s="94"/>
      <c r="S318" s="60"/>
      <c r="T318" s="62"/>
      <c r="U318" s="62"/>
      <c r="V318" s="62"/>
      <c r="W318" s="61"/>
      <c r="X318" s="62"/>
      <c r="Y318" s="62"/>
      <c r="Z318" s="66"/>
      <c r="AA318" s="94"/>
      <c r="AB318" s="69"/>
      <c r="AC318" s="94"/>
      <c r="AD318" s="94"/>
      <c r="AE318" s="60"/>
      <c r="AF318" s="62"/>
      <c r="AG318" s="62"/>
      <c r="AH318" s="62"/>
      <c r="AI318" s="61"/>
      <c r="AJ318" s="62"/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62"/>
      <c r="B319" s="66"/>
      <c r="C319" s="94"/>
      <c r="D319" s="60"/>
      <c r="E319" s="60"/>
      <c r="F319" s="60"/>
      <c r="G319" s="60"/>
      <c r="H319" s="62"/>
      <c r="I319" s="62"/>
      <c r="J319" s="62"/>
      <c r="K319" s="61"/>
      <c r="L319" s="62"/>
      <c r="M319" s="62"/>
      <c r="N319" s="66"/>
      <c r="O319" s="94"/>
      <c r="P319" s="69"/>
      <c r="Q319" s="94"/>
      <c r="R319" s="94"/>
      <c r="S319" s="60"/>
      <c r="T319" s="62"/>
      <c r="U319" s="62"/>
      <c r="V319" s="62"/>
      <c r="W319" s="61"/>
      <c r="X319" s="62"/>
      <c r="Y319" s="62"/>
      <c r="Z319" s="66"/>
      <c r="AA319" s="94"/>
      <c r="AB319" s="69"/>
      <c r="AC319" s="94"/>
      <c r="AD319" s="94"/>
      <c r="AE319" s="60"/>
      <c r="AF319" s="62"/>
      <c r="AG319" s="62"/>
      <c r="AH319" s="62"/>
      <c r="AI319" s="61"/>
      <c r="AJ319" s="62"/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62"/>
      <c r="B320" s="66"/>
      <c r="C320" s="94"/>
      <c r="D320" s="60"/>
      <c r="E320" s="60"/>
      <c r="F320" s="60"/>
      <c r="G320" s="60"/>
      <c r="H320" s="62"/>
      <c r="I320" s="62"/>
      <c r="J320" s="62"/>
      <c r="K320" s="61"/>
      <c r="L320" s="62"/>
      <c r="M320" s="62"/>
      <c r="N320" s="66"/>
      <c r="O320" s="94"/>
      <c r="P320" s="69"/>
      <c r="Q320" s="94"/>
      <c r="R320" s="94"/>
      <c r="S320" s="60"/>
      <c r="T320" s="62"/>
      <c r="U320" s="62"/>
      <c r="V320" s="62"/>
      <c r="W320" s="61"/>
      <c r="X320" s="62"/>
      <c r="Y320" s="62"/>
      <c r="Z320" s="66"/>
      <c r="AA320" s="62"/>
      <c r="AB320" s="69"/>
      <c r="AC320" s="94"/>
      <c r="AD320" s="94"/>
      <c r="AE320" s="60"/>
      <c r="AF320" s="62"/>
      <c r="AG320" s="62"/>
      <c r="AH320" s="62"/>
      <c r="AI320" s="61"/>
      <c r="AJ320" s="62"/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62"/>
      <c r="B321" s="66"/>
      <c r="C321" s="94"/>
      <c r="D321" s="60"/>
      <c r="E321" s="60"/>
      <c r="F321" s="60"/>
      <c r="G321" s="60"/>
      <c r="H321" s="62"/>
      <c r="I321" s="62"/>
      <c r="J321" s="62"/>
      <c r="K321" s="61"/>
      <c r="L321" s="62"/>
      <c r="M321" s="62"/>
      <c r="N321" s="66"/>
      <c r="O321" s="94"/>
      <c r="P321" s="69"/>
      <c r="Q321" s="94"/>
      <c r="R321" s="94"/>
      <c r="S321" s="60"/>
      <c r="T321" s="62"/>
      <c r="U321" s="62"/>
      <c r="V321" s="62"/>
      <c r="W321" s="61"/>
      <c r="X321" s="62"/>
      <c r="Y321" s="62"/>
      <c r="Z321" s="66"/>
      <c r="AA321" s="94"/>
      <c r="AB321" s="69"/>
      <c r="AC321" s="94"/>
      <c r="AD321" s="94"/>
      <c r="AE321" s="60"/>
      <c r="AF321" s="62"/>
      <c r="AG321" s="62"/>
      <c r="AH321" s="62"/>
      <c r="AI321" s="61"/>
      <c r="AJ321" s="62"/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62"/>
      <c r="B322" s="66"/>
      <c r="C322" s="94"/>
      <c r="D322" s="60"/>
      <c r="E322" s="60"/>
      <c r="F322" s="60"/>
      <c r="G322" s="60"/>
      <c r="H322" s="62"/>
      <c r="I322" s="62"/>
      <c r="J322" s="62"/>
      <c r="K322" s="61"/>
      <c r="L322" s="62"/>
      <c r="M322" s="62"/>
      <c r="N322" s="66"/>
      <c r="O322" s="94"/>
      <c r="P322" s="69"/>
      <c r="Q322" s="94"/>
      <c r="R322" s="94"/>
      <c r="S322" s="60"/>
      <c r="T322" s="62"/>
      <c r="U322" s="62"/>
      <c r="V322" s="62"/>
      <c r="W322" s="61"/>
      <c r="X322" s="62"/>
      <c r="Y322" s="62"/>
      <c r="Z322" s="66"/>
      <c r="AA322" s="94"/>
      <c r="AB322" s="69"/>
      <c r="AC322" s="94"/>
      <c r="AD322" s="94"/>
      <c r="AE322" s="60"/>
      <c r="AF322" s="62"/>
      <c r="AG322" s="62"/>
      <c r="AH322" s="62"/>
      <c r="AI322" s="61"/>
      <c r="AJ322" s="62"/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62"/>
      <c r="B323" s="66"/>
      <c r="C323" s="94"/>
      <c r="D323" s="60"/>
      <c r="E323" s="60"/>
      <c r="F323" s="60"/>
      <c r="G323" s="60"/>
      <c r="H323" s="62"/>
      <c r="I323" s="62"/>
      <c r="J323" s="62"/>
      <c r="K323" s="61"/>
      <c r="L323" s="62"/>
      <c r="M323" s="62"/>
      <c r="N323" s="66"/>
      <c r="O323" s="62"/>
      <c r="P323" s="69"/>
      <c r="Q323" s="94"/>
      <c r="R323" s="94"/>
      <c r="S323" s="60"/>
      <c r="T323" s="62"/>
      <c r="U323" s="62"/>
      <c r="V323" s="62"/>
      <c r="W323" s="61"/>
      <c r="X323" s="62"/>
      <c r="Y323" s="62"/>
      <c r="Z323" s="66"/>
      <c r="AA323" s="94"/>
      <c r="AB323" s="69"/>
      <c r="AC323" s="94"/>
      <c r="AD323" s="94"/>
      <c r="AE323" s="60"/>
      <c r="AF323" s="62"/>
      <c r="AG323" s="62"/>
      <c r="AH323" s="62"/>
      <c r="AI323" s="61"/>
      <c r="AJ323" s="62"/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62"/>
      <c r="B324" s="66"/>
      <c r="C324" s="94"/>
      <c r="D324" s="60"/>
      <c r="E324" s="60"/>
      <c r="F324" s="60"/>
      <c r="G324" s="60"/>
      <c r="H324" s="62"/>
      <c r="I324" s="62"/>
      <c r="J324" s="62"/>
      <c r="K324" s="61"/>
      <c r="L324" s="62"/>
      <c r="M324" s="62"/>
      <c r="N324" s="66"/>
      <c r="O324" s="94"/>
      <c r="P324" s="69"/>
      <c r="Q324" s="94"/>
      <c r="R324" s="94"/>
      <c r="S324" s="60"/>
      <c r="T324" s="62"/>
      <c r="U324" s="62"/>
      <c r="V324" s="62"/>
      <c r="W324" s="61"/>
      <c r="X324" s="62"/>
      <c r="Y324" s="62"/>
      <c r="Z324" s="66"/>
      <c r="AA324" s="94"/>
      <c r="AB324" s="69"/>
      <c r="AC324" s="94"/>
      <c r="AD324" s="94"/>
      <c r="AE324" s="60"/>
      <c r="AF324" s="62"/>
      <c r="AG324" s="62"/>
      <c r="AH324" s="62"/>
      <c r="AI324" s="61"/>
      <c r="AJ324" s="62"/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62"/>
      <c r="B325" s="66"/>
      <c r="C325" s="94"/>
      <c r="D325" s="60"/>
      <c r="E325" s="60"/>
      <c r="F325" s="60"/>
      <c r="G325" s="60"/>
      <c r="H325" s="62"/>
      <c r="I325" s="62"/>
      <c r="J325" s="62"/>
      <c r="K325" s="61"/>
      <c r="L325" s="62"/>
      <c r="M325" s="62"/>
      <c r="N325" s="66"/>
      <c r="O325" s="94"/>
      <c r="P325" s="69"/>
      <c r="Q325" s="94"/>
      <c r="R325" s="94"/>
      <c r="S325" s="60"/>
      <c r="T325" s="62"/>
      <c r="U325" s="62"/>
      <c r="V325" s="62"/>
      <c r="W325" s="61"/>
      <c r="X325" s="62"/>
      <c r="Y325" s="62"/>
      <c r="Z325" s="66"/>
      <c r="AA325" s="94"/>
      <c r="AB325" s="69"/>
      <c r="AC325" s="94"/>
      <c r="AD325" s="94"/>
      <c r="AE325" s="60"/>
      <c r="AF325" s="62"/>
      <c r="AG325" s="62"/>
      <c r="AH325" s="62"/>
      <c r="AI325" s="61"/>
      <c r="AJ325" s="62"/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62"/>
      <c r="B326" s="66"/>
      <c r="C326" s="94"/>
      <c r="D326" s="60"/>
      <c r="E326" s="60"/>
      <c r="F326" s="60"/>
      <c r="G326" s="60"/>
      <c r="H326" s="62"/>
      <c r="I326" s="62"/>
      <c r="J326" s="62"/>
      <c r="K326" s="61"/>
      <c r="L326" s="62"/>
      <c r="M326" s="62"/>
      <c r="N326" s="66"/>
      <c r="O326" s="62"/>
      <c r="P326" s="69"/>
      <c r="Q326" s="94"/>
      <c r="R326" s="94"/>
      <c r="S326" s="60"/>
      <c r="T326" s="62"/>
      <c r="U326" s="62"/>
      <c r="V326" s="62"/>
      <c r="W326" s="61"/>
      <c r="X326" s="62"/>
      <c r="Y326" s="62"/>
      <c r="Z326" s="66"/>
      <c r="AA326" s="62"/>
      <c r="AB326" s="69"/>
      <c r="AC326" s="94"/>
      <c r="AD326" s="94"/>
      <c r="AE326" s="60"/>
      <c r="AF326" s="62"/>
      <c r="AG326" s="62"/>
      <c r="AH326" s="62"/>
      <c r="AI326" s="61"/>
      <c r="AJ326" s="62"/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62"/>
      <c r="B327" s="66"/>
      <c r="C327" s="94"/>
      <c r="D327" s="60"/>
      <c r="E327" s="60"/>
      <c r="F327" s="60"/>
      <c r="G327" s="60"/>
      <c r="H327" s="62"/>
      <c r="I327" s="62"/>
      <c r="J327" s="62"/>
      <c r="K327" s="61"/>
      <c r="L327" s="62"/>
      <c r="M327" s="62"/>
      <c r="N327" s="66"/>
      <c r="O327" s="94"/>
      <c r="P327" s="69"/>
      <c r="Q327" s="94"/>
      <c r="R327" s="94"/>
      <c r="S327" s="60"/>
      <c r="T327" s="62"/>
      <c r="U327" s="62"/>
      <c r="V327" s="62"/>
      <c r="W327" s="61"/>
      <c r="X327" s="62"/>
      <c r="Y327" s="62"/>
      <c r="Z327" s="66"/>
      <c r="AA327" s="94"/>
      <c r="AB327" s="69"/>
      <c r="AC327" s="94"/>
      <c r="AD327" s="94"/>
      <c r="AE327" s="60"/>
      <c r="AF327" s="62"/>
      <c r="AG327" s="62"/>
      <c r="AH327" s="62"/>
      <c r="AI327" s="61"/>
      <c r="AJ327" s="62"/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62"/>
      <c r="B328" s="66"/>
      <c r="C328" s="66"/>
      <c r="D328" s="60"/>
      <c r="E328" s="60"/>
      <c r="F328" s="60"/>
      <c r="G328" s="60"/>
      <c r="H328" s="62"/>
      <c r="I328" s="62"/>
      <c r="J328" s="62"/>
      <c r="K328" s="61"/>
      <c r="L328" s="62"/>
      <c r="M328" s="62"/>
      <c r="N328" s="94"/>
      <c r="O328" s="94"/>
      <c r="P328" s="94"/>
      <c r="Q328" s="94"/>
      <c r="R328" s="94"/>
      <c r="S328" s="94"/>
      <c r="T328" s="62"/>
      <c r="U328" s="62"/>
      <c r="V328" s="62"/>
      <c r="W328" s="61"/>
      <c r="X328" s="62"/>
      <c r="Y328" s="62"/>
      <c r="Z328" s="94"/>
      <c r="AA328" s="94"/>
      <c r="AB328" s="94"/>
      <c r="AC328" s="94"/>
      <c r="AD328" s="94"/>
      <c r="AE328" s="94"/>
      <c r="AF328" s="62"/>
      <c r="AG328" s="62"/>
      <c r="AH328" s="62"/>
      <c r="AI328" s="61"/>
      <c r="AJ328" s="62"/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A329" s="62"/>
      <c r="B329" s="94"/>
      <c r="C329" s="94"/>
      <c r="D329" s="94"/>
      <c r="E329" s="94"/>
      <c r="F329" s="94"/>
      <c r="G329" s="94"/>
      <c r="H329" s="62"/>
      <c r="I329" s="62"/>
      <c r="J329" s="62"/>
      <c r="K329" s="62"/>
      <c r="L329" s="62"/>
      <c r="M329" s="62"/>
      <c r="N329" s="94"/>
      <c r="O329" s="94"/>
      <c r="P329" s="94"/>
      <c r="Q329" s="94"/>
      <c r="R329" s="94"/>
      <c r="S329" s="94"/>
      <c r="T329" s="62"/>
      <c r="U329" s="62"/>
      <c r="V329" s="62"/>
      <c r="W329" s="62"/>
      <c r="X329" s="62"/>
      <c r="Y329" s="62"/>
      <c r="Z329" s="94"/>
      <c r="AA329" s="94"/>
      <c r="AB329" s="94"/>
      <c r="AC329" s="94"/>
      <c r="AD329" s="94"/>
      <c r="AE329" s="94"/>
      <c r="AF329" s="62"/>
      <c r="AG329" s="62"/>
      <c r="AH329" s="62"/>
      <c r="AI329" s="62"/>
      <c r="AJ329" s="62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A330" s="62"/>
      <c r="B330" s="94"/>
      <c r="C330" s="94"/>
      <c r="D330" s="70"/>
      <c r="E330" s="70"/>
      <c r="F330" s="70"/>
      <c r="G330" s="70"/>
      <c r="H330" s="63"/>
      <c r="I330" s="70"/>
      <c r="J330" s="70"/>
      <c r="K330" s="70"/>
      <c r="L330" s="62"/>
      <c r="M330" s="62"/>
      <c r="N330" s="94"/>
      <c r="O330" s="94"/>
      <c r="P330" s="70"/>
      <c r="Q330" s="70"/>
      <c r="R330" s="70"/>
      <c r="S330" s="70"/>
      <c r="T330" s="63"/>
      <c r="U330" s="71"/>
      <c r="V330" s="71"/>
      <c r="W330" s="71"/>
      <c r="X330" s="62"/>
      <c r="Y330" s="62"/>
      <c r="Z330" s="94"/>
      <c r="AA330" s="94"/>
      <c r="AB330" s="70"/>
      <c r="AC330" s="70"/>
      <c r="AD330" s="70"/>
      <c r="AE330" s="70"/>
      <c r="AF330" s="63"/>
      <c r="AG330" s="71"/>
      <c r="AH330" s="71"/>
      <c r="AI330" s="71"/>
      <c r="AJ330" s="62"/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  <c r="S331" s="62"/>
      <c r="T331" s="62"/>
      <c r="U331" s="62"/>
      <c r="V331" s="62"/>
      <c r="W331" s="62"/>
      <c r="X331" s="62"/>
      <c r="Y331" s="62"/>
      <c r="Z331" s="62"/>
      <c r="AA331" s="62"/>
      <c r="AB331" s="62"/>
      <c r="AC331" s="62"/>
      <c r="AD331" s="62"/>
      <c r="AE331" s="62"/>
      <c r="AF331" s="62"/>
      <c r="AG331" s="62"/>
      <c r="AH331" s="62"/>
      <c r="AI331" s="62"/>
      <c r="AJ331" s="62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s="62"/>
      <c r="B332" s="94"/>
      <c r="C332" s="94"/>
      <c r="D332" s="94"/>
      <c r="E332" s="94"/>
      <c r="F332" s="94"/>
      <c r="G332" s="94"/>
      <c r="H332" s="62"/>
      <c r="I332" s="62"/>
      <c r="J332" s="62"/>
      <c r="K332" s="62"/>
      <c r="L332" s="62"/>
      <c r="M332" s="62"/>
      <c r="N332" s="94"/>
      <c r="O332" s="94"/>
      <c r="P332" s="94"/>
      <c r="Q332" s="94"/>
      <c r="R332" s="94"/>
      <c r="S332" s="94"/>
      <c r="T332" s="62"/>
      <c r="U332" s="62"/>
      <c r="V332" s="62"/>
      <c r="W332" s="62"/>
      <c r="X332" s="62"/>
      <c r="Y332" s="62"/>
      <c r="Z332" s="94"/>
      <c r="AA332" s="94"/>
      <c r="AB332" s="94"/>
      <c r="AC332" s="94"/>
      <c r="AD332" s="94"/>
      <c r="AE332" s="94"/>
      <c r="AF332" s="62"/>
      <c r="AG332" s="62"/>
      <c r="AH332" s="62"/>
      <c r="AI332" s="62"/>
      <c r="AJ332" s="62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s="62"/>
      <c r="B333" s="94"/>
      <c r="C333" s="94"/>
      <c r="D333" s="94"/>
      <c r="E333" s="94"/>
      <c r="F333" s="94"/>
      <c r="G333" s="94"/>
      <c r="H333" s="62"/>
      <c r="I333" s="62"/>
      <c r="J333" s="62"/>
      <c r="K333" s="62"/>
      <c r="L333" s="62"/>
      <c r="M333" s="62"/>
      <c r="N333" s="94"/>
      <c r="O333" s="94"/>
      <c r="P333" s="94"/>
      <c r="Q333" s="94"/>
      <c r="R333" s="94"/>
      <c r="S333" s="94"/>
      <c r="T333" s="62"/>
      <c r="U333" s="62"/>
      <c r="V333" s="62"/>
      <c r="W333" s="62"/>
      <c r="X333" s="62"/>
      <c r="Y333" s="62"/>
      <c r="Z333" s="94"/>
      <c r="AA333" s="94"/>
      <c r="AB333" s="94"/>
      <c r="AC333" s="94"/>
      <c r="AD333" s="94"/>
      <c r="AE333" s="94"/>
      <c r="AF333" s="62"/>
      <c r="AG333" s="62"/>
      <c r="AH333" s="62"/>
      <c r="AI333" s="62"/>
      <c r="AJ333" s="62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A334" s="62"/>
      <c r="B334" s="94"/>
      <c r="C334" s="94"/>
      <c r="D334" s="94"/>
      <c r="E334" s="94"/>
      <c r="F334" s="94"/>
      <c r="G334" s="94"/>
      <c r="H334" s="62"/>
      <c r="I334" s="62"/>
      <c r="J334" s="62"/>
      <c r="K334" s="62"/>
      <c r="L334" s="62"/>
      <c r="M334" s="62"/>
      <c r="N334" s="94"/>
      <c r="O334" s="94"/>
      <c r="P334" s="94"/>
      <c r="Q334" s="94"/>
      <c r="R334" s="94"/>
      <c r="S334" s="94"/>
      <c r="T334" s="62"/>
      <c r="U334" s="62"/>
      <c r="V334" s="62"/>
      <c r="W334" s="62"/>
      <c r="X334" s="62"/>
      <c r="Y334" s="62"/>
      <c r="Z334" s="94"/>
      <c r="AA334" s="94"/>
      <c r="AB334" s="94"/>
      <c r="AC334" s="94"/>
      <c r="AD334" s="94"/>
      <c r="AE334" s="94"/>
      <c r="AF334" s="62"/>
      <c r="AG334" s="62"/>
      <c r="AH334" s="62"/>
      <c r="AI334" s="62"/>
      <c r="AJ334" s="62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63"/>
      <c r="B335" s="94"/>
      <c r="C335" s="94"/>
      <c r="D335" s="94"/>
      <c r="E335" s="94"/>
      <c r="F335" s="94"/>
      <c r="G335" s="94"/>
      <c r="H335" s="62"/>
      <c r="I335" s="62"/>
      <c r="J335" s="62"/>
      <c r="K335" s="62"/>
      <c r="L335" s="62"/>
      <c r="M335" s="63"/>
      <c r="N335" s="94"/>
      <c r="O335" s="94"/>
      <c r="P335" s="94"/>
      <c r="Q335" s="94"/>
      <c r="R335" s="94"/>
      <c r="S335" s="94"/>
      <c r="T335" s="62"/>
      <c r="U335" s="62"/>
      <c r="V335" s="62"/>
      <c r="W335" s="62"/>
      <c r="X335" s="62"/>
      <c r="Y335" s="63"/>
      <c r="Z335" s="94"/>
      <c r="AA335" s="94"/>
      <c r="AB335" s="94"/>
      <c r="AC335" s="94"/>
      <c r="AD335" s="94"/>
      <c r="AE335" s="94"/>
      <c r="AF335" s="62"/>
      <c r="AG335" s="62"/>
      <c r="AH335" s="62"/>
      <c r="AI335" s="62"/>
      <c r="AJ335" s="62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A336" s="62"/>
      <c r="B336" s="94"/>
      <c r="C336" s="94"/>
      <c r="D336" s="94"/>
      <c r="E336" s="94"/>
      <c r="F336" s="94"/>
      <c r="G336" s="94"/>
      <c r="H336" s="62"/>
      <c r="I336" s="62"/>
      <c r="J336" s="62"/>
      <c r="K336" s="62"/>
      <c r="L336" s="62"/>
      <c r="M336" s="62"/>
      <c r="N336" s="94"/>
      <c r="O336" s="94"/>
      <c r="P336" s="94"/>
      <c r="Q336" s="94"/>
      <c r="R336" s="94"/>
      <c r="S336" s="94"/>
      <c r="T336" s="62"/>
      <c r="U336" s="62"/>
      <c r="V336" s="62"/>
      <c r="W336" s="62"/>
      <c r="X336" s="62"/>
      <c r="Y336" s="62"/>
      <c r="Z336" s="94"/>
      <c r="AA336" s="94"/>
      <c r="AB336" s="94"/>
      <c r="AC336" s="94"/>
      <c r="AD336" s="94"/>
      <c r="AE336" s="94"/>
      <c r="AF336" s="62"/>
      <c r="AG336" s="62"/>
      <c r="AH336" s="62"/>
      <c r="AI336" s="62"/>
      <c r="AJ336" s="62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s="62"/>
      <c r="B337" s="94"/>
      <c r="C337" s="94"/>
      <c r="D337" s="94"/>
      <c r="E337" s="94"/>
      <c r="F337" s="94"/>
      <c r="G337" s="94"/>
      <c r="H337" s="62"/>
      <c r="I337" s="94"/>
      <c r="J337" s="74"/>
      <c r="K337" s="62"/>
      <c r="L337" s="62"/>
      <c r="M337" s="62"/>
      <c r="N337" s="94"/>
      <c r="O337" s="94"/>
      <c r="P337" s="94"/>
      <c r="Q337" s="94"/>
      <c r="R337" s="94"/>
      <c r="S337" s="94"/>
      <c r="T337" s="62"/>
      <c r="U337" s="94"/>
      <c r="V337" s="74"/>
      <c r="W337" s="62"/>
      <c r="X337" s="62"/>
      <c r="Y337" s="62"/>
      <c r="Z337" s="94"/>
      <c r="AA337" s="94"/>
      <c r="AB337" s="94"/>
      <c r="AC337" s="94"/>
      <c r="AD337" s="94"/>
      <c r="AE337" s="94"/>
      <c r="AF337" s="62"/>
      <c r="AG337" s="94"/>
      <c r="AH337" s="94"/>
      <c r="AI337" s="62"/>
      <c r="AJ337" s="62"/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64"/>
      <c r="B338" s="94"/>
      <c r="C338" s="94"/>
      <c r="D338" s="94"/>
      <c r="E338" s="94"/>
      <c r="F338" s="94"/>
      <c r="G338" s="94"/>
      <c r="H338" s="62"/>
      <c r="I338" s="65"/>
      <c r="J338" s="65"/>
      <c r="K338" s="62"/>
      <c r="L338" s="62"/>
      <c r="M338" s="64"/>
      <c r="N338" s="94"/>
      <c r="O338" s="94"/>
      <c r="P338" s="94"/>
      <c r="Q338" s="94"/>
      <c r="R338" s="94"/>
      <c r="S338" s="94"/>
      <c r="T338" s="62"/>
      <c r="U338" s="65"/>
      <c r="V338" s="65"/>
      <c r="W338" s="62"/>
      <c r="X338" s="62"/>
      <c r="Y338" s="64"/>
      <c r="Z338" s="94"/>
      <c r="AA338" s="94"/>
      <c r="AB338" s="94"/>
      <c r="AC338" s="94"/>
      <c r="AD338" s="94"/>
      <c r="AE338" s="94"/>
      <c r="AF338" s="62"/>
      <c r="AG338" s="65"/>
      <c r="AH338" s="65"/>
      <c r="AI338" s="62"/>
      <c r="AJ338" s="62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A339" s="62"/>
      <c r="B339" s="94"/>
      <c r="C339" s="94"/>
      <c r="D339" s="94"/>
      <c r="E339" s="94"/>
      <c r="F339" s="94"/>
      <c r="G339" s="94"/>
      <c r="H339" s="62"/>
      <c r="I339" s="62"/>
      <c r="J339" s="62"/>
      <c r="K339" s="62"/>
      <c r="L339" s="62"/>
      <c r="M339" s="62"/>
      <c r="N339" s="94"/>
      <c r="O339" s="94"/>
      <c r="P339" s="94"/>
      <c r="Q339" s="94"/>
      <c r="R339" s="94"/>
      <c r="S339" s="94"/>
      <c r="T339" s="62"/>
      <c r="U339" s="62"/>
      <c r="V339" s="62"/>
      <c r="W339" s="62"/>
      <c r="X339" s="62"/>
      <c r="Y339" s="62"/>
      <c r="Z339" s="94"/>
      <c r="AA339" s="94"/>
      <c r="AB339" s="94"/>
      <c r="AC339" s="94"/>
      <c r="AD339" s="94"/>
      <c r="AE339" s="94"/>
      <c r="AF339" s="62"/>
      <c r="AG339" s="62"/>
      <c r="AH339" s="62"/>
      <c r="AI339" s="62"/>
      <c r="AJ339" s="62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A340" s="62"/>
      <c r="B340" s="65"/>
      <c r="C340" s="94"/>
      <c r="D340" s="104"/>
      <c r="E340" s="104"/>
      <c r="F340" s="94"/>
      <c r="G340" s="94"/>
      <c r="H340" s="62"/>
      <c r="I340" s="104"/>
      <c r="J340" s="104"/>
      <c r="K340" s="103"/>
      <c r="L340" s="62"/>
      <c r="M340" s="62"/>
      <c r="N340" s="65"/>
      <c r="O340" s="94"/>
      <c r="P340" s="104"/>
      <c r="Q340" s="104"/>
      <c r="R340" s="94"/>
      <c r="S340" s="94"/>
      <c r="T340" s="62"/>
      <c r="U340" s="104"/>
      <c r="V340" s="104"/>
      <c r="W340" s="103"/>
      <c r="X340" s="62"/>
      <c r="Y340" s="62"/>
      <c r="Z340" s="65"/>
      <c r="AA340" s="94"/>
      <c r="AB340" s="104"/>
      <c r="AC340" s="104"/>
      <c r="AD340" s="94"/>
      <c r="AE340" s="94"/>
      <c r="AF340" s="62"/>
      <c r="AG340" s="104"/>
      <c r="AH340" s="104"/>
      <c r="AI340" s="103"/>
      <c r="AJ340" s="62"/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x14ac:dyDescent="0.25">
      <c r="A341" s="62"/>
      <c r="B341" s="94"/>
      <c r="C341" s="94"/>
      <c r="D341" s="81"/>
      <c r="E341" s="82"/>
      <c r="F341" s="83"/>
      <c r="G341" s="83"/>
      <c r="H341" s="62"/>
      <c r="I341" s="93"/>
      <c r="J341" s="93"/>
      <c r="K341" s="103"/>
      <c r="L341" s="62"/>
      <c r="M341" s="62"/>
      <c r="N341" s="94"/>
      <c r="O341" s="94"/>
      <c r="P341" s="81"/>
      <c r="Q341" s="83"/>
      <c r="R341" s="83"/>
      <c r="S341" s="83"/>
      <c r="T341" s="62"/>
      <c r="U341" s="93"/>
      <c r="V341" s="93"/>
      <c r="W341" s="103"/>
      <c r="X341" s="62"/>
      <c r="Y341" s="62"/>
      <c r="Z341" s="94"/>
      <c r="AA341" s="94"/>
      <c r="AB341" s="81"/>
      <c r="AC341" s="83"/>
      <c r="AD341" s="83"/>
      <c r="AE341" s="83"/>
      <c r="AF341" s="62"/>
      <c r="AG341" s="93"/>
      <c r="AH341" s="93"/>
      <c r="AI341" s="103"/>
      <c r="AJ341" s="62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62"/>
      <c r="B342" s="66"/>
      <c r="C342" s="92"/>
      <c r="D342" s="60"/>
      <c r="E342" s="60"/>
      <c r="F342" s="60"/>
      <c r="G342" s="60"/>
      <c r="H342" s="61"/>
      <c r="I342" s="61"/>
      <c r="J342" s="61"/>
      <c r="K342" s="61"/>
      <c r="L342" s="62"/>
      <c r="M342" s="62"/>
      <c r="N342" s="66"/>
      <c r="O342" s="94"/>
      <c r="P342" s="60"/>
      <c r="Q342" s="60"/>
      <c r="R342" s="60"/>
      <c r="S342" s="60"/>
      <c r="T342" s="61"/>
      <c r="U342" s="61"/>
      <c r="V342" s="61"/>
      <c r="W342" s="61"/>
      <c r="X342" s="62"/>
      <c r="Y342" s="62"/>
      <c r="Z342" s="66"/>
      <c r="AA342" s="94"/>
      <c r="AB342" s="60"/>
      <c r="AC342" s="60"/>
      <c r="AD342" s="60"/>
      <c r="AE342" s="60"/>
      <c r="AF342" s="61"/>
      <c r="AG342" s="61"/>
      <c r="AH342" s="61"/>
      <c r="AI342" s="61"/>
      <c r="AJ342" s="62"/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62"/>
      <c r="B343" s="66"/>
      <c r="C343" s="92"/>
      <c r="D343" s="60"/>
      <c r="E343" s="60"/>
      <c r="F343" s="60"/>
      <c r="G343" s="60"/>
      <c r="H343" s="61"/>
      <c r="I343" s="61"/>
      <c r="J343" s="61"/>
      <c r="K343" s="61"/>
      <c r="L343" s="62"/>
      <c r="M343" s="62"/>
      <c r="N343" s="66"/>
      <c r="O343" s="94"/>
      <c r="P343" s="60"/>
      <c r="Q343" s="60"/>
      <c r="R343" s="60"/>
      <c r="S343" s="60"/>
      <c r="T343" s="61"/>
      <c r="U343" s="61"/>
      <c r="V343" s="61"/>
      <c r="W343" s="61"/>
      <c r="X343" s="62"/>
      <c r="Y343" s="62"/>
      <c r="Z343" s="66"/>
      <c r="AA343" s="94"/>
      <c r="AB343" s="60"/>
      <c r="AC343" s="60"/>
      <c r="AD343" s="60"/>
      <c r="AE343" s="60"/>
      <c r="AF343" s="61"/>
      <c r="AG343" s="61"/>
      <c r="AH343" s="61"/>
      <c r="AI343" s="61"/>
      <c r="AJ343" s="62"/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62"/>
      <c r="B344" s="66"/>
      <c r="C344" s="92"/>
      <c r="D344" s="60"/>
      <c r="E344" s="60"/>
      <c r="F344" s="60"/>
      <c r="G344" s="60"/>
      <c r="H344" s="61"/>
      <c r="I344" s="61"/>
      <c r="J344" s="61"/>
      <c r="K344" s="61"/>
      <c r="L344" s="62"/>
      <c r="M344" s="62"/>
      <c r="N344" s="66"/>
      <c r="O344" s="94"/>
      <c r="P344" s="60"/>
      <c r="Q344" s="60"/>
      <c r="R344" s="60"/>
      <c r="S344" s="60"/>
      <c r="T344" s="61"/>
      <c r="U344" s="61"/>
      <c r="V344" s="61"/>
      <c r="W344" s="61"/>
      <c r="X344" s="62"/>
      <c r="Y344" s="62"/>
      <c r="Z344" s="66"/>
      <c r="AA344" s="65"/>
      <c r="AB344" s="60"/>
      <c r="AC344" s="60"/>
      <c r="AD344" s="60"/>
      <c r="AE344" s="60"/>
      <c r="AF344" s="61"/>
      <c r="AG344" s="61"/>
      <c r="AH344" s="61"/>
      <c r="AI344" s="61"/>
      <c r="AJ344" s="62"/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62"/>
      <c r="B345" s="66"/>
      <c r="C345" s="92"/>
      <c r="D345" s="60"/>
      <c r="E345" s="60"/>
      <c r="F345" s="60"/>
      <c r="G345" s="60"/>
      <c r="H345" s="61"/>
      <c r="I345" s="61"/>
      <c r="J345" s="61"/>
      <c r="K345" s="61"/>
      <c r="L345" s="62"/>
      <c r="M345" s="62"/>
      <c r="N345" s="66"/>
      <c r="O345" s="94"/>
      <c r="P345" s="60"/>
      <c r="Q345" s="60"/>
      <c r="R345" s="60"/>
      <c r="S345" s="60"/>
      <c r="T345" s="61"/>
      <c r="U345" s="61"/>
      <c r="V345" s="61"/>
      <c r="W345" s="61"/>
      <c r="X345" s="62"/>
      <c r="Y345" s="62"/>
      <c r="Z345" s="66"/>
      <c r="AA345" s="94"/>
      <c r="AB345" s="60"/>
      <c r="AC345" s="60"/>
      <c r="AD345" s="60"/>
      <c r="AE345" s="60"/>
      <c r="AF345" s="61"/>
      <c r="AG345" s="62"/>
      <c r="AH345" s="61"/>
      <c r="AI345" s="61"/>
      <c r="AJ345" s="62"/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62"/>
      <c r="B346" s="66"/>
      <c r="C346" s="92"/>
      <c r="D346" s="60"/>
      <c r="E346" s="60"/>
      <c r="F346" s="60"/>
      <c r="G346" s="60"/>
      <c r="H346" s="61"/>
      <c r="I346" s="61"/>
      <c r="J346" s="61"/>
      <c r="K346" s="61"/>
      <c r="L346" s="62"/>
      <c r="M346" s="62"/>
      <c r="N346" s="66"/>
      <c r="O346" s="94"/>
      <c r="P346" s="60"/>
      <c r="Q346" s="60"/>
      <c r="R346" s="60"/>
      <c r="S346" s="60"/>
      <c r="T346" s="61"/>
      <c r="U346" s="61"/>
      <c r="V346" s="61"/>
      <c r="W346" s="61"/>
      <c r="X346" s="62"/>
      <c r="Y346" s="62"/>
      <c r="Z346" s="66"/>
      <c r="AA346" s="94"/>
      <c r="AB346" s="60"/>
      <c r="AC346" s="60"/>
      <c r="AD346" s="60"/>
      <c r="AE346" s="60"/>
      <c r="AF346" s="61"/>
      <c r="AG346" s="61"/>
      <c r="AH346" s="61"/>
      <c r="AI346" s="61"/>
      <c r="AJ346" s="62"/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62"/>
      <c r="B347" s="66"/>
      <c r="C347" s="92"/>
      <c r="D347" s="60"/>
      <c r="E347" s="60"/>
      <c r="F347" s="60"/>
      <c r="G347" s="60"/>
      <c r="H347" s="61"/>
      <c r="I347" s="61"/>
      <c r="J347" s="61"/>
      <c r="K347" s="61"/>
      <c r="L347" s="62"/>
      <c r="M347" s="62"/>
      <c r="N347" s="66"/>
      <c r="O347" s="94"/>
      <c r="P347" s="60"/>
      <c r="Q347" s="60"/>
      <c r="R347" s="60"/>
      <c r="S347" s="60"/>
      <c r="T347" s="61"/>
      <c r="U347" s="61"/>
      <c r="V347" s="62"/>
      <c r="W347" s="61"/>
      <c r="X347" s="62"/>
      <c r="Y347" s="62"/>
      <c r="Z347" s="66"/>
      <c r="AA347" s="94"/>
      <c r="AB347" s="60"/>
      <c r="AC347" s="60"/>
      <c r="AD347" s="60"/>
      <c r="AE347" s="60"/>
      <c r="AF347" s="61"/>
      <c r="AG347" s="61"/>
      <c r="AH347" s="62"/>
      <c r="AI347" s="61"/>
      <c r="AJ347" s="62"/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62"/>
      <c r="B348" s="66"/>
      <c r="C348" s="92"/>
      <c r="D348" s="60"/>
      <c r="E348" s="60"/>
      <c r="F348" s="60"/>
      <c r="G348" s="60"/>
      <c r="H348" s="61"/>
      <c r="I348" s="61"/>
      <c r="J348" s="61"/>
      <c r="K348" s="61"/>
      <c r="L348" s="62"/>
      <c r="M348" s="62"/>
      <c r="N348" s="66"/>
      <c r="O348" s="94"/>
      <c r="P348" s="60"/>
      <c r="Q348" s="60"/>
      <c r="R348" s="60"/>
      <c r="S348" s="60"/>
      <c r="T348" s="61"/>
      <c r="U348" s="61"/>
      <c r="V348" s="61"/>
      <c r="W348" s="61"/>
      <c r="X348" s="62"/>
      <c r="Y348" s="62"/>
      <c r="Z348" s="66"/>
      <c r="AA348" s="94"/>
      <c r="AB348" s="60"/>
      <c r="AC348" s="60"/>
      <c r="AD348" s="60"/>
      <c r="AE348" s="60"/>
      <c r="AF348" s="61"/>
      <c r="AG348" s="61"/>
      <c r="AH348" s="61"/>
      <c r="AI348" s="61"/>
      <c r="AJ348" s="62"/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62"/>
      <c r="B349" s="66"/>
      <c r="C349" s="92"/>
      <c r="D349" s="60"/>
      <c r="E349" s="60"/>
      <c r="F349" s="60"/>
      <c r="G349" s="60"/>
      <c r="H349" s="61"/>
      <c r="I349" s="61"/>
      <c r="J349" s="61"/>
      <c r="K349" s="61"/>
      <c r="L349" s="62"/>
      <c r="M349" s="62"/>
      <c r="N349" s="66"/>
      <c r="O349" s="94"/>
      <c r="P349" s="60"/>
      <c r="Q349" s="60"/>
      <c r="R349" s="60"/>
      <c r="S349" s="60"/>
      <c r="T349" s="61"/>
      <c r="U349" s="61"/>
      <c r="V349" s="61"/>
      <c r="W349" s="61"/>
      <c r="X349" s="62"/>
      <c r="Y349" s="62"/>
      <c r="Z349" s="66"/>
      <c r="AA349" s="94"/>
      <c r="AB349" s="60"/>
      <c r="AC349" s="60"/>
      <c r="AD349" s="62"/>
      <c r="AE349" s="60"/>
      <c r="AF349" s="61"/>
      <c r="AG349" s="61"/>
      <c r="AH349" s="61"/>
      <c r="AI349" s="61"/>
      <c r="AJ349" s="62"/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62"/>
      <c r="B350" s="66"/>
      <c r="C350" s="92"/>
      <c r="D350" s="60"/>
      <c r="E350" s="60"/>
      <c r="F350" s="60"/>
      <c r="G350" s="60"/>
      <c r="H350" s="61"/>
      <c r="I350" s="61"/>
      <c r="J350" s="61"/>
      <c r="K350" s="61"/>
      <c r="L350" s="62"/>
      <c r="M350" s="62"/>
      <c r="N350" s="66"/>
      <c r="O350" s="94"/>
      <c r="P350" s="60"/>
      <c r="Q350" s="60"/>
      <c r="R350" s="60"/>
      <c r="S350" s="60"/>
      <c r="T350" s="61"/>
      <c r="U350" s="61"/>
      <c r="V350" s="61"/>
      <c r="W350" s="61"/>
      <c r="X350" s="62"/>
      <c r="Y350" s="62"/>
      <c r="Z350" s="66"/>
      <c r="AA350" s="94"/>
      <c r="AB350" s="62"/>
      <c r="AC350" s="60"/>
      <c r="AD350" s="60"/>
      <c r="AE350" s="60"/>
      <c r="AF350" s="61"/>
      <c r="AG350" s="62"/>
      <c r="AH350" s="61"/>
      <c r="AI350" s="61"/>
      <c r="AJ350" s="62"/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62"/>
      <c r="B351" s="66"/>
      <c r="C351" s="92"/>
      <c r="D351" s="60"/>
      <c r="E351" s="60"/>
      <c r="F351" s="60"/>
      <c r="G351" s="60"/>
      <c r="H351" s="61"/>
      <c r="I351" s="61"/>
      <c r="J351" s="61"/>
      <c r="K351" s="61"/>
      <c r="L351" s="62"/>
      <c r="M351" s="62"/>
      <c r="N351" s="66"/>
      <c r="O351" s="94"/>
      <c r="P351" s="60"/>
      <c r="Q351" s="60"/>
      <c r="R351" s="60"/>
      <c r="S351" s="60"/>
      <c r="T351" s="61"/>
      <c r="U351" s="61"/>
      <c r="V351" s="61"/>
      <c r="W351" s="61"/>
      <c r="X351" s="62"/>
      <c r="Y351" s="62"/>
      <c r="Z351" s="66"/>
      <c r="AA351" s="94"/>
      <c r="AB351" s="60"/>
      <c r="AC351" s="60"/>
      <c r="AD351" s="60"/>
      <c r="AE351" s="60"/>
      <c r="AF351" s="61"/>
      <c r="AG351" s="61"/>
      <c r="AH351" s="61"/>
      <c r="AI351" s="61"/>
      <c r="AJ351" s="62"/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62"/>
      <c r="B352" s="66"/>
      <c r="C352" s="92"/>
      <c r="D352" s="60"/>
      <c r="E352" s="60"/>
      <c r="F352" s="60"/>
      <c r="G352" s="60"/>
      <c r="H352" s="61"/>
      <c r="I352" s="61"/>
      <c r="J352" s="61"/>
      <c r="K352" s="61"/>
      <c r="L352" s="62"/>
      <c r="M352" s="62"/>
      <c r="N352" s="66"/>
      <c r="O352" s="94"/>
      <c r="P352" s="60"/>
      <c r="Q352" s="60"/>
      <c r="R352" s="60"/>
      <c r="S352" s="60"/>
      <c r="T352" s="61"/>
      <c r="U352" s="61"/>
      <c r="V352" s="61"/>
      <c r="W352" s="61"/>
      <c r="X352" s="62"/>
      <c r="Y352" s="62"/>
      <c r="Z352" s="66"/>
      <c r="AA352" s="94"/>
      <c r="AB352" s="60"/>
      <c r="AC352" s="60"/>
      <c r="AD352" s="60"/>
      <c r="AE352" s="60"/>
      <c r="AF352" s="61"/>
      <c r="AG352" s="61"/>
      <c r="AH352" s="61"/>
      <c r="AI352" s="61"/>
      <c r="AJ352" s="62"/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62"/>
      <c r="B353" s="66"/>
      <c r="C353" s="92"/>
      <c r="D353" s="60"/>
      <c r="E353" s="60"/>
      <c r="F353" s="60"/>
      <c r="G353" s="60"/>
      <c r="H353" s="61"/>
      <c r="I353" s="61"/>
      <c r="J353" s="62"/>
      <c r="K353" s="61"/>
      <c r="L353" s="62"/>
      <c r="M353" s="62"/>
      <c r="N353" s="66"/>
      <c r="O353" s="94"/>
      <c r="P353" s="60"/>
      <c r="Q353" s="60"/>
      <c r="R353" s="60"/>
      <c r="S353" s="60"/>
      <c r="T353" s="61"/>
      <c r="U353" s="61"/>
      <c r="V353" s="61"/>
      <c r="W353" s="61"/>
      <c r="X353" s="62"/>
      <c r="Y353" s="62"/>
      <c r="Z353" s="66"/>
      <c r="AA353" s="94"/>
      <c r="AB353" s="60"/>
      <c r="AC353" s="60"/>
      <c r="AD353" s="60"/>
      <c r="AE353" s="60"/>
      <c r="AF353" s="61"/>
      <c r="AG353" s="61"/>
      <c r="AH353" s="61"/>
      <c r="AI353" s="61"/>
      <c r="AJ353" s="62"/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62"/>
      <c r="B354" s="66"/>
      <c r="C354" s="92"/>
      <c r="D354" s="60"/>
      <c r="E354" s="60"/>
      <c r="F354" s="60"/>
      <c r="G354" s="60"/>
      <c r="H354" s="61"/>
      <c r="I354" s="61"/>
      <c r="J354" s="61"/>
      <c r="K354" s="61"/>
      <c r="L354" s="62"/>
      <c r="M354" s="62"/>
      <c r="N354" s="66"/>
      <c r="O354" s="94"/>
      <c r="P354" s="60"/>
      <c r="Q354" s="60"/>
      <c r="R354" s="60"/>
      <c r="S354" s="60"/>
      <c r="T354" s="61"/>
      <c r="U354" s="61"/>
      <c r="V354" s="61"/>
      <c r="W354" s="61"/>
      <c r="X354" s="62"/>
      <c r="Y354" s="62"/>
      <c r="Z354" s="66"/>
      <c r="AA354" s="94"/>
      <c r="AB354" s="60"/>
      <c r="AC354" s="60"/>
      <c r="AD354" s="60"/>
      <c r="AE354" s="60"/>
      <c r="AF354" s="61"/>
      <c r="AG354" s="61"/>
      <c r="AH354" s="61"/>
      <c r="AI354" s="61"/>
      <c r="AJ354" s="62"/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62"/>
      <c r="B355" s="66"/>
      <c r="C355" s="92"/>
      <c r="D355" s="60"/>
      <c r="E355" s="60"/>
      <c r="F355" s="60"/>
      <c r="G355" s="60"/>
      <c r="H355" s="61"/>
      <c r="I355" s="61"/>
      <c r="J355" s="61"/>
      <c r="K355" s="61"/>
      <c r="L355" s="62"/>
      <c r="M355" s="62"/>
      <c r="N355" s="66"/>
      <c r="O355" s="94"/>
      <c r="P355" s="60"/>
      <c r="Q355" s="60"/>
      <c r="R355" s="60"/>
      <c r="S355" s="60"/>
      <c r="T355" s="61"/>
      <c r="U355" s="61"/>
      <c r="V355" s="61"/>
      <c r="W355" s="61"/>
      <c r="X355" s="62"/>
      <c r="Y355" s="62"/>
      <c r="Z355" s="66"/>
      <c r="AA355" s="94"/>
      <c r="AB355" s="60"/>
      <c r="AC355" s="60"/>
      <c r="AD355" s="60"/>
      <c r="AE355" s="60"/>
      <c r="AF355" s="61"/>
      <c r="AG355" s="61"/>
      <c r="AH355" s="61"/>
      <c r="AI355" s="61"/>
      <c r="AJ355" s="62"/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62"/>
      <c r="B356" s="66"/>
      <c r="C356" s="92"/>
      <c r="D356" s="60"/>
      <c r="E356" s="60"/>
      <c r="F356" s="60"/>
      <c r="G356" s="60"/>
      <c r="H356" s="61"/>
      <c r="I356" s="61"/>
      <c r="J356" s="61"/>
      <c r="K356" s="61"/>
      <c r="L356" s="62"/>
      <c r="M356" s="62"/>
      <c r="N356" s="66"/>
      <c r="O356" s="94"/>
      <c r="P356" s="60"/>
      <c r="Q356" s="60"/>
      <c r="R356" s="60"/>
      <c r="S356" s="60"/>
      <c r="T356" s="61"/>
      <c r="U356" s="61"/>
      <c r="V356" s="61"/>
      <c r="W356" s="61"/>
      <c r="X356" s="62"/>
      <c r="Y356" s="62"/>
      <c r="Z356" s="66"/>
      <c r="AA356" s="94"/>
      <c r="AB356" s="60"/>
      <c r="AC356" s="60"/>
      <c r="AD356" s="60"/>
      <c r="AE356" s="60"/>
      <c r="AF356" s="61"/>
      <c r="AG356" s="61"/>
      <c r="AH356" s="61"/>
      <c r="AI356" s="61"/>
      <c r="AJ356" s="62"/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62"/>
      <c r="B357" s="66"/>
      <c r="C357" s="92"/>
      <c r="D357" s="60"/>
      <c r="E357" s="60"/>
      <c r="F357" s="60"/>
      <c r="G357" s="60"/>
      <c r="H357" s="61"/>
      <c r="I357" s="61"/>
      <c r="J357" s="61"/>
      <c r="K357" s="61"/>
      <c r="L357" s="62"/>
      <c r="M357" s="62"/>
      <c r="N357" s="66"/>
      <c r="O357" s="94"/>
      <c r="P357" s="60"/>
      <c r="Q357" s="60"/>
      <c r="R357" s="60"/>
      <c r="S357" s="60"/>
      <c r="T357" s="61"/>
      <c r="U357" s="61"/>
      <c r="V357" s="61"/>
      <c r="W357" s="61"/>
      <c r="X357" s="62"/>
      <c r="Y357" s="62"/>
      <c r="Z357" s="66"/>
      <c r="AA357" s="62"/>
      <c r="AB357" s="60"/>
      <c r="AC357" s="60"/>
      <c r="AD357" s="60"/>
      <c r="AE357" s="60"/>
      <c r="AF357" s="61"/>
      <c r="AG357" s="61"/>
      <c r="AH357" s="61"/>
      <c r="AI357" s="61"/>
      <c r="AJ357" s="62"/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62"/>
      <c r="B358" s="66"/>
      <c r="C358" s="92"/>
      <c r="D358" s="60"/>
      <c r="E358" s="60"/>
      <c r="F358" s="60"/>
      <c r="G358" s="60"/>
      <c r="H358" s="61"/>
      <c r="I358" s="61"/>
      <c r="J358" s="61"/>
      <c r="K358" s="61"/>
      <c r="L358" s="62"/>
      <c r="M358" s="62"/>
      <c r="N358" s="66"/>
      <c r="O358" s="65"/>
      <c r="P358" s="60"/>
      <c r="Q358" s="60"/>
      <c r="R358" s="60"/>
      <c r="S358" s="60"/>
      <c r="T358" s="61"/>
      <c r="U358" s="61"/>
      <c r="V358" s="61"/>
      <c r="W358" s="61"/>
      <c r="X358" s="62"/>
      <c r="Y358" s="62"/>
      <c r="Z358" s="66"/>
      <c r="AA358" s="94"/>
      <c r="AB358" s="60"/>
      <c r="AC358" s="60"/>
      <c r="AD358" s="60"/>
      <c r="AE358" s="60"/>
      <c r="AF358" s="61"/>
      <c r="AG358" s="61"/>
      <c r="AH358" s="61"/>
      <c r="AI358" s="61"/>
      <c r="AJ358" s="62"/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62"/>
      <c r="B359" s="66"/>
      <c r="C359" s="65"/>
      <c r="D359" s="60"/>
      <c r="E359" s="60"/>
      <c r="F359" s="60"/>
      <c r="G359" s="60"/>
      <c r="H359" s="61"/>
      <c r="I359" s="61"/>
      <c r="J359" s="61"/>
      <c r="K359" s="61"/>
      <c r="L359" s="62"/>
      <c r="M359" s="62"/>
      <c r="N359" s="66"/>
      <c r="O359" s="94"/>
      <c r="P359" s="60"/>
      <c r="Q359" s="60"/>
      <c r="R359" s="60"/>
      <c r="S359" s="60"/>
      <c r="T359" s="61"/>
      <c r="U359" s="61"/>
      <c r="V359" s="61"/>
      <c r="W359" s="61"/>
      <c r="X359" s="62"/>
      <c r="Y359" s="62"/>
      <c r="Z359" s="66"/>
      <c r="AA359" s="94"/>
      <c r="AB359" s="60"/>
      <c r="AC359" s="60"/>
      <c r="AD359" s="60"/>
      <c r="AE359" s="60"/>
      <c r="AF359" s="61"/>
      <c r="AG359" s="61"/>
      <c r="AH359" s="61"/>
      <c r="AI359" s="61"/>
      <c r="AJ359" s="62"/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62"/>
      <c r="B360" s="66"/>
      <c r="C360" s="94"/>
      <c r="D360" s="60"/>
      <c r="E360" s="60"/>
      <c r="F360" s="60"/>
      <c r="G360" s="60"/>
      <c r="H360" s="61"/>
      <c r="I360" s="61"/>
      <c r="J360" s="61"/>
      <c r="K360" s="61"/>
      <c r="L360" s="62"/>
      <c r="M360" s="62"/>
      <c r="N360" s="66"/>
      <c r="O360" s="94"/>
      <c r="P360" s="60"/>
      <c r="Q360" s="60"/>
      <c r="R360" s="60"/>
      <c r="S360" s="60"/>
      <c r="T360" s="61"/>
      <c r="U360" s="61"/>
      <c r="V360" s="61"/>
      <c r="W360" s="61"/>
      <c r="X360" s="62"/>
      <c r="Y360" s="62"/>
      <c r="Z360" s="66"/>
      <c r="AA360" s="94"/>
      <c r="AB360" s="60"/>
      <c r="AC360" s="60"/>
      <c r="AD360" s="60"/>
      <c r="AE360" s="60"/>
      <c r="AF360" s="61"/>
      <c r="AG360" s="61"/>
      <c r="AH360" s="61"/>
      <c r="AI360" s="61"/>
      <c r="AJ360" s="62"/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62"/>
      <c r="B361" s="66"/>
      <c r="C361" s="92"/>
      <c r="D361" s="60"/>
      <c r="E361" s="60"/>
      <c r="F361" s="60"/>
      <c r="G361" s="60"/>
      <c r="H361" s="61"/>
      <c r="I361" s="61"/>
      <c r="J361" s="61"/>
      <c r="K361" s="61"/>
      <c r="L361" s="62"/>
      <c r="M361" s="62"/>
      <c r="N361" s="66"/>
      <c r="O361" s="94"/>
      <c r="P361" s="60"/>
      <c r="Q361" s="60"/>
      <c r="R361" s="60"/>
      <c r="S361" s="60"/>
      <c r="T361" s="61"/>
      <c r="U361" s="61"/>
      <c r="V361" s="61"/>
      <c r="W361" s="61"/>
      <c r="X361" s="62"/>
      <c r="Y361" s="62"/>
      <c r="Z361" s="66"/>
      <c r="AA361" s="94"/>
      <c r="AB361" s="60"/>
      <c r="AC361" s="60"/>
      <c r="AD361" s="60"/>
      <c r="AE361" s="60"/>
      <c r="AF361" s="61"/>
      <c r="AG361" s="61"/>
      <c r="AH361" s="61"/>
      <c r="AI361" s="61"/>
      <c r="AJ361" s="62"/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62"/>
      <c r="B362" s="66"/>
      <c r="C362" s="92"/>
      <c r="D362" s="60"/>
      <c r="E362" s="60"/>
      <c r="F362" s="60"/>
      <c r="G362" s="60"/>
      <c r="H362" s="62"/>
      <c r="I362" s="62"/>
      <c r="J362" s="62"/>
      <c r="K362" s="61"/>
      <c r="L362" s="62"/>
      <c r="M362" s="62"/>
      <c r="N362" s="66"/>
      <c r="O362" s="94"/>
      <c r="P362" s="67"/>
      <c r="Q362" s="94"/>
      <c r="R362" s="94"/>
      <c r="S362" s="60"/>
      <c r="T362" s="62"/>
      <c r="U362" s="62"/>
      <c r="V362" s="62"/>
      <c r="W362" s="61"/>
      <c r="X362" s="62"/>
      <c r="Y362" s="62"/>
      <c r="Z362" s="66"/>
      <c r="AA362" s="62"/>
      <c r="AB362" s="67"/>
      <c r="AC362" s="94"/>
      <c r="AD362" s="94"/>
      <c r="AE362" s="60"/>
      <c r="AF362" s="62"/>
      <c r="AG362" s="62"/>
      <c r="AH362" s="62"/>
      <c r="AI362" s="61"/>
      <c r="AJ362" s="62"/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62"/>
      <c r="B363" s="66"/>
      <c r="C363" s="92"/>
      <c r="D363" s="60"/>
      <c r="E363" s="60"/>
      <c r="F363" s="60"/>
      <c r="G363" s="60"/>
      <c r="H363" s="62"/>
      <c r="I363" s="62"/>
      <c r="J363" s="62"/>
      <c r="K363" s="61"/>
      <c r="L363" s="62"/>
      <c r="M363" s="62"/>
      <c r="N363" s="66"/>
      <c r="O363" s="94"/>
      <c r="P363" s="68"/>
      <c r="Q363" s="94"/>
      <c r="R363" s="94"/>
      <c r="S363" s="60"/>
      <c r="T363" s="62"/>
      <c r="U363" s="62"/>
      <c r="V363" s="62"/>
      <c r="W363" s="61"/>
      <c r="X363" s="62"/>
      <c r="Y363" s="62"/>
      <c r="Z363" s="66"/>
      <c r="AA363" s="62"/>
      <c r="AB363" s="68"/>
      <c r="AC363" s="94"/>
      <c r="AD363" s="94"/>
      <c r="AE363" s="60"/>
      <c r="AF363" s="62"/>
      <c r="AG363" s="62"/>
      <c r="AH363" s="62"/>
      <c r="AI363" s="61"/>
      <c r="AJ363" s="62"/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62"/>
      <c r="B364" s="66"/>
      <c r="C364" s="94"/>
      <c r="D364" s="60"/>
      <c r="E364" s="60"/>
      <c r="F364" s="60"/>
      <c r="G364" s="60"/>
      <c r="H364" s="62"/>
      <c r="I364" s="62"/>
      <c r="J364" s="61"/>
      <c r="K364" s="61"/>
      <c r="L364" s="62"/>
      <c r="M364" s="62"/>
      <c r="N364" s="66"/>
      <c r="O364" s="94"/>
      <c r="P364" s="69"/>
      <c r="Q364" s="62"/>
      <c r="R364" s="62"/>
      <c r="S364" s="60"/>
      <c r="T364" s="62"/>
      <c r="U364" s="62"/>
      <c r="V364" s="62"/>
      <c r="W364" s="61"/>
      <c r="X364" s="62"/>
      <c r="Y364" s="62"/>
      <c r="Z364" s="66"/>
      <c r="AA364" s="94"/>
      <c r="AB364" s="69"/>
      <c r="AC364" s="62"/>
      <c r="AD364" s="62"/>
      <c r="AE364" s="60"/>
      <c r="AF364" s="62"/>
      <c r="AG364" s="62"/>
      <c r="AH364" s="62"/>
      <c r="AI364" s="61"/>
      <c r="AJ364" s="62"/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62"/>
      <c r="B365" s="66"/>
      <c r="C365" s="94"/>
      <c r="D365" s="60"/>
      <c r="E365" s="60"/>
      <c r="F365" s="60"/>
      <c r="G365" s="60"/>
      <c r="H365" s="62"/>
      <c r="I365" s="62"/>
      <c r="J365" s="62"/>
      <c r="K365" s="61"/>
      <c r="L365" s="62"/>
      <c r="M365" s="62"/>
      <c r="N365" s="66"/>
      <c r="O365" s="62"/>
      <c r="P365" s="69"/>
      <c r="Q365" s="94"/>
      <c r="R365" s="94"/>
      <c r="S365" s="60"/>
      <c r="T365" s="62"/>
      <c r="U365" s="62"/>
      <c r="V365" s="62"/>
      <c r="W365" s="61"/>
      <c r="X365" s="62"/>
      <c r="Y365" s="62"/>
      <c r="Z365" s="66"/>
      <c r="AA365" s="94"/>
      <c r="AB365" s="69"/>
      <c r="AC365" s="94"/>
      <c r="AD365" s="94"/>
      <c r="AE365" s="60"/>
      <c r="AF365" s="62"/>
      <c r="AG365" s="62"/>
      <c r="AH365" s="62"/>
      <c r="AI365" s="61"/>
      <c r="AJ365" s="62"/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62"/>
      <c r="B366" s="66"/>
      <c r="C366" s="94"/>
      <c r="D366" s="60"/>
      <c r="E366" s="60"/>
      <c r="F366" s="60"/>
      <c r="G366" s="60"/>
      <c r="H366" s="62"/>
      <c r="I366" s="62"/>
      <c r="J366" s="62"/>
      <c r="K366" s="61"/>
      <c r="L366" s="62"/>
      <c r="M366" s="62"/>
      <c r="N366" s="66"/>
      <c r="O366" s="94"/>
      <c r="P366" s="69"/>
      <c r="Q366" s="94"/>
      <c r="R366" s="94"/>
      <c r="S366" s="60"/>
      <c r="T366" s="62"/>
      <c r="U366" s="62"/>
      <c r="V366" s="62"/>
      <c r="W366" s="61"/>
      <c r="X366" s="62"/>
      <c r="Y366" s="62"/>
      <c r="Z366" s="66"/>
      <c r="AA366" s="65"/>
      <c r="AB366" s="69"/>
      <c r="AC366" s="94"/>
      <c r="AD366" s="94"/>
      <c r="AE366" s="60"/>
      <c r="AF366" s="62"/>
      <c r="AG366" s="62"/>
      <c r="AH366" s="62"/>
      <c r="AI366" s="61"/>
      <c r="AJ366" s="62"/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62"/>
      <c r="B367" s="66"/>
      <c r="C367" s="65"/>
      <c r="D367" s="60"/>
      <c r="E367" s="60"/>
      <c r="F367" s="60"/>
      <c r="G367" s="60"/>
      <c r="H367" s="62"/>
      <c r="I367" s="62"/>
      <c r="J367" s="62"/>
      <c r="K367" s="61"/>
      <c r="L367" s="62"/>
      <c r="M367" s="62"/>
      <c r="N367" s="66"/>
      <c r="O367" s="62"/>
      <c r="P367" s="69"/>
      <c r="Q367" s="94"/>
      <c r="R367" s="94"/>
      <c r="S367" s="60"/>
      <c r="T367" s="62"/>
      <c r="U367" s="62"/>
      <c r="V367" s="62"/>
      <c r="W367" s="61"/>
      <c r="X367" s="62"/>
      <c r="Y367" s="62"/>
      <c r="Z367" s="66"/>
      <c r="AA367" s="62"/>
      <c r="AB367" s="69"/>
      <c r="AC367" s="94"/>
      <c r="AD367" s="94"/>
      <c r="AE367" s="60"/>
      <c r="AF367" s="62"/>
      <c r="AG367" s="62"/>
      <c r="AH367" s="62"/>
      <c r="AI367" s="61"/>
      <c r="AJ367" s="62"/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62"/>
      <c r="B368" s="66"/>
      <c r="C368" s="94"/>
      <c r="D368" s="60"/>
      <c r="E368" s="60"/>
      <c r="F368" s="60"/>
      <c r="G368" s="60"/>
      <c r="H368" s="62"/>
      <c r="I368" s="62"/>
      <c r="J368" s="62"/>
      <c r="K368" s="61"/>
      <c r="L368" s="62"/>
      <c r="M368" s="62"/>
      <c r="N368" s="66"/>
      <c r="O368" s="94"/>
      <c r="P368" s="69"/>
      <c r="Q368" s="94"/>
      <c r="R368" s="94"/>
      <c r="S368" s="60"/>
      <c r="T368" s="62"/>
      <c r="U368" s="62"/>
      <c r="V368" s="62"/>
      <c r="W368" s="61"/>
      <c r="X368" s="62"/>
      <c r="Y368" s="62"/>
      <c r="Z368" s="66"/>
      <c r="AA368" s="94"/>
      <c r="AB368" s="69"/>
      <c r="AC368" s="94"/>
      <c r="AD368" s="94"/>
      <c r="AE368" s="60"/>
      <c r="AF368" s="62"/>
      <c r="AG368" s="62"/>
      <c r="AH368" s="62"/>
      <c r="AI368" s="61"/>
      <c r="AJ368" s="62"/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62"/>
      <c r="B369" s="66"/>
      <c r="C369" s="94"/>
      <c r="D369" s="60"/>
      <c r="E369" s="60"/>
      <c r="F369" s="60"/>
      <c r="G369" s="60"/>
      <c r="H369" s="62"/>
      <c r="I369" s="62"/>
      <c r="J369" s="62"/>
      <c r="K369" s="61"/>
      <c r="L369" s="62"/>
      <c r="M369" s="62"/>
      <c r="N369" s="66"/>
      <c r="O369" s="94"/>
      <c r="P369" s="69"/>
      <c r="Q369" s="94"/>
      <c r="R369" s="94"/>
      <c r="S369" s="60"/>
      <c r="T369" s="62"/>
      <c r="U369" s="62"/>
      <c r="V369" s="62"/>
      <c r="W369" s="61"/>
      <c r="X369" s="62"/>
      <c r="Y369" s="62"/>
      <c r="Z369" s="66"/>
      <c r="AA369" s="94"/>
      <c r="AB369" s="69"/>
      <c r="AC369" s="94"/>
      <c r="AD369" s="94"/>
      <c r="AE369" s="60"/>
      <c r="AF369" s="62"/>
      <c r="AG369" s="62"/>
      <c r="AH369" s="62"/>
      <c r="AI369" s="61"/>
      <c r="AJ369" s="62"/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62"/>
      <c r="B370" s="66"/>
      <c r="C370" s="94"/>
      <c r="D370" s="60"/>
      <c r="E370" s="60"/>
      <c r="F370" s="60"/>
      <c r="G370" s="60"/>
      <c r="H370" s="62"/>
      <c r="I370" s="62"/>
      <c r="J370" s="62"/>
      <c r="K370" s="61"/>
      <c r="L370" s="62"/>
      <c r="M370" s="62"/>
      <c r="N370" s="66"/>
      <c r="O370" s="62"/>
      <c r="P370" s="69"/>
      <c r="Q370" s="94"/>
      <c r="R370" s="94"/>
      <c r="S370" s="60"/>
      <c r="T370" s="62"/>
      <c r="U370" s="62"/>
      <c r="V370" s="62"/>
      <c r="W370" s="61"/>
      <c r="X370" s="62"/>
      <c r="Y370" s="62"/>
      <c r="Z370" s="66"/>
      <c r="AA370" s="94"/>
      <c r="AB370" s="69"/>
      <c r="AC370" s="94"/>
      <c r="AD370" s="94"/>
      <c r="AE370" s="60"/>
      <c r="AF370" s="62"/>
      <c r="AG370" s="62"/>
      <c r="AH370" s="62"/>
      <c r="AI370" s="61"/>
      <c r="AJ370" s="62"/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62"/>
      <c r="B371" s="66"/>
      <c r="C371" s="94"/>
      <c r="D371" s="60"/>
      <c r="E371" s="60"/>
      <c r="F371" s="60"/>
      <c r="G371" s="60"/>
      <c r="H371" s="62"/>
      <c r="I371" s="62"/>
      <c r="J371" s="62"/>
      <c r="K371" s="61"/>
      <c r="L371" s="62"/>
      <c r="M371" s="62"/>
      <c r="N371" s="66"/>
      <c r="O371" s="62"/>
      <c r="P371" s="69"/>
      <c r="Q371" s="94"/>
      <c r="R371" s="94"/>
      <c r="S371" s="60"/>
      <c r="T371" s="62"/>
      <c r="U371" s="62"/>
      <c r="V371" s="62"/>
      <c r="W371" s="61"/>
      <c r="X371" s="62"/>
      <c r="Y371" s="62"/>
      <c r="Z371" s="66"/>
      <c r="AA371" s="62"/>
      <c r="AB371" s="69"/>
      <c r="AC371" s="94"/>
      <c r="AD371" s="94"/>
      <c r="AE371" s="60"/>
      <c r="AF371" s="62"/>
      <c r="AG371" s="62"/>
      <c r="AH371" s="62"/>
      <c r="AI371" s="61"/>
      <c r="AJ371" s="62"/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62"/>
      <c r="B372" s="66"/>
      <c r="C372" s="94"/>
      <c r="D372" s="60"/>
      <c r="E372" s="60"/>
      <c r="F372" s="60"/>
      <c r="G372" s="60"/>
      <c r="H372" s="62"/>
      <c r="I372" s="62"/>
      <c r="J372" s="62"/>
      <c r="K372" s="61"/>
      <c r="L372" s="62"/>
      <c r="M372" s="62"/>
      <c r="N372" s="66"/>
      <c r="O372" s="94"/>
      <c r="P372" s="69"/>
      <c r="Q372" s="94"/>
      <c r="R372" s="94"/>
      <c r="S372" s="60"/>
      <c r="T372" s="62"/>
      <c r="U372" s="62"/>
      <c r="V372" s="62"/>
      <c r="W372" s="61"/>
      <c r="X372" s="62"/>
      <c r="Y372" s="62"/>
      <c r="Z372" s="66"/>
      <c r="AA372" s="62"/>
      <c r="AB372" s="69"/>
      <c r="AC372" s="94"/>
      <c r="AD372" s="94"/>
      <c r="AE372" s="60"/>
      <c r="AF372" s="62"/>
      <c r="AG372" s="62"/>
      <c r="AH372" s="62"/>
      <c r="AI372" s="61"/>
      <c r="AJ372" s="62"/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62"/>
      <c r="B373" s="66"/>
      <c r="C373" s="94"/>
      <c r="D373" s="60"/>
      <c r="E373" s="60"/>
      <c r="F373" s="60"/>
      <c r="G373" s="60"/>
      <c r="H373" s="62"/>
      <c r="I373" s="62"/>
      <c r="J373" s="62"/>
      <c r="K373" s="61"/>
      <c r="L373" s="62"/>
      <c r="M373" s="62"/>
      <c r="N373" s="66"/>
      <c r="O373" s="62"/>
      <c r="P373" s="69"/>
      <c r="Q373" s="94"/>
      <c r="R373" s="94"/>
      <c r="S373" s="60"/>
      <c r="T373" s="62"/>
      <c r="U373" s="62"/>
      <c r="V373" s="62"/>
      <c r="W373" s="61"/>
      <c r="X373" s="62"/>
      <c r="Y373" s="62"/>
      <c r="Z373" s="66"/>
      <c r="AA373" s="94"/>
      <c r="AB373" s="69"/>
      <c r="AC373" s="94"/>
      <c r="AD373" s="94"/>
      <c r="AE373" s="60"/>
      <c r="AF373" s="62"/>
      <c r="AG373" s="62"/>
      <c r="AH373" s="62"/>
      <c r="AI373" s="61"/>
      <c r="AJ373" s="62"/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62"/>
      <c r="B374" s="66"/>
      <c r="C374" s="94"/>
      <c r="D374" s="60"/>
      <c r="E374" s="60"/>
      <c r="F374" s="60"/>
      <c r="G374" s="60"/>
      <c r="H374" s="62"/>
      <c r="I374" s="62"/>
      <c r="J374" s="62"/>
      <c r="K374" s="61"/>
      <c r="L374" s="62"/>
      <c r="M374" s="62"/>
      <c r="N374" s="66"/>
      <c r="O374" s="94"/>
      <c r="P374" s="69"/>
      <c r="Q374" s="94"/>
      <c r="R374" s="94"/>
      <c r="S374" s="60"/>
      <c r="T374" s="62"/>
      <c r="U374" s="62"/>
      <c r="V374" s="62"/>
      <c r="W374" s="61"/>
      <c r="X374" s="62"/>
      <c r="Y374" s="62"/>
      <c r="Z374" s="66"/>
      <c r="AA374" s="94"/>
      <c r="AB374" s="69"/>
      <c r="AC374" s="94"/>
      <c r="AD374" s="94"/>
      <c r="AE374" s="60"/>
      <c r="AF374" s="62"/>
      <c r="AG374" s="62"/>
      <c r="AH374" s="62"/>
      <c r="AI374" s="61"/>
      <c r="AJ374" s="62"/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62"/>
      <c r="B375" s="66"/>
      <c r="C375" s="94"/>
      <c r="D375" s="60"/>
      <c r="E375" s="60"/>
      <c r="F375" s="60"/>
      <c r="G375" s="60"/>
      <c r="H375" s="62"/>
      <c r="I375" s="62"/>
      <c r="J375" s="62"/>
      <c r="K375" s="61"/>
      <c r="L375" s="62"/>
      <c r="M375" s="62"/>
      <c r="N375" s="66"/>
      <c r="O375" s="94"/>
      <c r="P375" s="69"/>
      <c r="Q375" s="94"/>
      <c r="R375" s="94"/>
      <c r="S375" s="60"/>
      <c r="T375" s="62"/>
      <c r="U375" s="62"/>
      <c r="V375" s="62"/>
      <c r="W375" s="61"/>
      <c r="X375" s="62"/>
      <c r="Y375" s="62"/>
      <c r="Z375" s="66"/>
      <c r="AA375" s="62"/>
      <c r="AB375" s="69"/>
      <c r="AC375" s="94"/>
      <c r="AD375" s="94"/>
      <c r="AE375" s="60"/>
      <c r="AF375" s="62"/>
      <c r="AG375" s="62"/>
      <c r="AH375" s="62"/>
      <c r="AI375" s="61"/>
      <c r="AJ375" s="62"/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62"/>
      <c r="B376" s="66"/>
      <c r="C376" s="94"/>
      <c r="D376" s="60"/>
      <c r="E376" s="60"/>
      <c r="F376" s="60"/>
      <c r="G376" s="60"/>
      <c r="H376" s="62"/>
      <c r="I376" s="62"/>
      <c r="J376" s="62"/>
      <c r="K376" s="61"/>
      <c r="L376" s="62"/>
      <c r="M376" s="62"/>
      <c r="N376" s="66"/>
      <c r="O376" s="94"/>
      <c r="P376" s="69"/>
      <c r="Q376" s="94"/>
      <c r="R376" s="94"/>
      <c r="S376" s="60"/>
      <c r="T376" s="62"/>
      <c r="U376" s="62"/>
      <c r="V376" s="62"/>
      <c r="W376" s="61"/>
      <c r="X376" s="62"/>
      <c r="Y376" s="62"/>
      <c r="Z376" s="66"/>
      <c r="AA376" s="94"/>
      <c r="AB376" s="69"/>
      <c r="AC376" s="94"/>
      <c r="AD376" s="94"/>
      <c r="AE376" s="60"/>
      <c r="AF376" s="62"/>
      <c r="AG376" s="62"/>
      <c r="AH376" s="62"/>
      <c r="AI376" s="61"/>
      <c r="AJ376" s="62"/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62"/>
      <c r="B377" s="66"/>
      <c r="C377" s="94"/>
      <c r="D377" s="60"/>
      <c r="E377" s="60"/>
      <c r="F377" s="60"/>
      <c r="G377" s="60"/>
      <c r="H377" s="62"/>
      <c r="I377" s="62"/>
      <c r="J377" s="62"/>
      <c r="K377" s="61"/>
      <c r="L377" s="62"/>
      <c r="M377" s="62"/>
      <c r="N377" s="66"/>
      <c r="O377" s="94"/>
      <c r="P377" s="69"/>
      <c r="Q377" s="94"/>
      <c r="R377" s="94"/>
      <c r="S377" s="60"/>
      <c r="T377" s="62"/>
      <c r="U377" s="62"/>
      <c r="V377" s="62"/>
      <c r="W377" s="61"/>
      <c r="X377" s="62"/>
      <c r="Y377" s="62"/>
      <c r="Z377" s="66"/>
      <c r="AA377" s="94"/>
      <c r="AB377" s="69"/>
      <c r="AC377" s="94"/>
      <c r="AD377" s="94"/>
      <c r="AE377" s="60"/>
      <c r="AF377" s="62"/>
      <c r="AG377" s="62"/>
      <c r="AH377" s="62"/>
      <c r="AI377" s="61"/>
      <c r="AJ377" s="62"/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62"/>
      <c r="B378" s="66"/>
      <c r="C378" s="94"/>
      <c r="D378" s="60"/>
      <c r="E378" s="60"/>
      <c r="F378" s="60"/>
      <c r="G378" s="60"/>
      <c r="H378" s="62"/>
      <c r="I378" s="62"/>
      <c r="J378" s="62"/>
      <c r="K378" s="61"/>
      <c r="L378" s="62"/>
      <c r="M378" s="62"/>
      <c r="N378" s="66"/>
      <c r="O378" s="62"/>
      <c r="P378" s="69"/>
      <c r="Q378" s="94"/>
      <c r="R378" s="94"/>
      <c r="S378" s="60"/>
      <c r="T378" s="62"/>
      <c r="U378" s="62"/>
      <c r="V378" s="62"/>
      <c r="W378" s="61"/>
      <c r="X378" s="62"/>
      <c r="Y378" s="62"/>
      <c r="Z378" s="66"/>
      <c r="AA378" s="94"/>
      <c r="AB378" s="69"/>
      <c r="AC378" s="94"/>
      <c r="AD378" s="94"/>
      <c r="AE378" s="60"/>
      <c r="AF378" s="62"/>
      <c r="AG378" s="62"/>
      <c r="AH378" s="62"/>
      <c r="AI378" s="61"/>
      <c r="AJ378" s="62"/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62"/>
      <c r="B379" s="66"/>
      <c r="C379" s="94"/>
      <c r="D379" s="60"/>
      <c r="E379" s="60"/>
      <c r="F379" s="60"/>
      <c r="G379" s="60"/>
      <c r="H379" s="62"/>
      <c r="I379" s="62"/>
      <c r="J379" s="62"/>
      <c r="K379" s="61"/>
      <c r="L379" s="62"/>
      <c r="M379" s="62"/>
      <c r="N379" s="66"/>
      <c r="O379" s="94"/>
      <c r="P379" s="69"/>
      <c r="Q379" s="94"/>
      <c r="R379" s="94"/>
      <c r="S379" s="60"/>
      <c r="T379" s="62"/>
      <c r="U379" s="62"/>
      <c r="V379" s="62"/>
      <c r="W379" s="61"/>
      <c r="X379" s="62"/>
      <c r="Y379" s="62"/>
      <c r="Z379" s="66"/>
      <c r="AA379" s="94"/>
      <c r="AB379" s="69"/>
      <c r="AC379" s="94"/>
      <c r="AD379" s="94"/>
      <c r="AE379" s="60"/>
      <c r="AF379" s="62"/>
      <c r="AG379" s="62"/>
      <c r="AH379" s="62"/>
      <c r="AI379" s="61"/>
      <c r="AJ379" s="62"/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62"/>
      <c r="B380" s="66"/>
      <c r="C380" s="94"/>
      <c r="D380" s="60"/>
      <c r="E380" s="60"/>
      <c r="F380" s="60"/>
      <c r="G380" s="60"/>
      <c r="H380" s="62"/>
      <c r="I380" s="62"/>
      <c r="J380" s="62"/>
      <c r="K380" s="61"/>
      <c r="L380" s="62"/>
      <c r="M380" s="62"/>
      <c r="N380" s="66"/>
      <c r="O380" s="94"/>
      <c r="P380" s="69"/>
      <c r="Q380" s="94"/>
      <c r="R380" s="94"/>
      <c r="S380" s="60"/>
      <c r="T380" s="62"/>
      <c r="U380" s="62"/>
      <c r="V380" s="62"/>
      <c r="W380" s="61"/>
      <c r="X380" s="62"/>
      <c r="Y380" s="62"/>
      <c r="Z380" s="66"/>
      <c r="AA380" s="94"/>
      <c r="AB380" s="69"/>
      <c r="AC380" s="94"/>
      <c r="AD380" s="94"/>
      <c r="AE380" s="60"/>
      <c r="AF380" s="62"/>
      <c r="AG380" s="62"/>
      <c r="AH380" s="62"/>
      <c r="AI380" s="61"/>
      <c r="AJ380" s="62"/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62"/>
      <c r="B381" s="66"/>
      <c r="C381" s="94"/>
      <c r="D381" s="60"/>
      <c r="E381" s="60"/>
      <c r="F381" s="60"/>
      <c r="G381" s="60"/>
      <c r="H381" s="62"/>
      <c r="I381" s="62"/>
      <c r="J381" s="62"/>
      <c r="K381" s="61"/>
      <c r="L381" s="62"/>
      <c r="M381" s="62"/>
      <c r="N381" s="66"/>
      <c r="O381" s="62"/>
      <c r="P381" s="69"/>
      <c r="Q381" s="94"/>
      <c r="R381" s="94"/>
      <c r="S381" s="60"/>
      <c r="T381" s="62"/>
      <c r="U381" s="62"/>
      <c r="V381" s="62"/>
      <c r="W381" s="61"/>
      <c r="X381" s="62"/>
      <c r="Y381" s="62"/>
      <c r="Z381" s="66"/>
      <c r="AA381" s="62"/>
      <c r="AB381" s="69"/>
      <c r="AC381" s="94"/>
      <c r="AD381" s="94"/>
      <c r="AE381" s="60"/>
      <c r="AF381" s="62"/>
      <c r="AG381" s="62"/>
      <c r="AH381" s="62"/>
      <c r="AI381" s="61"/>
      <c r="AJ381" s="62"/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62"/>
      <c r="B382" s="66"/>
      <c r="C382" s="94"/>
      <c r="D382" s="60"/>
      <c r="E382" s="60"/>
      <c r="F382" s="60"/>
      <c r="G382" s="60"/>
      <c r="H382" s="62"/>
      <c r="I382" s="62"/>
      <c r="J382" s="62"/>
      <c r="K382" s="61"/>
      <c r="L382" s="62"/>
      <c r="M382" s="62"/>
      <c r="N382" s="66"/>
      <c r="O382" s="94"/>
      <c r="P382" s="69"/>
      <c r="Q382" s="94"/>
      <c r="R382" s="94"/>
      <c r="S382" s="60"/>
      <c r="T382" s="62"/>
      <c r="U382" s="62"/>
      <c r="V382" s="62"/>
      <c r="W382" s="61"/>
      <c r="X382" s="62"/>
      <c r="Y382" s="62"/>
      <c r="Z382" s="66"/>
      <c r="AA382" s="94"/>
      <c r="AB382" s="69"/>
      <c r="AC382" s="94"/>
      <c r="AD382" s="94"/>
      <c r="AE382" s="60"/>
      <c r="AF382" s="62"/>
      <c r="AG382" s="62"/>
      <c r="AH382" s="62"/>
      <c r="AI382" s="61"/>
      <c r="AJ382" s="62"/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62"/>
      <c r="B383" s="66"/>
      <c r="C383" s="66"/>
      <c r="D383" s="60"/>
      <c r="E383" s="60"/>
      <c r="F383" s="60"/>
      <c r="G383" s="60"/>
      <c r="H383" s="62"/>
      <c r="I383" s="62"/>
      <c r="J383" s="62"/>
      <c r="K383" s="61"/>
      <c r="L383" s="62"/>
      <c r="M383" s="62"/>
      <c r="N383" s="94"/>
      <c r="O383" s="94"/>
      <c r="P383" s="94"/>
      <c r="Q383" s="94"/>
      <c r="R383" s="94"/>
      <c r="S383" s="94"/>
      <c r="T383" s="62"/>
      <c r="U383" s="62"/>
      <c r="V383" s="62"/>
      <c r="W383" s="61"/>
      <c r="X383" s="62"/>
      <c r="Y383" s="62"/>
      <c r="Z383" s="94"/>
      <c r="AA383" s="94"/>
      <c r="AB383" s="94"/>
      <c r="AC383" s="94"/>
      <c r="AD383" s="94"/>
      <c r="AE383" s="94"/>
      <c r="AF383" s="62"/>
      <c r="AG383" s="62"/>
      <c r="AH383" s="62"/>
      <c r="AI383" s="61"/>
      <c r="AJ383" s="62"/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A384" s="62"/>
      <c r="B384" s="94"/>
      <c r="C384" s="94"/>
      <c r="D384" s="94"/>
      <c r="E384" s="94"/>
      <c r="F384" s="94"/>
      <c r="G384" s="94"/>
      <c r="H384" s="62"/>
      <c r="I384" s="62"/>
      <c r="J384" s="62"/>
      <c r="K384" s="62"/>
      <c r="L384" s="62"/>
      <c r="M384" s="62"/>
      <c r="N384" s="94"/>
      <c r="O384" s="94"/>
      <c r="P384" s="94"/>
      <c r="Q384" s="94"/>
      <c r="R384" s="94"/>
      <c r="S384" s="94"/>
      <c r="T384" s="62"/>
      <c r="U384" s="62"/>
      <c r="V384" s="62"/>
      <c r="W384" s="62"/>
      <c r="X384" s="62"/>
      <c r="Y384" s="62"/>
      <c r="Z384" s="94"/>
      <c r="AA384" s="94"/>
      <c r="AB384" s="94"/>
      <c r="AC384" s="94"/>
      <c r="AD384" s="94"/>
      <c r="AE384" s="94"/>
      <c r="AF384" s="62"/>
      <c r="AG384" s="62"/>
      <c r="AH384" s="62"/>
      <c r="AI384" s="62"/>
      <c r="AJ384" s="62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A385" s="62"/>
      <c r="B385" s="94"/>
      <c r="C385" s="94"/>
      <c r="D385" s="70"/>
      <c r="E385" s="70"/>
      <c r="F385" s="70"/>
      <c r="G385" s="70"/>
      <c r="H385" s="63"/>
      <c r="I385" s="70"/>
      <c r="J385" s="70"/>
      <c r="K385" s="70"/>
      <c r="L385" s="62"/>
      <c r="M385" s="62"/>
      <c r="N385" s="94"/>
      <c r="O385" s="94"/>
      <c r="P385" s="70"/>
      <c r="Q385" s="70"/>
      <c r="R385" s="70"/>
      <c r="S385" s="70"/>
      <c r="T385" s="63"/>
      <c r="U385" s="71"/>
      <c r="V385" s="71"/>
      <c r="W385" s="71"/>
      <c r="X385" s="62"/>
      <c r="Y385" s="62"/>
      <c r="Z385" s="94"/>
      <c r="AA385" s="94"/>
      <c r="AB385" s="70"/>
      <c r="AC385" s="70"/>
      <c r="AD385" s="70"/>
      <c r="AE385" s="70"/>
      <c r="AF385" s="63"/>
      <c r="AG385" s="71"/>
      <c r="AH385" s="71"/>
      <c r="AI385" s="71"/>
      <c r="AJ385" s="62"/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  <c r="R386" s="62"/>
      <c r="S386" s="62"/>
      <c r="T386" s="62"/>
      <c r="U386" s="62"/>
      <c r="V386" s="62"/>
      <c r="W386" s="62"/>
      <c r="X386" s="62"/>
      <c r="Y386" s="62"/>
      <c r="Z386" s="62"/>
      <c r="AA386" s="62"/>
      <c r="AB386" s="62"/>
      <c r="AC386" s="62"/>
      <c r="AD386" s="62"/>
      <c r="AE386" s="62"/>
      <c r="AF386" s="62"/>
      <c r="AG386" s="62"/>
      <c r="AH386" s="62"/>
      <c r="AI386" s="62"/>
      <c r="AJ386" s="62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s="62"/>
      <c r="B387" s="94"/>
      <c r="C387" s="94"/>
      <c r="D387" s="94"/>
      <c r="E387" s="94"/>
      <c r="F387" s="94"/>
      <c r="G387" s="94"/>
      <c r="H387" s="62"/>
      <c r="I387" s="62"/>
      <c r="J387" s="62"/>
      <c r="K387" s="62"/>
      <c r="L387" s="62"/>
      <c r="M387" s="62"/>
      <c r="N387" s="94"/>
      <c r="O387" s="94"/>
      <c r="P387" s="94"/>
      <c r="Q387" s="94"/>
      <c r="R387" s="94"/>
      <c r="S387" s="94"/>
      <c r="T387" s="62"/>
      <c r="U387" s="62"/>
      <c r="V387" s="62"/>
      <c r="W387" s="62"/>
      <c r="X387" s="62"/>
      <c r="Y387" s="62"/>
      <c r="Z387" s="94"/>
      <c r="AA387" s="94"/>
      <c r="AB387" s="94"/>
      <c r="AC387" s="94"/>
      <c r="AD387" s="94"/>
      <c r="AE387" s="94"/>
      <c r="AF387" s="62"/>
      <c r="AG387" s="62"/>
      <c r="AH387" s="62"/>
      <c r="AI387" s="62"/>
      <c r="AJ387" s="62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s="62"/>
      <c r="B388" s="94"/>
      <c r="C388" s="94"/>
      <c r="D388" s="94"/>
      <c r="E388" s="94"/>
      <c r="F388" s="94"/>
      <c r="G388" s="94"/>
      <c r="H388" s="62"/>
      <c r="I388" s="62"/>
      <c r="J388" s="62"/>
      <c r="K388" s="62"/>
      <c r="L388" s="62"/>
      <c r="M388" s="62"/>
      <c r="N388" s="94"/>
      <c r="O388" s="94"/>
      <c r="P388" s="94"/>
      <c r="Q388" s="94"/>
      <c r="R388" s="94"/>
      <c r="S388" s="94"/>
      <c r="T388" s="62"/>
      <c r="U388" s="62"/>
      <c r="V388" s="62"/>
      <c r="W388" s="62"/>
      <c r="X388" s="62"/>
      <c r="Y388" s="62"/>
      <c r="Z388" s="94"/>
      <c r="AA388" s="94"/>
      <c r="AB388" s="94"/>
      <c r="AC388" s="94"/>
      <c r="AD388" s="94"/>
      <c r="AE388" s="94"/>
      <c r="AF388" s="62"/>
      <c r="AG388" s="62"/>
      <c r="AH388" s="62"/>
      <c r="AI388" s="62"/>
      <c r="AJ388" s="62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A389" s="62"/>
      <c r="B389" s="94"/>
      <c r="C389" s="94"/>
      <c r="D389" s="94"/>
      <c r="E389" s="94"/>
      <c r="F389" s="94"/>
      <c r="G389" s="94"/>
      <c r="H389" s="62"/>
      <c r="I389" s="62"/>
      <c r="J389" s="62"/>
      <c r="K389" s="62"/>
      <c r="L389" s="62"/>
      <c r="M389" s="62"/>
      <c r="N389" s="94"/>
      <c r="O389" s="94"/>
      <c r="P389" s="94"/>
      <c r="Q389" s="94"/>
      <c r="R389" s="94"/>
      <c r="S389" s="94"/>
      <c r="T389" s="62"/>
      <c r="U389" s="62"/>
      <c r="V389" s="62"/>
      <c r="W389" s="62"/>
      <c r="X389" s="62"/>
      <c r="Y389" s="62"/>
      <c r="Z389" s="94"/>
      <c r="AA389" s="94"/>
      <c r="AB389" s="94"/>
      <c r="AC389" s="94"/>
      <c r="AD389" s="94"/>
      <c r="AE389" s="94"/>
      <c r="AF389" s="62"/>
      <c r="AG389" s="62"/>
      <c r="AH389" s="62"/>
      <c r="AI389" s="62"/>
      <c r="AJ389" s="62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63"/>
      <c r="B390" s="94"/>
      <c r="C390" s="94"/>
      <c r="D390" s="94"/>
      <c r="E390" s="94"/>
      <c r="F390" s="94"/>
      <c r="G390" s="94"/>
      <c r="H390" s="62"/>
      <c r="I390" s="62"/>
      <c r="J390" s="62"/>
      <c r="K390" s="62"/>
      <c r="L390" s="62"/>
      <c r="M390" s="63"/>
      <c r="N390" s="94"/>
      <c r="O390" s="94"/>
      <c r="P390" s="94"/>
      <c r="Q390" s="94"/>
      <c r="R390" s="94"/>
      <c r="S390" s="94"/>
      <c r="T390" s="62"/>
      <c r="U390" s="62"/>
      <c r="V390" s="62"/>
      <c r="W390" s="62"/>
      <c r="X390" s="62"/>
      <c r="Y390" s="63"/>
      <c r="Z390" s="94"/>
      <c r="AA390" s="94"/>
      <c r="AB390" s="94"/>
      <c r="AC390" s="94"/>
      <c r="AD390" s="94"/>
      <c r="AE390" s="94"/>
      <c r="AF390" s="62"/>
      <c r="AG390" s="62"/>
      <c r="AH390" s="62"/>
      <c r="AI390" s="62"/>
      <c r="AJ390" s="62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A391" s="62"/>
      <c r="B391" s="94"/>
      <c r="C391" s="94"/>
      <c r="D391" s="94"/>
      <c r="E391" s="94"/>
      <c r="F391" s="94"/>
      <c r="G391" s="94"/>
      <c r="H391" s="62"/>
      <c r="I391" s="62"/>
      <c r="J391" s="62"/>
      <c r="K391" s="62"/>
      <c r="L391" s="62"/>
      <c r="M391" s="62"/>
      <c r="N391" s="94"/>
      <c r="O391" s="94"/>
      <c r="P391" s="94"/>
      <c r="Q391" s="94"/>
      <c r="R391" s="94"/>
      <c r="S391" s="94"/>
      <c r="T391" s="62"/>
      <c r="U391" s="62"/>
      <c r="V391" s="62"/>
      <c r="W391" s="62"/>
      <c r="X391" s="62"/>
      <c r="Y391" s="62"/>
      <c r="Z391" s="94"/>
      <c r="AA391" s="94"/>
      <c r="AB391" s="94"/>
      <c r="AC391" s="94"/>
      <c r="AD391" s="94"/>
      <c r="AE391" s="94"/>
      <c r="AF391" s="62"/>
      <c r="AG391" s="62"/>
      <c r="AH391" s="62"/>
      <c r="AI391" s="62"/>
      <c r="AJ391" s="62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s="62"/>
      <c r="B392" s="94"/>
      <c r="C392" s="94"/>
      <c r="D392" s="94"/>
      <c r="E392" s="94"/>
      <c r="F392" s="94"/>
      <c r="G392" s="94"/>
      <c r="H392" s="62"/>
      <c r="I392" s="94"/>
      <c r="J392" s="74"/>
      <c r="K392" s="62"/>
      <c r="L392" s="62"/>
      <c r="M392" s="62"/>
      <c r="N392" s="94"/>
      <c r="O392" s="94"/>
      <c r="P392" s="94"/>
      <c r="Q392" s="94"/>
      <c r="R392" s="94"/>
      <c r="S392" s="94"/>
      <c r="T392" s="62"/>
      <c r="U392" s="94"/>
      <c r="V392" s="74"/>
      <c r="W392" s="62"/>
      <c r="X392" s="62"/>
      <c r="Y392" s="62"/>
      <c r="Z392" s="94"/>
      <c r="AA392" s="94"/>
      <c r="AB392" s="94"/>
      <c r="AC392" s="94"/>
      <c r="AD392" s="94"/>
      <c r="AE392" s="94"/>
      <c r="AF392" s="62"/>
      <c r="AG392" s="94"/>
      <c r="AH392" s="94"/>
      <c r="AI392" s="62"/>
      <c r="AJ392" s="62"/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64"/>
      <c r="B393" s="94"/>
      <c r="C393" s="94"/>
      <c r="D393" s="94"/>
      <c r="E393" s="94"/>
      <c r="F393" s="94"/>
      <c r="G393" s="94"/>
      <c r="H393" s="62"/>
      <c r="I393" s="65"/>
      <c r="J393" s="65"/>
      <c r="K393" s="62"/>
      <c r="L393" s="62"/>
      <c r="M393" s="64"/>
      <c r="N393" s="94"/>
      <c r="O393" s="94"/>
      <c r="P393" s="94"/>
      <c r="Q393" s="94"/>
      <c r="R393" s="94"/>
      <c r="S393" s="94"/>
      <c r="T393" s="62"/>
      <c r="U393" s="65"/>
      <c r="V393" s="65"/>
      <c r="W393" s="62"/>
      <c r="X393" s="62"/>
      <c r="Y393" s="64"/>
      <c r="Z393" s="94"/>
      <c r="AA393" s="94"/>
      <c r="AB393" s="94"/>
      <c r="AC393" s="94"/>
      <c r="AD393" s="94"/>
      <c r="AE393" s="94"/>
      <c r="AF393" s="62"/>
      <c r="AG393" s="65"/>
      <c r="AH393" s="65"/>
      <c r="AI393" s="62"/>
      <c r="AJ393" s="62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A394" s="62"/>
      <c r="B394" s="94"/>
      <c r="C394" s="94"/>
      <c r="D394" s="94"/>
      <c r="E394" s="94"/>
      <c r="F394" s="94"/>
      <c r="G394" s="94"/>
      <c r="H394" s="62"/>
      <c r="I394" s="62"/>
      <c r="J394" s="62"/>
      <c r="K394" s="62"/>
      <c r="L394" s="62"/>
      <c r="M394" s="62"/>
      <c r="N394" s="94"/>
      <c r="O394" s="94"/>
      <c r="P394" s="94"/>
      <c r="Q394" s="94"/>
      <c r="R394" s="94"/>
      <c r="S394" s="94"/>
      <c r="T394" s="62"/>
      <c r="U394" s="62"/>
      <c r="V394" s="62"/>
      <c r="W394" s="62"/>
      <c r="X394" s="62"/>
      <c r="Y394" s="62"/>
      <c r="Z394" s="94"/>
      <c r="AA394" s="94"/>
      <c r="AB394" s="94"/>
      <c r="AC394" s="94"/>
      <c r="AD394" s="94"/>
      <c r="AE394" s="94"/>
      <c r="AF394" s="62"/>
      <c r="AG394" s="62"/>
      <c r="AH394" s="62"/>
      <c r="AI394" s="62"/>
      <c r="AJ394" s="62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A395" s="62"/>
      <c r="B395" s="65"/>
      <c r="C395" s="94"/>
      <c r="D395" s="104"/>
      <c r="E395" s="104"/>
      <c r="F395" s="94"/>
      <c r="G395" s="94"/>
      <c r="H395" s="62"/>
      <c r="I395" s="104"/>
      <c r="J395" s="104"/>
      <c r="K395" s="103"/>
      <c r="L395" s="62"/>
      <c r="M395" s="62"/>
      <c r="N395" s="65"/>
      <c r="O395" s="94"/>
      <c r="P395" s="104"/>
      <c r="Q395" s="104"/>
      <c r="R395" s="94"/>
      <c r="S395" s="94"/>
      <c r="T395" s="62"/>
      <c r="U395" s="104"/>
      <c r="V395" s="104"/>
      <c r="W395" s="103"/>
      <c r="X395" s="62"/>
      <c r="Y395" s="62"/>
      <c r="Z395" s="65"/>
      <c r="AA395" s="94"/>
      <c r="AB395" s="104"/>
      <c r="AC395" s="104"/>
      <c r="AD395" s="94"/>
      <c r="AE395" s="94"/>
      <c r="AF395" s="62"/>
      <c r="AG395" s="104"/>
      <c r="AH395" s="104"/>
      <c r="AI395" s="103"/>
      <c r="AJ395" s="62"/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x14ac:dyDescent="0.25">
      <c r="A396" s="62"/>
      <c r="B396" s="94"/>
      <c r="C396" s="94"/>
      <c r="D396" s="81"/>
      <c r="E396" s="82"/>
      <c r="F396" s="83"/>
      <c r="G396" s="83"/>
      <c r="H396" s="62"/>
      <c r="I396" s="93"/>
      <c r="J396" s="93"/>
      <c r="K396" s="103"/>
      <c r="L396" s="62"/>
      <c r="M396" s="62"/>
      <c r="N396" s="94"/>
      <c r="O396" s="94"/>
      <c r="P396" s="81"/>
      <c r="Q396" s="83"/>
      <c r="R396" s="83"/>
      <c r="S396" s="83"/>
      <c r="T396" s="62"/>
      <c r="U396" s="93"/>
      <c r="V396" s="93"/>
      <c r="W396" s="103"/>
      <c r="X396" s="62"/>
      <c r="Y396" s="62"/>
      <c r="Z396" s="94"/>
      <c r="AA396" s="94"/>
      <c r="AB396" s="81"/>
      <c r="AC396" s="83"/>
      <c r="AD396" s="83"/>
      <c r="AE396" s="83"/>
      <c r="AF396" s="62"/>
      <c r="AG396" s="93"/>
      <c r="AH396" s="93"/>
      <c r="AI396" s="103"/>
      <c r="AJ396" s="62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62"/>
      <c r="B397" s="66"/>
      <c r="C397" s="92"/>
      <c r="D397" s="60"/>
      <c r="E397" s="60"/>
      <c r="F397" s="60"/>
      <c r="G397" s="60"/>
      <c r="H397" s="61"/>
      <c r="I397" s="61"/>
      <c r="J397" s="61"/>
      <c r="K397" s="61"/>
      <c r="L397" s="62"/>
      <c r="M397" s="62"/>
      <c r="N397" s="66"/>
      <c r="O397" s="94"/>
      <c r="P397" s="60"/>
      <c r="Q397" s="60"/>
      <c r="R397" s="60"/>
      <c r="S397" s="60"/>
      <c r="T397" s="61"/>
      <c r="U397" s="61"/>
      <c r="V397" s="61"/>
      <c r="W397" s="61"/>
      <c r="X397" s="62"/>
      <c r="Y397" s="62"/>
      <c r="Z397" s="66"/>
      <c r="AA397" s="94"/>
      <c r="AB397" s="60"/>
      <c r="AC397" s="60"/>
      <c r="AD397" s="60"/>
      <c r="AE397" s="60"/>
      <c r="AF397" s="61"/>
      <c r="AG397" s="61"/>
      <c r="AH397" s="61"/>
      <c r="AI397" s="61"/>
      <c r="AJ397" s="62"/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62"/>
      <c r="B398" s="66"/>
      <c r="C398" s="92"/>
      <c r="D398" s="60"/>
      <c r="E398" s="60"/>
      <c r="F398" s="60"/>
      <c r="G398" s="60"/>
      <c r="H398" s="61"/>
      <c r="I398" s="61"/>
      <c r="J398" s="61"/>
      <c r="K398" s="61"/>
      <c r="L398" s="62"/>
      <c r="M398" s="62"/>
      <c r="N398" s="66"/>
      <c r="O398" s="94"/>
      <c r="P398" s="60"/>
      <c r="Q398" s="60"/>
      <c r="R398" s="60"/>
      <c r="S398" s="60"/>
      <c r="T398" s="61"/>
      <c r="U398" s="61"/>
      <c r="V398" s="61"/>
      <c r="W398" s="61"/>
      <c r="X398" s="62"/>
      <c r="Y398" s="62"/>
      <c r="Z398" s="66"/>
      <c r="AA398" s="94"/>
      <c r="AB398" s="60"/>
      <c r="AC398" s="60"/>
      <c r="AD398" s="60"/>
      <c r="AE398" s="60"/>
      <c r="AF398" s="61"/>
      <c r="AG398" s="61"/>
      <c r="AH398" s="61"/>
      <c r="AI398" s="61"/>
      <c r="AJ398" s="62"/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62"/>
      <c r="B399" s="66"/>
      <c r="C399" s="92"/>
      <c r="D399" s="60"/>
      <c r="E399" s="60"/>
      <c r="F399" s="60"/>
      <c r="G399" s="60"/>
      <c r="H399" s="61"/>
      <c r="I399" s="61"/>
      <c r="J399" s="61"/>
      <c r="K399" s="61"/>
      <c r="L399" s="62"/>
      <c r="M399" s="62"/>
      <c r="N399" s="66"/>
      <c r="O399" s="94"/>
      <c r="P399" s="60"/>
      <c r="Q399" s="60"/>
      <c r="R399" s="60"/>
      <c r="S399" s="60"/>
      <c r="T399" s="61"/>
      <c r="U399" s="61"/>
      <c r="V399" s="61"/>
      <c r="W399" s="61"/>
      <c r="X399" s="62"/>
      <c r="Y399" s="62"/>
      <c r="Z399" s="66"/>
      <c r="AA399" s="94"/>
      <c r="AB399" s="60"/>
      <c r="AC399" s="60"/>
      <c r="AD399" s="60"/>
      <c r="AE399" s="60"/>
      <c r="AF399" s="61"/>
      <c r="AG399" s="61"/>
      <c r="AH399" s="61"/>
      <c r="AI399" s="61"/>
      <c r="AJ399" s="62"/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62"/>
      <c r="B400" s="66"/>
      <c r="C400" s="92"/>
      <c r="D400" s="60"/>
      <c r="E400" s="60"/>
      <c r="F400" s="60"/>
      <c r="G400" s="60"/>
      <c r="H400" s="61"/>
      <c r="I400" s="61"/>
      <c r="J400" s="61"/>
      <c r="K400" s="61"/>
      <c r="L400" s="62"/>
      <c r="M400" s="62"/>
      <c r="N400" s="66"/>
      <c r="O400" s="94"/>
      <c r="P400" s="60"/>
      <c r="Q400" s="60"/>
      <c r="R400" s="60"/>
      <c r="S400" s="60"/>
      <c r="T400" s="61"/>
      <c r="U400" s="61"/>
      <c r="V400" s="61"/>
      <c r="W400" s="61"/>
      <c r="X400" s="62"/>
      <c r="Y400" s="62"/>
      <c r="Z400" s="66"/>
      <c r="AA400" s="94"/>
      <c r="AB400" s="60"/>
      <c r="AC400" s="60"/>
      <c r="AD400" s="60"/>
      <c r="AE400" s="60"/>
      <c r="AF400" s="61"/>
      <c r="AG400" s="62"/>
      <c r="AH400" s="61"/>
      <c r="AI400" s="61"/>
      <c r="AJ400" s="62"/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62"/>
      <c r="B401" s="66"/>
      <c r="C401" s="92"/>
      <c r="D401" s="60"/>
      <c r="E401" s="60"/>
      <c r="F401" s="60"/>
      <c r="G401" s="60"/>
      <c r="H401" s="61"/>
      <c r="I401" s="61"/>
      <c r="J401" s="61"/>
      <c r="K401" s="61"/>
      <c r="L401" s="62"/>
      <c r="M401" s="62"/>
      <c r="N401" s="66"/>
      <c r="O401" s="94"/>
      <c r="P401" s="60"/>
      <c r="Q401" s="60"/>
      <c r="R401" s="60"/>
      <c r="S401" s="60"/>
      <c r="T401" s="61"/>
      <c r="U401" s="61"/>
      <c r="V401" s="61"/>
      <c r="W401" s="61"/>
      <c r="X401" s="62"/>
      <c r="Y401" s="62"/>
      <c r="Z401" s="66"/>
      <c r="AA401" s="94"/>
      <c r="AB401" s="60"/>
      <c r="AC401" s="60"/>
      <c r="AD401" s="60"/>
      <c r="AE401" s="60"/>
      <c r="AF401" s="61"/>
      <c r="AG401" s="61"/>
      <c r="AH401" s="61"/>
      <c r="AI401" s="61"/>
      <c r="AJ401" s="62"/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62"/>
      <c r="B402" s="66"/>
      <c r="C402" s="92"/>
      <c r="D402" s="60"/>
      <c r="E402" s="60"/>
      <c r="F402" s="60"/>
      <c r="G402" s="60"/>
      <c r="H402" s="61"/>
      <c r="I402" s="61"/>
      <c r="J402" s="61"/>
      <c r="K402" s="61"/>
      <c r="L402" s="62"/>
      <c r="M402" s="62"/>
      <c r="N402" s="66"/>
      <c r="O402" s="65"/>
      <c r="P402" s="60"/>
      <c r="Q402" s="60"/>
      <c r="R402" s="60"/>
      <c r="S402" s="60"/>
      <c r="T402" s="61"/>
      <c r="U402" s="61"/>
      <c r="V402" s="62"/>
      <c r="W402" s="61"/>
      <c r="X402" s="62"/>
      <c r="Y402" s="62"/>
      <c r="Z402" s="66"/>
      <c r="AA402" s="65"/>
      <c r="AB402" s="60"/>
      <c r="AC402" s="60"/>
      <c r="AD402" s="60"/>
      <c r="AE402" s="60"/>
      <c r="AF402" s="61"/>
      <c r="AG402" s="61"/>
      <c r="AH402" s="62"/>
      <c r="AI402" s="61"/>
      <c r="AJ402" s="62"/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62"/>
      <c r="B403" s="66"/>
      <c r="C403" s="92"/>
      <c r="D403" s="60"/>
      <c r="E403" s="60"/>
      <c r="F403" s="60"/>
      <c r="G403" s="60"/>
      <c r="H403" s="61"/>
      <c r="I403" s="61"/>
      <c r="J403" s="61"/>
      <c r="K403" s="61"/>
      <c r="L403" s="62"/>
      <c r="M403" s="62"/>
      <c r="N403" s="66"/>
      <c r="O403" s="94"/>
      <c r="P403" s="60"/>
      <c r="Q403" s="60"/>
      <c r="R403" s="60"/>
      <c r="S403" s="60"/>
      <c r="T403" s="61"/>
      <c r="U403" s="61"/>
      <c r="V403" s="61"/>
      <c r="W403" s="61"/>
      <c r="X403" s="62"/>
      <c r="Y403" s="62"/>
      <c r="Z403" s="66"/>
      <c r="AA403" s="94"/>
      <c r="AB403" s="60"/>
      <c r="AC403" s="60"/>
      <c r="AD403" s="60"/>
      <c r="AE403" s="60"/>
      <c r="AF403" s="61"/>
      <c r="AG403" s="61"/>
      <c r="AH403" s="61"/>
      <c r="AI403" s="61"/>
      <c r="AJ403" s="62"/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62"/>
      <c r="B404" s="66"/>
      <c r="C404" s="92"/>
      <c r="D404" s="60"/>
      <c r="E404" s="60"/>
      <c r="F404" s="60"/>
      <c r="G404" s="60"/>
      <c r="H404" s="61"/>
      <c r="I404" s="61"/>
      <c r="J404" s="61"/>
      <c r="K404" s="61"/>
      <c r="L404" s="62"/>
      <c r="M404" s="62"/>
      <c r="N404" s="66"/>
      <c r="O404" s="94"/>
      <c r="P404" s="60"/>
      <c r="Q404" s="60"/>
      <c r="R404" s="60"/>
      <c r="S404" s="60"/>
      <c r="T404" s="61"/>
      <c r="U404" s="61"/>
      <c r="V404" s="61"/>
      <c r="W404" s="61"/>
      <c r="X404" s="62"/>
      <c r="Y404" s="62"/>
      <c r="Z404" s="66"/>
      <c r="AA404" s="94"/>
      <c r="AB404" s="60"/>
      <c r="AC404" s="60"/>
      <c r="AD404" s="62"/>
      <c r="AE404" s="60"/>
      <c r="AF404" s="61"/>
      <c r="AG404" s="61"/>
      <c r="AH404" s="61"/>
      <c r="AI404" s="61"/>
      <c r="AJ404" s="62"/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62"/>
      <c r="B405" s="66"/>
      <c r="C405" s="92"/>
      <c r="D405" s="60"/>
      <c r="E405" s="60"/>
      <c r="F405" s="60"/>
      <c r="G405" s="60"/>
      <c r="H405" s="61"/>
      <c r="I405" s="61"/>
      <c r="J405" s="61"/>
      <c r="K405" s="61"/>
      <c r="L405" s="62"/>
      <c r="M405" s="62"/>
      <c r="N405" s="66"/>
      <c r="O405" s="94"/>
      <c r="P405" s="60"/>
      <c r="Q405" s="60"/>
      <c r="R405" s="60"/>
      <c r="S405" s="60"/>
      <c r="T405" s="61"/>
      <c r="U405" s="61"/>
      <c r="V405" s="61"/>
      <c r="W405" s="61"/>
      <c r="X405" s="62"/>
      <c r="Y405" s="62"/>
      <c r="Z405" s="66"/>
      <c r="AA405" s="94"/>
      <c r="AB405" s="62"/>
      <c r="AC405" s="60"/>
      <c r="AD405" s="60"/>
      <c r="AE405" s="60"/>
      <c r="AF405" s="61"/>
      <c r="AG405" s="62"/>
      <c r="AH405" s="61"/>
      <c r="AI405" s="61"/>
      <c r="AJ405" s="62"/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62"/>
      <c r="B406" s="66"/>
      <c r="C406" s="92"/>
      <c r="D406" s="60"/>
      <c r="E406" s="60"/>
      <c r="F406" s="60"/>
      <c r="G406" s="60"/>
      <c r="H406" s="61"/>
      <c r="I406" s="61"/>
      <c r="J406" s="61"/>
      <c r="K406" s="61"/>
      <c r="L406" s="62"/>
      <c r="M406" s="62"/>
      <c r="N406" s="66"/>
      <c r="O406" s="94"/>
      <c r="P406" s="60"/>
      <c r="Q406" s="60"/>
      <c r="R406" s="60"/>
      <c r="S406" s="60"/>
      <c r="T406" s="61"/>
      <c r="U406" s="61"/>
      <c r="V406" s="61"/>
      <c r="W406" s="61"/>
      <c r="X406" s="62"/>
      <c r="Y406" s="62"/>
      <c r="Z406" s="66"/>
      <c r="AA406" s="94"/>
      <c r="AB406" s="60"/>
      <c r="AC406" s="60"/>
      <c r="AD406" s="60"/>
      <c r="AE406" s="60"/>
      <c r="AF406" s="61"/>
      <c r="AG406" s="61"/>
      <c r="AH406" s="61"/>
      <c r="AI406" s="61"/>
      <c r="AJ406" s="62"/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62"/>
      <c r="B407" s="66"/>
      <c r="C407" s="92"/>
      <c r="D407" s="60"/>
      <c r="E407" s="60"/>
      <c r="F407" s="60"/>
      <c r="G407" s="60"/>
      <c r="H407" s="61"/>
      <c r="I407" s="61"/>
      <c r="J407" s="61"/>
      <c r="K407" s="61"/>
      <c r="L407" s="62"/>
      <c r="M407" s="62"/>
      <c r="N407" s="66"/>
      <c r="O407" s="94"/>
      <c r="P407" s="60"/>
      <c r="Q407" s="60"/>
      <c r="R407" s="60"/>
      <c r="S407" s="60"/>
      <c r="T407" s="61"/>
      <c r="U407" s="61"/>
      <c r="V407" s="61"/>
      <c r="W407" s="61"/>
      <c r="X407" s="62"/>
      <c r="Y407" s="62"/>
      <c r="Z407" s="66"/>
      <c r="AA407" s="62"/>
      <c r="AB407" s="60"/>
      <c r="AC407" s="60"/>
      <c r="AD407" s="60"/>
      <c r="AE407" s="60"/>
      <c r="AF407" s="61"/>
      <c r="AG407" s="61"/>
      <c r="AH407" s="61"/>
      <c r="AI407" s="61"/>
      <c r="AJ407" s="62"/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62"/>
      <c r="B408" s="66"/>
      <c r="C408" s="92"/>
      <c r="D408" s="60"/>
      <c r="E408" s="60"/>
      <c r="F408" s="60"/>
      <c r="G408" s="60"/>
      <c r="H408" s="61"/>
      <c r="I408" s="61"/>
      <c r="J408" s="62"/>
      <c r="K408" s="61"/>
      <c r="L408" s="62"/>
      <c r="M408" s="62"/>
      <c r="N408" s="66"/>
      <c r="O408" s="94"/>
      <c r="P408" s="60"/>
      <c r="Q408" s="60"/>
      <c r="R408" s="60"/>
      <c r="S408" s="60"/>
      <c r="T408" s="61"/>
      <c r="U408" s="61"/>
      <c r="V408" s="61"/>
      <c r="W408" s="61"/>
      <c r="X408" s="62"/>
      <c r="Y408" s="62"/>
      <c r="Z408" s="66"/>
      <c r="AA408" s="94"/>
      <c r="AB408" s="60"/>
      <c r="AC408" s="60"/>
      <c r="AD408" s="60"/>
      <c r="AE408" s="60"/>
      <c r="AF408" s="61"/>
      <c r="AG408" s="61"/>
      <c r="AH408" s="61"/>
      <c r="AI408" s="61"/>
      <c r="AJ408" s="62"/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62"/>
      <c r="B409" s="66"/>
      <c r="C409" s="92"/>
      <c r="D409" s="60"/>
      <c r="E409" s="60"/>
      <c r="F409" s="60"/>
      <c r="G409" s="60"/>
      <c r="H409" s="61"/>
      <c r="I409" s="61"/>
      <c r="J409" s="61"/>
      <c r="K409" s="61"/>
      <c r="L409" s="62"/>
      <c r="M409" s="62"/>
      <c r="N409" s="66"/>
      <c r="O409" s="94"/>
      <c r="P409" s="60"/>
      <c r="Q409" s="60"/>
      <c r="R409" s="60"/>
      <c r="S409" s="60"/>
      <c r="T409" s="61"/>
      <c r="U409" s="61"/>
      <c r="V409" s="61"/>
      <c r="W409" s="61"/>
      <c r="X409" s="62"/>
      <c r="Y409" s="62"/>
      <c r="Z409" s="66"/>
      <c r="AA409" s="94"/>
      <c r="AB409" s="60"/>
      <c r="AC409" s="60"/>
      <c r="AD409" s="60"/>
      <c r="AE409" s="60"/>
      <c r="AF409" s="61"/>
      <c r="AG409" s="61"/>
      <c r="AH409" s="61"/>
      <c r="AI409" s="61"/>
      <c r="AJ409" s="62"/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62"/>
      <c r="B410" s="66"/>
      <c r="C410" s="92"/>
      <c r="D410" s="60"/>
      <c r="E410" s="60"/>
      <c r="F410" s="60"/>
      <c r="G410" s="60"/>
      <c r="H410" s="61"/>
      <c r="I410" s="61"/>
      <c r="J410" s="61"/>
      <c r="K410" s="61"/>
      <c r="L410" s="62"/>
      <c r="M410" s="62"/>
      <c r="N410" s="66"/>
      <c r="O410" s="94"/>
      <c r="P410" s="60"/>
      <c r="Q410" s="60"/>
      <c r="R410" s="60"/>
      <c r="S410" s="60"/>
      <c r="T410" s="61"/>
      <c r="U410" s="61"/>
      <c r="V410" s="61"/>
      <c r="W410" s="61"/>
      <c r="X410" s="62"/>
      <c r="Y410" s="62"/>
      <c r="Z410" s="66"/>
      <c r="AA410" s="94"/>
      <c r="AB410" s="60"/>
      <c r="AC410" s="60"/>
      <c r="AD410" s="60"/>
      <c r="AE410" s="60"/>
      <c r="AF410" s="61"/>
      <c r="AG410" s="61"/>
      <c r="AH410" s="61"/>
      <c r="AI410" s="61"/>
      <c r="AJ410" s="62"/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62"/>
      <c r="B411" s="66"/>
      <c r="C411" s="92"/>
      <c r="D411" s="60"/>
      <c r="E411" s="60"/>
      <c r="F411" s="60"/>
      <c r="G411" s="60"/>
      <c r="H411" s="61"/>
      <c r="I411" s="61"/>
      <c r="J411" s="61"/>
      <c r="K411" s="61"/>
      <c r="L411" s="62"/>
      <c r="M411" s="62"/>
      <c r="N411" s="66"/>
      <c r="O411" s="94"/>
      <c r="P411" s="60"/>
      <c r="Q411" s="60"/>
      <c r="R411" s="60"/>
      <c r="S411" s="60"/>
      <c r="T411" s="61"/>
      <c r="U411" s="61"/>
      <c r="V411" s="61"/>
      <c r="W411" s="61"/>
      <c r="X411" s="62"/>
      <c r="Y411" s="62"/>
      <c r="Z411" s="66"/>
      <c r="AA411" s="94"/>
      <c r="AB411" s="60"/>
      <c r="AC411" s="60"/>
      <c r="AD411" s="60"/>
      <c r="AE411" s="60"/>
      <c r="AF411" s="61"/>
      <c r="AG411" s="61"/>
      <c r="AH411" s="61"/>
      <c r="AI411" s="61"/>
      <c r="AJ411" s="62"/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62"/>
      <c r="B412" s="66"/>
      <c r="C412" s="65"/>
      <c r="D412" s="60"/>
      <c r="E412" s="60"/>
      <c r="F412" s="60"/>
      <c r="G412" s="60"/>
      <c r="H412" s="61"/>
      <c r="I412" s="61"/>
      <c r="J412" s="61"/>
      <c r="K412" s="61"/>
      <c r="L412" s="62"/>
      <c r="M412" s="62"/>
      <c r="N412" s="66"/>
      <c r="O412" s="94"/>
      <c r="P412" s="60"/>
      <c r="Q412" s="60"/>
      <c r="R412" s="60"/>
      <c r="S412" s="60"/>
      <c r="T412" s="61"/>
      <c r="U412" s="61"/>
      <c r="V412" s="61"/>
      <c r="W412" s="61"/>
      <c r="X412" s="62"/>
      <c r="Y412" s="62"/>
      <c r="Z412" s="66"/>
      <c r="AA412" s="62"/>
      <c r="AB412" s="60"/>
      <c r="AC412" s="60"/>
      <c r="AD412" s="60"/>
      <c r="AE412" s="60"/>
      <c r="AF412" s="61"/>
      <c r="AG412" s="61"/>
      <c r="AH412" s="61"/>
      <c r="AI412" s="61"/>
      <c r="AJ412" s="62"/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62"/>
      <c r="B413" s="66"/>
      <c r="C413" s="92"/>
      <c r="D413" s="60"/>
      <c r="E413" s="60"/>
      <c r="F413" s="60"/>
      <c r="G413" s="60"/>
      <c r="H413" s="61"/>
      <c r="I413" s="61"/>
      <c r="J413" s="61"/>
      <c r="K413" s="61"/>
      <c r="L413" s="62"/>
      <c r="M413" s="62"/>
      <c r="N413" s="66"/>
      <c r="O413" s="62"/>
      <c r="P413" s="60"/>
      <c r="Q413" s="60"/>
      <c r="R413" s="60"/>
      <c r="S413" s="60"/>
      <c r="T413" s="61"/>
      <c r="U413" s="61"/>
      <c r="V413" s="61"/>
      <c r="W413" s="61"/>
      <c r="X413" s="62"/>
      <c r="Y413" s="62"/>
      <c r="Z413" s="66"/>
      <c r="AA413" s="94"/>
      <c r="AB413" s="60"/>
      <c r="AC413" s="60"/>
      <c r="AD413" s="60"/>
      <c r="AE413" s="60"/>
      <c r="AF413" s="61"/>
      <c r="AG413" s="61"/>
      <c r="AH413" s="61"/>
      <c r="AI413" s="61"/>
      <c r="AJ413" s="62"/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62"/>
      <c r="B414" s="66"/>
      <c r="C414" s="94"/>
      <c r="D414" s="60"/>
      <c r="E414" s="60"/>
      <c r="F414" s="60"/>
      <c r="G414" s="60"/>
      <c r="H414" s="61"/>
      <c r="I414" s="61"/>
      <c r="J414" s="61"/>
      <c r="K414" s="61"/>
      <c r="L414" s="62"/>
      <c r="M414" s="62"/>
      <c r="N414" s="66"/>
      <c r="O414" s="94"/>
      <c r="P414" s="60"/>
      <c r="Q414" s="60"/>
      <c r="R414" s="60"/>
      <c r="S414" s="60"/>
      <c r="T414" s="61"/>
      <c r="U414" s="61"/>
      <c r="V414" s="61"/>
      <c r="W414" s="61"/>
      <c r="X414" s="62"/>
      <c r="Y414" s="62"/>
      <c r="Z414" s="66"/>
      <c r="AA414" s="94"/>
      <c r="AB414" s="60"/>
      <c r="AC414" s="60"/>
      <c r="AD414" s="60"/>
      <c r="AE414" s="60"/>
      <c r="AF414" s="61"/>
      <c r="AG414" s="61"/>
      <c r="AH414" s="61"/>
      <c r="AI414" s="61"/>
      <c r="AJ414" s="62"/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62"/>
      <c r="B415" s="66"/>
      <c r="C415" s="94"/>
      <c r="D415" s="60"/>
      <c r="E415" s="60"/>
      <c r="F415" s="60"/>
      <c r="G415" s="60"/>
      <c r="H415" s="61"/>
      <c r="I415" s="61"/>
      <c r="J415" s="61"/>
      <c r="K415" s="61"/>
      <c r="L415" s="62"/>
      <c r="M415" s="62"/>
      <c r="N415" s="66"/>
      <c r="O415" s="94"/>
      <c r="P415" s="60"/>
      <c r="Q415" s="60"/>
      <c r="R415" s="60"/>
      <c r="S415" s="60"/>
      <c r="T415" s="61"/>
      <c r="U415" s="61"/>
      <c r="V415" s="61"/>
      <c r="W415" s="61"/>
      <c r="X415" s="62"/>
      <c r="Y415" s="62"/>
      <c r="Z415" s="66"/>
      <c r="AA415" s="94"/>
      <c r="AB415" s="60"/>
      <c r="AC415" s="60"/>
      <c r="AD415" s="60"/>
      <c r="AE415" s="60"/>
      <c r="AF415" s="61"/>
      <c r="AG415" s="61"/>
      <c r="AH415" s="61"/>
      <c r="AI415" s="61"/>
      <c r="AJ415" s="62"/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62"/>
      <c r="B416" s="66"/>
      <c r="C416" s="92"/>
      <c r="D416" s="60"/>
      <c r="E416" s="60"/>
      <c r="F416" s="60"/>
      <c r="G416" s="60"/>
      <c r="H416" s="61"/>
      <c r="I416" s="61"/>
      <c r="J416" s="61"/>
      <c r="K416" s="61"/>
      <c r="L416" s="62"/>
      <c r="M416" s="62"/>
      <c r="N416" s="66"/>
      <c r="O416" s="94"/>
      <c r="P416" s="60"/>
      <c r="Q416" s="60"/>
      <c r="R416" s="60"/>
      <c r="S416" s="60"/>
      <c r="T416" s="61"/>
      <c r="U416" s="61"/>
      <c r="V416" s="61"/>
      <c r="W416" s="61"/>
      <c r="X416" s="62"/>
      <c r="Y416" s="62"/>
      <c r="Z416" s="66"/>
      <c r="AA416" s="94"/>
      <c r="AB416" s="60"/>
      <c r="AC416" s="60"/>
      <c r="AD416" s="60"/>
      <c r="AE416" s="60"/>
      <c r="AF416" s="61"/>
      <c r="AG416" s="61"/>
      <c r="AH416" s="61"/>
      <c r="AI416" s="61"/>
      <c r="AJ416" s="62"/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62"/>
      <c r="B417" s="66"/>
      <c r="C417" s="92"/>
      <c r="D417" s="60"/>
      <c r="E417" s="60"/>
      <c r="F417" s="60"/>
      <c r="G417" s="60"/>
      <c r="H417" s="62"/>
      <c r="I417" s="62"/>
      <c r="J417" s="62"/>
      <c r="K417" s="61"/>
      <c r="L417" s="62"/>
      <c r="M417" s="62"/>
      <c r="N417" s="66"/>
      <c r="O417" s="94"/>
      <c r="P417" s="67"/>
      <c r="Q417" s="94"/>
      <c r="R417" s="94"/>
      <c r="S417" s="60"/>
      <c r="T417" s="62"/>
      <c r="U417" s="62"/>
      <c r="V417" s="62"/>
      <c r="W417" s="61"/>
      <c r="X417" s="62"/>
      <c r="Y417" s="62"/>
      <c r="Z417" s="66"/>
      <c r="AA417" s="62"/>
      <c r="AB417" s="67"/>
      <c r="AC417" s="94"/>
      <c r="AD417" s="94"/>
      <c r="AE417" s="60"/>
      <c r="AF417" s="62"/>
      <c r="AG417" s="62"/>
      <c r="AH417" s="62"/>
      <c r="AI417" s="61"/>
      <c r="AJ417" s="62"/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62"/>
      <c r="B418" s="66"/>
      <c r="C418" s="92"/>
      <c r="D418" s="60"/>
      <c r="E418" s="60"/>
      <c r="F418" s="60"/>
      <c r="G418" s="60"/>
      <c r="H418" s="62"/>
      <c r="I418" s="62"/>
      <c r="J418" s="62"/>
      <c r="K418" s="61"/>
      <c r="L418" s="62"/>
      <c r="M418" s="62"/>
      <c r="N418" s="66"/>
      <c r="O418" s="94"/>
      <c r="P418" s="68"/>
      <c r="Q418" s="94"/>
      <c r="R418" s="94"/>
      <c r="S418" s="60"/>
      <c r="T418" s="62"/>
      <c r="U418" s="62"/>
      <c r="V418" s="62"/>
      <c r="W418" s="61"/>
      <c r="X418" s="62"/>
      <c r="Y418" s="62"/>
      <c r="Z418" s="66"/>
      <c r="AA418" s="62"/>
      <c r="AB418" s="68"/>
      <c r="AC418" s="94"/>
      <c r="AD418" s="94"/>
      <c r="AE418" s="60"/>
      <c r="AF418" s="62"/>
      <c r="AG418" s="62"/>
      <c r="AH418" s="62"/>
      <c r="AI418" s="61"/>
      <c r="AJ418" s="62"/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62"/>
      <c r="B419" s="66"/>
      <c r="C419" s="94"/>
      <c r="D419" s="60"/>
      <c r="E419" s="60"/>
      <c r="F419" s="60"/>
      <c r="G419" s="60"/>
      <c r="H419" s="62"/>
      <c r="I419" s="62"/>
      <c r="J419" s="61"/>
      <c r="K419" s="61"/>
      <c r="L419" s="62"/>
      <c r="M419" s="62"/>
      <c r="N419" s="66"/>
      <c r="O419" s="94"/>
      <c r="P419" s="69"/>
      <c r="Q419" s="62"/>
      <c r="R419" s="62"/>
      <c r="S419" s="60"/>
      <c r="T419" s="62"/>
      <c r="U419" s="62"/>
      <c r="V419" s="62"/>
      <c r="W419" s="61"/>
      <c r="X419" s="62"/>
      <c r="Y419" s="62"/>
      <c r="Z419" s="66"/>
      <c r="AA419" s="94"/>
      <c r="AB419" s="69"/>
      <c r="AC419" s="62"/>
      <c r="AD419" s="62"/>
      <c r="AE419" s="60"/>
      <c r="AF419" s="62"/>
      <c r="AG419" s="62"/>
      <c r="AH419" s="62"/>
      <c r="AI419" s="61"/>
      <c r="AJ419" s="62"/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62"/>
      <c r="B420" s="66"/>
      <c r="C420" s="94"/>
      <c r="D420" s="60"/>
      <c r="E420" s="60"/>
      <c r="F420" s="60"/>
      <c r="G420" s="60"/>
      <c r="H420" s="62"/>
      <c r="I420" s="62"/>
      <c r="J420" s="62"/>
      <c r="K420" s="61"/>
      <c r="L420" s="62"/>
      <c r="M420" s="62"/>
      <c r="N420" s="66"/>
      <c r="O420" s="62"/>
      <c r="P420" s="69"/>
      <c r="Q420" s="94"/>
      <c r="R420" s="94"/>
      <c r="S420" s="60"/>
      <c r="T420" s="62"/>
      <c r="U420" s="62"/>
      <c r="V420" s="62"/>
      <c r="W420" s="61"/>
      <c r="X420" s="62"/>
      <c r="Y420" s="62"/>
      <c r="Z420" s="66"/>
      <c r="AA420" s="94"/>
      <c r="AB420" s="69"/>
      <c r="AC420" s="94"/>
      <c r="AD420" s="94"/>
      <c r="AE420" s="60"/>
      <c r="AF420" s="62"/>
      <c r="AG420" s="62"/>
      <c r="AH420" s="62"/>
      <c r="AI420" s="61"/>
      <c r="AJ420" s="62"/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62"/>
      <c r="B421" s="66"/>
      <c r="C421" s="94"/>
      <c r="D421" s="60"/>
      <c r="E421" s="60"/>
      <c r="F421" s="60"/>
      <c r="G421" s="60"/>
      <c r="H421" s="62"/>
      <c r="I421" s="62"/>
      <c r="J421" s="62"/>
      <c r="K421" s="61"/>
      <c r="L421" s="62"/>
      <c r="M421" s="62"/>
      <c r="N421" s="66"/>
      <c r="O421" s="94"/>
      <c r="P421" s="69"/>
      <c r="Q421" s="94"/>
      <c r="R421" s="94"/>
      <c r="S421" s="60"/>
      <c r="T421" s="62"/>
      <c r="U421" s="62"/>
      <c r="V421" s="62"/>
      <c r="W421" s="61"/>
      <c r="X421" s="62"/>
      <c r="Y421" s="62"/>
      <c r="Z421" s="66"/>
      <c r="AA421" s="65"/>
      <c r="AB421" s="69"/>
      <c r="AC421" s="94"/>
      <c r="AD421" s="94"/>
      <c r="AE421" s="60"/>
      <c r="AF421" s="62"/>
      <c r="AG421" s="62"/>
      <c r="AH421" s="62"/>
      <c r="AI421" s="61"/>
      <c r="AJ421" s="62"/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62"/>
      <c r="B422" s="66"/>
      <c r="C422" s="65"/>
      <c r="D422" s="60"/>
      <c r="E422" s="60"/>
      <c r="F422" s="60"/>
      <c r="G422" s="60"/>
      <c r="H422" s="62"/>
      <c r="I422" s="62"/>
      <c r="J422" s="62"/>
      <c r="K422" s="61"/>
      <c r="L422" s="62"/>
      <c r="M422" s="62"/>
      <c r="N422" s="66"/>
      <c r="O422" s="62"/>
      <c r="P422" s="69"/>
      <c r="Q422" s="94"/>
      <c r="R422" s="94"/>
      <c r="S422" s="60"/>
      <c r="T422" s="62"/>
      <c r="U422" s="62"/>
      <c r="V422" s="62"/>
      <c r="W422" s="61"/>
      <c r="X422" s="62"/>
      <c r="Y422" s="62"/>
      <c r="Z422" s="66"/>
      <c r="AA422" s="62"/>
      <c r="AB422" s="69"/>
      <c r="AC422" s="94"/>
      <c r="AD422" s="94"/>
      <c r="AE422" s="60"/>
      <c r="AF422" s="62"/>
      <c r="AG422" s="62"/>
      <c r="AH422" s="62"/>
      <c r="AI422" s="61"/>
      <c r="AJ422" s="62"/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62"/>
      <c r="B423" s="66"/>
      <c r="C423" s="94"/>
      <c r="D423" s="60"/>
      <c r="E423" s="60"/>
      <c r="F423" s="60"/>
      <c r="G423" s="60"/>
      <c r="H423" s="62"/>
      <c r="I423" s="62"/>
      <c r="J423" s="62"/>
      <c r="K423" s="61"/>
      <c r="L423" s="62"/>
      <c r="M423" s="62"/>
      <c r="N423" s="66"/>
      <c r="O423" s="94"/>
      <c r="P423" s="69"/>
      <c r="Q423" s="94"/>
      <c r="R423" s="94"/>
      <c r="S423" s="60"/>
      <c r="T423" s="62"/>
      <c r="U423" s="62"/>
      <c r="V423" s="62"/>
      <c r="W423" s="61"/>
      <c r="X423" s="62"/>
      <c r="Y423" s="62"/>
      <c r="Z423" s="66"/>
      <c r="AA423" s="94"/>
      <c r="AB423" s="69"/>
      <c r="AC423" s="94"/>
      <c r="AD423" s="94"/>
      <c r="AE423" s="60"/>
      <c r="AF423" s="62"/>
      <c r="AG423" s="62"/>
      <c r="AH423" s="62"/>
      <c r="AI423" s="61"/>
      <c r="AJ423" s="62"/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62"/>
      <c r="B424" s="66"/>
      <c r="C424" s="94"/>
      <c r="D424" s="60"/>
      <c r="E424" s="60"/>
      <c r="F424" s="60"/>
      <c r="G424" s="60"/>
      <c r="H424" s="62"/>
      <c r="I424" s="62"/>
      <c r="J424" s="62"/>
      <c r="K424" s="61"/>
      <c r="L424" s="62"/>
      <c r="M424" s="62"/>
      <c r="N424" s="66"/>
      <c r="O424" s="94"/>
      <c r="P424" s="69"/>
      <c r="Q424" s="94"/>
      <c r="R424" s="94"/>
      <c r="S424" s="60"/>
      <c r="T424" s="62"/>
      <c r="U424" s="62"/>
      <c r="V424" s="62"/>
      <c r="W424" s="61"/>
      <c r="X424" s="62"/>
      <c r="Y424" s="62"/>
      <c r="Z424" s="66"/>
      <c r="AA424" s="94"/>
      <c r="AB424" s="69"/>
      <c r="AC424" s="94"/>
      <c r="AD424" s="94"/>
      <c r="AE424" s="60"/>
      <c r="AF424" s="62"/>
      <c r="AG424" s="62"/>
      <c r="AH424" s="62"/>
      <c r="AI424" s="61"/>
      <c r="AJ424" s="62"/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62"/>
      <c r="B425" s="66"/>
      <c r="C425" s="94"/>
      <c r="D425" s="60"/>
      <c r="E425" s="60"/>
      <c r="F425" s="60"/>
      <c r="G425" s="60"/>
      <c r="H425" s="62"/>
      <c r="I425" s="62"/>
      <c r="J425" s="62"/>
      <c r="K425" s="61"/>
      <c r="L425" s="62"/>
      <c r="M425" s="62"/>
      <c r="N425" s="66"/>
      <c r="O425" s="62"/>
      <c r="P425" s="69"/>
      <c r="Q425" s="94"/>
      <c r="R425" s="94"/>
      <c r="S425" s="60"/>
      <c r="T425" s="62"/>
      <c r="U425" s="62"/>
      <c r="V425" s="62"/>
      <c r="W425" s="61"/>
      <c r="X425" s="62"/>
      <c r="Y425" s="62"/>
      <c r="Z425" s="66"/>
      <c r="AA425" s="94"/>
      <c r="AB425" s="69"/>
      <c r="AC425" s="94"/>
      <c r="AD425" s="94"/>
      <c r="AE425" s="60"/>
      <c r="AF425" s="62"/>
      <c r="AG425" s="62"/>
      <c r="AH425" s="62"/>
      <c r="AI425" s="61"/>
      <c r="AJ425" s="62"/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62"/>
      <c r="B426" s="66"/>
      <c r="C426" s="94"/>
      <c r="D426" s="60"/>
      <c r="E426" s="60"/>
      <c r="F426" s="60"/>
      <c r="G426" s="60"/>
      <c r="H426" s="62"/>
      <c r="I426" s="62"/>
      <c r="J426" s="62"/>
      <c r="K426" s="61"/>
      <c r="L426" s="62"/>
      <c r="M426" s="62"/>
      <c r="N426" s="66"/>
      <c r="O426" s="62"/>
      <c r="P426" s="69"/>
      <c r="Q426" s="94"/>
      <c r="R426" s="94"/>
      <c r="S426" s="60"/>
      <c r="T426" s="62"/>
      <c r="U426" s="62"/>
      <c r="V426" s="62"/>
      <c r="W426" s="61"/>
      <c r="X426" s="62"/>
      <c r="Y426" s="62"/>
      <c r="Z426" s="66"/>
      <c r="AA426" s="62"/>
      <c r="AB426" s="69"/>
      <c r="AC426" s="94"/>
      <c r="AD426" s="94"/>
      <c r="AE426" s="60"/>
      <c r="AF426" s="62"/>
      <c r="AG426" s="62"/>
      <c r="AH426" s="62"/>
      <c r="AI426" s="61"/>
      <c r="AJ426" s="62"/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62"/>
      <c r="B427" s="66"/>
      <c r="C427" s="94"/>
      <c r="D427" s="60"/>
      <c r="E427" s="60"/>
      <c r="F427" s="60"/>
      <c r="G427" s="60"/>
      <c r="H427" s="62"/>
      <c r="I427" s="62"/>
      <c r="J427" s="62"/>
      <c r="K427" s="61"/>
      <c r="L427" s="62"/>
      <c r="M427" s="62"/>
      <c r="N427" s="66"/>
      <c r="O427" s="94"/>
      <c r="P427" s="69"/>
      <c r="Q427" s="94"/>
      <c r="R427" s="94"/>
      <c r="S427" s="60"/>
      <c r="T427" s="62"/>
      <c r="U427" s="62"/>
      <c r="V427" s="62"/>
      <c r="W427" s="61"/>
      <c r="X427" s="62"/>
      <c r="Y427" s="62"/>
      <c r="Z427" s="66"/>
      <c r="AA427" s="62"/>
      <c r="AB427" s="69"/>
      <c r="AC427" s="94"/>
      <c r="AD427" s="94"/>
      <c r="AE427" s="60"/>
      <c r="AF427" s="62"/>
      <c r="AG427" s="62"/>
      <c r="AH427" s="62"/>
      <c r="AI427" s="61"/>
      <c r="AJ427" s="62"/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62"/>
      <c r="B428" s="66"/>
      <c r="C428" s="94"/>
      <c r="D428" s="60"/>
      <c r="E428" s="60"/>
      <c r="F428" s="60"/>
      <c r="G428" s="60"/>
      <c r="H428" s="62"/>
      <c r="I428" s="62"/>
      <c r="J428" s="62"/>
      <c r="K428" s="61"/>
      <c r="L428" s="62"/>
      <c r="M428" s="62"/>
      <c r="N428" s="66"/>
      <c r="O428" s="62"/>
      <c r="P428" s="69"/>
      <c r="Q428" s="94"/>
      <c r="R428" s="94"/>
      <c r="S428" s="60"/>
      <c r="T428" s="62"/>
      <c r="U428" s="62"/>
      <c r="V428" s="62"/>
      <c r="W428" s="61"/>
      <c r="X428" s="62"/>
      <c r="Y428" s="62"/>
      <c r="Z428" s="66"/>
      <c r="AA428" s="94"/>
      <c r="AB428" s="69"/>
      <c r="AC428" s="94"/>
      <c r="AD428" s="94"/>
      <c r="AE428" s="60"/>
      <c r="AF428" s="62"/>
      <c r="AG428" s="62"/>
      <c r="AH428" s="62"/>
      <c r="AI428" s="61"/>
      <c r="AJ428" s="62"/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62"/>
      <c r="B429" s="66"/>
      <c r="C429" s="94"/>
      <c r="D429" s="60"/>
      <c r="E429" s="60"/>
      <c r="F429" s="60"/>
      <c r="G429" s="60"/>
      <c r="H429" s="62"/>
      <c r="I429" s="62"/>
      <c r="J429" s="62"/>
      <c r="K429" s="61"/>
      <c r="L429" s="62"/>
      <c r="M429" s="62"/>
      <c r="N429" s="66"/>
      <c r="O429" s="94"/>
      <c r="P429" s="69"/>
      <c r="Q429" s="94"/>
      <c r="R429" s="94"/>
      <c r="S429" s="60"/>
      <c r="T429" s="62"/>
      <c r="U429" s="62"/>
      <c r="V429" s="62"/>
      <c r="W429" s="61"/>
      <c r="X429" s="62"/>
      <c r="Y429" s="62"/>
      <c r="Z429" s="66"/>
      <c r="AA429" s="94"/>
      <c r="AB429" s="69"/>
      <c r="AC429" s="94"/>
      <c r="AD429" s="94"/>
      <c r="AE429" s="60"/>
      <c r="AF429" s="62"/>
      <c r="AG429" s="62"/>
      <c r="AH429" s="62"/>
      <c r="AI429" s="61"/>
      <c r="AJ429" s="62"/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62"/>
      <c r="B430" s="66"/>
      <c r="C430" s="94"/>
      <c r="D430" s="60"/>
      <c r="E430" s="60"/>
      <c r="F430" s="60"/>
      <c r="G430" s="60"/>
      <c r="H430" s="62"/>
      <c r="I430" s="62"/>
      <c r="J430" s="62"/>
      <c r="K430" s="61"/>
      <c r="L430" s="62"/>
      <c r="M430" s="62"/>
      <c r="N430" s="66"/>
      <c r="O430" s="94"/>
      <c r="P430" s="69"/>
      <c r="Q430" s="94"/>
      <c r="R430" s="94"/>
      <c r="S430" s="60"/>
      <c r="T430" s="62"/>
      <c r="U430" s="62"/>
      <c r="V430" s="62"/>
      <c r="W430" s="61"/>
      <c r="X430" s="62"/>
      <c r="Y430" s="62"/>
      <c r="Z430" s="66"/>
      <c r="AA430" s="62"/>
      <c r="AB430" s="69"/>
      <c r="AC430" s="94"/>
      <c r="AD430" s="94"/>
      <c r="AE430" s="60"/>
      <c r="AF430" s="62"/>
      <c r="AG430" s="62"/>
      <c r="AH430" s="62"/>
      <c r="AI430" s="61"/>
      <c r="AJ430" s="62"/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62"/>
      <c r="B431" s="66"/>
      <c r="C431" s="94"/>
      <c r="D431" s="60"/>
      <c r="E431" s="60"/>
      <c r="F431" s="60"/>
      <c r="G431" s="60"/>
      <c r="H431" s="62"/>
      <c r="I431" s="62"/>
      <c r="J431" s="62"/>
      <c r="K431" s="61"/>
      <c r="L431" s="62"/>
      <c r="M431" s="62"/>
      <c r="N431" s="66"/>
      <c r="O431" s="94"/>
      <c r="P431" s="69"/>
      <c r="Q431" s="94"/>
      <c r="R431" s="94"/>
      <c r="S431" s="60"/>
      <c r="T431" s="62"/>
      <c r="U431" s="62"/>
      <c r="V431" s="62"/>
      <c r="W431" s="61"/>
      <c r="X431" s="62"/>
      <c r="Y431" s="62"/>
      <c r="Z431" s="66"/>
      <c r="AA431" s="94"/>
      <c r="AB431" s="69"/>
      <c r="AC431" s="94"/>
      <c r="AD431" s="94"/>
      <c r="AE431" s="60"/>
      <c r="AF431" s="62"/>
      <c r="AG431" s="62"/>
      <c r="AH431" s="62"/>
      <c r="AI431" s="61"/>
      <c r="AJ431" s="62"/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62"/>
      <c r="B432" s="66"/>
      <c r="C432" s="94"/>
      <c r="D432" s="60"/>
      <c r="E432" s="60"/>
      <c r="F432" s="60"/>
      <c r="G432" s="60"/>
      <c r="H432" s="62"/>
      <c r="I432" s="62"/>
      <c r="J432" s="62"/>
      <c r="K432" s="61"/>
      <c r="L432" s="62"/>
      <c r="M432" s="62"/>
      <c r="N432" s="66"/>
      <c r="O432" s="94"/>
      <c r="P432" s="69"/>
      <c r="Q432" s="94"/>
      <c r="R432" s="94"/>
      <c r="S432" s="60"/>
      <c r="T432" s="62"/>
      <c r="U432" s="62"/>
      <c r="V432" s="62"/>
      <c r="W432" s="61"/>
      <c r="X432" s="62"/>
      <c r="Y432" s="62"/>
      <c r="Z432" s="66"/>
      <c r="AA432" s="94"/>
      <c r="AB432" s="69"/>
      <c r="AC432" s="94"/>
      <c r="AD432" s="94"/>
      <c r="AE432" s="60"/>
      <c r="AF432" s="62"/>
      <c r="AG432" s="62"/>
      <c r="AH432" s="62"/>
      <c r="AI432" s="61"/>
      <c r="AJ432" s="62"/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62"/>
      <c r="B433" s="66"/>
      <c r="C433" s="94"/>
      <c r="D433" s="60"/>
      <c r="E433" s="60"/>
      <c r="F433" s="60"/>
      <c r="G433" s="60"/>
      <c r="H433" s="62"/>
      <c r="I433" s="62"/>
      <c r="J433" s="62"/>
      <c r="K433" s="61"/>
      <c r="L433" s="62"/>
      <c r="M433" s="62"/>
      <c r="N433" s="66"/>
      <c r="O433" s="62"/>
      <c r="P433" s="69"/>
      <c r="Q433" s="94"/>
      <c r="R433" s="94"/>
      <c r="S433" s="60"/>
      <c r="T433" s="62"/>
      <c r="U433" s="62"/>
      <c r="V433" s="62"/>
      <c r="W433" s="61"/>
      <c r="X433" s="62"/>
      <c r="Y433" s="62"/>
      <c r="Z433" s="66"/>
      <c r="AA433" s="94"/>
      <c r="AB433" s="69"/>
      <c r="AC433" s="94"/>
      <c r="AD433" s="94"/>
      <c r="AE433" s="60"/>
      <c r="AF433" s="62"/>
      <c r="AG433" s="62"/>
      <c r="AH433" s="62"/>
      <c r="AI433" s="61"/>
      <c r="AJ433" s="62"/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62"/>
      <c r="B434" s="66"/>
      <c r="C434" s="94"/>
      <c r="D434" s="60"/>
      <c r="E434" s="60"/>
      <c r="F434" s="60"/>
      <c r="G434" s="60"/>
      <c r="H434" s="62"/>
      <c r="I434" s="62"/>
      <c r="J434" s="62"/>
      <c r="K434" s="61"/>
      <c r="L434" s="62"/>
      <c r="M434" s="62"/>
      <c r="N434" s="66"/>
      <c r="O434" s="94"/>
      <c r="P434" s="69"/>
      <c r="Q434" s="94"/>
      <c r="R434" s="94"/>
      <c r="S434" s="60"/>
      <c r="T434" s="62"/>
      <c r="U434" s="62"/>
      <c r="V434" s="62"/>
      <c r="W434" s="61"/>
      <c r="X434" s="62"/>
      <c r="Y434" s="62"/>
      <c r="Z434" s="66"/>
      <c r="AA434" s="94"/>
      <c r="AB434" s="69"/>
      <c r="AC434" s="94"/>
      <c r="AD434" s="94"/>
      <c r="AE434" s="60"/>
      <c r="AF434" s="62"/>
      <c r="AG434" s="62"/>
      <c r="AH434" s="62"/>
      <c r="AI434" s="61"/>
      <c r="AJ434" s="62"/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62"/>
      <c r="B435" s="66"/>
      <c r="C435" s="94"/>
      <c r="D435" s="60"/>
      <c r="E435" s="60"/>
      <c r="F435" s="60"/>
      <c r="G435" s="60"/>
      <c r="H435" s="62"/>
      <c r="I435" s="62"/>
      <c r="J435" s="62"/>
      <c r="K435" s="61"/>
      <c r="L435" s="62"/>
      <c r="M435" s="62"/>
      <c r="N435" s="66"/>
      <c r="O435" s="94"/>
      <c r="P435" s="69"/>
      <c r="Q435" s="94"/>
      <c r="R435" s="94"/>
      <c r="S435" s="60"/>
      <c r="T435" s="62"/>
      <c r="U435" s="62"/>
      <c r="V435" s="62"/>
      <c r="W435" s="61"/>
      <c r="X435" s="62"/>
      <c r="Y435" s="62"/>
      <c r="Z435" s="66"/>
      <c r="AA435" s="94"/>
      <c r="AB435" s="69"/>
      <c r="AC435" s="94"/>
      <c r="AD435" s="94"/>
      <c r="AE435" s="60"/>
      <c r="AF435" s="62"/>
      <c r="AG435" s="62"/>
      <c r="AH435" s="62"/>
      <c r="AI435" s="61"/>
      <c r="AJ435" s="62"/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62"/>
      <c r="B436" s="66"/>
      <c r="C436" s="94"/>
      <c r="D436" s="60"/>
      <c r="E436" s="60"/>
      <c r="F436" s="60"/>
      <c r="G436" s="60"/>
      <c r="H436" s="62"/>
      <c r="I436" s="62"/>
      <c r="J436" s="62"/>
      <c r="K436" s="61"/>
      <c r="L436" s="62"/>
      <c r="M436" s="62"/>
      <c r="N436" s="66"/>
      <c r="O436" s="62"/>
      <c r="P436" s="69"/>
      <c r="Q436" s="94"/>
      <c r="R436" s="94"/>
      <c r="S436" s="60"/>
      <c r="T436" s="62"/>
      <c r="U436" s="62"/>
      <c r="V436" s="62"/>
      <c r="W436" s="61"/>
      <c r="X436" s="62"/>
      <c r="Y436" s="62"/>
      <c r="Z436" s="66"/>
      <c r="AA436" s="62"/>
      <c r="AB436" s="69"/>
      <c r="AC436" s="94"/>
      <c r="AD436" s="94"/>
      <c r="AE436" s="60"/>
      <c r="AF436" s="62"/>
      <c r="AG436" s="62"/>
      <c r="AH436" s="62"/>
      <c r="AI436" s="61"/>
      <c r="AJ436" s="62"/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62"/>
      <c r="B437" s="66"/>
      <c r="C437" s="94"/>
      <c r="D437" s="60"/>
      <c r="E437" s="60"/>
      <c r="F437" s="60"/>
      <c r="G437" s="60"/>
      <c r="H437" s="62"/>
      <c r="I437" s="62"/>
      <c r="J437" s="62"/>
      <c r="K437" s="61"/>
      <c r="L437" s="62"/>
      <c r="M437" s="62"/>
      <c r="N437" s="66"/>
      <c r="O437" s="94"/>
      <c r="P437" s="69"/>
      <c r="Q437" s="94"/>
      <c r="R437" s="94"/>
      <c r="S437" s="60"/>
      <c r="T437" s="62"/>
      <c r="U437" s="62"/>
      <c r="V437" s="62"/>
      <c r="W437" s="61"/>
      <c r="X437" s="62"/>
      <c r="Y437" s="62"/>
      <c r="Z437" s="66"/>
      <c r="AA437" s="94"/>
      <c r="AB437" s="69"/>
      <c r="AC437" s="94"/>
      <c r="AD437" s="94"/>
      <c r="AE437" s="60"/>
      <c r="AF437" s="62"/>
      <c r="AG437" s="62"/>
      <c r="AH437" s="62"/>
      <c r="AI437" s="61"/>
      <c r="AJ437" s="62"/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62"/>
      <c r="B438" s="66"/>
      <c r="C438" s="66"/>
      <c r="D438" s="60"/>
      <c r="E438" s="60"/>
      <c r="F438" s="60"/>
      <c r="G438" s="60"/>
      <c r="H438" s="62"/>
      <c r="I438" s="62"/>
      <c r="J438" s="62"/>
      <c r="K438" s="61"/>
      <c r="L438" s="62"/>
      <c r="M438" s="62"/>
      <c r="N438" s="94"/>
      <c r="O438" s="94"/>
      <c r="P438" s="94"/>
      <c r="Q438" s="94"/>
      <c r="R438" s="94"/>
      <c r="S438" s="94"/>
      <c r="T438" s="62"/>
      <c r="U438" s="62"/>
      <c r="V438" s="62"/>
      <c r="W438" s="61"/>
      <c r="X438" s="62"/>
      <c r="Y438" s="62"/>
      <c r="Z438" s="94"/>
      <c r="AA438" s="94"/>
      <c r="AB438" s="94"/>
      <c r="AC438" s="94"/>
      <c r="AD438" s="94"/>
      <c r="AE438" s="94"/>
      <c r="AF438" s="62"/>
      <c r="AG438" s="62"/>
      <c r="AH438" s="62"/>
      <c r="AI438" s="61"/>
      <c r="AJ438" s="62"/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A439" s="62"/>
      <c r="B439" s="94"/>
      <c r="C439" s="94"/>
      <c r="D439" s="94"/>
      <c r="E439" s="94"/>
      <c r="F439" s="94"/>
      <c r="G439" s="94"/>
      <c r="H439" s="62"/>
      <c r="I439" s="62"/>
      <c r="J439" s="62"/>
      <c r="K439" s="62"/>
      <c r="L439" s="62"/>
      <c r="M439" s="62"/>
      <c r="N439" s="94"/>
      <c r="O439" s="94"/>
      <c r="P439" s="94"/>
      <c r="Q439" s="94"/>
      <c r="R439" s="94"/>
      <c r="S439" s="94"/>
      <c r="T439" s="62"/>
      <c r="U439" s="62"/>
      <c r="V439" s="62"/>
      <c r="W439" s="62"/>
      <c r="X439" s="62"/>
      <c r="Y439" s="62"/>
      <c r="Z439" s="94"/>
      <c r="AA439" s="94"/>
      <c r="AB439" s="94"/>
      <c r="AC439" s="94"/>
      <c r="AD439" s="94"/>
      <c r="AE439" s="94"/>
      <c r="AF439" s="62"/>
      <c r="AG439" s="62"/>
      <c r="AH439" s="62"/>
      <c r="AI439" s="62"/>
      <c r="AJ439" s="62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A440" s="62"/>
      <c r="B440" s="94"/>
      <c r="C440" s="94"/>
      <c r="D440" s="70"/>
      <c r="E440" s="70"/>
      <c r="F440" s="70"/>
      <c r="G440" s="70"/>
      <c r="H440" s="63"/>
      <c r="I440" s="70"/>
      <c r="J440" s="70"/>
      <c r="K440" s="70"/>
      <c r="L440" s="62"/>
      <c r="M440" s="62"/>
      <c r="N440" s="94"/>
      <c r="O440" s="94"/>
      <c r="P440" s="70"/>
      <c r="Q440" s="70"/>
      <c r="R440" s="70"/>
      <c r="S440" s="70"/>
      <c r="T440" s="63"/>
      <c r="U440" s="71"/>
      <c r="V440" s="71"/>
      <c r="W440" s="71"/>
      <c r="X440" s="62"/>
      <c r="Y440" s="62"/>
      <c r="Z440" s="94"/>
      <c r="AA440" s="94"/>
      <c r="AB440" s="70"/>
      <c r="AC440" s="70"/>
      <c r="AD440" s="70"/>
      <c r="AE440" s="70"/>
      <c r="AF440" s="63"/>
      <c r="AG440" s="71"/>
      <c r="AH440" s="71"/>
      <c r="AI440" s="71"/>
      <c r="AJ440" s="62"/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  <c r="R441" s="62"/>
      <c r="S441" s="62"/>
      <c r="T441" s="62"/>
      <c r="U441" s="62"/>
      <c r="V441" s="62"/>
      <c r="W441" s="62"/>
      <c r="X441" s="62"/>
      <c r="Y441" s="62"/>
      <c r="Z441" s="62"/>
      <c r="AA441" s="62"/>
      <c r="AB441" s="62"/>
      <c r="AC441" s="62"/>
      <c r="AD441" s="62"/>
      <c r="AE441" s="62"/>
      <c r="AF441" s="62"/>
      <c r="AG441" s="62"/>
      <c r="AH441" s="62"/>
      <c r="AI441" s="62"/>
      <c r="AJ441" s="62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s="62"/>
      <c r="B442" s="94"/>
      <c r="C442" s="94"/>
      <c r="D442" s="94"/>
      <c r="E442" s="94"/>
      <c r="F442" s="94"/>
      <c r="G442" s="94"/>
      <c r="H442" s="62"/>
      <c r="I442" s="62"/>
      <c r="J442" s="62"/>
      <c r="K442" s="62"/>
      <c r="L442" s="62"/>
      <c r="M442" s="62"/>
      <c r="N442" s="94"/>
      <c r="O442" s="94"/>
      <c r="P442" s="94"/>
      <c r="Q442" s="94"/>
      <c r="R442" s="94"/>
      <c r="S442" s="94"/>
      <c r="T442" s="62"/>
      <c r="U442" s="62"/>
      <c r="V442" s="62"/>
      <c r="W442" s="62"/>
      <c r="X442" s="62"/>
      <c r="Y442" s="62"/>
      <c r="Z442" s="94"/>
      <c r="AA442" s="94"/>
      <c r="AB442" s="94"/>
      <c r="AC442" s="94"/>
      <c r="AD442" s="94"/>
      <c r="AE442" s="94"/>
      <c r="AF442" s="62"/>
      <c r="AG442" s="62"/>
      <c r="AH442" s="62"/>
      <c r="AI442" s="62"/>
      <c r="AJ442" s="62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s="62"/>
      <c r="B443" s="94"/>
      <c r="C443" s="94"/>
      <c r="D443" s="94"/>
      <c r="E443" s="94"/>
      <c r="F443" s="94"/>
      <c r="G443" s="94"/>
      <c r="H443" s="62"/>
      <c r="I443" s="62"/>
      <c r="J443" s="62"/>
      <c r="K443" s="62"/>
      <c r="L443" s="62"/>
      <c r="M443" s="62"/>
      <c r="N443" s="94"/>
      <c r="O443" s="94"/>
      <c r="P443" s="94"/>
      <c r="Q443" s="94"/>
      <c r="R443" s="94"/>
      <c r="S443" s="94"/>
      <c r="T443" s="62"/>
      <c r="U443" s="62"/>
      <c r="V443" s="62"/>
      <c r="W443" s="62"/>
      <c r="X443" s="62"/>
      <c r="Y443" s="62"/>
      <c r="Z443" s="94"/>
      <c r="AA443" s="94"/>
      <c r="AB443" s="94"/>
      <c r="AC443" s="94"/>
      <c r="AD443" s="94"/>
      <c r="AE443" s="94"/>
      <c r="AF443" s="62"/>
      <c r="AG443" s="62"/>
      <c r="AH443" s="62"/>
      <c r="AI443" s="62"/>
      <c r="AJ443" s="62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A444" s="62"/>
      <c r="B444" s="94"/>
      <c r="C444" s="94"/>
      <c r="D444" s="94"/>
      <c r="E444" s="94"/>
      <c r="F444" s="94"/>
      <c r="G444" s="94"/>
      <c r="H444" s="62"/>
      <c r="I444" s="62"/>
      <c r="J444" s="62"/>
      <c r="K444" s="62"/>
      <c r="L444" s="62"/>
      <c r="M444" s="62"/>
      <c r="N444" s="94"/>
      <c r="O444" s="94"/>
      <c r="P444" s="94"/>
      <c r="Q444" s="94"/>
      <c r="R444" s="94"/>
      <c r="S444" s="94"/>
      <c r="T444" s="62"/>
      <c r="U444" s="62"/>
      <c r="V444" s="62"/>
      <c r="W444" s="62"/>
      <c r="X444" s="62"/>
      <c r="Y444" s="62"/>
      <c r="Z444" s="94"/>
      <c r="AA444" s="94"/>
      <c r="AB444" s="94"/>
      <c r="AC444" s="94"/>
      <c r="AD444" s="94"/>
      <c r="AE444" s="94"/>
      <c r="AF444" s="62"/>
      <c r="AG444" s="62"/>
      <c r="AH444" s="62"/>
      <c r="AI444" s="62"/>
      <c r="AJ444" s="62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63"/>
      <c r="B445" s="94"/>
      <c r="C445" s="94"/>
      <c r="D445" s="94"/>
      <c r="E445" s="94"/>
      <c r="F445" s="94"/>
      <c r="G445" s="94"/>
      <c r="H445" s="62"/>
      <c r="I445" s="62"/>
      <c r="J445" s="62"/>
      <c r="K445" s="62"/>
      <c r="L445" s="62"/>
      <c r="M445" s="63"/>
      <c r="N445" s="94"/>
      <c r="O445" s="94"/>
      <c r="P445" s="94"/>
      <c r="Q445" s="94"/>
      <c r="R445" s="94"/>
      <c r="S445" s="94"/>
      <c r="T445" s="62"/>
      <c r="U445" s="62"/>
      <c r="V445" s="62"/>
      <c r="W445" s="62"/>
      <c r="X445" s="62"/>
      <c r="Y445" s="63"/>
      <c r="Z445" s="94"/>
      <c r="AA445" s="94"/>
      <c r="AB445" s="94"/>
      <c r="AC445" s="94"/>
      <c r="AD445" s="94"/>
      <c r="AE445" s="94"/>
      <c r="AF445" s="62"/>
      <c r="AG445" s="62"/>
      <c r="AH445" s="62"/>
      <c r="AI445" s="62"/>
      <c r="AJ445" s="62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A446" s="62"/>
      <c r="B446" s="94"/>
      <c r="C446" s="94"/>
      <c r="D446" s="94"/>
      <c r="E446" s="94"/>
      <c r="F446" s="94"/>
      <c r="G446" s="94"/>
      <c r="H446" s="62"/>
      <c r="I446" s="62"/>
      <c r="J446" s="62"/>
      <c r="K446" s="62"/>
      <c r="L446" s="62"/>
      <c r="M446" s="62"/>
      <c r="N446" s="94"/>
      <c r="O446" s="94"/>
      <c r="P446" s="94"/>
      <c r="Q446" s="94"/>
      <c r="R446" s="94"/>
      <c r="S446" s="94"/>
      <c r="T446" s="62"/>
      <c r="U446" s="62"/>
      <c r="V446" s="62"/>
      <c r="W446" s="62"/>
      <c r="X446" s="62"/>
      <c r="Y446" s="62"/>
      <c r="Z446" s="94"/>
      <c r="AA446" s="94"/>
      <c r="AB446" s="94"/>
      <c r="AC446" s="94"/>
      <c r="AD446" s="94"/>
      <c r="AE446" s="94"/>
      <c r="AF446" s="62"/>
      <c r="AG446" s="62"/>
      <c r="AH446" s="62"/>
      <c r="AI446" s="62"/>
      <c r="AJ446" s="62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s="62"/>
      <c r="B447" s="94"/>
      <c r="C447" s="94"/>
      <c r="D447" s="94"/>
      <c r="E447" s="94"/>
      <c r="F447" s="94"/>
      <c r="G447" s="94"/>
      <c r="H447" s="62"/>
      <c r="I447" s="94"/>
      <c r="J447" s="74"/>
      <c r="K447" s="62"/>
      <c r="L447" s="62"/>
      <c r="M447" s="62"/>
      <c r="N447" s="94"/>
      <c r="O447" s="94"/>
      <c r="P447" s="94"/>
      <c r="Q447" s="94"/>
      <c r="R447" s="94"/>
      <c r="S447" s="94"/>
      <c r="T447" s="62"/>
      <c r="U447" s="94"/>
      <c r="V447" s="74"/>
      <c r="W447" s="62"/>
      <c r="X447" s="62"/>
      <c r="Y447" s="62"/>
      <c r="Z447" s="94"/>
      <c r="AA447" s="94"/>
      <c r="AB447" s="94"/>
      <c r="AC447" s="94"/>
      <c r="AD447" s="94"/>
      <c r="AE447" s="94"/>
      <c r="AF447" s="62"/>
      <c r="AG447" s="94"/>
      <c r="AH447" s="94"/>
      <c r="AI447" s="62"/>
      <c r="AJ447" s="62"/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64"/>
      <c r="B448" s="94"/>
      <c r="C448" s="94"/>
      <c r="D448" s="94"/>
      <c r="E448" s="94"/>
      <c r="F448" s="94"/>
      <c r="G448" s="94"/>
      <c r="H448" s="62"/>
      <c r="I448" s="65"/>
      <c r="J448" s="65"/>
      <c r="K448" s="62"/>
      <c r="L448" s="62"/>
      <c r="M448" s="64"/>
      <c r="N448" s="94"/>
      <c r="O448" s="94"/>
      <c r="P448" s="94"/>
      <c r="Q448" s="94"/>
      <c r="R448" s="94"/>
      <c r="S448" s="94"/>
      <c r="T448" s="62"/>
      <c r="U448" s="65"/>
      <c r="V448" s="65"/>
      <c r="W448" s="62"/>
      <c r="X448" s="62"/>
      <c r="Y448" s="64"/>
      <c r="Z448" s="94"/>
      <c r="AA448" s="94"/>
      <c r="AB448" s="94"/>
      <c r="AC448" s="94"/>
      <c r="AD448" s="94"/>
      <c r="AE448" s="94"/>
      <c r="AF448" s="62"/>
      <c r="AG448" s="65"/>
      <c r="AH448" s="65"/>
      <c r="AI448" s="62"/>
      <c r="AJ448" s="62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A449" s="62"/>
      <c r="B449" s="94"/>
      <c r="C449" s="94"/>
      <c r="D449" s="94"/>
      <c r="E449" s="94"/>
      <c r="F449" s="94"/>
      <c r="G449" s="94"/>
      <c r="H449" s="62"/>
      <c r="I449" s="62"/>
      <c r="J449" s="62"/>
      <c r="K449" s="62"/>
      <c r="L449" s="62"/>
      <c r="M449" s="62"/>
      <c r="N449" s="94"/>
      <c r="O449" s="94"/>
      <c r="P449" s="94"/>
      <c r="Q449" s="94"/>
      <c r="R449" s="94"/>
      <c r="S449" s="94"/>
      <c r="T449" s="62"/>
      <c r="U449" s="62"/>
      <c r="V449" s="62"/>
      <c r="W449" s="62"/>
      <c r="X449" s="62"/>
      <c r="Y449" s="62"/>
      <c r="Z449" s="94"/>
      <c r="AA449" s="94"/>
      <c r="AB449" s="94"/>
      <c r="AC449" s="94"/>
      <c r="AD449" s="94"/>
      <c r="AE449" s="94"/>
      <c r="AF449" s="62"/>
      <c r="AG449" s="62"/>
      <c r="AH449" s="62"/>
      <c r="AI449" s="62"/>
      <c r="AJ449" s="62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A450" s="62"/>
      <c r="B450" s="65"/>
      <c r="C450" s="94"/>
      <c r="D450" s="104"/>
      <c r="E450" s="104"/>
      <c r="F450" s="94"/>
      <c r="G450" s="94"/>
      <c r="H450" s="62"/>
      <c r="I450" s="104"/>
      <c r="J450" s="104"/>
      <c r="K450" s="103"/>
      <c r="L450" s="62"/>
      <c r="M450" s="62"/>
      <c r="N450" s="65"/>
      <c r="O450" s="94"/>
      <c r="P450" s="104"/>
      <c r="Q450" s="104"/>
      <c r="R450" s="94"/>
      <c r="S450" s="94"/>
      <c r="T450" s="62"/>
      <c r="U450" s="104"/>
      <c r="V450" s="104"/>
      <c r="W450" s="103"/>
      <c r="X450" s="62"/>
      <c r="Y450" s="62"/>
      <c r="Z450" s="65"/>
      <c r="AA450" s="94"/>
      <c r="AB450" s="104"/>
      <c r="AC450" s="104"/>
      <c r="AD450" s="94"/>
      <c r="AE450" s="94"/>
      <c r="AF450" s="62"/>
      <c r="AG450" s="104"/>
      <c r="AH450" s="104"/>
      <c r="AI450" s="103"/>
      <c r="AJ450" s="62"/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x14ac:dyDescent="0.25">
      <c r="A451" s="62"/>
      <c r="B451" s="94"/>
      <c r="C451" s="94"/>
      <c r="D451" s="81"/>
      <c r="E451" s="82"/>
      <c r="F451" s="83"/>
      <c r="G451" s="83"/>
      <c r="H451" s="62"/>
      <c r="I451" s="93"/>
      <c r="J451" s="93"/>
      <c r="K451" s="103"/>
      <c r="L451" s="62"/>
      <c r="M451" s="62"/>
      <c r="N451" s="94"/>
      <c r="O451" s="94"/>
      <c r="P451" s="81"/>
      <c r="Q451" s="83"/>
      <c r="R451" s="83"/>
      <c r="S451" s="83"/>
      <c r="T451" s="62"/>
      <c r="U451" s="93"/>
      <c r="V451" s="93"/>
      <c r="W451" s="103"/>
      <c r="X451" s="62"/>
      <c r="Y451" s="62"/>
      <c r="Z451" s="94"/>
      <c r="AA451" s="94"/>
      <c r="AB451" s="81"/>
      <c r="AC451" s="83"/>
      <c r="AD451" s="83"/>
      <c r="AE451" s="83"/>
      <c r="AF451" s="62"/>
      <c r="AG451" s="93"/>
      <c r="AH451" s="93"/>
      <c r="AI451" s="103"/>
      <c r="AJ451" s="62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62"/>
      <c r="B452" s="66"/>
      <c r="C452" s="92"/>
      <c r="D452" s="60"/>
      <c r="E452" s="60"/>
      <c r="F452" s="60"/>
      <c r="G452" s="60"/>
      <c r="H452" s="61"/>
      <c r="I452" s="61"/>
      <c r="J452" s="61"/>
      <c r="K452" s="61"/>
      <c r="L452" s="62"/>
      <c r="M452" s="62"/>
      <c r="N452" s="66"/>
      <c r="O452" s="94"/>
      <c r="P452" s="60"/>
      <c r="Q452" s="60"/>
      <c r="R452" s="60"/>
      <c r="S452" s="60"/>
      <c r="T452" s="61"/>
      <c r="U452" s="61"/>
      <c r="V452" s="61"/>
      <c r="W452" s="61"/>
      <c r="X452" s="62"/>
      <c r="Y452" s="62"/>
      <c r="Z452" s="66"/>
      <c r="AA452" s="94"/>
      <c r="AB452" s="60"/>
      <c r="AC452" s="60"/>
      <c r="AD452" s="60"/>
      <c r="AE452" s="60"/>
      <c r="AF452" s="61"/>
      <c r="AG452" s="61"/>
      <c r="AH452" s="61"/>
      <c r="AI452" s="61"/>
      <c r="AJ452" s="62"/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62"/>
      <c r="B453" s="66"/>
      <c r="C453" s="92"/>
      <c r="D453" s="60"/>
      <c r="E453" s="60"/>
      <c r="F453" s="60"/>
      <c r="G453" s="60"/>
      <c r="H453" s="61"/>
      <c r="I453" s="61"/>
      <c r="J453" s="61"/>
      <c r="K453" s="61"/>
      <c r="L453" s="62"/>
      <c r="M453" s="62"/>
      <c r="N453" s="66"/>
      <c r="O453" s="94"/>
      <c r="P453" s="60"/>
      <c r="Q453" s="60"/>
      <c r="R453" s="60"/>
      <c r="S453" s="60"/>
      <c r="T453" s="61"/>
      <c r="U453" s="61"/>
      <c r="V453" s="61"/>
      <c r="W453" s="61"/>
      <c r="X453" s="62"/>
      <c r="Y453" s="62"/>
      <c r="Z453" s="66"/>
      <c r="AA453" s="94"/>
      <c r="AB453" s="60"/>
      <c r="AC453" s="60"/>
      <c r="AD453" s="60"/>
      <c r="AE453" s="60"/>
      <c r="AF453" s="61"/>
      <c r="AG453" s="61"/>
      <c r="AH453" s="61"/>
      <c r="AI453" s="61"/>
      <c r="AJ453" s="62"/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62"/>
      <c r="B454" s="66"/>
      <c r="C454" s="92"/>
      <c r="D454" s="60"/>
      <c r="E454" s="60"/>
      <c r="F454" s="60"/>
      <c r="G454" s="60"/>
      <c r="H454" s="61"/>
      <c r="I454" s="61"/>
      <c r="J454" s="61"/>
      <c r="K454" s="61"/>
      <c r="L454" s="62"/>
      <c r="M454" s="62"/>
      <c r="N454" s="66"/>
      <c r="O454" s="94"/>
      <c r="P454" s="60"/>
      <c r="Q454" s="60"/>
      <c r="R454" s="60"/>
      <c r="S454" s="60"/>
      <c r="T454" s="61"/>
      <c r="U454" s="61"/>
      <c r="V454" s="61"/>
      <c r="W454" s="61"/>
      <c r="X454" s="62"/>
      <c r="Y454" s="62"/>
      <c r="Z454" s="66"/>
      <c r="AA454" s="94"/>
      <c r="AB454" s="60"/>
      <c r="AC454" s="60"/>
      <c r="AD454" s="60"/>
      <c r="AE454" s="60"/>
      <c r="AF454" s="61"/>
      <c r="AG454" s="61"/>
      <c r="AH454" s="61"/>
      <c r="AI454" s="61"/>
      <c r="AJ454" s="62"/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62"/>
      <c r="B455" s="66"/>
      <c r="C455" s="92"/>
      <c r="D455" s="60"/>
      <c r="E455" s="60"/>
      <c r="F455" s="60"/>
      <c r="G455" s="60"/>
      <c r="H455" s="61"/>
      <c r="I455" s="61"/>
      <c r="J455" s="61"/>
      <c r="K455" s="61"/>
      <c r="L455" s="62"/>
      <c r="M455" s="62"/>
      <c r="N455" s="66"/>
      <c r="O455" s="65"/>
      <c r="P455" s="60"/>
      <c r="Q455" s="60"/>
      <c r="R455" s="60"/>
      <c r="S455" s="60"/>
      <c r="T455" s="61"/>
      <c r="U455" s="61"/>
      <c r="V455" s="61"/>
      <c r="W455" s="61"/>
      <c r="X455" s="62"/>
      <c r="Y455" s="62"/>
      <c r="Z455" s="66"/>
      <c r="AA455" s="94"/>
      <c r="AB455" s="60"/>
      <c r="AC455" s="60"/>
      <c r="AD455" s="60"/>
      <c r="AE455" s="60"/>
      <c r="AF455" s="61"/>
      <c r="AG455" s="62"/>
      <c r="AH455" s="61"/>
      <c r="AI455" s="61"/>
      <c r="AJ455" s="62"/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62"/>
      <c r="B456" s="66"/>
      <c r="C456" s="92"/>
      <c r="D456" s="60"/>
      <c r="E456" s="60"/>
      <c r="F456" s="60"/>
      <c r="G456" s="60"/>
      <c r="H456" s="61"/>
      <c r="I456" s="61"/>
      <c r="J456" s="61"/>
      <c r="K456" s="61"/>
      <c r="L456" s="62"/>
      <c r="M456" s="62"/>
      <c r="N456" s="66"/>
      <c r="O456" s="94"/>
      <c r="P456" s="60"/>
      <c r="Q456" s="60"/>
      <c r="R456" s="60"/>
      <c r="S456" s="60"/>
      <c r="T456" s="61"/>
      <c r="U456" s="61"/>
      <c r="V456" s="61"/>
      <c r="W456" s="61"/>
      <c r="X456" s="62"/>
      <c r="Y456" s="62"/>
      <c r="Z456" s="66"/>
      <c r="AA456" s="65"/>
      <c r="AB456" s="60"/>
      <c r="AC456" s="60"/>
      <c r="AD456" s="60"/>
      <c r="AE456" s="60"/>
      <c r="AF456" s="61"/>
      <c r="AG456" s="61"/>
      <c r="AH456" s="61"/>
      <c r="AI456" s="61"/>
      <c r="AJ456" s="62"/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62"/>
      <c r="B457" s="66"/>
      <c r="C457" s="92"/>
      <c r="D457" s="60"/>
      <c r="E457" s="60"/>
      <c r="F457" s="60"/>
      <c r="G457" s="60"/>
      <c r="H457" s="61"/>
      <c r="I457" s="61"/>
      <c r="J457" s="61"/>
      <c r="K457" s="61"/>
      <c r="L457" s="62"/>
      <c r="M457" s="62"/>
      <c r="N457" s="66"/>
      <c r="O457" s="62"/>
      <c r="P457" s="60"/>
      <c r="Q457" s="60"/>
      <c r="R457" s="60"/>
      <c r="S457" s="60"/>
      <c r="T457" s="61"/>
      <c r="U457" s="61"/>
      <c r="V457" s="62"/>
      <c r="W457" s="61"/>
      <c r="X457" s="62"/>
      <c r="Y457" s="62"/>
      <c r="Z457" s="66"/>
      <c r="AA457" s="62"/>
      <c r="AB457" s="60"/>
      <c r="AC457" s="60"/>
      <c r="AD457" s="60"/>
      <c r="AE457" s="60"/>
      <c r="AF457" s="61"/>
      <c r="AG457" s="61"/>
      <c r="AH457" s="62"/>
      <c r="AI457" s="61"/>
      <c r="AJ457" s="62"/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62"/>
      <c r="B458" s="66"/>
      <c r="C458" s="92"/>
      <c r="D458" s="60"/>
      <c r="E458" s="60"/>
      <c r="F458" s="60"/>
      <c r="G458" s="60"/>
      <c r="H458" s="61"/>
      <c r="I458" s="61"/>
      <c r="J458" s="61"/>
      <c r="K458" s="61"/>
      <c r="L458" s="62"/>
      <c r="M458" s="62"/>
      <c r="N458" s="66"/>
      <c r="O458" s="94"/>
      <c r="P458" s="60"/>
      <c r="Q458" s="60"/>
      <c r="R458" s="60"/>
      <c r="S458" s="60"/>
      <c r="T458" s="61"/>
      <c r="U458" s="61"/>
      <c r="V458" s="61"/>
      <c r="W458" s="61"/>
      <c r="X458" s="62"/>
      <c r="Y458" s="62"/>
      <c r="Z458" s="66"/>
      <c r="AA458" s="94"/>
      <c r="AB458" s="60"/>
      <c r="AC458" s="60"/>
      <c r="AD458" s="60"/>
      <c r="AE458" s="60"/>
      <c r="AF458" s="61"/>
      <c r="AG458" s="61"/>
      <c r="AH458" s="61"/>
      <c r="AI458" s="61"/>
      <c r="AJ458" s="62"/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62"/>
      <c r="B459" s="66"/>
      <c r="C459" s="92"/>
      <c r="D459" s="60"/>
      <c r="E459" s="60"/>
      <c r="F459" s="60"/>
      <c r="G459" s="60"/>
      <c r="H459" s="61"/>
      <c r="I459" s="61"/>
      <c r="J459" s="61"/>
      <c r="K459" s="61"/>
      <c r="L459" s="62"/>
      <c r="M459" s="62"/>
      <c r="N459" s="66"/>
      <c r="O459" s="94"/>
      <c r="P459" s="60"/>
      <c r="Q459" s="60"/>
      <c r="R459" s="60"/>
      <c r="S459" s="60"/>
      <c r="T459" s="61"/>
      <c r="U459" s="61"/>
      <c r="V459" s="61"/>
      <c r="W459" s="61"/>
      <c r="X459" s="62"/>
      <c r="Y459" s="62"/>
      <c r="Z459" s="66"/>
      <c r="AA459" s="94"/>
      <c r="AB459" s="60"/>
      <c r="AC459" s="60"/>
      <c r="AD459" s="62"/>
      <c r="AE459" s="60"/>
      <c r="AF459" s="61"/>
      <c r="AG459" s="61"/>
      <c r="AH459" s="61"/>
      <c r="AI459" s="61"/>
      <c r="AJ459" s="62"/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62"/>
      <c r="B460" s="66"/>
      <c r="C460" s="92"/>
      <c r="D460" s="60"/>
      <c r="E460" s="60"/>
      <c r="F460" s="60"/>
      <c r="G460" s="60"/>
      <c r="H460" s="61"/>
      <c r="I460" s="61"/>
      <c r="J460" s="61"/>
      <c r="K460" s="61"/>
      <c r="L460" s="62"/>
      <c r="M460" s="62"/>
      <c r="N460" s="66"/>
      <c r="O460" s="94"/>
      <c r="P460" s="60"/>
      <c r="Q460" s="60"/>
      <c r="R460" s="60"/>
      <c r="S460" s="60"/>
      <c r="T460" s="61"/>
      <c r="U460" s="61"/>
      <c r="V460" s="61"/>
      <c r="W460" s="61"/>
      <c r="X460" s="62"/>
      <c r="Y460" s="62"/>
      <c r="Z460" s="66"/>
      <c r="AA460" s="94"/>
      <c r="AB460" s="62"/>
      <c r="AC460" s="60"/>
      <c r="AD460" s="60"/>
      <c r="AE460" s="60"/>
      <c r="AF460" s="61"/>
      <c r="AG460" s="62"/>
      <c r="AH460" s="61"/>
      <c r="AI460" s="61"/>
      <c r="AJ460" s="62"/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62"/>
      <c r="B461" s="66"/>
      <c r="C461" s="92"/>
      <c r="D461" s="60"/>
      <c r="E461" s="60"/>
      <c r="F461" s="60"/>
      <c r="G461" s="60"/>
      <c r="H461" s="61"/>
      <c r="I461" s="61"/>
      <c r="J461" s="61"/>
      <c r="K461" s="61"/>
      <c r="L461" s="62"/>
      <c r="M461" s="62"/>
      <c r="N461" s="66"/>
      <c r="O461" s="94"/>
      <c r="P461" s="60"/>
      <c r="Q461" s="60"/>
      <c r="R461" s="60"/>
      <c r="S461" s="60"/>
      <c r="T461" s="61"/>
      <c r="U461" s="61"/>
      <c r="V461" s="61"/>
      <c r="W461" s="61"/>
      <c r="X461" s="62"/>
      <c r="Y461" s="62"/>
      <c r="Z461" s="66"/>
      <c r="AA461" s="94"/>
      <c r="AB461" s="60"/>
      <c r="AC461" s="60"/>
      <c r="AD461" s="60"/>
      <c r="AE461" s="60"/>
      <c r="AF461" s="61"/>
      <c r="AG461" s="61"/>
      <c r="AH461" s="61"/>
      <c r="AI461" s="61"/>
      <c r="AJ461" s="62"/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62"/>
      <c r="B462" s="66"/>
      <c r="C462" s="92"/>
      <c r="D462" s="60"/>
      <c r="E462" s="60"/>
      <c r="F462" s="60"/>
      <c r="G462" s="60"/>
      <c r="H462" s="61"/>
      <c r="I462" s="61"/>
      <c r="J462" s="61"/>
      <c r="K462" s="61"/>
      <c r="L462" s="62"/>
      <c r="M462" s="62"/>
      <c r="N462" s="66"/>
      <c r="O462" s="94"/>
      <c r="P462" s="60"/>
      <c r="Q462" s="60"/>
      <c r="R462" s="60"/>
      <c r="S462" s="60"/>
      <c r="T462" s="61"/>
      <c r="U462" s="61"/>
      <c r="V462" s="61"/>
      <c r="W462" s="61"/>
      <c r="X462" s="62"/>
      <c r="Y462" s="62"/>
      <c r="Z462" s="66"/>
      <c r="AA462" s="62"/>
      <c r="AB462" s="60"/>
      <c r="AC462" s="60"/>
      <c r="AD462" s="60"/>
      <c r="AE462" s="60"/>
      <c r="AF462" s="61"/>
      <c r="AG462" s="61"/>
      <c r="AH462" s="61"/>
      <c r="AI462" s="61"/>
      <c r="AJ462" s="62"/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62"/>
      <c r="B463" s="66"/>
      <c r="C463" s="92"/>
      <c r="D463" s="60"/>
      <c r="E463" s="60"/>
      <c r="F463" s="60"/>
      <c r="G463" s="60"/>
      <c r="H463" s="61"/>
      <c r="I463" s="61"/>
      <c r="J463" s="62"/>
      <c r="K463" s="61"/>
      <c r="L463" s="62"/>
      <c r="M463" s="62"/>
      <c r="N463" s="66"/>
      <c r="O463" s="94"/>
      <c r="P463" s="60"/>
      <c r="Q463" s="60"/>
      <c r="R463" s="60"/>
      <c r="S463" s="60"/>
      <c r="T463" s="61"/>
      <c r="U463" s="61"/>
      <c r="V463" s="61"/>
      <c r="W463" s="61"/>
      <c r="X463" s="62"/>
      <c r="Y463" s="62"/>
      <c r="Z463" s="66"/>
      <c r="AA463" s="94"/>
      <c r="AB463" s="60"/>
      <c r="AC463" s="60"/>
      <c r="AD463" s="60"/>
      <c r="AE463" s="60"/>
      <c r="AF463" s="61"/>
      <c r="AG463" s="61"/>
      <c r="AH463" s="61"/>
      <c r="AI463" s="61"/>
      <c r="AJ463" s="62"/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62"/>
      <c r="B464" s="66"/>
      <c r="C464" s="92"/>
      <c r="D464" s="60"/>
      <c r="E464" s="60"/>
      <c r="F464" s="60"/>
      <c r="G464" s="60"/>
      <c r="H464" s="61"/>
      <c r="I464" s="61"/>
      <c r="J464" s="61"/>
      <c r="K464" s="61"/>
      <c r="L464" s="62"/>
      <c r="M464" s="62"/>
      <c r="N464" s="66"/>
      <c r="O464" s="94"/>
      <c r="P464" s="60"/>
      <c r="Q464" s="60"/>
      <c r="R464" s="60"/>
      <c r="S464" s="60"/>
      <c r="T464" s="61"/>
      <c r="U464" s="61"/>
      <c r="V464" s="61"/>
      <c r="W464" s="61"/>
      <c r="X464" s="62"/>
      <c r="Y464" s="62"/>
      <c r="Z464" s="66"/>
      <c r="AA464" s="94"/>
      <c r="AB464" s="60"/>
      <c r="AC464" s="60"/>
      <c r="AD464" s="60"/>
      <c r="AE464" s="60"/>
      <c r="AF464" s="61"/>
      <c r="AG464" s="61"/>
      <c r="AH464" s="61"/>
      <c r="AI464" s="61"/>
      <c r="AJ464" s="62"/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62"/>
      <c r="B465" s="66"/>
      <c r="C465" s="92"/>
      <c r="D465" s="60"/>
      <c r="E465" s="60"/>
      <c r="F465" s="60"/>
      <c r="G465" s="60"/>
      <c r="H465" s="61"/>
      <c r="I465" s="61"/>
      <c r="J465" s="61"/>
      <c r="K465" s="61"/>
      <c r="L465" s="62"/>
      <c r="M465" s="62"/>
      <c r="N465" s="66"/>
      <c r="O465" s="94"/>
      <c r="P465" s="60"/>
      <c r="Q465" s="60"/>
      <c r="R465" s="60"/>
      <c r="S465" s="60"/>
      <c r="T465" s="61"/>
      <c r="U465" s="61"/>
      <c r="V465" s="61"/>
      <c r="W465" s="61"/>
      <c r="X465" s="62"/>
      <c r="Y465" s="62"/>
      <c r="Z465" s="66"/>
      <c r="AA465" s="94"/>
      <c r="AB465" s="60"/>
      <c r="AC465" s="60"/>
      <c r="AD465" s="60"/>
      <c r="AE465" s="60"/>
      <c r="AF465" s="61"/>
      <c r="AG465" s="61"/>
      <c r="AH465" s="61"/>
      <c r="AI465" s="61"/>
      <c r="AJ465" s="62"/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62"/>
      <c r="B466" s="66"/>
      <c r="C466" s="92"/>
      <c r="D466" s="60"/>
      <c r="E466" s="60"/>
      <c r="F466" s="60"/>
      <c r="G466" s="60"/>
      <c r="H466" s="61"/>
      <c r="I466" s="61"/>
      <c r="J466" s="61"/>
      <c r="K466" s="61"/>
      <c r="L466" s="62"/>
      <c r="M466" s="62"/>
      <c r="N466" s="66"/>
      <c r="O466" s="94"/>
      <c r="P466" s="60"/>
      <c r="Q466" s="60"/>
      <c r="R466" s="60"/>
      <c r="S466" s="60"/>
      <c r="T466" s="61"/>
      <c r="U466" s="61"/>
      <c r="V466" s="61"/>
      <c r="W466" s="61"/>
      <c r="X466" s="62"/>
      <c r="Y466" s="62"/>
      <c r="Z466" s="66"/>
      <c r="AA466" s="94"/>
      <c r="AB466" s="60"/>
      <c r="AC466" s="60"/>
      <c r="AD466" s="60"/>
      <c r="AE466" s="60"/>
      <c r="AF466" s="61"/>
      <c r="AG466" s="61"/>
      <c r="AH466" s="61"/>
      <c r="AI466" s="61"/>
      <c r="AJ466" s="62"/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62"/>
      <c r="B467" s="66"/>
      <c r="C467" s="92"/>
      <c r="D467" s="60"/>
      <c r="E467" s="60"/>
      <c r="F467" s="60"/>
      <c r="G467" s="60"/>
      <c r="H467" s="61"/>
      <c r="I467" s="61"/>
      <c r="J467" s="61"/>
      <c r="K467" s="61"/>
      <c r="L467" s="62"/>
      <c r="M467" s="62"/>
      <c r="N467" s="66"/>
      <c r="O467" s="94"/>
      <c r="P467" s="60"/>
      <c r="Q467" s="60"/>
      <c r="R467" s="60"/>
      <c r="S467" s="60"/>
      <c r="T467" s="61"/>
      <c r="U467" s="61"/>
      <c r="V467" s="61"/>
      <c r="W467" s="61"/>
      <c r="X467" s="62"/>
      <c r="Y467" s="62"/>
      <c r="Z467" s="66"/>
      <c r="AA467" s="62"/>
      <c r="AB467" s="60"/>
      <c r="AC467" s="60"/>
      <c r="AD467" s="60"/>
      <c r="AE467" s="60"/>
      <c r="AF467" s="61"/>
      <c r="AG467" s="61"/>
      <c r="AH467" s="61"/>
      <c r="AI467" s="61"/>
      <c r="AJ467" s="62"/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62"/>
      <c r="B468" s="66"/>
      <c r="C468" s="92"/>
      <c r="D468" s="60"/>
      <c r="E468" s="60"/>
      <c r="F468" s="60"/>
      <c r="G468" s="60"/>
      <c r="H468" s="61"/>
      <c r="I468" s="61"/>
      <c r="J468" s="61"/>
      <c r="K468" s="61"/>
      <c r="L468" s="62"/>
      <c r="M468" s="62"/>
      <c r="N468" s="66"/>
      <c r="O468" s="62"/>
      <c r="P468" s="60"/>
      <c r="Q468" s="60"/>
      <c r="R468" s="60"/>
      <c r="S468" s="60"/>
      <c r="T468" s="61"/>
      <c r="U468" s="61"/>
      <c r="V468" s="61"/>
      <c r="W468" s="61"/>
      <c r="X468" s="62"/>
      <c r="Y468" s="62"/>
      <c r="Z468" s="66"/>
      <c r="AA468" s="94"/>
      <c r="AB468" s="60"/>
      <c r="AC468" s="60"/>
      <c r="AD468" s="60"/>
      <c r="AE468" s="60"/>
      <c r="AF468" s="61"/>
      <c r="AG468" s="61"/>
      <c r="AH468" s="61"/>
      <c r="AI468" s="61"/>
      <c r="AJ468" s="62"/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62"/>
      <c r="B469" s="66"/>
      <c r="C469" s="92"/>
      <c r="D469" s="60"/>
      <c r="E469" s="60"/>
      <c r="F469" s="60"/>
      <c r="G469" s="60"/>
      <c r="H469" s="61"/>
      <c r="I469" s="61"/>
      <c r="J469" s="61"/>
      <c r="K469" s="61"/>
      <c r="L469" s="62"/>
      <c r="M469" s="62"/>
      <c r="N469" s="66"/>
      <c r="O469" s="94"/>
      <c r="P469" s="60"/>
      <c r="Q469" s="60"/>
      <c r="R469" s="60"/>
      <c r="S469" s="60"/>
      <c r="T469" s="61"/>
      <c r="U469" s="61"/>
      <c r="V469" s="61"/>
      <c r="W469" s="61"/>
      <c r="X469" s="62"/>
      <c r="Y469" s="62"/>
      <c r="Z469" s="66"/>
      <c r="AA469" s="94"/>
      <c r="AB469" s="60"/>
      <c r="AC469" s="60"/>
      <c r="AD469" s="60"/>
      <c r="AE469" s="60"/>
      <c r="AF469" s="61"/>
      <c r="AG469" s="61"/>
      <c r="AH469" s="61"/>
      <c r="AI469" s="61"/>
      <c r="AJ469" s="62"/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62"/>
      <c r="B470" s="66"/>
      <c r="C470" s="65"/>
      <c r="D470" s="60"/>
      <c r="E470" s="60"/>
      <c r="F470" s="60"/>
      <c r="G470" s="60"/>
      <c r="H470" s="61"/>
      <c r="I470" s="61"/>
      <c r="J470" s="61"/>
      <c r="K470" s="61"/>
      <c r="L470" s="62"/>
      <c r="M470" s="62"/>
      <c r="N470" s="66"/>
      <c r="O470" s="94"/>
      <c r="P470" s="60"/>
      <c r="Q470" s="60"/>
      <c r="R470" s="60"/>
      <c r="S470" s="60"/>
      <c r="T470" s="61"/>
      <c r="U470" s="61"/>
      <c r="V470" s="61"/>
      <c r="W470" s="61"/>
      <c r="X470" s="62"/>
      <c r="Y470" s="62"/>
      <c r="Z470" s="66"/>
      <c r="AA470" s="94"/>
      <c r="AB470" s="60"/>
      <c r="AC470" s="60"/>
      <c r="AD470" s="60"/>
      <c r="AE470" s="60"/>
      <c r="AF470" s="61"/>
      <c r="AG470" s="61"/>
      <c r="AH470" s="61"/>
      <c r="AI470" s="61"/>
      <c r="AJ470" s="62"/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62"/>
      <c r="B471" s="66"/>
      <c r="C471" s="92"/>
      <c r="D471" s="60"/>
      <c r="E471" s="60"/>
      <c r="F471" s="60"/>
      <c r="G471" s="60"/>
      <c r="H471" s="61"/>
      <c r="I471" s="61"/>
      <c r="J471" s="61"/>
      <c r="K471" s="61"/>
      <c r="L471" s="62"/>
      <c r="M471" s="62"/>
      <c r="N471" s="66"/>
      <c r="O471" s="94"/>
      <c r="P471" s="60"/>
      <c r="Q471" s="60"/>
      <c r="R471" s="60"/>
      <c r="S471" s="60"/>
      <c r="T471" s="61"/>
      <c r="U471" s="61"/>
      <c r="V471" s="61"/>
      <c r="W471" s="61"/>
      <c r="X471" s="62"/>
      <c r="Y471" s="62"/>
      <c r="Z471" s="66"/>
      <c r="AA471" s="94"/>
      <c r="AB471" s="60"/>
      <c r="AC471" s="60"/>
      <c r="AD471" s="60"/>
      <c r="AE471" s="60"/>
      <c r="AF471" s="61"/>
      <c r="AG471" s="61"/>
      <c r="AH471" s="61"/>
      <c r="AI471" s="61"/>
      <c r="AJ471" s="62"/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62"/>
      <c r="B472" s="66"/>
      <c r="C472" s="92"/>
      <c r="D472" s="60"/>
      <c r="E472" s="60"/>
      <c r="F472" s="60"/>
      <c r="G472" s="60"/>
      <c r="H472" s="62"/>
      <c r="I472" s="62"/>
      <c r="J472" s="62"/>
      <c r="K472" s="61"/>
      <c r="L472" s="62"/>
      <c r="M472" s="62"/>
      <c r="N472" s="66"/>
      <c r="O472" s="94"/>
      <c r="P472" s="67"/>
      <c r="Q472" s="94"/>
      <c r="R472" s="94"/>
      <c r="S472" s="60"/>
      <c r="T472" s="62"/>
      <c r="U472" s="62"/>
      <c r="V472" s="62"/>
      <c r="W472" s="61"/>
      <c r="X472" s="62"/>
      <c r="Y472" s="62"/>
      <c r="Z472" s="66"/>
      <c r="AA472" s="62"/>
      <c r="AB472" s="67"/>
      <c r="AC472" s="94"/>
      <c r="AD472" s="94"/>
      <c r="AE472" s="60"/>
      <c r="AF472" s="62"/>
      <c r="AG472" s="62"/>
      <c r="AH472" s="62"/>
      <c r="AI472" s="61"/>
      <c r="AJ472" s="62"/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62"/>
      <c r="B473" s="66"/>
      <c r="C473" s="92"/>
      <c r="D473" s="60"/>
      <c r="E473" s="60"/>
      <c r="F473" s="60"/>
      <c r="G473" s="60"/>
      <c r="H473" s="62"/>
      <c r="I473" s="62"/>
      <c r="J473" s="62"/>
      <c r="K473" s="61"/>
      <c r="L473" s="62"/>
      <c r="M473" s="62"/>
      <c r="N473" s="66"/>
      <c r="O473" s="94"/>
      <c r="P473" s="68"/>
      <c r="Q473" s="94"/>
      <c r="R473" s="94"/>
      <c r="S473" s="60"/>
      <c r="T473" s="62"/>
      <c r="U473" s="62"/>
      <c r="V473" s="62"/>
      <c r="W473" s="61"/>
      <c r="X473" s="62"/>
      <c r="Y473" s="62"/>
      <c r="Z473" s="66"/>
      <c r="AA473" s="62"/>
      <c r="AB473" s="68"/>
      <c r="AC473" s="94"/>
      <c r="AD473" s="94"/>
      <c r="AE473" s="60"/>
      <c r="AF473" s="62"/>
      <c r="AG473" s="62"/>
      <c r="AH473" s="62"/>
      <c r="AI473" s="61"/>
      <c r="AJ473" s="62"/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62"/>
      <c r="B474" s="66"/>
      <c r="C474" s="94"/>
      <c r="D474" s="60"/>
      <c r="E474" s="60"/>
      <c r="F474" s="60"/>
      <c r="G474" s="60"/>
      <c r="H474" s="62"/>
      <c r="I474" s="62"/>
      <c r="J474" s="61"/>
      <c r="K474" s="61"/>
      <c r="L474" s="62"/>
      <c r="M474" s="62"/>
      <c r="N474" s="66"/>
      <c r="O474" s="94"/>
      <c r="P474" s="69"/>
      <c r="Q474" s="62"/>
      <c r="R474" s="62"/>
      <c r="S474" s="60"/>
      <c r="T474" s="62"/>
      <c r="U474" s="62"/>
      <c r="V474" s="62"/>
      <c r="W474" s="61"/>
      <c r="X474" s="62"/>
      <c r="Y474" s="62"/>
      <c r="Z474" s="66"/>
      <c r="AA474" s="94"/>
      <c r="AB474" s="69"/>
      <c r="AC474" s="62"/>
      <c r="AD474" s="62"/>
      <c r="AE474" s="60"/>
      <c r="AF474" s="62"/>
      <c r="AG474" s="62"/>
      <c r="AH474" s="62"/>
      <c r="AI474" s="61"/>
      <c r="AJ474" s="62"/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62"/>
      <c r="B475" s="66"/>
      <c r="C475" s="92"/>
      <c r="D475" s="60"/>
      <c r="E475" s="60"/>
      <c r="F475" s="60"/>
      <c r="G475" s="60"/>
      <c r="H475" s="62"/>
      <c r="I475" s="62"/>
      <c r="J475" s="62"/>
      <c r="K475" s="61"/>
      <c r="L475" s="62"/>
      <c r="M475" s="62"/>
      <c r="N475" s="66"/>
      <c r="O475" s="62"/>
      <c r="P475" s="69"/>
      <c r="Q475" s="94"/>
      <c r="R475" s="94"/>
      <c r="S475" s="60"/>
      <c r="T475" s="62"/>
      <c r="U475" s="62"/>
      <c r="V475" s="62"/>
      <c r="W475" s="61"/>
      <c r="X475" s="62"/>
      <c r="Y475" s="62"/>
      <c r="Z475" s="66"/>
      <c r="AA475" s="94"/>
      <c r="AB475" s="69"/>
      <c r="AC475" s="94"/>
      <c r="AD475" s="94"/>
      <c r="AE475" s="60"/>
      <c r="AF475" s="62"/>
      <c r="AG475" s="62"/>
      <c r="AH475" s="62"/>
      <c r="AI475" s="61"/>
      <c r="AJ475" s="62"/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62"/>
      <c r="B476" s="66"/>
      <c r="C476" s="92"/>
      <c r="D476" s="60"/>
      <c r="E476" s="60"/>
      <c r="F476" s="60"/>
      <c r="G476" s="60"/>
      <c r="H476" s="62"/>
      <c r="I476" s="62"/>
      <c r="J476" s="62"/>
      <c r="K476" s="61"/>
      <c r="L476" s="62"/>
      <c r="M476" s="62"/>
      <c r="N476" s="66"/>
      <c r="O476" s="94"/>
      <c r="P476" s="69"/>
      <c r="Q476" s="94"/>
      <c r="R476" s="94"/>
      <c r="S476" s="60"/>
      <c r="T476" s="62"/>
      <c r="U476" s="62"/>
      <c r="V476" s="62"/>
      <c r="W476" s="61"/>
      <c r="X476" s="62"/>
      <c r="Y476" s="62"/>
      <c r="Z476" s="66"/>
      <c r="AA476" s="65"/>
      <c r="AB476" s="69"/>
      <c r="AC476" s="94"/>
      <c r="AD476" s="94"/>
      <c r="AE476" s="60"/>
      <c r="AF476" s="62"/>
      <c r="AG476" s="62"/>
      <c r="AH476" s="62"/>
      <c r="AI476" s="61"/>
      <c r="AJ476" s="62"/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62"/>
      <c r="B477" s="66"/>
      <c r="C477" s="92"/>
      <c r="D477" s="60"/>
      <c r="E477" s="60"/>
      <c r="F477" s="60"/>
      <c r="G477" s="60"/>
      <c r="H477" s="62"/>
      <c r="I477" s="62"/>
      <c r="J477" s="62"/>
      <c r="K477" s="61"/>
      <c r="L477" s="62"/>
      <c r="M477" s="62"/>
      <c r="N477" s="66"/>
      <c r="O477" s="62"/>
      <c r="P477" s="69"/>
      <c r="Q477" s="94"/>
      <c r="R477" s="94"/>
      <c r="S477" s="60"/>
      <c r="T477" s="62"/>
      <c r="U477" s="62"/>
      <c r="V477" s="62"/>
      <c r="W477" s="61"/>
      <c r="X477" s="62"/>
      <c r="Y477" s="62"/>
      <c r="Z477" s="66"/>
      <c r="AA477" s="62"/>
      <c r="AB477" s="69"/>
      <c r="AC477" s="94"/>
      <c r="AD477" s="94"/>
      <c r="AE477" s="60"/>
      <c r="AF477" s="62"/>
      <c r="AG477" s="62"/>
      <c r="AH477" s="62"/>
      <c r="AI477" s="61"/>
      <c r="AJ477" s="62"/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62"/>
      <c r="B478" s="66"/>
      <c r="C478" s="92"/>
      <c r="D478" s="60"/>
      <c r="E478" s="60"/>
      <c r="F478" s="60"/>
      <c r="G478" s="60"/>
      <c r="H478" s="62"/>
      <c r="I478" s="62"/>
      <c r="J478" s="62"/>
      <c r="K478" s="61"/>
      <c r="L478" s="62"/>
      <c r="M478" s="62"/>
      <c r="N478" s="66"/>
      <c r="O478" s="94"/>
      <c r="P478" s="69"/>
      <c r="Q478" s="94"/>
      <c r="R478" s="94"/>
      <c r="S478" s="60"/>
      <c r="T478" s="62"/>
      <c r="U478" s="62"/>
      <c r="V478" s="62"/>
      <c r="W478" s="61"/>
      <c r="X478" s="62"/>
      <c r="Y478" s="62"/>
      <c r="Z478" s="66"/>
      <c r="AA478" s="94"/>
      <c r="AB478" s="69"/>
      <c r="AC478" s="94"/>
      <c r="AD478" s="94"/>
      <c r="AE478" s="60"/>
      <c r="AF478" s="62"/>
      <c r="AG478" s="62"/>
      <c r="AH478" s="62"/>
      <c r="AI478" s="61"/>
      <c r="AJ478" s="62"/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62"/>
      <c r="B479" s="66"/>
      <c r="C479" s="92"/>
      <c r="D479" s="60"/>
      <c r="E479" s="60"/>
      <c r="F479" s="60"/>
      <c r="G479" s="60"/>
      <c r="H479" s="62"/>
      <c r="I479" s="62"/>
      <c r="J479" s="62"/>
      <c r="K479" s="61"/>
      <c r="L479" s="62"/>
      <c r="M479" s="62"/>
      <c r="N479" s="66"/>
      <c r="O479" s="94"/>
      <c r="P479" s="69"/>
      <c r="Q479" s="94"/>
      <c r="R479" s="94"/>
      <c r="S479" s="60"/>
      <c r="T479" s="62"/>
      <c r="U479" s="62"/>
      <c r="V479" s="62"/>
      <c r="W479" s="61"/>
      <c r="X479" s="62"/>
      <c r="Y479" s="62"/>
      <c r="Z479" s="66"/>
      <c r="AA479" s="94"/>
      <c r="AB479" s="69"/>
      <c r="AC479" s="94"/>
      <c r="AD479" s="94"/>
      <c r="AE479" s="60"/>
      <c r="AF479" s="62"/>
      <c r="AG479" s="62"/>
      <c r="AH479" s="62"/>
      <c r="AI479" s="61"/>
      <c r="AJ479" s="62"/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62"/>
      <c r="B480" s="66"/>
      <c r="C480" s="92"/>
      <c r="D480" s="60"/>
      <c r="E480" s="60"/>
      <c r="F480" s="60"/>
      <c r="G480" s="60"/>
      <c r="H480" s="62"/>
      <c r="I480" s="62"/>
      <c r="J480" s="62"/>
      <c r="K480" s="61"/>
      <c r="L480" s="62"/>
      <c r="M480" s="62"/>
      <c r="N480" s="66"/>
      <c r="O480" s="62"/>
      <c r="P480" s="69"/>
      <c r="Q480" s="94"/>
      <c r="R480" s="94"/>
      <c r="S480" s="60"/>
      <c r="T480" s="62"/>
      <c r="U480" s="62"/>
      <c r="V480" s="62"/>
      <c r="W480" s="61"/>
      <c r="X480" s="62"/>
      <c r="Y480" s="62"/>
      <c r="Z480" s="66"/>
      <c r="AA480" s="94"/>
      <c r="AB480" s="69"/>
      <c r="AC480" s="94"/>
      <c r="AD480" s="94"/>
      <c r="AE480" s="60"/>
      <c r="AF480" s="62"/>
      <c r="AG480" s="62"/>
      <c r="AH480" s="62"/>
      <c r="AI480" s="61"/>
      <c r="AJ480" s="62"/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62"/>
      <c r="B481" s="66"/>
      <c r="C481" s="94"/>
      <c r="D481" s="60"/>
      <c r="E481" s="60"/>
      <c r="F481" s="60"/>
      <c r="G481" s="60"/>
      <c r="H481" s="62"/>
      <c r="I481" s="62"/>
      <c r="J481" s="62"/>
      <c r="K481" s="61"/>
      <c r="L481" s="62"/>
      <c r="M481" s="62"/>
      <c r="N481" s="66"/>
      <c r="O481" s="62"/>
      <c r="P481" s="69"/>
      <c r="Q481" s="94"/>
      <c r="R481" s="94"/>
      <c r="S481" s="60"/>
      <c r="T481" s="62"/>
      <c r="U481" s="62"/>
      <c r="V481" s="62"/>
      <c r="W481" s="61"/>
      <c r="X481" s="62"/>
      <c r="Y481" s="62"/>
      <c r="Z481" s="66"/>
      <c r="AA481" s="62"/>
      <c r="AB481" s="69"/>
      <c r="AC481" s="94"/>
      <c r="AD481" s="94"/>
      <c r="AE481" s="60"/>
      <c r="AF481" s="62"/>
      <c r="AG481" s="62"/>
      <c r="AH481" s="62"/>
      <c r="AI481" s="61"/>
      <c r="AJ481" s="62"/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62"/>
      <c r="B482" s="66"/>
      <c r="C482" s="92"/>
      <c r="D482" s="60"/>
      <c r="E482" s="60"/>
      <c r="F482" s="60"/>
      <c r="G482" s="60"/>
      <c r="H482" s="62"/>
      <c r="I482" s="62"/>
      <c r="J482" s="62"/>
      <c r="K482" s="61"/>
      <c r="L482" s="62"/>
      <c r="M482" s="62"/>
      <c r="N482" s="66"/>
      <c r="O482" s="94"/>
      <c r="P482" s="69"/>
      <c r="Q482" s="94"/>
      <c r="R482" s="94"/>
      <c r="S482" s="60"/>
      <c r="T482" s="62"/>
      <c r="U482" s="62"/>
      <c r="V482" s="62"/>
      <c r="W482" s="61"/>
      <c r="X482" s="62"/>
      <c r="Y482" s="62"/>
      <c r="Z482" s="66"/>
      <c r="AA482" s="62"/>
      <c r="AB482" s="69"/>
      <c r="AC482" s="94"/>
      <c r="AD482" s="94"/>
      <c r="AE482" s="60"/>
      <c r="AF482" s="62"/>
      <c r="AG482" s="62"/>
      <c r="AH482" s="62"/>
      <c r="AI482" s="61"/>
      <c r="AJ482" s="62"/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62"/>
      <c r="B483" s="66"/>
      <c r="C483" s="92"/>
      <c r="D483" s="60"/>
      <c r="E483" s="60"/>
      <c r="F483" s="60"/>
      <c r="G483" s="60"/>
      <c r="H483" s="62"/>
      <c r="I483" s="62"/>
      <c r="J483" s="62"/>
      <c r="K483" s="61"/>
      <c r="L483" s="62"/>
      <c r="M483" s="62"/>
      <c r="N483" s="66"/>
      <c r="O483" s="62"/>
      <c r="P483" s="69"/>
      <c r="Q483" s="94"/>
      <c r="R483" s="94"/>
      <c r="S483" s="60"/>
      <c r="T483" s="62"/>
      <c r="U483" s="62"/>
      <c r="V483" s="62"/>
      <c r="W483" s="61"/>
      <c r="X483" s="62"/>
      <c r="Y483" s="62"/>
      <c r="Z483" s="66"/>
      <c r="AA483" s="94"/>
      <c r="AB483" s="69"/>
      <c r="AC483" s="94"/>
      <c r="AD483" s="94"/>
      <c r="AE483" s="60"/>
      <c r="AF483" s="62"/>
      <c r="AG483" s="62"/>
      <c r="AH483" s="62"/>
      <c r="AI483" s="61"/>
      <c r="AJ483" s="62"/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62"/>
      <c r="B484" s="66"/>
      <c r="C484" s="92"/>
      <c r="D484" s="60"/>
      <c r="E484" s="60"/>
      <c r="F484" s="60"/>
      <c r="G484" s="60"/>
      <c r="H484" s="62"/>
      <c r="I484" s="62"/>
      <c r="J484" s="62"/>
      <c r="K484" s="61"/>
      <c r="L484" s="62"/>
      <c r="M484" s="62"/>
      <c r="N484" s="66"/>
      <c r="O484" s="94"/>
      <c r="P484" s="69"/>
      <c r="Q484" s="94"/>
      <c r="R484" s="94"/>
      <c r="S484" s="60"/>
      <c r="T484" s="62"/>
      <c r="U484" s="62"/>
      <c r="V484" s="62"/>
      <c r="W484" s="61"/>
      <c r="X484" s="62"/>
      <c r="Y484" s="62"/>
      <c r="Z484" s="66"/>
      <c r="AA484" s="94"/>
      <c r="AB484" s="69"/>
      <c r="AC484" s="94"/>
      <c r="AD484" s="94"/>
      <c r="AE484" s="60"/>
      <c r="AF484" s="62"/>
      <c r="AG484" s="62"/>
      <c r="AH484" s="62"/>
      <c r="AI484" s="61"/>
      <c r="AJ484" s="62"/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62"/>
      <c r="B485" s="66"/>
      <c r="C485" s="92"/>
      <c r="D485" s="60"/>
      <c r="E485" s="60"/>
      <c r="F485" s="60"/>
      <c r="G485" s="60"/>
      <c r="H485" s="62"/>
      <c r="I485" s="62"/>
      <c r="J485" s="62"/>
      <c r="K485" s="61"/>
      <c r="L485" s="62"/>
      <c r="M485" s="62"/>
      <c r="N485" s="66"/>
      <c r="O485" s="94"/>
      <c r="P485" s="69"/>
      <c r="Q485" s="94"/>
      <c r="R485" s="94"/>
      <c r="S485" s="60"/>
      <c r="T485" s="62"/>
      <c r="U485" s="62"/>
      <c r="V485" s="62"/>
      <c r="W485" s="61"/>
      <c r="X485" s="62"/>
      <c r="Y485" s="62"/>
      <c r="Z485" s="66"/>
      <c r="AA485" s="62"/>
      <c r="AB485" s="69"/>
      <c r="AC485" s="94"/>
      <c r="AD485" s="94"/>
      <c r="AE485" s="60"/>
      <c r="AF485" s="62"/>
      <c r="AG485" s="62"/>
      <c r="AH485" s="62"/>
      <c r="AI485" s="61"/>
      <c r="AJ485" s="62"/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62"/>
      <c r="B486" s="66"/>
      <c r="C486" s="94"/>
      <c r="D486" s="60"/>
      <c r="E486" s="60"/>
      <c r="F486" s="60"/>
      <c r="G486" s="60"/>
      <c r="H486" s="62"/>
      <c r="I486" s="62"/>
      <c r="J486" s="62"/>
      <c r="K486" s="61"/>
      <c r="L486" s="62"/>
      <c r="M486" s="62"/>
      <c r="N486" s="66"/>
      <c r="O486" s="94"/>
      <c r="P486" s="69"/>
      <c r="Q486" s="94"/>
      <c r="R486" s="94"/>
      <c r="S486" s="60"/>
      <c r="T486" s="62"/>
      <c r="U486" s="62"/>
      <c r="V486" s="62"/>
      <c r="W486" s="61"/>
      <c r="X486" s="62"/>
      <c r="Y486" s="62"/>
      <c r="Z486" s="66"/>
      <c r="AA486" s="94"/>
      <c r="AB486" s="69"/>
      <c r="AC486" s="94"/>
      <c r="AD486" s="94"/>
      <c r="AE486" s="60"/>
      <c r="AF486" s="62"/>
      <c r="AG486" s="62"/>
      <c r="AH486" s="62"/>
      <c r="AI486" s="61"/>
      <c r="AJ486" s="62"/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62"/>
      <c r="B487" s="66"/>
      <c r="C487" s="94"/>
      <c r="D487" s="60"/>
      <c r="E487" s="60"/>
      <c r="F487" s="60"/>
      <c r="G487" s="60"/>
      <c r="H487" s="62"/>
      <c r="I487" s="62"/>
      <c r="J487" s="62"/>
      <c r="K487" s="61"/>
      <c r="L487" s="62"/>
      <c r="M487" s="62"/>
      <c r="N487" s="66"/>
      <c r="O487" s="94"/>
      <c r="P487" s="69"/>
      <c r="Q487" s="94"/>
      <c r="R487" s="94"/>
      <c r="S487" s="60"/>
      <c r="T487" s="62"/>
      <c r="U487" s="62"/>
      <c r="V487" s="62"/>
      <c r="W487" s="61"/>
      <c r="X487" s="62"/>
      <c r="Y487" s="62"/>
      <c r="Z487" s="66"/>
      <c r="AA487" s="94"/>
      <c r="AB487" s="69"/>
      <c r="AC487" s="94"/>
      <c r="AD487" s="94"/>
      <c r="AE487" s="60"/>
      <c r="AF487" s="62"/>
      <c r="AG487" s="62"/>
      <c r="AH487" s="62"/>
      <c r="AI487" s="61"/>
      <c r="AJ487" s="62"/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62"/>
      <c r="B488" s="66"/>
      <c r="C488" s="94"/>
      <c r="D488" s="60"/>
      <c r="E488" s="60"/>
      <c r="F488" s="60"/>
      <c r="G488" s="60"/>
      <c r="H488" s="62"/>
      <c r="I488" s="62"/>
      <c r="J488" s="62"/>
      <c r="K488" s="61"/>
      <c r="L488" s="62"/>
      <c r="M488" s="62"/>
      <c r="N488" s="66"/>
      <c r="O488" s="62"/>
      <c r="P488" s="69"/>
      <c r="Q488" s="94"/>
      <c r="R488" s="94"/>
      <c r="S488" s="60"/>
      <c r="T488" s="62"/>
      <c r="U488" s="62"/>
      <c r="V488" s="62"/>
      <c r="W488" s="61"/>
      <c r="X488" s="62"/>
      <c r="Y488" s="62"/>
      <c r="Z488" s="66"/>
      <c r="AA488" s="94"/>
      <c r="AB488" s="69"/>
      <c r="AC488" s="94"/>
      <c r="AD488" s="94"/>
      <c r="AE488" s="60"/>
      <c r="AF488" s="62"/>
      <c r="AG488" s="62"/>
      <c r="AH488" s="62"/>
      <c r="AI488" s="61"/>
      <c r="AJ488" s="62"/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62"/>
      <c r="B489" s="66"/>
      <c r="C489" s="94"/>
      <c r="D489" s="60"/>
      <c r="E489" s="60"/>
      <c r="F489" s="60"/>
      <c r="G489" s="60"/>
      <c r="H489" s="62"/>
      <c r="I489" s="62"/>
      <c r="J489" s="62"/>
      <c r="K489" s="61"/>
      <c r="L489" s="62"/>
      <c r="M489" s="62"/>
      <c r="N489" s="66"/>
      <c r="O489" s="94"/>
      <c r="P489" s="69"/>
      <c r="Q489" s="94"/>
      <c r="R489" s="94"/>
      <c r="S489" s="60"/>
      <c r="T489" s="62"/>
      <c r="U489" s="62"/>
      <c r="V489" s="62"/>
      <c r="W489" s="61"/>
      <c r="X489" s="62"/>
      <c r="Y489" s="62"/>
      <c r="Z489" s="66"/>
      <c r="AA489" s="94"/>
      <c r="AB489" s="69"/>
      <c r="AC489" s="94"/>
      <c r="AD489" s="94"/>
      <c r="AE489" s="60"/>
      <c r="AF489" s="62"/>
      <c r="AG489" s="62"/>
      <c r="AH489" s="62"/>
      <c r="AI489" s="61"/>
      <c r="AJ489" s="62"/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62"/>
      <c r="B490" s="66"/>
      <c r="C490" s="94"/>
      <c r="D490" s="60"/>
      <c r="E490" s="60"/>
      <c r="F490" s="60"/>
      <c r="G490" s="60"/>
      <c r="H490" s="62"/>
      <c r="I490" s="62"/>
      <c r="J490" s="62"/>
      <c r="K490" s="61"/>
      <c r="L490" s="62"/>
      <c r="M490" s="62"/>
      <c r="N490" s="66"/>
      <c r="O490" s="94"/>
      <c r="P490" s="69"/>
      <c r="Q490" s="94"/>
      <c r="R490" s="94"/>
      <c r="S490" s="60"/>
      <c r="T490" s="62"/>
      <c r="U490" s="62"/>
      <c r="V490" s="62"/>
      <c r="W490" s="61"/>
      <c r="X490" s="62"/>
      <c r="Y490" s="62"/>
      <c r="Z490" s="66"/>
      <c r="AA490" s="94"/>
      <c r="AB490" s="69"/>
      <c r="AC490" s="94"/>
      <c r="AD490" s="94"/>
      <c r="AE490" s="60"/>
      <c r="AF490" s="62"/>
      <c r="AG490" s="62"/>
      <c r="AH490" s="62"/>
      <c r="AI490" s="61"/>
      <c r="AJ490" s="62"/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62"/>
      <c r="B491" s="66"/>
      <c r="C491" s="94"/>
      <c r="D491" s="60"/>
      <c r="E491" s="60"/>
      <c r="F491" s="60"/>
      <c r="G491" s="60"/>
      <c r="H491" s="62"/>
      <c r="I491" s="62"/>
      <c r="J491" s="62"/>
      <c r="K491" s="61"/>
      <c r="L491" s="62"/>
      <c r="M491" s="62"/>
      <c r="N491" s="66"/>
      <c r="O491" s="62"/>
      <c r="P491" s="69"/>
      <c r="Q491" s="94"/>
      <c r="R491" s="94"/>
      <c r="S491" s="60"/>
      <c r="T491" s="62"/>
      <c r="U491" s="62"/>
      <c r="V491" s="62"/>
      <c r="W491" s="61"/>
      <c r="X491" s="62"/>
      <c r="Y491" s="62"/>
      <c r="Z491" s="66"/>
      <c r="AA491" s="62"/>
      <c r="AB491" s="69"/>
      <c r="AC491" s="94"/>
      <c r="AD491" s="94"/>
      <c r="AE491" s="60"/>
      <c r="AF491" s="62"/>
      <c r="AG491" s="62"/>
      <c r="AH491" s="62"/>
      <c r="AI491" s="61"/>
      <c r="AJ491" s="62"/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62"/>
      <c r="B492" s="66"/>
      <c r="C492" s="94"/>
      <c r="D492" s="60"/>
      <c r="E492" s="60"/>
      <c r="F492" s="60"/>
      <c r="G492" s="60"/>
      <c r="H492" s="62"/>
      <c r="I492" s="62"/>
      <c r="J492" s="62"/>
      <c r="K492" s="61"/>
      <c r="L492" s="62"/>
      <c r="M492" s="62"/>
      <c r="N492" s="66"/>
      <c r="O492" s="94"/>
      <c r="P492" s="69"/>
      <c r="Q492" s="94"/>
      <c r="R492" s="94"/>
      <c r="S492" s="60"/>
      <c r="T492" s="62"/>
      <c r="U492" s="62"/>
      <c r="V492" s="62"/>
      <c r="W492" s="61"/>
      <c r="X492" s="62"/>
      <c r="Y492" s="62"/>
      <c r="Z492" s="66"/>
      <c r="AA492" s="94"/>
      <c r="AB492" s="69"/>
      <c r="AC492" s="94"/>
      <c r="AD492" s="94"/>
      <c r="AE492" s="60"/>
      <c r="AF492" s="62"/>
      <c r="AG492" s="62"/>
      <c r="AH492" s="62"/>
      <c r="AI492" s="61"/>
      <c r="AJ492" s="62"/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62"/>
      <c r="B493" s="66"/>
      <c r="C493" s="66"/>
      <c r="D493" s="60"/>
      <c r="E493" s="60"/>
      <c r="F493" s="60"/>
      <c r="G493" s="60"/>
      <c r="H493" s="62"/>
      <c r="I493" s="62"/>
      <c r="J493" s="62"/>
      <c r="K493" s="61"/>
      <c r="L493" s="62"/>
      <c r="M493" s="62"/>
      <c r="N493" s="94"/>
      <c r="O493" s="94"/>
      <c r="P493" s="94"/>
      <c r="Q493" s="94"/>
      <c r="R493" s="94"/>
      <c r="S493" s="94"/>
      <c r="T493" s="62"/>
      <c r="U493" s="62"/>
      <c r="V493" s="62"/>
      <c r="W493" s="61"/>
      <c r="X493" s="62"/>
      <c r="Y493" s="62"/>
      <c r="Z493" s="94"/>
      <c r="AA493" s="94"/>
      <c r="AB493" s="94"/>
      <c r="AC493" s="94"/>
      <c r="AD493" s="94"/>
      <c r="AE493" s="94"/>
      <c r="AF493" s="62"/>
      <c r="AG493" s="62"/>
      <c r="AH493" s="62"/>
      <c r="AI493" s="61"/>
      <c r="AJ493" s="62"/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A494" s="62"/>
      <c r="B494" s="94"/>
      <c r="C494" s="94"/>
      <c r="D494" s="94"/>
      <c r="E494" s="94"/>
      <c r="F494" s="94"/>
      <c r="G494" s="94"/>
      <c r="H494" s="62"/>
      <c r="I494" s="62"/>
      <c r="J494" s="62"/>
      <c r="K494" s="62"/>
      <c r="L494" s="62"/>
      <c r="M494" s="62"/>
      <c r="N494" s="94"/>
      <c r="O494" s="94"/>
      <c r="P494" s="94"/>
      <c r="Q494" s="94"/>
      <c r="R494" s="94"/>
      <c r="S494" s="94"/>
      <c r="T494" s="62"/>
      <c r="U494" s="62"/>
      <c r="V494" s="62"/>
      <c r="W494" s="62"/>
      <c r="X494" s="62"/>
      <c r="Y494" s="62"/>
      <c r="Z494" s="94"/>
      <c r="AA494" s="94"/>
      <c r="AB494" s="94"/>
      <c r="AC494" s="94"/>
      <c r="AD494" s="94"/>
      <c r="AE494" s="94"/>
      <c r="AF494" s="62"/>
      <c r="AG494" s="62"/>
      <c r="AH494" s="62"/>
      <c r="AI494" s="62"/>
      <c r="AJ494" s="62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A495" s="62"/>
      <c r="B495" s="94"/>
      <c r="C495" s="94"/>
      <c r="D495" s="70"/>
      <c r="E495" s="70"/>
      <c r="F495" s="70"/>
      <c r="G495" s="70"/>
      <c r="H495" s="63"/>
      <c r="I495" s="70"/>
      <c r="J495" s="70"/>
      <c r="K495" s="70"/>
      <c r="L495" s="62"/>
      <c r="M495" s="62"/>
      <c r="N495" s="94"/>
      <c r="O495" s="94"/>
      <c r="P495" s="70"/>
      <c r="Q495" s="70"/>
      <c r="R495" s="70"/>
      <c r="S495" s="70"/>
      <c r="T495" s="63"/>
      <c r="U495" s="71"/>
      <c r="V495" s="71"/>
      <c r="W495" s="71"/>
      <c r="X495" s="62"/>
      <c r="Y495" s="62"/>
      <c r="Z495" s="94"/>
      <c r="AA495" s="94"/>
      <c r="AB495" s="70"/>
      <c r="AC495" s="70"/>
      <c r="AD495" s="70"/>
      <c r="AE495" s="70"/>
      <c r="AF495" s="63"/>
      <c r="AG495" s="71"/>
      <c r="AH495" s="71"/>
      <c r="AI495" s="71"/>
      <c r="AJ495" s="62"/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  <c r="R496" s="62"/>
      <c r="S496" s="62"/>
      <c r="T496" s="62"/>
      <c r="U496" s="62"/>
      <c r="V496" s="62"/>
      <c r="W496" s="62"/>
      <c r="X496" s="62"/>
      <c r="Y496" s="62"/>
      <c r="Z496" s="62"/>
      <c r="AA496" s="62"/>
      <c r="AB496" s="62"/>
      <c r="AC496" s="62"/>
      <c r="AD496" s="62"/>
      <c r="AE496" s="62"/>
      <c r="AF496" s="62"/>
      <c r="AG496" s="62"/>
      <c r="AH496" s="62"/>
      <c r="AI496" s="62"/>
      <c r="AJ496" s="62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s="62"/>
      <c r="B497" s="94"/>
      <c r="C497" s="94"/>
      <c r="D497" s="94"/>
      <c r="E497" s="94"/>
      <c r="F497" s="94"/>
      <c r="G497" s="94"/>
      <c r="H497" s="62"/>
      <c r="I497" s="62"/>
      <c r="J497" s="62"/>
      <c r="K497" s="62"/>
      <c r="L497" s="62"/>
      <c r="M497" s="62"/>
      <c r="N497" s="94"/>
      <c r="O497" s="94"/>
      <c r="P497" s="94"/>
      <c r="Q497" s="94"/>
      <c r="R497" s="94"/>
      <c r="S497" s="94"/>
      <c r="T497" s="62"/>
      <c r="U497" s="62"/>
      <c r="V497" s="62"/>
      <c r="W497" s="62"/>
      <c r="X497" s="62"/>
      <c r="Y497" s="62"/>
      <c r="Z497" s="94"/>
      <c r="AA497" s="94"/>
      <c r="AB497" s="94"/>
      <c r="AC497" s="94"/>
      <c r="AD497" s="94"/>
      <c r="AE497" s="94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s="62"/>
      <c r="B498" s="94"/>
      <c r="C498" s="94"/>
      <c r="D498" s="94"/>
      <c r="E498" s="94"/>
      <c r="F498" s="94"/>
      <c r="G498" s="94"/>
      <c r="H498" s="62"/>
      <c r="I498" s="62"/>
      <c r="J498" s="62"/>
      <c r="K498" s="62"/>
      <c r="L498" s="62"/>
      <c r="M498" s="62"/>
      <c r="N498" s="94"/>
      <c r="O498" s="94"/>
      <c r="P498" s="94"/>
      <c r="Q498" s="94"/>
      <c r="R498" s="94"/>
      <c r="S498" s="94"/>
      <c r="T498" s="62"/>
      <c r="U498" s="62"/>
      <c r="V498" s="62"/>
      <c r="W498" s="62"/>
      <c r="X498" s="62"/>
      <c r="Y498" s="62"/>
      <c r="Z498" s="94"/>
      <c r="AA498" s="94"/>
      <c r="AB498" s="94"/>
      <c r="AC498" s="94"/>
      <c r="AD498" s="94"/>
      <c r="AE498" s="94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A499" s="62"/>
      <c r="B499" s="94"/>
      <c r="C499" s="94"/>
      <c r="D499" s="94"/>
      <c r="E499" s="94"/>
      <c r="F499" s="94"/>
      <c r="G499" s="94"/>
      <c r="H499" s="62"/>
      <c r="I499" s="62"/>
      <c r="J499" s="62"/>
      <c r="K499" s="62"/>
      <c r="L499" s="62"/>
      <c r="M499" s="62"/>
      <c r="N499" s="94"/>
      <c r="O499" s="94"/>
      <c r="P499" s="94"/>
      <c r="Q499" s="94"/>
      <c r="R499" s="94"/>
      <c r="S499" s="94"/>
      <c r="T499" s="62"/>
      <c r="U499" s="62"/>
      <c r="V499" s="62"/>
      <c r="W499" s="62"/>
      <c r="X499" s="62"/>
      <c r="Y499" s="62"/>
      <c r="Z499" s="94"/>
      <c r="AA499" s="94"/>
      <c r="AB499" s="94"/>
      <c r="AC499" s="94"/>
      <c r="AD499" s="94"/>
      <c r="AE499" s="94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63"/>
      <c r="B500" s="94"/>
      <c r="C500" s="94"/>
      <c r="D500" s="94"/>
      <c r="E500" s="94"/>
      <c r="F500" s="94"/>
      <c r="G500" s="94"/>
      <c r="H500" s="62"/>
      <c r="I500" s="62"/>
      <c r="J500" s="62"/>
      <c r="K500" s="62"/>
      <c r="L500" s="62"/>
      <c r="M500" s="63"/>
      <c r="N500" s="94"/>
      <c r="O500" s="94"/>
      <c r="P500" s="94"/>
      <c r="Q500" s="94"/>
      <c r="R500" s="94"/>
      <c r="S500" s="94"/>
      <c r="T500" s="62"/>
      <c r="U500" s="62"/>
      <c r="V500" s="62"/>
      <c r="W500" s="62"/>
      <c r="X500" s="62"/>
      <c r="Y500" s="63"/>
      <c r="Z500" s="94"/>
      <c r="AA500" s="94"/>
      <c r="AB500" s="94"/>
      <c r="AC500" s="94"/>
      <c r="AD500" s="94"/>
      <c r="AE500" s="94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A501" s="62"/>
      <c r="B501" s="94"/>
      <c r="C501" s="94"/>
      <c r="D501" s="94"/>
      <c r="E501" s="94"/>
      <c r="F501" s="94"/>
      <c r="G501" s="94"/>
      <c r="H501" s="62"/>
      <c r="I501" s="62"/>
      <c r="J501" s="62"/>
      <c r="K501" s="62"/>
      <c r="L501" s="62"/>
      <c r="M501" s="62"/>
      <c r="N501" s="94"/>
      <c r="O501" s="94"/>
      <c r="P501" s="94"/>
      <c r="Q501" s="94"/>
      <c r="R501" s="94"/>
      <c r="S501" s="94"/>
      <c r="T501" s="62"/>
      <c r="U501" s="62"/>
      <c r="V501" s="62"/>
      <c r="W501" s="62"/>
      <c r="X501" s="62"/>
      <c r="Y501" s="62"/>
      <c r="Z501" s="94"/>
      <c r="AA501" s="94"/>
      <c r="AB501" s="94"/>
      <c r="AC501" s="94"/>
      <c r="AD501" s="94"/>
      <c r="AE501" s="94"/>
      <c r="AF501" s="62"/>
      <c r="AG501" s="62"/>
      <c r="AH501" s="62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s="62"/>
      <c r="B502" s="94"/>
      <c r="C502" s="94"/>
      <c r="D502" s="94"/>
      <c r="E502" s="94"/>
      <c r="F502" s="94"/>
      <c r="G502" s="94"/>
      <c r="H502" s="62"/>
      <c r="I502" s="94"/>
      <c r="J502" s="74"/>
      <c r="K502" s="62"/>
      <c r="L502" s="62"/>
      <c r="M502" s="62"/>
      <c r="N502" s="94"/>
      <c r="O502" s="94"/>
      <c r="P502" s="94"/>
      <c r="Q502" s="94"/>
      <c r="R502" s="94"/>
      <c r="S502" s="94"/>
      <c r="T502" s="62"/>
      <c r="U502" s="94"/>
      <c r="V502" s="74"/>
      <c r="W502" s="62"/>
      <c r="X502" s="62"/>
      <c r="Y502" s="62"/>
      <c r="Z502" s="94"/>
      <c r="AA502" s="94"/>
      <c r="AB502" s="94"/>
      <c r="AC502" s="94"/>
      <c r="AD502" s="94"/>
      <c r="AE502" s="94"/>
      <c r="AF502" s="62"/>
      <c r="AG502" s="94"/>
      <c r="AH502" s="94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64"/>
      <c r="B503" s="94"/>
      <c r="C503" s="94"/>
      <c r="D503" s="94"/>
      <c r="E503" s="94"/>
      <c r="F503" s="94"/>
      <c r="G503" s="94"/>
      <c r="H503" s="62"/>
      <c r="I503" s="65"/>
      <c r="J503" s="65"/>
      <c r="K503" s="62"/>
      <c r="L503" s="62"/>
      <c r="M503" s="64"/>
      <c r="N503" s="94"/>
      <c r="O503" s="94"/>
      <c r="P503" s="94"/>
      <c r="Q503" s="94"/>
      <c r="R503" s="94"/>
      <c r="S503" s="94"/>
      <c r="T503" s="62"/>
      <c r="U503" s="65"/>
      <c r="V503" s="65"/>
      <c r="W503" s="62"/>
      <c r="X503" s="62"/>
      <c r="Y503" s="64"/>
      <c r="Z503" s="94"/>
      <c r="AA503" s="94"/>
      <c r="AB503" s="94"/>
      <c r="AC503" s="94"/>
      <c r="AD503" s="94"/>
      <c r="AE503" s="94"/>
      <c r="AF503" s="62"/>
      <c r="AG503" s="65"/>
      <c r="AH503" s="65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A504" s="62"/>
      <c r="B504" s="94"/>
      <c r="C504" s="94"/>
      <c r="D504" s="94"/>
      <c r="E504" s="94"/>
      <c r="F504" s="94"/>
      <c r="G504" s="94"/>
      <c r="H504" s="62"/>
      <c r="I504" s="62"/>
      <c r="J504" s="62"/>
      <c r="K504" s="62"/>
      <c r="L504" s="62"/>
      <c r="M504" s="62"/>
      <c r="N504" s="94"/>
      <c r="O504" s="94"/>
      <c r="P504" s="94"/>
      <c r="Q504" s="94"/>
      <c r="R504" s="94"/>
      <c r="S504" s="94"/>
      <c r="T504" s="62"/>
      <c r="U504" s="62"/>
      <c r="V504" s="62"/>
      <c r="W504" s="62"/>
      <c r="X504" s="62"/>
      <c r="Y504" s="62"/>
      <c r="Z504" s="94"/>
      <c r="AA504" s="94"/>
      <c r="AB504" s="94"/>
      <c r="AC504" s="94"/>
      <c r="AD504" s="94"/>
      <c r="AE504" s="94"/>
      <c r="AF504" s="62"/>
      <c r="AG504" s="62"/>
      <c r="AH504" s="62"/>
      <c r="AI504" s="62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A505" s="62"/>
      <c r="B505" s="65"/>
      <c r="C505" s="94"/>
      <c r="D505" s="104"/>
      <c r="E505" s="104"/>
      <c r="F505" s="94"/>
      <c r="G505" s="94"/>
      <c r="H505" s="62"/>
      <c r="I505" s="104"/>
      <c r="J505" s="104"/>
      <c r="K505" s="103"/>
      <c r="L505" s="62"/>
      <c r="M505" s="62"/>
      <c r="N505" s="65"/>
      <c r="O505" s="94"/>
      <c r="P505" s="104"/>
      <c r="Q505" s="104"/>
      <c r="R505" s="94"/>
      <c r="S505" s="94"/>
      <c r="T505" s="62"/>
      <c r="U505" s="104"/>
      <c r="V505" s="104"/>
      <c r="W505" s="103"/>
      <c r="X505" s="62"/>
      <c r="Y505" s="62"/>
      <c r="Z505" s="65"/>
      <c r="AA505" s="94"/>
      <c r="AB505" s="104"/>
      <c r="AC505" s="104"/>
      <c r="AD505" s="94"/>
      <c r="AE505" s="94"/>
      <c r="AF505" s="62"/>
      <c r="AG505" s="104"/>
      <c r="AH505" s="104"/>
      <c r="AI505" s="103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x14ac:dyDescent="0.25">
      <c r="A506" s="62"/>
      <c r="B506" s="94"/>
      <c r="C506" s="94"/>
      <c r="D506" s="81"/>
      <c r="E506" s="82"/>
      <c r="F506" s="83"/>
      <c r="G506" s="83"/>
      <c r="H506" s="62"/>
      <c r="I506" s="93"/>
      <c r="J506" s="93"/>
      <c r="K506" s="103"/>
      <c r="L506" s="62"/>
      <c r="M506" s="62"/>
      <c r="N506" s="94"/>
      <c r="O506" s="94"/>
      <c r="P506" s="81"/>
      <c r="Q506" s="83"/>
      <c r="R506" s="83"/>
      <c r="S506" s="83"/>
      <c r="T506" s="62"/>
      <c r="U506" s="93"/>
      <c r="V506" s="93"/>
      <c r="W506" s="103"/>
      <c r="X506" s="62"/>
      <c r="Y506" s="62"/>
      <c r="Z506" s="94"/>
      <c r="AA506" s="94"/>
      <c r="AB506" s="81"/>
      <c r="AC506" s="83"/>
      <c r="AD506" s="83"/>
      <c r="AE506" s="83"/>
      <c r="AF506" s="62"/>
      <c r="AG506" s="93"/>
      <c r="AH506" s="93"/>
      <c r="AI506" s="103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62"/>
      <c r="B507" s="66"/>
      <c r="C507" s="92"/>
      <c r="D507" s="60"/>
      <c r="E507" s="60"/>
      <c r="F507" s="60"/>
      <c r="G507" s="60"/>
      <c r="H507" s="61"/>
      <c r="I507" s="61"/>
      <c r="J507" s="61"/>
      <c r="K507" s="61"/>
      <c r="L507" s="62"/>
      <c r="M507" s="62"/>
      <c r="N507" s="66"/>
      <c r="O507" s="94"/>
      <c r="P507" s="60"/>
      <c r="Q507" s="60"/>
      <c r="R507" s="60"/>
      <c r="S507" s="60"/>
      <c r="T507" s="61"/>
      <c r="U507" s="61"/>
      <c r="V507" s="61"/>
      <c r="W507" s="61"/>
      <c r="X507" s="62"/>
      <c r="Y507" s="62"/>
      <c r="Z507" s="66"/>
      <c r="AA507" s="94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62"/>
      <c r="B508" s="66"/>
      <c r="C508" s="92"/>
      <c r="D508" s="60"/>
      <c r="E508" s="60"/>
      <c r="F508" s="60"/>
      <c r="G508" s="60"/>
      <c r="H508" s="61"/>
      <c r="I508" s="61"/>
      <c r="J508" s="61"/>
      <c r="K508" s="61"/>
      <c r="L508" s="62"/>
      <c r="M508" s="62"/>
      <c r="N508" s="66"/>
      <c r="O508" s="94"/>
      <c r="P508" s="60"/>
      <c r="Q508" s="60"/>
      <c r="R508" s="60"/>
      <c r="S508" s="60"/>
      <c r="T508" s="61"/>
      <c r="U508" s="61"/>
      <c r="V508" s="61"/>
      <c r="W508" s="61"/>
      <c r="X508" s="62"/>
      <c r="Y508" s="62"/>
      <c r="Z508" s="66"/>
      <c r="AA508" s="94"/>
      <c r="AB508" s="60"/>
      <c r="AC508" s="60"/>
      <c r="AD508" s="60"/>
      <c r="AE508" s="60"/>
      <c r="AF508" s="61"/>
      <c r="AG508" s="61"/>
      <c r="AH508" s="61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62"/>
      <c r="B509" s="66"/>
      <c r="C509" s="92"/>
      <c r="D509" s="60"/>
      <c r="E509" s="60"/>
      <c r="F509" s="60"/>
      <c r="G509" s="60"/>
      <c r="H509" s="61"/>
      <c r="I509" s="61"/>
      <c r="J509" s="61"/>
      <c r="K509" s="61"/>
      <c r="L509" s="62"/>
      <c r="M509" s="62"/>
      <c r="N509" s="66"/>
      <c r="O509" s="94"/>
      <c r="P509" s="60"/>
      <c r="Q509" s="60"/>
      <c r="R509" s="60"/>
      <c r="S509" s="60"/>
      <c r="T509" s="61"/>
      <c r="U509" s="61"/>
      <c r="V509" s="61"/>
      <c r="W509" s="61"/>
      <c r="X509" s="62"/>
      <c r="Y509" s="62"/>
      <c r="Z509" s="66"/>
      <c r="AA509" s="94"/>
      <c r="AB509" s="60"/>
      <c r="AC509" s="60"/>
      <c r="AD509" s="60"/>
      <c r="AE509" s="60"/>
      <c r="AF509" s="61"/>
      <c r="AG509" s="61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62"/>
      <c r="B510" s="66"/>
      <c r="C510" s="92"/>
      <c r="D510" s="60"/>
      <c r="E510" s="60"/>
      <c r="F510" s="60"/>
      <c r="G510" s="60"/>
      <c r="H510" s="61"/>
      <c r="I510" s="61"/>
      <c r="J510" s="61"/>
      <c r="K510" s="61"/>
      <c r="L510" s="62"/>
      <c r="M510" s="62"/>
      <c r="N510" s="66"/>
      <c r="O510" s="94"/>
      <c r="P510" s="60"/>
      <c r="Q510" s="60"/>
      <c r="R510" s="60"/>
      <c r="S510" s="60"/>
      <c r="T510" s="61"/>
      <c r="U510" s="61"/>
      <c r="V510" s="61"/>
      <c r="W510" s="61"/>
      <c r="X510" s="62"/>
      <c r="Y510" s="62"/>
      <c r="Z510" s="66"/>
      <c r="AA510" s="94"/>
      <c r="AB510" s="60"/>
      <c r="AC510" s="60"/>
      <c r="AD510" s="60"/>
      <c r="AE510" s="60"/>
      <c r="AF510" s="61"/>
      <c r="AG510" s="62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62"/>
      <c r="B511" s="66"/>
      <c r="C511" s="65"/>
      <c r="D511" s="60"/>
      <c r="E511" s="60"/>
      <c r="F511" s="60"/>
      <c r="G511" s="60"/>
      <c r="H511" s="61"/>
      <c r="I511" s="61"/>
      <c r="J511" s="61"/>
      <c r="K511" s="61"/>
      <c r="L511" s="62"/>
      <c r="M511" s="62"/>
      <c r="N511" s="66"/>
      <c r="O511" s="94"/>
      <c r="P511" s="60"/>
      <c r="Q511" s="60"/>
      <c r="R511" s="60"/>
      <c r="S511" s="60"/>
      <c r="T511" s="61"/>
      <c r="U511" s="61"/>
      <c r="V511" s="61"/>
      <c r="W511" s="61"/>
      <c r="X511" s="62"/>
      <c r="Y511" s="62"/>
      <c r="Z511" s="66"/>
      <c r="AA511" s="94"/>
      <c r="AB511" s="60"/>
      <c r="AC511" s="60"/>
      <c r="AD511" s="60"/>
      <c r="AE511" s="60"/>
      <c r="AF511" s="61"/>
      <c r="AG511" s="61"/>
      <c r="AH511" s="61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62"/>
      <c r="B512" s="66"/>
      <c r="C512" s="92"/>
      <c r="D512" s="60"/>
      <c r="E512" s="60"/>
      <c r="F512" s="60"/>
      <c r="G512" s="60"/>
      <c r="H512" s="61"/>
      <c r="I512" s="61"/>
      <c r="J512" s="61"/>
      <c r="K512" s="61"/>
      <c r="L512" s="62"/>
      <c r="M512" s="62"/>
      <c r="N512" s="66"/>
      <c r="O512" s="94"/>
      <c r="P512" s="60"/>
      <c r="Q512" s="60"/>
      <c r="R512" s="60"/>
      <c r="S512" s="60"/>
      <c r="T512" s="61"/>
      <c r="U512" s="61"/>
      <c r="V512" s="62"/>
      <c r="W512" s="61"/>
      <c r="X512" s="62"/>
      <c r="Y512" s="62"/>
      <c r="Z512" s="66"/>
      <c r="AA512" s="94"/>
      <c r="AB512" s="60"/>
      <c r="AC512" s="60"/>
      <c r="AD512" s="60"/>
      <c r="AE512" s="60"/>
      <c r="AF512" s="61"/>
      <c r="AG512" s="61"/>
      <c r="AH512" s="62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62"/>
      <c r="B513" s="66"/>
      <c r="C513" s="92"/>
      <c r="D513" s="60"/>
      <c r="E513" s="60"/>
      <c r="F513" s="60"/>
      <c r="G513" s="60"/>
      <c r="H513" s="61"/>
      <c r="I513" s="61"/>
      <c r="J513" s="61"/>
      <c r="K513" s="61"/>
      <c r="L513" s="62"/>
      <c r="M513" s="62"/>
      <c r="N513" s="66"/>
      <c r="O513" s="94"/>
      <c r="P513" s="60"/>
      <c r="Q513" s="60"/>
      <c r="R513" s="60"/>
      <c r="S513" s="60"/>
      <c r="T513" s="61"/>
      <c r="U513" s="61"/>
      <c r="V513" s="61"/>
      <c r="W513" s="61"/>
      <c r="X513" s="62"/>
      <c r="Y513" s="62"/>
      <c r="Z513" s="66"/>
      <c r="AA513" s="94"/>
      <c r="AB513" s="60"/>
      <c r="AC513" s="60"/>
      <c r="AD513" s="60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62"/>
      <c r="B514" s="66"/>
      <c r="C514" s="92"/>
      <c r="D514" s="60"/>
      <c r="E514" s="60"/>
      <c r="F514" s="60"/>
      <c r="G514" s="60"/>
      <c r="H514" s="61"/>
      <c r="I514" s="61"/>
      <c r="J514" s="61"/>
      <c r="K514" s="61"/>
      <c r="L514" s="62"/>
      <c r="M514" s="62"/>
      <c r="N514" s="66"/>
      <c r="O514" s="94"/>
      <c r="P514" s="60"/>
      <c r="Q514" s="60"/>
      <c r="R514" s="60"/>
      <c r="S514" s="60"/>
      <c r="T514" s="61"/>
      <c r="U514" s="61"/>
      <c r="V514" s="61"/>
      <c r="W514" s="61"/>
      <c r="X514" s="62"/>
      <c r="Y514" s="62"/>
      <c r="Z514" s="66"/>
      <c r="AA514" s="94"/>
      <c r="AB514" s="60"/>
      <c r="AC514" s="60"/>
      <c r="AD514" s="62"/>
      <c r="AE514" s="60"/>
      <c r="AF514" s="61"/>
      <c r="AG514" s="61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62"/>
      <c r="B515" s="66"/>
      <c r="C515" s="92"/>
      <c r="D515" s="60"/>
      <c r="E515" s="60"/>
      <c r="F515" s="60"/>
      <c r="G515" s="60"/>
      <c r="H515" s="61"/>
      <c r="I515" s="61"/>
      <c r="J515" s="61"/>
      <c r="K515" s="61"/>
      <c r="L515" s="62"/>
      <c r="M515" s="62"/>
      <c r="N515" s="66"/>
      <c r="O515" s="94"/>
      <c r="P515" s="60"/>
      <c r="Q515" s="60"/>
      <c r="R515" s="60"/>
      <c r="S515" s="60"/>
      <c r="T515" s="61"/>
      <c r="U515" s="61"/>
      <c r="V515" s="61"/>
      <c r="W515" s="61"/>
      <c r="X515" s="62"/>
      <c r="Y515" s="62"/>
      <c r="Z515" s="66"/>
      <c r="AA515" s="94"/>
      <c r="AB515" s="62"/>
      <c r="AC515" s="60"/>
      <c r="AD515" s="60"/>
      <c r="AE515" s="60"/>
      <c r="AF515" s="61"/>
      <c r="AG515" s="62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62"/>
      <c r="B516" s="66"/>
      <c r="C516" s="92"/>
      <c r="D516" s="60"/>
      <c r="E516" s="60"/>
      <c r="F516" s="60"/>
      <c r="G516" s="60"/>
      <c r="H516" s="61"/>
      <c r="I516" s="61"/>
      <c r="J516" s="61"/>
      <c r="K516" s="61"/>
      <c r="L516" s="62"/>
      <c r="M516" s="62"/>
      <c r="N516" s="66"/>
      <c r="O516" s="94"/>
      <c r="P516" s="60"/>
      <c r="Q516" s="60"/>
      <c r="R516" s="60"/>
      <c r="S516" s="60"/>
      <c r="T516" s="61"/>
      <c r="U516" s="61"/>
      <c r="V516" s="61"/>
      <c r="W516" s="61"/>
      <c r="X516" s="62"/>
      <c r="Y516" s="62"/>
      <c r="Z516" s="66"/>
      <c r="AA516" s="94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62"/>
      <c r="B517" s="66"/>
      <c r="C517" s="92"/>
      <c r="D517" s="60"/>
      <c r="E517" s="60"/>
      <c r="F517" s="60"/>
      <c r="G517" s="60"/>
      <c r="H517" s="61"/>
      <c r="I517" s="61"/>
      <c r="J517" s="61"/>
      <c r="K517" s="61"/>
      <c r="L517" s="62"/>
      <c r="M517" s="62"/>
      <c r="N517" s="66"/>
      <c r="O517" s="94"/>
      <c r="P517" s="60"/>
      <c r="Q517" s="60"/>
      <c r="R517" s="60"/>
      <c r="S517" s="60"/>
      <c r="T517" s="61"/>
      <c r="U517" s="61"/>
      <c r="V517" s="61"/>
      <c r="W517" s="61"/>
      <c r="X517" s="62"/>
      <c r="Y517" s="62"/>
      <c r="Z517" s="66"/>
      <c r="AA517" s="94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62"/>
      <c r="B518" s="66"/>
      <c r="C518" s="92"/>
      <c r="D518" s="60"/>
      <c r="E518" s="60"/>
      <c r="F518" s="60"/>
      <c r="G518" s="60"/>
      <c r="H518" s="61"/>
      <c r="I518" s="61"/>
      <c r="J518" s="62"/>
      <c r="K518" s="61"/>
      <c r="L518" s="62"/>
      <c r="M518" s="62"/>
      <c r="N518" s="66"/>
      <c r="O518" s="94"/>
      <c r="P518" s="60"/>
      <c r="Q518" s="60"/>
      <c r="R518" s="60"/>
      <c r="S518" s="60"/>
      <c r="T518" s="61"/>
      <c r="U518" s="61"/>
      <c r="V518" s="61"/>
      <c r="W518" s="61"/>
      <c r="X518" s="62"/>
      <c r="Y518" s="62"/>
      <c r="Z518" s="66"/>
      <c r="AA518" s="65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62"/>
      <c r="B519" s="66"/>
      <c r="C519" s="92"/>
      <c r="D519" s="60"/>
      <c r="E519" s="60"/>
      <c r="F519" s="60"/>
      <c r="G519" s="60"/>
      <c r="H519" s="61"/>
      <c r="I519" s="61"/>
      <c r="J519" s="61"/>
      <c r="K519" s="61"/>
      <c r="L519" s="62"/>
      <c r="M519" s="62"/>
      <c r="N519" s="66"/>
      <c r="O519" s="65"/>
      <c r="P519" s="60"/>
      <c r="Q519" s="60"/>
      <c r="R519" s="60"/>
      <c r="S519" s="60"/>
      <c r="T519" s="61"/>
      <c r="U519" s="61"/>
      <c r="V519" s="61"/>
      <c r="W519" s="61"/>
      <c r="X519" s="62"/>
      <c r="Y519" s="62"/>
      <c r="Z519" s="66"/>
      <c r="AA519" s="94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62"/>
      <c r="B520" s="66"/>
      <c r="C520" s="92"/>
      <c r="D520" s="60"/>
      <c r="E520" s="60"/>
      <c r="F520" s="60"/>
      <c r="G520" s="60"/>
      <c r="H520" s="61"/>
      <c r="I520" s="61"/>
      <c r="J520" s="61"/>
      <c r="K520" s="61"/>
      <c r="L520" s="62"/>
      <c r="M520" s="62"/>
      <c r="N520" s="66"/>
      <c r="O520" s="94"/>
      <c r="P520" s="60"/>
      <c r="Q520" s="60"/>
      <c r="R520" s="60"/>
      <c r="S520" s="60"/>
      <c r="T520" s="61"/>
      <c r="U520" s="61"/>
      <c r="V520" s="61"/>
      <c r="W520" s="61"/>
      <c r="X520" s="62"/>
      <c r="Y520" s="62"/>
      <c r="Z520" s="66"/>
      <c r="AA520" s="94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62"/>
      <c r="B521" s="66"/>
      <c r="C521" s="92"/>
      <c r="D521" s="60"/>
      <c r="E521" s="60"/>
      <c r="F521" s="60"/>
      <c r="G521" s="60"/>
      <c r="H521" s="61"/>
      <c r="I521" s="61"/>
      <c r="J521" s="61"/>
      <c r="K521" s="61"/>
      <c r="L521" s="62"/>
      <c r="M521" s="62"/>
      <c r="N521" s="66"/>
      <c r="O521" s="94"/>
      <c r="P521" s="60"/>
      <c r="Q521" s="60"/>
      <c r="R521" s="60"/>
      <c r="S521" s="60"/>
      <c r="T521" s="61"/>
      <c r="U521" s="61"/>
      <c r="V521" s="61"/>
      <c r="W521" s="61"/>
      <c r="X521" s="62"/>
      <c r="Y521" s="62"/>
      <c r="Z521" s="66"/>
      <c r="AA521" s="94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62"/>
      <c r="B522" s="66"/>
      <c r="C522" s="94"/>
      <c r="D522" s="60"/>
      <c r="E522" s="60"/>
      <c r="F522" s="60"/>
      <c r="G522" s="60"/>
      <c r="H522" s="61"/>
      <c r="I522" s="61"/>
      <c r="J522" s="61"/>
      <c r="K522" s="61"/>
      <c r="L522" s="62"/>
      <c r="M522" s="62"/>
      <c r="N522" s="66"/>
      <c r="O522" s="94"/>
      <c r="P522" s="60"/>
      <c r="Q522" s="60"/>
      <c r="R522" s="60"/>
      <c r="S522" s="60"/>
      <c r="T522" s="61"/>
      <c r="U522" s="61"/>
      <c r="V522" s="61"/>
      <c r="W522" s="61"/>
      <c r="X522" s="62"/>
      <c r="Y522" s="62"/>
      <c r="Z522" s="66"/>
      <c r="AA522" s="94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62"/>
      <c r="B523" s="66"/>
      <c r="C523" s="92"/>
      <c r="D523" s="60"/>
      <c r="E523" s="60"/>
      <c r="F523" s="60"/>
      <c r="G523" s="60"/>
      <c r="H523" s="61"/>
      <c r="I523" s="61"/>
      <c r="J523" s="61"/>
      <c r="K523" s="61"/>
      <c r="L523" s="62"/>
      <c r="M523" s="62"/>
      <c r="N523" s="66"/>
      <c r="O523" s="94"/>
      <c r="P523" s="60"/>
      <c r="Q523" s="60"/>
      <c r="R523" s="60"/>
      <c r="S523" s="60"/>
      <c r="T523" s="61"/>
      <c r="U523" s="61"/>
      <c r="V523" s="61"/>
      <c r="W523" s="61"/>
      <c r="X523" s="62"/>
      <c r="Y523" s="62"/>
      <c r="Z523" s="66"/>
      <c r="AA523" s="94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62"/>
      <c r="B524" s="66"/>
      <c r="C524" s="94"/>
      <c r="D524" s="60"/>
      <c r="E524" s="60"/>
      <c r="F524" s="60"/>
      <c r="G524" s="60"/>
      <c r="H524" s="61"/>
      <c r="I524" s="61"/>
      <c r="J524" s="61"/>
      <c r="K524" s="61"/>
      <c r="L524" s="62"/>
      <c r="M524" s="62"/>
      <c r="N524" s="66"/>
      <c r="O524" s="94"/>
      <c r="P524" s="60"/>
      <c r="Q524" s="60"/>
      <c r="R524" s="60"/>
      <c r="S524" s="60"/>
      <c r="T524" s="61"/>
      <c r="U524" s="61"/>
      <c r="V524" s="61"/>
      <c r="W524" s="61"/>
      <c r="X524" s="62"/>
      <c r="Y524" s="62"/>
      <c r="Z524" s="66"/>
      <c r="AA524" s="94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62"/>
      <c r="B525" s="66"/>
      <c r="C525" s="94"/>
      <c r="D525" s="60"/>
      <c r="E525" s="60"/>
      <c r="F525" s="60"/>
      <c r="G525" s="60"/>
      <c r="H525" s="61"/>
      <c r="I525" s="61"/>
      <c r="J525" s="61"/>
      <c r="K525" s="61"/>
      <c r="L525" s="62"/>
      <c r="M525" s="62"/>
      <c r="N525" s="66"/>
      <c r="O525" s="94"/>
      <c r="P525" s="60"/>
      <c r="Q525" s="60"/>
      <c r="R525" s="60"/>
      <c r="S525" s="60"/>
      <c r="T525" s="61"/>
      <c r="U525" s="61"/>
      <c r="V525" s="61"/>
      <c r="W525" s="61"/>
      <c r="X525" s="62"/>
      <c r="Y525" s="62"/>
      <c r="Z525" s="66"/>
      <c r="AA525" s="94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62"/>
      <c r="B526" s="66"/>
      <c r="C526" s="92"/>
      <c r="D526" s="60"/>
      <c r="E526" s="60"/>
      <c r="F526" s="60"/>
      <c r="G526" s="60"/>
      <c r="H526" s="61"/>
      <c r="I526" s="61"/>
      <c r="J526" s="61"/>
      <c r="K526" s="61"/>
      <c r="L526" s="62"/>
      <c r="M526" s="62"/>
      <c r="N526" s="66"/>
      <c r="O526" s="94"/>
      <c r="P526" s="60"/>
      <c r="Q526" s="60"/>
      <c r="R526" s="60"/>
      <c r="S526" s="60"/>
      <c r="T526" s="61"/>
      <c r="U526" s="61"/>
      <c r="V526" s="61"/>
      <c r="W526" s="61"/>
      <c r="X526" s="62"/>
      <c r="Y526" s="62"/>
      <c r="Z526" s="66"/>
      <c r="AA526" s="62"/>
      <c r="AB526" s="60"/>
      <c r="AC526" s="60"/>
      <c r="AD526" s="60"/>
      <c r="AE526" s="60"/>
      <c r="AF526" s="61"/>
      <c r="AG526" s="61"/>
      <c r="AH526" s="61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62"/>
      <c r="B527" s="66"/>
      <c r="C527" s="92"/>
      <c r="D527" s="60"/>
      <c r="E527" s="60"/>
      <c r="F527" s="60"/>
      <c r="G527" s="60"/>
      <c r="H527" s="62"/>
      <c r="I527" s="62"/>
      <c r="J527" s="62"/>
      <c r="K527" s="61"/>
      <c r="L527" s="62"/>
      <c r="M527" s="62"/>
      <c r="N527" s="66"/>
      <c r="O527" s="62"/>
      <c r="P527" s="67"/>
      <c r="Q527" s="94"/>
      <c r="R527" s="94"/>
      <c r="S527" s="60"/>
      <c r="T527" s="62"/>
      <c r="U527" s="62"/>
      <c r="V527" s="62"/>
      <c r="W527" s="61"/>
      <c r="X527" s="62"/>
      <c r="Y527" s="62"/>
      <c r="Z527" s="66"/>
      <c r="AA527" s="62"/>
      <c r="AB527" s="67"/>
      <c r="AC527" s="94"/>
      <c r="AD527" s="94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62"/>
      <c r="B528" s="66"/>
      <c r="C528" s="92"/>
      <c r="D528" s="60"/>
      <c r="E528" s="60"/>
      <c r="F528" s="60"/>
      <c r="G528" s="60"/>
      <c r="H528" s="62"/>
      <c r="I528" s="62"/>
      <c r="J528" s="62"/>
      <c r="K528" s="61"/>
      <c r="L528" s="62"/>
      <c r="M528" s="62"/>
      <c r="N528" s="66"/>
      <c r="O528" s="94"/>
      <c r="P528" s="68"/>
      <c r="Q528" s="94"/>
      <c r="R528" s="94"/>
      <c r="S528" s="60"/>
      <c r="T528" s="62"/>
      <c r="U528" s="62"/>
      <c r="V528" s="62"/>
      <c r="W528" s="61"/>
      <c r="X528" s="62"/>
      <c r="Y528" s="62"/>
      <c r="Z528" s="66"/>
      <c r="AA528" s="62"/>
      <c r="AB528" s="68"/>
      <c r="AC528" s="94"/>
      <c r="AD528" s="94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62"/>
      <c r="B529" s="66"/>
      <c r="C529" s="94"/>
      <c r="D529" s="60"/>
      <c r="E529" s="60"/>
      <c r="F529" s="60"/>
      <c r="G529" s="60"/>
      <c r="H529" s="62"/>
      <c r="I529" s="62"/>
      <c r="J529" s="61"/>
      <c r="K529" s="61"/>
      <c r="L529" s="62"/>
      <c r="M529" s="62"/>
      <c r="N529" s="66"/>
      <c r="O529" s="94"/>
      <c r="P529" s="69"/>
      <c r="Q529" s="62"/>
      <c r="R529" s="62"/>
      <c r="S529" s="60"/>
      <c r="T529" s="62"/>
      <c r="U529" s="62"/>
      <c r="V529" s="62"/>
      <c r="W529" s="61"/>
      <c r="X529" s="62"/>
      <c r="Y529" s="62"/>
      <c r="Z529" s="66"/>
      <c r="AA529" s="94"/>
      <c r="AB529" s="69"/>
      <c r="AC529" s="62"/>
      <c r="AD529" s="62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62"/>
      <c r="B530" s="66"/>
      <c r="C530" s="94"/>
      <c r="D530" s="60"/>
      <c r="E530" s="60"/>
      <c r="F530" s="60"/>
      <c r="G530" s="60"/>
      <c r="H530" s="62"/>
      <c r="I530" s="62"/>
      <c r="J530" s="62"/>
      <c r="K530" s="61"/>
      <c r="L530" s="62"/>
      <c r="M530" s="62"/>
      <c r="N530" s="66"/>
      <c r="O530" s="62"/>
      <c r="P530" s="69"/>
      <c r="Q530" s="94"/>
      <c r="R530" s="94"/>
      <c r="S530" s="60"/>
      <c r="T530" s="62"/>
      <c r="U530" s="62"/>
      <c r="V530" s="62"/>
      <c r="W530" s="61"/>
      <c r="X530" s="62"/>
      <c r="Y530" s="62"/>
      <c r="Z530" s="66"/>
      <c r="AA530" s="94"/>
      <c r="AB530" s="69"/>
      <c r="AC530" s="94"/>
      <c r="AD530" s="94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62"/>
      <c r="B531" s="66"/>
      <c r="C531" s="94"/>
      <c r="D531" s="60"/>
      <c r="E531" s="60"/>
      <c r="F531" s="60"/>
      <c r="G531" s="60"/>
      <c r="H531" s="62"/>
      <c r="I531" s="62"/>
      <c r="J531" s="62"/>
      <c r="K531" s="61"/>
      <c r="L531" s="62"/>
      <c r="M531" s="62"/>
      <c r="N531" s="66"/>
      <c r="O531" s="94"/>
      <c r="P531" s="69"/>
      <c r="Q531" s="94"/>
      <c r="R531" s="94"/>
      <c r="S531" s="60"/>
      <c r="T531" s="62"/>
      <c r="U531" s="62"/>
      <c r="V531" s="62"/>
      <c r="W531" s="61"/>
      <c r="X531" s="62"/>
      <c r="Y531" s="62"/>
      <c r="Z531" s="66"/>
      <c r="AA531" s="65"/>
      <c r="AB531" s="69"/>
      <c r="AC531" s="94"/>
      <c r="AD531" s="94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62"/>
      <c r="B532" s="66"/>
      <c r="C532" s="65"/>
      <c r="D532" s="60"/>
      <c r="E532" s="60"/>
      <c r="F532" s="60"/>
      <c r="G532" s="60"/>
      <c r="H532" s="62"/>
      <c r="I532" s="62"/>
      <c r="J532" s="62"/>
      <c r="K532" s="61"/>
      <c r="L532" s="62"/>
      <c r="M532" s="62"/>
      <c r="N532" s="66"/>
      <c r="O532" s="62"/>
      <c r="P532" s="69"/>
      <c r="Q532" s="94"/>
      <c r="R532" s="94"/>
      <c r="S532" s="60"/>
      <c r="T532" s="62"/>
      <c r="U532" s="62"/>
      <c r="V532" s="62"/>
      <c r="W532" s="61"/>
      <c r="X532" s="62"/>
      <c r="Y532" s="62"/>
      <c r="Z532" s="66"/>
      <c r="AA532" s="62"/>
      <c r="AB532" s="69"/>
      <c r="AC532" s="94"/>
      <c r="AD532" s="94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62"/>
      <c r="B533" s="66"/>
      <c r="C533" s="94"/>
      <c r="D533" s="60"/>
      <c r="E533" s="60"/>
      <c r="F533" s="60"/>
      <c r="G533" s="60"/>
      <c r="H533" s="62"/>
      <c r="I533" s="62"/>
      <c r="J533" s="62"/>
      <c r="K533" s="61"/>
      <c r="L533" s="62"/>
      <c r="M533" s="62"/>
      <c r="N533" s="66"/>
      <c r="O533" s="94"/>
      <c r="P533" s="69"/>
      <c r="Q533" s="94"/>
      <c r="R533" s="94"/>
      <c r="S533" s="60"/>
      <c r="T533" s="62"/>
      <c r="U533" s="62"/>
      <c r="V533" s="62"/>
      <c r="W533" s="61"/>
      <c r="X533" s="62"/>
      <c r="Y533" s="62"/>
      <c r="Z533" s="66"/>
      <c r="AA533" s="94"/>
      <c r="AB533" s="69"/>
      <c r="AC533" s="94"/>
      <c r="AD533" s="94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62"/>
      <c r="B534" s="66"/>
      <c r="C534" s="94"/>
      <c r="D534" s="60"/>
      <c r="E534" s="60"/>
      <c r="F534" s="60"/>
      <c r="G534" s="60"/>
      <c r="H534" s="62"/>
      <c r="I534" s="62"/>
      <c r="J534" s="62"/>
      <c r="K534" s="61"/>
      <c r="L534" s="62"/>
      <c r="M534" s="62"/>
      <c r="N534" s="66"/>
      <c r="O534" s="94"/>
      <c r="P534" s="69"/>
      <c r="Q534" s="94"/>
      <c r="R534" s="94"/>
      <c r="S534" s="60"/>
      <c r="T534" s="62"/>
      <c r="U534" s="62"/>
      <c r="V534" s="62"/>
      <c r="W534" s="61"/>
      <c r="X534" s="62"/>
      <c r="Y534" s="62"/>
      <c r="Z534" s="66"/>
      <c r="AA534" s="94"/>
      <c r="AB534" s="69"/>
      <c r="AC534" s="94"/>
      <c r="AD534" s="94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62"/>
      <c r="B535" s="66"/>
      <c r="C535" s="94"/>
      <c r="D535" s="60"/>
      <c r="E535" s="60"/>
      <c r="F535" s="60"/>
      <c r="G535" s="60"/>
      <c r="H535" s="62"/>
      <c r="I535" s="62"/>
      <c r="J535" s="62"/>
      <c r="K535" s="61"/>
      <c r="L535" s="62"/>
      <c r="M535" s="62"/>
      <c r="N535" s="66"/>
      <c r="O535" s="62"/>
      <c r="P535" s="69"/>
      <c r="Q535" s="94"/>
      <c r="R535" s="94"/>
      <c r="S535" s="60"/>
      <c r="T535" s="62"/>
      <c r="U535" s="62"/>
      <c r="V535" s="62"/>
      <c r="W535" s="61"/>
      <c r="X535" s="62"/>
      <c r="Y535" s="62"/>
      <c r="Z535" s="66"/>
      <c r="AA535" s="94"/>
      <c r="AB535" s="69"/>
      <c r="AC535" s="94"/>
      <c r="AD535" s="94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62"/>
      <c r="B536" s="66"/>
      <c r="C536" s="94"/>
      <c r="D536" s="60"/>
      <c r="E536" s="60"/>
      <c r="F536" s="60"/>
      <c r="G536" s="60"/>
      <c r="H536" s="62"/>
      <c r="I536" s="62"/>
      <c r="J536" s="62"/>
      <c r="K536" s="61"/>
      <c r="L536" s="62"/>
      <c r="M536" s="62"/>
      <c r="N536" s="66"/>
      <c r="O536" s="62"/>
      <c r="P536" s="69"/>
      <c r="Q536" s="94"/>
      <c r="R536" s="94"/>
      <c r="S536" s="60"/>
      <c r="T536" s="62"/>
      <c r="U536" s="62"/>
      <c r="V536" s="62"/>
      <c r="W536" s="61"/>
      <c r="X536" s="62"/>
      <c r="Y536" s="62"/>
      <c r="Z536" s="66"/>
      <c r="AA536" s="62"/>
      <c r="AB536" s="69"/>
      <c r="AC536" s="94"/>
      <c r="AD536" s="94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62"/>
      <c r="B537" s="66"/>
      <c r="C537" s="94"/>
      <c r="D537" s="60"/>
      <c r="E537" s="60"/>
      <c r="F537" s="60"/>
      <c r="G537" s="60"/>
      <c r="H537" s="62"/>
      <c r="I537" s="62"/>
      <c r="J537" s="62"/>
      <c r="K537" s="61"/>
      <c r="L537" s="62"/>
      <c r="M537" s="62"/>
      <c r="N537" s="66"/>
      <c r="O537" s="94"/>
      <c r="P537" s="69"/>
      <c r="Q537" s="94"/>
      <c r="R537" s="94"/>
      <c r="S537" s="60"/>
      <c r="T537" s="62"/>
      <c r="U537" s="62"/>
      <c r="V537" s="62"/>
      <c r="W537" s="61"/>
      <c r="X537" s="62"/>
      <c r="Y537" s="62"/>
      <c r="Z537" s="66"/>
      <c r="AA537" s="62"/>
      <c r="AB537" s="69"/>
      <c r="AC537" s="94"/>
      <c r="AD537" s="94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62"/>
      <c r="B538" s="66"/>
      <c r="C538" s="94"/>
      <c r="D538" s="60"/>
      <c r="E538" s="60"/>
      <c r="F538" s="60"/>
      <c r="G538" s="60"/>
      <c r="H538" s="62"/>
      <c r="I538" s="62"/>
      <c r="J538" s="62"/>
      <c r="K538" s="61"/>
      <c r="L538" s="62"/>
      <c r="M538" s="62"/>
      <c r="N538" s="66"/>
      <c r="O538" s="62"/>
      <c r="P538" s="69"/>
      <c r="Q538" s="94"/>
      <c r="R538" s="94"/>
      <c r="S538" s="60"/>
      <c r="T538" s="62"/>
      <c r="U538" s="62"/>
      <c r="V538" s="62"/>
      <c r="W538" s="61"/>
      <c r="X538" s="62"/>
      <c r="Y538" s="62"/>
      <c r="Z538" s="66"/>
      <c r="AA538" s="94"/>
      <c r="AB538" s="69"/>
      <c r="AC538" s="94"/>
      <c r="AD538" s="94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62"/>
      <c r="B539" s="66"/>
      <c r="C539" s="94"/>
      <c r="D539" s="60"/>
      <c r="E539" s="60"/>
      <c r="F539" s="60"/>
      <c r="G539" s="60"/>
      <c r="H539" s="62"/>
      <c r="I539" s="62"/>
      <c r="J539" s="62"/>
      <c r="K539" s="61"/>
      <c r="L539" s="62"/>
      <c r="M539" s="62"/>
      <c r="N539" s="66"/>
      <c r="O539" s="94"/>
      <c r="P539" s="69"/>
      <c r="Q539" s="94"/>
      <c r="R539" s="94"/>
      <c r="S539" s="60"/>
      <c r="T539" s="62"/>
      <c r="U539" s="62"/>
      <c r="V539" s="62"/>
      <c r="W539" s="61"/>
      <c r="X539" s="62"/>
      <c r="Y539" s="62"/>
      <c r="Z539" s="66"/>
      <c r="AA539" s="94"/>
      <c r="AB539" s="69"/>
      <c r="AC539" s="94"/>
      <c r="AD539" s="94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62"/>
      <c r="B540" s="66"/>
      <c r="C540" s="94"/>
      <c r="D540" s="60"/>
      <c r="E540" s="60"/>
      <c r="F540" s="60"/>
      <c r="G540" s="60"/>
      <c r="H540" s="62"/>
      <c r="I540" s="62"/>
      <c r="J540" s="62"/>
      <c r="K540" s="61"/>
      <c r="L540" s="62"/>
      <c r="M540" s="62"/>
      <c r="N540" s="66"/>
      <c r="O540" s="94"/>
      <c r="P540" s="69"/>
      <c r="Q540" s="94"/>
      <c r="R540" s="94"/>
      <c r="S540" s="60"/>
      <c r="T540" s="62"/>
      <c r="U540" s="62"/>
      <c r="V540" s="62"/>
      <c r="W540" s="61"/>
      <c r="X540" s="62"/>
      <c r="Y540" s="62"/>
      <c r="Z540" s="66"/>
      <c r="AA540" s="62"/>
      <c r="AB540" s="69"/>
      <c r="AC540" s="94"/>
      <c r="AD540" s="94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62"/>
      <c r="B541" s="66"/>
      <c r="C541" s="94"/>
      <c r="D541" s="60"/>
      <c r="E541" s="60"/>
      <c r="F541" s="60"/>
      <c r="G541" s="60"/>
      <c r="H541" s="62"/>
      <c r="I541" s="62"/>
      <c r="J541" s="62"/>
      <c r="K541" s="61"/>
      <c r="L541" s="62"/>
      <c r="M541" s="62"/>
      <c r="N541" s="66"/>
      <c r="O541" s="94"/>
      <c r="P541" s="69"/>
      <c r="Q541" s="94"/>
      <c r="R541" s="94"/>
      <c r="S541" s="60"/>
      <c r="T541" s="62"/>
      <c r="U541" s="62"/>
      <c r="V541" s="62"/>
      <c r="W541" s="61"/>
      <c r="X541" s="62"/>
      <c r="Y541" s="62"/>
      <c r="Z541" s="66"/>
      <c r="AA541" s="94"/>
      <c r="AB541" s="69"/>
      <c r="AC541" s="94"/>
      <c r="AD541" s="94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62"/>
      <c r="B542" s="66"/>
      <c r="C542" s="94"/>
      <c r="D542" s="60"/>
      <c r="E542" s="60"/>
      <c r="F542" s="60"/>
      <c r="G542" s="60"/>
      <c r="H542" s="62"/>
      <c r="I542" s="62"/>
      <c r="J542" s="62"/>
      <c r="K542" s="61"/>
      <c r="L542" s="62"/>
      <c r="M542" s="62"/>
      <c r="N542" s="66"/>
      <c r="O542" s="94"/>
      <c r="P542" s="69"/>
      <c r="Q542" s="94"/>
      <c r="R542" s="94"/>
      <c r="S542" s="60"/>
      <c r="T542" s="62"/>
      <c r="U542" s="62"/>
      <c r="V542" s="62"/>
      <c r="W542" s="61"/>
      <c r="X542" s="62"/>
      <c r="Y542" s="62"/>
      <c r="Z542" s="66"/>
      <c r="AA542" s="94"/>
      <c r="AB542" s="69"/>
      <c r="AC542" s="94"/>
      <c r="AD542" s="94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62"/>
      <c r="B543" s="66"/>
      <c r="C543" s="94"/>
      <c r="D543" s="60"/>
      <c r="E543" s="60"/>
      <c r="F543" s="60"/>
      <c r="G543" s="60"/>
      <c r="H543" s="62"/>
      <c r="I543" s="62"/>
      <c r="J543" s="62"/>
      <c r="K543" s="61"/>
      <c r="L543" s="62"/>
      <c r="M543" s="62"/>
      <c r="N543" s="66"/>
      <c r="O543" s="62"/>
      <c r="P543" s="69"/>
      <c r="Q543" s="94"/>
      <c r="R543" s="94"/>
      <c r="S543" s="60"/>
      <c r="T543" s="62"/>
      <c r="U543" s="62"/>
      <c r="V543" s="62"/>
      <c r="W543" s="61"/>
      <c r="X543" s="62"/>
      <c r="Y543" s="62"/>
      <c r="Z543" s="66"/>
      <c r="AA543" s="94"/>
      <c r="AB543" s="69"/>
      <c r="AC543" s="94"/>
      <c r="AD543" s="94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62"/>
      <c r="B544" s="66"/>
      <c r="C544" s="94"/>
      <c r="D544" s="60"/>
      <c r="E544" s="60"/>
      <c r="F544" s="60"/>
      <c r="G544" s="60"/>
      <c r="H544" s="62"/>
      <c r="I544" s="62"/>
      <c r="J544" s="62"/>
      <c r="K544" s="61"/>
      <c r="L544" s="62"/>
      <c r="M544" s="62"/>
      <c r="N544" s="66"/>
      <c r="O544" s="94"/>
      <c r="P544" s="69"/>
      <c r="Q544" s="94"/>
      <c r="R544" s="94"/>
      <c r="S544" s="60"/>
      <c r="T544" s="62"/>
      <c r="U544" s="62"/>
      <c r="V544" s="62"/>
      <c r="W544" s="61"/>
      <c r="X544" s="62"/>
      <c r="Y544" s="62"/>
      <c r="Z544" s="66"/>
      <c r="AA544" s="94"/>
      <c r="AB544" s="69"/>
      <c r="AC544" s="94"/>
      <c r="AD544" s="94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62"/>
      <c r="B545" s="66"/>
      <c r="C545" s="94"/>
      <c r="D545" s="60"/>
      <c r="E545" s="60"/>
      <c r="F545" s="60"/>
      <c r="G545" s="60"/>
      <c r="H545" s="62"/>
      <c r="I545" s="62"/>
      <c r="J545" s="62"/>
      <c r="K545" s="61"/>
      <c r="L545" s="62"/>
      <c r="M545" s="62"/>
      <c r="N545" s="66"/>
      <c r="O545" s="94"/>
      <c r="P545" s="69"/>
      <c r="Q545" s="94"/>
      <c r="R545" s="94"/>
      <c r="S545" s="60"/>
      <c r="T545" s="62"/>
      <c r="U545" s="62"/>
      <c r="V545" s="62"/>
      <c r="W545" s="61"/>
      <c r="X545" s="62"/>
      <c r="Y545" s="62"/>
      <c r="Z545" s="66"/>
      <c r="AA545" s="94"/>
      <c r="AB545" s="69"/>
      <c r="AC545" s="94"/>
      <c r="AD545" s="94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62"/>
      <c r="B546" s="66"/>
      <c r="C546" s="94"/>
      <c r="D546" s="60"/>
      <c r="E546" s="60"/>
      <c r="F546" s="60"/>
      <c r="G546" s="60"/>
      <c r="H546" s="62"/>
      <c r="I546" s="62"/>
      <c r="J546" s="62"/>
      <c r="K546" s="61"/>
      <c r="L546" s="62"/>
      <c r="M546" s="62"/>
      <c r="N546" s="66"/>
      <c r="O546" s="62"/>
      <c r="P546" s="69"/>
      <c r="Q546" s="94"/>
      <c r="R546" s="94"/>
      <c r="S546" s="60"/>
      <c r="T546" s="62"/>
      <c r="U546" s="62"/>
      <c r="V546" s="62"/>
      <c r="W546" s="61"/>
      <c r="X546" s="62"/>
      <c r="Y546" s="62"/>
      <c r="Z546" s="66"/>
      <c r="AA546" s="62"/>
      <c r="AB546" s="69"/>
      <c r="AC546" s="94"/>
      <c r="AD546" s="94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62"/>
      <c r="B547" s="66"/>
      <c r="C547" s="94"/>
      <c r="D547" s="60"/>
      <c r="E547" s="60"/>
      <c r="F547" s="60"/>
      <c r="G547" s="60"/>
      <c r="H547" s="62"/>
      <c r="I547" s="62"/>
      <c r="J547" s="62"/>
      <c r="K547" s="61"/>
      <c r="L547" s="62"/>
      <c r="M547" s="62"/>
      <c r="N547" s="66"/>
      <c r="O547" s="94"/>
      <c r="P547" s="69"/>
      <c r="Q547" s="94"/>
      <c r="R547" s="94"/>
      <c r="S547" s="60"/>
      <c r="T547" s="62"/>
      <c r="U547" s="62"/>
      <c r="V547" s="62"/>
      <c r="W547" s="61"/>
      <c r="X547" s="62"/>
      <c r="Y547" s="62"/>
      <c r="Z547" s="66"/>
      <c r="AA547" s="94"/>
      <c r="AB547" s="69"/>
      <c r="AC547" s="94"/>
      <c r="AD547" s="94"/>
      <c r="AE547" s="60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62"/>
      <c r="B548" s="66"/>
      <c r="C548" s="66"/>
      <c r="D548" s="60"/>
      <c r="E548" s="60"/>
      <c r="F548" s="60"/>
      <c r="G548" s="60"/>
      <c r="H548" s="62"/>
      <c r="I548" s="62"/>
      <c r="J548" s="62"/>
      <c r="K548" s="61"/>
      <c r="L548" s="62"/>
      <c r="M548" s="62"/>
      <c r="N548" s="94"/>
      <c r="O548" s="94"/>
      <c r="P548" s="94"/>
      <c r="Q548" s="94"/>
      <c r="R548" s="94"/>
      <c r="S548" s="94"/>
      <c r="T548" s="62"/>
      <c r="U548" s="62"/>
      <c r="V548" s="62"/>
      <c r="W548" s="61"/>
      <c r="X548" s="62"/>
      <c r="Y548" s="62"/>
      <c r="Z548" s="94"/>
      <c r="AA548" s="94"/>
      <c r="AB548" s="94"/>
      <c r="AC548" s="94"/>
      <c r="AD548" s="94"/>
      <c r="AE548" s="94"/>
      <c r="AF548" s="62"/>
      <c r="AG548" s="62"/>
      <c r="AH548" s="62"/>
      <c r="AI548" s="61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A549" s="62"/>
      <c r="B549" s="94"/>
      <c r="C549" s="94"/>
      <c r="D549" s="94"/>
      <c r="E549" s="94"/>
      <c r="F549" s="94"/>
      <c r="G549" s="94"/>
      <c r="H549" s="62"/>
      <c r="I549" s="62"/>
      <c r="J549" s="62"/>
      <c r="K549" s="62"/>
      <c r="L549" s="62"/>
      <c r="M549" s="62"/>
      <c r="N549" s="94"/>
      <c r="O549" s="94"/>
      <c r="P549" s="94"/>
      <c r="Q549" s="94"/>
      <c r="R549" s="94"/>
      <c r="S549" s="94"/>
      <c r="T549" s="62"/>
      <c r="U549" s="62"/>
      <c r="V549" s="62"/>
      <c r="W549" s="62"/>
      <c r="X549" s="62"/>
      <c r="Y549" s="62"/>
      <c r="Z549" s="94"/>
      <c r="AA549" s="94"/>
      <c r="AB549" s="94"/>
      <c r="AC549" s="94"/>
      <c r="AD549" s="94"/>
      <c r="AE549" s="94"/>
      <c r="AF549" s="62"/>
      <c r="AG549" s="62"/>
      <c r="AH549" s="62"/>
      <c r="AI549" s="62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A550" s="62"/>
      <c r="B550" s="94"/>
      <c r="C550" s="94"/>
      <c r="D550" s="70"/>
      <c r="E550" s="70"/>
      <c r="F550" s="70"/>
      <c r="G550" s="70"/>
      <c r="H550" s="63"/>
      <c r="I550" s="70"/>
      <c r="J550" s="70"/>
      <c r="K550" s="70"/>
      <c r="L550" s="62"/>
      <c r="M550" s="62"/>
      <c r="N550" s="94"/>
      <c r="O550" s="94"/>
      <c r="P550" s="70"/>
      <c r="Q550" s="70"/>
      <c r="R550" s="70"/>
      <c r="S550" s="70"/>
      <c r="T550" s="63"/>
      <c r="U550" s="71"/>
      <c r="V550" s="71"/>
      <c r="W550" s="71"/>
      <c r="X550" s="62"/>
      <c r="Y550" s="62"/>
      <c r="Z550" s="94"/>
      <c r="AA550" s="94"/>
      <c r="AB550" s="70"/>
      <c r="AC550" s="70"/>
      <c r="AD550" s="70"/>
      <c r="AE550" s="70"/>
      <c r="AF550" s="63"/>
      <c r="AG550" s="71"/>
      <c r="AH550" s="71"/>
      <c r="AI550" s="71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  <c r="AB551" s="62"/>
      <c r="AC551" s="62"/>
      <c r="AD551" s="62"/>
      <c r="AE551" s="62"/>
      <c r="AF551" s="62"/>
      <c r="AG551" s="62"/>
      <c r="AH551" s="62"/>
      <c r="AI551" s="62"/>
      <c r="AJ551" s="62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94"/>
      <c r="C552" s="94"/>
      <c r="D552" s="94"/>
      <c r="E552" s="94"/>
      <c r="F552" s="94"/>
      <c r="G552" s="94"/>
      <c r="H552" s="62"/>
      <c r="I552" s="62"/>
      <c r="J552" s="62"/>
      <c r="K552" s="62"/>
      <c r="L552" s="62"/>
      <c r="M552" s="62"/>
      <c r="N552" s="94"/>
      <c r="O552" s="94"/>
      <c r="P552" s="94"/>
      <c r="Q552" s="94"/>
      <c r="R552" s="94"/>
      <c r="S552" s="94"/>
      <c r="T552" s="62"/>
      <c r="U552" s="62"/>
      <c r="V552" s="62"/>
      <c r="W552" s="62"/>
      <c r="X552" s="62"/>
      <c r="Y552" s="62"/>
      <c r="Z552" s="94"/>
      <c r="AA552" s="94"/>
      <c r="AB552" s="94"/>
      <c r="AC552" s="94"/>
      <c r="AD552" s="94"/>
      <c r="AE552" s="94"/>
      <c r="AF552" s="62"/>
      <c r="AG552" s="62"/>
      <c r="AH552" s="62"/>
      <c r="AI552" s="62"/>
      <c r="AJ552" s="62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94"/>
      <c r="C553" s="94"/>
      <c r="D553" s="94"/>
      <c r="E553" s="94"/>
      <c r="F553" s="94"/>
      <c r="G553" s="94"/>
      <c r="H553" s="62"/>
      <c r="I553" s="62"/>
      <c r="J553" s="62"/>
      <c r="K553" s="62"/>
      <c r="L553" s="62"/>
      <c r="M553" s="62"/>
      <c r="N553" s="94"/>
      <c r="O553" s="94"/>
      <c r="P553" s="94"/>
      <c r="Q553" s="94"/>
      <c r="R553" s="94"/>
      <c r="S553" s="94"/>
      <c r="T553" s="62"/>
      <c r="U553" s="62"/>
      <c r="V553" s="62"/>
      <c r="W553" s="62"/>
      <c r="X553" s="62"/>
      <c r="Y553" s="62"/>
      <c r="Z553" s="94"/>
      <c r="AA553" s="94"/>
      <c r="AB553" s="94"/>
      <c r="AC553" s="94"/>
      <c r="AD553" s="94"/>
      <c r="AE553" s="94"/>
      <c r="AF553" s="62"/>
      <c r="AG553" s="62"/>
      <c r="AH553" s="62"/>
      <c r="AI553" s="62"/>
      <c r="AJ553" s="62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94"/>
      <c r="C554" s="94"/>
      <c r="D554" s="94"/>
      <c r="E554" s="94"/>
      <c r="F554" s="94"/>
      <c r="G554" s="94"/>
      <c r="H554" s="62"/>
      <c r="I554" s="62"/>
      <c r="J554" s="62"/>
      <c r="K554" s="62"/>
      <c r="L554" s="62"/>
      <c r="M554" s="62"/>
      <c r="N554" s="94"/>
      <c r="O554" s="94"/>
      <c r="P554" s="94"/>
      <c r="Q554" s="94"/>
      <c r="R554" s="94"/>
      <c r="S554" s="94"/>
      <c r="T554" s="62"/>
      <c r="U554" s="62"/>
      <c r="V554" s="62"/>
      <c r="W554" s="62"/>
      <c r="X554" s="62"/>
      <c r="Y554" s="62"/>
      <c r="Z554" s="94"/>
      <c r="AA554" s="94"/>
      <c r="AB554" s="94"/>
      <c r="AC554" s="94"/>
      <c r="AD554" s="94"/>
      <c r="AE554" s="94"/>
      <c r="AF554" s="62"/>
      <c r="AG554" s="62"/>
      <c r="AH554" s="62"/>
      <c r="AI554" s="62"/>
      <c r="AJ554" s="62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94"/>
      <c r="C555" s="94"/>
      <c r="D555" s="94"/>
      <c r="E555" s="94"/>
      <c r="F555" s="94"/>
      <c r="G555" s="94"/>
      <c r="H555" s="62"/>
      <c r="I555" s="62"/>
      <c r="J555" s="62"/>
      <c r="K555" s="62"/>
      <c r="L555" s="62"/>
      <c r="M555" s="63"/>
      <c r="N555" s="94"/>
      <c r="O555" s="94"/>
      <c r="P555" s="94"/>
      <c r="Q555" s="94"/>
      <c r="R555" s="94"/>
      <c r="S555" s="94"/>
      <c r="T555" s="62"/>
      <c r="U555" s="62"/>
      <c r="V555" s="62"/>
      <c r="W555" s="62"/>
      <c r="X555" s="62"/>
      <c r="Y555" s="63"/>
      <c r="Z555" s="94"/>
      <c r="AA555" s="94"/>
      <c r="AB555" s="94"/>
      <c r="AC555" s="94"/>
      <c r="AD555" s="94"/>
      <c r="AE555" s="94"/>
      <c r="AF555" s="62"/>
      <c r="AG555" s="62"/>
      <c r="AH555" s="62"/>
      <c r="AI555" s="62"/>
      <c r="AJ555" s="62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94"/>
      <c r="C556" s="94"/>
      <c r="D556" s="94"/>
      <c r="E556" s="94"/>
      <c r="F556" s="94"/>
      <c r="G556" s="94"/>
      <c r="H556" s="62"/>
      <c r="I556" s="62"/>
      <c r="J556" s="62"/>
      <c r="K556" s="62"/>
      <c r="L556" s="62"/>
      <c r="M556" s="62"/>
      <c r="N556" s="94"/>
      <c r="O556" s="94"/>
      <c r="P556" s="94"/>
      <c r="Q556" s="94"/>
      <c r="R556" s="94"/>
      <c r="S556" s="94"/>
      <c r="T556" s="62"/>
      <c r="U556" s="62"/>
      <c r="V556" s="62"/>
      <c r="W556" s="62"/>
      <c r="X556" s="62"/>
      <c r="Y556" s="62"/>
      <c r="Z556" s="94"/>
      <c r="AA556" s="94"/>
      <c r="AB556" s="94"/>
      <c r="AC556" s="94"/>
      <c r="AD556" s="94"/>
      <c r="AE556" s="94"/>
      <c r="AF556" s="62"/>
      <c r="AG556" s="62"/>
      <c r="AH556" s="62"/>
      <c r="AI556" s="62"/>
      <c r="AJ556" s="62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94"/>
      <c r="C557" s="94"/>
      <c r="D557" s="94"/>
      <c r="E557" s="94"/>
      <c r="F557" s="94"/>
      <c r="G557" s="94"/>
      <c r="H557" s="62"/>
      <c r="I557" s="94"/>
      <c r="J557" s="74"/>
      <c r="K557" s="62"/>
      <c r="L557" s="62"/>
      <c r="M557" s="62"/>
      <c r="N557" s="94"/>
      <c r="O557" s="94"/>
      <c r="P557" s="94"/>
      <c r="Q557" s="94"/>
      <c r="R557" s="94"/>
      <c r="S557" s="94"/>
      <c r="T557" s="62"/>
      <c r="U557" s="94"/>
      <c r="V557" s="74"/>
      <c r="W557" s="62"/>
      <c r="X557" s="62"/>
      <c r="Y557" s="62"/>
      <c r="Z557" s="94"/>
      <c r="AA557" s="94"/>
      <c r="AB557" s="94"/>
      <c r="AC557" s="94"/>
      <c r="AD557" s="94"/>
      <c r="AE557" s="94"/>
      <c r="AF557" s="62"/>
      <c r="AG557" s="94"/>
      <c r="AH557" s="94"/>
      <c r="AI557" s="62"/>
      <c r="AJ557" s="62"/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94"/>
      <c r="C558" s="94"/>
      <c r="D558" s="94"/>
      <c r="E558" s="94"/>
      <c r="F558" s="94"/>
      <c r="G558" s="94"/>
      <c r="H558" s="62"/>
      <c r="I558" s="65"/>
      <c r="J558" s="65"/>
      <c r="K558" s="62"/>
      <c r="L558" s="62"/>
      <c r="M558" s="64"/>
      <c r="N558" s="94"/>
      <c r="O558" s="94"/>
      <c r="P558" s="94"/>
      <c r="Q558" s="94"/>
      <c r="R558" s="94"/>
      <c r="S558" s="94"/>
      <c r="T558" s="62"/>
      <c r="U558" s="65"/>
      <c r="V558" s="65"/>
      <c r="W558" s="62"/>
      <c r="X558" s="62"/>
      <c r="Y558" s="64"/>
      <c r="Z558" s="94"/>
      <c r="AA558" s="94"/>
      <c r="AB558" s="94"/>
      <c r="AC558" s="94"/>
      <c r="AD558" s="94"/>
      <c r="AE558" s="94"/>
      <c r="AF558" s="62"/>
      <c r="AG558" s="65"/>
      <c r="AH558" s="65"/>
      <c r="AI558" s="62"/>
      <c r="AJ558" s="62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94"/>
      <c r="C559" s="94"/>
      <c r="D559" s="94"/>
      <c r="E559" s="94"/>
      <c r="F559" s="94"/>
      <c r="G559" s="94"/>
      <c r="H559" s="62"/>
      <c r="I559" s="62"/>
      <c r="J559" s="62"/>
      <c r="K559" s="62"/>
      <c r="L559" s="62"/>
      <c r="M559" s="62"/>
      <c r="N559" s="94"/>
      <c r="O559" s="94"/>
      <c r="P559" s="94"/>
      <c r="Q559" s="94"/>
      <c r="R559" s="94"/>
      <c r="S559" s="94"/>
      <c r="T559" s="62"/>
      <c r="U559" s="62"/>
      <c r="V559" s="62"/>
      <c r="W559" s="62"/>
      <c r="X559" s="62"/>
      <c r="Y559" s="62"/>
      <c r="Z559" s="94"/>
      <c r="AA559" s="94"/>
      <c r="AB559" s="94"/>
      <c r="AC559" s="94"/>
      <c r="AD559" s="94"/>
      <c r="AE559" s="94"/>
      <c r="AF559" s="62"/>
      <c r="AG559" s="62"/>
      <c r="AH559" s="62"/>
      <c r="AI559" s="62"/>
      <c r="AJ559" s="62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94"/>
      <c r="D560" s="104"/>
      <c r="E560" s="104"/>
      <c r="F560" s="94"/>
      <c r="G560" s="94"/>
      <c r="H560" s="62"/>
      <c r="I560" s="104"/>
      <c r="J560" s="104"/>
      <c r="K560" s="103"/>
      <c r="L560" s="62"/>
      <c r="M560" s="62"/>
      <c r="N560" s="65"/>
      <c r="O560" s="94"/>
      <c r="P560" s="104"/>
      <c r="Q560" s="104"/>
      <c r="R560" s="94"/>
      <c r="S560" s="94"/>
      <c r="T560" s="62"/>
      <c r="U560" s="104"/>
      <c r="V560" s="104"/>
      <c r="W560" s="103"/>
      <c r="X560" s="62"/>
      <c r="Y560" s="62"/>
      <c r="Z560" s="65"/>
      <c r="AA560" s="94"/>
      <c r="AB560" s="104"/>
      <c r="AC560" s="104"/>
      <c r="AD560" s="94"/>
      <c r="AE560" s="94"/>
      <c r="AF560" s="62"/>
      <c r="AG560" s="104"/>
      <c r="AH560" s="104"/>
      <c r="AI560" s="103"/>
      <c r="AJ560" s="62"/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x14ac:dyDescent="0.25">
      <c r="A561" s="62"/>
      <c r="B561" s="94"/>
      <c r="C561" s="94"/>
      <c r="D561" s="81"/>
      <c r="E561" s="82"/>
      <c r="F561" s="83"/>
      <c r="G561" s="83"/>
      <c r="H561" s="62"/>
      <c r="I561" s="93"/>
      <c r="J561" s="93"/>
      <c r="K561" s="103"/>
      <c r="L561" s="62"/>
      <c r="M561" s="62"/>
      <c r="N561" s="94"/>
      <c r="O561" s="94"/>
      <c r="P561" s="81"/>
      <c r="Q561" s="83"/>
      <c r="R561" s="83"/>
      <c r="S561" s="83"/>
      <c r="T561" s="62"/>
      <c r="U561" s="93"/>
      <c r="V561" s="93"/>
      <c r="W561" s="103"/>
      <c r="X561" s="62"/>
      <c r="Y561" s="62"/>
      <c r="Z561" s="94"/>
      <c r="AA561" s="94"/>
      <c r="AB561" s="81"/>
      <c r="AC561" s="83"/>
      <c r="AD561" s="83"/>
      <c r="AE561" s="83"/>
      <c r="AF561" s="62"/>
      <c r="AG561" s="93"/>
      <c r="AH561" s="93"/>
      <c r="AI561" s="103"/>
      <c r="AJ561" s="62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92"/>
      <c r="D562" s="60"/>
      <c r="E562" s="60"/>
      <c r="F562" s="60"/>
      <c r="G562" s="60"/>
      <c r="H562" s="61"/>
      <c r="I562" s="61"/>
      <c r="J562" s="61"/>
      <c r="K562" s="61"/>
      <c r="L562" s="62"/>
      <c r="M562" s="62"/>
      <c r="N562" s="66"/>
      <c r="O562" s="94"/>
      <c r="P562" s="60"/>
      <c r="Q562" s="60"/>
      <c r="R562" s="60"/>
      <c r="S562" s="60"/>
      <c r="T562" s="61"/>
      <c r="U562" s="61"/>
      <c r="V562" s="61"/>
      <c r="W562" s="61"/>
      <c r="X562" s="62"/>
      <c r="Y562" s="62"/>
      <c r="Z562" s="66"/>
      <c r="AA562" s="94"/>
      <c r="AB562" s="60"/>
      <c r="AC562" s="60"/>
      <c r="AD562" s="60"/>
      <c r="AE562" s="60"/>
      <c r="AF562" s="61"/>
      <c r="AG562" s="61"/>
      <c r="AH562" s="61"/>
      <c r="AI562" s="61"/>
      <c r="AJ562" s="62"/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92"/>
      <c r="D563" s="60"/>
      <c r="E563" s="60"/>
      <c r="F563" s="60"/>
      <c r="G563" s="60"/>
      <c r="H563" s="61"/>
      <c r="I563" s="61"/>
      <c r="J563" s="61"/>
      <c r="K563" s="61"/>
      <c r="L563" s="62"/>
      <c r="M563" s="62"/>
      <c r="N563" s="66"/>
      <c r="O563" s="94"/>
      <c r="P563" s="60"/>
      <c r="Q563" s="60"/>
      <c r="R563" s="60"/>
      <c r="S563" s="60"/>
      <c r="T563" s="61"/>
      <c r="U563" s="61"/>
      <c r="V563" s="61"/>
      <c r="W563" s="61"/>
      <c r="X563" s="62"/>
      <c r="Y563" s="62"/>
      <c r="Z563" s="66"/>
      <c r="AA563" s="94"/>
      <c r="AB563" s="60"/>
      <c r="AC563" s="60"/>
      <c r="AD563" s="60"/>
      <c r="AE563" s="60"/>
      <c r="AF563" s="61"/>
      <c r="AG563" s="61"/>
      <c r="AH563" s="61"/>
      <c r="AI563" s="61"/>
      <c r="AJ563" s="62"/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92"/>
      <c r="D564" s="60"/>
      <c r="E564" s="60"/>
      <c r="F564" s="60"/>
      <c r="G564" s="60"/>
      <c r="H564" s="61"/>
      <c r="I564" s="61"/>
      <c r="J564" s="61"/>
      <c r="K564" s="61"/>
      <c r="L564" s="62"/>
      <c r="M564" s="62"/>
      <c r="N564" s="66"/>
      <c r="O564" s="94"/>
      <c r="P564" s="60"/>
      <c r="Q564" s="60"/>
      <c r="R564" s="60"/>
      <c r="S564" s="60"/>
      <c r="T564" s="61"/>
      <c r="U564" s="61"/>
      <c r="V564" s="61"/>
      <c r="W564" s="61"/>
      <c r="X564" s="62"/>
      <c r="Y564" s="62"/>
      <c r="Z564" s="66"/>
      <c r="AA564" s="94"/>
      <c r="AB564" s="60"/>
      <c r="AC564" s="60"/>
      <c r="AD564" s="60"/>
      <c r="AE564" s="60"/>
      <c r="AF564" s="61"/>
      <c r="AG564" s="61"/>
      <c r="AH564" s="61"/>
      <c r="AI564" s="61"/>
      <c r="AJ564" s="62"/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65"/>
      <c r="D565" s="60"/>
      <c r="E565" s="60"/>
      <c r="F565" s="60"/>
      <c r="G565" s="60"/>
      <c r="H565" s="61"/>
      <c r="I565" s="61"/>
      <c r="J565" s="61"/>
      <c r="K565" s="61"/>
      <c r="L565" s="62"/>
      <c r="M565" s="62"/>
      <c r="N565" s="66"/>
      <c r="O565" s="94"/>
      <c r="P565" s="60"/>
      <c r="Q565" s="60"/>
      <c r="R565" s="60"/>
      <c r="S565" s="60"/>
      <c r="T565" s="61"/>
      <c r="U565" s="61"/>
      <c r="V565" s="61"/>
      <c r="W565" s="61"/>
      <c r="X565" s="62"/>
      <c r="Y565" s="62"/>
      <c r="Z565" s="66"/>
      <c r="AA565" s="94"/>
      <c r="AB565" s="60"/>
      <c r="AC565" s="60"/>
      <c r="AD565" s="60"/>
      <c r="AE565" s="60"/>
      <c r="AF565" s="61"/>
      <c r="AG565" s="62"/>
      <c r="AH565" s="61"/>
      <c r="AI565" s="61"/>
      <c r="AJ565" s="62"/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94"/>
      <c r="D566" s="60"/>
      <c r="E566" s="60"/>
      <c r="F566" s="60"/>
      <c r="G566" s="60"/>
      <c r="H566" s="61"/>
      <c r="I566" s="61"/>
      <c r="J566" s="61"/>
      <c r="K566" s="61"/>
      <c r="L566" s="62"/>
      <c r="M566" s="62"/>
      <c r="N566" s="66"/>
      <c r="O566" s="94"/>
      <c r="P566" s="60"/>
      <c r="Q566" s="60"/>
      <c r="R566" s="60"/>
      <c r="S566" s="60"/>
      <c r="T566" s="61"/>
      <c r="U566" s="61"/>
      <c r="V566" s="61"/>
      <c r="W566" s="61"/>
      <c r="X566" s="62"/>
      <c r="Y566" s="62"/>
      <c r="Z566" s="66"/>
      <c r="AA566" s="94"/>
      <c r="AB566" s="60"/>
      <c r="AC566" s="60"/>
      <c r="AD566" s="60"/>
      <c r="AE566" s="60"/>
      <c r="AF566" s="61"/>
      <c r="AG566" s="61"/>
      <c r="AH566" s="61"/>
      <c r="AI566" s="61"/>
      <c r="AJ566" s="62"/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92"/>
      <c r="D567" s="60"/>
      <c r="E567" s="60"/>
      <c r="F567" s="60"/>
      <c r="G567" s="60"/>
      <c r="H567" s="61"/>
      <c r="I567" s="61"/>
      <c r="J567" s="61"/>
      <c r="K567" s="61"/>
      <c r="L567" s="62"/>
      <c r="M567" s="62"/>
      <c r="N567" s="66"/>
      <c r="O567" s="94"/>
      <c r="P567" s="60"/>
      <c r="Q567" s="60"/>
      <c r="R567" s="60"/>
      <c r="S567" s="60"/>
      <c r="T567" s="61"/>
      <c r="U567" s="61"/>
      <c r="V567" s="62"/>
      <c r="W567" s="61"/>
      <c r="X567" s="62"/>
      <c r="Y567" s="62"/>
      <c r="Z567" s="66"/>
      <c r="AA567" s="94"/>
      <c r="AB567" s="60"/>
      <c r="AC567" s="60"/>
      <c r="AD567" s="60"/>
      <c r="AE567" s="60"/>
      <c r="AF567" s="61"/>
      <c r="AG567" s="61"/>
      <c r="AH567" s="62"/>
      <c r="AI567" s="61"/>
      <c r="AJ567" s="62"/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92"/>
      <c r="D568" s="60"/>
      <c r="E568" s="60"/>
      <c r="F568" s="60"/>
      <c r="G568" s="60"/>
      <c r="H568" s="61"/>
      <c r="I568" s="61"/>
      <c r="J568" s="61"/>
      <c r="K568" s="61"/>
      <c r="L568" s="62"/>
      <c r="M568" s="62"/>
      <c r="N568" s="66"/>
      <c r="O568" s="94"/>
      <c r="P568" s="60"/>
      <c r="Q568" s="60"/>
      <c r="R568" s="60"/>
      <c r="S568" s="60"/>
      <c r="T568" s="61"/>
      <c r="U568" s="61"/>
      <c r="V568" s="61"/>
      <c r="W568" s="61"/>
      <c r="X568" s="62"/>
      <c r="Y568" s="62"/>
      <c r="Z568" s="66"/>
      <c r="AA568" s="65"/>
      <c r="AB568" s="60"/>
      <c r="AC568" s="60"/>
      <c r="AD568" s="60"/>
      <c r="AE568" s="60"/>
      <c r="AF568" s="61"/>
      <c r="AG568" s="61"/>
      <c r="AH568" s="61"/>
      <c r="AI568" s="61"/>
      <c r="AJ568" s="62"/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92"/>
      <c r="D569" s="60"/>
      <c r="E569" s="60"/>
      <c r="F569" s="60"/>
      <c r="G569" s="60"/>
      <c r="H569" s="61"/>
      <c r="I569" s="61"/>
      <c r="J569" s="61"/>
      <c r="K569" s="61"/>
      <c r="L569" s="62"/>
      <c r="M569" s="62"/>
      <c r="N569" s="66"/>
      <c r="O569" s="94"/>
      <c r="P569" s="60"/>
      <c r="Q569" s="60"/>
      <c r="R569" s="60"/>
      <c r="S569" s="60"/>
      <c r="T569" s="61"/>
      <c r="U569" s="61"/>
      <c r="V569" s="61"/>
      <c r="W569" s="61"/>
      <c r="X569" s="62"/>
      <c r="Y569" s="62"/>
      <c r="Z569" s="66"/>
      <c r="AA569" s="94"/>
      <c r="AB569" s="60"/>
      <c r="AC569" s="60"/>
      <c r="AD569" s="62"/>
      <c r="AE569" s="60"/>
      <c r="AF569" s="61"/>
      <c r="AG569" s="61"/>
      <c r="AH569" s="61"/>
      <c r="AI569" s="61"/>
      <c r="AJ569" s="62"/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92"/>
      <c r="D570" s="60"/>
      <c r="E570" s="60"/>
      <c r="F570" s="60"/>
      <c r="G570" s="60"/>
      <c r="H570" s="61"/>
      <c r="I570" s="61"/>
      <c r="J570" s="61"/>
      <c r="K570" s="61"/>
      <c r="L570" s="62"/>
      <c r="M570" s="62"/>
      <c r="N570" s="66"/>
      <c r="O570" s="94"/>
      <c r="P570" s="60"/>
      <c r="Q570" s="60"/>
      <c r="R570" s="60"/>
      <c r="S570" s="60"/>
      <c r="T570" s="61"/>
      <c r="U570" s="61"/>
      <c r="V570" s="61"/>
      <c r="W570" s="61"/>
      <c r="X570" s="62"/>
      <c r="Y570" s="62"/>
      <c r="Z570" s="66"/>
      <c r="AA570" s="94"/>
      <c r="AB570" s="62"/>
      <c r="AC570" s="60"/>
      <c r="AD570" s="60"/>
      <c r="AE570" s="60"/>
      <c r="AF570" s="61"/>
      <c r="AG570" s="62"/>
      <c r="AH570" s="61"/>
      <c r="AI570" s="61"/>
      <c r="AJ570" s="62"/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92"/>
      <c r="D571" s="60"/>
      <c r="E571" s="60"/>
      <c r="F571" s="60"/>
      <c r="G571" s="60"/>
      <c r="H571" s="61"/>
      <c r="I571" s="61"/>
      <c r="J571" s="61"/>
      <c r="K571" s="61"/>
      <c r="L571" s="62"/>
      <c r="M571" s="62"/>
      <c r="N571" s="66"/>
      <c r="O571" s="94"/>
      <c r="P571" s="60"/>
      <c r="Q571" s="60"/>
      <c r="R571" s="60"/>
      <c r="S571" s="60"/>
      <c r="T571" s="61"/>
      <c r="U571" s="61"/>
      <c r="V571" s="61"/>
      <c r="W571" s="61"/>
      <c r="X571" s="62"/>
      <c r="Y571" s="62"/>
      <c r="Z571" s="66"/>
      <c r="AA571" s="94"/>
      <c r="AB571" s="60"/>
      <c r="AC571" s="60"/>
      <c r="AD571" s="60"/>
      <c r="AE571" s="60"/>
      <c r="AF571" s="61"/>
      <c r="AG571" s="61"/>
      <c r="AH571" s="61"/>
      <c r="AI571" s="61"/>
      <c r="AJ571" s="62"/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94"/>
      <c r="D572" s="60"/>
      <c r="E572" s="60"/>
      <c r="F572" s="60"/>
      <c r="G572" s="60"/>
      <c r="H572" s="61"/>
      <c r="I572" s="61"/>
      <c r="J572" s="61"/>
      <c r="K572" s="61"/>
      <c r="L572" s="62"/>
      <c r="M572" s="62"/>
      <c r="N572" s="66"/>
      <c r="O572" s="94"/>
      <c r="P572" s="60"/>
      <c r="Q572" s="60"/>
      <c r="R572" s="60"/>
      <c r="S572" s="60"/>
      <c r="T572" s="61"/>
      <c r="U572" s="61"/>
      <c r="V572" s="61"/>
      <c r="W572" s="61"/>
      <c r="X572" s="62"/>
      <c r="Y572" s="62"/>
      <c r="Z572" s="66"/>
      <c r="AA572" s="94"/>
      <c r="AB572" s="60"/>
      <c r="AC572" s="60"/>
      <c r="AD572" s="60"/>
      <c r="AE572" s="60"/>
      <c r="AF572" s="61"/>
      <c r="AG572" s="61"/>
      <c r="AH572" s="61"/>
      <c r="AI572" s="61"/>
      <c r="AJ572" s="62"/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92"/>
      <c r="D573" s="60"/>
      <c r="E573" s="60"/>
      <c r="F573" s="60"/>
      <c r="G573" s="60"/>
      <c r="H573" s="61"/>
      <c r="I573" s="61"/>
      <c r="J573" s="62"/>
      <c r="K573" s="61"/>
      <c r="L573" s="62"/>
      <c r="M573" s="62"/>
      <c r="N573" s="66"/>
      <c r="O573" s="94"/>
      <c r="P573" s="60"/>
      <c r="Q573" s="60"/>
      <c r="R573" s="60"/>
      <c r="S573" s="60"/>
      <c r="T573" s="61"/>
      <c r="U573" s="61"/>
      <c r="V573" s="61"/>
      <c r="W573" s="61"/>
      <c r="X573" s="62"/>
      <c r="Y573" s="62"/>
      <c r="Z573" s="66"/>
      <c r="AA573" s="62"/>
      <c r="AB573" s="60"/>
      <c r="AC573" s="60"/>
      <c r="AD573" s="60"/>
      <c r="AE573" s="60"/>
      <c r="AF573" s="61"/>
      <c r="AG573" s="61"/>
      <c r="AH573" s="61"/>
      <c r="AI573" s="61"/>
      <c r="AJ573" s="62"/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92"/>
      <c r="D574" s="60"/>
      <c r="E574" s="60"/>
      <c r="F574" s="60"/>
      <c r="G574" s="60"/>
      <c r="H574" s="61"/>
      <c r="I574" s="61"/>
      <c r="J574" s="61"/>
      <c r="K574" s="61"/>
      <c r="L574" s="62"/>
      <c r="M574" s="62"/>
      <c r="N574" s="66"/>
      <c r="O574" s="94"/>
      <c r="P574" s="60"/>
      <c r="Q574" s="60"/>
      <c r="R574" s="60"/>
      <c r="S574" s="60"/>
      <c r="T574" s="61"/>
      <c r="U574" s="61"/>
      <c r="V574" s="61"/>
      <c r="W574" s="61"/>
      <c r="X574" s="62"/>
      <c r="Y574" s="62"/>
      <c r="Z574" s="66"/>
      <c r="AA574" s="94"/>
      <c r="AB574" s="60"/>
      <c r="AC574" s="60"/>
      <c r="AD574" s="60"/>
      <c r="AE574" s="60"/>
      <c r="AF574" s="61"/>
      <c r="AG574" s="61"/>
      <c r="AH574" s="61"/>
      <c r="AI574" s="61"/>
      <c r="AJ574" s="62"/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92"/>
      <c r="D575" s="60"/>
      <c r="E575" s="60"/>
      <c r="F575" s="60"/>
      <c r="G575" s="60"/>
      <c r="H575" s="61"/>
      <c r="I575" s="61"/>
      <c r="J575" s="61"/>
      <c r="K575" s="61"/>
      <c r="L575" s="62"/>
      <c r="M575" s="62"/>
      <c r="N575" s="66"/>
      <c r="O575" s="94"/>
      <c r="P575" s="60"/>
      <c r="Q575" s="60"/>
      <c r="R575" s="60"/>
      <c r="S575" s="60"/>
      <c r="T575" s="61"/>
      <c r="U575" s="61"/>
      <c r="V575" s="61"/>
      <c r="W575" s="61"/>
      <c r="X575" s="62"/>
      <c r="Y575" s="62"/>
      <c r="Z575" s="66"/>
      <c r="AA575" s="94"/>
      <c r="AB575" s="60"/>
      <c r="AC575" s="60"/>
      <c r="AD575" s="60"/>
      <c r="AE575" s="60"/>
      <c r="AF575" s="61"/>
      <c r="AG575" s="61"/>
      <c r="AH575" s="61"/>
      <c r="AI575" s="61"/>
      <c r="AJ575" s="62"/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92"/>
      <c r="D576" s="60"/>
      <c r="E576" s="60"/>
      <c r="F576" s="60"/>
      <c r="G576" s="60"/>
      <c r="H576" s="61"/>
      <c r="I576" s="61"/>
      <c r="J576" s="61"/>
      <c r="K576" s="61"/>
      <c r="L576" s="62"/>
      <c r="M576" s="62"/>
      <c r="N576" s="66"/>
      <c r="O576" s="94"/>
      <c r="P576" s="60"/>
      <c r="Q576" s="60"/>
      <c r="R576" s="60"/>
      <c r="S576" s="60"/>
      <c r="T576" s="61"/>
      <c r="U576" s="61"/>
      <c r="V576" s="61"/>
      <c r="W576" s="61"/>
      <c r="X576" s="62"/>
      <c r="Y576" s="62"/>
      <c r="Z576" s="66"/>
      <c r="AA576" s="94"/>
      <c r="AB576" s="60"/>
      <c r="AC576" s="60"/>
      <c r="AD576" s="60"/>
      <c r="AE576" s="60"/>
      <c r="AF576" s="61"/>
      <c r="AG576" s="61"/>
      <c r="AH576" s="61"/>
      <c r="AI576" s="61"/>
      <c r="AJ576" s="62"/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94"/>
      <c r="D577" s="60"/>
      <c r="E577" s="60"/>
      <c r="F577" s="60"/>
      <c r="G577" s="60"/>
      <c r="H577" s="61"/>
      <c r="I577" s="61"/>
      <c r="J577" s="61"/>
      <c r="K577" s="61"/>
      <c r="L577" s="62"/>
      <c r="M577" s="62"/>
      <c r="N577" s="66"/>
      <c r="O577" s="94"/>
      <c r="P577" s="60"/>
      <c r="Q577" s="60"/>
      <c r="R577" s="60"/>
      <c r="S577" s="60"/>
      <c r="T577" s="61"/>
      <c r="U577" s="61"/>
      <c r="V577" s="61"/>
      <c r="W577" s="61"/>
      <c r="X577" s="62"/>
      <c r="Y577" s="62"/>
      <c r="Z577" s="66"/>
      <c r="AA577" s="94"/>
      <c r="AB577" s="60"/>
      <c r="AC577" s="60"/>
      <c r="AD577" s="60"/>
      <c r="AE577" s="60"/>
      <c r="AF577" s="61"/>
      <c r="AG577" s="61"/>
      <c r="AH577" s="61"/>
      <c r="AI577" s="61"/>
      <c r="AJ577" s="62"/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92"/>
      <c r="D578" s="60"/>
      <c r="E578" s="60"/>
      <c r="F578" s="60"/>
      <c r="G578" s="60"/>
      <c r="H578" s="61"/>
      <c r="I578" s="61"/>
      <c r="J578" s="61"/>
      <c r="K578" s="61"/>
      <c r="L578" s="62"/>
      <c r="M578" s="62"/>
      <c r="N578" s="66"/>
      <c r="O578" s="94"/>
      <c r="P578" s="60"/>
      <c r="Q578" s="60"/>
      <c r="R578" s="60"/>
      <c r="S578" s="60"/>
      <c r="T578" s="61"/>
      <c r="U578" s="61"/>
      <c r="V578" s="61"/>
      <c r="W578" s="61"/>
      <c r="X578" s="62"/>
      <c r="Y578" s="62"/>
      <c r="Z578" s="66"/>
      <c r="AA578" s="94"/>
      <c r="AB578" s="60"/>
      <c r="AC578" s="60"/>
      <c r="AD578" s="60"/>
      <c r="AE578" s="60"/>
      <c r="AF578" s="61"/>
      <c r="AG578" s="61"/>
      <c r="AH578" s="61"/>
      <c r="AI578" s="61"/>
      <c r="AJ578" s="62"/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94"/>
      <c r="D579" s="60"/>
      <c r="E579" s="60"/>
      <c r="F579" s="60"/>
      <c r="G579" s="60"/>
      <c r="H579" s="61"/>
      <c r="I579" s="61"/>
      <c r="J579" s="61"/>
      <c r="K579" s="61"/>
      <c r="L579" s="62"/>
      <c r="M579" s="62"/>
      <c r="N579" s="66"/>
      <c r="O579" s="94"/>
      <c r="P579" s="60"/>
      <c r="Q579" s="60"/>
      <c r="R579" s="60"/>
      <c r="S579" s="60"/>
      <c r="T579" s="61"/>
      <c r="U579" s="61"/>
      <c r="V579" s="61"/>
      <c r="W579" s="61"/>
      <c r="X579" s="62"/>
      <c r="Y579" s="62"/>
      <c r="Z579" s="66"/>
      <c r="AA579" s="94"/>
      <c r="AB579" s="60"/>
      <c r="AC579" s="60"/>
      <c r="AD579" s="60"/>
      <c r="AE579" s="60"/>
      <c r="AF579" s="61"/>
      <c r="AG579" s="61"/>
      <c r="AH579" s="61"/>
      <c r="AI579" s="61"/>
      <c r="AJ579" s="62"/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94"/>
      <c r="D580" s="60"/>
      <c r="E580" s="60"/>
      <c r="F580" s="60"/>
      <c r="G580" s="60"/>
      <c r="H580" s="61"/>
      <c r="I580" s="61"/>
      <c r="J580" s="61"/>
      <c r="K580" s="61"/>
      <c r="L580" s="62"/>
      <c r="M580" s="62"/>
      <c r="N580" s="66"/>
      <c r="O580" s="65"/>
      <c r="P580" s="60"/>
      <c r="Q580" s="60"/>
      <c r="R580" s="60"/>
      <c r="S580" s="60"/>
      <c r="T580" s="61"/>
      <c r="U580" s="61"/>
      <c r="V580" s="61"/>
      <c r="W580" s="61"/>
      <c r="X580" s="62"/>
      <c r="Y580" s="62"/>
      <c r="Z580" s="66"/>
      <c r="AA580" s="94"/>
      <c r="AB580" s="60"/>
      <c r="AC580" s="60"/>
      <c r="AD580" s="60"/>
      <c r="AE580" s="60"/>
      <c r="AF580" s="61"/>
      <c r="AG580" s="61"/>
      <c r="AH580" s="61"/>
      <c r="AI580" s="61"/>
      <c r="AJ580" s="62"/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92"/>
      <c r="D581" s="60"/>
      <c r="E581" s="60"/>
      <c r="F581" s="60"/>
      <c r="G581" s="60"/>
      <c r="H581" s="61"/>
      <c r="I581" s="61"/>
      <c r="J581" s="61"/>
      <c r="K581" s="61"/>
      <c r="L581" s="62"/>
      <c r="M581" s="62"/>
      <c r="N581" s="66"/>
      <c r="O581" s="94"/>
      <c r="P581" s="60"/>
      <c r="Q581" s="60"/>
      <c r="R581" s="60"/>
      <c r="S581" s="60"/>
      <c r="T581" s="61"/>
      <c r="U581" s="61"/>
      <c r="V581" s="61"/>
      <c r="W581" s="61"/>
      <c r="X581" s="62"/>
      <c r="Y581" s="62"/>
      <c r="Z581" s="66"/>
      <c r="AA581" s="62"/>
      <c r="AB581" s="60"/>
      <c r="AC581" s="60"/>
      <c r="AD581" s="60"/>
      <c r="AE581" s="60"/>
      <c r="AF581" s="61"/>
      <c r="AG581" s="61"/>
      <c r="AH581" s="61"/>
      <c r="AI581" s="61"/>
      <c r="AJ581" s="62"/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92"/>
      <c r="D582" s="60"/>
      <c r="E582" s="60"/>
      <c r="F582" s="60"/>
      <c r="G582" s="60"/>
      <c r="H582" s="62"/>
      <c r="I582" s="62"/>
      <c r="J582" s="62"/>
      <c r="K582" s="61"/>
      <c r="L582" s="62"/>
      <c r="M582" s="62"/>
      <c r="N582" s="66"/>
      <c r="O582" s="94"/>
      <c r="P582" s="67"/>
      <c r="Q582" s="94"/>
      <c r="R582" s="94"/>
      <c r="S582" s="60"/>
      <c r="T582" s="62"/>
      <c r="U582" s="62"/>
      <c r="V582" s="62"/>
      <c r="W582" s="61"/>
      <c r="X582" s="62"/>
      <c r="Y582" s="62"/>
      <c r="Z582" s="66"/>
      <c r="AA582" s="62"/>
      <c r="AB582" s="67"/>
      <c r="AC582" s="94"/>
      <c r="AD582" s="94"/>
      <c r="AE582" s="60"/>
      <c r="AF582" s="62"/>
      <c r="AG582" s="62"/>
      <c r="AH582" s="62"/>
      <c r="AI582" s="61"/>
      <c r="AJ582" s="62"/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92"/>
      <c r="D583" s="60"/>
      <c r="E583" s="60"/>
      <c r="F583" s="60"/>
      <c r="G583" s="60"/>
      <c r="H583" s="62"/>
      <c r="I583" s="62"/>
      <c r="J583" s="62"/>
      <c r="K583" s="61"/>
      <c r="L583" s="62"/>
      <c r="M583" s="62"/>
      <c r="N583" s="66"/>
      <c r="O583" s="94"/>
      <c r="P583" s="68"/>
      <c r="Q583" s="94"/>
      <c r="R583" s="94"/>
      <c r="S583" s="60"/>
      <c r="T583" s="62"/>
      <c r="U583" s="62"/>
      <c r="V583" s="62"/>
      <c r="W583" s="61"/>
      <c r="X583" s="62"/>
      <c r="Y583" s="62"/>
      <c r="Z583" s="66"/>
      <c r="AA583" s="62"/>
      <c r="AB583" s="68"/>
      <c r="AC583" s="94"/>
      <c r="AD583" s="94"/>
      <c r="AE583" s="60"/>
      <c r="AF583" s="62"/>
      <c r="AG583" s="62"/>
      <c r="AH583" s="62"/>
      <c r="AI583" s="61"/>
      <c r="AJ583" s="62"/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94"/>
      <c r="D584" s="60"/>
      <c r="E584" s="60"/>
      <c r="F584" s="60"/>
      <c r="G584" s="60"/>
      <c r="H584" s="62"/>
      <c r="I584" s="62"/>
      <c r="J584" s="61"/>
      <c r="K584" s="61"/>
      <c r="L584" s="62"/>
      <c r="M584" s="62"/>
      <c r="N584" s="66"/>
      <c r="O584" s="94"/>
      <c r="P584" s="69"/>
      <c r="Q584" s="62"/>
      <c r="R584" s="62"/>
      <c r="S584" s="60"/>
      <c r="T584" s="62"/>
      <c r="U584" s="62"/>
      <c r="V584" s="62"/>
      <c r="W584" s="61"/>
      <c r="X584" s="62"/>
      <c r="Y584" s="62"/>
      <c r="Z584" s="66"/>
      <c r="AA584" s="94"/>
      <c r="AB584" s="69"/>
      <c r="AC584" s="62"/>
      <c r="AD584" s="62"/>
      <c r="AE584" s="60"/>
      <c r="AF584" s="62"/>
      <c r="AG584" s="62"/>
      <c r="AH584" s="62"/>
      <c r="AI584" s="61"/>
      <c r="AJ584" s="62"/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94"/>
      <c r="D585" s="60"/>
      <c r="E585" s="60"/>
      <c r="F585" s="60"/>
      <c r="G585" s="60"/>
      <c r="H585" s="62"/>
      <c r="I585" s="62"/>
      <c r="J585" s="62"/>
      <c r="K585" s="61"/>
      <c r="L585" s="62"/>
      <c r="M585" s="62"/>
      <c r="N585" s="66"/>
      <c r="O585" s="94"/>
      <c r="P585" s="69"/>
      <c r="Q585" s="94"/>
      <c r="R585" s="94"/>
      <c r="S585" s="60"/>
      <c r="T585" s="62"/>
      <c r="U585" s="62"/>
      <c r="V585" s="62"/>
      <c r="W585" s="61"/>
      <c r="X585" s="62"/>
      <c r="Y585" s="62"/>
      <c r="Z585" s="66"/>
      <c r="AA585" s="94"/>
      <c r="AB585" s="69"/>
      <c r="AC585" s="94"/>
      <c r="AD585" s="94"/>
      <c r="AE585" s="60"/>
      <c r="AF585" s="62"/>
      <c r="AG585" s="62"/>
      <c r="AH585" s="62"/>
      <c r="AI585" s="61"/>
      <c r="AJ585" s="62"/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94"/>
      <c r="D586" s="60"/>
      <c r="E586" s="60"/>
      <c r="F586" s="60"/>
      <c r="G586" s="60"/>
      <c r="H586" s="62"/>
      <c r="I586" s="62"/>
      <c r="J586" s="62"/>
      <c r="K586" s="61"/>
      <c r="L586" s="62"/>
      <c r="M586" s="62"/>
      <c r="N586" s="66"/>
      <c r="O586" s="62"/>
      <c r="P586" s="69"/>
      <c r="Q586" s="94"/>
      <c r="R586" s="94"/>
      <c r="S586" s="60"/>
      <c r="T586" s="62"/>
      <c r="U586" s="62"/>
      <c r="V586" s="62"/>
      <c r="W586" s="61"/>
      <c r="X586" s="62"/>
      <c r="Y586" s="62"/>
      <c r="Z586" s="66"/>
      <c r="AA586" s="65"/>
      <c r="AB586" s="69"/>
      <c r="AC586" s="94"/>
      <c r="AD586" s="94"/>
      <c r="AE586" s="60"/>
      <c r="AF586" s="62"/>
      <c r="AG586" s="62"/>
      <c r="AH586" s="62"/>
      <c r="AI586" s="61"/>
      <c r="AJ586" s="62"/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65"/>
      <c r="D587" s="60"/>
      <c r="E587" s="60"/>
      <c r="F587" s="60"/>
      <c r="G587" s="60"/>
      <c r="H587" s="62"/>
      <c r="I587" s="62"/>
      <c r="J587" s="62"/>
      <c r="K587" s="61"/>
      <c r="L587" s="62"/>
      <c r="M587" s="62"/>
      <c r="N587" s="66"/>
      <c r="O587" s="62"/>
      <c r="P587" s="69"/>
      <c r="Q587" s="94"/>
      <c r="R587" s="94"/>
      <c r="S587" s="60"/>
      <c r="T587" s="62"/>
      <c r="U587" s="62"/>
      <c r="V587" s="62"/>
      <c r="W587" s="61"/>
      <c r="X587" s="62"/>
      <c r="Y587" s="62"/>
      <c r="Z587" s="66"/>
      <c r="AA587" s="62"/>
      <c r="AB587" s="69"/>
      <c r="AC587" s="94"/>
      <c r="AD587" s="94"/>
      <c r="AE587" s="60"/>
      <c r="AF587" s="62"/>
      <c r="AG587" s="62"/>
      <c r="AH587" s="62"/>
      <c r="AI587" s="61"/>
      <c r="AJ587" s="62"/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94"/>
      <c r="D588" s="60"/>
      <c r="E588" s="60"/>
      <c r="F588" s="60"/>
      <c r="G588" s="60"/>
      <c r="H588" s="62"/>
      <c r="I588" s="62"/>
      <c r="J588" s="62"/>
      <c r="K588" s="61"/>
      <c r="L588" s="62"/>
      <c r="M588" s="62"/>
      <c r="N588" s="66"/>
      <c r="O588" s="94"/>
      <c r="P588" s="69"/>
      <c r="Q588" s="94"/>
      <c r="R588" s="94"/>
      <c r="S588" s="60"/>
      <c r="T588" s="62"/>
      <c r="U588" s="62"/>
      <c r="V588" s="62"/>
      <c r="W588" s="61"/>
      <c r="X588" s="62"/>
      <c r="Y588" s="62"/>
      <c r="Z588" s="66"/>
      <c r="AA588" s="94"/>
      <c r="AB588" s="69"/>
      <c r="AC588" s="94"/>
      <c r="AD588" s="94"/>
      <c r="AE588" s="60"/>
      <c r="AF588" s="62"/>
      <c r="AG588" s="62"/>
      <c r="AH588" s="62"/>
      <c r="AI588" s="61"/>
      <c r="AJ588" s="62"/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94"/>
      <c r="D589" s="60"/>
      <c r="E589" s="60"/>
      <c r="F589" s="60"/>
      <c r="G589" s="60"/>
      <c r="H589" s="62"/>
      <c r="I589" s="62"/>
      <c r="J589" s="62"/>
      <c r="K589" s="61"/>
      <c r="L589" s="62"/>
      <c r="M589" s="62"/>
      <c r="N589" s="66"/>
      <c r="O589" s="94"/>
      <c r="P589" s="69"/>
      <c r="Q589" s="94"/>
      <c r="R589" s="94"/>
      <c r="S589" s="60"/>
      <c r="T589" s="62"/>
      <c r="U589" s="62"/>
      <c r="V589" s="62"/>
      <c r="W589" s="61"/>
      <c r="X589" s="62"/>
      <c r="Y589" s="62"/>
      <c r="Z589" s="66"/>
      <c r="AA589" s="94"/>
      <c r="AB589" s="69"/>
      <c r="AC589" s="94"/>
      <c r="AD589" s="94"/>
      <c r="AE589" s="60"/>
      <c r="AF589" s="62"/>
      <c r="AG589" s="62"/>
      <c r="AH589" s="62"/>
      <c r="AI589" s="61"/>
      <c r="AJ589" s="62"/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94"/>
      <c r="D590" s="60"/>
      <c r="E590" s="60"/>
      <c r="F590" s="60"/>
      <c r="G590" s="60"/>
      <c r="H590" s="62"/>
      <c r="I590" s="62"/>
      <c r="J590" s="62"/>
      <c r="K590" s="61"/>
      <c r="L590" s="62"/>
      <c r="M590" s="62"/>
      <c r="N590" s="66"/>
      <c r="O590" s="62"/>
      <c r="P590" s="69"/>
      <c r="Q590" s="94"/>
      <c r="R590" s="94"/>
      <c r="S590" s="60"/>
      <c r="T590" s="62"/>
      <c r="U590" s="62"/>
      <c r="V590" s="62"/>
      <c r="W590" s="61"/>
      <c r="X590" s="62"/>
      <c r="Y590" s="62"/>
      <c r="Z590" s="66"/>
      <c r="AA590" s="94"/>
      <c r="AB590" s="69"/>
      <c r="AC590" s="94"/>
      <c r="AD590" s="94"/>
      <c r="AE590" s="60"/>
      <c r="AF590" s="62"/>
      <c r="AG590" s="62"/>
      <c r="AH590" s="62"/>
      <c r="AI590" s="61"/>
      <c r="AJ590" s="62"/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94"/>
      <c r="D591" s="60"/>
      <c r="E591" s="60"/>
      <c r="F591" s="60"/>
      <c r="G591" s="60"/>
      <c r="H591" s="62"/>
      <c r="I591" s="62"/>
      <c r="J591" s="62"/>
      <c r="K591" s="61"/>
      <c r="L591" s="62"/>
      <c r="M591" s="62"/>
      <c r="N591" s="66"/>
      <c r="O591" s="62"/>
      <c r="P591" s="69"/>
      <c r="Q591" s="94"/>
      <c r="R591" s="94"/>
      <c r="S591" s="60"/>
      <c r="T591" s="62"/>
      <c r="U591" s="62"/>
      <c r="V591" s="62"/>
      <c r="W591" s="61"/>
      <c r="X591" s="62"/>
      <c r="Y591" s="62"/>
      <c r="Z591" s="66"/>
      <c r="AA591" s="62"/>
      <c r="AB591" s="69"/>
      <c r="AC591" s="94"/>
      <c r="AD591" s="94"/>
      <c r="AE591" s="60"/>
      <c r="AF591" s="62"/>
      <c r="AG591" s="62"/>
      <c r="AH591" s="62"/>
      <c r="AI591" s="61"/>
      <c r="AJ591" s="62"/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94"/>
      <c r="D592" s="60"/>
      <c r="E592" s="60"/>
      <c r="F592" s="60"/>
      <c r="G592" s="60"/>
      <c r="H592" s="62"/>
      <c r="I592" s="62"/>
      <c r="J592" s="62"/>
      <c r="K592" s="61"/>
      <c r="L592" s="62"/>
      <c r="M592" s="62"/>
      <c r="N592" s="66"/>
      <c r="O592" s="94"/>
      <c r="P592" s="69"/>
      <c r="Q592" s="94"/>
      <c r="R592" s="94"/>
      <c r="S592" s="60"/>
      <c r="T592" s="62"/>
      <c r="U592" s="62"/>
      <c r="V592" s="62"/>
      <c r="W592" s="61"/>
      <c r="X592" s="62"/>
      <c r="Y592" s="62"/>
      <c r="Z592" s="66"/>
      <c r="AA592" s="62"/>
      <c r="AB592" s="69"/>
      <c r="AC592" s="94"/>
      <c r="AD592" s="94"/>
      <c r="AE592" s="60"/>
      <c r="AF592" s="62"/>
      <c r="AG592" s="62"/>
      <c r="AH592" s="62"/>
      <c r="AI592" s="61"/>
      <c r="AJ592" s="62"/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94"/>
      <c r="D593" s="60"/>
      <c r="E593" s="60"/>
      <c r="F593" s="60"/>
      <c r="G593" s="60"/>
      <c r="H593" s="62"/>
      <c r="I593" s="62"/>
      <c r="J593" s="62"/>
      <c r="K593" s="61"/>
      <c r="L593" s="62"/>
      <c r="M593" s="62"/>
      <c r="N593" s="66"/>
      <c r="O593" s="62"/>
      <c r="P593" s="69"/>
      <c r="Q593" s="94"/>
      <c r="R593" s="94"/>
      <c r="S593" s="60"/>
      <c r="T593" s="62"/>
      <c r="U593" s="62"/>
      <c r="V593" s="62"/>
      <c r="W593" s="61"/>
      <c r="X593" s="62"/>
      <c r="Y593" s="62"/>
      <c r="Z593" s="66"/>
      <c r="AA593" s="94"/>
      <c r="AB593" s="69"/>
      <c r="AC593" s="94"/>
      <c r="AD593" s="94"/>
      <c r="AE593" s="60"/>
      <c r="AF593" s="62"/>
      <c r="AG593" s="62"/>
      <c r="AH593" s="62"/>
      <c r="AI593" s="61"/>
      <c r="AJ593" s="62"/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94"/>
      <c r="D594" s="60"/>
      <c r="E594" s="60"/>
      <c r="F594" s="60"/>
      <c r="G594" s="60"/>
      <c r="H594" s="62"/>
      <c r="I594" s="62"/>
      <c r="J594" s="62"/>
      <c r="K594" s="61"/>
      <c r="L594" s="62"/>
      <c r="M594" s="62"/>
      <c r="N594" s="66"/>
      <c r="O594" s="94"/>
      <c r="P594" s="69"/>
      <c r="Q594" s="94"/>
      <c r="R594" s="94"/>
      <c r="S594" s="60"/>
      <c r="T594" s="62"/>
      <c r="U594" s="62"/>
      <c r="V594" s="62"/>
      <c r="W594" s="61"/>
      <c r="X594" s="62"/>
      <c r="Y594" s="62"/>
      <c r="Z594" s="66"/>
      <c r="AA594" s="94"/>
      <c r="AB594" s="69"/>
      <c r="AC594" s="94"/>
      <c r="AD594" s="94"/>
      <c r="AE594" s="60"/>
      <c r="AF594" s="62"/>
      <c r="AG594" s="62"/>
      <c r="AH594" s="62"/>
      <c r="AI594" s="61"/>
      <c r="AJ594" s="62"/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94"/>
      <c r="D595" s="60"/>
      <c r="E595" s="60"/>
      <c r="F595" s="60"/>
      <c r="G595" s="60"/>
      <c r="H595" s="62"/>
      <c r="I595" s="62"/>
      <c r="J595" s="62"/>
      <c r="K595" s="61"/>
      <c r="L595" s="62"/>
      <c r="M595" s="62"/>
      <c r="N595" s="66"/>
      <c r="O595" s="94"/>
      <c r="P595" s="69"/>
      <c r="Q595" s="94"/>
      <c r="R595" s="94"/>
      <c r="S595" s="60"/>
      <c r="T595" s="62"/>
      <c r="U595" s="62"/>
      <c r="V595" s="62"/>
      <c r="W595" s="61"/>
      <c r="X595" s="62"/>
      <c r="Y595" s="62"/>
      <c r="Z595" s="66"/>
      <c r="AA595" s="62"/>
      <c r="AB595" s="69"/>
      <c r="AC595" s="94"/>
      <c r="AD595" s="94"/>
      <c r="AE595" s="60"/>
      <c r="AF595" s="62"/>
      <c r="AG595" s="62"/>
      <c r="AH595" s="62"/>
      <c r="AI595" s="61"/>
      <c r="AJ595" s="62"/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94"/>
      <c r="D596" s="60"/>
      <c r="E596" s="60"/>
      <c r="F596" s="60"/>
      <c r="G596" s="60"/>
      <c r="H596" s="62"/>
      <c r="I596" s="62"/>
      <c r="J596" s="62"/>
      <c r="K596" s="61"/>
      <c r="L596" s="62"/>
      <c r="M596" s="62"/>
      <c r="N596" s="66"/>
      <c r="O596" s="94"/>
      <c r="P596" s="69"/>
      <c r="Q596" s="94"/>
      <c r="R596" s="94"/>
      <c r="S596" s="60"/>
      <c r="T596" s="62"/>
      <c r="U596" s="62"/>
      <c r="V596" s="62"/>
      <c r="W596" s="61"/>
      <c r="X596" s="62"/>
      <c r="Y596" s="62"/>
      <c r="Z596" s="66"/>
      <c r="AA596" s="94"/>
      <c r="AB596" s="69"/>
      <c r="AC596" s="94"/>
      <c r="AD596" s="94"/>
      <c r="AE596" s="60"/>
      <c r="AF596" s="62"/>
      <c r="AG596" s="62"/>
      <c r="AH596" s="62"/>
      <c r="AI596" s="61"/>
      <c r="AJ596" s="62"/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94"/>
      <c r="D597" s="60"/>
      <c r="E597" s="60"/>
      <c r="F597" s="60"/>
      <c r="G597" s="60"/>
      <c r="H597" s="62"/>
      <c r="I597" s="62"/>
      <c r="J597" s="62"/>
      <c r="K597" s="61"/>
      <c r="L597" s="62"/>
      <c r="M597" s="62"/>
      <c r="N597" s="66"/>
      <c r="O597" s="94"/>
      <c r="P597" s="69"/>
      <c r="Q597" s="94"/>
      <c r="R597" s="94"/>
      <c r="S597" s="60"/>
      <c r="T597" s="62"/>
      <c r="U597" s="62"/>
      <c r="V597" s="62"/>
      <c r="W597" s="61"/>
      <c r="X597" s="62"/>
      <c r="Y597" s="62"/>
      <c r="Z597" s="66"/>
      <c r="AA597" s="94"/>
      <c r="AB597" s="69"/>
      <c r="AC597" s="94"/>
      <c r="AD597" s="94"/>
      <c r="AE597" s="60"/>
      <c r="AF597" s="62"/>
      <c r="AG597" s="62"/>
      <c r="AH597" s="62"/>
      <c r="AI597" s="61"/>
      <c r="AJ597" s="62"/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94"/>
      <c r="D598" s="60"/>
      <c r="E598" s="60"/>
      <c r="F598" s="60"/>
      <c r="G598" s="60"/>
      <c r="H598" s="62"/>
      <c r="I598" s="62"/>
      <c r="J598" s="62"/>
      <c r="K598" s="61"/>
      <c r="L598" s="62"/>
      <c r="M598" s="62"/>
      <c r="N598" s="66"/>
      <c r="O598" s="62"/>
      <c r="P598" s="69"/>
      <c r="Q598" s="94"/>
      <c r="R598" s="94"/>
      <c r="S598" s="60"/>
      <c r="T598" s="62"/>
      <c r="U598" s="62"/>
      <c r="V598" s="62"/>
      <c r="W598" s="61"/>
      <c r="X598" s="62"/>
      <c r="Y598" s="62"/>
      <c r="Z598" s="66"/>
      <c r="AA598" s="94"/>
      <c r="AB598" s="69"/>
      <c r="AC598" s="94"/>
      <c r="AD598" s="94"/>
      <c r="AE598" s="60"/>
      <c r="AF598" s="62"/>
      <c r="AG598" s="62"/>
      <c r="AH598" s="62"/>
      <c r="AI598" s="61"/>
      <c r="AJ598" s="62"/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94"/>
      <c r="D599" s="60"/>
      <c r="E599" s="60"/>
      <c r="F599" s="60"/>
      <c r="G599" s="60"/>
      <c r="H599" s="62"/>
      <c r="I599" s="62"/>
      <c r="J599" s="62"/>
      <c r="K599" s="61"/>
      <c r="L599" s="62"/>
      <c r="M599" s="62"/>
      <c r="N599" s="66"/>
      <c r="O599" s="94"/>
      <c r="P599" s="69"/>
      <c r="Q599" s="94"/>
      <c r="R599" s="94"/>
      <c r="S599" s="60"/>
      <c r="T599" s="62"/>
      <c r="U599" s="62"/>
      <c r="V599" s="62"/>
      <c r="W599" s="61"/>
      <c r="X599" s="62"/>
      <c r="Y599" s="62"/>
      <c r="Z599" s="66"/>
      <c r="AA599" s="94"/>
      <c r="AB599" s="69"/>
      <c r="AC599" s="94"/>
      <c r="AD599" s="94"/>
      <c r="AE599" s="60"/>
      <c r="AF599" s="62"/>
      <c r="AG599" s="62"/>
      <c r="AH599" s="62"/>
      <c r="AI599" s="61"/>
      <c r="AJ599" s="62"/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94"/>
      <c r="D600" s="60"/>
      <c r="E600" s="60"/>
      <c r="F600" s="60"/>
      <c r="G600" s="60"/>
      <c r="H600" s="62"/>
      <c r="I600" s="62"/>
      <c r="J600" s="62"/>
      <c r="K600" s="61"/>
      <c r="L600" s="62"/>
      <c r="M600" s="62"/>
      <c r="N600" s="66"/>
      <c r="O600" s="94"/>
      <c r="P600" s="69"/>
      <c r="Q600" s="94"/>
      <c r="R600" s="94"/>
      <c r="S600" s="60"/>
      <c r="T600" s="62"/>
      <c r="U600" s="62"/>
      <c r="V600" s="62"/>
      <c r="W600" s="61"/>
      <c r="X600" s="62"/>
      <c r="Y600" s="62"/>
      <c r="Z600" s="66"/>
      <c r="AA600" s="94"/>
      <c r="AB600" s="69"/>
      <c r="AC600" s="94"/>
      <c r="AD600" s="94"/>
      <c r="AE600" s="60"/>
      <c r="AF600" s="62"/>
      <c r="AG600" s="62"/>
      <c r="AH600" s="62"/>
      <c r="AI600" s="61"/>
      <c r="AJ600" s="62"/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94"/>
      <c r="D601" s="60"/>
      <c r="E601" s="60"/>
      <c r="F601" s="60"/>
      <c r="G601" s="60"/>
      <c r="H601" s="62"/>
      <c r="I601" s="62"/>
      <c r="J601" s="62"/>
      <c r="K601" s="61"/>
      <c r="L601" s="62"/>
      <c r="M601" s="62"/>
      <c r="N601" s="66"/>
      <c r="O601" s="62"/>
      <c r="P601" s="69"/>
      <c r="Q601" s="94"/>
      <c r="R601" s="94"/>
      <c r="S601" s="60"/>
      <c r="T601" s="62"/>
      <c r="U601" s="62"/>
      <c r="V601" s="62"/>
      <c r="W601" s="61"/>
      <c r="X601" s="62"/>
      <c r="Y601" s="62"/>
      <c r="Z601" s="66"/>
      <c r="AA601" s="62"/>
      <c r="AB601" s="69"/>
      <c r="AC601" s="94"/>
      <c r="AD601" s="94"/>
      <c r="AE601" s="60"/>
      <c r="AF601" s="62"/>
      <c r="AG601" s="62"/>
      <c r="AH601" s="62"/>
      <c r="AI601" s="61"/>
      <c r="AJ601" s="62"/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94"/>
      <c r="D602" s="60"/>
      <c r="E602" s="60"/>
      <c r="F602" s="60"/>
      <c r="G602" s="60"/>
      <c r="H602" s="62"/>
      <c r="I602" s="62"/>
      <c r="J602" s="62"/>
      <c r="K602" s="61"/>
      <c r="L602" s="62"/>
      <c r="M602" s="62"/>
      <c r="N602" s="66"/>
      <c r="O602" s="94"/>
      <c r="P602" s="69"/>
      <c r="Q602" s="94"/>
      <c r="R602" s="94"/>
      <c r="S602" s="60"/>
      <c r="T602" s="62"/>
      <c r="U602" s="62"/>
      <c r="V602" s="62"/>
      <c r="W602" s="61"/>
      <c r="X602" s="62"/>
      <c r="Y602" s="62"/>
      <c r="Z602" s="66"/>
      <c r="AA602" s="94"/>
      <c r="AB602" s="69"/>
      <c r="AC602" s="94"/>
      <c r="AD602" s="94"/>
      <c r="AE602" s="60"/>
      <c r="AF602" s="62"/>
      <c r="AG602" s="62"/>
      <c r="AH602" s="62"/>
      <c r="AI602" s="61"/>
      <c r="AJ602" s="62"/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L603" s="62"/>
      <c r="M603" s="62"/>
      <c r="N603" s="94"/>
      <c r="O603" s="94"/>
      <c r="P603" s="94"/>
      <c r="Q603" s="94"/>
      <c r="R603" s="94"/>
      <c r="S603" s="94"/>
      <c r="T603" s="62"/>
      <c r="U603" s="62"/>
      <c r="V603" s="62"/>
      <c r="W603" s="61"/>
      <c r="X603" s="62"/>
      <c r="Y603" s="62"/>
      <c r="Z603" s="94"/>
      <c r="AA603" s="94"/>
      <c r="AB603" s="94"/>
      <c r="AC603" s="94"/>
      <c r="AD603" s="94"/>
      <c r="AE603" s="94"/>
      <c r="AF603" s="62"/>
      <c r="AG603" s="62"/>
      <c r="AH603" s="62"/>
      <c r="AI603" s="61"/>
      <c r="AJ603" s="62"/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94"/>
      <c r="C604" s="94"/>
      <c r="D604" s="94"/>
      <c r="E604" s="94"/>
      <c r="F604" s="94"/>
      <c r="G604" s="94"/>
      <c r="H604" s="62"/>
      <c r="I604" s="62"/>
      <c r="J604" s="62"/>
      <c r="K604" s="62"/>
      <c r="L604" s="62"/>
      <c r="M604" s="62"/>
      <c r="N604" s="94"/>
      <c r="O604" s="94"/>
      <c r="P604" s="94"/>
      <c r="Q604" s="94"/>
      <c r="R604" s="94"/>
      <c r="S604" s="94"/>
      <c r="T604" s="62"/>
      <c r="U604" s="62"/>
      <c r="V604" s="62"/>
      <c r="W604" s="62"/>
      <c r="X604" s="62"/>
      <c r="Y604" s="62"/>
      <c r="Z604" s="94"/>
      <c r="AA604" s="94"/>
      <c r="AB604" s="94"/>
      <c r="AC604" s="94"/>
      <c r="AD604" s="94"/>
      <c r="AE604" s="94"/>
      <c r="AF604" s="62"/>
      <c r="AG604" s="62"/>
      <c r="AH604" s="62"/>
      <c r="AI604" s="62"/>
      <c r="AJ604" s="62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94"/>
      <c r="C605" s="94"/>
      <c r="D605" s="70"/>
      <c r="E605" s="70"/>
      <c r="F605" s="70"/>
      <c r="G605" s="70"/>
      <c r="H605" s="63"/>
      <c r="I605" s="70"/>
      <c r="J605" s="70"/>
      <c r="K605" s="70"/>
      <c r="L605" s="62"/>
      <c r="M605" s="62"/>
      <c r="N605" s="94"/>
      <c r="O605" s="94"/>
      <c r="P605" s="70"/>
      <c r="Q605" s="70"/>
      <c r="R605" s="70"/>
      <c r="S605" s="70"/>
      <c r="T605" s="63"/>
      <c r="U605" s="71"/>
      <c r="V605" s="71"/>
      <c r="W605" s="71"/>
      <c r="X605" s="62"/>
      <c r="Y605" s="62"/>
      <c r="Z605" s="94"/>
      <c r="AA605" s="94"/>
      <c r="AB605" s="70"/>
      <c r="AC605" s="70"/>
      <c r="AD605" s="70"/>
      <c r="AE605" s="70"/>
      <c r="AF605" s="63"/>
      <c r="AG605" s="71"/>
      <c r="AH605" s="71"/>
      <c r="AI605" s="71"/>
      <c r="AJ605" s="62"/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94"/>
      <c r="C607" s="94"/>
      <c r="D607" s="94"/>
      <c r="E607" s="94"/>
      <c r="F607" s="94"/>
      <c r="G607" s="94"/>
      <c r="H607" s="62"/>
      <c r="I607" s="62"/>
      <c r="J607" s="62"/>
      <c r="K607" s="62"/>
      <c r="L607" s="62"/>
      <c r="M607" s="62"/>
      <c r="N607" s="94"/>
      <c r="O607" s="94"/>
      <c r="P607" s="94"/>
      <c r="Q607" s="94"/>
      <c r="R607" s="94"/>
      <c r="S607" s="94"/>
      <c r="T607" s="62"/>
      <c r="U607" s="62"/>
      <c r="V607" s="62"/>
      <c r="W607" s="62"/>
      <c r="X607" s="62"/>
      <c r="Y607" s="62"/>
      <c r="Z607" s="94"/>
      <c r="AA607" s="94"/>
      <c r="AB607" s="94"/>
      <c r="AC607" s="94"/>
      <c r="AD607" s="94"/>
      <c r="AE607" s="94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94"/>
      <c r="C608" s="94"/>
      <c r="D608" s="94"/>
      <c r="E608" s="94"/>
      <c r="F608" s="94"/>
      <c r="G608" s="94"/>
      <c r="H608" s="62"/>
      <c r="I608" s="62"/>
      <c r="J608" s="62"/>
      <c r="K608" s="62"/>
      <c r="L608" s="62"/>
      <c r="M608" s="62"/>
      <c r="N608" s="94"/>
      <c r="O608" s="94"/>
      <c r="P608" s="94"/>
      <c r="Q608" s="94"/>
      <c r="R608" s="94"/>
      <c r="S608" s="94"/>
      <c r="T608" s="62"/>
      <c r="U608" s="62"/>
      <c r="V608" s="62"/>
      <c r="W608" s="62"/>
      <c r="X608" s="62"/>
      <c r="Y608" s="62"/>
      <c r="Z608" s="94"/>
      <c r="AA608" s="94"/>
      <c r="AB608" s="94"/>
      <c r="AC608" s="94"/>
      <c r="AD608" s="94"/>
      <c r="AE608" s="94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94"/>
      <c r="C609" s="94"/>
      <c r="D609" s="94"/>
      <c r="E609" s="94"/>
      <c r="F609" s="94"/>
      <c r="G609" s="94"/>
      <c r="H609" s="62"/>
      <c r="I609" s="62"/>
      <c r="J609" s="62"/>
      <c r="K609" s="62"/>
      <c r="L609" s="62"/>
      <c r="M609" s="62"/>
      <c r="N609" s="94"/>
      <c r="O609" s="94"/>
      <c r="P609" s="94"/>
      <c r="Q609" s="94"/>
      <c r="R609" s="94"/>
      <c r="S609" s="94"/>
      <c r="T609" s="62"/>
      <c r="U609" s="62"/>
      <c r="V609" s="62"/>
      <c r="W609" s="62"/>
      <c r="X609" s="62"/>
      <c r="Y609" s="62"/>
      <c r="Z609" s="94"/>
      <c r="AA609" s="94"/>
      <c r="AB609" s="94"/>
      <c r="AC609" s="94"/>
      <c r="AD609" s="94"/>
      <c r="AE609" s="94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94"/>
      <c r="C610" s="94"/>
      <c r="D610" s="94"/>
      <c r="E610" s="94"/>
      <c r="F610" s="94"/>
      <c r="G610" s="94"/>
      <c r="H610" s="62"/>
      <c r="I610" s="62"/>
      <c r="J610" s="62"/>
      <c r="K610" s="62"/>
      <c r="L610" s="62"/>
      <c r="M610" s="63"/>
      <c r="N610" s="94"/>
      <c r="O610" s="94"/>
      <c r="P610" s="94"/>
      <c r="Q610" s="94"/>
      <c r="R610" s="94"/>
      <c r="S610" s="94"/>
      <c r="T610" s="62"/>
      <c r="U610" s="62"/>
      <c r="V610" s="62"/>
      <c r="W610" s="62"/>
      <c r="X610" s="62"/>
      <c r="Y610" s="63"/>
      <c r="Z610" s="94"/>
      <c r="AA610" s="94"/>
      <c r="AB610" s="94"/>
      <c r="AC610" s="94"/>
      <c r="AD610" s="94"/>
      <c r="AE610" s="94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94"/>
      <c r="C611" s="94"/>
      <c r="D611" s="94"/>
      <c r="E611" s="94"/>
      <c r="F611" s="94"/>
      <c r="G611" s="94"/>
      <c r="H611" s="62"/>
      <c r="I611" s="62"/>
      <c r="J611" s="62"/>
      <c r="K611" s="62"/>
      <c r="L611" s="62"/>
      <c r="M611" s="62"/>
      <c r="N611" s="94"/>
      <c r="O611" s="94"/>
      <c r="P611" s="94"/>
      <c r="Q611" s="94"/>
      <c r="R611" s="94"/>
      <c r="S611" s="94"/>
      <c r="T611" s="62"/>
      <c r="U611" s="62"/>
      <c r="V611" s="62"/>
      <c r="W611" s="62"/>
      <c r="X611" s="62"/>
      <c r="Y611" s="62"/>
      <c r="Z611" s="94"/>
      <c r="AA611" s="94"/>
      <c r="AB611" s="94"/>
      <c r="AC611" s="94"/>
      <c r="AD611" s="94"/>
      <c r="AE611" s="94"/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94"/>
      <c r="C612" s="94"/>
      <c r="D612" s="94"/>
      <c r="E612" s="94"/>
      <c r="F612" s="94"/>
      <c r="G612" s="94"/>
      <c r="H612" s="62"/>
      <c r="I612" s="94"/>
      <c r="J612" s="74"/>
      <c r="K612" s="62"/>
      <c r="L612" s="62"/>
      <c r="M612" s="62"/>
      <c r="N612" s="94"/>
      <c r="O612" s="94"/>
      <c r="P612" s="94"/>
      <c r="Q612" s="94"/>
      <c r="R612" s="94"/>
      <c r="S612" s="94"/>
      <c r="T612" s="62"/>
      <c r="U612" s="94"/>
      <c r="V612" s="74"/>
      <c r="W612" s="62"/>
      <c r="X612" s="62"/>
      <c r="Y612" s="62"/>
      <c r="Z612" s="94"/>
      <c r="AA612" s="94"/>
      <c r="AB612" s="94"/>
      <c r="AC612" s="94"/>
      <c r="AD612" s="94"/>
      <c r="AE612" s="94"/>
      <c r="AF612" s="62"/>
      <c r="AG612" s="94"/>
      <c r="AH612" s="94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94"/>
      <c r="C613" s="94"/>
      <c r="D613" s="94"/>
      <c r="E613" s="94"/>
      <c r="F613" s="94"/>
      <c r="G613" s="94"/>
      <c r="H613" s="62"/>
      <c r="I613" s="65"/>
      <c r="J613" s="65"/>
      <c r="K613" s="62"/>
      <c r="L613" s="62"/>
      <c r="M613" s="64"/>
      <c r="N613" s="94"/>
      <c r="O613" s="94"/>
      <c r="P613" s="94"/>
      <c r="Q613" s="94"/>
      <c r="R613" s="94"/>
      <c r="S613" s="94"/>
      <c r="T613" s="62"/>
      <c r="U613" s="65"/>
      <c r="V613" s="65"/>
      <c r="W613" s="62"/>
      <c r="X613" s="62"/>
      <c r="Y613" s="64"/>
      <c r="Z613" s="94"/>
      <c r="AA613" s="94"/>
      <c r="AB613" s="94"/>
      <c r="AC613" s="94"/>
      <c r="AD613" s="94"/>
      <c r="AE613" s="94"/>
      <c r="AF613" s="62"/>
      <c r="AG613" s="65"/>
      <c r="AH613" s="65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A614" s="62"/>
      <c r="B614" s="94"/>
      <c r="C614" s="94"/>
      <c r="D614" s="94"/>
      <c r="E614" s="94"/>
      <c r="F614" s="94"/>
      <c r="G614" s="94"/>
      <c r="H614" s="62"/>
      <c r="I614" s="62"/>
      <c r="J614" s="62"/>
      <c r="K614" s="62"/>
      <c r="L614" s="62"/>
      <c r="M614" s="62"/>
      <c r="N614" s="94"/>
      <c r="O614" s="94"/>
      <c r="P614" s="94"/>
      <c r="Q614" s="94"/>
      <c r="R614" s="94"/>
      <c r="S614" s="94"/>
      <c r="T614" s="62"/>
      <c r="U614" s="62"/>
      <c r="V614" s="62"/>
      <c r="W614" s="62"/>
      <c r="X614" s="62"/>
      <c r="Y614" s="62"/>
      <c r="Z614" s="94"/>
      <c r="AA614" s="94"/>
      <c r="AB614" s="94"/>
      <c r="AC614" s="94"/>
      <c r="AD614" s="94"/>
      <c r="AE614" s="94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A615" s="62"/>
      <c r="B615" s="65"/>
      <c r="C615" s="94"/>
      <c r="D615" s="104"/>
      <c r="E615" s="104"/>
      <c r="F615" s="94"/>
      <c r="G615" s="94"/>
      <c r="H615" s="62"/>
      <c r="I615" s="104"/>
      <c r="J615" s="104"/>
      <c r="K615" s="103"/>
      <c r="L615" s="62"/>
      <c r="M615" s="62"/>
      <c r="N615" s="65"/>
      <c r="O615" s="94"/>
      <c r="P615" s="104"/>
      <c r="Q615" s="104"/>
      <c r="R615" s="94"/>
      <c r="S615" s="94"/>
      <c r="T615" s="62"/>
      <c r="U615" s="104"/>
      <c r="V615" s="104"/>
      <c r="W615" s="103"/>
      <c r="X615" s="62"/>
      <c r="Y615" s="62"/>
      <c r="Z615" s="65"/>
      <c r="AA615" s="94"/>
      <c r="AB615" s="104"/>
      <c r="AC615" s="104"/>
      <c r="AD615" s="94"/>
      <c r="AE615" s="94"/>
      <c r="AF615" s="62"/>
      <c r="AG615" s="104"/>
      <c r="AH615" s="104"/>
      <c r="AI615" s="103"/>
      <c r="AJ615" s="62"/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x14ac:dyDescent="0.25">
      <c r="A616" s="62"/>
      <c r="B616" s="94"/>
      <c r="C616" s="94"/>
      <c r="D616" s="81"/>
      <c r="E616" s="82"/>
      <c r="F616" s="83"/>
      <c r="G616" s="83"/>
      <c r="H616" s="62"/>
      <c r="I616" s="93"/>
      <c r="J616" s="93"/>
      <c r="K616" s="103"/>
      <c r="L616" s="62"/>
      <c r="M616" s="62"/>
      <c r="N616" s="94"/>
      <c r="O616" s="94"/>
      <c r="P616" s="81"/>
      <c r="Q616" s="83"/>
      <c r="R616" s="83"/>
      <c r="S616" s="83"/>
      <c r="T616" s="62"/>
      <c r="U616" s="93"/>
      <c r="V616" s="93"/>
      <c r="W616" s="103"/>
      <c r="X616" s="62"/>
      <c r="Y616" s="62"/>
      <c r="Z616" s="94"/>
      <c r="AA616" s="94"/>
      <c r="AB616" s="81"/>
      <c r="AC616" s="83"/>
      <c r="AD616" s="83"/>
      <c r="AE616" s="83"/>
      <c r="AF616" s="62"/>
      <c r="AG616" s="93"/>
      <c r="AH616" s="93"/>
      <c r="AI616" s="103"/>
      <c r="AJ616" s="6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92"/>
      <c r="D617" s="60"/>
      <c r="E617" s="60"/>
      <c r="F617" s="60"/>
      <c r="G617" s="60"/>
      <c r="H617" s="61"/>
      <c r="I617" s="61"/>
      <c r="J617" s="61"/>
      <c r="K617" s="61"/>
      <c r="L617" s="62"/>
      <c r="M617" s="62"/>
      <c r="N617" s="66"/>
      <c r="O617" s="94"/>
      <c r="P617" s="60"/>
      <c r="Q617" s="60"/>
      <c r="R617" s="60"/>
      <c r="S617" s="60"/>
      <c r="T617" s="61"/>
      <c r="U617" s="61"/>
      <c r="V617" s="61"/>
      <c r="W617" s="61"/>
      <c r="X617" s="62"/>
      <c r="Y617" s="62"/>
      <c r="Z617" s="66"/>
      <c r="AA617" s="94"/>
      <c r="AB617" s="60"/>
      <c r="AC617" s="60"/>
      <c r="AD617" s="60"/>
      <c r="AE617" s="60"/>
      <c r="AF617" s="61"/>
      <c r="AG617" s="61"/>
      <c r="AH617" s="61"/>
      <c r="AI617" s="61"/>
      <c r="AJ617" s="62"/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92"/>
      <c r="D618" s="60"/>
      <c r="E618" s="60"/>
      <c r="F618" s="60"/>
      <c r="G618" s="60"/>
      <c r="H618" s="61"/>
      <c r="I618" s="61"/>
      <c r="J618" s="61"/>
      <c r="K618" s="61"/>
      <c r="L618" s="62"/>
      <c r="M618" s="62"/>
      <c r="N618" s="66"/>
      <c r="O618" s="94"/>
      <c r="P618" s="60"/>
      <c r="Q618" s="60"/>
      <c r="R618" s="60"/>
      <c r="S618" s="60"/>
      <c r="T618" s="61"/>
      <c r="U618" s="61"/>
      <c r="V618" s="61"/>
      <c r="W618" s="61"/>
      <c r="X618" s="62"/>
      <c r="Y618" s="62"/>
      <c r="Z618" s="66"/>
      <c r="AA618" s="94"/>
      <c r="AB618" s="60"/>
      <c r="AC618" s="60"/>
      <c r="AD618" s="60"/>
      <c r="AE618" s="60"/>
      <c r="AF618" s="61"/>
      <c r="AG618" s="61"/>
      <c r="AH618" s="61"/>
      <c r="AI618" s="61"/>
      <c r="AJ618" s="62"/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92"/>
      <c r="D619" s="60"/>
      <c r="E619" s="60"/>
      <c r="F619" s="60"/>
      <c r="G619" s="60"/>
      <c r="H619" s="61"/>
      <c r="I619" s="61"/>
      <c r="J619" s="61"/>
      <c r="K619" s="61"/>
      <c r="L619" s="62"/>
      <c r="M619" s="62"/>
      <c r="N619" s="66"/>
      <c r="O619" s="94"/>
      <c r="P619" s="60"/>
      <c r="Q619" s="60"/>
      <c r="R619" s="60"/>
      <c r="S619" s="60"/>
      <c r="T619" s="61"/>
      <c r="U619" s="61"/>
      <c r="V619" s="61"/>
      <c r="W619" s="61"/>
      <c r="X619" s="62"/>
      <c r="Y619" s="62"/>
      <c r="Z619" s="66"/>
      <c r="AA619" s="94"/>
      <c r="AB619" s="60"/>
      <c r="AC619" s="60"/>
      <c r="AD619" s="60"/>
      <c r="AE619" s="60"/>
      <c r="AF619" s="61"/>
      <c r="AG619" s="61"/>
      <c r="AH619" s="61"/>
      <c r="AI619" s="61"/>
      <c r="AJ619" s="62"/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92"/>
      <c r="D620" s="60"/>
      <c r="E620" s="60"/>
      <c r="F620" s="60"/>
      <c r="G620" s="60"/>
      <c r="H620" s="61"/>
      <c r="I620" s="61"/>
      <c r="J620" s="61"/>
      <c r="K620" s="61"/>
      <c r="L620" s="62"/>
      <c r="M620" s="62"/>
      <c r="N620" s="66"/>
      <c r="O620" s="94"/>
      <c r="P620" s="60"/>
      <c r="Q620" s="60"/>
      <c r="R620" s="60"/>
      <c r="S620" s="60"/>
      <c r="T620" s="61"/>
      <c r="U620" s="61"/>
      <c r="V620" s="61"/>
      <c r="W620" s="61"/>
      <c r="X620" s="62"/>
      <c r="Y620" s="62"/>
      <c r="Z620" s="66"/>
      <c r="AA620" s="94"/>
      <c r="AB620" s="60"/>
      <c r="AC620" s="60"/>
      <c r="AD620" s="60"/>
      <c r="AE620" s="60"/>
      <c r="AF620" s="61"/>
      <c r="AG620" s="62"/>
      <c r="AH620" s="61"/>
      <c r="AI620" s="61"/>
      <c r="AJ620" s="62"/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92"/>
      <c r="D621" s="60"/>
      <c r="E621" s="60"/>
      <c r="F621" s="60"/>
      <c r="G621" s="60"/>
      <c r="H621" s="61"/>
      <c r="I621" s="61"/>
      <c r="J621" s="61"/>
      <c r="K621" s="61"/>
      <c r="L621" s="62"/>
      <c r="M621" s="62"/>
      <c r="N621" s="66"/>
      <c r="O621" s="65"/>
      <c r="P621" s="60"/>
      <c r="Q621" s="60"/>
      <c r="R621" s="60"/>
      <c r="S621" s="60"/>
      <c r="T621" s="61"/>
      <c r="U621" s="61"/>
      <c r="V621" s="61"/>
      <c r="W621" s="61"/>
      <c r="X621" s="62"/>
      <c r="Y621" s="62"/>
      <c r="Z621" s="66"/>
      <c r="AA621" s="94"/>
      <c r="AB621" s="60"/>
      <c r="AC621" s="60"/>
      <c r="AD621" s="60"/>
      <c r="AE621" s="60"/>
      <c r="AF621" s="61"/>
      <c r="AG621" s="61"/>
      <c r="AH621" s="61"/>
      <c r="AI621" s="61"/>
      <c r="AJ621" s="62"/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92"/>
      <c r="D622" s="60"/>
      <c r="E622" s="60"/>
      <c r="F622" s="60"/>
      <c r="G622" s="60"/>
      <c r="H622" s="61"/>
      <c r="I622" s="61"/>
      <c r="J622" s="61"/>
      <c r="K622" s="61"/>
      <c r="L622" s="62"/>
      <c r="M622" s="62"/>
      <c r="N622" s="66"/>
      <c r="O622" s="94"/>
      <c r="P622" s="60"/>
      <c r="Q622" s="60"/>
      <c r="R622" s="60"/>
      <c r="S622" s="60"/>
      <c r="T622" s="61"/>
      <c r="U622" s="61"/>
      <c r="V622" s="62"/>
      <c r="W622" s="61"/>
      <c r="X622" s="62"/>
      <c r="Y622" s="62"/>
      <c r="Z622" s="66"/>
      <c r="AA622" s="94"/>
      <c r="AB622" s="60"/>
      <c r="AC622" s="60"/>
      <c r="AD622" s="60"/>
      <c r="AE622" s="60"/>
      <c r="AF622" s="61"/>
      <c r="AG622" s="61"/>
      <c r="AH622" s="62"/>
      <c r="AI622" s="61"/>
      <c r="AJ622" s="62"/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92"/>
      <c r="D623" s="60"/>
      <c r="E623" s="60"/>
      <c r="F623" s="60"/>
      <c r="G623" s="60"/>
      <c r="H623" s="61"/>
      <c r="I623" s="61"/>
      <c r="J623" s="61"/>
      <c r="K623" s="61"/>
      <c r="L623" s="62"/>
      <c r="M623" s="62"/>
      <c r="N623" s="66"/>
      <c r="O623" s="94"/>
      <c r="P623" s="60"/>
      <c r="Q623" s="60"/>
      <c r="R623" s="60"/>
      <c r="S623" s="60"/>
      <c r="T623" s="61"/>
      <c r="U623" s="61"/>
      <c r="V623" s="61"/>
      <c r="W623" s="61"/>
      <c r="X623" s="62"/>
      <c r="Y623" s="62"/>
      <c r="Z623" s="66"/>
      <c r="AA623" s="65"/>
      <c r="AB623" s="60"/>
      <c r="AC623" s="60"/>
      <c r="AD623" s="60"/>
      <c r="AE623" s="60"/>
      <c r="AF623" s="61"/>
      <c r="AG623" s="61"/>
      <c r="AH623" s="61"/>
      <c r="AI623" s="61"/>
      <c r="AJ623" s="62"/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92"/>
      <c r="D624" s="60"/>
      <c r="E624" s="60"/>
      <c r="F624" s="60"/>
      <c r="G624" s="60"/>
      <c r="H624" s="61"/>
      <c r="I624" s="61"/>
      <c r="J624" s="61"/>
      <c r="K624" s="61"/>
      <c r="L624" s="62"/>
      <c r="M624" s="62"/>
      <c r="N624" s="66"/>
      <c r="O624" s="94"/>
      <c r="P624" s="60"/>
      <c r="Q624" s="60"/>
      <c r="R624" s="60"/>
      <c r="S624" s="60"/>
      <c r="T624" s="61"/>
      <c r="U624" s="61"/>
      <c r="V624" s="61"/>
      <c r="W624" s="61"/>
      <c r="X624" s="62"/>
      <c r="Y624" s="62"/>
      <c r="Z624" s="66"/>
      <c r="AA624" s="94"/>
      <c r="AB624" s="60"/>
      <c r="AC624" s="60"/>
      <c r="AD624" s="62"/>
      <c r="AE624" s="60"/>
      <c r="AF624" s="61"/>
      <c r="AG624" s="61"/>
      <c r="AH624" s="61"/>
      <c r="AI624" s="61"/>
      <c r="AJ624" s="62"/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92"/>
      <c r="D625" s="60"/>
      <c r="E625" s="60"/>
      <c r="F625" s="60"/>
      <c r="G625" s="60"/>
      <c r="H625" s="61"/>
      <c r="I625" s="61"/>
      <c r="J625" s="61"/>
      <c r="K625" s="61"/>
      <c r="L625" s="62"/>
      <c r="M625" s="62"/>
      <c r="N625" s="66"/>
      <c r="O625" s="94"/>
      <c r="P625" s="60"/>
      <c r="Q625" s="60"/>
      <c r="R625" s="60"/>
      <c r="S625" s="60"/>
      <c r="T625" s="61"/>
      <c r="U625" s="61"/>
      <c r="V625" s="61"/>
      <c r="W625" s="61"/>
      <c r="X625" s="62"/>
      <c r="Y625" s="62"/>
      <c r="Z625" s="66"/>
      <c r="AA625" s="94"/>
      <c r="AB625" s="62"/>
      <c r="AC625" s="60"/>
      <c r="AD625" s="60"/>
      <c r="AE625" s="60"/>
      <c r="AF625" s="61"/>
      <c r="AG625" s="62"/>
      <c r="AH625" s="61"/>
      <c r="AI625" s="61"/>
      <c r="AJ625" s="62"/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92"/>
      <c r="D626" s="60"/>
      <c r="E626" s="60"/>
      <c r="F626" s="60"/>
      <c r="G626" s="60"/>
      <c r="H626" s="61"/>
      <c r="I626" s="61"/>
      <c r="J626" s="61"/>
      <c r="K626" s="61"/>
      <c r="L626" s="62"/>
      <c r="M626" s="62"/>
      <c r="N626" s="66"/>
      <c r="O626" s="94"/>
      <c r="P626" s="60"/>
      <c r="Q626" s="60"/>
      <c r="R626" s="60"/>
      <c r="S626" s="60"/>
      <c r="T626" s="61"/>
      <c r="U626" s="61"/>
      <c r="V626" s="61"/>
      <c r="W626" s="61"/>
      <c r="X626" s="62"/>
      <c r="Y626" s="62"/>
      <c r="Z626" s="66"/>
      <c r="AA626" s="94"/>
      <c r="AB626" s="60"/>
      <c r="AC626" s="60"/>
      <c r="AD626" s="60"/>
      <c r="AE626" s="60"/>
      <c r="AF626" s="61"/>
      <c r="AG626" s="61"/>
      <c r="AH626" s="61"/>
      <c r="AI626" s="61"/>
      <c r="AJ626" s="62"/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92"/>
      <c r="D627" s="60"/>
      <c r="E627" s="60"/>
      <c r="F627" s="60"/>
      <c r="G627" s="60"/>
      <c r="H627" s="61"/>
      <c r="I627" s="61"/>
      <c r="J627" s="61"/>
      <c r="K627" s="61"/>
      <c r="L627" s="62"/>
      <c r="M627" s="62"/>
      <c r="N627" s="66"/>
      <c r="O627" s="94"/>
      <c r="P627" s="60"/>
      <c r="Q627" s="60"/>
      <c r="R627" s="60"/>
      <c r="S627" s="60"/>
      <c r="T627" s="61"/>
      <c r="U627" s="61"/>
      <c r="V627" s="61"/>
      <c r="W627" s="61"/>
      <c r="X627" s="62"/>
      <c r="Y627" s="62"/>
      <c r="Z627" s="66"/>
      <c r="AA627" s="62"/>
      <c r="AB627" s="60"/>
      <c r="AC627" s="60"/>
      <c r="AD627" s="60"/>
      <c r="AE627" s="60"/>
      <c r="AF627" s="61"/>
      <c r="AG627" s="61"/>
      <c r="AH627" s="61"/>
      <c r="AI627" s="61"/>
      <c r="AJ627" s="62"/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92"/>
      <c r="D628" s="60"/>
      <c r="E628" s="60"/>
      <c r="F628" s="60"/>
      <c r="G628" s="60"/>
      <c r="H628" s="61"/>
      <c r="I628" s="61"/>
      <c r="J628" s="62"/>
      <c r="K628" s="61"/>
      <c r="L628" s="62"/>
      <c r="M628" s="62"/>
      <c r="N628" s="66"/>
      <c r="O628" s="94"/>
      <c r="P628" s="60"/>
      <c r="Q628" s="60"/>
      <c r="R628" s="60"/>
      <c r="S628" s="60"/>
      <c r="T628" s="61"/>
      <c r="U628" s="61"/>
      <c r="V628" s="61"/>
      <c r="W628" s="61"/>
      <c r="X628" s="62"/>
      <c r="Y628" s="62"/>
      <c r="Z628" s="66"/>
      <c r="AA628" s="62"/>
      <c r="AB628" s="60"/>
      <c r="AC628" s="60"/>
      <c r="AD628" s="60"/>
      <c r="AE628" s="60"/>
      <c r="AF628" s="61"/>
      <c r="AG628" s="61"/>
      <c r="AH628" s="61"/>
      <c r="AI628" s="61"/>
      <c r="AJ628" s="62"/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92"/>
      <c r="D629" s="60"/>
      <c r="E629" s="60"/>
      <c r="F629" s="60"/>
      <c r="G629" s="60"/>
      <c r="H629" s="61"/>
      <c r="I629" s="61"/>
      <c r="J629" s="61"/>
      <c r="K629" s="61"/>
      <c r="L629" s="62"/>
      <c r="M629" s="62"/>
      <c r="N629" s="66"/>
      <c r="O629" s="94"/>
      <c r="P629" s="60"/>
      <c r="Q629" s="60"/>
      <c r="R629" s="60"/>
      <c r="S629" s="60"/>
      <c r="T629" s="61"/>
      <c r="U629" s="61"/>
      <c r="V629" s="61"/>
      <c r="W629" s="61"/>
      <c r="X629" s="62"/>
      <c r="Y629" s="62"/>
      <c r="Z629" s="66"/>
      <c r="AA629" s="94"/>
      <c r="AB629" s="60"/>
      <c r="AC629" s="60"/>
      <c r="AD629" s="60"/>
      <c r="AE629" s="60"/>
      <c r="AF629" s="61"/>
      <c r="AG629" s="61"/>
      <c r="AH629" s="61"/>
      <c r="AI629" s="61"/>
      <c r="AJ629" s="62"/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92"/>
      <c r="D630" s="60"/>
      <c r="E630" s="60"/>
      <c r="F630" s="60"/>
      <c r="G630" s="60"/>
      <c r="H630" s="61"/>
      <c r="I630" s="61"/>
      <c r="J630" s="61"/>
      <c r="K630" s="61"/>
      <c r="L630" s="62"/>
      <c r="M630" s="62"/>
      <c r="N630" s="66"/>
      <c r="O630" s="94"/>
      <c r="P630" s="60"/>
      <c r="Q630" s="60"/>
      <c r="R630" s="60"/>
      <c r="S630" s="60"/>
      <c r="T630" s="61"/>
      <c r="U630" s="61"/>
      <c r="V630" s="61"/>
      <c r="W630" s="61"/>
      <c r="X630" s="62"/>
      <c r="Y630" s="62"/>
      <c r="Z630" s="66"/>
      <c r="AA630" s="94"/>
      <c r="AB630" s="60"/>
      <c r="AC630" s="60"/>
      <c r="AD630" s="60"/>
      <c r="AE630" s="60"/>
      <c r="AF630" s="61"/>
      <c r="AG630" s="61"/>
      <c r="AH630" s="61"/>
      <c r="AI630" s="61"/>
      <c r="AJ630" s="62"/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92"/>
      <c r="D631" s="60"/>
      <c r="E631" s="60"/>
      <c r="F631" s="60"/>
      <c r="G631" s="60"/>
      <c r="H631" s="61"/>
      <c r="I631" s="61"/>
      <c r="J631" s="61"/>
      <c r="K631" s="61"/>
      <c r="L631" s="62"/>
      <c r="M631" s="62"/>
      <c r="N631" s="66"/>
      <c r="O631" s="94"/>
      <c r="P631" s="60"/>
      <c r="Q631" s="60"/>
      <c r="R631" s="60"/>
      <c r="S631" s="60"/>
      <c r="T631" s="61"/>
      <c r="U631" s="61"/>
      <c r="V631" s="61"/>
      <c r="W631" s="61"/>
      <c r="X631" s="62"/>
      <c r="Y631" s="62"/>
      <c r="Z631" s="66"/>
      <c r="AA631" s="94"/>
      <c r="AB631" s="60"/>
      <c r="AC631" s="60"/>
      <c r="AD631" s="60"/>
      <c r="AE631" s="60"/>
      <c r="AF631" s="61"/>
      <c r="AG631" s="61"/>
      <c r="AH631" s="61"/>
      <c r="AI631" s="61"/>
      <c r="AJ631" s="62"/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92"/>
      <c r="D632" s="60"/>
      <c r="E632" s="60"/>
      <c r="F632" s="60"/>
      <c r="G632" s="60"/>
      <c r="H632" s="61"/>
      <c r="I632" s="61"/>
      <c r="J632" s="61"/>
      <c r="K632" s="61"/>
      <c r="L632" s="62"/>
      <c r="M632" s="62"/>
      <c r="N632" s="66"/>
      <c r="O632" s="94"/>
      <c r="P632" s="60"/>
      <c r="Q632" s="60"/>
      <c r="R632" s="60"/>
      <c r="S632" s="60"/>
      <c r="T632" s="61"/>
      <c r="U632" s="61"/>
      <c r="V632" s="61"/>
      <c r="W632" s="61"/>
      <c r="X632" s="62"/>
      <c r="Y632" s="62"/>
      <c r="Z632" s="66"/>
      <c r="AA632" s="94"/>
      <c r="AB632" s="60"/>
      <c r="AC632" s="60"/>
      <c r="AD632" s="60"/>
      <c r="AE632" s="60"/>
      <c r="AF632" s="61"/>
      <c r="AG632" s="61"/>
      <c r="AH632" s="61"/>
      <c r="AI632" s="61"/>
      <c r="AJ632" s="62"/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92"/>
      <c r="D633" s="60"/>
      <c r="E633" s="60"/>
      <c r="F633" s="60"/>
      <c r="G633" s="60"/>
      <c r="H633" s="61"/>
      <c r="I633" s="61"/>
      <c r="J633" s="61"/>
      <c r="K633" s="61"/>
      <c r="L633" s="62"/>
      <c r="M633" s="62"/>
      <c r="N633" s="66"/>
      <c r="O633" s="94"/>
      <c r="P633" s="60"/>
      <c r="Q633" s="60"/>
      <c r="R633" s="60"/>
      <c r="S633" s="60"/>
      <c r="T633" s="61"/>
      <c r="U633" s="61"/>
      <c r="V633" s="61"/>
      <c r="W633" s="61"/>
      <c r="X633" s="62"/>
      <c r="Y633" s="62"/>
      <c r="Z633" s="66"/>
      <c r="AA633" s="94"/>
      <c r="AB633" s="60"/>
      <c r="AC633" s="60"/>
      <c r="AD633" s="60"/>
      <c r="AE633" s="60"/>
      <c r="AF633" s="61"/>
      <c r="AG633" s="61"/>
      <c r="AH633" s="61"/>
      <c r="AI633" s="61"/>
      <c r="AJ633" s="62"/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92"/>
      <c r="D634" s="60"/>
      <c r="E634" s="60"/>
      <c r="F634" s="60"/>
      <c r="G634" s="60"/>
      <c r="H634" s="61"/>
      <c r="I634" s="61"/>
      <c r="J634" s="61"/>
      <c r="K634" s="61"/>
      <c r="L634" s="62"/>
      <c r="M634" s="62"/>
      <c r="N634" s="66"/>
      <c r="O634" s="94"/>
      <c r="P634" s="60"/>
      <c r="Q634" s="60"/>
      <c r="R634" s="60"/>
      <c r="S634" s="60"/>
      <c r="T634" s="61"/>
      <c r="U634" s="61"/>
      <c r="V634" s="61"/>
      <c r="W634" s="61"/>
      <c r="X634" s="62"/>
      <c r="Y634" s="62"/>
      <c r="Z634" s="66"/>
      <c r="AA634" s="94"/>
      <c r="AB634" s="60"/>
      <c r="AC634" s="60"/>
      <c r="AD634" s="60"/>
      <c r="AE634" s="60"/>
      <c r="AF634" s="61"/>
      <c r="AG634" s="61"/>
      <c r="AH634" s="61"/>
      <c r="AI634" s="61"/>
      <c r="AJ634" s="62"/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65"/>
      <c r="D635" s="60"/>
      <c r="E635" s="60"/>
      <c r="F635" s="60"/>
      <c r="G635" s="60"/>
      <c r="H635" s="61"/>
      <c r="I635" s="61"/>
      <c r="J635" s="61"/>
      <c r="K635" s="61"/>
      <c r="L635" s="62"/>
      <c r="M635" s="62"/>
      <c r="N635" s="66"/>
      <c r="O635" s="62"/>
      <c r="P635" s="60"/>
      <c r="Q635" s="60"/>
      <c r="R635" s="60"/>
      <c r="S635" s="60"/>
      <c r="T635" s="61"/>
      <c r="U635" s="61"/>
      <c r="V635" s="61"/>
      <c r="W635" s="61"/>
      <c r="X635" s="62"/>
      <c r="Y635" s="62"/>
      <c r="Z635" s="66"/>
      <c r="AA635" s="94"/>
      <c r="AB635" s="60"/>
      <c r="AC635" s="60"/>
      <c r="AD635" s="60"/>
      <c r="AE635" s="60"/>
      <c r="AF635" s="61"/>
      <c r="AG635" s="61"/>
      <c r="AH635" s="61"/>
      <c r="AI635" s="61"/>
      <c r="AJ635" s="62"/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94"/>
      <c r="D636" s="60"/>
      <c r="E636" s="60"/>
      <c r="F636" s="60"/>
      <c r="G636" s="60"/>
      <c r="H636" s="61"/>
      <c r="I636" s="61"/>
      <c r="J636" s="61"/>
      <c r="K636" s="61"/>
      <c r="L636" s="62"/>
      <c r="M636" s="62"/>
      <c r="N636" s="66"/>
      <c r="O636" s="94"/>
      <c r="P636" s="60"/>
      <c r="Q636" s="60"/>
      <c r="R636" s="60"/>
      <c r="S636" s="60"/>
      <c r="T636" s="61"/>
      <c r="U636" s="61"/>
      <c r="V636" s="61"/>
      <c r="W636" s="61"/>
      <c r="X636" s="62"/>
      <c r="Y636" s="62"/>
      <c r="Z636" s="66"/>
      <c r="AA636" s="62"/>
      <c r="AB636" s="60"/>
      <c r="AC636" s="60"/>
      <c r="AD636" s="60"/>
      <c r="AE636" s="60"/>
      <c r="AF636" s="61"/>
      <c r="AG636" s="61"/>
      <c r="AH636" s="61"/>
      <c r="AI636" s="61"/>
      <c r="AJ636" s="62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92"/>
      <c r="D637" s="60"/>
      <c r="E637" s="60"/>
      <c r="F637" s="60"/>
      <c r="G637" s="60"/>
      <c r="H637" s="62"/>
      <c r="I637" s="62"/>
      <c r="J637" s="62"/>
      <c r="K637" s="61"/>
      <c r="L637" s="62"/>
      <c r="M637" s="62"/>
      <c r="N637" s="66"/>
      <c r="O637" s="94"/>
      <c r="P637" s="67"/>
      <c r="Q637" s="94"/>
      <c r="R637" s="94"/>
      <c r="S637" s="60"/>
      <c r="T637" s="62"/>
      <c r="U637" s="62"/>
      <c r="V637" s="62"/>
      <c r="W637" s="61"/>
      <c r="X637" s="62"/>
      <c r="Y637" s="62"/>
      <c r="Z637" s="66"/>
      <c r="AA637" s="62"/>
      <c r="AB637" s="67"/>
      <c r="AC637" s="94"/>
      <c r="AD637" s="94"/>
      <c r="AE637" s="60"/>
      <c r="AF637" s="62"/>
      <c r="AG637" s="62"/>
      <c r="AH637" s="62"/>
      <c r="AI637" s="61"/>
      <c r="AJ637" s="62"/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92"/>
      <c r="D638" s="60"/>
      <c r="E638" s="60"/>
      <c r="F638" s="60"/>
      <c r="G638" s="60"/>
      <c r="H638" s="62"/>
      <c r="I638" s="62"/>
      <c r="J638" s="62"/>
      <c r="K638" s="61"/>
      <c r="L638" s="62"/>
      <c r="M638" s="62"/>
      <c r="N638" s="66"/>
      <c r="O638" s="94"/>
      <c r="P638" s="68"/>
      <c r="Q638" s="94"/>
      <c r="R638" s="94"/>
      <c r="S638" s="60"/>
      <c r="T638" s="62"/>
      <c r="U638" s="62"/>
      <c r="V638" s="62"/>
      <c r="W638" s="61"/>
      <c r="X638" s="62"/>
      <c r="Y638" s="62"/>
      <c r="Z638" s="66"/>
      <c r="AA638" s="62"/>
      <c r="AB638" s="68"/>
      <c r="AC638" s="94"/>
      <c r="AD638" s="94"/>
      <c r="AE638" s="60"/>
      <c r="AF638" s="62"/>
      <c r="AG638" s="62"/>
      <c r="AH638" s="62"/>
      <c r="AI638" s="61"/>
      <c r="AJ638" s="62"/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94"/>
      <c r="D639" s="60"/>
      <c r="E639" s="60"/>
      <c r="F639" s="60"/>
      <c r="G639" s="60"/>
      <c r="H639" s="62"/>
      <c r="I639" s="62"/>
      <c r="J639" s="61"/>
      <c r="K639" s="61"/>
      <c r="L639" s="62"/>
      <c r="M639" s="62"/>
      <c r="N639" s="66"/>
      <c r="O639" s="94"/>
      <c r="P639" s="69"/>
      <c r="Q639" s="62"/>
      <c r="R639" s="62"/>
      <c r="S639" s="60"/>
      <c r="T639" s="62"/>
      <c r="U639" s="62"/>
      <c r="V639" s="62"/>
      <c r="W639" s="61"/>
      <c r="X639" s="62"/>
      <c r="Y639" s="62"/>
      <c r="Z639" s="66"/>
      <c r="AA639" s="94"/>
      <c r="AB639" s="69"/>
      <c r="AC639" s="62"/>
      <c r="AD639" s="62"/>
      <c r="AE639" s="60"/>
      <c r="AF639" s="62"/>
      <c r="AG639" s="62"/>
      <c r="AH639" s="62"/>
      <c r="AI639" s="61"/>
      <c r="AJ639" s="62"/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94"/>
      <c r="D640" s="60"/>
      <c r="E640" s="60"/>
      <c r="F640" s="60"/>
      <c r="G640" s="60"/>
      <c r="H640" s="62"/>
      <c r="I640" s="62"/>
      <c r="J640" s="62"/>
      <c r="K640" s="61"/>
      <c r="L640" s="62"/>
      <c r="M640" s="62"/>
      <c r="N640" s="66"/>
      <c r="O640" s="94"/>
      <c r="P640" s="69"/>
      <c r="Q640" s="94"/>
      <c r="R640" s="94"/>
      <c r="S640" s="60"/>
      <c r="T640" s="62"/>
      <c r="U640" s="62"/>
      <c r="V640" s="62"/>
      <c r="W640" s="61"/>
      <c r="X640" s="62"/>
      <c r="Y640" s="62"/>
      <c r="Z640" s="66"/>
      <c r="AA640" s="94"/>
      <c r="AB640" s="69"/>
      <c r="AC640" s="94"/>
      <c r="AD640" s="94"/>
      <c r="AE640" s="60"/>
      <c r="AF640" s="62"/>
      <c r="AG640" s="62"/>
      <c r="AH640" s="62"/>
      <c r="AI640" s="61"/>
      <c r="AJ640" s="62"/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94"/>
      <c r="D641" s="60"/>
      <c r="E641" s="60"/>
      <c r="F641" s="60"/>
      <c r="G641" s="60"/>
      <c r="H641" s="62"/>
      <c r="I641" s="62"/>
      <c r="J641" s="62"/>
      <c r="K641" s="61"/>
      <c r="L641" s="62"/>
      <c r="M641" s="62"/>
      <c r="N641" s="66"/>
      <c r="O641" s="62"/>
      <c r="P641" s="69"/>
      <c r="Q641" s="94"/>
      <c r="R641" s="94"/>
      <c r="S641" s="60"/>
      <c r="T641" s="62"/>
      <c r="U641" s="62"/>
      <c r="V641" s="62"/>
      <c r="W641" s="61"/>
      <c r="X641" s="62"/>
      <c r="Y641" s="62"/>
      <c r="Z641" s="66"/>
      <c r="AA641" s="65"/>
      <c r="AB641" s="69"/>
      <c r="AC641" s="94"/>
      <c r="AD641" s="94"/>
      <c r="AE641" s="60"/>
      <c r="AF641" s="62"/>
      <c r="AG641" s="62"/>
      <c r="AH641" s="62"/>
      <c r="AI641" s="61"/>
      <c r="AJ641" s="62"/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65"/>
      <c r="D642" s="60"/>
      <c r="E642" s="60"/>
      <c r="F642" s="60"/>
      <c r="G642" s="60"/>
      <c r="H642" s="62"/>
      <c r="I642" s="62"/>
      <c r="J642" s="62"/>
      <c r="K642" s="61"/>
      <c r="L642" s="62"/>
      <c r="M642" s="62"/>
      <c r="N642" s="66"/>
      <c r="O642" s="62"/>
      <c r="P642" s="69"/>
      <c r="Q642" s="94"/>
      <c r="R642" s="94"/>
      <c r="S642" s="60"/>
      <c r="T642" s="62"/>
      <c r="U642" s="62"/>
      <c r="V642" s="62"/>
      <c r="W642" s="61"/>
      <c r="X642" s="62"/>
      <c r="Y642" s="62"/>
      <c r="Z642" s="66"/>
      <c r="AA642" s="62"/>
      <c r="AB642" s="69"/>
      <c r="AC642" s="94"/>
      <c r="AD642" s="94"/>
      <c r="AE642" s="60"/>
      <c r="AF642" s="62"/>
      <c r="AG642" s="62"/>
      <c r="AH642" s="62"/>
      <c r="AI642" s="61"/>
      <c r="AJ642" s="62"/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94"/>
      <c r="D643" s="60"/>
      <c r="E643" s="60"/>
      <c r="F643" s="60"/>
      <c r="G643" s="60"/>
      <c r="H643" s="62"/>
      <c r="I643" s="62"/>
      <c r="J643" s="62"/>
      <c r="K643" s="61"/>
      <c r="L643" s="62"/>
      <c r="M643" s="62"/>
      <c r="N643" s="66"/>
      <c r="O643" s="94"/>
      <c r="P643" s="69"/>
      <c r="Q643" s="94"/>
      <c r="R643" s="94"/>
      <c r="S643" s="60"/>
      <c r="T643" s="62"/>
      <c r="U643" s="62"/>
      <c r="V643" s="62"/>
      <c r="W643" s="61"/>
      <c r="X643" s="62"/>
      <c r="Y643" s="62"/>
      <c r="Z643" s="66"/>
      <c r="AA643" s="94"/>
      <c r="AB643" s="69"/>
      <c r="AC643" s="94"/>
      <c r="AD643" s="94"/>
      <c r="AE643" s="60"/>
      <c r="AF643" s="62"/>
      <c r="AG643" s="62"/>
      <c r="AH643" s="62"/>
      <c r="AI643" s="61"/>
      <c r="AJ643" s="62"/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94"/>
      <c r="D644" s="60"/>
      <c r="E644" s="60"/>
      <c r="F644" s="60"/>
      <c r="G644" s="60"/>
      <c r="H644" s="62"/>
      <c r="I644" s="62"/>
      <c r="J644" s="62"/>
      <c r="K644" s="61"/>
      <c r="L644" s="62"/>
      <c r="M644" s="62"/>
      <c r="N644" s="66"/>
      <c r="O644" s="94"/>
      <c r="P644" s="69"/>
      <c r="Q644" s="94"/>
      <c r="R644" s="94"/>
      <c r="S644" s="60"/>
      <c r="T644" s="62"/>
      <c r="U644" s="62"/>
      <c r="V644" s="62"/>
      <c r="W644" s="61"/>
      <c r="X644" s="62"/>
      <c r="Y644" s="62"/>
      <c r="Z644" s="66"/>
      <c r="AA644" s="94"/>
      <c r="AB644" s="69"/>
      <c r="AC644" s="94"/>
      <c r="AD644" s="94"/>
      <c r="AE644" s="60"/>
      <c r="AF644" s="62"/>
      <c r="AG644" s="62"/>
      <c r="AH644" s="62"/>
      <c r="AI644" s="61"/>
      <c r="AJ644" s="62"/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94"/>
      <c r="D645" s="60"/>
      <c r="E645" s="60"/>
      <c r="F645" s="60"/>
      <c r="G645" s="60"/>
      <c r="H645" s="62"/>
      <c r="I645" s="62"/>
      <c r="J645" s="62"/>
      <c r="K645" s="61"/>
      <c r="L645" s="62"/>
      <c r="M645" s="62"/>
      <c r="N645" s="66"/>
      <c r="O645" s="62"/>
      <c r="P645" s="69"/>
      <c r="Q645" s="94"/>
      <c r="R645" s="94"/>
      <c r="S645" s="60"/>
      <c r="T645" s="62"/>
      <c r="U645" s="62"/>
      <c r="V645" s="62"/>
      <c r="W645" s="61"/>
      <c r="X645" s="62"/>
      <c r="Y645" s="62"/>
      <c r="Z645" s="66"/>
      <c r="AA645" s="94"/>
      <c r="AB645" s="69"/>
      <c r="AC645" s="94"/>
      <c r="AD645" s="94"/>
      <c r="AE645" s="60"/>
      <c r="AF645" s="62"/>
      <c r="AG645" s="62"/>
      <c r="AH645" s="62"/>
      <c r="AI645" s="61"/>
      <c r="AJ645" s="62"/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94"/>
      <c r="D646" s="60"/>
      <c r="E646" s="60"/>
      <c r="F646" s="60"/>
      <c r="G646" s="60"/>
      <c r="H646" s="62"/>
      <c r="I646" s="62"/>
      <c r="J646" s="62"/>
      <c r="K646" s="61"/>
      <c r="L646" s="62"/>
      <c r="M646" s="62"/>
      <c r="N646" s="66"/>
      <c r="O646" s="62"/>
      <c r="P646" s="69"/>
      <c r="Q646" s="94"/>
      <c r="R646" s="94"/>
      <c r="S646" s="60"/>
      <c r="T646" s="62"/>
      <c r="U646" s="62"/>
      <c r="V646" s="62"/>
      <c r="W646" s="61"/>
      <c r="X646" s="62"/>
      <c r="Y646" s="62"/>
      <c r="Z646" s="66"/>
      <c r="AA646" s="62"/>
      <c r="AB646" s="69"/>
      <c r="AC646" s="94"/>
      <c r="AD646" s="94"/>
      <c r="AE646" s="60"/>
      <c r="AF646" s="62"/>
      <c r="AG646" s="62"/>
      <c r="AH646" s="62"/>
      <c r="AI646" s="61"/>
      <c r="AJ646" s="62"/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94"/>
      <c r="D647" s="60"/>
      <c r="E647" s="60"/>
      <c r="F647" s="60"/>
      <c r="G647" s="60"/>
      <c r="H647" s="62"/>
      <c r="I647" s="62"/>
      <c r="J647" s="62"/>
      <c r="K647" s="61"/>
      <c r="L647" s="62"/>
      <c r="M647" s="62"/>
      <c r="N647" s="66"/>
      <c r="O647" s="94"/>
      <c r="P647" s="69"/>
      <c r="Q647" s="94"/>
      <c r="R647" s="94"/>
      <c r="S647" s="60"/>
      <c r="T647" s="62"/>
      <c r="U647" s="62"/>
      <c r="V647" s="62"/>
      <c r="W647" s="61"/>
      <c r="X647" s="62"/>
      <c r="Y647" s="62"/>
      <c r="Z647" s="66"/>
      <c r="AA647" s="62"/>
      <c r="AB647" s="69"/>
      <c r="AC647" s="94"/>
      <c r="AD647" s="94"/>
      <c r="AE647" s="60"/>
      <c r="AF647" s="62"/>
      <c r="AG647" s="62"/>
      <c r="AH647" s="62"/>
      <c r="AI647" s="61"/>
      <c r="AJ647" s="62"/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94"/>
      <c r="D648" s="60"/>
      <c r="E648" s="60"/>
      <c r="F648" s="60"/>
      <c r="G648" s="60"/>
      <c r="H648" s="62"/>
      <c r="I648" s="62"/>
      <c r="J648" s="62"/>
      <c r="K648" s="61"/>
      <c r="L648" s="62"/>
      <c r="M648" s="62"/>
      <c r="N648" s="66"/>
      <c r="O648" s="62"/>
      <c r="P648" s="69"/>
      <c r="Q648" s="94"/>
      <c r="R648" s="94"/>
      <c r="S648" s="60"/>
      <c r="T648" s="62"/>
      <c r="U648" s="62"/>
      <c r="V648" s="62"/>
      <c r="W648" s="61"/>
      <c r="X648" s="62"/>
      <c r="Y648" s="62"/>
      <c r="Z648" s="66"/>
      <c r="AA648" s="94"/>
      <c r="AB648" s="69"/>
      <c r="AC648" s="94"/>
      <c r="AD648" s="94"/>
      <c r="AE648" s="60"/>
      <c r="AF648" s="62"/>
      <c r="AG648" s="62"/>
      <c r="AH648" s="62"/>
      <c r="AI648" s="61"/>
      <c r="AJ648" s="62"/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94"/>
      <c r="D649" s="60"/>
      <c r="E649" s="60"/>
      <c r="F649" s="60"/>
      <c r="G649" s="60"/>
      <c r="H649" s="62"/>
      <c r="I649" s="62"/>
      <c r="J649" s="62"/>
      <c r="K649" s="61"/>
      <c r="L649" s="62"/>
      <c r="M649" s="62"/>
      <c r="N649" s="66"/>
      <c r="O649" s="94"/>
      <c r="P649" s="69"/>
      <c r="Q649" s="94"/>
      <c r="R649" s="94"/>
      <c r="S649" s="60"/>
      <c r="T649" s="62"/>
      <c r="U649" s="62"/>
      <c r="V649" s="62"/>
      <c r="W649" s="61"/>
      <c r="X649" s="62"/>
      <c r="Y649" s="62"/>
      <c r="Z649" s="66"/>
      <c r="AA649" s="94"/>
      <c r="AB649" s="69"/>
      <c r="AC649" s="94"/>
      <c r="AD649" s="94"/>
      <c r="AE649" s="60"/>
      <c r="AF649" s="62"/>
      <c r="AG649" s="62"/>
      <c r="AH649" s="62"/>
      <c r="AI649" s="61"/>
      <c r="AJ649" s="62"/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94"/>
      <c r="D650" s="60"/>
      <c r="E650" s="60"/>
      <c r="F650" s="60"/>
      <c r="G650" s="60"/>
      <c r="H650" s="62"/>
      <c r="I650" s="62"/>
      <c r="J650" s="62"/>
      <c r="K650" s="61"/>
      <c r="L650" s="62"/>
      <c r="M650" s="62"/>
      <c r="N650" s="66"/>
      <c r="O650" s="94"/>
      <c r="P650" s="69"/>
      <c r="Q650" s="94"/>
      <c r="R650" s="94"/>
      <c r="S650" s="60"/>
      <c r="T650" s="62"/>
      <c r="U650" s="62"/>
      <c r="V650" s="62"/>
      <c r="W650" s="61"/>
      <c r="X650" s="62"/>
      <c r="Y650" s="62"/>
      <c r="Z650" s="66"/>
      <c r="AA650" s="62"/>
      <c r="AB650" s="69"/>
      <c r="AC650" s="94"/>
      <c r="AD650" s="94"/>
      <c r="AE650" s="60"/>
      <c r="AF650" s="62"/>
      <c r="AG650" s="62"/>
      <c r="AH650" s="62"/>
      <c r="AI650" s="61"/>
      <c r="AJ650" s="62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94"/>
      <c r="D651" s="60"/>
      <c r="E651" s="60"/>
      <c r="F651" s="60"/>
      <c r="G651" s="60"/>
      <c r="H651" s="62"/>
      <c r="I651" s="62"/>
      <c r="J651" s="62"/>
      <c r="K651" s="61"/>
      <c r="L651" s="62"/>
      <c r="M651" s="62"/>
      <c r="N651" s="66"/>
      <c r="O651" s="94"/>
      <c r="P651" s="69"/>
      <c r="Q651" s="94"/>
      <c r="R651" s="94"/>
      <c r="S651" s="60"/>
      <c r="T651" s="62"/>
      <c r="U651" s="62"/>
      <c r="V651" s="62"/>
      <c r="W651" s="61"/>
      <c r="X651" s="62"/>
      <c r="Y651" s="62"/>
      <c r="Z651" s="66"/>
      <c r="AA651" s="94"/>
      <c r="AB651" s="69"/>
      <c r="AC651" s="94"/>
      <c r="AD651" s="94"/>
      <c r="AE651" s="60"/>
      <c r="AF651" s="62"/>
      <c r="AG651" s="62"/>
      <c r="AH651" s="62"/>
      <c r="AI651" s="61"/>
      <c r="AJ651" s="62"/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94"/>
      <c r="D652" s="60"/>
      <c r="E652" s="60"/>
      <c r="F652" s="60"/>
      <c r="G652" s="60"/>
      <c r="H652" s="62"/>
      <c r="I652" s="62"/>
      <c r="J652" s="62"/>
      <c r="K652" s="61"/>
      <c r="L652" s="62"/>
      <c r="M652" s="62"/>
      <c r="N652" s="66"/>
      <c r="O652" s="94"/>
      <c r="P652" s="69"/>
      <c r="Q652" s="94"/>
      <c r="R652" s="94"/>
      <c r="S652" s="60"/>
      <c r="T652" s="62"/>
      <c r="U652" s="62"/>
      <c r="V652" s="62"/>
      <c r="W652" s="61"/>
      <c r="X652" s="62"/>
      <c r="Y652" s="62"/>
      <c r="Z652" s="66"/>
      <c r="AA652" s="94"/>
      <c r="AB652" s="69"/>
      <c r="AC652" s="94"/>
      <c r="AD652" s="94"/>
      <c r="AE652" s="60"/>
      <c r="AF652" s="62"/>
      <c r="AG652" s="62"/>
      <c r="AH652" s="62"/>
      <c r="AI652" s="61"/>
      <c r="AJ652" s="62"/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94"/>
      <c r="D653" s="60"/>
      <c r="E653" s="60"/>
      <c r="F653" s="60"/>
      <c r="G653" s="60"/>
      <c r="H653" s="62"/>
      <c r="I653" s="62"/>
      <c r="J653" s="62"/>
      <c r="K653" s="61"/>
      <c r="L653" s="62"/>
      <c r="M653" s="62"/>
      <c r="N653" s="66"/>
      <c r="O653" s="62"/>
      <c r="P653" s="69"/>
      <c r="Q653" s="94"/>
      <c r="R653" s="94"/>
      <c r="S653" s="60"/>
      <c r="T653" s="62"/>
      <c r="U653" s="62"/>
      <c r="V653" s="62"/>
      <c r="W653" s="61"/>
      <c r="X653" s="62"/>
      <c r="Y653" s="62"/>
      <c r="Z653" s="66"/>
      <c r="AA653" s="94"/>
      <c r="AB653" s="69"/>
      <c r="AC653" s="94"/>
      <c r="AD653" s="94"/>
      <c r="AE653" s="60"/>
      <c r="AF653" s="62"/>
      <c r="AG653" s="62"/>
      <c r="AH653" s="62"/>
      <c r="AI653" s="61"/>
      <c r="AJ653" s="62"/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94"/>
      <c r="D654" s="60"/>
      <c r="E654" s="60"/>
      <c r="F654" s="60"/>
      <c r="G654" s="60"/>
      <c r="H654" s="62"/>
      <c r="I654" s="62"/>
      <c r="J654" s="62"/>
      <c r="K654" s="61"/>
      <c r="L654" s="62"/>
      <c r="M654" s="62"/>
      <c r="N654" s="66"/>
      <c r="O654" s="94"/>
      <c r="P654" s="69"/>
      <c r="Q654" s="94"/>
      <c r="R654" s="94"/>
      <c r="S654" s="60"/>
      <c r="T654" s="62"/>
      <c r="U654" s="62"/>
      <c r="V654" s="62"/>
      <c r="W654" s="61"/>
      <c r="X654" s="62"/>
      <c r="Y654" s="62"/>
      <c r="Z654" s="66"/>
      <c r="AA654" s="94"/>
      <c r="AB654" s="69"/>
      <c r="AC654" s="94"/>
      <c r="AD654" s="94"/>
      <c r="AE654" s="60"/>
      <c r="AF654" s="62"/>
      <c r="AG654" s="62"/>
      <c r="AH654" s="62"/>
      <c r="AI654" s="61"/>
      <c r="AJ654" s="62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94"/>
      <c r="D655" s="60"/>
      <c r="E655" s="60"/>
      <c r="F655" s="60"/>
      <c r="G655" s="60"/>
      <c r="H655" s="62"/>
      <c r="I655" s="62"/>
      <c r="J655" s="62"/>
      <c r="K655" s="61"/>
      <c r="L655" s="62"/>
      <c r="M655" s="62"/>
      <c r="N655" s="66"/>
      <c r="O655" s="94"/>
      <c r="P655" s="69"/>
      <c r="Q655" s="94"/>
      <c r="R655" s="94"/>
      <c r="S655" s="60"/>
      <c r="T655" s="62"/>
      <c r="U655" s="62"/>
      <c r="V655" s="62"/>
      <c r="W655" s="61"/>
      <c r="X655" s="62"/>
      <c r="Y655" s="62"/>
      <c r="Z655" s="66"/>
      <c r="AA655" s="94"/>
      <c r="AB655" s="69"/>
      <c r="AC655" s="94"/>
      <c r="AD655" s="94"/>
      <c r="AE655" s="60"/>
      <c r="AF655" s="62"/>
      <c r="AG655" s="62"/>
      <c r="AH655" s="62"/>
      <c r="AI655" s="61"/>
      <c r="AJ655" s="62"/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94"/>
      <c r="D656" s="60"/>
      <c r="E656" s="60"/>
      <c r="F656" s="60"/>
      <c r="G656" s="60"/>
      <c r="H656" s="62"/>
      <c r="I656" s="62"/>
      <c r="J656" s="62"/>
      <c r="K656" s="61"/>
      <c r="L656" s="62"/>
      <c r="M656" s="62"/>
      <c r="N656" s="66"/>
      <c r="O656" s="62"/>
      <c r="P656" s="69"/>
      <c r="Q656" s="94"/>
      <c r="R656" s="94"/>
      <c r="S656" s="60"/>
      <c r="T656" s="62"/>
      <c r="U656" s="62"/>
      <c r="V656" s="62"/>
      <c r="W656" s="61"/>
      <c r="X656" s="62"/>
      <c r="Y656" s="62"/>
      <c r="Z656" s="66"/>
      <c r="AA656" s="62"/>
      <c r="AB656" s="69"/>
      <c r="AC656" s="94"/>
      <c r="AD656" s="94"/>
      <c r="AE656" s="60"/>
      <c r="AF656" s="62"/>
      <c r="AG656" s="62"/>
      <c r="AH656" s="62"/>
      <c r="AI656" s="61"/>
      <c r="AJ656" s="62"/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94"/>
      <c r="D657" s="60"/>
      <c r="E657" s="60"/>
      <c r="F657" s="60"/>
      <c r="G657" s="60"/>
      <c r="H657" s="62"/>
      <c r="I657" s="62"/>
      <c r="J657" s="62"/>
      <c r="K657" s="61"/>
      <c r="L657" s="62"/>
      <c r="M657" s="62"/>
      <c r="N657" s="66"/>
      <c r="O657" s="94"/>
      <c r="P657" s="69"/>
      <c r="Q657" s="94"/>
      <c r="R657" s="94"/>
      <c r="S657" s="60"/>
      <c r="T657" s="62"/>
      <c r="U657" s="62"/>
      <c r="V657" s="62"/>
      <c r="W657" s="61"/>
      <c r="X657" s="62"/>
      <c r="Y657" s="62"/>
      <c r="Z657" s="66"/>
      <c r="AA657" s="94"/>
      <c r="AB657" s="69"/>
      <c r="AC657" s="94"/>
      <c r="AD657" s="94"/>
      <c r="AE657" s="60"/>
      <c r="AF657" s="62"/>
      <c r="AG657" s="62"/>
      <c r="AH657" s="62"/>
      <c r="AI657" s="61"/>
      <c r="AJ657" s="62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L658" s="62"/>
      <c r="M658" s="62"/>
      <c r="N658" s="94"/>
      <c r="O658" s="94"/>
      <c r="P658" s="94"/>
      <c r="Q658" s="94"/>
      <c r="R658" s="94"/>
      <c r="S658" s="94"/>
      <c r="T658" s="62"/>
      <c r="U658" s="62"/>
      <c r="V658" s="62"/>
      <c r="W658" s="61"/>
      <c r="X658" s="62"/>
      <c r="Y658" s="62"/>
      <c r="Z658" s="94"/>
      <c r="AA658" s="94"/>
      <c r="AB658" s="94"/>
      <c r="AC658" s="94"/>
      <c r="AD658" s="94"/>
      <c r="AE658" s="94"/>
      <c r="AF658" s="62"/>
      <c r="AG658" s="62"/>
      <c r="AH658" s="62"/>
      <c r="AI658" s="61"/>
      <c r="AJ658" s="62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94"/>
      <c r="C659" s="94"/>
      <c r="D659" s="94"/>
      <c r="E659" s="94"/>
      <c r="F659" s="94"/>
      <c r="G659" s="94"/>
      <c r="H659" s="62"/>
      <c r="I659" s="62"/>
      <c r="J659" s="62"/>
      <c r="K659" s="62"/>
      <c r="L659" s="62"/>
      <c r="M659" s="62"/>
      <c r="N659" s="94"/>
      <c r="O659" s="94"/>
      <c r="P659" s="94"/>
      <c r="Q659" s="94"/>
      <c r="R659" s="94"/>
      <c r="S659" s="94"/>
      <c r="T659" s="62"/>
      <c r="U659" s="62"/>
      <c r="V659" s="62"/>
      <c r="W659" s="62"/>
      <c r="X659" s="62"/>
      <c r="Y659" s="62"/>
      <c r="Z659" s="94"/>
      <c r="AA659" s="94"/>
      <c r="AB659" s="94"/>
      <c r="AC659" s="94"/>
      <c r="AD659" s="94"/>
      <c r="AE659" s="94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94"/>
      <c r="C660" s="94"/>
      <c r="D660" s="70"/>
      <c r="E660" s="70"/>
      <c r="F660" s="70"/>
      <c r="G660" s="70"/>
      <c r="H660" s="63"/>
      <c r="I660" s="70"/>
      <c r="J660" s="70"/>
      <c r="K660" s="70"/>
      <c r="L660" s="62"/>
      <c r="M660" s="62"/>
      <c r="N660" s="94"/>
      <c r="O660" s="94"/>
      <c r="P660" s="70"/>
      <c r="Q660" s="70"/>
      <c r="R660" s="70"/>
      <c r="S660" s="70"/>
      <c r="T660" s="63"/>
      <c r="U660" s="71"/>
      <c r="V660" s="71"/>
      <c r="W660" s="71"/>
      <c r="X660" s="62"/>
      <c r="Y660" s="62"/>
      <c r="Z660" s="94"/>
      <c r="AA660" s="94"/>
      <c r="AB660" s="70"/>
      <c r="AC660" s="70"/>
      <c r="AD660" s="70"/>
      <c r="AE660" s="70"/>
      <c r="AF660" s="63"/>
      <c r="AG660" s="71"/>
      <c r="AH660" s="71"/>
      <c r="AI660" s="71"/>
      <c r="AJ660" s="62"/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94"/>
      <c r="C662" s="94"/>
      <c r="D662" s="94"/>
      <c r="E662" s="94"/>
      <c r="F662" s="94"/>
      <c r="G662" s="94"/>
      <c r="H662" s="62"/>
      <c r="I662" s="62"/>
      <c r="J662" s="62"/>
      <c r="K662" s="62"/>
      <c r="L662" s="62"/>
      <c r="M662" s="62"/>
      <c r="N662" s="94"/>
      <c r="O662" s="94"/>
      <c r="P662" s="94"/>
      <c r="Q662" s="94"/>
      <c r="R662" s="94"/>
      <c r="S662" s="94"/>
      <c r="T662" s="62"/>
      <c r="U662" s="62"/>
      <c r="V662" s="62"/>
      <c r="W662" s="62"/>
      <c r="X662" s="62"/>
      <c r="Y662" s="62"/>
      <c r="Z662" s="94"/>
      <c r="AA662" s="94"/>
      <c r="AB662" s="94"/>
      <c r="AC662" s="94"/>
      <c r="AD662" s="94"/>
      <c r="AE662" s="94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94"/>
      <c r="C663" s="94"/>
      <c r="D663" s="94"/>
      <c r="E663" s="94"/>
      <c r="F663" s="94"/>
      <c r="G663" s="94"/>
      <c r="H663" s="62"/>
      <c r="I663" s="62"/>
      <c r="J663" s="62"/>
      <c r="K663" s="62"/>
      <c r="L663" s="62"/>
      <c r="M663" s="62"/>
      <c r="N663" s="94"/>
      <c r="O663" s="94"/>
      <c r="P663" s="94"/>
      <c r="Q663" s="94"/>
      <c r="R663" s="94"/>
      <c r="S663" s="94"/>
      <c r="T663" s="62"/>
      <c r="U663" s="62"/>
      <c r="V663" s="62"/>
      <c r="W663" s="62"/>
      <c r="X663" s="62"/>
      <c r="Y663" s="62"/>
      <c r="Z663" s="94"/>
      <c r="AA663" s="94"/>
      <c r="AB663" s="94"/>
      <c r="AC663" s="94"/>
      <c r="AD663" s="94"/>
      <c r="AE663" s="94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94"/>
      <c r="C664" s="94"/>
      <c r="D664" s="94"/>
      <c r="E664" s="94"/>
      <c r="F664" s="94"/>
      <c r="G664" s="94"/>
      <c r="H664" s="62"/>
      <c r="I664" s="62"/>
      <c r="J664" s="62"/>
      <c r="K664" s="62"/>
      <c r="L664" s="62"/>
      <c r="M664" s="62"/>
      <c r="N664" s="94"/>
      <c r="O664" s="94"/>
      <c r="P664" s="94"/>
      <c r="Q664" s="94"/>
      <c r="R664" s="94"/>
      <c r="S664" s="94"/>
      <c r="T664" s="62"/>
      <c r="U664" s="62"/>
      <c r="V664" s="62"/>
      <c r="W664" s="62"/>
      <c r="X664" s="62"/>
      <c r="Y664" s="62"/>
      <c r="Z664" s="94"/>
      <c r="AA664" s="94"/>
      <c r="AB664" s="94"/>
      <c r="AC664" s="94"/>
      <c r="AD664" s="94"/>
      <c r="AE664" s="94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94"/>
      <c r="C665" s="94"/>
      <c r="D665" s="94"/>
      <c r="E665" s="94"/>
      <c r="F665" s="94"/>
      <c r="G665" s="94"/>
      <c r="H665" s="62"/>
      <c r="I665" s="62"/>
      <c r="J665" s="62"/>
      <c r="K665" s="62"/>
      <c r="L665" s="62"/>
      <c r="M665" s="63"/>
      <c r="N665" s="94"/>
      <c r="O665" s="94"/>
      <c r="P665" s="94"/>
      <c r="Q665" s="94"/>
      <c r="R665" s="94"/>
      <c r="S665" s="94"/>
      <c r="T665" s="62"/>
      <c r="U665" s="62"/>
      <c r="V665" s="62"/>
      <c r="W665" s="62"/>
      <c r="X665" s="62"/>
      <c r="Y665" s="63"/>
      <c r="Z665" s="94"/>
      <c r="AA665" s="94"/>
      <c r="AB665" s="94"/>
      <c r="AC665" s="94"/>
      <c r="AD665" s="94"/>
      <c r="AE665" s="94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94"/>
      <c r="C666" s="94"/>
      <c r="D666" s="94"/>
      <c r="E666" s="94"/>
      <c r="F666" s="94"/>
      <c r="G666" s="94"/>
      <c r="H666" s="62"/>
      <c r="I666" s="62"/>
      <c r="J666" s="62"/>
      <c r="K666" s="62"/>
      <c r="L666" s="62"/>
      <c r="M666" s="62"/>
      <c r="N666" s="94"/>
      <c r="O666" s="94"/>
      <c r="P666" s="94"/>
      <c r="Q666" s="94"/>
      <c r="R666" s="94"/>
      <c r="S666" s="94"/>
      <c r="T666" s="62"/>
      <c r="U666" s="62"/>
      <c r="V666" s="62"/>
      <c r="W666" s="62"/>
      <c r="X666" s="62"/>
      <c r="Y666" s="62"/>
      <c r="Z666" s="94"/>
      <c r="AA666" s="94"/>
      <c r="AB666" s="94"/>
      <c r="AC666" s="94"/>
      <c r="AD666" s="94"/>
      <c r="AE666" s="94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94"/>
      <c r="C667" s="94"/>
      <c r="D667" s="94"/>
      <c r="E667" s="94"/>
      <c r="F667" s="94"/>
      <c r="G667" s="94"/>
      <c r="H667" s="62"/>
      <c r="I667" s="94"/>
      <c r="J667" s="74"/>
      <c r="K667" s="62"/>
      <c r="L667" s="62"/>
      <c r="M667" s="62"/>
      <c r="N667" s="94"/>
      <c r="O667" s="94"/>
      <c r="P667" s="94"/>
      <c r="Q667" s="94"/>
      <c r="R667" s="94"/>
      <c r="S667" s="94"/>
      <c r="T667" s="62"/>
      <c r="U667" s="94"/>
      <c r="V667" s="74"/>
      <c r="W667" s="62"/>
      <c r="X667" s="62"/>
      <c r="Y667" s="62"/>
      <c r="Z667" s="94"/>
      <c r="AA667" s="94"/>
      <c r="AB667" s="94"/>
      <c r="AC667" s="94"/>
      <c r="AD667" s="94"/>
      <c r="AE667" s="94"/>
      <c r="AF667" s="62"/>
      <c r="AG667" s="94"/>
      <c r="AH667" s="94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94"/>
      <c r="C668" s="94"/>
      <c r="D668" s="94"/>
      <c r="E668" s="94"/>
      <c r="F668" s="94"/>
      <c r="G668" s="94"/>
      <c r="H668" s="62"/>
      <c r="I668" s="65"/>
      <c r="J668" s="65"/>
      <c r="K668" s="62"/>
      <c r="L668" s="62"/>
      <c r="M668" s="64"/>
      <c r="N668" s="94"/>
      <c r="O668" s="94"/>
      <c r="P668" s="94"/>
      <c r="Q668" s="94"/>
      <c r="R668" s="94"/>
      <c r="S668" s="94"/>
      <c r="T668" s="62"/>
      <c r="U668" s="65"/>
      <c r="V668" s="65"/>
      <c r="W668" s="62"/>
      <c r="X668" s="62"/>
      <c r="Y668" s="64"/>
      <c r="Z668" s="94"/>
      <c r="AA668" s="94"/>
      <c r="AB668" s="94"/>
      <c r="AC668" s="94"/>
      <c r="AD668" s="94"/>
      <c r="AE668" s="94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94"/>
      <c r="C669" s="94"/>
      <c r="D669" s="94"/>
      <c r="E669" s="94"/>
      <c r="F669" s="94"/>
      <c r="G669" s="94"/>
      <c r="H669" s="62"/>
      <c r="I669" s="62"/>
      <c r="J669" s="62"/>
      <c r="K669" s="62"/>
      <c r="L669" s="62"/>
      <c r="M669" s="62"/>
      <c r="N669" s="94"/>
      <c r="O669" s="94"/>
      <c r="P669" s="94"/>
      <c r="Q669" s="94"/>
      <c r="R669" s="94"/>
      <c r="S669" s="94"/>
      <c r="T669" s="62"/>
      <c r="U669" s="62"/>
      <c r="V669" s="62"/>
      <c r="W669" s="62"/>
      <c r="X669" s="62"/>
      <c r="Y669" s="62"/>
      <c r="Z669" s="94"/>
      <c r="AA669" s="94"/>
      <c r="AB669" s="94"/>
      <c r="AC669" s="94"/>
      <c r="AD669" s="94"/>
      <c r="AE669" s="94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94"/>
      <c r="D670" s="104"/>
      <c r="E670" s="104"/>
      <c r="F670" s="94"/>
      <c r="G670" s="94"/>
      <c r="H670" s="62"/>
      <c r="I670" s="104"/>
      <c r="J670" s="104"/>
      <c r="K670" s="103"/>
      <c r="L670" s="62"/>
      <c r="M670" s="62"/>
      <c r="N670" s="65"/>
      <c r="O670" s="94"/>
      <c r="P670" s="104"/>
      <c r="Q670" s="104"/>
      <c r="R670" s="94"/>
      <c r="S670" s="94"/>
      <c r="T670" s="62"/>
      <c r="U670" s="104"/>
      <c r="V670" s="104"/>
      <c r="W670" s="103"/>
      <c r="X670" s="62"/>
      <c r="Y670" s="62"/>
      <c r="Z670" s="65"/>
      <c r="AA670" s="94"/>
      <c r="AB670" s="104"/>
      <c r="AC670" s="104"/>
      <c r="AD670" s="94"/>
      <c r="AE670" s="94"/>
      <c r="AF670" s="62"/>
      <c r="AG670" s="104"/>
      <c r="AH670" s="104"/>
      <c r="AI670" s="103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x14ac:dyDescent="0.25">
      <c r="A671" s="62"/>
      <c r="B671" s="94"/>
      <c r="C671" s="94"/>
      <c r="D671" s="81"/>
      <c r="E671" s="82"/>
      <c r="F671" s="83"/>
      <c r="G671" s="83"/>
      <c r="H671" s="62"/>
      <c r="I671" s="93"/>
      <c r="J671" s="93"/>
      <c r="K671" s="103"/>
      <c r="L671" s="62"/>
      <c r="M671" s="62"/>
      <c r="N671" s="94"/>
      <c r="O671" s="94"/>
      <c r="P671" s="81"/>
      <c r="Q671" s="83"/>
      <c r="R671" s="83"/>
      <c r="S671" s="83"/>
      <c r="T671" s="62"/>
      <c r="U671" s="93"/>
      <c r="V671" s="93"/>
      <c r="W671" s="103"/>
      <c r="X671" s="62"/>
      <c r="Y671" s="62"/>
      <c r="Z671" s="94"/>
      <c r="AA671" s="94"/>
      <c r="AB671" s="81"/>
      <c r="AC671" s="83"/>
      <c r="AD671" s="83"/>
      <c r="AE671" s="83"/>
      <c r="AF671" s="62"/>
      <c r="AG671" s="93"/>
      <c r="AH671" s="93"/>
      <c r="AI671" s="103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92"/>
      <c r="D672" s="60"/>
      <c r="E672" s="60"/>
      <c r="F672" s="60"/>
      <c r="G672" s="60"/>
      <c r="H672" s="61"/>
      <c r="I672" s="61"/>
      <c r="J672" s="61"/>
      <c r="K672" s="61"/>
      <c r="L672" s="62"/>
      <c r="M672" s="62"/>
      <c r="N672" s="66"/>
      <c r="O672" s="94"/>
      <c r="P672" s="60"/>
      <c r="Q672" s="60"/>
      <c r="R672" s="60"/>
      <c r="S672" s="60"/>
      <c r="T672" s="61"/>
      <c r="U672" s="61"/>
      <c r="V672" s="61"/>
      <c r="W672" s="61"/>
      <c r="X672" s="62"/>
      <c r="Y672" s="62"/>
      <c r="Z672" s="66"/>
      <c r="AA672" s="94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92"/>
      <c r="D673" s="60"/>
      <c r="E673" s="60"/>
      <c r="F673" s="60"/>
      <c r="G673" s="60"/>
      <c r="H673" s="61"/>
      <c r="I673" s="61"/>
      <c r="J673" s="61"/>
      <c r="K673" s="61"/>
      <c r="L673" s="62"/>
      <c r="M673" s="62"/>
      <c r="N673" s="66"/>
      <c r="O673" s="94"/>
      <c r="P673" s="60"/>
      <c r="Q673" s="60"/>
      <c r="R673" s="60"/>
      <c r="S673" s="60"/>
      <c r="T673" s="61"/>
      <c r="U673" s="61"/>
      <c r="V673" s="61"/>
      <c r="W673" s="61"/>
      <c r="X673" s="62"/>
      <c r="Y673" s="62"/>
      <c r="Z673" s="66"/>
      <c r="AA673" s="94"/>
      <c r="AB673" s="60"/>
      <c r="AC673" s="60"/>
      <c r="AD673" s="60"/>
      <c r="AE673" s="60"/>
      <c r="AF673" s="61"/>
      <c r="AG673" s="61"/>
      <c r="AH673" s="61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92"/>
      <c r="D674" s="60"/>
      <c r="E674" s="60"/>
      <c r="F674" s="60"/>
      <c r="G674" s="60"/>
      <c r="H674" s="61"/>
      <c r="I674" s="61"/>
      <c r="J674" s="61"/>
      <c r="K674" s="61"/>
      <c r="L674" s="62"/>
      <c r="M674" s="62"/>
      <c r="N674" s="66"/>
      <c r="O674" s="94"/>
      <c r="P674" s="60"/>
      <c r="Q674" s="60"/>
      <c r="R674" s="60"/>
      <c r="S674" s="60"/>
      <c r="T674" s="61"/>
      <c r="U674" s="61"/>
      <c r="V674" s="61"/>
      <c r="W674" s="61"/>
      <c r="X674" s="62"/>
      <c r="Y674" s="62"/>
      <c r="Z674" s="66"/>
      <c r="AA674" s="94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65"/>
      <c r="D675" s="60"/>
      <c r="E675" s="60"/>
      <c r="F675" s="60"/>
      <c r="G675" s="60"/>
      <c r="H675" s="61"/>
      <c r="I675" s="61"/>
      <c r="J675" s="61"/>
      <c r="K675" s="61"/>
      <c r="L675" s="62"/>
      <c r="M675" s="62"/>
      <c r="N675" s="66"/>
      <c r="O675" s="94"/>
      <c r="P675" s="60"/>
      <c r="Q675" s="60"/>
      <c r="R675" s="60"/>
      <c r="S675" s="60"/>
      <c r="T675" s="61"/>
      <c r="U675" s="61"/>
      <c r="V675" s="61"/>
      <c r="W675" s="61"/>
      <c r="X675" s="62"/>
      <c r="Y675" s="62"/>
      <c r="Z675" s="66"/>
      <c r="AA675" s="65"/>
      <c r="AB675" s="60"/>
      <c r="AC675" s="60"/>
      <c r="AD675" s="60"/>
      <c r="AE675" s="60"/>
      <c r="AF675" s="61"/>
      <c r="AG675" s="62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92"/>
      <c r="D676" s="60"/>
      <c r="E676" s="60"/>
      <c r="F676" s="60"/>
      <c r="G676" s="60"/>
      <c r="H676" s="61"/>
      <c r="I676" s="61"/>
      <c r="J676" s="61"/>
      <c r="K676" s="61"/>
      <c r="L676" s="62"/>
      <c r="M676" s="62"/>
      <c r="N676" s="66"/>
      <c r="O676" s="94"/>
      <c r="P676" s="60"/>
      <c r="Q676" s="60"/>
      <c r="R676" s="60"/>
      <c r="S676" s="60"/>
      <c r="T676" s="61"/>
      <c r="U676" s="61"/>
      <c r="V676" s="61"/>
      <c r="W676" s="61"/>
      <c r="X676" s="62"/>
      <c r="Y676" s="62"/>
      <c r="Z676" s="66"/>
      <c r="AA676" s="94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92"/>
      <c r="D677" s="60"/>
      <c r="E677" s="60"/>
      <c r="F677" s="60"/>
      <c r="G677" s="60"/>
      <c r="H677" s="61"/>
      <c r="I677" s="61"/>
      <c r="J677" s="61"/>
      <c r="K677" s="61"/>
      <c r="L677" s="62"/>
      <c r="M677" s="62"/>
      <c r="N677" s="66"/>
      <c r="O677" s="65"/>
      <c r="P677" s="60"/>
      <c r="Q677" s="60"/>
      <c r="R677" s="60"/>
      <c r="S677" s="60"/>
      <c r="T677" s="61"/>
      <c r="U677" s="61"/>
      <c r="V677" s="62"/>
      <c r="W677" s="61"/>
      <c r="X677" s="62"/>
      <c r="Y677" s="62"/>
      <c r="Z677" s="66"/>
      <c r="AA677" s="94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92"/>
      <c r="D678" s="60"/>
      <c r="E678" s="60"/>
      <c r="F678" s="60"/>
      <c r="G678" s="60"/>
      <c r="H678" s="61"/>
      <c r="I678" s="61"/>
      <c r="J678" s="61"/>
      <c r="K678" s="61"/>
      <c r="L678" s="62"/>
      <c r="M678" s="62"/>
      <c r="N678" s="66"/>
      <c r="O678" s="94"/>
      <c r="P678" s="60"/>
      <c r="Q678" s="60"/>
      <c r="R678" s="60"/>
      <c r="S678" s="60"/>
      <c r="T678" s="61"/>
      <c r="U678" s="61"/>
      <c r="V678" s="61"/>
      <c r="W678" s="61"/>
      <c r="X678" s="62"/>
      <c r="Y678" s="62"/>
      <c r="Z678" s="66"/>
      <c r="AA678" s="62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92"/>
      <c r="D679" s="60"/>
      <c r="E679" s="60"/>
      <c r="F679" s="60"/>
      <c r="G679" s="60"/>
      <c r="H679" s="61"/>
      <c r="I679" s="61"/>
      <c r="J679" s="61"/>
      <c r="K679" s="61"/>
      <c r="L679" s="62"/>
      <c r="M679" s="62"/>
      <c r="N679" s="66"/>
      <c r="O679" s="94"/>
      <c r="P679" s="60"/>
      <c r="Q679" s="60"/>
      <c r="R679" s="60"/>
      <c r="S679" s="60"/>
      <c r="T679" s="61"/>
      <c r="U679" s="61"/>
      <c r="V679" s="61"/>
      <c r="W679" s="61"/>
      <c r="X679" s="62"/>
      <c r="Y679" s="62"/>
      <c r="Z679" s="66"/>
      <c r="AA679" s="94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92"/>
      <c r="D680" s="60"/>
      <c r="E680" s="60"/>
      <c r="F680" s="60"/>
      <c r="G680" s="60"/>
      <c r="H680" s="61"/>
      <c r="I680" s="61"/>
      <c r="J680" s="61"/>
      <c r="K680" s="61"/>
      <c r="L680" s="62"/>
      <c r="M680" s="62"/>
      <c r="N680" s="66"/>
      <c r="O680" s="94"/>
      <c r="P680" s="60"/>
      <c r="Q680" s="60"/>
      <c r="R680" s="60"/>
      <c r="S680" s="60"/>
      <c r="T680" s="61"/>
      <c r="U680" s="61"/>
      <c r="V680" s="61"/>
      <c r="W680" s="61"/>
      <c r="X680" s="62"/>
      <c r="Y680" s="62"/>
      <c r="Z680" s="66"/>
      <c r="AA680" s="94"/>
      <c r="AB680" s="62"/>
      <c r="AC680" s="60"/>
      <c r="AD680" s="60"/>
      <c r="AE680" s="60"/>
      <c r="AF680" s="61"/>
      <c r="AG680" s="62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92"/>
      <c r="D681" s="60"/>
      <c r="E681" s="60"/>
      <c r="F681" s="60"/>
      <c r="G681" s="60"/>
      <c r="H681" s="61"/>
      <c r="I681" s="61"/>
      <c r="J681" s="61"/>
      <c r="K681" s="61"/>
      <c r="L681" s="62"/>
      <c r="M681" s="62"/>
      <c r="N681" s="66"/>
      <c r="O681" s="94"/>
      <c r="P681" s="60"/>
      <c r="Q681" s="60"/>
      <c r="R681" s="60"/>
      <c r="S681" s="60"/>
      <c r="T681" s="61"/>
      <c r="U681" s="61"/>
      <c r="V681" s="61"/>
      <c r="W681" s="61"/>
      <c r="X681" s="62"/>
      <c r="Y681" s="62"/>
      <c r="Z681" s="66"/>
      <c r="AA681" s="94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92"/>
      <c r="D682" s="60"/>
      <c r="E682" s="60"/>
      <c r="F682" s="60"/>
      <c r="G682" s="60"/>
      <c r="H682" s="61"/>
      <c r="I682" s="61"/>
      <c r="J682" s="61"/>
      <c r="K682" s="61"/>
      <c r="L682" s="62"/>
      <c r="M682" s="62"/>
      <c r="N682" s="66"/>
      <c r="O682" s="94"/>
      <c r="P682" s="60"/>
      <c r="Q682" s="60"/>
      <c r="R682" s="60"/>
      <c r="S682" s="60"/>
      <c r="T682" s="61"/>
      <c r="U682" s="61"/>
      <c r="V682" s="61"/>
      <c r="W682" s="61"/>
      <c r="X682" s="62"/>
      <c r="Y682" s="62"/>
      <c r="Z682" s="66"/>
      <c r="AA682" s="94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92"/>
      <c r="D683" s="60"/>
      <c r="E683" s="60"/>
      <c r="F683" s="60"/>
      <c r="G683" s="60"/>
      <c r="H683" s="61"/>
      <c r="I683" s="61"/>
      <c r="J683" s="62"/>
      <c r="K683" s="61"/>
      <c r="L683" s="62"/>
      <c r="M683" s="62"/>
      <c r="N683" s="66"/>
      <c r="O683" s="94"/>
      <c r="P683" s="60"/>
      <c r="Q683" s="60"/>
      <c r="R683" s="60"/>
      <c r="S683" s="60"/>
      <c r="T683" s="61"/>
      <c r="U683" s="61"/>
      <c r="V683" s="61"/>
      <c r="W683" s="61"/>
      <c r="X683" s="62"/>
      <c r="Y683" s="62"/>
      <c r="Z683" s="66"/>
      <c r="AA683" s="94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92"/>
      <c r="D684" s="60"/>
      <c r="E684" s="60"/>
      <c r="F684" s="60"/>
      <c r="G684" s="60"/>
      <c r="H684" s="61"/>
      <c r="I684" s="61"/>
      <c r="J684" s="61"/>
      <c r="K684" s="61"/>
      <c r="L684" s="62"/>
      <c r="M684" s="62"/>
      <c r="N684" s="66"/>
      <c r="O684" s="94"/>
      <c r="P684" s="60"/>
      <c r="Q684" s="60"/>
      <c r="R684" s="60"/>
      <c r="S684" s="60"/>
      <c r="T684" s="61"/>
      <c r="U684" s="61"/>
      <c r="V684" s="61"/>
      <c r="W684" s="61"/>
      <c r="X684" s="62"/>
      <c r="Y684" s="62"/>
      <c r="Z684" s="66"/>
      <c r="AA684" s="94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92"/>
      <c r="D685" s="60"/>
      <c r="E685" s="60"/>
      <c r="F685" s="60"/>
      <c r="G685" s="60"/>
      <c r="H685" s="61"/>
      <c r="I685" s="61"/>
      <c r="J685" s="61"/>
      <c r="K685" s="61"/>
      <c r="L685" s="62"/>
      <c r="M685" s="62"/>
      <c r="N685" s="66"/>
      <c r="O685" s="94"/>
      <c r="P685" s="60"/>
      <c r="Q685" s="60"/>
      <c r="R685" s="60"/>
      <c r="S685" s="60"/>
      <c r="T685" s="61"/>
      <c r="U685" s="61"/>
      <c r="V685" s="61"/>
      <c r="W685" s="61"/>
      <c r="X685" s="62"/>
      <c r="Y685" s="62"/>
      <c r="Z685" s="66"/>
      <c r="AA685" s="94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92"/>
      <c r="D686" s="60"/>
      <c r="E686" s="60"/>
      <c r="F686" s="60"/>
      <c r="G686" s="60"/>
      <c r="H686" s="61"/>
      <c r="I686" s="61"/>
      <c r="J686" s="61"/>
      <c r="K686" s="61"/>
      <c r="L686" s="62"/>
      <c r="M686" s="62"/>
      <c r="N686" s="66"/>
      <c r="O686" s="94"/>
      <c r="P686" s="60"/>
      <c r="Q686" s="60"/>
      <c r="R686" s="60"/>
      <c r="S686" s="60"/>
      <c r="T686" s="61"/>
      <c r="U686" s="61"/>
      <c r="V686" s="61"/>
      <c r="W686" s="61"/>
      <c r="X686" s="62"/>
      <c r="Y686" s="62"/>
      <c r="Z686" s="66"/>
      <c r="AA686" s="94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92"/>
      <c r="D687" s="60"/>
      <c r="E687" s="60"/>
      <c r="F687" s="60"/>
      <c r="G687" s="60"/>
      <c r="H687" s="61"/>
      <c r="I687" s="61"/>
      <c r="J687" s="61"/>
      <c r="K687" s="61"/>
      <c r="L687" s="62"/>
      <c r="M687" s="62"/>
      <c r="N687" s="66"/>
      <c r="O687" s="94"/>
      <c r="P687" s="60"/>
      <c r="Q687" s="60"/>
      <c r="R687" s="60"/>
      <c r="S687" s="60"/>
      <c r="T687" s="61"/>
      <c r="U687" s="61"/>
      <c r="V687" s="61"/>
      <c r="W687" s="61"/>
      <c r="X687" s="62"/>
      <c r="Y687" s="62"/>
      <c r="Z687" s="66"/>
      <c r="AA687" s="94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92"/>
      <c r="D688" s="60"/>
      <c r="E688" s="60"/>
      <c r="F688" s="60"/>
      <c r="G688" s="60"/>
      <c r="H688" s="61"/>
      <c r="I688" s="61"/>
      <c r="J688" s="61"/>
      <c r="K688" s="61"/>
      <c r="L688" s="62"/>
      <c r="M688" s="62"/>
      <c r="N688" s="66"/>
      <c r="O688" s="94"/>
      <c r="P688" s="60"/>
      <c r="Q688" s="60"/>
      <c r="R688" s="60"/>
      <c r="S688" s="60"/>
      <c r="T688" s="61"/>
      <c r="U688" s="61"/>
      <c r="V688" s="61"/>
      <c r="W688" s="61"/>
      <c r="X688" s="62"/>
      <c r="Y688" s="62"/>
      <c r="Z688" s="66"/>
      <c r="AA688" s="94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92"/>
      <c r="D689" s="60"/>
      <c r="E689" s="60"/>
      <c r="F689" s="60"/>
      <c r="G689" s="60"/>
      <c r="H689" s="61"/>
      <c r="I689" s="61"/>
      <c r="J689" s="61"/>
      <c r="K689" s="61"/>
      <c r="L689" s="62"/>
      <c r="M689" s="62"/>
      <c r="N689" s="66"/>
      <c r="O689" s="94"/>
      <c r="P689" s="60"/>
      <c r="Q689" s="60"/>
      <c r="R689" s="60"/>
      <c r="S689" s="60"/>
      <c r="T689" s="61"/>
      <c r="U689" s="61"/>
      <c r="V689" s="61"/>
      <c r="W689" s="61"/>
      <c r="X689" s="62"/>
      <c r="Y689" s="62"/>
      <c r="Z689" s="66"/>
      <c r="AA689" s="94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94"/>
      <c r="D690" s="60"/>
      <c r="E690" s="60"/>
      <c r="F690" s="60"/>
      <c r="G690" s="60"/>
      <c r="H690" s="61"/>
      <c r="I690" s="61"/>
      <c r="J690" s="61"/>
      <c r="K690" s="61"/>
      <c r="L690" s="62"/>
      <c r="M690" s="62"/>
      <c r="N690" s="66"/>
      <c r="O690" s="62"/>
      <c r="P690" s="60"/>
      <c r="Q690" s="60"/>
      <c r="R690" s="60"/>
      <c r="S690" s="60"/>
      <c r="T690" s="61"/>
      <c r="U690" s="61"/>
      <c r="V690" s="61"/>
      <c r="W690" s="61"/>
      <c r="X690" s="62"/>
      <c r="Y690" s="62"/>
      <c r="Z690" s="66"/>
      <c r="AA690" s="94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94"/>
      <c r="D691" s="60"/>
      <c r="E691" s="60"/>
      <c r="F691" s="60"/>
      <c r="G691" s="60"/>
      <c r="H691" s="61"/>
      <c r="I691" s="61"/>
      <c r="J691" s="61"/>
      <c r="K691" s="61"/>
      <c r="L691" s="62"/>
      <c r="M691" s="62"/>
      <c r="N691" s="66"/>
      <c r="O691" s="94"/>
      <c r="P691" s="60"/>
      <c r="Q691" s="60"/>
      <c r="R691" s="60"/>
      <c r="S691" s="60"/>
      <c r="T691" s="61"/>
      <c r="U691" s="61"/>
      <c r="V691" s="61"/>
      <c r="W691" s="61"/>
      <c r="X691" s="62"/>
      <c r="Y691" s="62"/>
      <c r="Z691" s="66"/>
      <c r="AA691" s="94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92"/>
      <c r="D692" s="60"/>
      <c r="E692" s="60"/>
      <c r="F692" s="60"/>
      <c r="G692" s="60"/>
      <c r="H692" s="62"/>
      <c r="I692" s="62"/>
      <c r="J692" s="62"/>
      <c r="K692" s="61"/>
      <c r="L692" s="62"/>
      <c r="M692" s="62"/>
      <c r="N692" s="66"/>
      <c r="O692" s="94"/>
      <c r="P692" s="67"/>
      <c r="Q692" s="94"/>
      <c r="R692" s="94"/>
      <c r="S692" s="60"/>
      <c r="T692" s="62"/>
      <c r="U692" s="62"/>
      <c r="V692" s="62"/>
      <c r="W692" s="61"/>
      <c r="X692" s="62"/>
      <c r="Y692" s="62"/>
      <c r="Z692" s="66"/>
      <c r="AA692" s="94"/>
      <c r="AB692" s="67"/>
      <c r="AC692" s="94"/>
      <c r="AD692" s="94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92"/>
      <c r="D693" s="60"/>
      <c r="E693" s="60"/>
      <c r="F693" s="60"/>
      <c r="G693" s="60"/>
      <c r="H693" s="62"/>
      <c r="I693" s="62"/>
      <c r="J693" s="62"/>
      <c r="K693" s="61"/>
      <c r="L693" s="62"/>
      <c r="M693" s="62"/>
      <c r="N693" s="66"/>
      <c r="O693" s="94"/>
      <c r="P693" s="68"/>
      <c r="Q693" s="94"/>
      <c r="R693" s="94"/>
      <c r="S693" s="60"/>
      <c r="T693" s="62"/>
      <c r="U693" s="62"/>
      <c r="V693" s="62"/>
      <c r="W693" s="61"/>
      <c r="X693" s="62"/>
      <c r="Y693" s="62"/>
      <c r="Z693" s="66"/>
      <c r="AA693" s="94"/>
      <c r="AB693" s="68"/>
      <c r="AC693" s="94"/>
      <c r="AD693" s="94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94"/>
      <c r="D694" s="60"/>
      <c r="E694" s="60"/>
      <c r="F694" s="60"/>
      <c r="G694" s="60"/>
      <c r="H694" s="62"/>
      <c r="I694" s="62"/>
      <c r="J694" s="61"/>
      <c r="K694" s="61"/>
      <c r="L694" s="62"/>
      <c r="M694" s="62"/>
      <c r="N694" s="66"/>
      <c r="O694" s="94"/>
      <c r="P694" s="69"/>
      <c r="Q694" s="62"/>
      <c r="R694" s="62"/>
      <c r="S694" s="60"/>
      <c r="T694" s="62"/>
      <c r="U694" s="62"/>
      <c r="V694" s="62"/>
      <c r="W694" s="61"/>
      <c r="X694" s="62"/>
      <c r="Y694" s="62"/>
      <c r="Z694" s="66"/>
      <c r="AA694" s="94"/>
      <c r="AB694" s="69"/>
      <c r="AC694" s="62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94"/>
      <c r="D695" s="60"/>
      <c r="E695" s="60"/>
      <c r="F695" s="60"/>
      <c r="G695" s="60"/>
      <c r="H695" s="62"/>
      <c r="I695" s="62"/>
      <c r="J695" s="62"/>
      <c r="K695" s="61"/>
      <c r="L695" s="62"/>
      <c r="M695" s="62"/>
      <c r="N695" s="66"/>
      <c r="O695" s="94"/>
      <c r="P695" s="69"/>
      <c r="Q695" s="94"/>
      <c r="R695" s="94"/>
      <c r="S695" s="60"/>
      <c r="T695" s="62"/>
      <c r="U695" s="62"/>
      <c r="V695" s="62"/>
      <c r="W695" s="61"/>
      <c r="X695" s="62"/>
      <c r="Y695" s="62"/>
      <c r="Z695" s="66"/>
      <c r="AA695" s="94"/>
      <c r="AB695" s="69"/>
      <c r="AC695" s="94"/>
      <c r="AD695" s="94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94"/>
      <c r="D696" s="60"/>
      <c r="E696" s="60"/>
      <c r="F696" s="60"/>
      <c r="G696" s="60"/>
      <c r="H696" s="62"/>
      <c r="I696" s="62"/>
      <c r="J696" s="62"/>
      <c r="K696" s="61"/>
      <c r="L696" s="62"/>
      <c r="M696" s="62"/>
      <c r="N696" s="66"/>
      <c r="O696" s="62"/>
      <c r="P696" s="69"/>
      <c r="Q696" s="94"/>
      <c r="R696" s="94"/>
      <c r="S696" s="60"/>
      <c r="T696" s="62"/>
      <c r="U696" s="62"/>
      <c r="V696" s="62"/>
      <c r="W696" s="61"/>
      <c r="X696" s="62"/>
      <c r="Y696" s="62"/>
      <c r="Z696" s="66"/>
      <c r="AA696" s="65"/>
      <c r="AB696" s="69"/>
      <c r="AC696" s="94"/>
      <c r="AD696" s="94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65"/>
      <c r="D697" s="60"/>
      <c r="E697" s="60"/>
      <c r="F697" s="60"/>
      <c r="G697" s="60"/>
      <c r="H697" s="62"/>
      <c r="I697" s="62"/>
      <c r="J697" s="62"/>
      <c r="K697" s="61"/>
      <c r="L697" s="62"/>
      <c r="M697" s="62"/>
      <c r="N697" s="66"/>
      <c r="O697" s="62"/>
      <c r="P697" s="69"/>
      <c r="Q697" s="94"/>
      <c r="R697" s="94"/>
      <c r="S697" s="60"/>
      <c r="T697" s="62"/>
      <c r="U697" s="62"/>
      <c r="V697" s="62"/>
      <c r="W697" s="61"/>
      <c r="X697" s="62"/>
      <c r="Y697" s="62"/>
      <c r="Z697" s="66"/>
      <c r="AA697" s="62"/>
      <c r="AB697" s="69"/>
      <c r="AC697" s="94"/>
      <c r="AD697" s="94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94"/>
      <c r="D698" s="60"/>
      <c r="E698" s="60"/>
      <c r="F698" s="60"/>
      <c r="G698" s="60"/>
      <c r="H698" s="62"/>
      <c r="I698" s="62"/>
      <c r="J698" s="62"/>
      <c r="K698" s="61"/>
      <c r="L698" s="62"/>
      <c r="M698" s="62"/>
      <c r="N698" s="66"/>
      <c r="O698" s="94"/>
      <c r="P698" s="69"/>
      <c r="Q698" s="94"/>
      <c r="R698" s="94"/>
      <c r="S698" s="60"/>
      <c r="T698" s="62"/>
      <c r="U698" s="62"/>
      <c r="V698" s="62"/>
      <c r="W698" s="61"/>
      <c r="X698" s="62"/>
      <c r="Y698" s="62"/>
      <c r="Z698" s="66"/>
      <c r="AA698" s="94"/>
      <c r="AB698" s="69"/>
      <c r="AC698" s="94"/>
      <c r="AD698" s="94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94"/>
      <c r="D699" s="60"/>
      <c r="E699" s="60"/>
      <c r="F699" s="60"/>
      <c r="G699" s="60"/>
      <c r="H699" s="62"/>
      <c r="I699" s="62"/>
      <c r="J699" s="62"/>
      <c r="K699" s="61"/>
      <c r="L699" s="62"/>
      <c r="M699" s="62"/>
      <c r="N699" s="66"/>
      <c r="O699" s="94"/>
      <c r="P699" s="69"/>
      <c r="Q699" s="94"/>
      <c r="R699" s="94"/>
      <c r="S699" s="60"/>
      <c r="T699" s="62"/>
      <c r="U699" s="62"/>
      <c r="V699" s="62"/>
      <c r="W699" s="61"/>
      <c r="X699" s="62"/>
      <c r="Y699" s="62"/>
      <c r="Z699" s="66"/>
      <c r="AA699" s="94"/>
      <c r="AB699" s="69"/>
      <c r="AC699" s="94"/>
      <c r="AD699" s="94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94"/>
      <c r="D700" s="60"/>
      <c r="E700" s="60"/>
      <c r="F700" s="60"/>
      <c r="G700" s="60"/>
      <c r="H700" s="62"/>
      <c r="I700" s="62"/>
      <c r="J700" s="62"/>
      <c r="K700" s="61"/>
      <c r="L700" s="62"/>
      <c r="M700" s="62"/>
      <c r="N700" s="66"/>
      <c r="O700" s="62"/>
      <c r="P700" s="69"/>
      <c r="Q700" s="94"/>
      <c r="R700" s="94"/>
      <c r="S700" s="60"/>
      <c r="T700" s="62"/>
      <c r="U700" s="62"/>
      <c r="V700" s="62"/>
      <c r="W700" s="61"/>
      <c r="X700" s="62"/>
      <c r="Y700" s="62"/>
      <c r="Z700" s="66"/>
      <c r="AA700" s="94"/>
      <c r="AB700" s="69"/>
      <c r="AC700" s="94"/>
      <c r="AD700" s="94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94"/>
      <c r="D701" s="60"/>
      <c r="E701" s="60"/>
      <c r="F701" s="60"/>
      <c r="G701" s="60"/>
      <c r="H701" s="62"/>
      <c r="I701" s="62"/>
      <c r="J701" s="62"/>
      <c r="K701" s="61"/>
      <c r="L701" s="62"/>
      <c r="M701" s="62"/>
      <c r="N701" s="66"/>
      <c r="O701" s="62"/>
      <c r="P701" s="69"/>
      <c r="Q701" s="94"/>
      <c r="R701" s="94"/>
      <c r="S701" s="60"/>
      <c r="T701" s="62"/>
      <c r="U701" s="62"/>
      <c r="V701" s="62"/>
      <c r="W701" s="61"/>
      <c r="X701" s="62"/>
      <c r="Y701" s="62"/>
      <c r="Z701" s="66"/>
      <c r="AA701" s="62"/>
      <c r="AB701" s="69"/>
      <c r="AC701" s="94"/>
      <c r="AD701" s="94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94"/>
      <c r="D702" s="60"/>
      <c r="E702" s="60"/>
      <c r="F702" s="60"/>
      <c r="G702" s="60"/>
      <c r="H702" s="62"/>
      <c r="I702" s="62"/>
      <c r="J702" s="62"/>
      <c r="K702" s="61"/>
      <c r="L702" s="62"/>
      <c r="M702" s="62"/>
      <c r="N702" s="66"/>
      <c r="O702" s="94"/>
      <c r="P702" s="69"/>
      <c r="Q702" s="94"/>
      <c r="R702" s="94"/>
      <c r="S702" s="60"/>
      <c r="T702" s="62"/>
      <c r="U702" s="62"/>
      <c r="V702" s="62"/>
      <c r="W702" s="61"/>
      <c r="X702" s="62"/>
      <c r="Y702" s="62"/>
      <c r="Z702" s="66"/>
      <c r="AA702" s="62"/>
      <c r="AB702" s="69"/>
      <c r="AC702" s="94"/>
      <c r="AD702" s="94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94"/>
      <c r="D703" s="60"/>
      <c r="E703" s="60"/>
      <c r="F703" s="60"/>
      <c r="G703" s="60"/>
      <c r="H703" s="62"/>
      <c r="I703" s="62"/>
      <c r="J703" s="62"/>
      <c r="K703" s="61"/>
      <c r="L703" s="62"/>
      <c r="M703" s="62"/>
      <c r="N703" s="66"/>
      <c r="O703" s="62"/>
      <c r="P703" s="69"/>
      <c r="Q703" s="94"/>
      <c r="R703" s="94"/>
      <c r="S703" s="60"/>
      <c r="T703" s="62"/>
      <c r="U703" s="62"/>
      <c r="V703" s="62"/>
      <c r="W703" s="61"/>
      <c r="X703" s="62"/>
      <c r="Y703" s="62"/>
      <c r="Z703" s="66"/>
      <c r="AA703" s="94"/>
      <c r="AB703" s="69"/>
      <c r="AC703" s="94"/>
      <c r="AD703" s="94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94"/>
      <c r="D704" s="60"/>
      <c r="E704" s="60"/>
      <c r="F704" s="60"/>
      <c r="G704" s="60"/>
      <c r="H704" s="62"/>
      <c r="I704" s="62"/>
      <c r="J704" s="62"/>
      <c r="K704" s="61"/>
      <c r="L704" s="62"/>
      <c r="M704" s="62"/>
      <c r="N704" s="66"/>
      <c r="O704" s="94"/>
      <c r="P704" s="69"/>
      <c r="Q704" s="94"/>
      <c r="R704" s="94"/>
      <c r="S704" s="60"/>
      <c r="T704" s="62"/>
      <c r="U704" s="62"/>
      <c r="V704" s="62"/>
      <c r="W704" s="61"/>
      <c r="X704" s="62"/>
      <c r="Y704" s="62"/>
      <c r="Z704" s="66"/>
      <c r="AA704" s="94"/>
      <c r="AB704" s="69"/>
      <c r="AC704" s="94"/>
      <c r="AD704" s="94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94"/>
      <c r="D705" s="60"/>
      <c r="E705" s="60"/>
      <c r="F705" s="60"/>
      <c r="G705" s="60"/>
      <c r="H705" s="62"/>
      <c r="I705" s="62"/>
      <c r="J705" s="62"/>
      <c r="K705" s="61"/>
      <c r="L705" s="62"/>
      <c r="M705" s="62"/>
      <c r="N705" s="66"/>
      <c r="O705" s="94"/>
      <c r="P705" s="69"/>
      <c r="Q705" s="94"/>
      <c r="R705" s="94"/>
      <c r="S705" s="60"/>
      <c r="T705" s="62"/>
      <c r="U705" s="62"/>
      <c r="V705" s="62"/>
      <c r="W705" s="61"/>
      <c r="X705" s="62"/>
      <c r="Y705" s="62"/>
      <c r="Z705" s="66"/>
      <c r="AA705" s="62"/>
      <c r="AB705" s="69"/>
      <c r="AC705" s="94"/>
      <c r="AD705" s="94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94"/>
      <c r="D706" s="60"/>
      <c r="E706" s="60"/>
      <c r="F706" s="60"/>
      <c r="G706" s="60"/>
      <c r="H706" s="62"/>
      <c r="I706" s="62"/>
      <c r="J706" s="62"/>
      <c r="K706" s="61"/>
      <c r="L706" s="62"/>
      <c r="M706" s="62"/>
      <c r="N706" s="66"/>
      <c r="O706" s="94"/>
      <c r="P706" s="69"/>
      <c r="Q706" s="94"/>
      <c r="R706" s="94"/>
      <c r="S706" s="60"/>
      <c r="T706" s="62"/>
      <c r="U706" s="62"/>
      <c r="V706" s="62"/>
      <c r="W706" s="61"/>
      <c r="X706" s="62"/>
      <c r="Y706" s="62"/>
      <c r="Z706" s="66"/>
      <c r="AA706" s="94"/>
      <c r="AB706" s="69"/>
      <c r="AC706" s="94"/>
      <c r="AD706" s="94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94"/>
      <c r="D707" s="60"/>
      <c r="E707" s="60"/>
      <c r="F707" s="60"/>
      <c r="G707" s="60"/>
      <c r="H707" s="62"/>
      <c r="I707" s="62"/>
      <c r="J707" s="62"/>
      <c r="K707" s="61"/>
      <c r="L707" s="62"/>
      <c r="M707" s="62"/>
      <c r="N707" s="66"/>
      <c r="O707" s="94"/>
      <c r="P707" s="69"/>
      <c r="Q707" s="94"/>
      <c r="R707" s="94"/>
      <c r="S707" s="60"/>
      <c r="T707" s="62"/>
      <c r="U707" s="62"/>
      <c r="V707" s="62"/>
      <c r="W707" s="61"/>
      <c r="X707" s="62"/>
      <c r="Y707" s="62"/>
      <c r="Z707" s="66"/>
      <c r="AA707" s="94"/>
      <c r="AB707" s="69"/>
      <c r="AC707" s="94"/>
      <c r="AD707" s="94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94"/>
      <c r="D708" s="60"/>
      <c r="E708" s="60"/>
      <c r="F708" s="60"/>
      <c r="G708" s="60"/>
      <c r="H708" s="62"/>
      <c r="I708" s="62"/>
      <c r="J708" s="62"/>
      <c r="K708" s="61"/>
      <c r="L708" s="62"/>
      <c r="M708" s="62"/>
      <c r="N708" s="66"/>
      <c r="O708" s="62"/>
      <c r="P708" s="69"/>
      <c r="Q708" s="94"/>
      <c r="R708" s="94"/>
      <c r="S708" s="60"/>
      <c r="T708" s="62"/>
      <c r="U708" s="62"/>
      <c r="V708" s="62"/>
      <c r="W708" s="61"/>
      <c r="X708" s="62"/>
      <c r="Y708" s="62"/>
      <c r="Z708" s="66"/>
      <c r="AA708" s="94"/>
      <c r="AB708" s="69"/>
      <c r="AC708" s="94"/>
      <c r="AD708" s="94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94"/>
      <c r="D709" s="60"/>
      <c r="E709" s="60"/>
      <c r="F709" s="60"/>
      <c r="G709" s="60"/>
      <c r="H709" s="62"/>
      <c r="I709" s="62"/>
      <c r="J709" s="62"/>
      <c r="K709" s="61"/>
      <c r="L709" s="62"/>
      <c r="M709" s="62"/>
      <c r="N709" s="66"/>
      <c r="O709" s="94"/>
      <c r="P709" s="69"/>
      <c r="Q709" s="94"/>
      <c r="R709" s="94"/>
      <c r="S709" s="60"/>
      <c r="T709" s="62"/>
      <c r="U709" s="62"/>
      <c r="V709" s="62"/>
      <c r="W709" s="61"/>
      <c r="X709" s="62"/>
      <c r="Y709" s="62"/>
      <c r="Z709" s="66"/>
      <c r="AA709" s="94"/>
      <c r="AB709" s="69"/>
      <c r="AC709" s="94"/>
      <c r="AD709" s="94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94"/>
      <c r="D710" s="60"/>
      <c r="E710" s="60"/>
      <c r="F710" s="60"/>
      <c r="G710" s="60"/>
      <c r="H710" s="62"/>
      <c r="I710" s="62"/>
      <c r="J710" s="62"/>
      <c r="K710" s="61"/>
      <c r="L710" s="62"/>
      <c r="M710" s="62"/>
      <c r="N710" s="66"/>
      <c r="O710" s="94"/>
      <c r="P710" s="69"/>
      <c r="Q710" s="94"/>
      <c r="R710" s="94"/>
      <c r="S710" s="60"/>
      <c r="T710" s="62"/>
      <c r="U710" s="62"/>
      <c r="V710" s="62"/>
      <c r="W710" s="61"/>
      <c r="X710" s="62"/>
      <c r="Y710" s="62"/>
      <c r="Z710" s="66"/>
      <c r="AA710" s="94"/>
      <c r="AB710" s="69"/>
      <c r="AC710" s="94"/>
      <c r="AD710" s="94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94"/>
      <c r="D711" s="60"/>
      <c r="E711" s="60"/>
      <c r="F711" s="60"/>
      <c r="G711" s="60"/>
      <c r="H711" s="62"/>
      <c r="I711" s="62"/>
      <c r="J711" s="62"/>
      <c r="K711" s="61"/>
      <c r="L711" s="62"/>
      <c r="M711" s="62"/>
      <c r="N711" s="66"/>
      <c r="O711" s="62"/>
      <c r="P711" s="69"/>
      <c r="Q711" s="94"/>
      <c r="R711" s="94"/>
      <c r="S711" s="60"/>
      <c r="T711" s="62"/>
      <c r="U711" s="62"/>
      <c r="V711" s="62"/>
      <c r="W711" s="61"/>
      <c r="X711" s="62"/>
      <c r="Y711" s="62"/>
      <c r="Z711" s="66"/>
      <c r="AA711" s="62"/>
      <c r="AB711" s="69"/>
      <c r="AC711" s="94"/>
      <c r="AD711" s="94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94"/>
      <c r="D712" s="60"/>
      <c r="E712" s="60"/>
      <c r="F712" s="60"/>
      <c r="G712" s="60"/>
      <c r="H712" s="62"/>
      <c r="I712" s="62"/>
      <c r="J712" s="62"/>
      <c r="K712" s="61"/>
      <c r="L712" s="62"/>
      <c r="M712" s="62"/>
      <c r="N712" s="66"/>
      <c r="O712" s="94"/>
      <c r="P712" s="69"/>
      <c r="Q712" s="94"/>
      <c r="R712" s="94"/>
      <c r="S712" s="60"/>
      <c r="T712" s="62"/>
      <c r="U712" s="62"/>
      <c r="V712" s="62"/>
      <c r="W712" s="61"/>
      <c r="X712" s="62"/>
      <c r="Y712" s="62"/>
      <c r="Z712" s="66"/>
      <c r="AA712" s="94"/>
      <c r="AB712" s="69"/>
      <c r="AC712" s="94"/>
      <c r="AD712" s="94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L713" s="62"/>
      <c r="M713" s="62"/>
      <c r="N713" s="94"/>
      <c r="O713" s="94"/>
      <c r="P713" s="94"/>
      <c r="Q713" s="94"/>
      <c r="R713" s="94"/>
      <c r="S713" s="94"/>
      <c r="T713" s="62"/>
      <c r="U713" s="62"/>
      <c r="V713" s="62"/>
      <c r="W713" s="61"/>
      <c r="X713" s="62"/>
      <c r="Y713" s="62"/>
      <c r="Z713" s="94"/>
      <c r="AA713" s="94"/>
      <c r="AB713" s="94"/>
      <c r="AC713" s="94"/>
      <c r="AD713" s="94"/>
      <c r="AE713" s="94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94"/>
      <c r="C714" s="94"/>
      <c r="D714" s="94"/>
      <c r="E714" s="94"/>
      <c r="F714" s="94"/>
      <c r="G714" s="94"/>
      <c r="H714" s="62"/>
      <c r="I714" s="62"/>
      <c r="J714" s="62"/>
      <c r="K714" s="62"/>
      <c r="L714" s="62"/>
      <c r="M714" s="62"/>
      <c r="N714" s="94"/>
      <c r="O714" s="94"/>
      <c r="P714" s="94"/>
      <c r="Q714" s="94"/>
      <c r="R714" s="94"/>
      <c r="S714" s="94"/>
      <c r="T714" s="62"/>
      <c r="U714" s="62"/>
      <c r="V714" s="62"/>
      <c r="W714" s="62"/>
      <c r="X714" s="62"/>
      <c r="Y714" s="62"/>
      <c r="Z714" s="94"/>
      <c r="AA714" s="94"/>
      <c r="AB714" s="94"/>
      <c r="AC714" s="94"/>
      <c r="AD714" s="94"/>
      <c r="AE714" s="94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94"/>
      <c r="C715" s="94"/>
      <c r="D715" s="70"/>
      <c r="E715" s="70"/>
      <c r="F715" s="70"/>
      <c r="G715" s="70"/>
      <c r="H715" s="63"/>
      <c r="I715" s="70"/>
      <c r="J715" s="70"/>
      <c r="K715" s="70"/>
      <c r="L715" s="62"/>
      <c r="M715" s="62"/>
      <c r="N715" s="94"/>
      <c r="O715" s="94"/>
      <c r="P715" s="70"/>
      <c r="Q715" s="70"/>
      <c r="R715" s="70"/>
      <c r="S715" s="70"/>
      <c r="T715" s="63"/>
      <c r="U715" s="71"/>
      <c r="V715" s="71"/>
      <c r="W715" s="71"/>
      <c r="X715" s="62"/>
      <c r="Y715" s="62"/>
      <c r="Z715" s="94"/>
      <c r="AA715" s="94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94"/>
      <c r="C717" s="94"/>
      <c r="D717" s="94"/>
      <c r="E717" s="94"/>
      <c r="F717" s="94"/>
      <c r="G717" s="94"/>
      <c r="H717" s="62"/>
      <c r="I717" s="62"/>
      <c r="J717" s="62"/>
      <c r="K717" s="62"/>
      <c r="L717" s="62"/>
      <c r="M717" s="62"/>
      <c r="N717" s="94"/>
      <c r="O717" s="94"/>
      <c r="P717" s="94"/>
      <c r="Q717" s="94"/>
      <c r="R717" s="94"/>
      <c r="S717" s="94"/>
      <c r="T717" s="62"/>
      <c r="U717" s="62"/>
      <c r="V717" s="62"/>
      <c r="W717" s="62"/>
      <c r="X717" s="62"/>
      <c r="Y717" s="62"/>
      <c r="Z717" s="94"/>
      <c r="AA717" s="94"/>
      <c r="AB717" s="94"/>
      <c r="AC717" s="94"/>
      <c r="AD717" s="94"/>
      <c r="AE717" s="94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94"/>
      <c r="C718" s="94"/>
      <c r="D718" s="94"/>
      <c r="E718" s="94"/>
      <c r="F718" s="94"/>
      <c r="G718" s="94"/>
      <c r="H718" s="62"/>
      <c r="I718" s="62"/>
      <c r="J718" s="62"/>
      <c r="K718" s="62"/>
      <c r="L718" s="62"/>
      <c r="M718" s="62"/>
      <c r="N718" s="94"/>
      <c r="O718" s="94"/>
      <c r="P718" s="94"/>
      <c r="Q718" s="94"/>
      <c r="R718" s="94"/>
      <c r="S718" s="94"/>
      <c r="T718" s="62"/>
      <c r="U718" s="62"/>
      <c r="V718" s="62"/>
      <c r="W718" s="62"/>
      <c r="X718" s="62"/>
      <c r="Y718" s="62"/>
      <c r="Z718" s="94"/>
      <c r="AA718" s="94"/>
      <c r="AB718" s="94"/>
      <c r="AC718" s="94"/>
      <c r="AD718" s="94"/>
      <c r="AE718" s="94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94"/>
      <c r="C719" s="94"/>
      <c r="D719" s="94"/>
      <c r="E719" s="94"/>
      <c r="F719" s="94"/>
      <c r="G719" s="94"/>
      <c r="H719" s="62"/>
      <c r="I719" s="62"/>
      <c r="J719" s="62"/>
      <c r="K719" s="62"/>
      <c r="L719" s="62"/>
      <c r="M719" s="62"/>
      <c r="N719" s="94"/>
      <c r="O719" s="94"/>
      <c r="P719" s="94"/>
      <c r="Q719" s="94"/>
      <c r="R719" s="94"/>
      <c r="S719" s="94"/>
      <c r="T719" s="62"/>
      <c r="U719" s="62"/>
      <c r="V719" s="62"/>
      <c r="W719" s="62"/>
      <c r="X719" s="62"/>
      <c r="Y719" s="62"/>
      <c r="Z719" s="94"/>
      <c r="AA719" s="94"/>
      <c r="AB719" s="94"/>
      <c r="AC719" s="94"/>
      <c r="AD719" s="94"/>
      <c r="AE719" s="94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94"/>
      <c r="C720" s="94"/>
      <c r="D720" s="94"/>
      <c r="E720" s="94"/>
      <c r="F720" s="94"/>
      <c r="G720" s="94"/>
      <c r="H720" s="62"/>
      <c r="I720" s="62"/>
      <c r="J720" s="62"/>
      <c r="K720" s="62"/>
      <c r="L720" s="62"/>
      <c r="M720" s="63"/>
      <c r="N720" s="94"/>
      <c r="O720" s="94"/>
      <c r="P720" s="94"/>
      <c r="Q720" s="94"/>
      <c r="R720" s="94"/>
      <c r="S720" s="94"/>
      <c r="T720" s="62"/>
      <c r="U720" s="62"/>
      <c r="V720" s="62"/>
      <c r="W720" s="62"/>
      <c r="X720" s="62"/>
      <c r="Y720" s="63"/>
      <c r="Z720" s="94"/>
      <c r="AA720" s="94"/>
      <c r="AB720" s="94"/>
      <c r="AC720" s="94"/>
      <c r="AD720" s="94"/>
      <c r="AE720" s="94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94"/>
      <c r="C721" s="94"/>
      <c r="D721" s="94"/>
      <c r="E721" s="94"/>
      <c r="F721" s="94"/>
      <c r="G721" s="94"/>
      <c r="H721" s="62"/>
      <c r="I721" s="62"/>
      <c r="J721" s="62"/>
      <c r="K721" s="62"/>
      <c r="L721" s="62"/>
      <c r="M721" s="62"/>
      <c r="N721" s="94"/>
      <c r="O721" s="94"/>
      <c r="P721" s="94"/>
      <c r="Q721" s="94"/>
      <c r="R721" s="94"/>
      <c r="S721" s="94"/>
      <c r="T721" s="62"/>
      <c r="U721" s="62"/>
      <c r="V721" s="62"/>
      <c r="W721" s="62"/>
      <c r="X721" s="62"/>
      <c r="Y721" s="62"/>
      <c r="Z721" s="94"/>
      <c r="AA721" s="94"/>
      <c r="AB721" s="94"/>
      <c r="AC721" s="94"/>
      <c r="AD721" s="94"/>
      <c r="AE721" s="94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94"/>
      <c r="C722" s="94"/>
      <c r="D722" s="94"/>
      <c r="E722" s="94"/>
      <c r="F722" s="94"/>
      <c r="G722" s="94"/>
      <c r="H722" s="62"/>
      <c r="I722" s="94"/>
      <c r="J722" s="74"/>
      <c r="K722" s="62"/>
      <c r="L722" s="62"/>
      <c r="M722" s="62"/>
      <c r="N722" s="94"/>
      <c r="O722" s="94"/>
      <c r="P722" s="94"/>
      <c r="Q722" s="94"/>
      <c r="R722" s="94"/>
      <c r="S722" s="94"/>
      <c r="T722" s="62"/>
      <c r="U722" s="94"/>
      <c r="V722" s="74"/>
      <c r="W722" s="62"/>
      <c r="X722" s="62"/>
      <c r="Y722" s="62"/>
      <c r="Z722" s="94"/>
      <c r="AA722" s="94"/>
      <c r="AB722" s="94"/>
      <c r="AC722" s="94"/>
      <c r="AD722" s="94"/>
      <c r="AE722" s="94"/>
      <c r="AF722" s="62"/>
      <c r="AG722" s="94"/>
      <c r="AH722" s="94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94"/>
      <c r="C723" s="94"/>
      <c r="D723" s="94"/>
      <c r="E723" s="94"/>
      <c r="F723" s="94"/>
      <c r="G723" s="94"/>
      <c r="H723" s="62"/>
      <c r="I723" s="65"/>
      <c r="J723" s="65"/>
      <c r="K723" s="62"/>
      <c r="L723" s="62"/>
      <c r="M723" s="64"/>
      <c r="N723" s="94"/>
      <c r="O723" s="94"/>
      <c r="P723" s="94"/>
      <c r="Q723" s="94"/>
      <c r="R723" s="94"/>
      <c r="S723" s="94"/>
      <c r="T723" s="62"/>
      <c r="U723" s="65"/>
      <c r="V723" s="65"/>
      <c r="W723" s="62"/>
      <c r="X723" s="62"/>
      <c r="Y723" s="64"/>
      <c r="Z723" s="94"/>
      <c r="AA723" s="94"/>
      <c r="AB723" s="94"/>
      <c r="AC723" s="94"/>
      <c r="AD723" s="94"/>
      <c r="AE723" s="94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94"/>
      <c r="C724" s="94"/>
      <c r="D724" s="94"/>
      <c r="E724" s="94"/>
      <c r="F724" s="94"/>
      <c r="G724" s="94"/>
      <c r="H724" s="62"/>
      <c r="I724" s="62"/>
      <c r="J724" s="62"/>
      <c r="K724" s="62"/>
      <c r="L724" s="62"/>
      <c r="M724" s="62"/>
      <c r="N724" s="94"/>
      <c r="O724" s="94"/>
      <c r="P724" s="94"/>
      <c r="Q724" s="94"/>
      <c r="R724" s="94"/>
      <c r="S724" s="94"/>
      <c r="T724" s="62"/>
      <c r="U724" s="62"/>
      <c r="V724" s="62"/>
      <c r="W724" s="62"/>
      <c r="X724" s="62"/>
      <c r="Y724" s="62"/>
      <c r="Z724" s="94"/>
      <c r="AA724" s="94"/>
      <c r="AB724" s="94"/>
      <c r="AC724" s="94"/>
      <c r="AD724" s="94"/>
      <c r="AE724" s="94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A725" s="62"/>
      <c r="B725" s="65"/>
      <c r="C725" s="94"/>
      <c r="D725" s="104"/>
      <c r="E725" s="104"/>
      <c r="F725" s="94"/>
      <c r="G725" s="94"/>
      <c r="H725" s="62"/>
      <c r="I725" s="104"/>
      <c r="J725" s="104"/>
      <c r="K725" s="103"/>
      <c r="L725" s="62"/>
      <c r="M725" s="62"/>
      <c r="N725" s="65"/>
      <c r="O725" s="94"/>
      <c r="P725" s="104"/>
      <c r="Q725" s="104"/>
      <c r="R725" s="94"/>
      <c r="S725" s="94"/>
      <c r="T725" s="62"/>
      <c r="U725" s="104"/>
      <c r="V725" s="104"/>
      <c r="W725" s="103"/>
      <c r="X725" s="62"/>
      <c r="Y725" s="62"/>
      <c r="Z725" s="65"/>
      <c r="AA725" s="94"/>
      <c r="AB725" s="104"/>
      <c r="AC725" s="104"/>
      <c r="AD725" s="94"/>
      <c r="AE725" s="94"/>
      <c r="AF725" s="62"/>
      <c r="AG725" s="104"/>
      <c r="AH725" s="104"/>
      <c r="AI725" s="103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94"/>
      <c r="C726" s="94"/>
      <c r="D726" s="81"/>
      <c r="E726" s="82"/>
      <c r="F726" s="83"/>
      <c r="G726" s="83"/>
      <c r="H726" s="62"/>
      <c r="I726" s="93"/>
      <c r="J726" s="93"/>
      <c r="K726" s="103"/>
      <c r="L726" s="62"/>
      <c r="M726" s="62"/>
      <c r="N726" s="94"/>
      <c r="O726" s="94"/>
      <c r="P726" s="81"/>
      <c r="Q726" s="83"/>
      <c r="R726" s="83"/>
      <c r="S726" s="83"/>
      <c r="T726" s="62"/>
      <c r="U726" s="93"/>
      <c r="V726" s="93"/>
      <c r="W726" s="103"/>
      <c r="X726" s="62"/>
      <c r="Y726" s="62"/>
      <c r="Z726" s="94"/>
      <c r="AA726" s="94"/>
      <c r="AB726" s="81"/>
      <c r="AC726" s="83"/>
      <c r="AD726" s="83"/>
      <c r="AE726" s="83"/>
      <c r="AF726" s="62"/>
      <c r="AG726" s="93"/>
      <c r="AH726" s="93"/>
      <c r="AI726" s="103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92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94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94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92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94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94"/>
      <c r="AB728" s="60"/>
      <c r="AC728" s="60"/>
      <c r="AD728" s="60"/>
      <c r="AE728" s="60"/>
      <c r="AF728" s="61"/>
      <c r="AG728" s="61"/>
      <c r="AH728" s="61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92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94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94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92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94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65"/>
      <c r="AB730" s="60"/>
      <c r="AC730" s="60"/>
      <c r="AD730" s="60"/>
      <c r="AE730" s="60"/>
      <c r="AF730" s="61"/>
      <c r="AG730" s="62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92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94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94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92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94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94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92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94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94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92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94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94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92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94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94"/>
      <c r="AB735" s="62"/>
      <c r="AC735" s="60"/>
      <c r="AD735" s="60"/>
      <c r="AE735" s="60"/>
      <c r="AF735" s="61"/>
      <c r="AG735" s="62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92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65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94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92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94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94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92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94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94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92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94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94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92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94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94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92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94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94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92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62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6"/>
      <c r="AA742" s="62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92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94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94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65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94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94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92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62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94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92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94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94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92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94"/>
      <c r="P747" s="67"/>
      <c r="Q747" s="94"/>
      <c r="R747" s="94"/>
      <c r="S747" s="60"/>
      <c r="T747" s="62"/>
      <c r="U747" s="62"/>
      <c r="V747" s="62"/>
      <c r="W747" s="61"/>
      <c r="X747" s="62"/>
      <c r="Y747" s="62"/>
      <c r="Z747" s="66"/>
      <c r="AA747" s="94"/>
      <c r="AB747" s="67"/>
      <c r="AC747" s="94"/>
      <c r="AD747" s="94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92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94"/>
      <c r="P748" s="68"/>
      <c r="Q748" s="94"/>
      <c r="R748" s="94"/>
      <c r="S748" s="60"/>
      <c r="T748" s="62"/>
      <c r="U748" s="62"/>
      <c r="V748" s="62"/>
      <c r="W748" s="61"/>
      <c r="X748" s="62"/>
      <c r="Y748" s="62"/>
      <c r="Z748" s="66"/>
      <c r="AA748" s="94"/>
      <c r="AB748" s="68"/>
      <c r="AC748" s="94"/>
      <c r="AD748" s="94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92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94"/>
      <c r="P749" s="69"/>
      <c r="Q749" s="62"/>
      <c r="R749" s="62"/>
      <c r="S749" s="60"/>
      <c r="T749" s="62"/>
      <c r="U749" s="62"/>
      <c r="V749" s="62"/>
      <c r="W749" s="61"/>
      <c r="X749" s="62"/>
      <c r="Y749" s="62"/>
      <c r="Z749" s="66"/>
      <c r="AA749" s="94"/>
      <c r="AB749" s="69"/>
      <c r="AC749" s="62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94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94"/>
      <c r="P750" s="69"/>
      <c r="Q750" s="94"/>
      <c r="R750" s="94"/>
      <c r="S750" s="60"/>
      <c r="T750" s="62"/>
      <c r="U750" s="62"/>
      <c r="V750" s="62"/>
      <c r="W750" s="61"/>
      <c r="X750" s="62"/>
      <c r="Y750" s="62"/>
      <c r="Z750" s="66"/>
      <c r="AA750" s="94"/>
      <c r="AB750" s="69"/>
      <c r="AC750" s="94"/>
      <c r="AD750" s="94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94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62"/>
      <c r="P751" s="69"/>
      <c r="Q751" s="94"/>
      <c r="R751" s="94"/>
      <c r="S751" s="60"/>
      <c r="T751" s="62"/>
      <c r="U751" s="62"/>
      <c r="V751" s="62"/>
      <c r="W751" s="61"/>
      <c r="X751" s="62"/>
      <c r="Y751" s="62"/>
      <c r="Z751" s="66"/>
      <c r="AA751" s="65"/>
      <c r="AB751" s="69"/>
      <c r="AC751" s="94"/>
      <c r="AD751" s="94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65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62"/>
      <c r="P752" s="69"/>
      <c r="Q752" s="94"/>
      <c r="R752" s="94"/>
      <c r="S752" s="60"/>
      <c r="T752" s="62"/>
      <c r="U752" s="62"/>
      <c r="V752" s="62"/>
      <c r="W752" s="61"/>
      <c r="X752" s="62"/>
      <c r="Y752" s="62"/>
      <c r="Z752" s="66"/>
      <c r="AA752" s="62"/>
      <c r="AB752" s="69"/>
      <c r="AC752" s="94"/>
      <c r="AD752" s="94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94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94"/>
      <c r="P753" s="69"/>
      <c r="Q753" s="94"/>
      <c r="R753" s="94"/>
      <c r="S753" s="60"/>
      <c r="T753" s="62"/>
      <c r="U753" s="62"/>
      <c r="V753" s="62"/>
      <c r="W753" s="61"/>
      <c r="X753" s="62"/>
      <c r="Y753" s="62"/>
      <c r="Z753" s="66"/>
      <c r="AA753" s="94"/>
      <c r="AB753" s="69"/>
      <c r="AC753" s="94"/>
      <c r="AD753" s="94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94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94"/>
      <c r="P754" s="69"/>
      <c r="Q754" s="94"/>
      <c r="R754" s="94"/>
      <c r="S754" s="60"/>
      <c r="T754" s="62"/>
      <c r="U754" s="62"/>
      <c r="V754" s="62"/>
      <c r="W754" s="61"/>
      <c r="X754" s="62"/>
      <c r="Y754" s="62"/>
      <c r="Z754" s="66"/>
      <c r="AA754" s="94"/>
      <c r="AB754" s="69"/>
      <c r="AC754" s="94"/>
      <c r="AD754" s="94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94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62"/>
      <c r="P755" s="69"/>
      <c r="Q755" s="94"/>
      <c r="R755" s="94"/>
      <c r="S755" s="60"/>
      <c r="T755" s="62"/>
      <c r="U755" s="62"/>
      <c r="V755" s="62"/>
      <c r="W755" s="61"/>
      <c r="X755" s="62"/>
      <c r="Y755" s="62"/>
      <c r="Z755" s="66"/>
      <c r="AA755" s="94"/>
      <c r="AB755" s="69"/>
      <c r="AC755" s="94"/>
      <c r="AD755" s="94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94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62"/>
      <c r="P756" s="69"/>
      <c r="Q756" s="94"/>
      <c r="R756" s="94"/>
      <c r="S756" s="60"/>
      <c r="T756" s="62"/>
      <c r="U756" s="62"/>
      <c r="V756" s="62"/>
      <c r="W756" s="61"/>
      <c r="X756" s="62"/>
      <c r="Y756" s="62"/>
      <c r="Z756" s="66"/>
      <c r="AA756" s="62"/>
      <c r="AB756" s="69"/>
      <c r="AC756" s="94"/>
      <c r="AD756" s="94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94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94"/>
      <c r="P757" s="69"/>
      <c r="Q757" s="94"/>
      <c r="R757" s="94"/>
      <c r="S757" s="60"/>
      <c r="T757" s="62"/>
      <c r="U757" s="62"/>
      <c r="V757" s="62"/>
      <c r="W757" s="61"/>
      <c r="X757" s="62"/>
      <c r="Y757" s="62"/>
      <c r="Z757" s="66"/>
      <c r="AA757" s="62"/>
      <c r="AB757" s="69"/>
      <c r="AC757" s="94"/>
      <c r="AD757" s="94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94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62"/>
      <c r="P758" s="69"/>
      <c r="Q758" s="94"/>
      <c r="R758" s="94"/>
      <c r="S758" s="60"/>
      <c r="T758" s="62"/>
      <c r="U758" s="62"/>
      <c r="V758" s="62"/>
      <c r="W758" s="61"/>
      <c r="X758" s="62"/>
      <c r="Y758" s="62"/>
      <c r="Z758" s="66"/>
      <c r="AA758" s="94"/>
      <c r="AB758" s="69"/>
      <c r="AC758" s="94"/>
      <c r="AD758" s="94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94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94"/>
      <c r="P759" s="69"/>
      <c r="Q759" s="94"/>
      <c r="R759" s="94"/>
      <c r="S759" s="60"/>
      <c r="T759" s="62"/>
      <c r="U759" s="62"/>
      <c r="V759" s="62"/>
      <c r="W759" s="61"/>
      <c r="X759" s="62"/>
      <c r="Y759" s="62"/>
      <c r="Z759" s="66"/>
      <c r="AA759" s="94"/>
      <c r="AB759" s="69"/>
      <c r="AC759" s="94"/>
      <c r="AD759" s="94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94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94"/>
      <c r="P760" s="69"/>
      <c r="Q760" s="94"/>
      <c r="R760" s="94"/>
      <c r="S760" s="60"/>
      <c r="T760" s="62"/>
      <c r="U760" s="62"/>
      <c r="V760" s="62"/>
      <c r="W760" s="61"/>
      <c r="X760" s="62"/>
      <c r="Y760" s="62"/>
      <c r="Z760" s="66"/>
      <c r="AA760" s="62"/>
      <c r="AB760" s="69"/>
      <c r="AC760" s="94"/>
      <c r="AD760" s="94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94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94"/>
      <c r="P761" s="69"/>
      <c r="Q761" s="94"/>
      <c r="R761" s="94"/>
      <c r="S761" s="60"/>
      <c r="T761" s="62"/>
      <c r="U761" s="62"/>
      <c r="V761" s="62"/>
      <c r="W761" s="61"/>
      <c r="X761" s="62"/>
      <c r="Y761" s="62"/>
      <c r="Z761" s="66"/>
      <c r="AA761" s="94"/>
      <c r="AB761" s="69"/>
      <c r="AC761" s="94"/>
      <c r="AD761" s="94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94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94"/>
      <c r="P762" s="69"/>
      <c r="Q762" s="94"/>
      <c r="R762" s="94"/>
      <c r="S762" s="60"/>
      <c r="T762" s="62"/>
      <c r="U762" s="62"/>
      <c r="V762" s="62"/>
      <c r="W762" s="61"/>
      <c r="X762" s="62"/>
      <c r="Y762" s="62"/>
      <c r="Z762" s="66"/>
      <c r="AA762" s="94"/>
      <c r="AB762" s="69"/>
      <c r="AC762" s="94"/>
      <c r="AD762" s="94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94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62"/>
      <c r="P763" s="69"/>
      <c r="Q763" s="94"/>
      <c r="R763" s="94"/>
      <c r="S763" s="60"/>
      <c r="T763" s="62"/>
      <c r="U763" s="62"/>
      <c r="V763" s="62"/>
      <c r="W763" s="61"/>
      <c r="X763" s="62"/>
      <c r="Y763" s="62"/>
      <c r="Z763" s="66"/>
      <c r="AA763" s="94"/>
      <c r="AB763" s="69"/>
      <c r="AC763" s="94"/>
      <c r="AD763" s="94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94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94"/>
      <c r="P764" s="69"/>
      <c r="Q764" s="94"/>
      <c r="R764" s="94"/>
      <c r="S764" s="60"/>
      <c r="T764" s="62"/>
      <c r="U764" s="62"/>
      <c r="V764" s="62"/>
      <c r="W764" s="61"/>
      <c r="X764" s="62"/>
      <c r="Y764" s="62"/>
      <c r="Z764" s="66"/>
      <c r="AA764" s="94"/>
      <c r="AB764" s="69"/>
      <c r="AC764" s="94"/>
      <c r="AD764" s="94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94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94"/>
      <c r="P765" s="69"/>
      <c r="Q765" s="94"/>
      <c r="R765" s="94"/>
      <c r="S765" s="60"/>
      <c r="T765" s="62"/>
      <c r="U765" s="62"/>
      <c r="V765" s="62"/>
      <c r="W765" s="61"/>
      <c r="X765" s="62"/>
      <c r="Y765" s="62"/>
      <c r="Z765" s="66"/>
      <c r="AA765" s="94"/>
      <c r="AB765" s="69"/>
      <c r="AC765" s="94"/>
      <c r="AD765" s="94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94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94"/>
      <c r="R766" s="94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94"/>
      <c r="AD766" s="94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94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94"/>
      <c r="P767" s="69"/>
      <c r="Q767" s="94"/>
      <c r="R767" s="94"/>
      <c r="S767" s="60"/>
      <c r="T767" s="62"/>
      <c r="U767" s="62"/>
      <c r="V767" s="62"/>
      <c r="W767" s="61"/>
      <c r="X767" s="62"/>
      <c r="Y767" s="62"/>
      <c r="Z767" s="66"/>
      <c r="AA767" s="94"/>
      <c r="AB767" s="69"/>
      <c r="AC767" s="94"/>
      <c r="AD767" s="94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94"/>
      <c r="O768" s="94"/>
      <c r="P768" s="94"/>
      <c r="Q768" s="94"/>
      <c r="R768" s="94"/>
      <c r="S768" s="94"/>
      <c r="T768" s="62"/>
      <c r="U768" s="62"/>
      <c r="V768" s="62"/>
      <c r="W768" s="61"/>
      <c r="X768" s="62"/>
      <c r="Y768" s="62"/>
      <c r="Z768" s="94"/>
      <c r="AA768" s="94"/>
      <c r="AB768" s="94"/>
      <c r="AC768" s="94"/>
      <c r="AD768" s="94"/>
      <c r="AE768" s="94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94"/>
      <c r="C769" s="94"/>
      <c r="D769" s="94"/>
      <c r="E769" s="94"/>
      <c r="F769" s="94"/>
      <c r="G769" s="94"/>
      <c r="H769" s="62"/>
      <c r="I769" s="62"/>
      <c r="J769" s="62"/>
      <c r="K769" s="62"/>
      <c r="L769" s="62"/>
      <c r="M769" s="62"/>
      <c r="N769" s="94"/>
      <c r="O769" s="94"/>
      <c r="P769" s="94"/>
      <c r="Q769" s="94"/>
      <c r="R769" s="94"/>
      <c r="S769" s="94"/>
      <c r="T769" s="62"/>
      <c r="U769" s="62"/>
      <c r="V769" s="62"/>
      <c r="W769" s="62"/>
      <c r="X769" s="62"/>
      <c r="Y769" s="62"/>
      <c r="Z769" s="94"/>
      <c r="AA769" s="94"/>
      <c r="AB769" s="94"/>
      <c r="AC769" s="94"/>
      <c r="AD769" s="94"/>
      <c r="AE769" s="94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94"/>
      <c r="C770" s="94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94"/>
      <c r="O770" s="94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94"/>
      <c r="AA770" s="94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94"/>
      <c r="C772" s="94"/>
      <c r="D772" s="94"/>
      <c r="E772" s="94"/>
      <c r="F772" s="94"/>
      <c r="G772" s="94"/>
      <c r="H772" s="62"/>
      <c r="I772" s="62"/>
      <c r="J772" s="62"/>
      <c r="K772" s="62"/>
      <c r="L772" s="62"/>
      <c r="M772" s="62"/>
      <c r="N772" s="94"/>
      <c r="O772" s="94"/>
      <c r="P772" s="94"/>
      <c r="Q772" s="94"/>
      <c r="R772" s="94"/>
      <c r="S772" s="94"/>
      <c r="T772" s="62"/>
      <c r="U772" s="62"/>
      <c r="V772" s="62"/>
      <c r="W772" s="62"/>
      <c r="X772" s="62"/>
      <c r="Y772" s="62"/>
      <c r="Z772" s="94"/>
      <c r="AA772" s="94"/>
      <c r="AB772" s="94"/>
      <c r="AC772" s="94"/>
      <c r="AD772" s="94"/>
      <c r="AE772" s="94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94"/>
      <c r="C773" s="94"/>
      <c r="D773" s="94"/>
      <c r="E773" s="94"/>
      <c r="F773" s="94"/>
      <c r="G773" s="94"/>
      <c r="H773" s="62"/>
      <c r="I773" s="62"/>
      <c r="J773" s="62"/>
      <c r="K773" s="62"/>
      <c r="L773" s="62"/>
      <c r="M773" s="62"/>
      <c r="N773" s="94"/>
      <c r="O773" s="94"/>
      <c r="P773" s="94"/>
      <c r="Q773" s="94"/>
      <c r="R773" s="94"/>
      <c r="S773" s="94"/>
      <c r="T773" s="62"/>
      <c r="U773" s="62"/>
      <c r="V773" s="62"/>
      <c r="W773" s="62"/>
      <c r="X773" s="62"/>
      <c r="Y773" s="62"/>
      <c r="Z773" s="94"/>
      <c r="AA773" s="94"/>
      <c r="AB773" s="94"/>
      <c r="AC773" s="94"/>
      <c r="AD773" s="94"/>
      <c r="AE773" s="94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94"/>
      <c r="C774" s="94"/>
      <c r="D774" s="94"/>
      <c r="E774" s="94"/>
      <c r="F774" s="94"/>
      <c r="G774" s="94"/>
      <c r="H774" s="62"/>
      <c r="I774" s="62"/>
      <c r="J774" s="62"/>
      <c r="K774" s="62"/>
      <c r="L774" s="62"/>
      <c r="M774" s="62"/>
      <c r="N774" s="94"/>
      <c r="O774" s="94"/>
      <c r="P774" s="94"/>
      <c r="Q774" s="94"/>
      <c r="R774" s="94"/>
      <c r="S774" s="94"/>
      <c r="T774" s="62"/>
      <c r="U774" s="62"/>
      <c r="V774" s="62"/>
      <c r="W774" s="62"/>
      <c r="X774" s="62"/>
      <c r="Y774" s="62"/>
      <c r="Z774" s="94"/>
      <c r="AA774" s="94"/>
      <c r="AB774" s="94"/>
      <c r="AC774" s="94"/>
      <c r="AD774" s="94"/>
      <c r="AE774" s="94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94"/>
      <c r="C775" s="94"/>
      <c r="D775" s="94"/>
      <c r="E775" s="94"/>
      <c r="F775" s="94"/>
      <c r="G775" s="94"/>
      <c r="H775" s="62"/>
      <c r="I775" s="62"/>
      <c r="J775" s="62"/>
      <c r="K775" s="62"/>
      <c r="L775" s="62"/>
      <c r="M775" s="63"/>
      <c r="N775" s="94"/>
      <c r="O775" s="94"/>
      <c r="P775" s="94"/>
      <c r="Q775" s="94"/>
      <c r="R775" s="94"/>
      <c r="S775" s="94"/>
      <c r="T775" s="62"/>
      <c r="U775" s="62"/>
      <c r="V775" s="62"/>
      <c r="W775" s="62"/>
      <c r="X775" s="62"/>
      <c r="Y775" s="63"/>
      <c r="Z775" s="94"/>
      <c r="AA775" s="94"/>
      <c r="AB775" s="94"/>
      <c r="AC775" s="94"/>
      <c r="AD775" s="94"/>
      <c r="AE775" s="94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94"/>
      <c r="C776" s="94"/>
      <c r="D776" s="94"/>
      <c r="E776" s="94"/>
      <c r="F776" s="94"/>
      <c r="G776" s="94"/>
      <c r="H776" s="62"/>
      <c r="I776" s="62"/>
      <c r="J776" s="62"/>
      <c r="K776" s="62"/>
      <c r="L776" s="62"/>
      <c r="M776" s="62"/>
      <c r="N776" s="94"/>
      <c r="O776" s="94"/>
      <c r="P776" s="94"/>
      <c r="Q776" s="94"/>
      <c r="R776" s="94"/>
      <c r="S776" s="94"/>
      <c r="T776" s="62"/>
      <c r="U776" s="62"/>
      <c r="V776" s="62"/>
      <c r="W776" s="62"/>
      <c r="X776" s="62"/>
      <c r="Y776" s="62"/>
      <c r="Z776" s="94"/>
      <c r="AA776" s="94"/>
      <c r="AB776" s="94"/>
      <c r="AC776" s="94"/>
      <c r="AD776" s="94"/>
      <c r="AE776" s="94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94"/>
      <c r="C777" s="94"/>
      <c r="D777" s="94"/>
      <c r="E777" s="94"/>
      <c r="F777" s="94"/>
      <c r="G777" s="94"/>
      <c r="H777" s="62"/>
      <c r="I777" s="94"/>
      <c r="J777" s="74"/>
      <c r="K777" s="62"/>
      <c r="L777" s="62"/>
      <c r="M777" s="62"/>
      <c r="N777" s="94"/>
      <c r="O777" s="94"/>
      <c r="P777" s="94"/>
      <c r="Q777" s="94"/>
      <c r="R777" s="94"/>
      <c r="S777" s="94"/>
      <c r="T777" s="62"/>
      <c r="U777" s="94"/>
      <c r="V777" s="74"/>
      <c r="W777" s="62"/>
      <c r="X777" s="62"/>
      <c r="Y777" s="62"/>
      <c r="Z777" s="94"/>
      <c r="AA777" s="94"/>
      <c r="AB777" s="94"/>
      <c r="AC777" s="94"/>
      <c r="AD777" s="94"/>
      <c r="AE777" s="94"/>
      <c r="AF777" s="62"/>
      <c r="AG777" s="94"/>
      <c r="AH777" s="94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94"/>
      <c r="C778" s="94"/>
      <c r="D778" s="94"/>
      <c r="E778" s="94"/>
      <c r="F778" s="94"/>
      <c r="G778" s="94"/>
      <c r="H778" s="62"/>
      <c r="I778" s="65"/>
      <c r="J778" s="65"/>
      <c r="K778" s="62"/>
      <c r="L778" s="62"/>
      <c r="M778" s="64"/>
      <c r="N778" s="94"/>
      <c r="O778" s="94"/>
      <c r="P778" s="94"/>
      <c r="Q778" s="94"/>
      <c r="R778" s="94"/>
      <c r="S778" s="94"/>
      <c r="T778" s="62"/>
      <c r="U778" s="65"/>
      <c r="V778" s="65"/>
      <c r="W778" s="62"/>
      <c r="X778" s="62"/>
      <c r="Y778" s="64"/>
      <c r="Z778" s="94"/>
      <c r="AA778" s="94"/>
      <c r="AB778" s="94"/>
      <c r="AC778" s="94"/>
      <c r="AD778" s="94"/>
      <c r="AE778" s="94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94"/>
      <c r="C779" s="94"/>
      <c r="D779" s="94"/>
      <c r="E779" s="94"/>
      <c r="F779" s="94"/>
      <c r="G779" s="94"/>
      <c r="H779" s="62"/>
      <c r="I779" s="62"/>
      <c r="J779" s="62"/>
      <c r="K779" s="62"/>
      <c r="L779" s="62"/>
      <c r="M779" s="62"/>
      <c r="N779" s="94"/>
      <c r="O779" s="94"/>
      <c r="P779" s="94"/>
      <c r="Q779" s="94"/>
      <c r="R779" s="94"/>
      <c r="S779" s="94"/>
      <c r="T779" s="62"/>
      <c r="U779" s="62"/>
      <c r="V779" s="62"/>
      <c r="W779" s="62"/>
      <c r="X779" s="62"/>
      <c r="Y779" s="62"/>
      <c r="Z779" s="94"/>
      <c r="AA779" s="94"/>
      <c r="AB779" s="94"/>
      <c r="AC779" s="94"/>
      <c r="AD779" s="94"/>
      <c r="AE779" s="94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94"/>
      <c r="D780" s="104"/>
      <c r="E780" s="104"/>
      <c r="F780" s="94"/>
      <c r="G780" s="94"/>
      <c r="H780" s="62"/>
      <c r="I780" s="104"/>
      <c r="J780" s="104"/>
      <c r="K780" s="103"/>
      <c r="L780" s="62"/>
      <c r="M780" s="62"/>
      <c r="N780" s="65"/>
      <c r="O780" s="94"/>
      <c r="P780" s="104"/>
      <c r="Q780" s="104"/>
      <c r="R780" s="94"/>
      <c r="S780" s="94"/>
      <c r="T780" s="62"/>
      <c r="U780" s="104"/>
      <c r="V780" s="104"/>
      <c r="W780" s="103"/>
      <c r="X780" s="62"/>
      <c r="Y780" s="62"/>
      <c r="Z780" s="65"/>
      <c r="AA780" s="94"/>
      <c r="AB780" s="104"/>
      <c r="AC780" s="104"/>
      <c r="AD780" s="94"/>
      <c r="AE780" s="94"/>
      <c r="AF780" s="62"/>
      <c r="AG780" s="104"/>
      <c r="AH780" s="104"/>
      <c r="AI780" s="103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94"/>
      <c r="C781" s="94"/>
      <c r="D781" s="81"/>
      <c r="E781" s="82"/>
      <c r="F781" s="83"/>
      <c r="G781" s="83"/>
      <c r="H781" s="62"/>
      <c r="I781" s="93"/>
      <c r="J781" s="93"/>
      <c r="K781" s="103"/>
      <c r="L781" s="62"/>
      <c r="M781" s="62"/>
      <c r="N781" s="94"/>
      <c r="O781" s="94"/>
      <c r="P781" s="81"/>
      <c r="Q781" s="83"/>
      <c r="R781" s="83"/>
      <c r="S781" s="83"/>
      <c r="T781" s="62"/>
      <c r="U781" s="93"/>
      <c r="V781" s="93"/>
      <c r="W781" s="103"/>
      <c r="X781" s="62"/>
      <c r="Y781" s="62"/>
      <c r="Z781" s="94"/>
      <c r="AA781" s="94"/>
      <c r="AB781" s="81"/>
      <c r="AC781" s="83"/>
      <c r="AD781" s="83"/>
      <c r="AE781" s="83"/>
      <c r="AF781" s="62"/>
      <c r="AG781" s="93"/>
      <c r="AH781" s="93"/>
      <c r="AI781" s="103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92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94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94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92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94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94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92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65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94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92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94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94"/>
      <c r="AB785" s="60"/>
      <c r="AC785" s="60"/>
      <c r="AD785" s="60"/>
      <c r="AE785" s="60"/>
      <c r="AF785" s="61"/>
      <c r="AG785" s="62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92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94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94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92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94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94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92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94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94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92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94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94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65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94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94"/>
      <c r="AB790" s="62"/>
      <c r="AC790" s="60"/>
      <c r="AD790" s="60"/>
      <c r="AE790" s="60"/>
      <c r="AF790" s="61"/>
      <c r="AG790" s="62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92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62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94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92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94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65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92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94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94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92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94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94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92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94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94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92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94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94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92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62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62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92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94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94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94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94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94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92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62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94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92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94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94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92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94"/>
      <c r="P802" s="67"/>
      <c r="Q802" s="94"/>
      <c r="R802" s="94"/>
      <c r="S802" s="60"/>
      <c r="T802" s="62"/>
      <c r="U802" s="62"/>
      <c r="V802" s="62"/>
      <c r="W802" s="61"/>
      <c r="X802" s="62"/>
      <c r="Y802" s="62"/>
      <c r="Z802" s="66"/>
      <c r="AA802" s="94"/>
      <c r="AB802" s="67"/>
      <c r="AC802" s="94"/>
      <c r="AD802" s="94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92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94"/>
      <c r="P803" s="68"/>
      <c r="Q803" s="94"/>
      <c r="R803" s="94"/>
      <c r="S803" s="60"/>
      <c r="T803" s="62"/>
      <c r="U803" s="62"/>
      <c r="V803" s="62"/>
      <c r="W803" s="61"/>
      <c r="X803" s="62"/>
      <c r="Y803" s="62"/>
      <c r="Z803" s="66"/>
      <c r="AA803" s="94"/>
      <c r="AB803" s="68"/>
      <c r="AC803" s="94"/>
      <c r="AD803" s="94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92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94"/>
      <c r="P804" s="69"/>
      <c r="Q804" s="62"/>
      <c r="R804" s="62"/>
      <c r="S804" s="60"/>
      <c r="T804" s="62"/>
      <c r="U804" s="62"/>
      <c r="V804" s="62"/>
      <c r="W804" s="61"/>
      <c r="X804" s="62"/>
      <c r="Y804" s="62"/>
      <c r="Z804" s="66"/>
      <c r="AA804" s="94"/>
      <c r="AB804" s="69"/>
      <c r="AC804" s="62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94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94"/>
      <c r="P805" s="69"/>
      <c r="Q805" s="94"/>
      <c r="R805" s="94"/>
      <c r="S805" s="60"/>
      <c r="T805" s="62"/>
      <c r="U805" s="62"/>
      <c r="V805" s="62"/>
      <c r="W805" s="61"/>
      <c r="X805" s="62"/>
      <c r="Y805" s="62"/>
      <c r="Z805" s="66"/>
      <c r="AA805" s="94"/>
      <c r="AB805" s="69"/>
      <c r="AC805" s="94"/>
      <c r="AD805" s="94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94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62"/>
      <c r="P806" s="69"/>
      <c r="Q806" s="94"/>
      <c r="R806" s="94"/>
      <c r="S806" s="60"/>
      <c r="T806" s="62"/>
      <c r="U806" s="62"/>
      <c r="V806" s="62"/>
      <c r="W806" s="61"/>
      <c r="X806" s="62"/>
      <c r="Y806" s="62"/>
      <c r="Z806" s="66"/>
      <c r="AA806" s="65"/>
      <c r="AB806" s="69"/>
      <c r="AC806" s="94"/>
      <c r="AD806" s="94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65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62"/>
      <c r="P807" s="69"/>
      <c r="Q807" s="94"/>
      <c r="R807" s="94"/>
      <c r="S807" s="60"/>
      <c r="T807" s="62"/>
      <c r="U807" s="62"/>
      <c r="V807" s="62"/>
      <c r="W807" s="61"/>
      <c r="X807" s="62"/>
      <c r="Y807" s="62"/>
      <c r="Z807" s="66"/>
      <c r="AA807" s="62"/>
      <c r="AB807" s="69"/>
      <c r="AC807" s="94"/>
      <c r="AD807" s="94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94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94"/>
      <c r="P808" s="69"/>
      <c r="Q808" s="94"/>
      <c r="R808" s="94"/>
      <c r="S808" s="60"/>
      <c r="T808" s="62"/>
      <c r="U808" s="62"/>
      <c r="V808" s="62"/>
      <c r="W808" s="61"/>
      <c r="X808" s="62"/>
      <c r="Y808" s="62"/>
      <c r="Z808" s="66"/>
      <c r="AA808" s="94"/>
      <c r="AB808" s="69"/>
      <c r="AC808" s="94"/>
      <c r="AD808" s="94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94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94"/>
      <c r="P809" s="69"/>
      <c r="Q809" s="94"/>
      <c r="R809" s="94"/>
      <c r="S809" s="60"/>
      <c r="T809" s="62"/>
      <c r="U809" s="62"/>
      <c r="V809" s="62"/>
      <c r="W809" s="61"/>
      <c r="X809" s="62"/>
      <c r="Y809" s="62"/>
      <c r="Z809" s="66"/>
      <c r="AA809" s="94"/>
      <c r="AB809" s="69"/>
      <c r="AC809" s="94"/>
      <c r="AD809" s="94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94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62"/>
      <c r="P810" s="69"/>
      <c r="Q810" s="94"/>
      <c r="R810" s="94"/>
      <c r="S810" s="60"/>
      <c r="T810" s="62"/>
      <c r="U810" s="62"/>
      <c r="V810" s="62"/>
      <c r="W810" s="61"/>
      <c r="X810" s="62"/>
      <c r="Y810" s="62"/>
      <c r="Z810" s="66"/>
      <c r="AA810" s="94"/>
      <c r="AB810" s="69"/>
      <c r="AC810" s="94"/>
      <c r="AD810" s="94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94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62"/>
      <c r="P811" s="69"/>
      <c r="Q811" s="94"/>
      <c r="R811" s="94"/>
      <c r="S811" s="60"/>
      <c r="T811" s="62"/>
      <c r="U811" s="62"/>
      <c r="V811" s="62"/>
      <c r="W811" s="61"/>
      <c r="X811" s="62"/>
      <c r="Y811" s="62"/>
      <c r="Z811" s="66"/>
      <c r="AA811" s="62"/>
      <c r="AB811" s="69"/>
      <c r="AC811" s="94"/>
      <c r="AD811" s="94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94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94"/>
      <c r="P812" s="69"/>
      <c r="Q812" s="94"/>
      <c r="R812" s="94"/>
      <c r="S812" s="60"/>
      <c r="T812" s="62"/>
      <c r="U812" s="62"/>
      <c r="V812" s="62"/>
      <c r="W812" s="61"/>
      <c r="X812" s="62"/>
      <c r="Y812" s="62"/>
      <c r="Z812" s="66"/>
      <c r="AA812" s="62"/>
      <c r="AB812" s="69"/>
      <c r="AC812" s="94"/>
      <c r="AD812" s="94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94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62"/>
      <c r="P813" s="69"/>
      <c r="Q813" s="94"/>
      <c r="R813" s="94"/>
      <c r="S813" s="60"/>
      <c r="T813" s="62"/>
      <c r="U813" s="62"/>
      <c r="V813" s="62"/>
      <c r="W813" s="61"/>
      <c r="X813" s="62"/>
      <c r="Y813" s="62"/>
      <c r="Z813" s="66"/>
      <c r="AA813" s="94"/>
      <c r="AB813" s="69"/>
      <c r="AC813" s="94"/>
      <c r="AD813" s="94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9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94"/>
      <c r="P814" s="69"/>
      <c r="Q814" s="94"/>
      <c r="R814" s="94"/>
      <c r="S814" s="60"/>
      <c r="T814" s="62"/>
      <c r="U814" s="62"/>
      <c r="V814" s="62"/>
      <c r="W814" s="61"/>
      <c r="X814" s="62"/>
      <c r="Y814" s="62"/>
      <c r="Z814" s="66"/>
      <c r="AA814" s="94"/>
      <c r="AB814" s="69"/>
      <c r="AC814" s="94"/>
      <c r="AD814" s="94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9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94"/>
      <c r="P815" s="69"/>
      <c r="Q815" s="94"/>
      <c r="R815" s="94"/>
      <c r="S815" s="60"/>
      <c r="T815" s="62"/>
      <c r="U815" s="62"/>
      <c r="V815" s="62"/>
      <c r="W815" s="61"/>
      <c r="X815" s="62"/>
      <c r="Y815" s="62"/>
      <c r="Z815" s="66"/>
      <c r="AA815" s="62"/>
      <c r="AB815" s="69"/>
      <c r="AC815" s="94"/>
      <c r="AD815" s="94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94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94"/>
      <c r="P816" s="69"/>
      <c r="Q816" s="94"/>
      <c r="R816" s="94"/>
      <c r="S816" s="60"/>
      <c r="T816" s="62"/>
      <c r="U816" s="62"/>
      <c r="V816" s="62"/>
      <c r="W816" s="61"/>
      <c r="X816" s="62"/>
      <c r="Y816" s="62"/>
      <c r="Z816" s="66"/>
      <c r="AA816" s="94"/>
      <c r="AB816" s="69"/>
      <c r="AC816" s="94"/>
      <c r="AD816" s="94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94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94"/>
      <c r="P817" s="69"/>
      <c r="Q817" s="94"/>
      <c r="R817" s="94"/>
      <c r="S817" s="60"/>
      <c r="T817" s="62"/>
      <c r="U817" s="62"/>
      <c r="V817" s="62"/>
      <c r="W817" s="61"/>
      <c r="X817" s="62"/>
      <c r="Y817" s="62"/>
      <c r="Z817" s="66"/>
      <c r="AA817" s="94"/>
      <c r="AB817" s="69"/>
      <c r="AC817" s="94"/>
      <c r="AD817" s="94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94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62"/>
      <c r="P818" s="69"/>
      <c r="Q818" s="94"/>
      <c r="R818" s="94"/>
      <c r="S818" s="60"/>
      <c r="T818" s="62"/>
      <c r="U818" s="62"/>
      <c r="V818" s="62"/>
      <c r="W818" s="61"/>
      <c r="X818" s="62"/>
      <c r="Y818" s="62"/>
      <c r="Z818" s="66"/>
      <c r="AA818" s="94"/>
      <c r="AB818" s="69"/>
      <c r="AC818" s="94"/>
      <c r="AD818" s="94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94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94"/>
      <c r="P819" s="69"/>
      <c r="Q819" s="94"/>
      <c r="R819" s="94"/>
      <c r="S819" s="60"/>
      <c r="T819" s="62"/>
      <c r="U819" s="62"/>
      <c r="V819" s="62"/>
      <c r="W819" s="61"/>
      <c r="X819" s="62"/>
      <c r="Y819" s="62"/>
      <c r="Z819" s="66"/>
      <c r="AA819" s="94"/>
      <c r="AB819" s="69"/>
      <c r="AC819" s="94"/>
      <c r="AD819" s="94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94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94"/>
      <c r="P820" s="69"/>
      <c r="Q820" s="94"/>
      <c r="R820" s="94"/>
      <c r="S820" s="60"/>
      <c r="T820" s="62"/>
      <c r="U820" s="62"/>
      <c r="V820" s="62"/>
      <c r="W820" s="61"/>
      <c r="X820" s="62"/>
      <c r="Y820" s="62"/>
      <c r="Z820" s="66"/>
      <c r="AA820" s="94"/>
      <c r="AB820" s="69"/>
      <c r="AC820" s="94"/>
      <c r="AD820" s="94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94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94"/>
      <c r="R821" s="94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94"/>
      <c r="AD821" s="94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94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94"/>
      <c r="P822" s="69"/>
      <c r="Q822" s="94"/>
      <c r="R822" s="94"/>
      <c r="S822" s="60"/>
      <c r="T822" s="62"/>
      <c r="U822" s="62"/>
      <c r="V822" s="62"/>
      <c r="W822" s="61"/>
      <c r="X822" s="62"/>
      <c r="Y822" s="62"/>
      <c r="Z822" s="66"/>
      <c r="AA822" s="94"/>
      <c r="AB822" s="69"/>
      <c r="AC822" s="94"/>
      <c r="AD822" s="94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94"/>
      <c r="O823" s="94"/>
      <c r="P823" s="94"/>
      <c r="Q823" s="94"/>
      <c r="R823" s="94"/>
      <c r="S823" s="94"/>
      <c r="T823" s="62"/>
      <c r="U823" s="62"/>
      <c r="V823" s="62"/>
      <c r="W823" s="61"/>
      <c r="X823" s="62"/>
      <c r="Y823" s="62"/>
      <c r="Z823" s="94"/>
      <c r="AA823" s="94"/>
      <c r="AB823" s="94"/>
      <c r="AC823" s="94"/>
      <c r="AD823" s="94"/>
      <c r="AE823" s="94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94"/>
      <c r="C824" s="94"/>
      <c r="D824" s="94"/>
      <c r="E824" s="94"/>
      <c r="F824" s="94"/>
      <c r="G824" s="94"/>
      <c r="H824" s="62"/>
      <c r="I824" s="62"/>
      <c r="J824" s="62"/>
      <c r="K824" s="62"/>
      <c r="L824" s="62"/>
      <c r="M824" s="62"/>
      <c r="N824" s="94"/>
      <c r="O824" s="94"/>
      <c r="P824" s="94"/>
      <c r="Q824" s="94"/>
      <c r="R824" s="94"/>
      <c r="S824" s="94"/>
      <c r="T824" s="62"/>
      <c r="U824" s="62"/>
      <c r="V824" s="62"/>
      <c r="W824" s="62"/>
      <c r="X824" s="62"/>
      <c r="Y824" s="62"/>
      <c r="Z824" s="94"/>
      <c r="AA824" s="94"/>
      <c r="AB824" s="94"/>
      <c r="AC824" s="94"/>
      <c r="AD824" s="94"/>
      <c r="AE824" s="94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94"/>
      <c r="C825" s="94"/>
      <c r="D825" s="70"/>
      <c r="E825" s="70"/>
      <c r="F825" s="70"/>
      <c r="G825" s="70"/>
      <c r="H825" s="63"/>
      <c r="I825" s="70"/>
      <c r="J825" s="70"/>
      <c r="K825" s="70"/>
      <c r="L825" s="62"/>
      <c r="M825" s="62"/>
      <c r="N825" s="94"/>
      <c r="O825" s="94"/>
      <c r="P825" s="70"/>
      <c r="Q825" s="70"/>
      <c r="R825" s="70"/>
      <c r="S825" s="70"/>
      <c r="T825" s="63"/>
      <c r="U825" s="71"/>
      <c r="V825" s="71"/>
      <c r="W825" s="71"/>
      <c r="X825" s="62"/>
      <c r="Y825" s="62"/>
      <c r="Z825" s="94"/>
      <c r="AA825" s="94"/>
      <c r="AB825" s="70"/>
      <c r="AC825" s="70"/>
      <c r="AD825" s="70"/>
      <c r="AE825" s="70"/>
      <c r="AF825" s="63"/>
      <c r="AG825" s="71"/>
      <c r="AH825" s="71"/>
      <c r="AI825" s="71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94"/>
      <c r="C827" s="94"/>
      <c r="D827" s="94"/>
      <c r="E827" s="94"/>
      <c r="F827" s="94"/>
      <c r="G827" s="94"/>
      <c r="H827" s="62"/>
      <c r="I827" s="62"/>
      <c r="J827" s="62"/>
      <c r="K827" s="62"/>
      <c r="L827" s="62"/>
      <c r="M827" s="62"/>
      <c r="N827" s="94"/>
      <c r="O827" s="94"/>
      <c r="P827" s="94"/>
      <c r="Q827" s="94"/>
      <c r="R827" s="94"/>
      <c r="S827" s="94"/>
      <c r="T827" s="62"/>
      <c r="U827" s="62"/>
      <c r="V827" s="62"/>
      <c r="W827" s="62"/>
      <c r="X827" s="62"/>
      <c r="Y827" s="62"/>
      <c r="Z827" s="94"/>
      <c r="AA827" s="94"/>
      <c r="AB827" s="94"/>
      <c r="AC827" s="94"/>
      <c r="AD827" s="94"/>
      <c r="AE827" s="94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94"/>
      <c r="C828" s="94"/>
      <c r="D828" s="94"/>
      <c r="E828" s="94"/>
      <c r="F828" s="94"/>
      <c r="G828" s="94"/>
      <c r="H828" s="62"/>
      <c r="I828" s="62"/>
      <c r="J828" s="62"/>
      <c r="K828" s="62"/>
      <c r="L828" s="62"/>
      <c r="M828" s="62"/>
      <c r="N828" s="94"/>
      <c r="O828" s="94"/>
      <c r="P828" s="94"/>
      <c r="Q828" s="94"/>
      <c r="R828" s="94"/>
      <c r="S828" s="94"/>
      <c r="T828" s="62"/>
      <c r="U828" s="62"/>
      <c r="V828" s="62"/>
      <c r="W828" s="62"/>
      <c r="X828" s="62"/>
      <c r="Y828" s="62"/>
      <c r="Z828" s="94"/>
      <c r="AA828" s="94"/>
      <c r="AB828" s="94"/>
      <c r="AC828" s="94"/>
      <c r="AD828" s="94"/>
      <c r="AE828" s="94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94"/>
      <c r="C829" s="94"/>
      <c r="D829" s="94"/>
      <c r="E829" s="94"/>
      <c r="F829" s="94"/>
      <c r="G829" s="94"/>
      <c r="H829" s="62"/>
      <c r="I829" s="62"/>
      <c r="J829" s="62"/>
      <c r="K829" s="62"/>
      <c r="L829" s="62"/>
      <c r="M829" s="62"/>
      <c r="N829" s="94"/>
      <c r="O829" s="94"/>
      <c r="P829" s="94"/>
      <c r="Q829" s="94"/>
      <c r="R829" s="94"/>
      <c r="S829" s="94"/>
      <c r="T829" s="62"/>
      <c r="U829" s="62"/>
      <c r="V829" s="62"/>
      <c r="W829" s="62"/>
      <c r="X829" s="62"/>
      <c r="Y829" s="62"/>
      <c r="Z829" s="94"/>
      <c r="AA829" s="94"/>
      <c r="AB829" s="94"/>
      <c r="AC829" s="94"/>
      <c r="AD829" s="94"/>
      <c r="AE829" s="94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94"/>
      <c r="C830" s="94"/>
      <c r="D830" s="94"/>
      <c r="E830" s="94"/>
      <c r="F830" s="94"/>
      <c r="G830" s="94"/>
      <c r="H830" s="62"/>
      <c r="I830" s="62"/>
      <c r="J830" s="62"/>
      <c r="K830" s="62"/>
      <c r="L830" s="62"/>
      <c r="M830" s="63"/>
      <c r="N830" s="94"/>
      <c r="O830" s="94"/>
      <c r="P830" s="94"/>
      <c r="Q830" s="94"/>
      <c r="R830" s="94"/>
      <c r="S830" s="94"/>
      <c r="T830" s="62"/>
      <c r="U830" s="62"/>
      <c r="V830" s="62"/>
      <c r="W830" s="62"/>
      <c r="X830" s="62"/>
      <c r="Y830" s="63"/>
      <c r="Z830" s="94"/>
      <c r="AA830" s="94"/>
      <c r="AB830" s="94"/>
      <c r="AC830" s="94"/>
      <c r="AD830" s="94"/>
      <c r="AE830" s="94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94"/>
      <c r="C831" s="94"/>
      <c r="D831" s="94"/>
      <c r="E831" s="94"/>
      <c r="F831" s="94"/>
      <c r="G831" s="94"/>
      <c r="H831" s="62"/>
      <c r="I831" s="62"/>
      <c r="J831" s="62"/>
      <c r="K831" s="62"/>
      <c r="L831" s="62"/>
      <c r="M831" s="62"/>
      <c r="N831" s="94"/>
      <c r="O831" s="94"/>
      <c r="P831" s="94"/>
      <c r="Q831" s="94"/>
      <c r="R831" s="94"/>
      <c r="S831" s="94"/>
      <c r="T831" s="62"/>
      <c r="U831" s="62"/>
      <c r="V831" s="62"/>
      <c r="W831" s="62"/>
      <c r="X831" s="62"/>
      <c r="Y831" s="62"/>
      <c r="Z831" s="94"/>
      <c r="AA831" s="94"/>
      <c r="AB831" s="94"/>
      <c r="AC831" s="94"/>
      <c r="AD831" s="94"/>
      <c r="AE831" s="94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94"/>
      <c r="C832" s="94"/>
      <c r="D832" s="94"/>
      <c r="E832" s="94"/>
      <c r="F832" s="94"/>
      <c r="G832" s="94"/>
      <c r="H832" s="62"/>
      <c r="I832" s="94"/>
      <c r="J832" s="74"/>
      <c r="K832" s="62"/>
      <c r="L832" s="62"/>
      <c r="M832" s="62"/>
      <c r="N832" s="94"/>
      <c r="O832" s="94"/>
      <c r="P832" s="94"/>
      <c r="Q832" s="94"/>
      <c r="R832" s="94"/>
      <c r="S832" s="94"/>
      <c r="T832" s="62"/>
      <c r="U832" s="94"/>
      <c r="V832" s="74"/>
      <c r="W832" s="62"/>
      <c r="X832" s="62"/>
      <c r="Y832" s="62"/>
      <c r="Z832" s="94"/>
      <c r="AA832" s="94"/>
      <c r="AB832" s="94"/>
      <c r="AC832" s="94"/>
      <c r="AD832" s="94"/>
      <c r="AE832" s="94"/>
      <c r="AF832" s="62"/>
      <c r="AG832" s="94"/>
      <c r="AH832" s="94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94"/>
      <c r="C833" s="94"/>
      <c r="D833" s="94"/>
      <c r="E833" s="94"/>
      <c r="F833" s="94"/>
      <c r="G833" s="94"/>
      <c r="H833" s="62"/>
      <c r="I833" s="65"/>
      <c r="J833" s="65"/>
      <c r="K833" s="62"/>
      <c r="L833" s="62"/>
      <c r="M833" s="64"/>
      <c r="N833" s="94"/>
      <c r="O833" s="94"/>
      <c r="P833" s="94"/>
      <c r="Q833" s="94"/>
      <c r="R833" s="94"/>
      <c r="S833" s="94"/>
      <c r="T833" s="62"/>
      <c r="U833" s="65"/>
      <c r="V833" s="65"/>
      <c r="W833" s="62"/>
      <c r="X833" s="62"/>
      <c r="Y833" s="64"/>
      <c r="Z833" s="94"/>
      <c r="AA833" s="94"/>
      <c r="AB833" s="94"/>
      <c r="AC833" s="94"/>
      <c r="AD833" s="94"/>
      <c r="AE833" s="94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94"/>
      <c r="C834" s="94"/>
      <c r="D834" s="94"/>
      <c r="E834" s="94"/>
      <c r="F834" s="94"/>
      <c r="G834" s="94"/>
      <c r="H834" s="62"/>
      <c r="I834" s="62"/>
      <c r="J834" s="62"/>
      <c r="K834" s="62"/>
      <c r="L834" s="62"/>
      <c r="M834" s="62"/>
      <c r="N834" s="94"/>
      <c r="O834" s="94"/>
      <c r="P834" s="94"/>
      <c r="Q834" s="94"/>
      <c r="R834" s="94"/>
      <c r="S834" s="94"/>
      <c r="T834" s="62"/>
      <c r="U834" s="62"/>
      <c r="V834" s="62"/>
      <c r="W834" s="62"/>
      <c r="X834" s="62"/>
      <c r="Y834" s="62"/>
      <c r="Z834" s="94"/>
      <c r="AA834" s="94"/>
      <c r="AB834" s="94"/>
      <c r="AC834" s="94"/>
      <c r="AD834" s="94"/>
      <c r="AE834" s="94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94"/>
      <c r="D835" s="104"/>
      <c r="E835" s="104"/>
      <c r="F835" s="94"/>
      <c r="G835" s="94"/>
      <c r="H835" s="62"/>
      <c r="I835" s="104"/>
      <c r="J835" s="104"/>
      <c r="K835" s="103"/>
      <c r="L835" s="62"/>
      <c r="M835" s="62"/>
      <c r="N835" s="65"/>
      <c r="O835" s="94"/>
      <c r="P835" s="104"/>
      <c r="Q835" s="104"/>
      <c r="R835" s="94"/>
      <c r="S835" s="94"/>
      <c r="T835" s="62"/>
      <c r="U835" s="104"/>
      <c r="V835" s="104"/>
      <c r="W835" s="103"/>
      <c r="X835" s="62"/>
      <c r="Y835" s="62"/>
      <c r="Z835" s="65"/>
      <c r="AA835" s="94"/>
      <c r="AB835" s="104"/>
      <c r="AC835" s="104"/>
      <c r="AD835" s="94"/>
      <c r="AE835" s="94"/>
      <c r="AF835" s="62"/>
      <c r="AG835" s="104"/>
      <c r="AH835" s="104"/>
      <c r="AI835" s="103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94"/>
      <c r="C836" s="94"/>
      <c r="D836" s="81"/>
      <c r="E836" s="82"/>
      <c r="F836" s="83"/>
      <c r="G836" s="83"/>
      <c r="H836" s="62"/>
      <c r="I836" s="93"/>
      <c r="J836" s="93"/>
      <c r="K836" s="103"/>
      <c r="L836" s="62"/>
      <c r="M836" s="62"/>
      <c r="N836" s="94"/>
      <c r="O836" s="94"/>
      <c r="P836" s="81"/>
      <c r="Q836" s="83"/>
      <c r="R836" s="83"/>
      <c r="S836" s="83"/>
      <c r="T836" s="62"/>
      <c r="U836" s="93"/>
      <c r="V836" s="93"/>
      <c r="W836" s="103"/>
      <c r="X836" s="62"/>
      <c r="Y836" s="62"/>
      <c r="Z836" s="94"/>
      <c r="AA836" s="94"/>
      <c r="AB836" s="81"/>
      <c r="AC836" s="83"/>
      <c r="AD836" s="83"/>
      <c r="AE836" s="83"/>
      <c r="AF836" s="62"/>
      <c r="AG836" s="93"/>
      <c r="AH836" s="93"/>
      <c r="AI836" s="103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92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94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94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92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94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94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65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94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94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92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94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94"/>
      <c r="AB840" s="60"/>
      <c r="AC840" s="60"/>
      <c r="AD840" s="60"/>
      <c r="AE840" s="60"/>
      <c r="AF840" s="61"/>
      <c r="AG840" s="62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92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94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94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92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94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94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92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94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94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92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94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94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92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94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94"/>
      <c r="AB845" s="62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92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94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94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94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94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65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92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94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94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92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94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94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92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94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94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92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94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94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92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94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62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92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94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94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94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94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94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92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94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94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92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65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94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92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94"/>
      <c r="P857" s="67"/>
      <c r="Q857" s="94"/>
      <c r="R857" s="94"/>
      <c r="S857" s="60"/>
      <c r="T857" s="62"/>
      <c r="U857" s="62"/>
      <c r="V857" s="62"/>
      <c r="W857" s="61"/>
      <c r="X857" s="62"/>
      <c r="Y857" s="62"/>
      <c r="Z857" s="66"/>
      <c r="AA857" s="94"/>
      <c r="AB857" s="67"/>
      <c r="AC857" s="94"/>
      <c r="AD857" s="94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92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94"/>
      <c r="P858" s="68"/>
      <c r="Q858" s="94"/>
      <c r="R858" s="94"/>
      <c r="S858" s="60"/>
      <c r="T858" s="62"/>
      <c r="U858" s="62"/>
      <c r="V858" s="62"/>
      <c r="W858" s="61"/>
      <c r="X858" s="62"/>
      <c r="Y858" s="62"/>
      <c r="Z858" s="66"/>
      <c r="AA858" s="94"/>
      <c r="AB858" s="68"/>
      <c r="AC858" s="94"/>
      <c r="AD858" s="94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92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94"/>
      <c r="P859" s="69"/>
      <c r="Q859" s="62"/>
      <c r="R859" s="62"/>
      <c r="S859" s="60"/>
      <c r="T859" s="62"/>
      <c r="U859" s="62"/>
      <c r="V859" s="62"/>
      <c r="W859" s="61"/>
      <c r="X859" s="62"/>
      <c r="Y859" s="62"/>
      <c r="Z859" s="66"/>
      <c r="AA859" s="94"/>
      <c r="AB859" s="69"/>
      <c r="AC859" s="62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94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94"/>
      <c r="P860" s="69"/>
      <c r="Q860" s="94"/>
      <c r="R860" s="94"/>
      <c r="S860" s="60"/>
      <c r="T860" s="62"/>
      <c r="U860" s="62"/>
      <c r="V860" s="62"/>
      <c r="W860" s="61"/>
      <c r="X860" s="62"/>
      <c r="Y860" s="62"/>
      <c r="Z860" s="66"/>
      <c r="AA860" s="94"/>
      <c r="AB860" s="69"/>
      <c r="AC860" s="94"/>
      <c r="AD860" s="94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94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62"/>
      <c r="P861" s="69"/>
      <c r="Q861" s="94"/>
      <c r="R861" s="94"/>
      <c r="S861" s="60"/>
      <c r="T861" s="62"/>
      <c r="U861" s="62"/>
      <c r="V861" s="62"/>
      <c r="W861" s="61"/>
      <c r="X861" s="62"/>
      <c r="Y861" s="62"/>
      <c r="Z861" s="66"/>
      <c r="AA861" s="65"/>
      <c r="AB861" s="69"/>
      <c r="AC861" s="94"/>
      <c r="AD861" s="94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65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62"/>
      <c r="P862" s="69"/>
      <c r="Q862" s="94"/>
      <c r="R862" s="94"/>
      <c r="S862" s="60"/>
      <c r="T862" s="62"/>
      <c r="U862" s="62"/>
      <c r="V862" s="62"/>
      <c r="W862" s="61"/>
      <c r="X862" s="62"/>
      <c r="Y862" s="62"/>
      <c r="Z862" s="66"/>
      <c r="AA862" s="62"/>
      <c r="AB862" s="69"/>
      <c r="AC862" s="94"/>
      <c r="AD862" s="94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94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94"/>
      <c r="P863" s="69"/>
      <c r="Q863" s="94"/>
      <c r="R863" s="94"/>
      <c r="S863" s="60"/>
      <c r="T863" s="62"/>
      <c r="U863" s="62"/>
      <c r="V863" s="62"/>
      <c r="W863" s="61"/>
      <c r="X863" s="62"/>
      <c r="Y863" s="62"/>
      <c r="Z863" s="66"/>
      <c r="AA863" s="94"/>
      <c r="AB863" s="69"/>
      <c r="AC863" s="94"/>
      <c r="AD863" s="94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94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94"/>
      <c r="P864" s="69"/>
      <c r="Q864" s="94"/>
      <c r="R864" s="94"/>
      <c r="S864" s="60"/>
      <c r="T864" s="62"/>
      <c r="U864" s="62"/>
      <c r="V864" s="62"/>
      <c r="W864" s="61"/>
      <c r="X864" s="62"/>
      <c r="Y864" s="62"/>
      <c r="Z864" s="66"/>
      <c r="AA864" s="94"/>
      <c r="AB864" s="69"/>
      <c r="AC864" s="94"/>
      <c r="AD864" s="94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94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62"/>
      <c r="P865" s="69"/>
      <c r="Q865" s="94"/>
      <c r="R865" s="94"/>
      <c r="S865" s="60"/>
      <c r="T865" s="62"/>
      <c r="U865" s="62"/>
      <c r="V865" s="62"/>
      <c r="W865" s="61"/>
      <c r="X865" s="62"/>
      <c r="Y865" s="62"/>
      <c r="Z865" s="66"/>
      <c r="AA865" s="94"/>
      <c r="AB865" s="69"/>
      <c r="AC865" s="94"/>
      <c r="AD865" s="94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94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62"/>
      <c r="P866" s="69"/>
      <c r="Q866" s="94"/>
      <c r="R866" s="94"/>
      <c r="S866" s="60"/>
      <c r="T866" s="62"/>
      <c r="U866" s="62"/>
      <c r="V866" s="62"/>
      <c r="W866" s="61"/>
      <c r="X866" s="62"/>
      <c r="Y866" s="62"/>
      <c r="Z866" s="66"/>
      <c r="AA866" s="62"/>
      <c r="AB866" s="69"/>
      <c r="AC866" s="94"/>
      <c r="AD866" s="94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94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94"/>
      <c r="P867" s="69"/>
      <c r="Q867" s="94"/>
      <c r="R867" s="94"/>
      <c r="S867" s="60"/>
      <c r="T867" s="62"/>
      <c r="U867" s="62"/>
      <c r="V867" s="62"/>
      <c r="W867" s="61"/>
      <c r="X867" s="62"/>
      <c r="Y867" s="62"/>
      <c r="Z867" s="66"/>
      <c r="AA867" s="62"/>
      <c r="AB867" s="69"/>
      <c r="AC867" s="94"/>
      <c r="AD867" s="94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94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62"/>
      <c r="P868" s="69"/>
      <c r="Q868" s="94"/>
      <c r="R868" s="94"/>
      <c r="S868" s="60"/>
      <c r="T868" s="62"/>
      <c r="U868" s="62"/>
      <c r="V868" s="62"/>
      <c r="W868" s="61"/>
      <c r="X868" s="62"/>
      <c r="Y868" s="62"/>
      <c r="Z868" s="66"/>
      <c r="AA868" s="94"/>
      <c r="AB868" s="69"/>
      <c r="AC868" s="94"/>
      <c r="AD868" s="94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9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94"/>
      <c r="P869" s="69"/>
      <c r="Q869" s="94"/>
      <c r="R869" s="94"/>
      <c r="S869" s="60"/>
      <c r="T869" s="62"/>
      <c r="U869" s="62"/>
      <c r="V869" s="62"/>
      <c r="W869" s="61"/>
      <c r="X869" s="62"/>
      <c r="Y869" s="62"/>
      <c r="Z869" s="66"/>
      <c r="AA869" s="94"/>
      <c r="AB869" s="69"/>
      <c r="AC869" s="94"/>
      <c r="AD869" s="94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9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94"/>
      <c r="P870" s="69"/>
      <c r="Q870" s="94"/>
      <c r="R870" s="94"/>
      <c r="S870" s="60"/>
      <c r="T870" s="62"/>
      <c r="U870" s="62"/>
      <c r="V870" s="62"/>
      <c r="W870" s="61"/>
      <c r="X870" s="62"/>
      <c r="Y870" s="62"/>
      <c r="Z870" s="66"/>
      <c r="AA870" s="62"/>
      <c r="AB870" s="69"/>
      <c r="AC870" s="94"/>
      <c r="AD870" s="94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94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94"/>
      <c r="P871" s="69"/>
      <c r="Q871" s="94"/>
      <c r="R871" s="94"/>
      <c r="S871" s="60"/>
      <c r="T871" s="62"/>
      <c r="U871" s="62"/>
      <c r="V871" s="62"/>
      <c r="W871" s="61"/>
      <c r="X871" s="62"/>
      <c r="Y871" s="62"/>
      <c r="Z871" s="66"/>
      <c r="AA871" s="94"/>
      <c r="AB871" s="69"/>
      <c r="AC871" s="94"/>
      <c r="AD871" s="94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94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94"/>
      <c r="P872" s="69"/>
      <c r="Q872" s="94"/>
      <c r="R872" s="94"/>
      <c r="S872" s="60"/>
      <c r="T872" s="62"/>
      <c r="U872" s="62"/>
      <c r="V872" s="62"/>
      <c r="W872" s="61"/>
      <c r="X872" s="62"/>
      <c r="Y872" s="62"/>
      <c r="Z872" s="66"/>
      <c r="AA872" s="94"/>
      <c r="AB872" s="69"/>
      <c r="AC872" s="94"/>
      <c r="AD872" s="94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94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62"/>
      <c r="P873" s="69"/>
      <c r="Q873" s="94"/>
      <c r="R873" s="94"/>
      <c r="S873" s="60"/>
      <c r="T873" s="62"/>
      <c r="U873" s="62"/>
      <c r="V873" s="62"/>
      <c r="W873" s="61"/>
      <c r="X873" s="62"/>
      <c r="Y873" s="62"/>
      <c r="Z873" s="66"/>
      <c r="AA873" s="94"/>
      <c r="AB873" s="69"/>
      <c r="AC873" s="94"/>
      <c r="AD873" s="94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94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94"/>
      <c r="P874" s="69"/>
      <c r="Q874" s="94"/>
      <c r="R874" s="94"/>
      <c r="S874" s="60"/>
      <c r="T874" s="62"/>
      <c r="U874" s="62"/>
      <c r="V874" s="62"/>
      <c r="W874" s="61"/>
      <c r="X874" s="62"/>
      <c r="Y874" s="62"/>
      <c r="Z874" s="66"/>
      <c r="AA874" s="94"/>
      <c r="AB874" s="69"/>
      <c r="AC874" s="94"/>
      <c r="AD874" s="94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94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94"/>
      <c r="P875" s="69"/>
      <c r="Q875" s="94"/>
      <c r="R875" s="94"/>
      <c r="S875" s="60"/>
      <c r="T875" s="62"/>
      <c r="U875" s="62"/>
      <c r="V875" s="62"/>
      <c r="W875" s="61"/>
      <c r="X875" s="62"/>
      <c r="Y875" s="62"/>
      <c r="Z875" s="66"/>
      <c r="AA875" s="94"/>
      <c r="AB875" s="69"/>
      <c r="AC875" s="94"/>
      <c r="AD875" s="94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94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94"/>
      <c r="R876" s="94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94"/>
      <c r="AD876" s="94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94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94"/>
      <c r="P877" s="69"/>
      <c r="Q877" s="94"/>
      <c r="R877" s="94"/>
      <c r="S877" s="60"/>
      <c r="T877" s="62"/>
      <c r="U877" s="62"/>
      <c r="V877" s="62"/>
      <c r="W877" s="61"/>
      <c r="X877" s="62"/>
      <c r="Y877" s="62"/>
      <c r="Z877" s="66"/>
      <c r="AA877" s="94"/>
      <c r="AB877" s="69"/>
      <c r="AC877" s="94"/>
      <c r="AD877" s="94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94"/>
      <c r="O878" s="94"/>
      <c r="P878" s="94"/>
      <c r="Q878" s="94"/>
      <c r="R878" s="94"/>
      <c r="S878" s="94"/>
      <c r="T878" s="62"/>
      <c r="U878" s="62"/>
      <c r="V878" s="62"/>
      <c r="W878" s="61"/>
      <c r="X878" s="62"/>
      <c r="Y878" s="62"/>
      <c r="Z878" s="94"/>
      <c r="AA878" s="94"/>
      <c r="AB878" s="94"/>
      <c r="AC878" s="94"/>
      <c r="AD878" s="94"/>
      <c r="AE878" s="94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94"/>
      <c r="C879" s="94"/>
      <c r="D879" s="94"/>
      <c r="E879" s="94"/>
      <c r="F879" s="94"/>
      <c r="G879" s="94"/>
      <c r="H879" s="62"/>
      <c r="I879" s="62"/>
      <c r="J879" s="62"/>
      <c r="K879" s="62"/>
      <c r="L879" s="62"/>
      <c r="M879" s="62"/>
      <c r="N879" s="94"/>
      <c r="O879" s="94"/>
      <c r="P879" s="94"/>
      <c r="Q879" s="94"/>
      <c r="R879" s="94"/>
      <c r="S879" s="94"/>
      <c r="T879" s="62"/>
      <c r="U879" s="62"/>
      <c r="V879" s="62"/>
      <c r="W879" s="62"/>
      <c r="X879" s="62"/>
      <c r="Y879" s="62"/>
      <c r="Z879" s="94"/>
      <c r="AA879" s="94"/>
      <c r="AB879" s="94"/>
      <c r="AC879" s="94"/>
      <c r="AD879" s="94"/>
      <c r="AE879" s="94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94"/>
      <c r="C880" s="94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94"/>
      <c r="O880" s="94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94"/>
      <c r="AA880" s="94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94"/>
      <c r="C882" s="94"/>
      <c r="D882" s="94"/>
      <c r="E882" s="94"/>
      <c r="F882" s="94"/>
      <c r="G882" s="94"/>
      <c r="H882" s="62"/>
      <c r="I882" s="62"/>
      <c r="J882" s="62"/>
      <c r="K882" s="62"/>
      <c r="L882" s="62"/>
      <c r="M882" s="62"/>
      <c r="N882" s="94"/>
      <c r="O882" s="94"/>
      <c r="P882" s="94"/>
      <c r="Q882" s="94"/>
      <c r="R882" s="94"/>
      <c r="S882" s="94"/>
      <c r="T882" s="62"/>
      <c r="U882" s="62"/>
      <c r="V882" s="62"/>
      <c r="W882" s="62"/>
      <c r="X882" s="62"/>
      <c r="Y882" s="62"/>
      <c r="Z882" s="94"/>
      <c r="AA882" s="94"/>
      <c r="AB882" s="94"/>
      <c r="AC882" s="94"/>
      <c r="AD882" s="94"/>
      <c r="AE882" s="94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94"/>
      <c r="C883" s="94"/>
      <c r="D883" s="94"/>
      <c r="E883" s="94"/>
      <c r="F883" s="94"/>
      <c r="G883" s="94"/>
      <c r="H883" s="62"/>
      <c r="I883" s="62"/>
      <c r="J883" s="62"/>
      <c r="K883" s="62"/>
      <c r="L883" s="62"/>
      <c r="M883" s="62"/>
      <c r="N883" s="94"/>
      <c r="O883" s="94"/>
      <c r="P883" s="94"/>
      <c r="Q883" s="94"/>
      <c r="R883" s="94"/>
      <c r="S883" s="94"/>
      <c r="T883" s="62"/>
      <c r="U883" s="62"/>
      <c r="V883" s="62"/>
      <c r="W883" s="62"/>
      <c r="X883" s="62"/>
      <c r="Y883" s="62"/>
      <c r="Z883" s="94"/>
      <c r="AA883" s="94"/>
      <c r="AB883" s="94"/>
      <c r="AC883" s="94"/>
      <c r="AD883" s="94"/>
      <c r="AE883" s="94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94"/>
      <c r="C884" s="94"/>
      <c r="D884" s="94"/>
      <c r="E884" s="94"/>
      <c r="F884" s="94"/>
      <c r="G884" s="94"/>
      <c r="H884" s="62"/>
      <c r="I884" s="62"/>
      <c r="J884" s="62"/>
      <c r="K884" s="62"/>
      <c r="L884" s="62"/>
      <c r="M884" s="62"/>
      <c r="N884" s="94"/>
      <c r="O884" s="94"/>
      <c r="P884" s="94"/>
      <c r="Q884" s="94"/>
      <c r="R884" s="94"/>
      <c r="S884" s="94"/>
      <c r="T884" s="62"/>
      <c r="U884" s="62"/>
      <c r="V884" s="62"/>
      <c r="W884" s="62"/>
      <c r="X884" s="62"/>
      <c r="Y884" s="62"/>
      <c r="Z884" s="94"/>
      <c r="AA884" s="94"/>
      <c r="AB884" s="94"/>
      <c r="AC884" s="94"/>
      <c r="AD884" s="94"/>
      <c r="AE884" s="94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94"/>
      <c r="C885" s="94"/>
      <c r="D885" s="94"/>
      <c r="E885" s="94"/>
      <c r="F885" s="94"/>
      <c r="G885" s="94"/>
      <c r="H885" s="62"/>
      <c r="I885" s="62"/>
      <c r="J885" s="62"/>
      <c r="K885" s="62"/>
      <c r="L885" s="62"/>
      <c r="M885" s="63"/>
      <c r="N885" s="94"/>
      <c r="O885" s="94"/>
      <c r="P885" s="94"/>
      <c r="Q885" s="94"/>
      <c r="R885" s="94"/>
      <c r="S885" s="94"/>
      <c r="T885" s="62"/>
      <c r="U885" s="62"/>
      <c r="V885" s="62"/>
      <c r="W885" s="62"/>
      <c r="X885" s="62"/>
      <c r="Y885" s="63"/>
      <c r="Z885" s="94"/>
      <c r="AA885" s="94"/>
      <c r="AB885" s="94"/>
      <c r="AC885" s="94"/>
      <c r="AD885" s="94"/>
      <c r="AE885" s="94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94"/>
      <c r="C886" s="94"/>
      <c r="D886" s="94"/>
      <c r="E886" s="94"/>
      <c r="F886" s="94"/>
      <c r="G886" s="94"/>
      <c r="H886" s="62"/>
      <c r="I886" s="62"/>
      <c r="J886" s="62"/>
      <c r="K886" s="62"/>
      <c r="L886" s="62"/>
      <c r="M886" s="62"/>
      <c r="N886" s="94"/>
      <c r="O886" s="94"/>
      <c r="P886" s="94"/>
      <c r="Q886" s="94"/>
      <c r="R886" s="94"/>
      <c r="S886" s="94"/>
      <c r="T886" s="62"/>
      <c r="U886" s="62"/>
      <c r="V886" s="62"/>
      <c r="W886" s="62"/>
      <c r="X886" s="62"/>
      <c r="Y886" s="62"/>
      <c r="Z886" s="94"/>
      <c r="AA886" s="94"/>
      <c r="AB886" s="94"/>
      <c r="AC886" s="94"/>
      <c r="AD886" s="94"/>
      <c r="AE886" s="94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94"/>
      <c r="C887" s="94"/>
      <c r="D887" s="94"/>
      <c r="E887" s="94"/>
      <c r="F887" s="94"/>
      <c r="G887" s="94"/>
      <c r="H887" s="62"/>
      <c r="I887" s="94"/>
      <c r="J887" s="74"/>
      <c r="K887" s="62"/>
      <c r="L887" s="62"/>
      <c r="M887" s="62"/>
      <c r="N887" s="94"/>
      <c r="O887" s="94"/>
      <c r="P887" s="94"/>
      <c r="Q887" s="94"/>
      <c r="R887" s="94"/>
      <c r="S887" s="94"/>
      <c r="T887" s="62"/>
      <c r="U887" s="94"/>
      <c r="V887" s="74"/>
      <c r="W887" s="62"/>
      <c r="X887" s="62"/>
      <c r="Y887" s="62"/>
      <c r="Z887" s="94"/>
      <c r="AA887" s="94"/>
      <c r="AB887" s="94"/>
      <c r="AC887" s="94"/>
      <c r="AD887" s="94"/>
      <c r="AE887" s="94"/>
      <c r="AF887" s="62"/>
      <c r="AG887" s="94"/>
      <c r="AH887" s="94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94"/>
      <c r="C888" s="94"/>
      <c r="D888" s="94"/>
      <c r="E888" s="94"/>
      <c r="F888" s="94"/>
      <c r="G888" s="94"/>
      <c r="H888" s="62"/>
      <c r="I888" s="65"/>
      <c r="J888" s="65"/>
      <c r="K888" s="62"/>
      <c r="L888" s="62"/>
      <c r="M888" s="64"/>
      <c r="N888" s="94"/>
      <c r="O888" s="94"/>
      <c r="P888" s="94"/>
      <c r="Q888" s="94"/>
      <c r="R888" s="94"/>
      <c r="S888" s="94"/>
      <c r="T888" s="62"/>
      <c r="U888" s="65"/>
      <c r="V888" s="65"/>
      <c r="W888" s="62"/>
      <c r="X888" s="62"/>
      <c r="Y888" s="64"/>
      <c r="Z888" s="94"/>
      <c r="AA888" s="94"/>
      <c r="AB888" s="94"/>
      <c r="AC888" s="94"/>
      <c r="AD888" s="94"/>
      <c r="AE888" s="94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94"/>
      <c r="C889" s="94"/>
      <c r="D889" s="94"/>
      <c r="E889" s="94"/>
      <c r="F889" s="94"/>
      <c r="G889" s="94"/>
      <c r="H889" s="62"/>
      <c r="I889" s="62"/>
      <c r="J889" s="62"/>
      <c r="K889" s="62"/>
      <c r="L889" s="62"/>
      <c r="M889" s="62"/>
      <c r="N889" s="94"/>
      <c r="O889" s="94"/>
      <c r="P889" s="94"/>
      <c r="Q889" s="94"/>
      <c r="R889" s="94"/>
      <c r="S889" s="94"/>
      <c r="T889" s="62"/>
      <c r="U889" s="62"/>
      <c r="V889" s="62"/>
      <c r="W889" s="62"/>
      <c r="X889" s="62"/>
      <c r="Y889" s="62"/>
      <c r="Z889" s="94"/>
      <c r="AA889" s="94"/>
      <c r="AB889" s="94"/>
      <c r="AC889" s="94"/>
      <c r="AD889" s="94"/>
      <c r="AE889" s="94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94"/>
      <c r="D890" s="104"/>
      <c r="E890" s="104"/>
      <c r="F890" s="94"/>
      <c r="G890" s="94"/>
      <c r="H890" s="62"/>
      <c r="I890" s="104"/>
      <c r="J890" s="104"/>
      <c r="K890" s="103"/>
      <c r="L890" s="62"/>
      <c r="M890" s="62"/>
      <c r="N890" s="65"/>
      <c r="O890" s="94"/>
      <c r="P890" s="104"/>
      <c r="Q890" s="104"/>
      <c r="R890" s="94"/>
      <c r="S890" s="94"/>
      <c r="T890" s="62"/>
      <c r="U890" s="104"/>
      <c r="V890" s="104"/>
      <c r="W890" s="103"/>
      <c r="X890" s="62"/>
      <c r="Y890" s="62"/>
      <c r="Z890" s="65"/>
      <c r="AA890" s="94"/>
      <c r="AB890" s="104"/>
      <c r="AC890" s="104"/>
      <c r="AD890" s="94"/>
      <c r="AE890" s="94"/>
      <c r="AF890" s="62"/>
      <c r="AG890" s="104"/>
      <c r="AH890" s="104"/>
      <c r="AI890" s="103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94"/>
      <c r="C891" s="94"/>
      <c r="D891" s="81"/>
      <c r="E891" s="82"/>
      <c r="F891" s="83"/>
      <c r="G891" s="83"/>
      <c r="H891" s="62"/>
      <c r="I891" s="93"/>
      <c r="J891" s="93"/>
      <c r="K891" s="103"/>
      <c r="L891" s="62"/>
      <c r="M891" s="62"/>
      <c r="N891" s="94"/>
      <c r="O891" s="94"/>
      <c r="P891" s="81"/>
      <c r="Q891" s="83"/>
      <c r="R891" s="83"/>
      <c r="S891" s="83"/>
      <c r="T891" s="62"/>
      <c r="U891" s="93"/>
      <c r="V891" s="93"/>
      <c r="W891" s="103"/>
      <c r="X891" s="62"/>
      <c r="Y891" s="62"/>
      <c r="Z891" s="94"/>
      <c r="AA891" s="94"/>
      <c r="AB891" s="81"/>
      <c r="AC891" s="83"/>
      <c r="AD891" s="83"/>
      <c r="AE891" s="83"/>
      <c r="AF891" s="62"/>
      <c r="AG891" s="93"/>
      <c r="AH891" s="93"/>
      <c r="AI891" s="103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92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94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94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92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94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94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92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94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94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92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94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94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92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94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94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92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94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65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92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94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94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65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94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94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92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94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94"/>
      <c r="AB900" s="62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92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94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94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92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94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62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92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94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94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92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94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94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92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94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94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92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94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94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94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94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62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92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94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94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9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94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94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92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94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94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92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94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94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92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65"/>
      <c r="P912" s="67"/>
      <c r="Q912" s="94"/>
      <c r="R912" s="94"/>
      <c r="S912" s="60"/>
      <c r="T912" s="62"/>
      <c r="U912" s="62"/>
      <c r="V912" s="62"/>
      <c r="W912" s="61"/>
      <c r="X912" s="62"/>
      <c r="Y912" s="62"/>
      <c r="Z912" s="66"/>
      <c r="AA912" s="94"/>
      <c r="AB912" s="67"/>
      <c r="AC912" s="94"/>
      <c r="AD912" s="94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92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94"/>
      <c r="P913" s="68"/>
      <c r="Q913" s="94"/>
      <c r="R913" s="94"/>
      <c r="S913" s="60"/>
      <c r="T913" s="62"/>
      <c r="U913" s="62"/>
      <c r="V913" s="62"/>
      <c r="W913" s="61"/>
      <c r="X913" s="62"/>
      <c r="Y913" s="62"/>
      <c r="Z913" s="66"/>
      <c r="AA913" s="94"/>
      <c r="AB913" s="68"/>
      <c r="AC913" s="94"/>
      <c r="AD913" s="94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92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94"/>
      <c r="P914" s="69"/>
      <c r="Q914" s="62"/>
      <c r="R914" s="62"/>
      <c r="S914" s="60"/>
      <c r="T914" s="62"/>
      <c r="U914" s="62"/>
      <c r="V914" s="62"/>
      <c r="W914" s="61"/>
      <c r="X914" s="62"/>
      <c r="Y914" s="62"/>
      <c r="Z914" s="66"/>
      <c r="AA914" s="94"/>
      <c r="AB914" s="69"/>
      <c r="AC914" s="62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9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94"/>
      <c r="P915" s="69"/>
      <c r="Q915" s="94"/>
      <c r="R915" s="94"/>
      <c r="S915" s="60"/>
      <c r="T915" s="62"/>
      <c r="U915" s="62"/>
      <c r="V915" s="62"/>
      <c r="W915" s="61"/>
      <c r="X915" s="62"/>
      <c r="Y915" s="62"/>
      <c r="Z915" s="66"/>
      <c r="AA915" s="94"/>
      <c r="AB915" s="69"/>
      <c r="AC915" s="94"/>
      <c r="AD915" s="94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9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62"/>
      <c r="P916" s="69"/>
      <c r="Q916" s="94"/>
      <c r="R916" s="94"/>
      <c r="S916" s="60"/>
      <c r="T916" s="62"/>
      <c r="U916" s="62"/>
      <c r="V916" s="62"/>
      <c r="W916" s="61"/>
      <c r="X916" s="62"/>
      <c r="Y916" s="62"/>
      <c r="Z916" s="66"/>
      <c r="AA916" s="65"/>
      <c r="AB916" s="69"/>
      <c r="AC916" s="94"/>
      <c r="AD916" s="94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65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62"/>
      <c r="P917" s="69"/>
      <c r="Q917" s="94"/>
      <c r="R917" s="94"/>
      <c r="S917" s="60"/>
      <c r="T917" s="62"/>
      <c r="U917" s="62"/>
      <c r="V917" s="62"/>
      <c r="W917" s="61"/>
      <c r="X917" s="62"/>
      <c r="Y917" s="62"/>
      <c r="Z917" s="66"/>
      <c r="AA917" s="62"/>
      <c r="AB917" s="69"/>
      <c r="AC917" s="94"/>
      <c r="AD917" s="94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9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94"/>
      <c r="P918" s="69"/>
      <c r="Q918" s="94"/>
      <c r="R918" s="94"/>
      <c r="S918" s="60"/>
      <c r="T918" s="62"/>
      <c r="U918" s="62"/>
      <c r="V918" s="62"/>
      <c r="W918" s="61"/>
      <c r="X918" s="62"/>
      <c r="Y918" s="62"/>
      <c r="Z918" s="66"/>
      <c r="AA918" s="94"/>
      <c r="AB918" s="69"/>
      <c r="AC918" s="94"/>
      <c r="AD918" s="94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9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94"/>
      <c r="P919" s="69"/>
      <c r="Q919" s="94"/>
      <c r="R919" s="94"/>
      <c r="S919" s="60"/>
      <c r="T919" s="62"/>
      <c r="U919" s="62"/>
      <c r="V919" s="62"/>
      <c r="W919" s="61"/>
      <c r="X919" s="62"/>
      <c r="Y919" s="62"/>
      <c r="Z919" s="66"/>
      <c r="AA919" s="94"/>
      <c r="AB919" s="69"/>
      <c r="AC919" s="94"/>
      <c r="AD919" s="94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9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62"/>
      <c r="P920" s="69"/>
      <c r="Q920" s="94"/>
      <c r="R920" s="94"/>
      <c r="S920" s="60"/>
      <c r="T920" s="62"/>
      <c r="U920" s="62"/>
      <c r="V920" s="62"/>
      <c r="W920" s="61"/>
      <c r="X920" s="62"/>
      <c r="Y920" s="62"/>
      <c r="Z920" s="66"/>
      <c r="AA920" s="94"/>
      <c r="AB920" s="69"/>
      <c r="AC920" s="94"/>
      <c r="AD920" s="94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94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62"/>
      <c r="P921" s="69"/>
      <c r="Q921" s="94"/>
      <c r="R921" s="94"/>
      <c r="S921" s="60"/>
      <c r="T921" s="62"/>
      <c r="U921" s="62"/>
      <c r="V921" s="62"/>
      <c r="W921" s="61"/>
      <c r="X921" s="62"/>
      <c r="Y921" s="62"/>
      <c r="Z921" s="66"/>
      <c r="AA921" s="62"/>
      <c r="AB921" s="69"/>
      <c r="AC921" s="94"/>
      <c r="AD921" s="94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9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94"/>
      <c r="P922" s="69"/>
      <c r="Q922" s="94"/>
      <c r="R922" s="94"/>
      <c r="S922" s="60"/>
      <c r="T922" s="62"/>
      <c r="U922" s="62"/>
      <c r="V922" s="62"/>
      <c r="W922" s="61"/>
      <c r="X922" s="62"/>
      <c r="Y922" s="62"/>
      <c r="Z922" s="66"/>
      <c r="AA922" s="62"/>
      <c r="AB922" s="69"/>
      <c r="AC922" s="94"/>
      <c r="AD922" s="94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9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62"/>
      <c r="P923" s="69"/>
      <c r="Q923" s="94"/>
      <c r="R923" s="94"/>
      <c r="S923" s="60"/>
      <c r="T923" s="62"/>
      <c r="U923" s="62"/>
      <c r="V923" s="62"/>
      <c r="W923" s="61"/>
      <c r="X923" s="62"/>
      <c r="Y923" s="62"/>
      <c r="Z923" s="66"/>
      <c r="AA923" s="94"/>
      <c r="AB923" s="69"/>
      <c r="AC923" s="94"/>
      <c r="AD923" s="94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9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94"/>
      <c r="P924" s="69"/>
      <c r="Q924" s="94"/>
      <c r="R924" s="94"/>
      <c r="S924" s="60"/>
      <c r="T924" s="62"/>
      <c r="U924" s="62"/>
      <c r="V924" s="62"/>
      <c r="W924" s="61"/>
      <c r="X924" s="62"/>
      <c r="Y924" s="62"/>
      <c r="Z924" s="66"/>
      <c r="AA924" s="94"/>
      <c r="AB924" s="69"/>
      <c r="AC924" s="94"/>
      <c r="AD924" s="94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9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94"/>
      <c r="P925" s="69"/>
      <c r="Q925" s="94"/>
      <c r="R925" s="94"/>
      <c r="S925" s="60"/>
      <c r="T925" s="62"/>
      <c r="U925" s="62"/>
      <c r="V925" s="62"/>
      <c r="W925" s="61"/>
      <c r="X925" s="62"/>
      <c r="Y925" s="62"/>
      <c r="Z925" s="66"/>
      <c r="AA925" s="62"/>
      <c r="AB925" s="69"/>
      <c r="AC925" s="94"/>
      <c r="AD925" s="94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9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94"/>
      <c r="P926" s="69"/>
      <c r="Q926" s="94"/>
      <c r="R926" s="94"/>
      <c r="S926" s="60"/>
      <c r="T926" s="62"/>
      <c r="U926" s="62"/>
      <c r="V926" s="62"/>
      <c r="W926" s="61"/>
      <c r="X926" s="62"/>
      <c r="Y926" s="62"/>
      <c r="Z926" s="66"/>
      <c r="AA926" s="94"/>
      <c r="AB926" s="69"/>
      <c r="AC926" s="94"/>
      <c r="AD926" s="94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94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94"/>
      <c r="P927" s="69"/>
      <c r="Q927" s="94"/>
      <c r="R927" s="94"/>
      <c r="S927" s="60"/>
      <c r="T927" s="62"/>
      <c r="U927" s="62"/>
      <c r="V927" s="62"/>
      <c r="W927" s="61"/>
      <c r="X927" s="62"/>
      <c r="Y927" s="62"/>
      <c r="Z927" s="66"/>
      <c r="AA927" s="94"/>
      <c r="AB927" s="69"/>
      <c r="AC927" s="94"/>
      <c r="AD927" s="94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94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94"/>
      <c r="R928" s="94"/>
      <c r="S928" s="60"/>
      <c r="T928" s="62"/>
      <c r="U928" s="62"/>
      <c r="V928" s="62"/>
      <c r="W928" s="61"/>
      <c r="X928" s="62"/>
      <c r="Y928" s="62"/>
      <c r="Z928" s="66"/>
      <c r="AA928" s="94"/>
      <c r="AB928" s="69"/>
      <c r="AC928" s="94"/>
      <c r="AD928" s="94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94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94"/>
      <c r="P929" s="69"/>
      <c r="Q929" s="94"/>
      <c r="R929" s="94"/>
      <c r="S929" s="60"/>
      <c r="T929" s="62"/>
      <c r="U929" s="62"/>
      <c r="V929" s="62"/>
      <c r="W929" s="61"/>
      <c r="X929" s="62"/>
      <c r="Y929" s="62"/>
      <c r="Z929" s="66"/>
      <c r="AA929" s="94"/>
      <c r="AB929" s="69"/>
      <c r="AC929" s="94"/>
      <c r="AD929" s="94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94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94"/>
      <c r="P930" s="69"/>
      <c r="Q930" s="94"/>
      <c r="R930" s="94"/>
      <c r="S930" s="60"/>
      <c r="T930" s="62"/>
      <c r="U930" s="62"/>
      <c r="V930" s="62"/>
      <c r="W930" s="61"/>
      <c r="X930" s="62"/>
      <c r="Y930" s="62"/>
      <c r="Z930" s="66"/>
      <c r="AA930" s="94"/>
      <c r="AB930" s="69"/>
      <c r="AC930" s="94"/>
      <c r="AD930" s="94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94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94"/>
      <c r="R931" s="94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94"/>
      <c r="AD931" s="94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94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94"/>
      <c r="P932" s="69"/>
      <c r="Q932" s="94"/>
      <c r="R932" s="94"/>
      <c r="S932" s="60"/>
      <c r="T932" s="62"/>
      <c r="U932" s="62"/>
      <c r="V932" s="62"/>
      <c r="W932" s="61"/>
      <c r="X932" s="62"/>
      <c r="Y932" s="62"/>
      <c r="Z932" s="66"/>
      <c r="AA932" s="94"/>
      <c r="AB932" s="69"/>
      <c r="AC932" s="94"/>
      <c r="AD932" s="94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94"/>
      <c r="O933" s="94"/>
      <c r="P933" s="94"/>
      <c r="Q933" s="94"/>
      <c r="R933" s="94"/>
      <c r="S933" s="94"/>
      <c r="T933" s="62"/>
      <c r="U933" s="62"/>
      <c r="V933" s="62"/>
      <c r="W933" s="61"/>
      <c r="X933" s="62"/>
      <c r="Y933" s="62"/>
      <c r="Z933" s="94"/>
      <c r="AA933" s="94"/>
      <c r="AB933" s="94"/>
      <c r="AC933" s="94"/>
      <c r="AD933" s="94"/>
      <c r="AE933" s="94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94"/>
      <c r="C934" s="94"/>
      <c r="D934" s="94"/>
      <c r="E934" s="94"/>
      <c r="F934" s="94"/>
      <c r="G934" s="94"/>
      <c r="H934" s="62"/>
      <c r="I934" s="62"/>
      <c r="J934" s="62"/>
      <c r="K934" s="62"/>
      <c r="L934" s="62"/>
      <c r="M934" s="62"/>
      <c r="N934" s="94"/>
      <c r="O934" s="94"/>
      <c r="P934" s="94"/>
      <c r="Q934" s="94"/>
      <c r="R934" s="94"/>
      <c r="S934" s="94"/>
      <c r="T934" s="62"/>
      <c r="U934" s="62"/>
      <c r="V934" s="62"/>
      <c r="W934" s="62"/>
      <c r="X934" s="62"/>
      <c r="Y934" s="62"/>
      <c r="Z934" s="94"/>
      <c r="AA934" s="94"/>
      <c r="AB934" s="94"/>
      <c r="AC934" s="94"/>
      <c r="AD934" s="94"/>
      <c r="AE934" s="94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94"/>
      <c r="C935" s="94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94"/>
      <c r="O935" s="94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94"/>
      <c r="AA935" s="94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94"/>
      <c r="C937" s="94"/>
      <c r="D937" s="94"/>
      <c r="E937" s="94"/>
      <c r="F937" s="94"/>
      <c r="G937" s="94"/>
      <c r="H937" s="62"/>
      <c r="I937" s="62"/>
      <c r="J937" s="62"/>
      <c r="K937" s="62"/>
      <c r="L937" s="62"/>
      <c r="M937" s="62"/>
      <c r="N937" s="94"/>
      <c r="O937" s="94"/>
      <c r="P937" s="94"/>
      <c r="Q937" s="94"/>
      <c r="R937" s="94"/>
      <c r="S937" s="94"/>
      <c r="T937" s="62"/>
      <c r="U937" s="62"/>
      <c r="V937" s="62"/>
      <c r="W937" s="62"/>
      <c r="X937" s="62"/>
      <c r="Y937" s="62"/>
      <c r="Z937" s="94"/>
      <c r="AA937" s="94"/>
      <c r="AB937" s="94"/>
      <c r="AC937" s="94"/>
      <c r="AD937" s="94"/>
      <c r="AE937" s="94"/>
      <c r="AF937" s="62"/>
      <c r="AG937" s="62"/>
      <c r="AH937" s="62"/>
      <c r="AI937" s="62"/>
      <c r="AJ937" s="62"/>
      <c r="AK937" s="62"/>
      <c r="AL937" s="87"/>
      <c r="AM937" s="87"/>
      <c r="AN937" s="87"/>
      <c r="AO937" s="87"/>
      <c r="AP937" s="87"/>
      <c r="AQ937" s="84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94"/>
      <c r="C938" s="94"/>
      <c r="D938" s="94"/>
      <c r="E938" s="94"/>
      <c r="F938" s="94"/>
      <c r="G938" s="94"/>
      <c r="H938" s="62"/>
      <c r="I938" s="62"/>
      <c r="J938" s="62"/>
      <c r="K938" s="62"/>
      <c r="L938" s="62"/>
      <c r="M938" s="62"/>
      <c r="N938" s="94"/>
      <c r="O938" s="94"/>
      <c r="P938" s="94"/>
      <c r="Q938" s="94"/>
      <c r="R938" s="94"/>
      <c r="S938" s="94"/>
      <c r="T938" s="62"/>
      <c r="U938" s="62"/>
      <c r="V938" s="62"/>
      <c r="W938" s="62"/>
      <c r="X938" s="62"/>
      <c r="Y938" s="62"/>
      <c r="Z938" s="94"/>
      <c r="AA938" s="94"/>
      <c r="AB938" s="94"/>
      <c r="AC938" s="94"/>
      <c r="AD938" s="94"/>
      <c r="AE938" s="94"/>
      <c r="AF938" s="62"/>
      <c r="AG938" s="62"/>
      <c r="AH938" s="62"/>
      <c r="AI938" s="62"/>
      <c r="AJ938" s="62"/>
      <c r="AK938" s="62"/>
      <c r="AL938" s="87"/>
      <c r="AM938" s="87"/>
      <c r="AN938" s="87"/>
      <c r="AO938" s="87"/>
      <c r="AP938" s="87"/>
      <c r="AQ938" s="84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94"/>
      <c r="C939" s="94"/>
      <c r="D939" s="94"/>
      <c r="E939" s="94"/>
      <c r="F939" s="94"/>
      <c r="G939" s="94"/>
      <c r="H939" s="62"/>
      <c r="I939" s="62"/>
      <c r="J939" s="62"/>
      <c r="K939" s="62"/>
      <c r="L939" s="62"/>
      <c r="M939" s="62"/>
      <c r="N939" s="94"/>
      <c r="O939" s="94"/>
      <c r="P939" s="94"/>
      <c r="Q939" s="94"/>
      <c r="R939" s="94"/>
      <c r="S939" s="94"/>
      <c r="T939" s="62"/>
      <c r="U939" s="62"/>
      <c r="V939" s="62"/>
      <c r="W939" s="62"/>
      <c r="X939" s="62"/>
      <c r="Y939" s="62"/>
      <c r="Z939" s="94"/>
      <c r="AA939" s="94"/>
      <c r="AB939" s="94"/>
      <c r="AC939" s="94"/>
      <c r="AD939" s="94"/>
      <c r="AE939" s="94"/>
      <c r="AF939" s="62"/>
      <c r="AG939" s="62"/>
      <c r="AH939" s="62"/>
      <c r="AI939" s="62"/>
      <c r="AJ939" s="62"/>
      <c r="AK939" s="62"/>
      <c r="AL939" s="87"/>
      <c r="AM939" s="87"/>
      <c r="AN939" s="87"/>
      <c r="AO939" s="87"/>
      <c r="AP939" s="87"/>
      <c r="AQ939" s="84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94"/>
      <c r="C940" s="94"/>
      <c r="D940" s="94"/>
      <c r="E940" s="94"/>
      <c r="F940" s="94"/>
      <c r="G940" s="94"/>
      <c r="H940" s="62"/>
      <c r="I940" s="62"/>
      <c r="J940" s="62"/>
      <c r="K940" s="62"/>
      <c r="L940" s="62"/>
      <c r="M940" s="63"/>
      <c r="N940" s="94"/>
      <c r="O940" s="94"/>
      <c r="P940" s="94"/>
      <c r="Q940" s="94"/>
      <c r="R940" s="94"/>
      <c r="S940" s="94"/>
      <c r="T940" s="62"/>
      <c r="U940" s="62"/>
      <c r="V940" s="62"/>
      <c r="W940" s="62"/>
      <c r="X940" s="62"/>
      <c r="Y940" s="63"/>
      <c r="Z940" s="94"/>
      <c r="AA940" s="94"/>
      <c r="AB940" s="94"/>
      <c r="AC940" s="94"/>
      <c r="AD940" s="94"/>
      <c r="AE940" s="94"/>
      <c r="AF940" s="62"/>
      <c r="AG940" s="62"/>
      <c r="AH940" s="62"/>
      <c r="AI940" s="62"/>
      <c r="AJ940" s="62"/>
      <c r="AK940" s="63"/>
      <c r="AL940" s="87"/>
      <c r="AM940" s="87"/>
      <c r="AN940" s="87"/>
      <c r="AO940" s="87"/>
      <c r="AP940" s="87"/>
      <c r="AQ940" s="84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94"/>
      <c r="C941" s="94"/>
      <c r="D941" s="94"/>
      <c r="E941" s="94"/>
      <c r="F941" s="94"/>
      <c r="G941" s="94"/>
      <c r="H941" s="62"/>
      <c r="I941" s="62"/>
      <c r="J941" s="62"/>
      <c r="K941" s="62"/>
      <c r="L941" s="62"/>
      <c r="M941" s="62"/>
      <c r="N941" s="94"/>
      <c r="O941" s="94"/>
      <c r="P941" s="94"/>
      <c r="Q941" s="94"/>
      <c r="R941" s="94"/>
      <c r="S941" s="94"/>
      <c r="T941" s="62"/>
      <c r="U941" s="62"/>
      <c r="V941" s="62"/>
      <c r="W941" s="62"/>
      <c r="X941" s="62"/>
      <c r="Y941" s="62"/>
      <c r="Z941" s="94"/>
      <c r="AA941" s="94"/>
      <c r="AB941" s="94"/>
      <c r="AC941" s="94"/>
      <c r="AD941" s="94"/>
      <c r="AE941" s="94"/>
      <c r="AF941" s="62"/>
      <c r="AG941" s="62"/>
      <c r="AH941" s="62"/>
      <c r="AI941" s="62"/>
      <c r="AJ941" s="62"/>
      <c r="AK941" s="62"/>
      <c r="AL941" s="87"/>
      <c r="AM941" s="87"/>
      <c r="AN941" s="87"/>
      <c r="AO941" s="87"/>
      <c r="AP941" s="87"/>
      <c r="AQ941" s="84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94"/>
      <c r="C942" s="94"/>
      <c r="D942" s="94"/>
      <c r="E942" s="94"/>
      <c r="F942" s="94"/>
      <c r="G942" s="94"/>
      <c r="H942" s="62"/>
      <c r="I942" s="94"/>
      <c r="J942" s="74"/>
      <c r="K942" s="62"/>
      <c r="L942" s="62"/>
      <c r="M942" s="62"/>
      <c r="N942" s="94"/>
      <c r="O942" s="94"/>
      <c r="P942" s="94"/>
      <c r="Q942" s="94"/>
      <c r="R942" s="94"/>
      <c r="S942" s="94"/>
      <c r="T942" s="62"/>
      <c r="U942" s="94"/>
      <c r="V942" s="74"/>
      <c r="W942" s="62"/>
      <c r="X942" s="62"/>
      <c r="Y942" s="62"/>
      <c r="Z942" s="94"/>
      <c r="AA942" s="94"/>
      <c r="AB942" s="94"/>
      <c r="AC942" s="94"/>
      <c r="AD942" s="94"/>
      <c r="AE942" s="94"/>
      <c r="AF942" s="62"/>
      <c r="AG942" s="94"/>
      <c r="AH942" s="94"/>
      <c r="AI942" s="62"/>
      <c r="AJ942" s="62"/>
      <c r="AK942" s="62"/>
      <c r="AL942" s="87"/>
      <c r="AM942" s="87"/>
      <c r="AN942" s="87"/>
      <c r="AO942" s="87"/>
      <c r="AP942" s="87"/>
      <c r="AQ942" s="84"/>
      <c r="AR942" s="62"/>
      <c r="AS942" s="84"/>
      <c r="AT942" s="84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94"/>
      <c r="C943" s="94"/>
      <c r="D943" s="94"/>
      <c r="E943" s="94"/>
      <c r="F943" s="94"/>
      <c r="G943" s="94"/>
      <c r="H943" s="62"/>
      <c r="I943" s="65"/>
      <c r="J943" s="65"/>
      <c r="K943" s="62"/>
      <c r="L943" s="62"/>
      <c r="M943" s="64"/>
      <c r="N943" s="94"/>
      <c r="O943" s="94"/>
      <c r="P943" s="94"/>
      <c r="Q943" s="94"/>
      <c r="R943" s="94"/>
      <c r="S943" s="94"/>
      <c r="T943" s="62"/>
      <c r="U943" s="65"/>
      <c r="V943" s="65"/>
      <c r="W943" s="62"/>
      <c r="X943" s="62"/>
      <c r="Y943" s="64"/>
      <c r="Z943" s="94"/>
      <c r="AA943" s="94"/>
      <c r="AB943" s="94"/>
      <c r="AC943" s="94"/>
      <c r="AD943" s="94"/>
      <c r="AE943" s="94"/>
      <c r="AF943" s="62"/>
      <c r="AG943" s="65"/>
      <c r="AH943" s="65"/>
      <c r="AI943" s="62"/>
      <c r="AJ943" s="62"/>
      <c r="AK943" s="64"/>
      <c r="AL943" s="87"/>
      <c r="AM943" s="87"/>
      <c r="AN943" s="87"/>
      <c r="AO943" s="87"/>
      <c r="AP943" s="87"/>
      <c r="AQ943" s="84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94"/>
      <c r="C944" s="94"/>
      <c r="D944" s="94"/>
      <c r="E944" s="94"/>
      <c r="F944" s="94"/>
      <c r="G944" s="94"/>
      <c r="H944" s="62"/>
      <c r="I944" s="62"/>
      <c r="J944" s="62"/>
      <c r="K944" s="62"/>
      <c r="L944" s="62"/>
      <c r="M944" s="62"/>
      <c r="N944" s="94"/>
      <c r="O944" s="94"/>
      <c r="P944" s="94"/>
      <c r="Q944" s="94"/>
      <c r="R944" s="94"/>
      <c r="S944" s="94"/>
      <c r="T944" s="62"/>
      <c r="U944" s="62"/>
      <c r="V944" s="62"/>
      <c r="W944" s="62"/>
      <c r="X944" s="62"/>
      <c r="Y944" s="62"/>
      <c r="Z944" s="94"/>
      <c r="AA944" s="94"/>
      <c r="AB944" s="94"/>
      <c r="AC944" s="94"/>
      <c r="AD944" s="94"/>
      <c r="AE944" s="94"/>
      <c r="AF944" s="62"/>
      <c r="AG944" s="62"/>
      <c r="AH944" s="62"/>
      <c r="AI944" s="62"/>
      <c r="AJ944" s="62"/>
      <c r="AK944" s="62"/>
      <c r="AL944" s="87"/>
      <c r="AM944" s="87"/>
      <c r="AN944" s="87"/>
      <c r="AO944" s="87"/>
      <c r="AP944" s="87"/>
      <c r="AQ944" s="84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94"/>
      <c r="D945" s="104"/>
      <c r="E945" s="104"/>
      <c r="F945" s="94"/>
      <c r="G945" s="94"/>
      <c r="H945" s="62"/>
      <c r="I945" s="104"/>
      <c r="J945" s="104"/>
      <c r="K945" s="103"/>
      <c r="L945" s="62"/>
      <c r="M945" s="62"/>
      <c r="N945" s="65"/>
      <c r="O945" s="94"/>
      <c r="P945" s="104"/>
      <c r="Q945" s="104"/>
      <c r="R945" s="94"/>
      <c r="S945" s="94"/>
      <c r="T945" s="62"/>
      <c r="U945" s="104"/>
      <c r="V945" s="104"/>
      <c r="W945" s="103"/>
      <c r="X945" s="62"/>
      <c r="Y945" s="62"/>
      <c r="Z945" s="65"/>
      <c r="AA945" s="94"/>
      <c r="AB945" s="104"/>
      <c r="AC945" s="104"/>
      <c r="AD945" s="94"/>
      <c r="AE945" s="94"/>
      <c r="AF945" s="62"/>
      <c r="AG945" s="104"/>
      <c r="AH945" s="104"/>
      <c r="AI945" s="103"/>
      <c r="AJ945" s="62"/>
      <c r="AK945" s="62"/>
      <c r="AL945" s="65"/>
      <c r="AM945" s="87"/>
      <c r="AN945" s="104"/>
      <c r="AO945" s="104"/>
      <c r="AP945" s="87"/>
      <c r="AQ945" s="84"/>
      <c r="AR945" s="62"/>
      <c r="AS945" s="104"/>
      <c r="AT945" s="104"/>
      <c r="AU945" s="103"/>
      <c r="AV945" s="62"/>
      <c r="AW945" s="62"/>
      <c r="AX945" s="62"/>
      <c r="AY945" s="62"/>
      <c r="AZ945" s="62"/>
    </row>
    <row r="946" spans="1:52" x14ac:dyDescent="0.25">
      <c r="A946" s="62"/>
      <c r="B946" s="94"/>
      <c r="C946" s="94"/>
      <c r="D946" s="81"/>
      <c r="E946" s="82"/>
      <c r="F946" s="83"/>
      <c r="G946" s="83"/>
      <c r="H946" s="62"/>
      <c r="I946" s="93"/>
      <c r="J946" s="93"/>
      <c r="K946" s="103"/>
      <c r="L946" s="62"/>
      <c r="M946" s="62"/>
      <c r="N946" s="94"/>
      <c r="O946" s="94"/>
      <c r="P946" s="81"/>
      <c r="Q946" s="83"/>
      <c r="R946" s="83"/>
      <c r="S946" s="83"/>
      <c r="T946" s="62"/>
      <c r="U946" s="93"/>
      <c r="V946" s="93"/>
      <c r="W946" s="103"/>
      <c r="X946" s="62"/>
      <c r="Y946" s="62"/>
      <c r="Z946" s="94"/>
      <c r="AA946" s="94"/>
      <c r="AB946" s="81"/>
      <c r="AC946" s="83"/>
      <c r="AD946" s="83"/>
      <c r="AE946" s="83"/>
      <c r="AF946" s="62"/>
      <c r="AG946" s="93"/>
      <c r="AH946" s="93"/>
      <c r="AI946" s="103"/>
      <c r="AJ946" s="62"/>
      <c r="AK946" s="62"/>
      <c r="AL946" s="87"/>
      <c r="AM946" s="87"/>
      <c r="AN946" s="81"/>
      <c r="AO946" s="83"/>
      <c r="AP946" s="83"/>
      <c r="AQ946" s="83"/>
      <c r="AR946" s="62"/>
      <c r="AS946" s="85"/>
      <c r="AT946" s="85"/>
      <c r="AU946" s="103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92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94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94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7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92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94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94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7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92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94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94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7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92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94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94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7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92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94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94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7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92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94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94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92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65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94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7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92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94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94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7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92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94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94"/>
      <c r="AB955" s="62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7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92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94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94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92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94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65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7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65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94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94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7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92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94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94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7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92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94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94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7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92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94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94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7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92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94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62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7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92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94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94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7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92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94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94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7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92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94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94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7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92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94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94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7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94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62"/>
      <c r="P967" s="67"/>
      <c r="Q967" s="94"/>
      <c r="R967" s="94"/>
      <c r="S967" s="60"/>
      <c r="T967" s="62"/>
      <c r="U967" s="62"/>
      <c r="V967" s="62"/>
      <c r="W967" s="61"/>
      <c r="X967" s="62"/>
      <c r="Y967" s="62"/>
      <c r="Z967" s="66"/>
      <c r="AA967" s="94"/>
      <c r="AB967" s="67"/>
      <c r="AC967" s="94"/>
      <c r="AD967" s="94"/>
      <c r="AE967" s="60"/>
      <c r="AF967" s="62"/>
      <c r="AG967" s="62"/>
      <c r="AH967" s="62"/>
      <c r="AI967" s="61"/>
      <c r="AJ967" s="62"/>
      <c r="AK967" s="62"/>
      <c r="AL967" s="66"/>
      <c r="AM967" s="87"/>
      <c r="AN967" s="67"/>
      <c r="AO967" s="87"/>
      <c r="AP967" s="87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92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94"/>
      <c r="P968" s="68"/>
      <c r="Q968" s="94"/>
      <c r="R968" s="94"/>
      <c r="S968" s="60"/>
      <c r="T968" s="62"/>
      <c r="U968" s="62"/>
      <c r="V968" s="62"/>
      <c r="W968" s="61"/>
      <c r="X968" s="62"/>
      <c r="Y968" s="62"/>
      <c r="Z968" s="66"/>
      <c r="AA968" s="94"/>
      <c r="AB968" s="68"/>
      <c r="AC968" s="94"/>
      <c r="AD968" s="94"/>
      <c r="AE968" s="60"/>
      <c r="AF968" s="62"/>
      <c r="AG968" s="62"/>
      <c r="AH968" s="62"/>
      <c r="AI968" s="61"/>
      <c r="AJ968" s="62"/>
      <c r="AK968" s="62"/>
      <c r="AL968" s="66"/>
      <c r="AM968" s="87"/>
      <c r="AN968" s="68"/>
      <c r="AO968" s="87"/>
      <c r="AP968" s="87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92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94"/>
      <c r="P969" s="69"/>
      <c r="Q969" s="62"/>
      <c r="R969" s="62"/>
      <c r="S969" s="60"/>
      <c r="T969" s="62"/>
      <c r="U969" s="62"/>
      <c r="V969" s="62"/>
      <c r="W969" s="61"/>
      <c r="X969" s="62"/>
      <c r="Y969" s="62"/>
      <c r="Z969" s="66"/>
      <c r="AA969" s="94"/>
      <c r="AB969" s="69"/>
      <c r="AC969" s="62"/>
      <c r="AD969" s="62"/>
      <c r="AE969" s="60"/>
      <c r="AF969" s="62"/>
      <c r="AG969" s="62"/>
      <c r="AH969" s="62"/>
      <c r="AI969" s="61"/>
      <c r="AJ969" s="62"/>
      <c r="AK969" s="62"/>
      <c r="AL969" s="66"/>
      <c r="AM969" s="87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9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94"/>
      <c r="P970" s="69"/>
      <c r="Q970" s="94"/>
      <c r="R970" s="94"/>
      <c r="S970" s="60"/>
      <c r="T970" s="62"/>
      <c r="U970" s="62"/>
      <c r="V970" s="62"/>
      <c r="W970" s="61"/>
      <c r="X970" s="62"/>
      <c r="Y970" s="62"/>
      <c r="Z970" s="66"/>
      <c r="AA970" s="94"/>
      <c r="AB970" s="69"/>
      <c r="AC970" s="94"/>
      <c r="AD970" s="94"/>
      <c r="AE970" s="60"/>
      <c r="AF970" s="62"/>
      <c r="AG970" s="62"/>
      <c r="AH970" s="62"/>
      <c r="AI970" s="61"/>
      <c r="AJ970" s="62"/>
      <c r="AK970" s="62"/>
      <c r="AL970" s="66"/>
      <c r="AM970" s="87"/>
      <c r="AN970" s="69"/>
      <c r="AO970" s="87"/>
      <c r="AP970" s="87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9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62"/>
      <c r="P971" s="69"/>
      <c r="Q971" s="94"/>
      <c r="R971" s="94"/>
      <c r="S971" s="60"/>
      <c r="T971" s="62"/>
      <c r="U971" s="62"/>
      <c r="V971" s="62"/>
      <c r="W971" s="61"/>
      <c r="X971" s="62"/>
      <c r="Y971" s="62"/>
      <c r="Z971" s="66"/>
      <c r="AA971" s="62"/>
      <c r="AB971" s="69"/>
      <c r="AC971" s="94"/>
      <c r="AD971" s="94"/>
      <c r="AE971" s="60"/>
      <c r="AF971" s="62"/>
      <c r="AG971" s="62"/>
      <c r="AH971" s="62"/>
      <c r="AI971" s="61"/>
      <c r="AJ971" s="62"/>
      <c r="AK971" s="62"/>
      <c r="AL971" s="66"/>
      <c r="AM971" s="87"/>
      <c r="AN971" s="69"/>
      <c r="AO971" s="87"/>
      <c r="AP971" s="87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65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62"/>
      <c r="P972" s="69"/>
      <c r="Q972" s="94"/>
      <c r="R972" s="94"/>
      <c r="S972" s="60"/>
      <c r="T972" s="62"/>
      <c r="U972" s="62"/>
      <c r="V972" s="62"/>
      <c r="W972" s="61"/>
      <c r="X972" s="62"/>
      <c r="Y972" s="62"/>
      <c r="Z972" s="66"/>
      <c r="AA972" s="62"/>
      <c r="AB972" s="69"/>
      <c r="AC972" s="94"/>
      <c r="AD972" s="94"/>
      <c r="AE972" s="60"/>
      <c r="AF972" s="62"/>
      <c r="AG972" s="62"/>
      <c r="AH972" s="62"/>
      <c r="AI972" s="61"/>
      <c r="AJ972" s="62"/>
      <c r="AK972" s="62"/>
      <c r="AL972" s="66"/>
      <c r="AM972" s="87"/>
      <c r="AN972" s="69"/>
      <c r="AO972" s="87"/>
      <c r="AP972" s="87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9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94"/>
      <c r="P973" s="69"/>
      <c r="Q973" s="94"/>
      <c r="R973" s="94"/>
      <c r="S973" s="60"/>
      <c r="T973" s="62"/>
      <c r="U973" s="62"/>
      <c r="V973" s="62"/>
      <c r="W973" s="61"/>
      <c r="X973" s="62"/>
      <c r="Y973" s="62"/>
      <c r="Z973" s="66"/>
      <c r="AA973" s="94"/>
      <c r="AB973" s="69"/>
      <c r="AC973" s="94"/>
      <c r="AD973" s="94"/>
      <c r="AE973" s="60"/>
      <c r="AF973" s="62"/>
      <c r="AG973" s="62"/>
      <c r="AH973" s="62"/>
      <c r="AI973" s="61"/>
      <c r="AJ973" s="62"/>
      <c r="AK973" s="62"/>
      <c r="AL973" s="66"/>
      <c r="AM973" s="87"/>
      <c r="AN973" s="69"/>
      <c r="AO973" s="87"/>
      <c r="AP973" s="87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9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94"/>
      <c r="P974" s="69"/>
      <c r="Q974" s="94"/>
      <c r="R974" s="94"/>
      <c r="S974" s="60"/>
      <c r="T974" s="62"/>
      <c r="U974" s="62"/>
      <c r="V974" s="62"/>
      <c r="W974" s="61"/>
      <c r="X974" s="62"/>
      <c r="Y974" s="62"/>
      <c r="Z974" s="66"/>
      <c r="AA974" s="94"/>
      <c r="AB974" s="69"/>
      <c r="AC974" s="94"/>
      <c r="AD974" s="94"/>
      <c r="AE974" s="60"/>
      <c r="AF974" s="62"/>
      <c r="AG974" s="62"/>
      <c r="AH974" s="62"/>
      <c r="AI974" s="61"/>
      <c r="AJ974" s="62"/>
      <c r="AK974" s="62"/>
      <c r="AL974" s="66"/>
      <c r="AM974" s="87"/>
      <c r="AN974" s="69"/>
      <c r="AO974" s="87"/>
      <c r="AP974" s="87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9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62"/>
      <c r="P975" s="69"/>
      <c r="Q975" s="94"/>
      <c r="R975" s="94"/>
      <c r="S975" s="60"/>
      <c r="T975" s="62"/>
      <c r="U975" s="62"/>
      <c r="V975" s="62"/>
      <c r="W975" s="61"/>
      <c r="X975" s="62"/>
      <c r="Y975" s="62"/>
      <c r="Z975" s="66"/>
      <c r="AA975" s="94"/>
      <c r="AB975" s="69"/>
      <c r="AC975" s="94"/>
      <c r="AD975" s="94"/>
      <c r="AE975" s="60"/>
      <c r="AF975" s="62"/>
      <c r="AG975" s="62"/>
      <c r="AH975" s="62"/>
      <c r="AI975" s="61"/>
      <c r="AJ975" s="62"/>
      <c r="AK975" s="62"/>
      <c r="AL975" s="66"/>
      <c r="AM975" s="87"/>
      <c r="AN975" s="69"/>
      <c r="AO975" s="87"/>
      <c r="AP975" s="87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94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62"/>
      <c r="P976" s="69"/>
      <c r="Q976" s="94"/>
      <c r="R976" s="94"/>
      <c r="S976" s="60"/>
      <c r="T976" s="62"/>
      <c r="U976" s="62"/>
      <c r="V976" s="62"/>
      <c r="W976" s="61"/>
      <c r="X976" s="62"/>
      <c r="Y976" s="62"/>
      <c r="Z976" s="66"/>
      <c r="AA976" s="62"/>
      <c r="AB976" s="69"/>
      <c r="AC976" s="94"/>
      <c r="AD976" s="94"/>
      <c r="AE976" s="60"/>
      <c r="AF976" s="62"/>
      <c r="AG976" s="62"/>
      <c r="AH976" s="62"/>
      <c r="AI976" s="61"/>
      <c r="AJ976" s="62"/>
      <c r="AK976" s="62"/>
      <c r="AL976" s="66"/>
      <c r="AM976" s="87"/>
      <c r="AN976" s="69"/>
      <c r="AO976" s="87"/>
      <c r="AP976" s="87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94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94"/>
      <c r="P977" s="69"/>
      <c r="Q977" s="94"/>
      <c r="R977" s="94"/>
      <c r="S977" s="60"/>
      <c r="T977" s="62"/>
      <c r="U977" s="62"/>
      <c r="V977" s="62"/>
      <c r="W977" s="61"/>
      <c r="X977" s="62"/>
      <c r="Y977" s="62"/>
      <c r="Z977" s="66"/>
      <c r="AA977" s="62"/>
      <c r="AB977" s="69"/>
      <c r="AC977" s="94"/>
      <c r="AD977" s="94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7"/>
      <c r="AP977" s="87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9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62"/>
      <c r="P978" s="69"/>
      <c r="Q978" s="94"/>
      <c r="R978" s="94"/>
      <c r="S978" s="60"/>
      <c r="T978" s="62"/>
      <c r="U978" s="62"/>
      <c r="V978" s="62"/>
      <c r="W978" s="61"/>
      <c r="X978" s="62"/>
      <c r="Y978" s="62"/>
      <c r="Z978" s="66"/>
      <c r="AA978" s="94"/>
      <c r="AB978" s="69"/>
      <c r="AC978" s="94"/>
      <c r="AD978" s="94"/>
      <c r="AE978" s="60"/>
      <c r="AF978" s="62"/>
      <c r="AG978" s="62"/>
      <c r="AH978" s="62"/>
      <c r="AI978" s="61"/>
      <c r="AJ978" s="62"/>
      <c r="AK978" s="62"/>
      <c r="AL978" s="66"/>
      <c r="AM978" s="87"/>
      <c r="AN978" s="69"/>
      <c r="AO978" s="87"/>
      <c r="AP978" s="87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9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94"/>
      <c r="P979" s="69"/>
      <c r="Q979" s="94"/>
      <c r="R979" s="94"/>
      <c r="S979" s="60"/>
      <c r="T979" s="62"/>
      <c r="U979" s="62"/>
      <c r="V979" s="62"/>
      <c r="W979" s="61"/>
      <c r="X979" s="62"/>
      <c r="Y979" s="62"/>
      <c r="Z979" s="66"/>
      <c r="AA979" s="94"/>
      <c r="AB979" s="69"/>
      <c r="AC979" s="94"/>
      <c r="AD979" s="94"/>
      <c r="AE979" s="60"/>
      <c r="AF979" s="62"/>
      <c r="AG979" s="62"/>
      <c r="AH979" s="62"/>
      <c r="AI979" s="61"/>
      <c r="AJ979" s="62"/>
      <c r="AK979" s="62"/>
      <c r="AL979" s="66"/>
      <c r="AM979" s="87"/>
      <c r="AN979" s="69"/>
      <c r="AO979" s="87"/>
      <c r="AP979" s="87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9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94"/>
      <c r="P980" s="69"/>
      <c r="Q980" s="94"/>
      <c r="R980" s="94"/>
      <c r="S980" s="60"/>
      <c r="T980" s="62"/>
      <c r="U980" s="62"/>
      <c r="V980" s="62"/>
      <c r="W980" s="61"/>
      <c r="X980" s="62"/>
      <c r="Y980" s="62"/>
      <c r="Z980" s="66"/>
      <c r="AA980" s="62"/>
      <c r="AB980" s="69"/>
      <c r="AC980" s="94"/>
      <c r="AD980" s="94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7"/>
      <c r="AP980" s="87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9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94"/>
      <c r="P981" s="69"/>
      <c r="Q981" s="94"/>
      <c r="R981" s="94"/>
      <c r="S981" s="60"/>
      <c r="T981" s="62"/>
      <c r="U981" s="62"/>
      <c r="V981" s="62"/>
      <c r="W981" s="61"/>
      <c r="X981" s="62"/>
      <c r="Y981" s="62"/>
      <c r="Z981" s="66"/>
      <c r="AA981" s="94"/>
      <c r="AB981" s="69"/>
      <c r="AC981" s="94"/>
      <c r="AD981" s="94"/>
      <c r="AE981" s="60"/>
      <c r="AF981" s="62"/>
      <c r="AG981" s="62"/>
      <c r="AH981" s="62"/>
      <c r="AI981" s="61"/>
      <c r="AJ981" s="62"/>
      <c r="AK981" s="62"/>
      <c r="AL981" s="66"/>
      <c r="AM981" s="87"/>
      <c r="AN981" s="69"/>
      <c r="AO981" s="87"/>
      <c r="AP981" s="87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9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94"/>
      <c r="P982" s="69"/>
      <c r="Q982" s="94"/>
      <c r="R982" s="94"/>
      <c r="S982" s="60"/>
      <c r="T982" s="62"/>
      <c r="U982" s="62"/>
      <c r="V982" s="62"/>
      <c r="W982" s="61"/>
      <c r="X982" s="62"/>
      <c r="Y982" s="62"/>
      <c r="Z982" s="66"/>
      <c r="AA982" s="94"/>
      <c r="AB982" s="69"/>
      <c r="AC982" s="94"/>
      <c r="AD982" s="94"/>
      <c r="AE982" s="60"/>
      <c r="AF982" s="62"/>
      <c r="AG982" s="62"/>
      <c r="AH982" s="62"/>
      <c r="AI982" s="61"/>
      <c r="AJ982" s="62"/>
      <c r="AK982" s="62"/>
      <c r="AL982" s="66"/>
      <c r="AM982" s="87"/>
      <c r="AN982" s="69"/>
      <c r="AO982" s="87"/>
      <c r="AP982" s="87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94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94"/>
      <c r="R983" s="94"/>
      <c r="S983" s="60"/>
      <c r="T983" s="62"/>
      <c r="U983" s="62"/>
      <c r="V983" s="62"/>
      <c r="W983" s="61"/>
      <c r="X983" s="62"/>
      <c r="Y983" s="62"/>
      <c r="Z983" s="66"/>
      <c r="AA983" s="94"/>
      <c r="AB983" s="69"/>
      <c r="AC983" s="94"/>
      <c r="AD983" s="94"/>
      <c r="AE983" s="60"/>
      <c r="AF983" s="62"/>
      <c r="AG983" s="62"/>
      <c r="AH983" s="62"/>
      <c r="AI983" s="61"/>
      <c r="AJ983" s="62"/>
      <c r="AK983" s="62"/>
      <c r="AL983" s="66"/>
      <c r="AM983" s="87"/>
      <c r="AN983" s="69"/>
      <c r="AO983" s="87"/>
      <c r="AP983" s="87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94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94"/>
      <c r="P984" s="69"/>
      <c r="Q984" s="94"/>
      <c r="R984" s="94"/>
      <c r="S984" s="60"/>
      <c r="T984" s="62"/>
      <c r="U984" s="62"/>
      <c r="V984" s="62"/>
      <c r="W984" s="61"/>
      <c r="X984" s="62"/>
      <c r="Y984" s="62"/>
      <c r="Z984" s="66"/>
      <c r="AA984" s="94"/>
      <c r="AB984" s="69"/>
      <c r="AC984" s="94"/>
      <c r="AD984" s="94"/>
      <c r="AE984" s="60"/>
      <c r="AF984" s="62"/>
      <c r="AG984" s="62"/>
      <c r="AH984" s="62"/>
      <c r="AI984" s="61"/>
      <c r="AJ984" s="62"/>
      <c r="AK984" s="62"/>
      <c r="AL984" s="66"/>
      <c r="AM984" s="87"/>
      <c r="AN984" s="69"/>
      <c r="AO984" s="87"/>
      <c r="AP984" s="87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94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94"/>
      <c r="P985" s="69"/>
      <c r="Q985" s="94"/>
      <c r="R985" s="94"/>
      <c r="S985" s="60"/>
      <c r="T985" s="62"/>
      <c r="U985" s="62"/>
      <c r="V985" s="62"/>
      <c r="W985" s="61"/>
      <c r="X985" s="62"/>
      <c r="Y985" s="62"/>
      <c r="Z985" s="66"/>
      <c r="AA985" s="94"/>
      <c r="AB985" s="69"/>
      <c r="AC985" s="94"/>
      <c r="AD985" s="94"/>
      <c r="AE985" s="60"/>
      <c r="AF985" s="62"/>
      <c r="AG985" s="62"/>
      <c r="AH985" s="62"/>
      <c r="AI985" s="61"/>
      <c r="AJ985" s="62"/>
      <c r="AK985" s="62"/>
      <c r="AL985" s="66"/>
      <c r="AM985" s="87"/>
      <c r="AN985" s="69"/>
      <c r="AO985" s="87"/>
      <c r="AP985" s="87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94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94"/>
      <c r="R986" s="94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94"/>
      <c r="AD986" s="94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7"/>
      <c r="AP986" s="87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94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94"/>
      <c r="P987" s="69"/>
      <c r="Q987" s="94"/>
      <c r="R987" s="94"/>
      <c r="S987" s="60"/>
      <c r="T987" s="62"/>
      <c r="U987" s="62"/>
      <c r="V987" s="62"/>
      <c r="W987" s="61"/>
      <c r="X987" s="62"/>
      <c r="Y987" s="62"/>
      <c r="Z987" s="66"/>
      <c r="AA987" s="94"/>
      <c r="AB987" s="69"/>
      <c r="AC987" s="94"/>
      <c r="AD987" s="94"/>
      <c r="AE987" s="60"/>
      <c r="AF987" s="62"/>
      <c r="AG987" s="62"/>
      <c r="AH987" s="62"/>
      <c r="AI987" s="61"/>
      <c r="AJ987" s="62"/>
      <c r="AK987" s="62"/>
      <c r="AL987" s="66"/>
      <c r="AM987" s="87"/>
      <c r="AN987" s="69"/>
      <c r="AO987" s="87"/>
      <c r="AP987" s="87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94"/>
      <c r="O988" s="94"/>
      <c r="P988" s="94"/>
      <c r="Q988" s="94"/>
      <c r="R988" s="94"/>
      <c r="S988" s="94"/>
      <c r="T988" s="62"/>
      <c r="U988" s="62"/>
      <c r="V988" s="62"/>
      <c r="W988" s="61"/>
      <c r="X988" s="62"/>
      <c r="Y988" s="62"/>
      <c r="Z988" s="94"/>
      <c r="AA988" s="94"/>
      <c r="AB988" s="94"/>
      <c r="AC988" s="94"/>
      <c r="AD988" s="94"/>
      <c r="AE988" s="94"/>
      <c r="AF988" s="62"/>
      <c r="AG988" s="62"/>
      <c r="AH988" s="62"/>
      <c r="AI988" s="61"/>
      <c r="AJ988" s="62"/>
      <c r="AK988" s="62"/>
      <c r="AL988" s="87"/>
      <c r="AM988" s="87"/>
      <c r="AN988" s="87"/>
      <c r="AO988" s="87"/>
      <c r="AP988" s="87"/>
      <c r="AQ988" s="84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94"/>
      <c r="C989" s="94"/>
      <c r="D989" s="94"/>
      <c r="E989" s="94"/>
      <c r="F989" s="94"/>
      <c r="G989" s="94"/>
      <c r="H989" s="62"/>
      <c r="I989" s="62"/>
      <c r="J989" s="62"/>
      <c r="K989" s="62"/>
      <c r="L989" s="62"/>
      <c r="M989" s="62"/>
      <c r="N989" s="94"/>
      <c r="O989" s="94"/>
      <c r="P989" s="94"/>
      <c r="Q989" s="94"/>
      <c r="R989" s="94"/>
      <c r="S989" s="94"/>
      <c r="T989" s="62"/>
      <c r="U989" s="62"/>
      <c r="V989" s="62"/>
      <c r="W989" s="62"/>
      <c r="X989" s="62"/>
      <c r="Y989" s="62"/>
      <c r="Z989" s="94"/>
      <c r="AA989" s="94"/>
      <c r="AB989" s="94"/>
      <c r="AC989" s="94"/>
      <c r="AD989" s="94"/>
      <c r="AE989" s="94"/>
      <c r="AF989" s="62"/>
      <c r="AG989" s="62"/>
      <c r="AH989" s="62"/>
      <c r="AI989" s="62"/>
      <c r="AJ989" s="62"/>
      <c r="AK989" s="62"/>
      <c r="AL989" s="87"/>
      <c r="AM989" s="87"/>
      <c r="AN989" s="87"/>
      <c r="AO989" s="87"/>
      <c r="AP989" s="87"/>
      <c r="AQ989" s="84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94"/>
      <c r="C990" s="94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94"/>
      <c r="O990" s="94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94"/>
      <c r="AA990" s="94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7"/>
      <c r="AM990" s="87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94"/>
      <c r="C992" s="94"/>
      <c r="D992" s="94"/>
      <c r="E992" s="94"/>
      <c r="F992" s="94"/>
      <c r="G992" s="94"/>
      <c r="H992" s="62"/>
      <c r="I992" s="62"/>
      <c r="J992" s="62"/>
      <c r="K992" s="62"/>
      <c r="L992" s="62"/>
      <c r="M992" s="62"/>
      <c r="N992" s="94"/>
      <c r="O992" s="94"/>
      <c r="P992" s="94"/>
      <c r="Q992" s="94"/>
      <c r="R992" s="94"/>
      <c r="S992" s="94"/>
      <c r="T992" s="62"/>
      <c r="U992" s="62"/>
      <c r="V992" s="62"/>
      <c r="W992" s="62"/>
      <c r="X992" s="62"/>
      <c r="Y992" s="62"/>
      <c r="Z992" s="94"/>
      <c r="AA992" s="94"/>
      <c r="AB992" s="94"/>
      <c r="AC992" s="94"/>
      <c r="AD992" s="94"/>
      <c r="AE992" s="94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94"/>
      <c r="C993" s="94"/>
      <c r="D993" s="94"/>
      <c r="E993" s="94"/>
      <c r="F993" s="94"/>
      <c r="G993" s="94"/>
      <c r="H993" s="62"/>
      <c r="I993" s="62"/>
      <c r="J993" s="62"/>
      <c r="K993" s="62"/>
      <c r="L993" s="62"/>
      <c r="M993" s="62"/>
      <c r="N993" s="94"/>
      <c r="O993" s="94"/>
      <c r="P993" s="94"/>
      <c r="Q993" s="94"/>
      <c r="R993" s="94"/>
      <c r="S993" s="94"/>
      <c r="T993" s="62"/>
      <c r="U993" s="62"/>
      <c r="V993" s="62"/>
      <c r="W993" s="62"/>
      <c r="X993" s="62"/>
      <c r="Y993" s="62"/>
      <c r="Z993" s="94"/>
      <c r="AA993" s="94"/>
      <c r="AB993" s="94"/>
      <c r="AC993" s="94"/>
      <c r="AD993" s="94"/>
      <c r="AE993" s="94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94"/>
      <c r="C994" s="94"/>
      <c r="D994" s="94"/>
      <c r="E994" s="94"/>
      <c r="F994" s="94"/>
      <c r="G994" s="94"/>
      <c r="H994" s="62"/>
      <c r="I994" s="62"/>
      <c r="J994" s="62"/>
      <c r="K994" s="62"/>
      <c r="L994" s="62"/>
      <c r="M994" s="62"/>
      <c r="N994" s="94"/>
      <c r="O994" s="94"/>
      <c r="P994" s="94"/>
      <c r="Q994" s="94"/>
      <c r="R994" s="94"/>
      <c r="S994" s="94"/>
      <c r="T994" s="62"/>
      <c r="U994" s="62"/>
      <c r="V994" s="62"/>
      <c r="W994" s="62"/>
      <c r="X994" s="62"/>
      <c r="Y994" s="62"/>
      <c r="Z994" s="94"/>
      <c r="AA994" s="94"/>
      <c r="AB994" s="94"/>
      <c r="AC994" s="94"/>
      <c r="AD994" s="94"/>
      <c r="AE994" s="94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94"/>
      <c r="C995" s="94"/>
      <c r="D995" s="94"/>
      <c r="E995" s="94"/>
      <c r="F995" s="94"/>
      <c r="G995" s="94"/>
      <c r="H995" s="62"/>
      <c r="I995" s="62"/>
      <c r="J995" s="62"/>
      <c r="K995" s="62"/>
      <c r="L995" s="62"/>
      <c r="M995" s="63"/>
      <c r="N995" s="94"/>
      <c r="O995" s="94"/>
      <c r="P995" s="94"/>
      <c r="Q995" s="94"/>
      <c r="R995" s="94"/>
      <c r="S995" s="94"/>
      <c r="T995" s="62"/>
      <c r="U995" s="62"/>
      <c r="V995" s="62"/>
      <c r="W995" s="62"/>
      <c r="X995" s="62"/>
      <c r="Y995" s="63"/>
      <c r="Z995" s="94"/>
      <c r="AA995" s="94"/>
      <c r="AB995" s="94"/>
      <c r="AC995" s="94"/>
      <c r="AD995" s="94"/>
      <c r="AE995" s="94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94"/>
      <c r="C996" s="94"/>
      <c r="D996" s="94"/>
      <c r="E996" s="94"/>
      <c r="F996" s="94"/>
      <c r="G996" s="94"/>
      <c r="H996" s="62"/>
      <c r="I996" s="62"/>
      <c r="J996" s="62"/>
      <c r="K996" s="62"/>
      <c r="L996" s="62"/>
      <c r="M996" s="62"/>
      <c r="N996" s="94"/>
      <c r="O996" s="94"/>
      <c r="P996" s="94"/>
      <c r="Q996" s="94"/>
      <c r="R996" s="94"/>
      <c r="S996" s="94"/>
      <c r="T996" s="62"/>
      <c r="U996" s="62"/>
      <c r="V996" s="62"/>
      <c r="W996" s="62"/>
      <c r="X996" s="62"/>
      <c r="Y996" s="62"/>
      <c r="Z996" s="94"/>
      <c r="AA996" s="94"/>
      <c r="AB996" s="94"/>
      <c r="AC996" s="94"/>
      <c r="AD996" s="94"/>
      <c r="AE996" s="94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94"/>
      <c r="C997" s="94"/>
      <c r="D997" s="94"/>
      <c r="E997" s="94"/>
      <c r="F997" s="94"/>
      <c r="G997" s="94"/>
      <c r="H997" s="62"/>
      <c r="I997" s="94"/>
      <c r="J997" s="74"/>
      <c r="K997" s="62"/>
      <c r="L997" s="62"/>
      <c r="M997" s="62"/>
      <c r="N997" s="94"/>
      <c r="O997" s="94"/>
      <c r="P997" s="94"/>
      <c r="Q997" s="94"/>
      <c r="R997" s="94"/>
      <c r="S997" s="94"/>
      <c r="T997" s="62"/>
      <c r="U997" s="94"/>
      <c r="V997" s="74"/>
      <c r="W997" s="62"/>
      <c r="X997" s="62"/>
      <c r="Y997" s="62"/>
      <c r="Z997" s="94"/>
      <c r="AA997" s="94"/>
      <c r="AB997" s="94"/>
      <c r="AC997" s="94"/>
      <c r="AD997" s="94"/>
      <c r="AE997" s="94"/>
      <c r="AF997" s="62"/>
      <c r="AG997" s="94"/>
      <c r="AH997" s="94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94"/>
      <c r="C998" s="94"/>
      <c r="D998" s="94"/>
      <c r="E998" s="94"/>
      <c r="F998" s="94"/>
      <c r="G998" s="94"/>
      <c r="H998" s="62"/>
      <c r="I998" s="65"/>
      <c r="J998" s="65"/>
      <c r="K998" s="62"/>
      <c r="L998" s="62"/>
      <c r="M998" s="64"/>
      <c r="N998" s="94"/>
      <c r="O998" s="94"/>
      <c r="P998" s="94"/>
      <c r="Q998" s="94"/>
      <c r="R998" s="94"/>
      <c r="S998" s="94"/>
      <c r="T998" s="62"/>
      <c r="U998" s="65"/>
      <c r="V998" s="65"/>
      <c r="W998" s="62"/>
      <c r="X998" s="62"/>
      <c r="Y998" s="64"/>
      <c r="Z998" s="94"/>
      <c r="AA998" s="94"/>
      <c r="AB998" s="94"/>
      <c r="AC998" s="94"/>
      <c r="AD998" s="94"/>
      <c r="AE998" s="94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94"/>
      <c r="C999" s="94"/>
      <c r="D999" s="94"/>
      <c r="E999" s="94"/>
      <c r="F999" s="94"/>
      <c r="G999" s="94"/>
      <c r="H999" s="62"/>
      <c r="I999" s="62"/>
      <c r="J999" s="62"/>
      <c r="K999" s="62"/>
      <c r="L999" s="62"/>
      <c r="M999" s="62"/>
      <c r="N999" s="94"/>
      <c r="O999" s="94"/>
      <c r="P999" s="94"/>
      <c r="Q999" s="94"/>
      <c r="R999" s="94"/>
      <c r="S999" s="94"/>
      <c r="T999" s="62"/>
      <c r="U999" s="62"/>
      <c r="V999" s="62"/>
      <c r="W999" s="62"/>
      <c r="X999" s="62"/>
      <c r="Y999" s="62"/>
      <c r="Z999" s="94"/>
      <c r="AA999" s="94"/>
      <c r="AB999" s="94"/>
      <c r="AC999" s="94"/>
      <c r="AD999" s="94"/>
      <c r="AE999" s="94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94"/>
      <c r="D1000" s="104"/>
      <c r="E1000" s="104"/>
      <c r="F1000" s="94"/>
      <c r="G1000" s="94"/>
      <c r="H1000" s="62"/>
      <c r="I1000" s="104"/>
      <c r="J1000" s="104"/>
      <c r="K1000" s="103"/>
      <c r="L1000" s="62"/>
      <c r="M1000" s="62"/>
      <c r="N1000" s="65"/>
      <c r="O1000" s="94"/>
      <c r="P1000" s="104"/>
      <c r="Q1000" s="104"/>
      <c r="R1000" s="94"/>
      <c r="S1000" s="94"/>
      <c r="T1000" s="62"/>
      <c r="U1000" s="104"/>
      <c r="V1000" s="104"/>
      <c r="W1000" s="103"/>
      <c r="X1000" s="62"/>
      <c r="Y1000" s="62"/>
      <c r="Z1000" s="65"/>
      <c r="AA1000" s="94"/>
      <c r="AB1000" s="104"/>
      <c r="AC1000" s="104"/>
      <c r="AD1000" s="94"/>
      <c r="AE1000" s="94"/>
      <c r="AF1000" s="62"/>
      <c r="AG1000" s="104"/>
      <c r="AH1000" s="104"/>
      <c r="AI1000" s="103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94"/>
      <c r="C1001" s="94"/>
      <c r="D1001" s="81"/>
      <c r="E1001" s="82"/>
      <c r="F1001" s="83"/>
      <c r="G1001" s="83"/>
      <c r="H1001" s="62"/>
      <c r="I1001" s="93"/>
      <c r="J1001" s="93"/>
      <c r="K1001" s="103"/>
      <c r="L1001" s="62"/>
      <c r="M1001" s="62"/>
      <c r="N1001" s="94"/>
      <c r="O1001" s="94"/>
      <c r="P1001" s="81"/>
      <c r="Q1001" s="83"/>
      <c r="R1001" s="83"/>
      <c r="S1001" s="83"/>
      <c r="T1001" s="62"/>
      <c r="U1001" s="93"/>
      <c r="V1001" s="93"/>
      <c r="W1001" s="103"/>
      <c r="X1001" s="62"/>
      <c r="Y1001" s="62"/>
      <c r="Z1001" s="94"/>
      <c r="AA1001" s="94"/>
      <c r="AB1001" s="81"/>
      <c r="AC1001" s="83"/>
      <c r="AD1001" s="83"/>
      <c r="AE1001" s="83"/>
      <c r="AF1001" s="62"/>
      <c r="AG1001" s="93"/>
      <c r="AH1001" s="93"/>
      <c r="AI1001" s="103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92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94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94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92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94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94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92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94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94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92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94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65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92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94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94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65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94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94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92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94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94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92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65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94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92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62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94"/>
      <c r="AB1010" s="62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92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94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94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92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94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94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94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94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92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94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94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92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94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94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92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94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94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92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94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62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92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94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94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92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94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94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92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94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94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92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94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94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94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62"/>
      <c r="P1022" s="67"/>
      <c r="Q1022" s="94"/>
      <c r="R1022" s="94"/>
      <c r="S1022" s="60"/>
      <c r="T1022" s="62"/>
      <c r="U1022" s="62"/>
      <c r="V1022" s="62"/>
      <c r="W1022" s="61"/>
      <c r="X1022" s="62"/>
      <c r="Y1022" s="62"/>
      <c r="Z1022" s="66"/>
      <c r="AA1022" s="94"/>
      <c r="AB1022" s="67"/>
      <c r="AC1022" s="94"/>
      <c r="AD1022" s="94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92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94"/>
      <c r="P1023" s="68"/>
      <c r="Q1023" s="94"/>
      <c r="R1023" s="94"/>
      <c r="S1023" s="60"/>
      <c r="T1023" s="62"/>
      <c r="U1023" s="62"/>
      <c r="V1023" s="62"/>
      <c r="W1023" s="61"/>
      <c r="X1023" s="62"/>
      <c r="Y1023" s="62"/>
      <c r="Z1023" s="66"/>
      <c r="AA1023" s="94"/>
      <c r="AB1023" s="68"/>
      <c r="AC1023" s="94"/>
      <c r="AD1023" s="94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92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94"/>
      <c r="P1024" s="69"/>
      <c r="Q1024" s="62"/>
      <c r="R1024" s="62"/>
      <c r="S1024" s="60"/>
      <c r="T1024" s="62"/>
      <c r="U1024" s="62"/>
      <c r="V1024" s="62"/>
      <c r="W1024" s="61"/>
      <c r="X1024" s="62"/>
      <c r="Y1024" s="62"/>
      <c r="Z1024" s="66"/>
      <c r="AA1024" s="94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94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94"/>
      <c r="P1025" s="69"/>
      <c r="Q1025" s="94"/>
      <c r="R1025" s="94"/>
      <c r="S1025" s="60"/>
      <c r="T1025" s="62"/>
      <c r="U1025" s="62"/>
      <c r="V1025" s="62"/>
      <c r="W1025" s="61"/>
      <c r="X1025" s="62"/>
      <c r="Y1025" s="62"/>
      <c r="Z1025" s="66"/>
      <c r="AA1025" s="94"/>
      <c r="AB1025" s="69"/>
      <c r="AC1025" s="94"/>
      <c r="AD1025" s="94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94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62"/>
      <c r="P1026" s="69"/>
      <c r="Q1026" s="94"/>
      <c r="R1026" s="94"/>
      <c r="S1026" s="60"/>
      <c r="T1026" s="62"/>
      <c r="U1026" s="62"/>
      <c r="V1026" s="62"/>
      <c r="W1026" s="61"/>
      <c r="X1026" s="62"/>
      <c r="Y1026" s="62"/>
      <c r="Z1026" s="66"/>
      <c r="AA1026" s="62"/>
      <c r="AB1026" s="69"/>
      <c r="AC1026" s="94"/>
      <c r="AD1026" s="94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65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62"/>
      <c r="P1027" s="69"/>
      <c r="Q1027" s="94"/>
      <c r="R1027" s="94"/>
      <c r="S1027" s="60"/>
      <c r="T1027" s="62"/>
      <c r="U1027" s="62"/>
      <c r="V1027" s="62"/>
      <c r="W1027" s="61"/>
      <c r="X1027" s="62"/>
      <c r="Y1027" s="62"/>
      <c r="Z1027" s="66"/>
      <c r="AA1027" s="62"/>
      <c r="AB1027" s="69"/>
      <c r="AC1027" s="94"/>
      <c r="AD1027" s="94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94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94"/>
      <c r="P1028" s="69"/>
      <c r="Q1028" s="94"/>
      <c r="R1028" s="94"/>
      <c r="S1028" s="60"/>
      <c r="T1028" s="62"/>
      <c r="U1028" s="62"/>
      <c r="V1028" s="62"/>
      <c r="W1028" s="61"/>
      <c r="X1028" s="62"/>
      <c r="Y1028" s="62"/>
      <c r="Z1028" s="66"/>
      <c r="AA1028" s="94"/>
      <c r="AB1028" s="69"/>
      <c r="AC1028" s="94"/>
      <c r="AD1028" s="94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94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94"/>
      <c r="P1029" s="69"/>
      <c r="Q1029" s="94"/>
      <c r="R1029" s="94"/>
      <c r="S1029" s="60"/>
      <c r="T1029" s="62"/>
      <c r="U1029" s="62"/>
      <c r="V1029" s="62"/>
      <c r="W1029" s="61"/>
      <c r="X1029" s="62"/>
      <c r="Y1029" s="62"/>
      <c r="Z1029" s="66"/>
      <c r="AA1029" s="94"/>
      <c r="AB1029" s="69"/>
      <c r="AC1029" s="94"/>
      <c r="AD1029" s="94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94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62"/>
      <c r="P1030" s="69"/>
      <c r="Q1030" s="94"/>
      <c r="R1030" s="94"/>
      <c r="S1030" s="60"/>
      <c r="T1030" s="62"/>
      <c r="U1030" s="62"/>
      <c r="V1030" s="62"/>
      <c r="W1030" s="61"/>
      <c r="X1030" s="62"/>
      <c r="Y1030" s="62"/>
      <c r="Z1030" s="66"/>
      <c r="AA1030" s="94"/>
      <c r="AB1030" s="69"/>
      <c r="AC1030" s="94"/>
      <c r="AD1030" s="94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94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62"/>
      <c r="P1031" s="69"/>
      <c r="Q1031" s="94"/>
      <c r="R1031" s="94"/>
      <c r="S1031" s="60"/>
      <c r="T1031" s="62"/>
      <c r="U1031" s="62"/>
      <c r="V1031" s="62"/>
      <c r="W1031" s="61"/>
      <c r="X1031" s="62"/>
      <c r="Y1031" s="62"/>
      <c r="Z1031" s="66"/>
      <c r="AA1031" s="62"/>
      <c r="AB1031" s="69"/>
      <c r="AC1031" s="94"/>
      <c r="AD1031" s="94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9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94"/>
      <c r="P1032" s="69"/>
      <c r="Q1032" s="94"/>
      <c r="R1032" s="94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94"/>
      <c r="AD1032" s="94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94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62"/>
      <c r="P1033" s="69"/>
      <c r="Q1033" s="94"/>
      <c r="R1033" s="94"/>
      <c r="S1033" s="60"/>
      <c r="T1033" s="62"/>
      <c r="U1033" s="62"/>
      <c r="V1033" s="62"/>
      <c r="W1033" s="61"/>
      <c r="X1033" s="62"/>
      <c r="Y1033" s="62"/>
      <c r="Z1033" s="66"/>
      <c r="AA1033" s="94"/>
      <c r="AB1033" s="69"/>
      <c r="AC1033" s="94"/>
      <c r="AD1033" s="94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9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94"/>
      <c r="P1034" s="69"/>
      <c r="Q1034" s="94"/>
      <c r="R1034" s="94"/>
      <c r="S1034" s="60"/>
      <c r="T1034" s="62"/>
      <c r="U1034" s="62"/>
      <c r="V1034" s="62"/>
      <c r="W1034" s="61"/>
      <c r="X1034" s="62"/>
      <c r="Y1034" s="62"/>
      <c r="Z1034" s="66"/>
      <c r="AA1034" s="94"/>
      <c r="AB1034" s="69"/>
      <c r="AC1034" s="94"/>
      <c r="AD1034" s="94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9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94"/>
      <c r="P1035" s="69"/>
      <c r="Q1035" s="94"/>
      <c r="R1035" s="94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94"/>
      <c r="AD1035" s="94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94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94"/>
      <c r="P1036" s="69"/>
      <c r="Q1036" s="94"/>
      <c r="R1036" s="94"/>
      <c r="S1036" s="60"/>
      <c r="T1036" s="62"/>
      <c r="U1036" s="62"/>
      <c r="V1036" s="62"/>
      <c r="W1036" s="61"/>
      <c r="X1036" s="62"/>
      <c r="Y1036" s="62"/>
      <c r="Z1036" s="66"/>
      <c r="AA1036" s="94"/>
      <c r="AB1036" s="69"/>
      <c r="AC1036" s="94"/>
      <c r="AD1036" s="94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94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94"/>
      <c r="P1037" s="69"/>
      <c r="Q1037" s="94"/>
      <c r="R1037" s="94"/>
      <c r="S1037" s="60"/>
      <c r="T1037" s="62"/>
      <c r="U1037" s="62"/>
      <c r="V1037" s="62"/>
      <c r="W1037" s="61"/>
      <c r="X1037" s="62"/>
      <c r="Y1037" s="62"/>
      <c r="Z1037" s="66"/>
      <c r="AA1037" s="94"/>
      <c r="AB1037" s="69"/>
      <c r="AC1037" s="94"/>
      <c r="AD1037" s="94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94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94"/>
      <c r="R1038" s="94"/>
      <c r="S1038" s="60"/>
      <c r="T1038" s="62"/>
      <c r="U1038" s="62"/>
      <c r="V1038" s="62"/>
      <c r="W1038" s="61"/>
      <c r="X1038" s="62"/>
      <c r="Y1038" s="62"/>
      <c r="Z1038" s="66"/>
      <c r="AA1038" s="94"/>
      <c r="AB1038" s="69"/>
      <c r="AC1038" s="94"/>
      <c r="AD1038" s="94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94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94"/>
      <c r="P1039" s="69"/>
      <c r="Q1039" s="94"/>
      <c r="R1039" s="94"/>
      <c r="S1039" s="60"/>
      <c r="T1039" s="62"/>
      <c r="U1039" s="62"/>
      <c r="V1039" s="62"/>
      <c r="W1039" s="61"/>
      <c r="X1039" s="62"/>
      <c r="Y1039" s="62"/>
      <c r="Z1039" s="66"/>
      <c r="AA1039" s="94"/>
      <c r="AB1039" s="69"/>
      <c r="AC1039" s="94"/>
      <c r="AD1039" s="94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94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94"/>
      <c r="P1040" s="69"/>
      <c r="Q1040" s="94"/>
      <c r="R1040" s="94"/>
      <c r="S1040" s="60"/>
      <c r="T1040" s="62"/>
      <c r="U1040" s="62"/>
      <c r="V1040" s="62"/>
      <c r="W1040" s="61"/>
      <c r="X1040" s="62"/>
      <c r="Y1040" s="62"/>
      <c r="Z1040" s="66"/>
      <c r="AA1040" s="94"/>
      <c r="AB1040" s="69"/>
      <c r="AC1040" s="94"/>
      <c r="AD1040" s="94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94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94"/>
      <c r="R1041" s="94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94"/>
      <c r="AD1041" s="94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94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94"/>
      <c r="P1042" s="69"/>
      <c r="Q1042" s="94"/>
      <c r="R1042" s="94"/>
      <c r="S1042" s="60"/>
      <c r="T1042" s="62"/>
      <c r="U1042" s="62"/>
      <c r="V1042" s="62"/>
      <c r="W1042" s="61"/>
      <c r="X1042" s="62"/>
      <c r="Y1042" s="62"/>
      <c r="Z1042" s="66"/>
      <c r="AA1042" s="94"/>
      <c r="AB1042" s="69"/>
      <c r="AC1042" s="94"/>
      <c r="AD1042" s="94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94"/>
      <c r="O1043" s="94"/>
      <c r="P1043" s="94"/>
      <c r="Q1043" s="94"/>
      <c r="R1043" s="94"/>
      <c r="S1043" s="94"/>
      <c r="T1043" s="62"/>
      <c r="U1043" s="62"/>
      <c r="V1043" s="62"/>
      <c r="W1043" s="61"/>
      <c r="X1043" s="62"/>
      <c r="Y1043" s="62"/>
      <c r="Z1043" s="94"/>
      <c r="AA1043" s="94"/>
      <c r="AB1043" s="94"/>
      <c r="AC1043" s="94"/>
      <c r="AD1043" s="94"/>
      <c r="AE1043" s="94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94"/>
      <c r="C1044" s="94"/>
      <c r="D1044" s="94"/>
      <c r="E1044" s="94"/>
      <c r="F1044" s="94"/>
      <c r="G1044" s="94"/>
      <c r="H1044" s="62"/>
      <c r="I1044" s="62"/>
      <c r="J1044" s="62"/>
      <c r="K1044" s="62"/>
      <c r="L1044" s="62"/>
      <c r="M1044" s="62"/>
      <c r="N1044" s="94"/>
      <c r="O1044" s="94"/>
      <c r="P1044" s="94"/>
      <c r="Q1044" s="94"/>
      <c r="R1044" s="94"/>
      <c r="S1044" s="94"/>
      <c r="T1044" s="62"/>
      <c r="U1044" s="62"/>
      <c r="V1044" s="62"/>
      <c r="W1044" s="62"/>
      <c r="X1044" s="62"/>
      <c r="Y1044" s="62"/>
      <c r="Z1044" s="94"/>
      <c r="AA1044" s="94"/>
      <c r="AB1044" s="94"/>
      <c r="AC1044" s="94"/>
      <c r="AD1044" s="94"/>
      <c r="AE1044" s="94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94"/>
      <c r="C1045" s="94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94"/>
      <c r="O1045" s="94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94"/>
      <c r="AA1045" s="94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94"/>
      <c r="C1047" s="94"/>
      <c r="D1047" s="94"/>
      <c r="E1047" s="94"/>
      <c r="F1047" s="94"/>
      <c r="G1047" s="94"/>
      <c r="H1047" s="62"/>
      <c r="I1047" s="62"/>
      <c r="J1047" s="62"/>
      <c r="K1047" s="62"/>
      <c r="L1047" s="62"/>
      <c r="M1047" s="62"/>
      <c r="N1047" s="94"/>
      <c r="O1047" s="94"/>
      <c r="P1047" s="94"/>
      <c r="Q1047" s="94"/>
      <c r="R1047" s="94"/>
      <c r="S1047" s="94"/>
      <c r="T1047" s="62"/>
      <c r="U1047" s="62"/>
      <c r="V1047" s="62"/>
      <c r="W1047" s="62"/>
      <c r="X1047" s="62"/>
      <c r="Y1047" s="62"/>
      <c r="Z1047" s="94"/>
      <c r="AA1047" s="94"/>
      <c r="AB1047" s="94"/>
      <c r="AC1047" s="94"/>
      <c r="AD1047" s="94"/>
      <c r="AE1047" s="94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94"/>
      <c r="C1048" s="94"/>
      <c r="D1048" s="94"/>
      <c r="E1048" s="94"/>
      <c r="F1048" s="94"/>
      <c r="G1048" s="94"/>
      <c r="H1048" s="62"/>
      <c r="I1048" s="62"/>
      <c r="J1048" s="62"/>
      <c r="K1048" s="62"/>
      <c r="L1048" s="62"/>
      <c r="M1048" s="62"/>
      <c r="N1048" s="94"/>
      <c r="O1048" s="94"/>
      <c r="P1048" s="94"/>
      <c r="Q1048" s="94"/>
      <c r="R1048" s="94"/>
      <c r="S1048" s="94"/>
      <c r="T1048" s="62"/>
      <c r="U1048" s="62"/>
      <c r="V1048" s="62"/>
      <c r="W1048" s="62"/>
      <c r="X1048" s="62"/>
      <c r="Y1048" s="62"/>
      <c r="Z1048" s="94"/>
      <c r="AA1048" s="94"/>
      <c r="AB1048" s="94"/>
      <c r="AC1048" s="94"/>
      <c r="AD1048" s="94"/>
      <c r="AE1048" s="94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94"/>
      <c r="C1049" s="94"/>
      <c r="D1049" s="94"/>
      <c r="E1049" s="94"/>
      <c r="F1049" s="94"/>
      <c r="G1049" s="94"/>
      <c r="H1049" s="62"/>
      <c r="I1049" s="62"/>
      <c r="J1049" s="62"/>
      <c r="K1049" s="62"/>
      <c r="L1049" s="62"/>
      <c r="M1049" s="62"/>
      <c r="N1049" s="94"/>
      <c r="O1049" s="94"/>
      <c r="P1049" s="94"/>
      <c r="Q1049" s="94"/>
      <c r="R1049" s="94"/>
      <c r="S1049" s="94"/>
      <c r="T1049" s="62"/>
      <c r="U1049" s="62"/>
      <c r="V1049" s="62"/>
      <c r="W1049" s="62"/>
      <c r="X1049" s="62"/>
      <c r="Y1049" s="62"/>
      <c r="Z1049" s="94"/>
      <c r="AA1049" s="94"/>
      <c r="AB1049" s="94"/>
      <c r="AC1049" s="94"/>
      <c r="AD1049" s="94"/>
      <c r="AE1049" s="94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94"/>
      <c r="C1050" s="94"/>
      <c r="D1050" s="94"/>
      <c r="E1050" s="94"/>
      <c r="F1050" s="94"/>
      <c r="G1050" s="94"/>
      <c r="H1050" s="62"/>
      <c r="I1050" s="62"/>
      <c r="J1050" s="62"/>
      <c r="K1050" s="62"/>
      <c r="L1050" s="62"/>
      <c r="M1050" s="63"/>
      <c r="N1050" s="94"/>
      <c r="O1050" s="94"/>
      <c r="P1050" s="94"/>
      <c r="Q1050" s="94"/>
      <c r="R1050" s="94"/>
      <c r="S1050" s="94"/>
      <c r="T1050" s="62"/>
      <c r="U1050" s="62"/>
      <c r="V1050" s="62"/>
      <c r="W1050" s="62"/>
      <c r="X1050" s="62"/>
      <c r="Y1050" s="63"/>
      <c r="Z1050" s="94"/>
      <c r="AA1050" s="94"/>
      <c r="AB1050" s="94"/>
      <c r="AC1050" s="94"/>
      <c r="AD1050" s="94"/>
      <c r="AE1050" s="94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94"/>
      <c r="C1051" s="94"/>
      <c r="D1051" s="94"/>
      <c r="E1051" s="94"/>
      <c r="F1051" s="94"/>
      <c r="G1051" s="94"/>
      <c r="H1051" s="62"/>
      <c r="I1051" s="62"/>
      <c r="J1051" s="62"/>
      <c r="K1051" s="62"/>
      <c r="L1051" s="62"/>
      <c r="M1051" s="62"/>
      <c r="N1051" s="94"/>
      <c r="O1051" s="94"/>
      <c r="P1051" s="94"/>
      <c r="Q1051" s="94"/>
      <c r="R1051" s="94"/>
      <c r="S1051" s="94"/>
      <c r="T1051" s="62"/>
      <c r="U1051" s="62"/>
      <c r="V1051" s="62"/>
      <c r="W1051" s="62"/>
      <c r="X1051" s="62"/>
      <c r="Y1051" s="62"/>
      <c r="Z1051" s="94"/>
      <c r="AA1051" s="94"/>
      <c r="AB1051" s="94"/>
      <c r="AC1051" s="94"/>
      <c r="AD1051" s="94"/>
      <c r="AE1051" s="94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94"/>
      <c r="C1052" s="94"/>
      <c r="D1052" s="94"/>
      <c r="E1052" s="94"/>
      <c r="F1052" s="94"/>
      <c r="G1052" s="94"/>
      <c r="H1052" s="62"/>
      <c r="I1052" s="94"/>
      <c r="J1052" s="74"/>
      <c r="K1052" s="62"/>
      <c r="L1052" s="62"/>
      <c r="M1052" s="62"/>
      <c r="N1052" s="94"/>
      <c r="O1052" s="94"/>
      <c r="P1052" s="94"/>
      <c r="Q1052" s="94"/>
      <c r="R1052" s="94"/>
      <c r="S1052" s="94"/>
      <c r="T1052" s="62"/>
      <c r="U1052" s="94"/>
      <c r="V1052" s="74"/>
      <c r="W1052" s="62"/>
      <c r="X1052" s="62"/>
      <c r="Y1052" s="62"/>
      <c r="Z1052" s="94"/>
      <c r="AA1052" s="94"/>
      <c r="AB1052" s="94"/>
      <c r="AC1052" s="94"/>
      <c r="AD1052" s="94"/>
      <c r="AE1052" s="94"/>
      <c r="AF1052" s="62"/>
      <c r="AG1052" s="94"/>
      <c r="AH1052" s="94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94"/>
      <c r="C1053" s="94"/>
      <c r="D1053" s="94"/>
      <c r="E1053" s="94"/>
      <c r="F1053" s="94"/>
      <c r="G1053" s="94"/>
      <c r="H1053" s="62"/>
      <c r="I1053" s="65"/>
      <c r="J1053" s="65"/>
      <c r="K1053" s="62"/>
      <c r="L1053" s="62"/>
      <c r="M1053" s="64"/>
      <c r="N1053" s="94"/>
      <c r="O1053" s="94"/>
      <c r="P1053" s="94"/>
      <c r="Q1053" s="94"/>
      <c r="R1053" s="94"/>
      <c r="S1053" s="94"/>
      <c r="T1053" s="62"/>
      <c r="U1053" s="65"/>
      <c r="V1053" s="65"/>
      <c r="W1053" s="62"/>
      <c r="X1053" s="62"/>
      <c r="Y1053" s="64"/>
      <c r="Z1053" s="94"/>
      <c r="AA1053" s="94"/>
      <c r="AB1053" s="94"/>
      <c r="AC1053" s="94"/>
      <c r="AD1053" s="94"/>
      <c r="AE1053" s="94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94"/>
      <c r="C1054" s="94"/>
      <c r="D1054" s="94"/>
      <c r="E1054" s="94"/>
      <c r="F1054" s="94"/>
      <c r="G1054" s="94"/>
      <c r="H1054" s="62"/>
      <c r="I1054" s="62"/>
      <c r="J1054" s="62"/>
      <c r="K1054" s="62"/>
      <c r="L1054" s="62"/>
      <c r="M1054" s="62"/>
      <c r="N1054" s="94"/>
      <c r="O1054" s="94"/>
      <c r="P1054" s="94"/>
      <c r="Q1054" s="94"/>
      <c r="R1054" s="94"/>
      <c r="S1054" s="94"/>
      <c r="T1054" s="62"/>
      <c r="U1054" s="62"/>
      <c r="V1054" s="62"/>
      <c r="W1054" s="62"/>
      <c r="X1054" s="62"/>
      <c r="Y1054" s="62"/>
      <c r="Z1054" s="94"/>
      <c r="AA1054" s="94"/>
      <c r="AB1054" s="94"/>
      <c r="AC1054" s="94"/>
      <c r="AD1054" s="94"/>
      <c r="AE1054" s="94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94"/>
      <c r="D1055" s="104"/>
      <c r="E1055" s="104"/>
      <c r="F1055" s="94"/>
      <c r="G1055" s="94"/>
      <c r="H1055" s="62"/>
      <c r="I1055" s="104"/>
      <c r="J1055" s="104"/>
      <c r="K1055" s="103"/>
      <c r="L1055" s="62"/>
      <c r="M1055" s="62"/>
      <c r="N1055" s="65"/>
      <c r="O1055" s="94"/>
      <c r="P1055" s="104"/>
      <c r="Q1055" s="104"/>
      <c r="R1055" s="94"/>
      <c r="S1055" s="94"/>
      <c r="T1055" s="62"/>
      <c r="U1055" s="104"/>
      <c r="V1055" s="104"/>
      <c r="W1055" s="103"/>
      <c r="X1055" s="62"/>
      <c r="Y1055" s="62"/>
      <c r="Z1055" s="65"/>
      <c r="AA1055" s="94"/>
      <c r="AB1055" s="104"/>
      <c r="AC1055" s="104"/>
      <c r="AD1055" s="94"/>
      <c r="AE1055" s="94"/>
      <c r="AF1055" s="62"/>
      <c r="AG1055" s="104"/>
      <c r="AH1055" s="104"/>
      <c r="AI1055" s="103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94"/>
      <c r="C1056" s="94"/>
      <c r="D1056" s="81"/>
      <c r="E1056" s="82"/>
      <c r="F1056" s="83"/>
      <c r="G1056" s="83"/>
      <c r="H1056" s="62"/>
      <c r="I1056" s="93"/>
      <c r="J1056" s="93"/>
      <c r="K1056" s="103"/>
      <c r="L1056" s="62"/>
      <c r="M1056" s="62"/>
      <c r="N1056" s="94"/>
      <c r="O1056" s="94"/>
      <c r="P1056" s="81"/>
      <c r="Q1056" s="83"/>
      <c r="R1056" s="83"/>
      <c r="S1056" s="83"/>
      <c r="T1056" s="62"/>
      <c r="U1056" s="93"/>
      <c r="V1056" s="93"/>
      <c r="W1056" s="103"/>
      <c r="X1056" s="62"/>
      <c r="Y1056" s="62"/>
      <c r="Z1056" s="94"/>
      <c r="AA1056" s="94"/>
      <c r="AB1056" s="81"/>
      <c r="AC1056" s="83"/>
      <c r="AD1056" s="83"/>
      <c r="AE1056" s="83"/>
      <c r="AF1056" s="62"/>
      <c r="AG1056" s="93"/>
      <c r="AH1056" s="93"/>
      <c r="AI1056" s="103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92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94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94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92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94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94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92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94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94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92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94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94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92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94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94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65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94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65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92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94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94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92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94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62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92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94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94"/>
      <c r="AB1065" s="62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92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94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94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92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94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62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94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65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94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92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94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94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92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94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94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92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94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94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92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94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62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92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94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94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92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94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94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92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94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94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92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62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94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94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62"/>
      <c r="P1077" s="67"/>
      <c r="Q1077" s="94"/>
      <c r="R1077" s="94"/>
      <c r="S1077" s="60"/>
      <c r="T1077" s="62"/>
      <c r="U1077" s="62"/>
      <c r="V1077" s="62"/>
      <c r="W1077" s="61"/>
      <c r="X1077" s="62"/>
      <c r="Y1077" s="62"/>
      <c r="Z1077" s="66"/>
      <c r="AA1077" s="94"/>
      <c r="AB1077" s="67"/>
      <c r="AC1077" s="94"/>
      <c r="AD1077" s="94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92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94"/>
      <c r="P1078" s="68"/>
      <c r="Q1078" s="94"/>
      <c r="R1078" s="94"/>
      <c r="S1078" s="60"/>
      <c r="T1078" s="62"/>
      <c r="U1078" s="62"/>
      <c r="V1078" s="62"/>
      <c r="W1078" s="61"/>
      <c r="X1078" s="62"/>
      <c r="Y1078" s="62"/>
      <c r="Z1078" s="66"/>
      <c r="AA1078" s="94"/>
      <c r="AB1078" s="68"/>
      <c r="AC1078" s="94"/>
      <c r="AD1078" s="94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92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94"/>
      <c r="P1079" s="69"/>
      <c r="Q1079" s="62"/>
      <c r="R1079" s="62"/>
      <c r="S1079" s="60"/>
      <c r="T1079" s="62"/>
      <c r="U1079" s="62"/>
      <c r="V1079" s="62"/>
      <c r="W1079" s="61"/>
      <c r="X1079" s="62"/>
      <c r="Y1079" s="62"/>
      <c r="Z1079" s="66"/>
      <c r="AA1079" s="94"/>
      <c r="AB1079" s="69"/>
      <c r="AC1079" s="62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94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94"/>
      <c r="P1080" s="69"/>
      <c r="Q1080" s="94"/>
      <c r="R1080" s="94"/>
      <c r="S1080" s="60"/>
      <c r="T1080" s="62"/>
      <c r="U1080" s="62"/>
      <c r="V1080" s="62"/>
      <c r="W1080" s="61"/>
      <c r="X1080" s="62"/>
      <c r="Y1080" s="62"/>
      <c r="Z1080" s="66"/>
      <c r="AA1080" s="94"/>
      <c r="AB1080" s="69"/>
      <c r="AC1080" s="94"/>
      <c r="AD1080" s="94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94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62"/>
      <c r="P1081" s="69"/>
      <c r="Q1081" s="94"/>
      <c r="R1081" s="94"/>
      <c r="S1081" s="60"/>
      <c r="T1081" s="62"/>
      <c r="U1081" s="62"/>
      <c r="V1081" s="62"/>
      <c r="W1081" s="61"/>
      <c r="X1081" s="62"/>
      <c r="Y1081" s="62"/>
      <c r="Z1081" s="66"/>
      <c r="AA1081" s="62"/>
      <c r="AB1081" s="69"/>
      <c r="AC1081" s="94"/>
      <c r="AD1081" s="94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65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62"/>
      <c r="P1082" s="69"/>
      <c r="Q1082" s="94"/>
      <c r="R1082" s="94"/>
      <c r="S1082" s="60"/>
      <c r="T1082" s="62"/>
      <c r="U1082" s="62"/>
      <c r="V1082" s="62"/>
      <c r="W1082" s="61"/>
      <c r="X1082" s="62"/>
      <c r="Y1082" s="62"/>
      <c r="Z1082" s="66"/>
      <c r="AA1082" s="62"/>
      <c r="AB1082" s="69"/>
      <c r="AC1082" s="94"/>
      <c r="AD1082" s="94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94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94"/>
      <c r="P1083" s="69"/>
      <c r="Q1083" s="94"/>
      <c r="R1083" s="94"/>
      <c r="S1083" s="60"/>
      <c r="T1083" s="62"/>
      <c r="U1083" s="62"/>
      <c r="V1083" s="62"/>
      <c r="W1083" s="61"/>
      <c r="X1083" s="62"/>
      <c r="Y1083" s="62"/>
      <c r="Z1083" s="66"/>
      <c r="AA1083" s="94"/>
      <c r="AB1083" s="69"/>
      <c r="AC1083" s="94"/>
      <c r="AD1083" s="94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94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94"/>
      <c r="P1084" s="69"/>
      <c r="Q1084" s="94"/>
      <c r="R1084" s="94"/>
      <c r="S1084" s="60"/>
      <c r="T1084" s="62"/>
      <c r="U1084" s="62"/>
      <c r="V1084" s="62"/>
      <c r="W1084" s="61"/>
      <c r="X1084" s="62"/>
      <c r="Y1084" s="62"/>
      <c r="Z1084" s="66"/>
      <c r="AA1084" s="94"/>
      <c r="AB1084" s="69"/>
      <c r="AC1084" s="94"/>
      <c r="AD1084" s="94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94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62"/>
      <c r="P1085" s="69"/>
      <c r="Q1085" s="94"/>
      <c r="R1085" s="94"/>
      <c r="S1085" s="60"/>
      <c r="T1085" s="62"/>
      <c r="U1085" s="62"/>
      <c r="V1085" s="62"/>
      <c r="W1085" s="61"/>
      <c r="X1085" s="62"/>
      <c r="Y1085" s="62"/>
      <c r="Z1085" s="66"/>
      <c r="AA1085" s="94"/>
      <c r="AB1085" s="69"/>
      <c r="AC1085" s="94"/>
      <c r="AD1085" s="94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94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62"/>
      <c r="P1086" s="69"/>
      <c r="Q1086" s="94"/>
      <c r="R1086" s="94"/>
      <c r="S1086" s="60"/>
      <c r="T1086" s="62"/>
      <c r="U1086" s="62"/>
      <c r="V1086" s="62"/>
      <c r="W1086" s="61"/>
      <c r="X1086" s="62"/>
      <c r="Y1086" s="62"/>
      <c r="Z1086" s="66"/>
      <c r="AA1086" s="62"/>
      <c r="AB1086" s="69"/>
      <c r="AC1086" s="94"/>
      <c r="AD1086" s="94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9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94"/>
      <c r="P1087" s="69"/>
      <c r="Q1087" s="94"/>
      <c r="R1087" s="94"/>
      <c r="S1087" s="60"/>
      <c r="T1087" s="62"/>
      <c r="U1087" s="62"/>
      <c r="V1087" s="62"/>
      <c r="W1087" s="61"/>
      <c r="X1087" s="62"/>
      <c r="Y1087" s="62"/>
      <c r="Z1087" s="66"/>
      <c r="AA1087" s="62"/>
      <c r="AB1087" s="69"/>
      <c r="AC1087" s="94"/>
      <c r="AD1087" s="94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94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62"/>
      <c r="P1088" s="69"/>
      <c r="Q1088" s="94"/>
      <c r="R1088" s="94"/>
      <c r="S1088" s="60"/>
      <c r="T1088" s="62"/>
      <c r="U1088" s="62"/>
      <c r="V1088" s="62"/>
      <c r="W1088" s="61"/>
      <c r="X1088" s="62"/>
      <c r="Y1088" s="62"/>
      <c r="Z1088" s="66"/>
      <c r="AA1088" s="94"/>
      <c r="AB1088" s="69"/>
      <c r="AC1088" s="94"/>
      <c r="AD1088" s="94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9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94"/>
      <c r="P1089" s="69"/>
      <c r="Q1089" s="94"/>
      <c r="R1089" s="94"/>
      <c r="S1089" s="60"/>
      <c r="T1089" s="62"/>
      <c r="U1089" s="62"/>
      <c r="V1089" s="62"/>
      <c r="W1089" s="61"/>
      <c r="X1089" s="62"/>
      <c r="Y1089" s="62"/>
      <c r="Z1089" s="66"/>
      <c r="AA1089" s="94"/>
      <c r="AB1089" s="69"/>
      <c r="AC1089" s="94"/>
      <c r="AD1089" s="94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9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94"/>
      <c r="P1090" s="69"/>
      <c r="Q1090" s="94"/>
      <c r="R1090" s="94"/>
      <c r="S1090" s="60"/>
      <c r="T1090" s="62"/>
      <c r="U1090" s="62"/>
      <c r="V1090" s="62"/>
      <c r="W1090" s="61"/>
      <c r="X1090" s="62"/>
      <c r="Y1090" s="62"/>
      <c r="Z1090" s="66"/>
      <c r="AA1090" s="62"/>
      <c r="AB1090" s="69"/>
      <c r="AC1090" s="94"/>
      <c r="AD1090" s="94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9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94"/>
      <c r="P1091" s="69"/>
      <c r="Q1091" s="94"/>
      <c r="R1091" s="94"/>
      <c r="S1091" s="60"/>
      <c r="T1091" s="62"/>
      <c r="U1091" s="62"/>
      <c r="V1091" s="62"/>
      <c r="W1091" s="61"/>
      <c r="X1091" s="62"/>
      <c r="Y1091" s="62"/>
      <c r="Z1091" s="66"/>
      <c r="AA1091" s="94"/>
      <c r="AB1091" s="69"/>
      <c r="AC1091" s="94"/>
      <c r="AD1091" s="94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94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94"/>
      <c r="P1092" s="69"/>
      <c r="Q1092" s="94"/>
      <c r="R1092" s="94"/>
      <c r="S1092" s="60"/>
      <c r="T1092" s="62"/>
      <c r="U1092" s="62"/>
      <c r="V1092" s="62"/>
      <c r="W1092" s="61"/>
      <c r="X1092" s="62"/>
      <c r="Y1092" s="62"/>
      <c r="Z1092" s="66"/>
      <c r="AA1092" s="94"/>
      <c r="AB1092" s="69"/>
      <c r="AC1092" s="94"/>
      <c r="AD1092" s="94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94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94"/>
      <c r="R1093" s="94"/>
      <c r="S1093" s="60"/>
      <c r="T1093" s="62"/>
      <c r="U1093" s="62"/>
      <c r="V1093" s="62"/>
      <c r="W1093" s="61"/>
      <c r="X1093" s="62"/>
      <c r="Y1093" s="62"/>
      <c r="Z1093" s="66"/>
      <c r="AA1093" s="94"/>
      <c r="AB1093" s="69"/>
      <c r="AC1093" s="94"/>
      <c r="AD1093" s="94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94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94"/>
      <c r="P1094" s="69"/>
      <c r="Q1094" s="94"/>
      <c r="R1094" s="94"/>
      <c r="S1094" s="60"/>
      <c r="T1094" s="62"/>
      <c r="U1094" s="62"/>
      <c r="V1094" s="62"/>
      <c r="W1094" s="61"/>
      <c r="X1094" s="62"/>
      <c r="Y1094" s="62"/>
      <c r="Z1094" s="66"/>
      <c r="AA1094" s="94"/>
      <c r="AB1094" s="69"/>
      <c r="AC1094" s="94"/>
      <c r="AD1094" s="94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94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94"/>
      <c r="P1095" s="69"/>
      <c r="Q1095" s="94"/>
      <c r="R1095" s="94"/>
      <c r="S1095" s="60"/>
      <c r="T1095" s="62"/>
      <c r="U1095" s="62"/>
      <c r="V1095" s="62"/>
      <c r="W1095" s="61"/>
      <c r="X1095" s="62"/>
      <c r="Y1095" s="62"/>
      <c r="Z1095" s="66"/>
      <c r="AA1095" s="94"/>
      <c r="AB1095" s="69"/>
      <c r="AC1095" s="94"/>
      <c r="AD1095" s="94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94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94"/>
      <c r="R1096" s="94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94"/>
      <c r="AD1096" s="94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94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94"/>
      <c r="P1097" s="69"/>
      <c r="Q1097" s="94"/>
      <c r="R1097" s="94"/>
      <c r="S1097" s="60"/>
      <c r="T1097" s="62"/>
      <c r="U1097" s="62"/>
      <c r="V1097" s="62"/>
      <c r="W1097" s="61"/>
      <c r="X1097" s="62"/>
      <c r="Y1097" s="62"/>
      <c r="Z1097" s="66"/>
      <c r="AA1097" s="94"/>
      <c r="AB1097" s="69"/>
      <c r="AC1097" s="94"/>
      <c r="AD1097" s="94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94"/>
      <c r="O1098" s="94"/>
      <c r="P1098" s="94"/>
      <c r="Q1098" s="94"/>
      <c r="R1098" s="94"/>
      <c r="S1098" s="94"/>
      <c r="T1098" s="62"/>
      <c r="U1098" s="62"/>
      <c r="V1098" s="62"/>
      <c r="W1098" s="61"/>
      <c r="X1098" s="62"/>
      <c r="Y1098" s="62"/>
      <c r="Z1098" s="94"/>
      <c r="AA1098" s="94"/>
      <c r="AB1098" s="94"/>
      <c r="AC1098" s="94"/>
      <c r="AD1098" s="94"/>
      <c r="AE1098" s="94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94"/>
      <c r="C1099" s="94"/>
      <c r="D1099" s="94"/>
      <c r="E1099" s="94"/>
      <c r="F1099" s="94"/>
      <c r="G1099" s="94"/>
      <c r="H1099" s="62"/>
      <c r="I1099" s="62"/>
      <c r="J1099" s="62"/>
      <c r="K1099" s="62"/>
      <c r="L1099" s="62"/>
      <c r="M1099" s="62"/>
      <c r="N1099" s="94"/>
      <c r="O1099" s="94"/>
      <c r="P1099" s="94"/>
      <c r="Q1099" s="94"/>
      <c r="R1099" s="94"/>
      <c r="S1099" s="94"/>
      <c r="T1099" s="62"/>
      <c r="U1099" s="62"/>
      <c r="V1099" s="62"/>
      <c r="W1099" s="62"/>
      <c r="X1099" s="62"/>
      <c r="Y1099" s="62"/>
      <c r="Z1099" s="94"/>
      <c r="AA1099" s="94"/>
      <c r="AB1099" s="94"/>
      <c r="AC1099" s="94"/>
      <c r="AD1099" s="94"/>
      <c r="AE1099" s="94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94"/>
      <c r="C1100" s="94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94"/>
      <c r="O1100" s="94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94"/>
      <c r="AA1100" s="94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94"/>
      <c r="C1102" s="94"/>
      <c r="D1102" s="94"/>
      <c r="E1102" s="94"/>
      <c r="F1102" s="94"/>
      <c r="G1102" s="94"/>
      <c r="H1102" s="62"/>
      <c r="I1102" s="62"/>
      <c r="J1102" s="62"/>
      <c r="K1102" s="62"/>
      <c r="L1102" s="62"/>
      <c r="M1102" s="62"/>
      <c r="N1102" s="94"/>
      <c r="O1102" s="94"/>
      <c r="P1102" s="94"/>
      <c r="Q1102" s="94"/>
      <c r="R1102" s="94"/>
      <c r="S1102" s="94"/>
      <c r="T1102" s="62"/>
      <c r="U1102" s="62"/>
      <c r="V1102" s="62"/>
      <c r="W1102" s="62"/>
      <c r="X1102" s="62"/>
      <c r="Y1102" s="62"/>
      <c r="Z1102" s="94"/>
      <c r="AA1102" s="94"/>
      <c r="AB1102" s="94"/>
      <c r="AC1102" s="94"/>
      <c r="AD1102" s="94"/>
      <c r="AE1102" s="94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94"/>
      <c r="C1103" s="94"/>
      <c r="D1103" s="94"/>
      <c r="E1103" s="94"/>
      <c r="F1103" s="94"/>
      <c r="G1103" s="94"/>
      <c r="H1103" s="62"/>
      <c r="I1103" s="62"/>
      <c r="J1103" s="62"/>
      <c r="K1103" s="62"/>
      <c r="L1103" s="62"/>
      <c r="M1103" s="62"/>
      <c r="N1103" s="94"/>
      <c r="O1103" s="94"/>
      <c r="P1103" s="94"/>
      <c r="Q1103" s="94"/>
      <c r="R1103" s="94"/>
      <c r="S1103" s="94"/>
      <c r="T1103" s="62"/>
      <c r="U1103" s="62"/>
      <c r="V1103" s="62"/>
      <c r="W1103" s="62"/>
      <c r="X1103" s="62"/>
      <c r="Y1103" s="62"/>
      <c r="Z1103" s="94"/>
      <c r="AA1103" s="94"/>
      <c r="AB1103" s="94"/>
      <c r="AC1103" s="94"/>
      <c r="AD1103" s="94"/>
      <c r="AE1103" s="94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94"/>
      <c r="C1104" s="94"/>
      <c r="D1104" s="94"/>
      <c r="E1104" s="94"/>
      <c r="F1104" s="94"/>
      <c r="G1104" s="94"/>
      <c r="H1104" s="62"/>
      <c r="I1104" s="62"/>
      <c r="J1104" s="62"/>
      <c r="K1104" s="62"/>
      <c r="L1104" s="62"/>
      <c r="M1104" s="62"/>
      <c r="N1104" s="94"/>
      <c r="O1104" s="94"/>
      <c r="P1104" s="94"/>
      <c r="Q1104" s="94"/>
      <c r="R1104" s="94"/>
      <c r="S1104" s="94"/>
      <c r="T1104" s="62"/>
      <c r="U1104" s="62"/>
      <c r="V1104" s="62"/>
      <c r="W1104" s="62"/>
      <c r="X1104" s="62"/>
      <c r="Y1104" s="62"/>
      <c r="Z1104" s="94"/>
      <c r="AA1104" s="94"/>
      <c r="AB1104" s="94"/>
      <c r="AC1104" s="94"/>
      <c r="AD1104" s="94"/>
      <c r="AE1104" s="94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94"/>
      <c r="C1105" s="94"/>
      <c r="D1105" s="94"/>
      <c r="E1105" s="94"/>
      <c r="F1105" s="94"/>
      <c r="G1105" s="94"/>
      <c r="H1105" s="62"/>
      <c r="I1105" s="62"/>
      <c r="J1105" s="62"/>
      <c r="K1105" s="62"/>
      <c r="L1105" s="62"/>
      <c r="M1105" s="63"/>
      <c r="N1105" s="94"/>
      <c r="O1105" s="94"/>
      <c r="P1105" s="94"/>
      <c r="Q1105" s="94"/>
      <c r="R1105" s="94"/>
      <c r="S1105" s="94"/>
      <c r="T1105" s="62"/>
      <c r="U1105" s="62"/>
      <c r="V1105" s="62"/>
      <c r="W1105" s="62"/>
      <c r="X1105" s="62"/>
      <c r="Y1105" s="63"/>
      <c r="Z1105" s="94"/>
      <c r="AA1105" s="94"/>
      <c r="AB1105" s="94"/>
      <c r="AC1105" s="94"/>
      <c r="AD1105" s="94"/>
      <c r="AE1105" s="94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94"/>
      <c r="C1106" s="94"/>
      <c r="D1106" s="94"/>
      <c r="E1106" s="94"/>
      <c r="F1106" s="94"/>
      <c r="G1106" s="94"/>
      <c r="H1106" s="62"/>
      <c r="I1106" s="62"/>
      <c r="J1106" s="62"/>
      <c r="K1106" s="62"/>
      <c r="L1106" s="62"/>
      <c r="M1106" s="62"/>
      <c r="N1106" s="94"/>
      <c r="O1106" s="94"/>
      <c r="P1106" s="94"/>
      <c r="Q1106" s="94"/>
      <c r="R1106" s="94"/>
      <c r="S1106" s="94"/>
      <c r="T1106" s="62"/>
      <c r="U1106" s="62"/>
      <c r="V1106" s="62"/>
      <c r="W1106" s="62"/>
      <c r="X1106" s="62"/>
      <c r="Y1106" s="62"/>
      <c r="Z1106" s="94"/>
      <c r="AA1106" s="94"/>
      <c r="AB1106" s="94"/>
      <c r="AC1106" s="94"/>
      <c r="AD1106" s="94"/>
      <c r="AE1106" s="94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94"/>
      <c r="C1107" s="94"/>
      <c r="D1107" s="94"/>
      <c r="E1107" s="94"/>
      <c r="F1107" s="94"/>
      <c r="G1107" s="94"/>
      <c r="H1107" s="62"/>
      <c r="I1107" s="94"/>
      <c r="J1107" s="74"/>
      <c r="K1107" s="62"/>
      <c r="L1107" s="62"/>
      <c r="M1107" s="62"/>
      <c r="N1107" s="94"/>
      <c r="O1107" s="94"/>
      <c r="P1107" s="94"/>
      <c r="Q1107" s="94"/>
      <c r="R1107" s="94"/>
      <c r="S1107" s="94"/>
      <c r="T1107" s="62"/>
      <c r="U1107" s="94"/>
      <c r="V1107" s="74"/>
      <c r="W1107" s="62"/>
      <c r="X1107" s="62"/>
      <c r="Y1107" s="62"/>
      <c r="Z1107" s="94"/>
      <c r="AA1107" s="94"/>
      <c r="AB1107" s="94"/>
      <c r="AC1107" s="94"/>
      <c r="AD1107" s="94"/>
      <c r="AE1107" s="94"/>
      <c r="AF1107" s="62"/>
      <c r="AG1107" s="94"/>
      <c r="AH1107" s="94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94"/>
      <c r="C1108" s="94"/>
      <c r="D1108" s="94"/>
      <c r="E1108" s="94"/>
      <c r="F1108" s="94"/>
      <c r="G1108" s="94"/>
      <c r="H1108" s="62"/>
      <c r="I1108" s="65"/>
      <c r="J1108" s="65"/>
      <c r="K1108" s="62"/>
      <c r="L1108" s="62"/>
      <c r="M1108" s="64"/>
      <c r="N1108" s="94"/>
      <c r="O1108" s="94"/>
      <c r="P1108" s="94"/>
      <c r="Q1108" s="94"/>
      <c r="R1108" s="94"/>
      <c r="S1108" s="94"/>
      <c r="T1108" s="62"/>
      <c r="U1108" s="65"/>
      <c r="V1108" s="65"/>
      <c r="W1108" s="62"/>
      <c r="X1108" s="62"/>
      <c r="Y1108" s="64"/>
      <c r="Z1108" s="94"/>
      <c r="AA1108" s="94"/>
      <c r="AB1108" s="94"/>
      <c r="AC1108" s="94"/>
      <c r="AD1108" s="94"/>
      <c r="AE1108" s="94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94"/>
      <c r="C1109" s="94"/>
      <c r="D1109" s="94"/>
      <c r="E1109" s="94"/>
      <c r="F1109" s="94"/>
      <c r="G1109" s="94"/>
      <c r="H1109" s="62"/>
      <c r="I1109" s="62"/>
      <c r="J1109" s="62"/>
      <c r="K1109" s="62"/>
      <c r="L1109" s="62"/>
      <c r="M1109" s="62"/>
      <c r="N1109" s="94"/>
      <c r="O1109" s="94"/>
      <c r="P1109" s="94"/>
      <c r="Q1109" s="94"/>
      <c r="R1109" s="94"/>
      <c r="S1109" s="94"/>
      <c r="T1109" s="62"/>
      <c r="U1109" s="62"/>
      <c r="V1109" s="62"/>
      <c r="W1109" s="62"/>
      <c r="X1109" s="62"/>
      <c r="Y1109" s="62"/>
      <c r="Z1109" s="94"/>
      <c r="AA1109" s="94"/>
      <c r="AB1109" s="94"/>
      <c r="AC1109" s="94"/>
      <c r="AD1109" s="94"/>
      <c r="AE1109" s="94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94"/>
      <c r="D1110" s="104"/>
      <c r="E1110" s="104"/>
      <c r="F1110" s="94"/>
      <c r="G1110" s="94"/>
      <c r="H1110" s="62"/>
      <c r="I1110" s="104"/>
      <c r="J1110" s="104"/>
      <c r="K1110" s="103"/>
      <c r="L1110" s="62"/>
      <c r="M1110" s="62"/>
      <c r="N1110" s="65"/>
      <c r="O1110" s="94"/>
      <c r="P1110" s="104"/>
      <c r="Q1110" s="104"/>
      <c r="R1110" s="94"/>
      <c r="S1110" s="94"/>
      <c r="T1110" s="62"/>
      <c r="U1110" s="104"/>
      <c r="V1110" s="104"/>
      <c r="W1110" s="103"/>
      <c r="X1110" s="62"/>
      <c r="Y1110" s="62"/>
      <c r="Z1110" s="65"/>
      <c r="AA1110" s="94"/>
      <c r="AB1110" s="104"/>
      <c r="AC1110" s="104"/>
      <c r="AD1110" s="94"/>
      <c r="AE1110" s="94"/>
      <c r="AF1110" s="62"/>
      <c r="AG1110" s="104"/>
      <c r="AH1110" s="104"/>
      <c r="AI1110" s="103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94"/>
      <c r="C1111" s="94"/>
      <c r="D1111" s="81"/>
      <c r="E1111" s="82"/>
      <c r="F1111" s="83"/>
      <c r="G1111" s="83"/>
      <c r="H1111" s="62"/>
      <c r="I1111" s="93"/>
      <c r="J1111" s="93"/>
      <c r="K1111" s="103"/>
      <c r="L1111" s="62"/>
      <c r="M1111" s="62"/>
      <c r="N1111" s="94"/>
      <c r="O1111" s="94"/>
      <c r="P1111" s="81"/>
      <c r="Q1111" s="83"/>
      <c r="R1111" s="83"/>
      <c r="S1111" s="83"/>
      <c r="T1111" s="62"/>
      <c r="U1111" s="93"/>
      <c r="V1111" s="93"/>
      <c r="W1111" s="103"/>
      <c r="X1111" s="62"/>
      <c r="Y1111" s="62"/>
      <c r="Z1111" s="94"/>
      <c r="AA1111" s="94"/>
      <c r="AB1111" s="81"/>
      <c r="AC1111" s="83"/>
      <c r="AD1111" s="83"/>
      <c r="AE1111" s="83"/>
      <c r="AF1111" s="62"/>
      <c r="AG1111" s="93"/>
      <c r="AH1111" s="93"/>
      <c r="AI1111" s="103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92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94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94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92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94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94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92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94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94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92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94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94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92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94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94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92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65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94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92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94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94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92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94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65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92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94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94"/>
      <c r="AB1120" s="62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92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94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94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92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94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62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65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62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94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92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94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94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92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94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94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92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94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94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92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94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62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92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94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94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92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94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94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92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94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94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92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62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94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94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62"/>
      <c r="P1132" s="67"/>
      <c r="Q1132" s="94"/>
      <c r="R1132" s="94"/>
      <c r="S1132" s="60"/>
      <c r="T1132" s="62"/>
      <c r="U1132" s="62"/>
      <c r="V1132" s="62"/>
      <c r="W1132" s="61"/>
      <c r="X1132" s="62"/>
      <c r="Y1132" s="62"/>
      <c r="Z1132" s="66"/>
      <c r="AA1132" s="94"/>
      <c r="AB1132" s="67"/>
      <c r="AC1132" s="94"/>
      <c r="AD1132" s="94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92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94"/>
      <c r="P1133" s="68"/>
      <c r="Q1133" s="94"/>
      <c r="R1133" s="94"/>
      <c r="S1133" s="60"/>
      <c r="T1133" s="62"/>
      <c r="U1133" s="62"/>
      <c r="V1133" s="62"/>
      <c r="W1133" s="61"/>
      <c r="X1133" s="62"/>
      <c r="Y1133" s="62"/>
      <c r="Z1133" s="66"/>
      <c r="AA1133" s="94"/>
      <c r="AB1133" s="68"/>
      <c r="AC1133" s="94"/>
      <c r="AD1133" s="94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92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94"/>
      <c r="P1134" s="69"/>
      <c r="Q1134" s="62"/>
      <c r="R1134" s="62"/>
      <c r="S1134" s="60"/>
      <c r="T1134" s="62"/>
      <c r="U1134" s="62"/>
      <c r="V1134" s="62"/>
      <c r="W1134" s="61"/>
      <c r="X1134" s="62"/>
      <c r="Y1134" s="62"/>
      <c r="Z1134" s="66"/>
      <c r="AA1134" s="94"/>
      <c r="AB1134" s="69"/>
      <c r="AC1134" s="62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94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94"/>
      <c r="P1135" s="69"/>
      <c r="Q1135" s="94"/>
      <c r="R1135" s="94"/>
      <c r="S1135" s="60"/>
      <c r="T1135" s="62"/>
      <c r="U1135" s="62"/>
      <c r="V1135" s="62"/>
      <c r="W1135" s="61"/>
      <c r="X1135" s="62"/>
      <c r="Y1135" s="62"/>
      <c r="Z1135" s="66"/>
      <c r="AA1135" s="94"/>
      <c r="AB1135" s="69"/>
      <c r="AC1135" s="94"/>
      <c r="AD1135" s="94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94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62"/>
      <c r="P1136" s="69"/>
      <c r="Q1136" s="94"/>
      <c r="R1136" s="94"/>
      <c r="S1136" s="60"/>
      <c r="T1136" s="62"/>
      <c r="U1136" s="62"/>
      <c r="V1136" s="62"/>
      <c r="W1136" s="61"/>
      <c r="X1136" s="62"/>
      <c r="Y1136" s="62"/>
      <c r="Z1136" s="66"/>
      <c r="AA1136" s="62"/>
      <c r="AB1136" s="69"/>
      <c r="AC1136" s="94"/>
      <c r="AD1136" s="94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65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62"/>
      <c r="P1137" s="69"/>
      <c r="Q1137" s="94"/>
      <c r="R1137" s="94"/>
      <c r="S1137" s="60"/>
      <c r="T1137" s="62"/>
      <c r="U1137" s="62"/>
      <c r="V1137" s="62"/>
      <c r="W1137" s="61"/>
      <c r="X1137" s="62"/>
      <c r="Y1137" s="62"/>
      <c r="Z1137" s="66"/>
      <c r="AA1137" s="62"/>
      <c r="AB1137" s="69"/>
      <c r="AC1137" s="94"/>
      <c r="AD1137" s="94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94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94"/>
      <c r="P1138" s="69"/>
      <c r="Q1138" s="94"/>
      <c r="R1138" s="94"/>
      <c r="S1138" s="60"/>
      <c r="T1138" s="62"/>
      <c r="U1138" s="62"/>
      <c r="V1138" s="62"/>
      <c r="W1138" s="61"/>
      <c r="X1138" s="62"/>
      <c r="Y1138" s="62"/>
      <c r="Z1138" s="66"/>
      <c r="AA1138" s="94"/>
      <c r="AB1138" s="69"/>
      <c r="AC1138" s="94"/>
      <c r="AD1138" s="94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94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94"/>
      <c r="P1139" s="69"/>
      <c r="Q1139" s="94"/>
      <c r="R1139" s="94"/>
      <c r="S1139" s="60"/>
      <c r="T1139" s="62"/>
      <c r="U1139" s="62"/>
      <c r="V1139" s="62"/>
      <c r="W1139" s="61"/>
      <c r="X1139" s="62"/>
      <c r="Y1139" s="62"/>
      <c r="Z1139" s="66"/>
      <c r="AA1139" s="94"/>
      <c r="AB1139" s="69"/>
      <c r="AC1139" s="94"/>
      <c r="AD1139" s="94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94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62"/>
      <c r="P1140" s="69"/>
      <c r="Q1140" s="94"/>
      <c r="R1140" s="94"/>
      <c r="S1140" s="60"/>
      <c r="T1140" s="62"/>
      <c r="U1140" s="62"/>
      <c r="V1140" s="62"/>
      <c r="W1140" s="61"/>
      <c r="X1140" s="62"/>
      <c r="Y1140" s="62"/>
      <c r="Z1140" s="66"/>
      <c r="AA1140" s="94"/>
      <c r="AB1140" s="69"/>
      <c r="AC1140" s="94"/>
      <c r="AD1140" s="94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94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62"/>
      <c r="P1141" s="69"/>
      <c r="Q1141" s="94"/>
      <c r="R1141" s="94"/>
      <c r="S1141" s="60"/>
      <c r="T1141" s="62"/>
      <c r="U1141" s="62"/>
      <c r="V1141" s="62"/>
      <c r="W1141" s="61"/>
      <c r="X1141" s="62"/>
      <c r="Y1141" s="62"/>
      <c r="Z1141" s="66"/>
      <c r="AA1141" s="62"/>
      <c r="AB1141" s="69"/>
      <c r="AC1141" s="94"/>
      <c r="AD1141" s="94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9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94"/>
      <c r="P1142" s="69"/>
      <c r="Q1142" s="94"/>
      <c r="R1142" s="94"/>
      <c r="S1142" s="60"/>
      <c r="T1142" s="62"/>
      <c r="U1142" s="62"/>
      <c r="V1142" s="62"/>
      <c r="W1142" s="61"/>
      <c r="X1142" s="62"/>
      <c r="Y1142" s="62"/>
      <c r="Z1142" s="66"/>
      <c r="AA1142" s="62"/>
      <c r="AB1142" s="69"/>
      <c r="AC1142" s="94"/>
      <c r="AD1142" s="94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94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62"/>
      <c r="P1143" s="69"/>
      <c r="Q1143" s="94"/>
      <c r="R1143" s="94"/>
      <c r="S1143" s="60"/>
      <c r="T1143" s="62"/>
      <c r="U1143" s="62"/>
      <c r="V1143" s="62"/>
      <c r="W1143" s="61"/>
      <c r="X1143" s="62"/>
      <c r="Y1143" s="62"/>
      <c r="Z1143" s="66"/>
      <c r="AA1143" s="94"/>
      <c r="AB1143" s="69"/>
      <c r="AC1143" s="94"/>
      <c r="AD1143" s="94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9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94"/>
      <c r="P1144" s="69"/>
      <c r="Q1144" s="94"/>
      <c r="R1144" s="94"/>
      <c r="S1144" s="60"/>
      <c r="T1144" s="62"/>
      <c r="U1144" s="62"/>
      <c r="V1144" s="62"/>
      <c r="W1144" s="61"/>
      <c r="X1144" s="62"/>
      <c r="Y1144" s="62"/>
      <c r="Z1144" s="66"/>
      <c r="AA1144" s="94"/>
      <c r="AB1144" s="69"/>
      <c r="AC1144" s="94"/>
      <c r="AD1144" s="94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9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94"/>
      <c r="P1145" s="69"/>
      <c r="Q1145" s="94"/>
      <c r="R1145" s="94"/>
      <c r="S1145" s="60"/>
      <c r="T1145" s="62"/>
      <c r="U1145" s="62"/>
      <c r="V1145" s="62"/>
      <c r="W1145" s="61"/>
      <c r="X1145" s="62"/>
      <c r="Y1145" s="62"/>
      <c r="Z1145" s="66"/>
      <c r="AA1145" s="62"/>
      <c r="AB1145" s="69"/>
      <c r="AC1145" s="94"/>
      <c r="AD1145" s="94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9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94"/>
      <c r="P1146" s="69"/>
      <c r="Q1146" s="94"/>
      <c r="R1146" s="94"/>
      <c r="S1146" s="60"/>
      <c r="T1146" s="62"/>
      <c r="U1146" s="62"/>
      <c r="V1146" s="62"/>
      <c r="W1146" s="61"/>
      <c r="X1146" s="62"/>
      <c r="Y1146" s="62"/>
      <c r="Z1146" s="66"/>
      <c r="AA1146" s="94"/>
      <c r="AB1146" s="69"/>
      <c r="AC1146" s="94"/>
      <c r="AD1146" s="94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94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94"/>
      <c r="P1147" s="69"/>
      <c r="Q1147" s="94"/>
      <c r="R1147" s="94"/>
      <c r="S1147" s="60"/>
      <c r="T1147" s="62"/>
      <c r="U1147" s="62"/>
      <c r="V1147" s="62"/>
      <c r="W1147" s="61"/>
      <c r="X1147" s="62"/>
      <c r="Y1147" s="62"/>
      <c r="Z1147" s="66"/>
      <c r="AA1147" s="94"/>
      <c r="AB1147" s="69"/>
      <c r="AC1147" s="94"/>
      <c r="AD1147" s="94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94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94"/>
      <c r="R1148" s="94"/>
      <c r="S1148" s="60"/>
      <c r="T1148" s="62"/>
      <c r="U1148" s="62"/>
      <c r="V1148" s="62"/>
      <c r="W1148" s="61"/>
      <c r="X1148" s="62"/>
      <c r="Y1148" s="62"/>
      <c r="Z1148" s="66"/>
      <c r="AA1148" s="94"/>
      <c r="AB1148" s="69"/>
      <c r="AC1148" s="94"/>
      <c r="AD1148" s="94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94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94"/>
      <c r="P1149" s="69"/>
      <c r="Q1149" s="94"/>
      <c r="R1149" s="94"/>
      <c r="S1149" s="60"/>
      <c r="T1149" s="62"/>
      <c r="U1149" s="62"/>
      <c r="V1149" s="62"/>
      <c r="W1149" s="61"/>
      <c r="X1149" s="62"/>
      <c r="Y1149" s="62"/>
      <c r="Z1149" s="66"/>
      <c r="AA1149" s="94"/>
      <c r="AB1149" s="69"/>
      <c r="AC1149" s="94"/>
      <c r="AD1149" s="94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94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94"/>
      <c r="P1150" s="69"/>
      <c r="Q1150" s="94"/>
      <c r="R1150" s="94"/>
      <c r="S1150" s="60"/>
      <c r="T1150" s="62"/>
      <c r="U1150" s="62"/>
      <c r="V1150" s="62"/>
      <c r="W1150" s="61"/>
      <c r="X1150" s="62"/>
      <c r="Y1150" s="62"/>
      <c r="Z1150" s="66"/>
      <c r="AA1150" s="94"/>
      <c r="AB1150" s="69"/>
      <c r="AC1150" s="94"/>
      <c r="AD1150" s="94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94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94"/>
      <c r="R1151" s="94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94"/>
      <c r="AD1151" s="94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94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94"/>
      <c r="P1152" s="69"/>
      <c r="Q1152" s="94"/>
      <c r="R1152" s="94"/>
      <c r="S1152" s="60"/>
      <c r="T1152" s="62"/>
      <c r="U1152" s="62"/>
      <c r="V1152" s="62"/>
      <c r="W1152" s="61"/>
      <c r="X1152" s="62"/>
      <c r="Y1152" s="62"/>
      <c r="Z1152" s="66"/>
      <c r="AA1152" s="94"/>
      <c r="AB1152" s="69"/>
      <c r="AC1152" s="94"/>
      <c r="AD1152" s="94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94"/>
      <c r="O1153" s="94"/>
      <c r="P1153" s="94"/>
      <c r="Q1153" s="94"/>
      <c r="R1153" s="94"/>
      <c r="S1153" s="94"/>
      <c r="T1153" s="62"/>
      <c r="U1153" s="62"/>
      <c r="V1153" s="62"/>
      <c r="W1153" s="61"/>
      <c r="X1153" s="62"/>
      <c r="Y1153" s="62"/>
      <c r="Z1153" s="94"/>
      <c r="AA1153" s="94"/>
      <c r="AB1153" s="94"/>
      <c r="AC1153" s="94"/>
      <c r="AD1153" s="94"/>
      <c r="AE1153" s="94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94"/>
      <c r="C1154" s="94"/>
      <c r="D1154" s="94"/>
      <c r="E1154" s="94"/>
      <c r="F1154" s="94"/>
      <c r="G1154" s="94"/>
      <c r="H1154" s="62"/>
      <c r="I1154" s="62"/>
      <c r="J1154" s="62"/>
      <c r="K1154" s="62"/>
      <c r="L1154" s="62"/>
      <c r="M1154" s="62"/>
      <c r="N1154" s="94"/>
      <c r="O1154" s="94"/>
      <c r="P1154" s="94"/>
      <c r="Q1154" s="94"/>
      <c r="R1154" s="94"/>
      <c r="S1154" s="94"/>
      <c r="T1154" s="62"/>
      <c r="U1154" s="62"/>
      <c r="V1154" s="62"/>
      <c r="W1154" s="62"/>
      <c r="X1154" s="62"/>
      <c r="Y1154" s="62"/>
      <c r="Z1154" s="94"/>
      <c r="AA1154" s="94"/>
      <c r="AB1154" s="94"/>
      <c r="AC1154" s="94"/>
      <c r="AD1154" s="94"/>
      <c r="AE1154" s="94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94"/>
      <c r="C1155" s="94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94"/>
      <c r="O1155" s="94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94"/>
      <c r="AA1155" s="94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9"/>
      <c r="C1157" s="89"/>
      <c r="D1157" s="89"/>
      <c r="E1157" s="89"/>
      <c r="F1157" s="89"/>
      <c r="G1157" s="89"/>
      <c r="H1157" s="62"/>
      <c r="I1157" s="62"/>
      <c r="J1157" s="62"/>
      <c r="K1157" s="62"/>
      <c r="L1157" s="62"/>
      <c r="M1157" s="62"/>
      <c r="N1157" s="89"/>
      <c r="O1157" s="89"/>
      <c r="P1157" s="89"/>
      <c r="Q1157" s="89"/>
      <c r="R1157" s="89"/>
      <c r="S1157" s="89"/>
      <c r="T1157" s="62"/>
      <c r="U1157" s="62"/>
      <c r="V1157" s="62"/>
      <c r="W1157" s="62"/>
      <c r="X1157" s="62"/>
      <c r="Y1157" s="62"/>
      <c r="Z1157" s="89"/>
      <c r="AA1157" s="89"/>
      <c r="AB1157" s="89"/>
      <c r="AC1157" s="89"/>
      <c r="AD1157" s="89"/>
      <c r="AE1157" s="89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9"/>
      <c r="C1158" s="89"/>
      <c r="D1158" s="89"/>
      <c r="E1158" s="89"/>
      <c r="F1158" s="89"/>
      <c r="G1158" s="89"/>
      <c r="H1158" s="62"/>
      <c r="I1158" s="62"/>
      <c r="J1158" s="62"/>
      <c r="K1158" s="62"/>
      <c r="L1158" s="62"/>
      <c r="M1158" s="62"/>
      <c r="N1158" s="89"/>
      <c r="O1158" s="89"/>
      <c r="P1158" s="89"/>
      <c r="Q1158" s="89"/>
      <c r="R1158" s="89"/>
      <c r="S1158" s="89"/>
      <c r="T1158" s="62"/>
      <c r="U1158" s="62"/>
      <c r="V1158" s="62"/>
      <c r="W1158" s="62"/>
      <c r="X1158" s="62"/>
      <c r="Y1158" s="62"/>
      <c r="Z1158" s="89"/>
      <c r="AA1158" s="89"/>
      <c r="AB1158" s="89"/>
      <c r="AC1158" s="89"/>
      <c r="AD1158" s="89"/>
      <c r="AE1158" s="89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9"/>
      <c r="C1159" s="89"/>
      <c r="D1159" s="89"/>
      <c r="E1159" s="89"/>
      <c r="F1159" s="89"/>
      <c r="G1159" s="89"/>
      <c r="H1159" s="62"/>
      <c r="I1159" s="62"/>
      <c r="J1159" s="62"/>
      <c r="K1159" s="62"/>
      <c r="L1159" s="62"/>
      <c r="M1159" s="62"/>
      <c r="N1159" s="89"/>
      <c r="O1159" s="89"/>
      <c r="P1159" s="89"/>
      <c r="Q1159" s="89"/>
      <c r="R1159" s="89"/>
      <c r="S1159" s="89"/>
      <c r="T1159" s="62"/>
      <c r="U1159" s="62"/>
      <c r="V1159" s="62"/>
      <c r="W1159" s="62"/>
      <c r="X1159" s="62"/>
      <c r="Y1159" s="62"/>
      <c r="Z1159" s="89"/>
      <c r="AA1159" s="89"/>
      <c r="AB1159" s="89"/>
      <c r="AC1159" s="89"/>
      <c r="AD1159" s="89"/>
      <c r="AE1159" s="89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9"/>
      <c r="C1160" s="89"/>
      <c r="D1160" s="89"/>
      <c r="E1160" s="89"/>
      <c r="F1160" s="89"/>
      <c r="G1160" s="89"/>
      <c r="H1160" s="62"/>
      <c r="I1160" s="62"/>
      <c r="J1160" s="62"/>
      <c r="K1160" s="62"/>
      <c r="L1160" s="62"/>
      <c r="M1160" s="63"/>
      <c r="N1160" s="89"/>
      <c r="O1160" s="89"/>
      <c r="P1160" s="89"/>
      <c r="Q1160" s="89"/>
      <c r="R1160" s="89"/>
      <c r="S1160" s="89"/>
      <c r="T1160" s="62"/>
      <c r="U1160" s="62"/>
      <c r="V1160" s="62"/>
      <c r="W1160" s="62"/>
      <c r="X1160" s="62"/>
      <c r="Y1160" s="63"/>
      <c r="Z1160" s="89"/>
      <c r="AA1160" s="89"/>
      <c r="AB1160" s="89"/>
      <c r="AC1160" s="89"/>
      <c r="AD1160" s="89"/>
      <c r="AE1160" s="89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9"/>
      <c r="C1161" s="89"/>
      <c r="D1161" s="89"/>
      <c r="E1161" s="89"/>
      <c r="F1161" s="89"/>
      <c r="G1161" s="89"/>
      <c r="H1161" s="62"/>
      <c r="I1161" s="62"/>
      <c r="J1161" s="62"/>
      <c r="K1161" s="62"/>
      <c r="L1161" s="62"/>
      <c r="M1161" s="62"/>
      <c r="N1161" s="89"/>
      <c r="O1161" s="89"/>
      <c r="P1161" s="89"/>
      <c r="Q1161" s="89"/>
      <c r="R1161" s="89"/>
      <c r="S1161" s="89"/>
      <c r="T1161" s="62"/>
      <c r="U1161" s="62"/>
      <c r="V1161" s="62"/>
      <c r="W1161" s="62"/>
      <c r="X1161" s="62"/>
      <c r="Y1161" s="62"/>
      <c r="Z1161" s="89"/>
      <c r="AA1161" s="89"/>
      <c r="AB1161" s="89"/>
      <c r="AC1161" s="89"/>
      <c r="AD1161" s="89"/>
      <c r="AE1161" s="89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9"/>
      <c r="C1162" s="89"/>
      <c r="D1162" s="89"/>
      <c r="E1162" s="89"/>
      <c r="F1162" s="89"/>
      <c r="G1162" s="89"/>
      <c r="H1162" s="62"/>
      <c r="I1162" s="89"/>
      <c r="J1162" s="74"/>
      <c r="K1162" s="62"/>
      <c r="L1162" s="62"/>
      <c r="M1162" s="62"/>
      <c r="N1162" s="89"/>
      <c r="O1162" s="89"/>
      <c r="P1162" s="89"/>
      <c r="Q1162" s="89"/>
      <c r="R1162" s="89"/>
      <c r="S1162" s="89"/>
      <c r="T1162" s="62"/>
      <c r="U1162" s="89"/>
      <c r="V1162" s="74"/>
      <c r="W1162" s="62"/>
      <c r="X1162" s="62"/>
      <c r="Y1162" s="62"/>
      <c r="Z1162" s="89"/>
      <c r="AA1162" s="89"/>
      <c r="AB1162" s="89"/>
      <c r="AC1162" s="89"/>
      <c r="AD1162" s="89"/>
      <c r="AE1162" s="89"/>
      <c r="AF1162" s="62"/>
      <c r="AG1162" s="89"/>
      <c r="AH1162" s="89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9"/>
      <c r="C1163" s="89"/>
      <c r="D1163" s="89"/>
      <c r="E1163" s="89"/>
      <c r="F1163" s="89"/>
      <c r="G1163" s="89"/>
      <c r="H1163" s="62"/>
      <c r="I1163" s="65"/>
      <c r="J1163" s="65"/>
      <c r="K1163" s="62"/>
      <c r="L1163" s="62"/>
      <c r="M1163" s="64"/>
      <c r="N1163" s="89"/>
      <c r="O1163" s="89"/>
      <c r="P1163" s="89"/>
      <c r="Q1163" s="89"/>
      <c r="R1163" s="89"/>
      <c r="S1163" s="89"/>
      <c r="T1163" s="62"/>
      <c r="U1163" s="65"/>
      <c r="V1163" s="65"/>
      <c r="W1163" s="62"/>
      <c r="X1163" s="62"/>
      <c r="Y1163" s="64"/>
      <c r="Z1163" s="89"/>
      <c r="AA1163" s="89"/>
      <c r="AB1163" s="89"/>
      <c r="AC1163" s="89"/>
      <c r="AD1163" s="89"/>
      <c r="AE1163" s="89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9"/>
      <c r="C1164" s="89"/>
      <c r="D1164" s="89"/>
      <c r="E1164" s="89"/>
      <c r="F1164" s="89"/>
      <c r="G1164" s="89"/>
      <c r="H1164" s="62"/>
      <c r="I1164" s="62"/>
      <c r="J1164" s="62"/>
      <c r="K1164" s="62"/>
      <c r="L1164" s="62"/>
      <c r="M1164" s="62"/>
      <c r="N1164" s="89"/>
      <c r="O1164" s="89"/>
      <c r="P1164" s="89"/>
      <c r="Q1164" s="89"/>
      <c r="R1164" s="89"/>
      <c r="S1164" s="89"/>
      <c r="T1164" s="62"/>
      <c r="U1164" s="62"/>
      <c r="V1164" s="62"/>
      <c r="W1164" s="62"/>
      <c r="X1164" s="62"/>
      <c r="Y1164" s="62"/>
      <c r="Z1164" s="89"/>
      <c r="AA1164" s="89"/>
      <c r="AB1164" s="89"/>
      <c r="AC1164" s="89"/>
      <c r="AD1164" s="89"/>
      <c r="AE1164" s="89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9"/>
      <c r="D1165" s="104"/>
      <c r="E1165" s="104"/>
      <c r="F1165" s="89"/>
      <c r="G1165" s="89"/>
      <c r="H1165" s="62"/>
      <c r="I1165" s="104"/>
      <c r="J1165" s="104"/>
      <c r="K1165" s="103"/>
      <c r="L1165" s="62"/>
      <c r="M1165" s="62"/>
      <c r="N1165" s="65"/>
      <c r="O1165" s="89"/>
      <c r="P1165" s="104"/>
      <c r="Q1165" s="104"/>
      <c r="R1165" s="89"/>
      <c r="S1165" s="89"/>
      <c r="T1165" s="62"/>
      <c r="U1165" s="104"/>
      <c r="V1165" s="104"/>
      <c r="W1165" s="103"/>
      <c r="X1165" s="62"/>
      <c r="Y1165" s="62"/>
      <c r="Z1165" s="65"/>
      <c r="AA1165" s="89"/>
      <c r="AB1165" s="104"/>
      <c r="AC1165" s="104"/>
      <c r="AD1165" s="89"/>
      <c r="AE1165" s="89"/>
      <c r="AF1165" s="62"/>
      <c r="AG1165" s="104"/>
      <c r="AH1165" s="104"/>
      <c r="AI1165" s="103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9"/>
      <c r="C1166" s="89"/>
      <c r="D1166" s="81"/>
      <c r="E1166" s="82"/>
      <c r="F1166" s="83"/>
      <c r="G1166" s="83"/>
      <c r="H1166" s="62"/>
      <c r="I1166" s="88"/>
      <c r="J1166" s="88"/>
      <c r="K1166" s="103"/>
      <c r="L1166" s="62"/>
      <c r="M1166" s="62"/>
      <c r="N1166" s="89"/>
      <c r="O1166" s="89"/>
      <c r="P1166" s="81"/>
      <c r="Q1166" s="83"/>
      <c r="R1166" s="83"/>
      <c r="S1166" s="83"/>
      <c r="T1166" s="62"/>
      <c r="U1166" s="88"/>
      <c r="V1166" s="88"/>
      <c r="W1166" s="103"/>
      <c r="X1166" s="62"/>
      <c r="Y1166" s="62"/>
      <c r="Z1166" s="89"/>
      <c r="AA1166" s="89"/>
      <c r="AB1166" s="81"/>
      <c r="AC1166" s="83"/>
      <c r="AD1166" s="83"/>
      <c r="AE1166" s="83"/>
      <c r="AF1166" s="62"/>
      <c r="AG1166" s="88"/>
      <c r="AH1166" s="88"/>
      <c r="AI1166" s="103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9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9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9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9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9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9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9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9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9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9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9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9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9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9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9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9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9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9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9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9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9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9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9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9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9"/>
      <c r="AB1175" s="90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9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9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9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9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9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9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9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9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9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9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9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9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9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9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9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9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9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9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9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9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9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9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9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9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9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9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9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9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9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9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9"/>
      <c r="R1187" s="89"/>
      <c r="S1187" s="60"/>
      <c r="T1187" s="62"/>
      <c r="U1187" s="62"/>
      <c r="V1187" s="62"/>
      <c r="W1187" s="61"/>
      <c r="X1187" s="62"/>
      <c r="Y1187" s="62"/>
      <c r="Z1187" s="66"/>
      <c r="AA1187" s="89"/>
      <c r="AB1187" s="67"/>
      <c r="AC1187" s="89"/>
      <c r="AD1187" s="89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9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9"/>
      <c r="P1188" s="68"/>
      <c r="Q1188" s="89"/>
      <c r="R1188" s="89"/>
      <c r="S1188" s="60"/>
      <c r="T1188" s="62"/>
      <c r="U1188" s="62"/>
      <c r="V1188" s="62"/>
      <c r="W1188" s="61"/>
      <c r="X1188" s="62"/>
      <c r="Y1188" s="62"/>
      <c r="Z1188" s="66"/>
      <c r="AA1188" s="89"/>
      <c r="AB1188" s="68"/>
      <c r="AC1188" s="89"/>
      <c r="AD1188" s="89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9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9"/>
      <c r="P1189" s="69"/>
      <c r="Q1189" s="89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9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9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9"/>
      <c r="P1190" s="69"/>
      <c r="Q1190" s="89"/>
      <c r="R1190" s="89"/>
      <c r="S1190" s="60"/>
      <c r="T1190" s="62"/>
      <c r="U1190" s="62"/>
      <c r="V1190" s="62"/>
      <c r="W1190" s="61"/>
      <c r="X1190" s="62"/>
      <c r="Y1190" s="62"/>
      <c r="Z1190" s="66"/>
      <c r="AA1190" s="89"/>
      <c r="AB1190" s="69"/>
      <c r="AC1190" s="89"/>
      <c r="AD1190" s="89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9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9"/>
      <c r="P1191" s="69"/>
      <c r="Q1191" s="89"/>
      <c r="R1191" s="89"/>
      <c r="S1191" s="60"/>
      <c r="T1191" s="62"/>
      <c r="U1191" s="62"/>
      <c r="V1191" s="62"/>
      <c r="W1191" s="61"/>
      <c r="X1191" s="62"/>
      <c r="Y1191" s="62"/>
      <c r="Z1191" s="66"/>
      <c r="AA1191" s="89"/>
      <c r="AB1191" s="69"/>
      <c r="AC1191" s="89"/>
      <c r="AD1191" s="89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9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9"/>
      <c r="R1192" s="89"/>
      <c r="S1192" s="60"/>
      <c r="T1192" s="62"/>
      <c r="U1192" s="62"/>
      <c r="V1192" s="62"/>
      <c r="W1192" s="61"/>
      <c r="X1192" s="62"/>
      <c r="Y1192" s="62"/>
      <c r="Z1192" s="66"/>
      <c r="AA1192" s="89"/>
      <c r="AB1192" s="69"/>
      <c r="AC1192" s="89"/>
      <c r="AD1192" s="89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9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9"/>
      <c r="P1193" s="69"/>
      <c r="Q1193" s="89"/>
      <c r="R1193" s="89"/>
      <c r="S1193" s="60"/>
      <c r="T1193" s="62"/>
      <c r="U1193" s="62"/>
      <c r="V1193" s="62"/>
      <c r="W1193" s="61"/>
      <c r="X1193" s="62"/>
      <c r="Y1193" s="62"/>
      <c r="Z1193" s="66"/>
      <c r="AA1193" s="89"/>
      <c r="AB1193" s="69"/>
      <c r="AC1193" s="89"/>
      <c r="AD1193" s="89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9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9"/>
      <c r="P1194" s="69"/>
      <c r="Q1194" s="89"/>
      <c r="R1194" s="89"/>
      <c r="S1194" s="60"/>
      <c r="T1194" s="62"/>
      <c r="U1194" s="62"/>
      <c r="V1194" s="62"/>
      <c r="W1194" s="61"/>
      <c r="X1194" s="62"/>
      <c r="Y1194" s="62"/>
      <c r="Z1194" s="66"/>
      <c r="AA1194" s="89"/>
      <c r="AB1194" s="69"/>
      <c r="AC1194" s="89"/>
      <c r="AD1194" s="89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9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9"/>
      <c r="P1195" s="69"/>
      <c r="Q1195" s="89"/>
      <c r="R1195" s="89"/>
      <c r="S1195" s="60"/>
      <c r="T1195" s="62"/>
      <c r="U1195" s="62"/>
      <c r="V1195" s="62"/>
      <c r="W1195" s="61"/>
      <c r="X1195" s="62"/>
      <c r="Y1195" s="62"/>
      <c r="Z1195" s="66"/>
      <c r="AA1195" s="89"/>
      <c r="AB1195" s="69"/>
      <c r="AC1195" s="89"/>
      <c r="AD1195" s="89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9"/>
      <c r="R1196" s="89"/>
      <c r="S1196" s="60"/>
      <c r="T1196" s="62"/>
      <c r="U1196" s="62"/>
      <c r="V1196" s="62"/>
      <c r="W1196" s="61"/>
      <c r="X1196" s="62"/>
      <c r="Y1196" s="62"/>
      <c r="Z1196" s="66"/>
      <c r="AA1196" s="89"/>
      <c r="AB1196" s="69"/>
      <c r="AC1196" s="89"/>
      <c r="AD1196" s="89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9"/>
      <c r="P1197" s="69"/>
      <c r="Q1197" s="89"/>
      <c r="R1197" s="89"/>
      <c r="S1197" s="60"/>
      <c r="T1197" s="62"/>
      <c r="U1197" s="62"/>
      <c r="V1197" s="62"/>
      <c r="W1197" s="61"/>
      <c r="X1197" s="62"/>
      <c r="Y1197" s="62"/>
      <c r="Z1197" s="66"/>
      <c r="AA1197" s="89"/>
      <c r="AB1197" s="69"/>
      <c r="AC1197" s="89"/>
      <c r="AD1197" s="89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9"/>
      <c r="P1198" s="69"/>
      <c r="Q1198" s="89"/>
      <c r="R1198" s="89"/>
      <c r="S1198" s="60"/>
      <c r="T1198" s="62"/>
      <c r="U1198" s="62"/>
      <c r="V1198" s="62"/>
      <c r="W1198" s="61"/>
      <c r="X1198" s="62"/>
      <c r="Y1198" s="62"/>
      <c r="Z1198" s="66"/>
      <c r="AA1198" s="89"/>
      <c r="AB1198" s="69"/>
      <c r="AC1198" s="89"/>
      <c r="AD1198" s="89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9"/>
      <c r="P1199" s="69"/>
      <c r="Q1199" s="89"/>
      <c r="R1199" s="89"/>
      <c r="S1199" s="60"/>
      <c r="T1199" s="62"/>
      <c r="U1199" s="62"/>
      <c r="V1199" s="62"/>
      <c r="W1199" s="61"/>
      <c r="X1199" s="62"/>
      <c r="Y1199" s="62"/>
      <c r="Z1199" s="66"/>
      <c r="AA1199" s="89"/>
      <c r="AB1199" s="69"/>
      <c r="AC1199" s="89"/>
      <c r="AD1199" s="89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9"/>
      <c r="P1200" s="69"/>
      <c r="Q1200" s="89"/>
      <c r="R1200" s="89"/>
      <c r="S1200" s="60"/>
      <c r="T1200" s="62"/>
      <c r="U1200" s="62"/>
      <c r="V1200" s="62"/>
      <c r="W1200" s="61"/>
      <c r="X1200" s="62"/>
      <c r="Y1200" s="62"/>
      <c r="Z1200" s="66"/>
      <c r="AA1200" s="89"/>
      <c r="AB1200" s="69"/>
      <c r="AC1200" s="89"/>
      <c r="AD1200" s="89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9"/>
      <c r="P1201" s="69"/>
      <c r="Q1201" s="89"/>
      <c r="R1201" s="89"/>
      <c r="S1201" s="60"/>
      <c r="T1201" s="62"/>
      <c r="U1201" s="62"/>
      <c r="V1201" s="62"/>
      <c r="W1201" s="61"/>
      <c r="X1201" s="62"/>
      <c r="Y1201" s="62"/>
      <c r="Z1201" s="66"/>
      <c r="AA1201" s="89"/>
      <c r="AB1201" s="69"/>
      <c r="AC1201" s="89"/>
      <c r="AD1201" s="89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9"/>
      <c r="P1202" s="69"/>
      <c r="Q1202" s="89"/>
      <c r="R1202" s="89"/>
      <c r="S1202" s="60"/>
      <c r="T1202" s="62"/>
      <c r="U1202" s="62"/>
      <c r="V1202" s="62"/>
      <c r="W1202" s="61"/>
      <c r="X1202" s="62"/>
      <c r="Y1202" s="62"/>
      <c r="Z1202" s="66"/>
      <c r="AA1202" s="89"/>
      <c r="AB1202" s="69"/>
      <c r="AC1202" s="89"/>
      <c r="AD1202" s="89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9"/>
      <c r="R1203" s="89"/>
      <c r="S1203" s="60"/>
      <c r="T1203" s="62"/>
      <c r="U1203" s="62"/>
      <c r="V1203" s="62"/>
      <c r="W1203" s="61"/>
      <c r="X1203" s="62"/>
      <c r="Y1203" s="62"/>
      <c r="Z1203" s="66"/>
      <c r="AA1203" s="89"/>
      <c r="AB1203" s="69"/>
      <c r="AC1203" s="89"/>
      <c r="AD1203" s="89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9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9"/>
      <c r="P1204" s="69"/>
      <c r="Q1204" s="89"/>
      <c r="R1204" s="89"/>
      <c r="S1204" s="60"/>
      <c r="T1204" s="62"/>
      <c r="U1204" s="62"/>
      <c r="V1204" s="62"/>
      <c r="W1204" s="61"/>
      <c r="X1204" s="62"/>
      <c r="Y1204" s="62"/>
      <c r="Z1204" s="66"/>
      <c r="AA1204" s="89"/>
      <c r="AB1204" s="69"/>
      <c r="AC1204" s="89"/>
      <c r="AD1204" s="89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9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9"/>
      <c r="P1205" s="69"/>
      <c r="Q1205" s="89"/>
      <c r="R1205" s="89"/>
      <c r="S1205" s="60"/>
      <c r="T1205" s="62"/>
      <c r="U1205" s="62"/>
      <c r="V1205" s="62"/>
      <c r="W1205" s="61"/>
      <c r="X1205" s="62"/>
      <c r="Y1205" s="62"/>
      <c r="Z1205" s="66"/>
      <c r="AA1205" s="89"/>
      <c r="AB1205" s="69"/>
      <c r="AC1205" s="89"/>
      <c r="AD1205" s="89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9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9"/>
      <c r="R1206" s="89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9"/>
      <c r="AD1206" s="89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9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9"/>
      <c r="P1207" s="69"/>
      <c r="Q1207" s="89"/>
      <c r="R1207" s="89"/>
      <c r="S1207" s="60"/>
      <c r="T1207" s="62"/>
      <c r="U1207" s="62"/>
      <c r="V1207" s="62"/>
      <c r="W1207" s="61"/>
      <c r="X1207" s="62"/>
      <c r="Y1207" s="62"/>
      <c r="Z1207" s="66"/>
      <c r="AA1207" s="89"/>
      <c r="AB1207" s="69"/>
      <c r="AC1207" s="89"/>
      <c r="AD1207" s="89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9"/>
      <c r="O1208" s="89"/>
      <c r="P1208" s="89"/>
      <c r="Q1208" s="89"/>
      <c r="R1208" s="89"/>
      <c r="S1208" s="89"/>
      <c r="T1208" s="62"/>
      <c r="U1208" s="62"/>
      <c r="V1208" s="62"/>
      <c r="W1208" s="61"/>
      <c r="X1208" s="62"/>
      <c r="Y1208" s="62"/>
      <c r="Z1208" s="89"/>
      <c r="AA1208" s="89"/>
      <c r="AB1208" s="89"/>
      <c r="AC1208" s="89"/>
      <c r="AD1208" s="89"/>
      <c r="AE1208" s="89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9"/>
      <c r="C1209" s="89"/>
      <c r="D1209" s="89"/>
      <c r="E1209" s="89"/>
      <c r="F1209" s="89"/>
      <c r="G1209" s="89"/>
      <c r="H1209" s="62"/>
      <c r="I1209" s="62"/>
      <c r="J1209" s="62"/>
      <c r="K1209" s="62"/>
      <c r="L1209" s="62"/>
      <c r="M1209" s="62"/>
      <c r="N1209" s="89"/>
      <c r="O1209" s="89"/>
      <c r="P1209" s="89"/>
      <c r="Q1209" s="89"/>
      <c r="R1209" s="89"/>
      <c r="S1209" s="89"/>
      <c r="T1209" s="62"/>
      <c r="U1209" s="62"/>
      <c r="V1209" s="62"/>
      <c r="W1209" s="62"/>
      <c r="X1209" s="62"/>
      <c r="Y1209" s="62"/>
      <c r="Z1209" s="89"/>
      <c r="AA1209" s="89"/>
      <c r="AB1209" s="89"/>
      <c r="AC1209" s="89"/>
      <c r="AD1209" s="89"/>
      <c r="AE1209" s="89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9"/>
      <c r="C1210" s="89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9"/>
      <c r="O1210" s="89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9"/>
      <c r="AA1210" s="89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7"/>
      <c r="C1213" s="87"/>
      <c r="D1213" s="87"/>
      <c r="E1213" s="87"/>
      <c r="F1213" s="87"/>
      <c r="G1213" s="87"/>
      <c r="H1213" s="62"/>
      <c r="I1213" s="62"/>
      <c r="J1213" s="62"/>
      <c r="K1213" s="62"/>
      <c r="L1213" s="62"/>
      <c r="M1213" s="62"/>
      <c r="N1213" s="87"/>
      <c r="O1213" s="87"/>
      <c r="P1213" s="87"/>
      <c r="Q1213" s="87"/>
      <c r="R1213" s="87"/>
      <c r="S1213" s="87"/>
      <c r="T1213" s="62"/>
      <c r="U1213" s="62"/>
      <c r="V1213" s="62"/>
      <c r="W1213" s="62"/>
      <c r="X1213" s="62"/>
      <c r="Y1213" s="62"/>
      <c r="Z1213" s="87"/>
      <c r="AA1213" s="87"/>
      <c r="AB1213" s="87"/>
      <c r="AC1213" s="87"/>
      <c r="AD1213" s="87"/>
      <c r="AE1213" s="87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7"/>
      <c r="C1214" s="87"/>
      <c r="D1214" s="87"/>
      <c r="E1214" s="87"/>
      <c r="F1214" s="87"/>
      <c r="G1214" s="87"/>
      <c r="H1214" s="62"/>
      <c r="I1214" s="62"/>
      <c r="J1214" s="62"/>
      <c r="K1214" s="62"/>
      <c r="L1214" s="62"/>
      <c r="M1214" s="62"/>
      <c r="N1214" s="87"/>
      <c r="O1214" s="87"/>
      <c r="P1214" s="87"/>
      <c r="Q1214" s="87"/>
      <c r="R1214" s="87"/>
      <c r="S1214" s="87"/>
      <c r="T1214" s="62"/>
      <c r="U1214" s="62"/>
      <c r="V1214" s="62"/>
      <c r="W1214" s="62"/>
      <c r="X1214" s="62"/>
      <c r="Y1214" s="62"/>
      <c r="Z1214" s="87"/>
      <c r="AA1214" s="87"/>
      <c r="AB1214" s="87"/>
      <c r="AC1214" s="87"/>
      <c r="AD1214" s="87"/>
      <c r="AE1214" s="87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7"/>
      <c r="C1215" s="87"/>
      <c r="D1215" s="87"/>
      <c r="E1215" s="87"/>
      <c r="F1215" s="87"/>
      <c r="G1215" s="87"/>
      <c r="H1215" s="62"/>
      <c r="I1215" s="62"/>
      <c r="J1215" s="62"/>
      <c r="K1215" s="62"/>
      <c r="L1215" s="62"/>
      <c r="M1215" s="62"/>
      <c r="N1215" s="87"/>
      <c r="O1215" s="87"/>
      <c r="P1215" s="87"/>
      <c r="Q1215" s="87"/>
      <c r="R1215" s="87"/>
      <c r="S1215" s="87"/>
      <c r="T1215" s="62"/>
      <c r="U1215" s="62"/>
      <c r="V1215" s="62"/>
      <c r="W1215" s="62"/>
      <c r="X1215" s="62"/>
      <c r="Y1215" s="62"/>
      <c r="Z1215" s="87"/>
      <c r="AA1215" s="87"/>
      <c r="AB1215" s="87"/>
      <c r="AC1215" s="87"/>
      <c r="AD1215" s="87"/>
      <c r="AE1215" s="87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7"/>
      <c r="C1216" s="87"/>
      <c r="D1216" s="87"/>
      <c r="E1216" s="87"/>
      <c r="F1216" s="87"/>
      <c r="G1216" s="87"/>
      <c r="H1216" s="62"/>
      <c r="I1216" s="62"/>
      <c r="J1216" s="62"/>
      <c r="K1216" s="62"/>
      <c r="L1216" s="62"/>
      <c r="M1216" s="63"/>
      <c r="N1216" s="87"/>
      <c r="O1216" s="87"/>
      <c r="P1216" s="87"/>
      <c r="Q1216" s="87"/>
      <c r="R1216" s="87"/>
      <c r="S1216" s="87"/>
      <c r="T1216" s="62"/>
      <c r="U1216" s="62"/>
      <c r="V1216" s="62"/>
      <c r="W1216" s="62"/>
      <c r="X1216" s="62"/>
      <c r="Y1216" s="63"/>
      <c r="Z1216" s="87"/>
      <c r="AA1216" s="87"/>
      <c r="AB1216" s="87"/>
      <c r="AC1216" s="87"/>
      <c r="AD1216" s="87"/>
      <c r="AE1216" s="87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7"/>
      <c r="C1217" s="87"/>
      <c r="D1217" s="87"/>
      <c r="E1217" s="87"/>
      <c r="F1217" s="87"/>
      <c r="G1217" s="87"/>
      <c r="H1217" s="62"/>
      <c r="I1217" s="62"/>
      <c r="J1217" s="62"/>
      <c r="K1217" s="62"/>
      <c r="L1217" s="62"/>
      <c r="M1217" s="62"/>
      <c r="N1217" s="87"/>
      <c r="O1217" s="87"/>
      <c r="P1217" s="87"/>
      <c r="Q1217" s="87"/>
      <c r="R1217" s="87"/>
      <c r="S1217" s="87"/>
      <c r="T1217" s="62"/>
      <c r="U1217" s="62"/>
      <c r="V1217" s="62"/>
      <c r="W1217" s="62"/>
      <c r="X1217" s="62"/>
      <c r="Y1217" s="62"/>
      <c r="Z1217" s="87"/>
      <c r="AA1217" s="87"/>
      <c r="AB1217" s="87"/>
      <c r="AC1217" s="87"/>
      <c r="AD1217" s="87"/>
      <c r="AE1217" s="87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7"/>
      <c r="C1218" s="87"/>
      <c r="D1218" s="87"/>
      <c r="E1218" s="87"/>
      <c r="F1218" s="87"/>
      <c r="G1218" s="87"/>
      <c r="H1218" s="62"/>
      <c r="I1218" s="87"/>
      <c r="J1218" s="74"/>
      <c r="K1218" s="62"/>
      <c r="L1218" s="62"/>
      <c r="M1218" s="62"/>
      <c r="N1218" s="87"/>
      <c r="O1218" s="87"/>
      <c r="P1218" s="87"/>
      <c r="Q1218" s="87"/>
      <c r="R1218" s="87"/>
      <c r="S1218" s="87"/>
      <c r="T1218" s="62"/>
      <c r="U1218" s="87"/>
      <c r="V1218" s="74"/>
      <c r="W1218" s="62"/>
      <c r="X1218" s="62"/>
      <c r="Y1218" s="62"/>
      <c r="Z1218" s="87"/>
      <c r="AA1218" s="87"/>
      <c r="AB1218" s="87"/>
      <c r="AC1218" s="87"/>
      <c r="AD1218" s="87"/>
      <c r="AE1218" s="87"/>
      <c r="AF1218" s="62"/>
      <c r="AG1218" s="87"/>
      <c r="AH1218" s="87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7"/>
      <c r="C1219" s="87"/>
      <c r="D1219" s="87"/>
      <c r="E1219" s="87"/>
      <c r="F1219" s="87"/>
      <c r="G1219" s="87"/>
      <c r="H1219" s="62"/>
      <c r="I1219" s="65"/>
      <c r="J1219" s="65"/>
      <c r="K1219" s="62"/>
      <c r="L1219" s="62"/>
      <c r="M1219" s="64"/>
      <c r="N1219" s="87"/>
      <c r="O1219" s="87"/>
      <c r="P1219" s="87"/>
      <c r="Q1219" s="87"/>
      <c r="R1219" s="87"/>
      <c r="S1219" s="87"/>
      <c r="T1219" s="62"/>
      <c r="U1219" s="65"/>
      <c r="V1219" s="65"/>
      <c r="W1219" s="62"/>
      <c r="X1219" s="62"/>
      <c r="Y1219" s="64"/>
      <c r="Z1219" s="87"/>
      <c r="AA1219" s="87"/>
      <c r="AB1219" s="87"/>
      <c r="AC1219" s="87"/>
      <c r="AD1219" s="87"/>
      <c r="AE1219" s="87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7"/>
      <c r="C1220" s="87"/>
      <c r="D1220" s="87"/>
      <c r="E1220" s="87"/>
      <c r="F1220" s="87"/>
      <c r="G1220" s="87"/>
      <c r="H1220" s="62"/>
      <c r="I1220" s="62"/>
      <c r="J1220" s="62"/>
      <c r="K1220" s="62"/>
      <c r="L1220" s="62"/>
      <c r="M1220" s="62"/>
      <c r="N1220" s="87"/>
      <c r="O1220" s="87"/>
      <c r="P1220" s="87"/>
      <c r="Q1220" s="87"/>
      <c r="R1220" s="87"/>
      <c r="S1220" s="87"/>
      <c r="T1220" s="62"/>
      <c r="U1220" s="62"/>
      <c r="V1220" s="62"/>
      <c r="W1220" s="62"/>
      <c r="X1220" s="62"/>
      <c r="Y1220" s="62"/>
      <c r="Z1220" s="87"/>
      <c r="AA1220" s="87"/>
      <c r="AB1220" s="87"/>
      <c r="AC1220" s="87"/>
      <c r="AD1220" s="87"/>
      <c r="AE1220" s="87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7"/>
      <c r="D1221" s="104"/>
      <c r="E1221" s="104"/>
      <c r="F1221" s="87"/>
      <c r="G1221" s="87"/>
      <c r="H1221" s="62"/>
      <c r="I1221" s="104"/>
      <c r="J1221" s="104"/>
      <c r="K1221" s="103"/>
      <c r="L1221" s="62"/>
      <c r="M1221" s="62"/>
      <c r="N1221" s="65"/>
      <c r="O1221" s="87"/>
      <c r="P1221" s="104"/>
      <c r="Q1221" s="104"/>
      <c r="R1221" s="87"/>
      <c r="S1221" s="87"/>
      <c r="T1221" s="62"/>
      <c r="U1221" s="104"/>
      <c r="V1221" s="104"/>
      <c r="W1221" s="103"/>
      <c r="X1221" s="62"/>
      <c r="Y1221" s="62"/>
      <c r="Z1221" s="65"/>
      <c r="AA1221" s="87"/>
      <c r="AB1221" s="104"/>
      <c r="AC1221" s="104"/>
      <c r="AD1221" s="87"/>
      <c r="AE1221" s="87"/>
      <c r="AF1221" s="62"/>
      <c r="AG1221" s="104"/>
      <c r="AH1221" s="104"/>
      <c r="AI1221" s="103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7"/>
      <c r="C1222" s="87"/>
      <c r="D1222" s="81"/>
      <c r="E1222" s="82"/>
      <c r="F1222" s="83"/>
      <c r="G1222" s="83"/>
      <c r="H1222" s="62"/>
      <c r="I1222" s="86"/>
      <c r="J1222" s="86"/>
      <c r="K1222" s="103"/>
      <c r="L1222" s="62"/>
      <c r="M1222" s="62"/>
      <c r="N1222" s="87"/>
      <c r="O1222" s="87"/>
      <c r="P1222" s="81"/>
      <c r="Q1222" s="83"/>
      <c r="R1222" s="83"/>
      <c r="S1222" s="83"/>
      <c r="T1222" s="62"/>
      <c r="U1222" s="86"/>
      <c r="V1222" s="86"/>
      <c r="W1222" s="103"/>
      <c r="X1222" s="62"/>
      <c r="Y1222" s="62"/>
      <c r="Z1222" s="87"/>
      <c r="AA1222" s="87"/>
      <c r="AB1222" s="81"/>
      <c r="AC1222" s="82"/>
      <c r="AD1222" s="83"/>
      <c r="AE1222" s="83"/>
      <c r="AF1222" s="62"/>
      <c r="AG1222" s="86"/>
      <c r="AH1222" s="86"/>
      <c r="AI1222" s="103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7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7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7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7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7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7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7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7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7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7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7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7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7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7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7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7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7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7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7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7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7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7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7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7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7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7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7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7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7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7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7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7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7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7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7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7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7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7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7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7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7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7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7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7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7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7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7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7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7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7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7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7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7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7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7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7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7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7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7"/>
      <c r="P1243" s="67"/>
      <c r="Q1243" s="87"/>
      <c r="R1243" s="87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7"/>
      <c r="P1244" s="68"/>
      <c r="Q1244" s="87"/>
      <c r="R1244" s="87"/>
      <c r="S1244" s="60"/>
      <c r="T1244" s="62"/>
      <c r="U1244" s="62"/>
      <c r="V1244" s="62"/>
      <c r="W1244" s="61"/>
      <c r="X1244" s="62"/>
      <c r="Y1244" s="62"/>
      <c r="Z1244" s="66"/>
      <c r="AA1244" s="87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7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7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7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7"/>
      <c r="P1246" s="69"/>
      <c r="Q1246" s="87"/>
      <c r="R1246" s="87"/>
      <c r="S1246" s="60"/>
      <c r="T1246" s="62"/>
      <c r="U1246" s="62"/>
      <c r="V1246" s="62"/>
      <c r="W1246" s="61"/>
      <c r="X1246" s="62"/>
      <c r="Y1246" s="62"/>
      <c r="Z1246" s="66"/>
      <c r="AA1246" s="87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7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7"/>
      <c r="P1247" s="69"/>
      <c r="Q1247" s="87"/>
      <c r="R1247" s="87"/>
      <c r="S1247" s="60"/>
      <c r="T1247" s="62"/>
      <c r="U1247" s="62"/>
      <c r="V1247" s="62"/>
      <c r="W1247" s="61"/>
      <c r="X1247" s="62"/>
      <c r="Y1247" s="62"/>
      <c r="Z1247" s="66"/>
      <c r="AA1247" s="87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7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7"/>
      <c r="P1248" s="69"/>
      <c r="Q1248" s="87"/>
      <c r="R1248" s="87"/>
      <c r="S1248" s="60"/>
      <c r="T1248" s="62"/>
      <c r="U1248" s="62"/>
      <c r="V1248" s="62"/>
      <c r="W1248" s="61"/>
      <c r="X1248" s="62"/>
      <c r="Y1248" s="62"/>
      <c r="Z1248" s="66"/>
      <c r="AA1248" s="87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7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7"/>
      <c r="P1249" s="69"/>
      <c r="Q1249" s="87"/>
      <c r="R1249" s="87"/>
      <c r="S1249" s="60"/>
      <c r="T1249" s="62"/>
      <c r="U1249" s="62"/>
      <c r="V1249" s="62"/>
      <c r="W1249" s="61"/>
      <c r="X1249" s="62"/>
      <c r="Y1249" s="62"/>
      <c r="Z1249" s="66"/>
      <c r="AA1249" s="87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7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7"/>
      <c r="P1250" s="69"/>
      <c r="Q1250" s="87"/>
      <c r="R1250" s="87"/>
      <c r="S1250" s="60"/>
      <c r="T1250" s="62"/>
      <c r="U1250" s="62"/>
      <c r="V1250" s="62"/>
      <c r="W1250" s="61"/>
      <c r="X1250" s="62"/>
      <c r="Y1250" s="62"/>
      <c r="Z1250" s="66"/>
      <c r="AA1250" s="87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7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7"/>
      <c r="P1251" s="69"/>
      <c r="Q1251" s="87"/>
      <c r="R1251" s="87"/>
      <c r="S1251" s="60"/>
      <c r="T1251" s="62"/>
      <c r="U1251" s="62"/>
      <c r="V1251" s="62"/>
      <c r="W1251" s="61"/>
      <c r="X1251" s="62"/>
      <c r="Y1251" s="62"/>
      <c r="Z1251" s="66"/>
      <c r="AA1251" s="87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7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7"/>
      <c r="P1252" s="69"/>
      <c r="Q1252" s="87"/>
      <c r="R1252" s="87"/>
      <c r="S1252" s="60"/>
      <c r="T1252" s="62"/>
      <c r="U1252" s="62"/>
      <c r="V1252" s="62"/>
      <c r="W1252" s="61"/>
      <c r="X1252" s="62"/>
      <c r="Y1252" s="62"/>
      <c r="Z1252" s="66"/>
      <c r="AA1252" s="87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7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7"/>
      <c r="R1253" s="87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7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7"/>
      <c r="P1254" s="69"/>
      <c r="Q1254" s="87"/>
      <c r="R1254" s="87"/>
      <c r="S1254" s="60"/>
      <c r="T1254" s="62"/>
      <c r="U1254" s="62"/>
      <c r="V1254" s="62"/>
      <c r="W1254" s="61"/>
      <c r="X1254" s="62"/>
      <c r="Y1254" s="62"/>
      <c r="Z1254" s="66"/>
      <c r="AA1254" s="87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7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7"/>
      <c r="P1255" s="69"/>
      <c r="Q1255" s="87"/>
      <c r="R1255" s="87"/>
      <c r="S1255" s="60"/>
      <c r="T1255" s="62"/>
      <c r="U1255" s="62"/>
      <c r="V1255" s="62"/>
      <c r="W1255" s="61"/>
      <c r="X1255" s="62"/>
      <c r="Y1255" s="62"/>
      <c r="Z1255" s="66"/>
      <c r="AA1255" s="87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7"/>
      <c r="P1256" s="69"/>
      <c r="Q1256" s="87"/>
      <c r="R1256" s="87"/>
      <c r="S1256" s="60"/>
      <c r="T1256" s="62"/>
      <c r="U1256" s="62"/>
      <c r="V1256" s="62"/>
      <c r="W1256" s="61"/>
      <c r="X1256" s="62"/>
      <c r="Y1256" s="62"/>
      <c r="Z1256" s="66"/>
      <c r="AA1256" s="87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7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7"/>
      <c r="P1257" s="69"/>
      <c r="Q1257" s="87"/>
      <c r="R1257" s="87"/>
      <c r="S1257" s="60"/>
      <c r="T1257" s="62"/>
      <c r="U1257" s="62"/>
      <c r="V1257" s="62"/>
      <c r="W1257" s="61"/>
      <c r="X1257" s="62"/>
      <c r="Y1257" s="62"/>
      <c r="Z1257" s="66"/>
      <c r="AA1257" s="87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7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7"/>
      <c r="P1258" s="69"/>
      <c r="Q1258" s="87"/>
      <c r="R1258" s="87"/>
      <c r="S1258" s="60"/>
      <c r="T1258" s="62"/>
      <c r="U1258" s="62"/>
      <c r="V1258" s="62"/>
      <c r="W1258" s="61"/>
      <c r="X1258" s="62"/>
      <c r="Y1258" s="62"/>
      <c r="Z1258" s="66"/>
      <c r="AA1258" s="87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4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4"/>
      <c r="P1259" s="69"/>
      <c r="Q1259" s="84"/>
      <c r="R1259" s="84"/>
      <c r="S1259" s="60"/>
      <c r="T1259" s="62"/>
      <c r="U1259" s="62"/>
      <c r="V1259" s="62"/>
      <c r="W1259" s="61"/>
      <c r="X1259" s="62"/>
      <c r="Y1259" s="62"/>
      <c r="Z1259" s="66"/>
      <c r="AA1259" s="84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4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4"/>
      <c r="P1260" s="69"/>
      <c r="Q1260" s="84"/>
      <c r="R1260" s="84"/>
      <c r="S1260" s="60"/>
      <c r="T1260" s="62"/>
      <c r="U1260" s="62"/>
      <c r="V1260" s="62"/>
      <c r="W1260" s="61"/>
      <c r="X1260" s="62"/>
      <c r="Y1260" s="62"/>
      <c r="Z1260" s="66"/>
      <c r="AA1260" s="84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4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4"/>
      <c r="P1261" s="69"/>
      <c r="Q1261" s="84"/>
      <c r="R1261" s="84"/>
      <c r="S1261" s="60"/>
      <c r="T1261" s="62"/>
      <c r="U1261" s="62"/>
      <c r="V1261" s="62"/>
      <c r="W1261" s="61"/>
      <c r="X1261" s="62"/>
      <c r="Y1261" s="62"/>
      <c r="Z1261" s="66"/>
      <c r="AA1261" s="84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4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4"/>
      <c r="P1262" s="69"/>
      <c r="Q1262" s="84"/>
      <c r="R1262" s="84"/>
      <c r="S1262" s="60"/>
      <c r="T1262" s="62"/>
      <c r="U1262" s="62"/>
      <c r="V1262" s="62"/>
      <c r="W1262" s="61"/>
      <c r="X1262" s="62"/>
      <c r="Y1262" s="62"/>
      <c r="Z1262" s="66"/>
      <c r="AA1262" s="84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4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4"/>
      <c r="P1263" s="69"/>
      <c r="Q1263" s="84"/>
      <c r="R1263" s="84"/>
      <c r="S1263" s="60"/>
      <c r="T1263" s="62"/>
      <c r="U1263" s="62"/>
      <c r="V1263" s="62"/>
      <c r="W1263" s="61"/>
      <c r="X1263" s="62"/>
      <c r="Y1263" s="62"/>
      <c r="Z1263" s="66"/>
      <c r="AA1263" s="84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4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4"/>
      <c r="P1264" s="69"/>
      <c r="Q1264" s="84"/>
      <c r="R1264" s="84"/>
      <c r="S1264" s="60"/>
      <c r="T1264" s="62"/>
      <c r="U1264" s="62"/>
      <c r="V1264" s="62"/>
      <c r="W1264" s="61"/>
      <c r="X1264" s="62"/>
      <c r="Y1264" s="62"/>
      <c r="Z1264" s="66"/>
      <c r="AA1264" s="84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4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4"/>
      <c r="P1265" s="69"/>
      <c r="Q1265" s="84"/>
      <c r="R1265" s="84"/>
      <c r="S1265" s="60"/>
      <c r="T1265" s="62"/>
      <c r="U1265" s="62"/>
      <c r="V1265" s="62"/>
      <c r="W1265" s="61"/>
      <c r="X1265" s="62"/>
      <c r="Y1265" s="62"/>
      <c r="Z1265" s="66"/>
      <c r="AA1265" s="84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4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4"/>
      <c r="P1266" s="69"/>
      <c r="Q1266" s="84"/>
      <c r="R1266" s="84"/>
      <c r="S1266" s="60"/>
      <c r="T1266" s="62"/>
      <c r="U1266" s="62"/>
      <c r="V1266" s="62"/>
      <c r="W1266" s="61"/>
      <c r="X1266" s="62"/>
      <c r="Y1266" s="62"/>
      <c r="Z1266" s="66"/>
      <c r="AA1266" s="84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4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4"/>
      <c r="P1267" s="69"/>
      <c r="Q1267" s="84"/>
      <c r="R1267" s="84"/>
      <c r="S1267" s="60"/>
      <c r="T1267" s="62"/>
      <c r="U1267" s="62"/>
      <c r="V1267" s="62"/>
      <c r="W1267" s="61"/>
      <c r="X1267" s="62"/>
      <c r="Y1267" s="62"/>
      <c r="Z1267" s="66"/>
      <c r="AA1267" s="84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4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4"/>
      <c r="P1268" s="69"/>
      <c r="Q1268" s="84"/>
      <c r="R1268" s="84"/>
      <c r="S1268" s="60"/>
      <c r="T1268" s="62"/>
      <c r="U1268" s="62"/>
      <c r="V1268" s="62"/>
      <c r="W1268" s="61"/>
      <c r="X1268" s="62"/>
      <c r="Y1268" s="62"/>
      <c r="Z1268" s="66"/>
      <c r="AA1268" s="84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4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4"/>
      <c r="P1269" s="69"/>
      <c r="Q1269" s="84"/>
      <c r="R1269" s="84"/>
      <c r="S1269" s="60"/>
      <c r="T1269" s="62"/>
      <c r="U1269" s="62"/>
      <c r="V1269" s="62"/>
      <c r="W1269" s="61"/>
      <c r="X1269" s="62"/>
      <c r="Y1269" s="62"/>
      <c r="Z1269" s="66"/>
      <c r="AA1269" s="84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4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4"/>
      <c r="R1270" s="84"/>
      <c r="S1270" s="60"/>
      <c r="T1270" s="62"/>
      <c r="U1270" s="62"/>
      <c r="V1270" s="62"/>
      <c r="W1270" s="61"/>
      <c r="X1270" s="62"/>
      <c r="Y1270" s="62"/>
      <c r="Z1270" s="66"/>
      <c r="AA1270" s="84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4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4"/>
      <c r="P1271" s="69"/>
      <c r="Q1271" s="84"/>
      <c r="R1271" s="84"/>
      <c r="S1271" s="60"/>
      <c r="T1271" s="62"/>
      <c r="U1271" s="62"/>
      <c r="V1271" s="62"/>
      <c r="W1271" s="61"/>
      <c r="X1271" s="62"/>
      <c r="Y1271" s="62"/>
      <c r="Z1271" s="66"/>
      <c r="AA1271" s="84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4"/>
      <c r="O1272" s="84"/>
      <c r="P1272" s="84"/>
      <c r="Q1272" s="84"/>
      <c r="R1272" s="84"/>
      <c r="S1272" s="84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4"/>
      <c r="C1273" s="84"/>
      <c r="D1273" s="84"/>
      <c r="E1273" s="84"/>
      <c r="F1273" s="84"/>
      <c r="G1273" s="84"/>
      <c r="H1273" s="62"/>
      <c r="I1273" s="62"/>
      <c r="J1273" s="62"/>
      <c r="K1273" s="62"/>
      <c r="L1273" s="62"/>
      <c r="M1273" s="62"/>
      <c r="N1273" s="84"/>
      <c r="O1273" s="84"/>
      <c r="P1273" s="84"/>
      <c r="Q1273" s="84"/>
      <c r="R1273" s="84"/>
      <c r="S1273" s="84"/>
      <c r="T1273" s="62"/>
      <c r="U1273" s="62"/>
      <c r="V1273" s="62"/>
      <c r="W1273" s="62"/>
      <c r="X1273" s="62"/>
      <c r="Y1273" s="62"/>
      <c r="Z1273" s="84"/>
      <c r="AA1273" s="84"/>
      <c r="AB1273" s="84"/>
      <c r="AC1273" s="84"/>
      <c r="AD1273" s="84"/>
      <c r="AE1273" s="84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4"/>
      <c r="C1274" s="84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4"/>
      <c r="O1274" s="84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4"/>
      <c r="AA1274" s="84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4"/>
      <c r="C1276" s="84"/>
      <c r="D1276" s="84"/>
      <c r="E1276" s="84"/>
      <c r="F1276" s="84"/>
      <c r="G1276" s="84"/>
      <c r="H1276" s="62"/>
      <c r="I1276" s="62"/>
      <c r="J1276" s="62"/>
      <c r="K1276" s="62"/>
      <c r="L1276" s="62"/>
      <c r="M1276" s="62"/>
      <c r="N1276" s="84"/>
      <c r="O1276" s="84"/>
      <c r="P1276" s="84"/>
      <c r="Q1276" s="84"/>
      <c r="R1276" s="84"/>
      <c r="S1276" s="84"/>
      <c r="T1276" s="62"/>
      <c r="U1276" s="62"/>
      <c r="V1276" s="62"/>
      <c r="W1276" s="62"/>
      <c r="X1276" s="62"/>
      <c r="Y1276" s="62"/>
      <c r="Z1276" s="84"/>
      <c r="AA1276" s="84"/>
      <c r="AB1276" s="84"/>
      <c r="AC1276" s="84"/>
      <c r="AD1276" s="84"/>
      <c r="AE1276" s="84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4"/>
      <c r="C1277" s="84"/>
      <c r="D1277" s="84"/>
      <c r="E1277" s="84"/>
      <c r="F1277" s="84"/>
      <c r="G1277" s="84"/>
      <c r="H1277" s="62"/>
      <c r="I1277" s="62"/>
      <c r="J1277" s="62"/>
      <c r="K1277" s="62"/>
      <c r="L1277" s="62"/>
      <c r="M1277" s="62"/>
      <c r="N1277" s="84"/>
      <c r="O1277" s="84"/>
      <c r="P1277" s="84"/>
      <c r="Q1277" s="84"/>
      <c r="R1277" s="84"/>
      <c r="S1277" s="84"/>
      <c r="T1277" s="62"/>
      <c r="U1277" s="62"/>
      <c r="V1277" s="62"/>
      <c r="W1277" s="62"/>
      <c r="X1277" s="62"/>
      <c r="Y1277" s="62"/>
      <c r="Z1277" s="84"/>
      <c r="AA1277" s="84"/>
      <c r="AB1277" s="84"/>
      <c r="AC1277" s="84"/>
      <c r="AD1277" s="84"/>
      <c r="AE1277" s="84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4"/>
      <c r="C1278" s="84"/>
      <c r="D1278" s="84"/>
      <c r="E1278" s="84"/>
      <c r="F1278" s="84"/>
      <c r="G1278" s="84"/>
      <c r="H1278" s="62"/>
      <c r="I1278" s="62"/>
      <c r="J1278" s="62"/>
      <c r="K1278" s="62"/>
      <c r="L1278" s="62"/>
      <c r="M1278" s="63"/>
      <c r="N1278" s="84"/>
      <c r="O1278" s="84"/>
      <c r="P1278" s="84"/>
      <c r="Q1278" s="84"/>
      <c r="R1278" s="84"/>
      <c r="S1278" s="84"/>
      <c r="T1278" s="62"/>
      <c r="U1278" s="62"/>
      <c r="V1278" s="62"/>
      <c r="W1278" s="62"/>
      <c r="X1278" s="62"/>
      <c r="Y1278" s="63"/>
      <c r="Z1278" s="84"/>
      <c r="AA1278" s="84"/>
      <c r="AB1278" s="84"/>
      <c r="AC1278" s="84"/>
      <c r="AD1278" s="84"/>
      <c r="AE1278" s="84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4"/>
      <c r="C1279" s="84"/>
      <c r="D1279" s="84"/>
      <c r="E1279" s="84"/>
      <c r="F1279" s="84"/>
      <c r="G1279" s="84"/>
      <c r="H1279" s="62"/>
      <c r="I1279" s="62"/>
      <c r="J1279" s="62"/>
      <c r="K1279" s="62"/>
      <c r="L1279" s="62"/>
      <c r="M1279" s="62"/>
      <c r="N1279" s="84"/>
      <c r="O1279" s="84"/>
      <c r="P1279" s="84"/>
      <c r="Q1279" s="84"/>
      <c r="R1279" s="84"/>
      <c r="S1279" s="84"/>
      <c r="T1279" s="62"/>
      <c r="U1279" s="62"/>
      <c r="V1279" s="62"/>
      <c r="W1279" s="62"/>
      <c r="X1279" s="62"/>
      <c r="Y1279" s="62"/>
      <c r="Z1279" s="84"/>
      <c r="AA1279" s="84"/>
      <c r="AB1279" s="84"/>
      <c r="AC1279" s="84"/>
      <c r="AD1279" s="84"/>
      <c r="AE1279" s="84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4"/>
      <c r="C1280" s="84"/>
      <c r="D1280" s="84"/>
      <c r="E1280" s="84"/>
      <c r="F1280" s="84"/>
      <c r="G1280" s="84"/>
      <c r="H1280" s="62"/>
      <c r="I1280" s="84"/>
      <c r="J1280" s="74"/>
      <c r="K1280" s="62"/>
      <c r="L1280" s="62"/>
      <c r="M1280" s="62"/>
      <c r="N1280" s="84"/>
      <c r="O1280" s="84"/>
      <c r="P1280" s="84"/>
      <c r="Q1280" s="84"/>
      <c r="R1280" s="84"/>
      <c r="S1280" s="84"/>
      <c r="T1280" s="62"/>
      <c r="U1280" s="84"/>
      <c r="V1280" s="74"/>
      <c r="W1280" s="62"/>
      <c r="X1280" s="62"/>
      <c r="Y1280" s="62"/>
      <c r="Z1280" s="84"/>
      <c r="AA1280" s="84"/>
      <c r="AB1280" s="84"/>
      <c r="AC1280" s="84"/>
      <c r="AD1280" s="84"/>
      <c r="AE1280" s="84"/>
      <c r="AF1280" s="62"/>
      <c r="AG1280" s="84"/>
      <c r="AH1280" s="84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4"/>
      <c r="C1281" s="84"/>
      <c r="D1281" s="84"/>
      <c r="E1281" s="84"/>
      <c r="F1281" s="84"/>
      <c r="G1281" s="84"/>
      <c r="H1281" s="62"/>
      <c r="I1281" s="65"/>
      <c r="J1281" s="65"/>
      <c r="K1281" s="62"/>
      <c r="L1281" s="62"/>
      <c r="M1281" s="64"/>
      <c r="N1281" s="84"/>
      <c r="O1281" s="84"/>
      <c r="P1281" s="84"/>
      <c r="Q1281" s="84"/>
      <c r="R1281" s="84"/>
      <c r="S1281" s="84"/>
      <c r="T1281" s="62"/>
      <c r="U1281" s="65"/>
      <c r="V1281" s="65"/>
      <c r="W1281" s="62"/>
      <c r="X1281" s="62"/>
      <c r="Y1281" s="64"/>
      <c r="Z1281" s="84"/>
      <c r="AA1281" s="84"/>
      <c r="AB1281" s="84"/>
      <c r="AC1281" s="84"/>
      <c r="AD1281" s="84"/>
      <c r="AE1281" s="84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4"/>
      <c r="C1282" s="84"/>
      <c r="D1282" s="84"/>
      <c r="E1282" s="84"/>
      <c r="F1282" s="84"/>
      <c r="G1282" s="84"/>
      <c r="H1282" s="62"/>
      <c r="I1282" s="62"/>
      <c r="J1282" s="62"/>
      <c r="K1282" s="62"/>
      <c r="L1282" s="62"/>
      <c r="M1282" s="62"/>
      <c r="N1282" s="84"/>
      <c r="O1282" s="84"/>
      <c r="P1282" s="84"/>
      <c r="Q1282" s="84"/>
      <c r="R1282" s="84"/>
      <c r="S1282" s="84"/>
      <c r="T1282" s="62"/>
      <c r="U1282" s="62"/>
      <c r="V1282" s="62"/>
      <c r="W1282" s="62"/>
      <c r="X1282" s="62"/>
      <c r="Y1282" s="62"/>
      <c r="Z1282" s="84"/>
      <c r="AA1282" s="84"/>
      <c r="AB1282" s="84"/>
      <c r="AC1282" s="84"/>
      <c r="AD1282" s="84"/>
      <c r="AE1282" s="84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4"/>
      <c r="D1283" s="104"/>
      <c r="E1283" s="104"/>
      <c r="F1283" s="84"/>
      <c r="G1283" s="84"/>
      <c r="H1283" s="62"/>
      <c r="I1283" s="104"/>
      <c r="J1283" s="104"/>
      <c r="K1283" s="103"/>
      <c r="L1283" s="62"/>
      <c r="M1283" s="62"/>
      <c r="N1283" s="65"/>
      <c r="O1283" s="84"/>
      <c r="P1283" s="104"/>
      <c r="Q1283" s="104"/>
      <c r="R1283" s="84"/>
      <c r="S1283" s="84"/>
      <c r="T1283" s="62"/>
      <c r="U1283" s="104"/>
      <c r="V1283" s="104"/>
      <c r="W1283" s="103"/>
      <c r="X1283" s="62"/>
      <c r="Y1283" s="62"/>
      <c r="Z1283" s="65"/>
      <c r="AA1283" s="84"/>
      <c r="AB1283" s="104"/>
      <c r="AC1283" s="104"/>
      <c r="AD1283" s="84"/>
      <c r="AE1283" s="84"/>
      <c r="AF1283" s="62"/>
      <c r="AG1283" s="104"/>
      <c r="AH1283" s="104"/>
      <c r="AI1283" s="103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4"/>
      <c r="C1284" s="84"/>
      <c r="D1284" s="84"/>
      <c r="E1284" s="85"/>
      <c r="F1284" s="85"/>
      <c r="G1284" s="85"/>
      <c r="H1284" s="62"/>
      <c r="I1284" s="85"/>
      <c r="J1284" s="85"/>
      <c r="K1284" s="103"/>
      <c r="L1284" s="62"/>
      <c r="M1284" s="62"/>
      <c r="N1284" s="84"/>
      <c r="O1284" s="84"/>
      <c r="P1284" s="84"/>
      <c r="Q1284" s="85"/>
      <c r="R1284" s="85"/>
      <c r="S1284" s="85"/>
      <c r="T1284" s="62"/>
      <c r="U1284" s="85"/>
      <c r="V1284" s="85"/>
      <c r="W1284" s="103"/>
      <c r="X1284" s="62"/>
      <c r="Y1284" s="62"/>
      <c r="Z1284" s="84"/>
      <c r="AA1284" s="84"/>
      <c r="AB1284" s="84"/>
      <c r="AC1284" s="85"/>
      <c r="AD1284" s="85"/>
      <c r="AE1284" s="85"/>
      <c r="AF1284" s="62"/>
      <c r="AG1284" s="85"/>
      <c r="AH1284" s="85"/>
      <c r="AI1284" s="103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4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4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4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4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4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4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4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4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4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4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4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4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4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4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4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4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4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4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4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4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4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4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4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4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4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4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4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4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4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4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4"/>
      <c r="D1295" s="84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4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4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4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4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4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4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4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4"/>
      <c r="D1298" s="60"/>
      <c r="E1298" s="84"/>
      <c r="F1298" s="84"/>
      <c r="G1298" s="60"/>
      <c r="H1298" s="61"/>
      <c r="I1298" s="61"/>
      <c r="J1298" s="62"/>
      <c r="K1298" s="61"/>
      <c r="L1298" s="62"/>
      <c r="M1298" s="62"/>
      <c r="N1298" s="66"/>
      <c r="O1298" s="84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4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4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4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4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4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4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4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4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4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4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4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4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4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4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4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4"/>
      <c r="D1304" s="84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4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4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4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4"/>
      <c r="P1305" s="67"/>
      <c r="Q1305" s="84"/>
      <c r="R1305" s="84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4"/>
      <c r="AD1305" s="84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4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4"/>
      <c r="P1306" s="68"/>
      <c r="Q1306" s="84"/>
      <c r="R1306" s="84"/>
      <c r="S1306" s="60"/>
      <c r="T1306" s="62"/>
      <c r="U1306" s="62"/>
      <c r="V1306" s="62"/>
      <c r="W1306" s="61"/>
      <c r="X1306" s="62"/>
      <c r="Y1306" s="62"/>
      <c r="Z1306" s="66"/>
      <c r="AA1306" s="84"/>
      <c r="AB1306" s="68"/>
      <c r="AC1306" s="84"/>
      <c r="AD1306" s="84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4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4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4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4"/>
      <c r="P1308" s="69"/>
      <c r="Q1308" s="84"/>
      <c r="R1308" s="84"/>
      <c r="S1308" s="60"/>
      <c r="T1308" s="62"/>
      <c r="U1308" s="62"/>
      <c r="V1308" s="62"/>
      <c r="W1308" s="61"/>
      <c r="X1308" s="62"/>
      <c r="Y1308" s="62"/>
      <c r="Z1308" s="66"/>
      <c r="AA1308" s="84"/>
      <c r="AB1308" s="69"/>
      <c r="AC1308" s="84"/>
      <c r="AD1308" s="84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4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4"/>
      <c r="P1309" s="69"/>
      <c r="Q1309" s="84"/>
      <c r="R1309" s="84"/>
      <c r="S1309" s="60"/>
      <c r="T1309" s="62"/>
      <c r="U1309" s="62"/>
      <c r="V1309" s="62"/>
      <c r="W1309" s="61"/>
      <c r="X1309" s="62"/>
      <c r="Y1309" s="62"/>
      <c r="Z1309" s="66"/>
      <c r="AA1309" s="84"/>
      <c r="AB1309" s="69"/>
      <c r="AC1309" s="84"/>
      <c r="AD1309" s="84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4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4"/>
      <c r="P1310" s="69"/>
      <c r="Q1310" s="84"/>
      <c r="R1310" s="84"/>
      <c r="S1310" s="60"/>
      <c r="T1310" s="62"/>
      <c r="U1310" s="62"/>
      <c r="V1310" s="62"/>
      <c r="W1310" s="61"/>
      <c r="X1310" s="62"/>
      <c r="Y1310" s="62"/>
      <c r="Z1310" s="66"/>
      <c r="AA1310" s="84"/>
      <c r="AB1310" s="69"/>
      <c r="AC1310" s="84"/>
      <c r="AD1310" s="84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4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4"/>
      <c r="P1311" s="69"/>
      <c r="Q1311" s="84"/>
      <c r="R1311" s="84"/>
      <c r="S1311" s="60"/>
      <c r="T1311" s="62"/>
      <c r="U1311" s="62"/>
      <c r="V1311" s="62"/>
      <c r="W1311" s="61"/>
      <c r="X1311" s="62"/>
      <c r="Y1311" s="62"/>
      <c r="Z1311" s="66"/>
      <c r="AA1311" s="84"/>
      <c r="AB1311" s="69"/>
      <c r="AC1311" s="84"/>
      <c r="AD1311" s="84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4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4"/>
      <c r="P1312" s="69"/>
      <c r="Q1312" s="84"/>
      <c r="R1312" s="84"/>
      <c r="S1312" s="60"/>
      <c r="T1312" s="62"/>
      <c r="U1312" s="62"/>
      <c r="V1312" s="62"/>
      <c r="W1312" s="61"/>
      <c r="X1312" s="62"/>
      <c r="Y1312" s="62"/>
      <c r="Z1312" s="66"/>
      <c r="AA1312" s="84"/>
      <c r="AB1312" s="69"/>
      <c r="AC1312" s="84"/>
      <c r="AD1312" s="84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4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4"/>
      <c r="P1313" s="69"/>
      <c r="Q1313" s="84"/>
      <c r="R1313" s="84"/>
      <c r="S1313" s="60"/>
      <c r="T1313" s="62"/>
      <c r="U1313" s="62"/>
      <c r="V1313" s="62"/>
      <c r="W1313" s="61"/>
      <c r="X1313" s="62"/>
      <c r="Y1313" s="62"/>
      <c r="Z1313" s="66"/>
      <c r="AA1313" s="84"/>
      <c r="AB1313" s="69"/>
      <c r="AC1313" s="84"/>
      <c r="AD1313" s="84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4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4"/>
      <c r="P1314" s="69"/>
      <c r="Q1314" s="84"/>
      <c r="R1314" s="84"/>
      <c r="S1314" s="60"/>
      <c r="T1314" s="62"/>
      <c r="U1314" s="62"/>
      <c r="V1314" s="62"/>
      <c r="W1314" s="61"/>
      <c r="X1314" s="62"/>
      <c r="Y1314" s="62"/>
      <c r="Z1314" s="66"/>
      <c r="AA1314" s="84"/>
      <c r="AB1314" s="69"/>
      <c r="AC1314" s="84"/>
      <c r="AD1314" s="84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4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4"/>
      <c r="P1315" s="69"/>
      <c r="Q1315" s="84"/>
      <c r="R1315" s="84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4"/>
      <c r="AD1315" s="84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4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4"/>
      <c r="P1316" s="69"/>
      <c r="Q1316" s="84"/>
      <c r="R1316" s="84"/>
      <c r="S1316" s="60"/>
      <c r="T1316" s="62"/>
      <c r="U1316" s="62"/>
      <c r="V1316" s="62"/>
      <c r="W1316" s="61"/>
      <c r="X1316" s="62"/>
      <c r="Y1316" s="62"/>
      <c r="Z1316" s="66"/>
      <c r="AA1316" s="84"/>
      <c r="AB1316" s="69"/>
      <c r="AC1316" s="84"/>
      <c r="AD1316" s="84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4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4"/>
      <c r="P1317" s="69"/>
      <c r="Q1317" s="84"/>
      <c r="R1317" s="84"/>
      <c r="S1317" s="60"/>
      <c r="T1317" s="62"/>
      <c r="U1317" s="62"/>
      <c r="V1317" s="62"/>
      <c r="W1317" s="61"/>
      <c r="X1317" s="62"/>
      <c r="Y1317" s="62"/>
      <c r="Z1317" s="66"/>
      <c r="AA1317" s="84"/>
      <c r="AB1317" s="69"/>
      <c r="AC1317" s="84"/>
      <c r="AD1317" s="84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4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4"/>
      <c r="P1318" s="69"/>
      <c r="Q1318" s="84"/>
      <c r="R1318" s="84"/>
      <c r="S1318" s="60"/>
      <c r="T1318" s="62"/>
      <c r="U1318" s="62"/>
      <c r="V1318" s="62"/>
      <c r="W1318" s="61"/>
      <c r="X1318" s="62"/>
      <c r="Y1318" s="62"/>
      <c r="Z1318" s="66"/>
      <c r="AA1318" s="84"/>
      <c r="AB1318" s="69"/>
      <c r="AC1318" s="84"/>
      <c r="AD1318" s="84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4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4"/>
      <c r="P1319" s="69"/>
      <c r="Q1319" s="84"/>
      <c r="R1319" s="84"/>
      <c r="S1319" s="60"/>
      <c r="T1319" s="62"/>
      <c r="U1319" s="62"/>
      <c r="V1319" s="62"/>
      <c r="W1319" s="61"/>
      <c r="X1319" s="62"/>
      <c r="Y1319" s="62"/>
      <c r="Z1319" s="66"/>
      <c r="AA1319" s="84"/>
      <c r="AB1319" s="69"/>
      <c r="AC1319" s="84"/>
      <c r="AD1319" s="84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4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4"/>
      <c r="P1320" s="69"/>
      <c r="Q1320" s="84"/>
      <c r="R1320" s="84"/>
      <c r="S1320" s="60"/>
      <c r="T1320" s="62"/>
      <c r="U1320" s="62"/>
      <c r="V1320" s="62"/>
      <c r="W1320" s="61"/>
      <c r="X1320" s="62"/>
      <c r="Y1320" s="62"/>
      <c r="Z1320" s="66"/>
      <c r="AA1320" s="84"/>
      <c r="AB1320" s="69"/>
      <c r="AC1320" s="84"/>
      <c r="AD1320" s="84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73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73"/>
      <c r="R1321" s="76"/>
      <c r="S1321" s="60"/>
      <c r="T1321" s="62"/>
      <c r="U1321" s="62"/>
      <c r="V1321" s="62"/>
      <c r="W1321" s="61"/>
      <c r="X1321" s="62"/>
      <c r="Y1321" s="62"/>
      <c r="Z1321" s="66"/>
      <c r="AA1321" s="73"/>
      <c r="AB1321" s="69"/>
      <c r="AC1321" s="73"/>
      <c r="AD1321" s="7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73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73"/>
      <c r="P1322" s="69"/>
      <c r="Q1322" s="73"/>
      <c r="R1322" s="76"/>
      <c r="S1322" s="60"/>
      <c r="T1322" s="62"/>
      <c r="U1322" s="62"/>
      <c r="V1322" s="62"/>
      <c r="W1322" s="61"/>
      <c r="X1322" s="62"/>
      <c r="Y1322" s="62"/>
      <c r="Z1322" s="66"/>
      <c r="AA1322" s="73"/>
      <c r="AB1322" s="69"/>
      <c r="AC1322" s="73"/>
      <c r="AD1322" s="76"/>
      <c r="AE1322" s="60"/>
      <c r="AF1322" s="62"/>
      <c r="AG1322" s="62"/>
      <c r="AH1322" s="62"/>
      <c r="AI1322" s="61"/>
      <c r="AJ1322" s="62"/>
    </row>
    <row r="1323" spans="1:52" x14ac:dyDescent="0.25">
      <c r="A1323" s="62"/>
      <c r="B1323" s="66"/>
      <c r="C1323" s="73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73"/>
      <c r="P1323" s="69"/>
      <c r="Q1323" s="73"/>
      <c r="R1323" s="76"/>
      <c r="S1323" s="60"/>
      <c r="T1323" s="62"/>
      <c r="U1323" s="62"/>
      <c r="V1323" s="62"/>
      <c r="W1323" s="61"/>
      <c r="X1323" s="62"/>
      <c r="Y1323" s="62"/>
      <c r="Z1323" s="66"/>
      <c r="AA1323" s="73"/>
      <c r="AB1323" s="69"/>
      <c r="AC1323" s="73"/>
      <c r="AD1323" s="76"/>
      <c r="AE1323" s="60"/>
      <c r="AF1323" s="62"/>
      <c r="AG1323" s="62"/>
      <c r="AH1323" s="62"/>
      <c r="AI1323" s="61"/>
      <c r="AJ1323" s="62"/>
    </row>
    <row r="1324" spans="1:52" x14ac:dyDescent="0.25">
      <c r="A1324" s="62"/>
      <c r="B1324" s="66"/>
      <c r="C1324" s="73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73"/>
      <c r="R1324" s="7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73"/>
      <c r="AD1324" s="76"/>
      <c r="AE1324" s="60"/>
      <c r="AF1324" s="62"/>
      <c r="AG1324" s="62"/>
      <c r="AH1324" s="62"/>
      <c r="AI1324" s="61"/>
      <c r="AJ1324" s="62"/>
    </row>
    <row r="1325" spans="1:52" x14ac:dyDescent="0.25">
      <c r="A1325" s="62"/>
      <c r="B1325" s="66"/>
      <c r="C1325" s="73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73"/>
      <c r="P1325" s="69"/>
      <c r="Q1325" s="73"/>
      <c r="R1325" s="76"/>
      <c r="S1325" s="60"/>
      <c r="T1325" s="62"/>
      <c r="U1325" s="62"/>
      <c r="V1325" s="62"/>
      <c r="W1325" s="61"/>
      <c r="X1325" s="62"/>
      <c r="Y1325" s="62"/>
      <c r="Z1325" s="66"/>
      <c r="AA1325" s="73"/>
      <c r="AB1325" s="69"/>
      <c r="AC1325" s="73"/>
      <c r="AD1325" s="76"/>
      <c r="AE1325" s="60"/>
      <c r="AF1325" s="62"/>
      <c r="AG1325" s="62"/>
      <c r="AH1325" s="62"/>
      <c r="AI1325" s="61"/>
      <c r="AJ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73"/>
      <c r="O1326" s="73"/>
      <c r="P1326" s="73"/>
      <c r="Q1326" s="73"/>
      <c r="R1326" s="76"/>
      <c r="S1326" s="73"/>
      <c r="T1326" s="62"/>
      <c r="U1326" s="62"/>
      <c r="V1326" s="62"/>
      <c r="W1326" s="61"/>
      <c r="X1326" s="62"/>
      <c r="Y1326" s="62"/>
      <c r="Z1326" s="73"/>
      <c r="AA1326" s="73"/>
      <c r="AB1326" s="73"/>
      <c r="AC1326" s="73"/>
      <c r="AD1326" s="76"/>
      <c r="AE1326" s="73"/>
      <c r="AF1326" s="62"/>
      <c r="AG1326" s="62"/>
      <c r="AH1326" s="62"/>
      <c r="AI1326" s="61"/>
      <c r="AJ1326" s="62"/>
    </row>
    <row r="1327" spans="1:52" x14ac:dyDescent="0.25">
      <c r="A1327" s="62"/>
      <c r="B1327" s="73"/>
      <c r="C1327" s="73"/>
      <c r="D1327" s="73"/>
      <c r="E1327" s="73"/>
      <c r="F1327" s="76"/>
      <c r="G1327" s="73"/>
      <c r="H1327" s="62"/>
      <c r="I1327" s="62"/>
      <c r="J1327" s="62"/>
      <c r="K1327" s="62"/>
      <c r="L1327" s="62"/>
      <c r="M1327" s="62"/>
      <c r="N1327" s="73"/>
      <c r="O1327" s="73"/>
      <c r="P1327" s="73"/>
      <c r="Q1327" s="73"/>
      <c r="R1327" s="76"/>
      <c r="S1327" s="73"/>
      <c r="T1327" s="62"/>
      <c r="U1327" s="62"/>
      <c r="V1327" s="62"/>
      <c r="W1327" s="62"/>
      <c r="X1327" s="62"/>
      <c r="Y1327" s="62"/>
      <c r="Z1327" s="73"/>
      <c r="AA1327" s="73"/>
      <c r="AB1327" s="73"/>
      <c r="AC1327" s="73"/>
      <c r="AD1327" s="76"/>
      <c r="AE1327" s="73"/>
      <c r="AF1327" s="62"/>
      <c r="AG1327" s="62"/>
      <c r="AH1327" s="62"/>
      <c r="AI1327" s="62"/>
      <c r="AJ1327" s="62"/>
    </row>
    <row r="1328" spans="1:52" x14ac:dyDescent="0.25">
      <c r="A1328" s="62"/>
      <c r="B1328" s="73"/>
      <c r="C1328" s="73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73"/>
      <c r="O1328" s="73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73"/>
      <c r="AA1328" s="73"/>
      <c r="AB1328" s="70"/>
      <c r="AC1328" s="70"/>
      <c r="AD1328" s="70"/>
      <c r="AE1328" s="75"/>
      <c r="AF1328" s="63"/>
      <c r="AG1328" s="71"/>
      <c r="AH1328" s="71"/>
      <c r="AI1328" s="71"/>
      <c r="AJ1328" s="62"/>
    </row>
    <row r="1329" spans="1:36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</row>
  </sheetData>
  <mergeCells count="225"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W65:W66"/>
    <mergeCell ref="U65:V65"/>
    <mergeCell ref="I65:J65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AI10:AI11"/>
    <mergeCell ref="AI65:AI66"/>
    <mergeCell ref="AG65:AH65"/>
    <mergeCell ref="AB65:AC65"/>
    <mergeCell ref="AI175:AI176"/>
    <mergeCell ref="AG175:AH175"/>
    <mergeCell ref="AB175:AC175"/>
    <mergeCell ref="AI120:AI121"/>
    <mergeCell ref="AG120:AH120"/>
    <mergeCell ref="AB120:AC120"/>
    <mergeCell ref="AB10:AC10"/>
    <mergeCell ref="AG10:AH10"/>
    <mergeCell ref="P10:Q10"/>
    <mergeCell ref="K10:K11"/>
    <mergeCell ref="K65:K66"/>
    <mergeCell ref="K1221:K1222"/>
    <mergeCell ref="I1221:J1221"/>
    <mergeCell ref="D1221:E1221"/>
    <mergeCell ref="K1165:K1166"/>
    <mergeCell ref="I1165:J1165"/>
    <mergeCell ref="D1165:E1165"/>
    <mergeCell ref="D395:E395"/>
    <mergeCell ref="I10:J10"/>
    <mergeCell ref="D10:E10"/>
    <mergeCell ref="I505:J505"/>
    <mergeCell ref="I450:J450"/>
    <mergeCell ref="D945:E945"/>
    <mergeCell ref="P945:Q945"/>
    <mergeCell ref="D1055:E1055"/>
    <mergeCell ref="K1055:K1056"/>
    <mergeCell ref="I1055:J1055"/>
    <mergeCell ref="K1000:K1001"/>
    <mergeCell ref="I1000:J1000"/>
    <mergeCell ref="D1000:E1000"/>
    <mergeCell ref="K1110:K1111"/>
    <mergeCell ref="I1110:J1110"/>
    <mergeCell ref="W10:W11"/>
    <mergeCell ref="U10:V10"/>
    <mergeCell ref="I340:J340"/>
    <mergeCell ref="D230:E230"/>
    <mergeCell ref="W230:W231"/>
    <mergeCell ref="K120:K121"/>
    <mergeCell ref="I120:J120"/>
    <mergeCell ref="D120:E120"/>
    <mergeCell ref="P120:Q120"/>
    <mergeCell ref="D285:E285"/>
    <mergeCell ref="P285:Q285"/>
    <mergeCell ref="W175:W176"/>
    <mergeCell ref="U175:V175"/>
    <mergeCell ref="I285:J285"/>
    <mergeCell ref="D340:E340"/>
    <mergeCell ref="K175:K176"/>
    <mergeCell ref="I175:J175"/>
    <mergeCell ref="D175:E175"/>
    <mergeCell ref="D65:E65"/>
    <mergeCell ref="P65:Q65"/>
    <mergeCell ref="P175:Q175"/>
    <mergeCell ref="K230:K231"/>
    <mergeCell ref="I230:J230"/>
    <mergeCell ref="W340:W341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JANUARY</vt:lpstr>
      <vt:lpstr>DSIS | JANUARY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2026-01-06T01:40:35Z</dcterms:modified>
</cp:coreProperties>
</file>