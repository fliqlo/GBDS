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1C846DBC-49B7-40D3-A6D3-38450D7B346C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JANUARY" sheetId="1" r:id="rId1"/>
    <sheet name="DSIS | JAN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242" i="2" l="1"/>
  <c r="AB241" i="2"/>
  <c r="AB240" i="2"/>
  <c r="AB239" i="2"/>
  <c r="AG238" i="2"/>
  <c r="AG275" i="2" s="1"/>
  <c r="AB238" i="2"/>
  <c r="AE238" i="2" s="1"/>
  <c r="AI238" i="2" s="1"/>
  <c r="AB237" i="2"/>
  <c r="AE237" i="2" s="1"/>
  <c r="AI237" i="2" s="1"/>
  <c r="AB236" i="2"/>
  <c r="AB235" i="2"/>
  <c r="AB234" i="2"/>
  <c r="AB233" i="2"/>
  <c r="AB232" i="2"/>
  <c r="AE232" i="2" s="1"/>
  <c r="AI232" i="2" s="1"/>
  <c r="AA233" i="2"/>
  <c r="AA234" i="2" s="1"/>
  <c r="AA235" i="2" s="1"/>
  <c r="AA236" i="2" s="1"/>
  <c r="AA237" i="2" s="1"/>
  <c r="AA238" i="2" s="1"/>
  <c r="AA239" i="2" s="1"/>
  <c r="AA240" i="2" s="1"/>
  <c r="AA241" i="2" s="1"/>
  <c r="AA242" i="2" s="1"/>
  <c r="AE233" i="2"/>
  <c r="AI233" i="2" s="1"/>
  <c r="AE234" i="2"/>
  <c r="AI234" i="2" s="1"/>
  <c r="AE236" i="2"/>
  <c r="AI236" i="2" s="1"/>
  <c r="AE239" i="2"/>
  <c r="AI239" i="2" s="1"/>
  <c r="AE240" i="2"/>
  <c r="AI240" i="2"/>
  <c r="AE241" i="2"/>
  <c r="AI241" i="2" s="1"/>
  <c r="AE242" i="2"/>
  <c r="AI242" i="2" s="1"/>
  <c r="AE243" i="2"/>
  <c r="AI243" i="2" s="1"/>
  <c r="AE244" i="2"/>
  <c r="AI244" i="2"/>
  <c r="AE245" i="2"/>
  <c r="AI245" i="2"/>
  <c r="AE246" i="2"/>
  <c r="AI246" i="2" s="1"/>
  <c r="AE247" i="2"/>
  <c r="AI247" i="2"/>
  <c r="AE248" i="2"/>
  <c r="AI248" i="2"/>
  <c r="AE249" i="2"/>
  <c r="AI249" i="2"/>
  <c r="AE250" i="2"/>
  <c r="AI250" i="2"/>
  <c r="AE251" i="2"/>
  <c r="AI251" i="2"/>
  <c r="AE252" i="2"/>
  <c r="AI252" i="2"/>
  <c r="AE253" i="2"/>
  <c r="AI253" i="2"/>
  <c r="AE254" i="2"/>
  <c r="AI254" i="2"/>
  <c r="AE255" i="2"/>
  <c r="AI255" i="2"/>
  <c r="AE256" i="2"/>
  <c r="AI256" i="2"/>
  <c r="AE257" i="2"/>
  <c r="AI257" i="2"/>
  <c r="AE258" i="2"/>
  <c r="AI258" i="2"/>
  <c r="AE259" i="2"/>
  <c r="AI259" i="2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/>
  <c r="AE268" i="2"/>
  <c r="AI268" i="2"/>
  <c r="AE269" i="2"/>
  <c r="AI269" i="2"/>
  <c r="AE270" i="2"/>
  <c r="AI270" i="2"/>
  <c r="AI271" i="2"/>
  <c r="AE272" i="2"/>
  <c r="AI272" i="2" s="1"/>
  <c r="AI273" i="2"/>
  <c r="AC275" i="2"/>
  <c r="AD275" i="2"/>
  <c r="AH275" i="2"/>
  <c r="P235" i="2"/>
  <c r="S235" i="2" s="1"/>
  <c r="P234" i="2"/>
  <c r="S234" i="2" s="1"/>
  <c r="W234" i="2" s="1"/>
  <c r="P233" i="2"/>
  <c r="S233" i="2" s="1"/>
  <c r="W233" i="2" s="1"/>
  <c r="P232" i="2"/>
  <c r="O233" i="2"/>
  <c r="O234" i="2" s="1"/>
  <c r="O235" i="2" s="1"/>
  <c r="S236" i="2"/>
  <c r="W236" i="2"/>
  <c r="S237" i="2"/>
  <c r="W237" i="2" s="1"/>
  <c r="S238" i="2"/>
  <c r="U275" i="2"/>
  <c r="W238" i="2"/>
  <c r="S239" i="2"/>
  <c r="W239" i="2" s="1"/>
  <c r="S240" i="2"/>
  <c r="W240" i="2" s="1"/>
  <c r="S241" i="2"/>
  <c r="W241" i="2"/>
  <c r="S242" i="2"/>
  <c r="W242" i="2" s="1"/>
  <c r="S243" i="2"/>
  <c r="W243" i="2"/>
  <c r="S244" i="2"/>
  <c r="W244" i="2"/>
  <c r="S245" i="2"/>
  <c r="W245" i="2"/>
  <c r="S246" i="2"/>
  <c r="W246" i="2"/>
  <c r="S247" i="2"/>
  <c r="W247" i="2" s="1"/>
  <c r="S248" i="2"/>
  <c r="W248" i="2"/>
  <c r="S249" i="2"/>
  <c r="W249" i="2"/>
  <c r="S250" i="2"/>
  <c r="W250" i="2" s="1"/>
  <c r="S251" i="2"/>
  <c r="W251" i="2"/>
  <c r="S252" i="2"/>
  <c r="W252" i="2"/>
  <c r="S253" i="2"/>
  <c r="W253" i="2"/>
  <c r="S254" i="2"/>
  <c r="W254" i="2"/>
  <c r="S255" i="2"/>
  <c r="W255" i="2" s="1"/>
  <c r="S256" i="2"/>
  <c r="W256" i="2"/>
  <c r="S257" i="2"/>
  <c r="W257" i="2"/>
  <c r="S258" i="2"/>
  <c r="W258" i="2" s="1"/>
  <c r="S259" i="2"/>
  <c r="W259" i="2"/>
  <c r="S260" i="2"/>
  <c r="W260" i="2"/>
  <c r="S261" i="2"/>
  <c r="W261" i="2"/>
  <c r="S262" i="2"/>
  <c r="W262" i="2"/>
  <c r="S263" i="2"/>
  <c r="W263" i="2" s="1"/>
  <c r="S264" i="2"/>
  <c r="W264" i="2"/>
  <c r="S265" i="2"/>
  <c r="W265" i="2"/>
  <c r="S266" i="2"/>
  <c r="W266" i="2" s="1"/>
  <c r="S267" i="2"/>
  <c r="W267" i="2"/>
  <c r="S268" i="2"/>
  <c r="W268" i="2"/>
  <c r="S269" i="2"/>
  <c r="W269" i="2"/>
  <c r="S270" i="2"/>
  <c r="W270" i="2"/>
  <c r="W271" i="2"/>
  <c r="S272" i="2"/>
  <c r="W272" i="2"/>
  <c r="W273" i="2"/>
  <c r="Q275" i="2"/>
  <c r="R275" i="2"/>
  <c r="V275" i="2"/>
  <c r="D239" i="2"/>
  <c r="G239" i="2" s="1"/>
  <c r="K239" i="2" s="1"/>
  <c r="D238" i="2"/>
  <c r="G238" i="2" s="1"/>
  <c r="K238" i="2" s="1"/>
  <c r="D237" i="2"/>
  <c r="G237" i="2" s="1"/>
  <c r="K237" i="2" s="1"/>
  <c r="I236" i="2"/>
  <c r="I275" i="2" s="1"/>
  <c r="D236" i="2"/>
  <c r="D235" i="2"/>
  <c r="D234" i="2"/>
  <c r="D232" i="2"/>
  <c r="G232" i="2"/>
  <c r="C233" i="2"/>
  <c r="C234" i="2" s="1"/>
  <c r="C235" i="2" s="1"/>
  <c r="C236" i="2" s="1"/>
  <c r="C237" i="2" s="1"/>
  <c r="C238" i="2" s="1"/>
  <c r="C239" i="2" s="1"/>
  <c r="G233" i="2"/>
  <c r="K233" i="2" s="1"/>
  <c r="G235" i="2"/>
  <c r="K235" i="2"/>
  <c r="G236" i="2"/>
  <c r="G240" i="2"/>
  <c r="K240" i="2" s="1"/>
  <c r="G241" i="2"/>
  <c r="K241" i="2"/>
  <c r="G242" i="2"/>
  <c r="K242" i="2" s="1"/>
  <c r="G243" i="2"/>
  <c r="K243" i="2" s="1"/>
  <c r="G244" i="2"/>
  <c r="K244" i="2"/>
  <c r="G245" i="2"/>
  <c r="K245" i="2"/>
  <c r="G246" i="2"/>
  <c r="K246" i="2"/>
  <c r="G247" i="2"/>
  <c r="K247" i="2" s="1"/>
  <c r="G248" i="2"/>
  <c r="K248" i="2"/>
  <c r="G249" i="2"/>
  <c r="K249" i="2"/>
  <c r="G250" i="2"/>
  <c r="K250" i="2"/>
  <c r="G251" i="2"/>
  <c r="K251" i="2"/>
  <c r="G252" i="2"/>
  <c r="K252" i="2"/>
  <c r="G253" i="2"/>
  <c r="K253" i="2"/>
  <c r="G254" i="2"/>
  <c r="K254" i="2"/>
  <c r="G255" i="2"/>
  <c r="K255" i="2" s="1"/>
  <c r="G256" i="2"/>
  <c r="K256" i="2"/>
  <c r="G257" i="2"/>
  <c r="K257" i="2"/>
  <c r="G258" i="2"/>
  <c r="K258" i="2"/>
  <c r="G259" i="2"/>
  <c r="K259" i="2"/>
  <c r="G260" i="2"/>
  <c r="K260" i="2"/>
  <c r="G261" i="2"/>
  <c r="K261" i="2"/>
  <c r="G262" i="2"/>
  <c r="K262" i="2"/>
  <c r="G263" i="2"/>
  <c r="K263" i="2" s="1"/>
  <c r="G264" i="2"/>
  <c r="K264" i="2" s="1"/>
  <c r="G265" i="2"/>
  <c r="K265" i="2"/>
  <c r="G272" i="2"/>
  <c r="K272" i="2"/>
  <c r="E275" i="2"/>
  <c r="F275" i="2"/>
  <c r="J275" i="2"/>
  <c r="AB275" i="2" l="1"/>
  <c r="AE235" i="2"/>
  <c r="P275" i="2"/>
  <c r="S232" i="2"/>
  <c r="W232" i="2" s="1"/>
  <c r="S275" i="2"/>
  <c r="W235" i="2"/>
  <c r="W275" i="2" s="1"/>
  <c r="D275" i="2"/>
  <c r="K236" i="2"/>
  <c r="K232" i="2"/>
  <c r="G234" i="2"/>
  <c r="K234" i="2" s="1"/>
  <c r="AB181" i="2"/>
  <c r="AE181" i="2" s="1"/>
  <c r="AI181" i="2" s="1"/>
  <c r="AB180" i="2"/>
  <c r="AB179" i="2"/>
  <c r="AE179" i="2" s="1"/>
  <c r="AI179" i="2" s="1"/>
  <c r="AB178" i="2"/>
  <c r="AE178" i="2" s="1"/>
  <c r="AI178" i="2" s="1"/>
  <c r="AB177" i="2"/>
  <c r="AA181" i="2"/>
  <c r="AE177" i="2"/>
  <c r="AA178" i="2"/>
  <c r="AA179" i="2" s="1"/>
  <c r="AE180" i="2"/>
  <c r="AI180" i="2" s="1"/>
  <c r="AE182" i="2"/>
  <c r="AI182" i="2" s="1"/>
  <c r="AE183" i="2"/>
  <c r="AI183" i="2" s="1"/>
  <c r="AE184" i="2"/>
  <c r="AI184" i="2"/>
  <c r="AE185" i="2"/>
  <c r="AI185" i="2" s="1"/>
  <c r="AE186" i="2"/>
  <c r="AI186" i="2" s="1"/>
  <c r="AE187" i="2"/>
  <c r="AI187" i="2" s="1"/>
  <c r="AE188" i="2"/>
  <c r="AI188" i="2"/>
  <c r="AE189" i="2"/>
  <c r="AI189" i="2"/>
  <c r="AE190" i="2"/>
  <c r="AI190" i="2" s="1"/>
  <c r="AE191" i="2"/>
  <c r="AI191" i="2" s="1"/>
  <c r="AE192" i="2"/>
  <c r="AI192" i="2"/>
  <c r="AE193" i="2"/>
  <c r="AI193" i="2"/>
  <c r="AE194" i="2"/>
  <c r="AI194" i="2"/>
  <c r="AE195" i="2"/>
  <c r="AI195" i="2" s="1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/>
  <c r="AE202" i="2"/>
  <c r="AI202" i="2"/>
  <c r="AE203" i="2"/>
  <c r="AI203" i="2" s="1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/>
  <c r="AE210" i="2"/>
  <c r="AI210" i="2"/>
  <c r="AE211" i="2"/>
  <c r="AI211" i="2" s="1"/>
  <c r="AE212" i="2"/>
  <c r="AI212" i="2"/>
  <c r="AE213" i="2"/>
  <c r="AI213" i="2"/>
  <c r="AE214" i="2"/>
  <c r="AI214" i="2"/>
  <c r="AE215" i="2"/>
  <c r="AI215" i="2" s="1"/>
  <c r="AI216" i="2"/>
  <c r="AE217" i="2"/>
  <c r="AI217" i="2" s="1"/>
  <c r="AI218" i="2"/>
  <c r="AC220" i="2"/>
  <c r="AD220" i="2"/>
  <c r="AG220" i="2"/>
  <c r="AH220" i="2"/>
  <c r="P185" i="2"/>
  <c r="P184" i="2"/>
  <c r="S184" i="2" s="1"/>
  <c r="W184" i="2" s="1"/>
  <c r="U183" i="2"/>
  <c r="U220" i="2" s="1"/>
  <c r="P183" i="2"/>
  <c r="S183" i="2" s="1"/>
  <c r="W183" i="2" s="1"/>
  <c r="P182" i="2"/>
  <c r="S182" i="2" s="1"/>
  <c r="W182" i="2" s="1"/>
  <c r="P181" i="2"/>
  <c r="P180" i="2"/>
  <c r="S180" i="2" s="1"/>
  <c r="W180" i="2" s="1"/>
  <c r="P179" i="2"/>
  <c r="P178" i="2"/>
  <c r="P177" i="2"/>
  <c r="S177" i="2" s="1"/>
  <c r="O178" i="2"/>
  <c r="O179" i="2" s="1"/>
  <c r="O180" i="2" s="1"/>
  <c r="O181" i="2" s="1"/>
  <c r="O182" i="2" s="1"/>
  <c r="O183" i="2" s="1"/>
  <c r="O184" i="2" s="1"/>
  <c r="O185" i="2" s="1"/>
  <c r="S178" i="2"/>
  <c r="W178" i="2" s="1"/>
  <c r="S179" i="2"/>
  <c r="W179" i="2" s="1"/>
  <c r="S181" i="2"/>
  <c r="W181" i="2" s="1"/>
  <c r="S185" i="2"/>
  <c r="W185" i="2" s="1"/>
  <c r="S186" i="2"/>
  <c r="W186" i="2"/>
  <c r="S187" i="2"/>
  <c r="W187" i="2" s="1"/>
  <c r="S188" i="2"/>
  <c r="W188" i="2" s="1"/>
  <c r="S189" i="2"/>
  <c r="W189" i="2" s="1"/>
  <c r="S190" i="2"/>
  <c r="W190" i="2" s="1"/>
  <c r="S191" i="2"/>
  <c r="W191" i="2" s="1"/>
  <c r="S192" i="2"/>
  <c r="W192" i="2"/>
  <c r="S193" i="2"/>
  <c r="W193" i="2"/>
  <c r="S194" i="2"/>
  <c r="W194" i="2"/>
  <c r="S195" i="2"/>
  <c r="W195" i="2" s="1"/>
  <c r="S196" i="2"/>
  <c r="W196" i="2"/>
  <c r="S197" i="2"/>
  <c r="W197" i="2"/>
  <c r="S198" i="2"/>
  <c r="W198" i="2"/>
  <c r="S199" i="2"/>
  <c r="W199" i="2" s="1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 s="1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 s="1"/>
  <c r="W216" i="2"/>
  <c r="S217" i="2"/>
  <c r="W217" i="2"/>
  <c r="W218" i="2"/>
  <c r="Q220" i="2"/>
  <c r="R220" i="2"/>
  <c r="V220" i="2"/>
  <c r="D184" i="2"/>
  <c r="D183" i="2"/>
  <c r="D182" i="2"/>
  <c r="I181" i="2"/>
  <c r="D181" i="2"/>
  <c r="G181" i="2" s="1"/>
  <c r="K181" i="2" s="1"/>
  <c r="D180" i="2"/>
  <c r="G180" i="2" s="1"/>
  <c r="K180" i="2" s="1"/>
  <c r="D179" i="2"/>
  <c r="G179" i="2" s="1"/>
  <c r="K179" i="2" s="1"/>
  <c r="D178" i="2"/>
  <c r="I177" i="2"/>
  <c r="I220" i="2" s="1"/>
  <c r="D177" i="2"/>
  <c r="G177" i="2"/>
  <c r="C178" i="2"/>
  <c r="C179" i="2" s="1"/>
  <c r="C180" i="2" s="1"/>
  <c r="C181" i="2" s="1"/>
  <c r="C182" i="2" s="1"/>
  <c r="C183" i="2" s="1"/>
  <c r="C184" i="2" s="1"/>
  <c r="G178" i="2"/>
  <c r="K178" i="2" s="1"/>
  <c r="G182" i="2"/>
  <c r="K182" i="2" s="1"/>
  <c r="G183" i="2"/>
  <c r="K183" i="2" s="1"/>
  <c r="G184" i="2"/>
  <c r="K184" i="2" s="1"/>
  <c r="G185" i="2"/>
  <c r="K185" i="2" s="1"/>
  <c r="G186" i="2"/>
  <c r="K186" i="2" s="1"/>
  <c r="G187" i="2"/>
  <c r="K187" i="2" s="1"/>
  <c r="G188" i="2"/>
  <c r="K188" i="2"/>
  <c r="G189" i="2"/>
  <c r="K189" i="2"/>
  <c r="G190" i="2"/>
  <c r="K190" i="2" s="1"/>
  <c r="G191" i="2"/>
  <c r="K191" i="2" s="1"/>
  <c r="G192" i="2"/>
  <c r="K192" i="2"/>
  <c r="G193" i="2"/>
  <c r="K193" i="2"/>
  <c r="G194" i="2"/>
  <c r="K194" i="2"/>
  <c r="G195" i="2"/>
  <c r="K195" i="2" s="1"/>
  <c r="G196" i="2"/>
  <c r="K196" i="2"/>
  <c r="G197" i="2"/>
  <c r="K197" i="2"/>
  <c r="G198" i="2"/>
  <c r="K198" i="2" s="1"/>
  <c r="G199" i="2"/>
  <c r="K199" i="2" s="1"/>
  <c r="G200" i="2"/>
  <c r="K200" i="2"/>
  <c r="G201" i="2"/>
  <c r="K201" i="2"/>
  <c r="G202" i="2"/>
  <c r="K202" i="2"/>
  <c r="G203" i="2"/>
  <c r="K203" i="2" s="1"/>
  <c r="G204" i="2"/>
  <c r="K204" i="2"/>
  <c r="G205" i="2"/>
  <c r="K205" i="2"/>
  <c r="G206" i="2"/>
  <c r="K206" i="2" s="1"/>
  <c r="G207" i="2"/>
  <c r="K207" i="2" s="1"/>
  <c r="G208" i="2"/>
  <c r="K208" i="2"/>
  <c r="G209" i="2"/>
  <c r="K209" i="2"/>
  <c r="G210" i="2"/>
  <c r="K210" i="2"/>
  <c r="G217" i="2"/>
  <c r="K217" i="2" s="1"/>
  <c r="E220" i="2"/>
  <c r="F220" i="2"/>
  <c r="J220" i="2"/>
  <c r="AE275" i="2" l="1"/>
  <c r="AI235" i="2"/>
  <c r="AI275" i="2" s="1"/>
  <c r="G275" i="2"/>
  <c r="K275" i="2"/>
  <c r="AI177" i="2"/>
  <c r="AI220" i="2" s="1"/>
  <c r="AE220" i="2"/>
  <c r="AB220" i="2"/>
  <c r="S220" i="2"/>
  <c r="W177" i="2"/>
  <c r="W220" i="2" s="1"/>
  <c r="P220" i="2"/>
  <c r="D220" i="2"/>
  <c r="K177" i="2"/>
  <c r="K220" i="2" s="1"/>
  <c r="G220" i="2"/>
  <c r="AB131" i="2"/>
  <c r="AB130" i="2"/>
  <c r="AB129" i="2"/>
  <c r="AG128" i="2"/>
  <c r="AG165" i="2" s="1"/>
  <c r="AB128" i="2"/>
  <c r="AB127" i="2"/>
  <c r="AE127" i="2" s="1"/>
  <c r="AI127" i="2" s="1"/>
  <c r="AB126" i="2"/>
  <c r="AE126" i="2" s="1"/>
  <c r="AI126" i="2" s="1"/>
  <c r="AB125" i="2"/>
  <c r="AB124" i="2"/>
  <c r="AB123" i="2"/>
  <c r="AB122" i="2"/>
  <c r="AE122" i="2" s="1"/>
  <c r="AI122" i="2" s="1"/>
  <c r="AA123" i="2"/>
  <c r="AE123" i="2"/>
  <c r="AI123" i="2" s="1"/>
  <c r="AA124" i="2"/>
  <c r="AE124" i="2"/>
  <c r="AI124" i="2" s="1"/>
  <c r="AE125" i="2"/>
  <c r="AI125" i="2" s="1"/>
  <c r="AA126" i="2"/>
  <c r="AA127" i="2" s="1"/>
  <c r="AA128" i="2" s="1"/>
  <c r="AA129" i="2" s="1"/>
  <c r="AA130" i="2" s="1"/>
  <c r="AA131" i="2" s="1"/>
  <c r="AE128" i="2"/>
  <c r="AE129" i="2"/>
  <c r="AI129" i="2" s="1"/>
  <c r="AE130" i="2"/>
  <c r="AI130" i="2" s="1"/>
  <c r="AE131" i="2"/>
  <c r="AI131" i="2" s="1"/>
  <c r="AE132" i="2"/>
  <c r="AI132" i="2" s="1"/>
  <c r="AE133" i="2"/>
  <c r="AI133" i="2"/>
  <c r="AE134" i="2"/>
  <c r="AI134" i="2"/>
  <c r="AE135" i="2"/>
  <c r="AI135" i="2"/>
  <c r="AE136" i="2"/>
  <c r="AI136" i="2" s="1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 s="1"/>
  <c r="AE151" i="2"/>
  <c r="AI151" i="2"/>
  <c r="AE152" i="2"/>
  <c r="AI152" i="2" s="1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/>
  <c r="AE160" i="2"/>
  <c r="AI160" i="2" s="1"/>
  <c r="AI161" i="2"/>
  <c r="AE162" i="2"/>
  <c r="AI162" i="2" s="1"/>
  <c r="AI163" i="2"/>
  <c r="AC165" i="2"/>
  <c r="AD165" i="2"/>
  <c r="AH165" i="2"/>
  <c r="P127" i="2"/>
  <c r="S127" i="2" s="1"/>
  <c r="W127" i="2" s="1"/>
  <c r="P126" i="2"/>
  <c r="S126" i="2" s="1"/>
  <c r="W126" i="2" s="1"/>
  <c r="Q125" i="2"/>
  <c r="Q165" i="2" s="1"/>
  <c r="P125" i="2"/>
  <c r="P124" i="2"/>
  <c r="S124" i="2" s="1"/>
  <c r="W124" i="2" s="1"/>
  <c r="P123" i="2"/>
  <c r="P122" i="2"/>
  <c r="S122" i="2" s="1"/>
  <c r="W122" i="2" s="1"/>
  <c r="V165" i="2"/>
  <c r="U165" i="2"/>
  <c r="R165" i="2"/>
  <c r="W163" i="2"/>
  <c r="S162" i="2"/>
  <c r="W162" i="2" s="1"/>
  <c r="W161" i="2"/>
  <c r="S160" i="2"/>
  <c r="W160" i="2" s="1"/>
  <c r="S159" i="2"/>
  <c r="W159" i="2" s="1"/>
  <c r="W158" i="2"/>
  <c r="S158" i="2"/>
  <c r="S157" i="2"/>
  <c r="W157" i="2" s="1"/>
  <c r="W156" i="2"/>
  <c r="S156" i="2"/>
  <c r="W155" i="2"/>
  <c r="S155" i="2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W148" i="2"/>
  <c r="S148" i="2"/>
  <c r="W147" i="2"/>
  <c r="S147" i="2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W140" i="2"/>
  <c r="S140" i="2"/>
  <c r="W139" i="2"/>
  <c r="S139" i="2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W132" i="2"/>
  <c r="S132" i="2"/>
  <c r="S131" i="2"/>
  <c r="W131" i="2" s="1"/>
  <c r="S130" i="2"/>
  <c r="W130" i="2" s="1"/>
  <c r="S129" i="2"/>
  <c r="W129" i="2" s="1"/>
  <c r="S128" i="2"/>
  <c r="W128" i="2" s="1"/>
  <c r="S123" i="2"/>
  <c r="O123" i="2"/>
  <c r="O124" i="2" s="1"/>
  <c r="O125" i="2" s="1"/>
  <c r="O126" i="2" s="1"/>
  <c r="O127" i="2" s="1"/>
  <c r="D126" i="2"/>
  <c r="D125" i="2"/>
  <c r="D124" i="2"/>
  <c r="G124" i="2" s="1"/>
  <c r="K124" i="2" s="1"/>
  <c r="C123" i="2"/>
  <c r="C124" i="2" s="1"/>
  <c r="C125" i="2" s="1"/>
  <c r="C126" i="2" s="1"/>
  <c r="I123" i="2"/>
  <c r="D123" i="2"/>
  <c r="G123" i="2" s="1"/>
  <c r="K123" i="2" s="1"/>
  <c r="J122" i="2"/>
  <c r="J165" i="2"/>
  <c r="D122" i="2"/>
  <c r="G122" i="2"/>
  <c r="K122" i="2" s="1"/>
  <c r="G125" i="2"/>
  <c r="K125" i="2" s="1"/>
  <c r="I165" i="2"/>
  <c r="G126" i="2"/>
  <c r="K126" i="2" s="1"/>
  <c r="G127" i="2"/>
  <c r="K127" i="2" s="1"/>
  <c r="G128" i="2"/>
  <c r="K128" i="2"/>
  <c r="G129" i="2"/>
  <c r="K129" i="2" s="1"/>
  <c r="G130" i="2"/>
  <c r="K130" i="2" s="1"/>
  <c r="G131" i="2"/>
  <c r="K131" i="2" s="1"/>
  <c r="G132" i="2"/>
  <c r="K132" i="2"/>
  <c r="G133" i="2"/>
  <c r="K133" i="2"/>
  <c r="G134" i="2"/>
  <c r="K134" i="2"/>
  <c r="G135" i="2"/>
  <c r="K135" i="2" s="1"/>
  <c r="G136" i="2"/>
  <c r="K136" i="2" s="1"/>
  <c r="G137" i="2"/>
  <c r="K137" i="2" s="1"/>
  <c r="G138" i="2"/>
  <c r="K138" i="2"/>
  <c r="G139" i="2"/>
  <c r="K139" i="2"/>
  <c r="G140" i="2"/>
  <c r="K140" i="2"/>
  <c r="G141" i="2"/>
  <c r="K141" i="2"/>
  <c r="G142" i="2"/>
  <c r="K142" i="2"/>
  <c r="G143" i="2"/>
  <c r="K143" i="2" s="1"/>
  <c r="G144" i="2"/>
  <c r="K144" i="2" s="1"/>
  <c r="G145" i="2"/>
  <c r="K145" i="2" s="1"/>
  <c r="G146" i="2"/>
  <c r="K146" i="2"/>
  <c r="G147" i="2"/>
  <c r="K147" i="2"/>
  <c r="G148" i="2"/>
  <c r="K148" i="2"/>
  <c r="G149" i="2"/>
  <c r="K149" i="2"/>
  <c r="G150" i="2"/>
  <c r="K150" i="2"/>
  <c r="G151" i="2"/>
  <c r="K151" i="2" s="1"/>
  <c r="G152" i="2"/>
  <c r="K152" i="2" s="1"/>
  <c r="G153" i="2"/>
  <c r="K153" i="2" s="1"/>
  <c r="G154" i="2"/>
  <c r="K154" i="2"/>
  <c r="G155" i="2"/>
  <c r="K155" i="2"/>
  <c r="G162" i="2"/>
  <c r="K162" i="2"/>
  <c r="E165" i="2"/>
  <c r="F165" i="2"/>
  <c r="AI128" i="2" l="1"/>
  <c r="AB165" i="2"/>
  <c r="AE165" i="2"/>
  <c r="AI165" i="2"/>
  <c r="S125" i="2"/>
  <c r="W125" i="2" s="1"/>
  <c r="P165" i="2"/>
  <c r="W123" i="2"/>
  <c r="D165" i="2"/>
  <c r="K165" i="2"/>
  <c r="G165" i="2"/>
  <c r="AB76" i="2"/>
  <c r="AB75" i="2"/>
  <c r="AE75" i="2" s="1"/>
  <c r="AI75" i="2" s="1"/>
  <c r="AB74" i="2"/>
  <c r="AE74" i="2" s="1"/>
  <c r="AI74" i="2" s="1"/>
  <c r="AB73" i="2"/>
  <c r="AE73" i="2"/>
  <c r="AI73" i="2" s="1"/>
  <c r="AB72" i="2"/>
  <c r="AE72" i="2" s="1"/>
  <c r="AI72" i="2" s="1"/>
  <c r="AB71" i="2"/>
  <c r="AE71" i="2"/>
  <c r="AI71" i="2" s="1"/>
  <c r="AB70" i="2"/>
  <c r="AB69" i="2"/>
  <c r="AB68" i="2"/>
  <c r="AB67" i="2"/>
  <c r="AA68" i="2"/>
  <c r="AA69" i="2" s="1"/>
  <c r="AA70" i="2" s="1"/>
  <c r="AA71" i="2" s="1"/>
  <c r="AA72" i="2" s="1"/>
  <c r="AA73" i="2" s="1"/>
  <c r="AA74" i="2" s="1"/>
  <c r="AA75" i="2" s="1"/>
  <c r="AA76" i="2" s="1"/>
  <c r="AE67" i="2"/>
  <c r="AI67" i="2"/>
  <c r="AE68" i="2"/>
  <c r="AI68" i="2" s="1"/>
  <c r="AE69" i="2"/>
  <c r="AI69" i="2" s="1"/>
  <c r="AE70" i="2"/>
  <c r="AI70" i="2"/>
  <c r="AE76" i="2"/>
  <c r="AI76" i="2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 s="1"/>
  <c r="AE85" i="2"/>
  <c r="AI85" i="2" s="1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 s="1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C110" i="2"/>
  <c r="AD110" i="2"/>
  <c r="AG110" i="2"/>
  <c r="AH110" i="2"/>
  <c r="I77" i="2"/>
  <c r="K77" i="2" s="1"/>
  <c r="D77" i="2"/>
  <c r="D76" i="2"/>
  <c r="G76" i="2" s="1"/>
  <c r="K76" i="2" s="1"/>
  <c r="D75" i="2"/>
  <c r="D74" i="2"/>
  <c r="G74" i="2" s="1"/>
  <c r="K74" i="2" s="1"/>
  <c r="C77" i="2"/>
  <c r="D73" i="2"/>
  <c r="G73" i="2" s="1"/>
  <c r="K73" i="2" s="1"/>
  <c r="I72" i="2"/>
  <c r="D72" i="2"/>
  <c r="G72" i="2" s="1"/>
  <c r="I71" i="2"/>
  <c r="D71" i="2"/>
  <c r="G71" i="2" s="1"/>
  <c r="K71" i="2" s="1"/>
  <c r="I70" i="2"/>
  <c r="D70" i="2"/>
  <c r="G70" i="2" s="1"/>
  <c r="K70" i="2" s="1"/>
  <c r="D69" i="2"/>
  <c r="J68" i="2"/>
  <c r="D68" i="2"/>
  <c r="D67" i="2"/>
  <c r="G67" i="2"/>
  <c r="K67" i="2" s="1"/>
  <c r="C69" i="2"/>
  <c r="C70" i="2" s="1"/>
  <c r="C71" i="2" s="1"/>
  <c r="C72" i="2" s="1"/>
  <c r="C73" i="2" s="1"/>
  <c r="C74" i="2" s="1"/>
  <c r="C75" i="2" s="1"/>
  <c r="G69" i="2"/>
  <c r="K69" i="2"/>
  <c r="G75" i="2"/>
  <c r="K75" i="2" s="1"/>
  <c r="G77" i="2"/>
  <c r="G78" i="2"/>
  <c r="K78" i="2" s="1"/>
  <c r="G79" i="2"/>
  <c r="K79" i="2"/>
  <c r="G80" i="2"/>
  <c r="K80" i="2"/>
  <c r="G81" i="2"/>
  <c r="K81" i="2"/>
  <c r="G82" i="2"/>
  <c r="K82" i="2" s="1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/>
  <c r="G90" i="2"/>
  <c r="K90" i="2" s="1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/>
  <c r="G107" i="2"/>
  <c r="K107" i="2"/>
  <c r="E110" i="2"/>
  <c r="F110" i="2"/>
  <c r="J110" i="2"/>
  <c r="W165" i="2" l="1"/>
  <c r="S165" i="2"/>
  <c r="AB110" i="2"/>
  <c r="AE110" i="2"/>
  <c r="AI110" i="2"/>
  <c r="I110" i="2"/>
  <c r="K72" i="2"/>
  <c r="D110" i="2"/>
  <c r="G68" i="2"/>
  <c r="K68" i="2" s="1"/>
  <c r="D19" i="2"/>
  <c r="D18" i="2"/>
  <c r="J17" i="2"/>
  <c r="D17" i="2"/>
  <c r="D16" i="2"/>
  <c r="D15" i="2"/>
  <c r="D14" i="2"/>
  <c r="I13" i="2"/>
  <c r="D13" i="2"/>
  <c r="D12" i="2"/>
  <c r="C14" i="2"/>
  <c r="C15" i="2" s="1"/>
  <c r="C16" i="2" s="1"/>
  <c r="C17" i="2" s="1"/>
  <c r="C18" i="2" s="1"/>
  <c r="C19" i="2" s="1"/>
  <c r="C13" i="2"/>
  <c r="K110" i="2" l="1"/>
  <c r="G110" i="2"/>
  <c r="J38" i="1"/>
  <c r="J39" i="1"/>
  <c r="J40" i="1"/>
  <c r="J30" i="1"/>
  <c r="D30" i="1" s="1"/>
  <c r="J31" i="1"/>
  <c r="J32" i="1"/>
  <c r="D32" i="1" s="1"/>
  <c r="J22" i="1"/>
  <c r="J23" i="1"/>
  <c r="D23" i="1" s="1"/>
  <c r="J24" i="1"/>
  <c r="J25" i="1"/>
  <c r="J15" i="1"/>
  <c r="D15" i="1" s="1"/>
  <c r="J16" i="1"/>
  <c r="D16" i="1" s="1"/>
  <c r="J17" i="1"/>
  <c r="D17" i="1" s="1"/>
  <c r="J18" i="1"/>
  <c r="D18" i="1" s="1"/>
  <c r="D36" i="1"/>
  <c r="D37" i="1"/>
  <c r="D38" i="1"/>
  <c r="D39" i="1"/>
  <c r="D31" i="1"/>
  <c r="D24" i="1"/>
  <c r="D25" i="1"/>
  <c r="D19" i="1"/>
  <c r="D40" i="1" l="1"/>
  <c r="A40" i="1"/>
  <c r="O13" i="2"/>
  <c r="O14" i="2" s="1"/>
  <c r="O15" i="2" s="1"/>
  <c r="O16" i="2" s="1"/>
  <c r="O17" i="2" s="1"/>
  <c r="O18" i="2" s="1"/>
  <c r="O19" i="2" s="1"/>
  <c r="O20" i="2" s="1"/>
  <c r="O21" i="2" s="1"/>
  <c r="J33" i="1"/>
  <c r="D33" i="1" s="1"/>
  <c r="J35" i="1"/>
  <c r="D35" i="1" s="1"/>
  <c r="J36" i="1"/>
  <c r="J37" i="1"/>
  <c r="J26" i="1"/>
  <c r="D26" i="1" s="1"/>
  <c r="J28" i="1"/>
  <c r="D28" i="1" s="1"/>
  <c r="J29" i="1"/>
  <c r="J19" i="1"/>
  <c r="J21" i="1"/>
  <c r="D21" i="1" s="1"/>
  <c r="D22" i="1"/>
  <c r="J14" i="1"/>
  <c r="D14" i="1" s="1"/>
  <c r="J12" i="1"/>
  <c r="D12" i="1" s="1"/>
  <c r="J11" i="1"/>
  <c r="D11" i="1" s="1"/>
  <c r="D29" i="1" l="1"/>
  <c r="J10" i="1" l="1"/>
  <c r="D42" i="1" s="1"/>
  <c r="AA14" i="2" l="1"/>
  <c r="AA15" i="2" s="1"/>
  <c r="AA16" i="2" s="1"/>
  <c r="AA17" i="2" s="1"/>
  <c r="AA18" i="2" s="1"/>
  <c r="AA19" i="2" s="1"/>
  <c r="AA20" i="2" s="1"/>
  <c r="AA21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E78253FE-3B24-40C9-973F-C4393A1B4E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CFO
</t>
        </r>
      </text>
    </comment>
    <comment ref="C13" authorId="0" shapeId="0" xr:uid="{799598B4-7AF2-4509-AC12-BBE8127A07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ABRAHAM MAHINAY
DISUD, SINDANGAN</t>
        </r>
      </text>
    </comment>
    <comment ref="C14" authorId="0" shapeId="0" xr:uid="{0A7B2414-546C-4BE6-976F-80BC9214C7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POB, SALUG</t>
        </r>
      </text>
    </comment>
    <comment ref="C15" authorId="0" shapeId="0" xr:uid="{144A6D7C-9967-4DAF-A15D-245BCB7022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 ZENAIDA
POB, SALUG</t>
        </r>
      </text>
    </comment>
    <comment ref="C16" authorId="0" shapeId="0" xr:uid="{7641DDDC-2CB9-4F41-87E5-B921E62A8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 SALUG</t>
        </r>
      </text>
    </comment>
    <comment ref="C17" authorId="0" shapeId="0" xr:uid="{C79ACE3E-EA17-4A99-931F-9CD703AC45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HENSON, ELIZABETH
BACONG, SALUG</t>
        </r>
      </text>
    </comment>
    <comment ref="C18" authorId="0" shapeId="0" xr:uid="{93364A50-13BA-4CE4-B5C3-18C3EE04CC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19" authorId="0" shapeId="0" xr:uid="{849A5BA1-0095-410A-BE25-76ADAAE54C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ROBERTO CHIONG</t>
        </r>
      </text>
    </comment>
    <comment ref="C67" authorId="0" shapeId="0" xr:uid="{831425DB-A424-4ACA-A4E9-59CEE34E11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OMAO
POB, SIAYAN</t>
        </r>
      </text>
    </comment>
    <comment ref="AA67" authorId="0" shapeId="0" xr:uid="{C6532438-6E2A-4BA9-9B7D-CEB9222429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ANDAPO</t>
        </r>
      </text>
    </comment>
    <comment ref="C68" authorId="0" shapeId="0" xr:uid="{CB52DFE9-BF1D-4BF0-B814-34F24CD29B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SIAYAN</t>
        </r>
      </text>
    </comment>
    <comment ref="AA68" authorId="0" shapeId="0" xr:uid="{1E7FA03A-9E60-4974-8729-5AC0876A96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69" authorId="0" shapeId="0" xr:uid="{D1510EF7-E7D1-4F68-BA94-9AE7A9910E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69" authorId="0" shapeId="0" xr:uid="{DD00712A-ADCB-46E7-B8C1-EAA166AB17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ANALIZA HAJAN
BAYBAY, LILOY</t>
        </r>
      </text>
    </comment>
    <comment ref="C70" authorId="0" shapeId="0" xr:uid="{DD7B166E-6241-4A1A-8887-BC07DEAF2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70" authorId="0" shapeId="0" xr:uid="{E9680EBD-BE09-4476-A984-B3E2F87809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TRUCIO
BAYBAY, LILOY</t>
        </r>
      </text>
    </comment>
    <comment ref="C71" authorId="0" shapeId="0" xr:uid="{80BAAF11-B5E4-4FAA-BF79-ED7B1E09C4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FERLINDA CATIG
DENOYAN, SIAYAN</t>
        </r>
      </text>
    </comment>
    <comment ref="AA71" authorId="0" shapeId="0" xr:uid="{69775B11-E427-45C1-81FA-8726399F6C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MICHELLE GENITA
BAYBAY, LILOY</t>
        </r>
      </text>
    </comment>
    <comment ref="C72" authorId="0" shapeId="0" xr:uid="{A2371677-BA73-405E-9030-A2EE4FC8AD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DENOYAN, SIAYAN</t>
        </r>
      </text>
    </comment>
    <comment ref="AA72" authorId="0" shapeId="0" xr:uid="{A86A19B9-832B-46FE-932F-A40771CF29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3" authorId="0" shapeId="0" xr:uid="{7168DBDE-D3BD-4380-AA6F-99B68C70A9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ARIPAL</t>
        </r>
      </text>
    </comment>
    <comment ref="AA73" authorId="0" shapeId="0" xr:uid="{091F293A-C0B9-469A-BF11-0D47454A9C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74" authorId="0" shapeId="0" xr:uid="{549FBCA3-65A1-4EBE-91AB-CD4867BE7E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74" authorId="0" shapeId="0" xr:uid="{7AEE364B-5850-4F58-8D1F-785B0CB340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75" authorId="0" shapeId="0" xr:uid="{9B7F1267-6342-45CD-B3D2-6FAEB27534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AA75" authorId="0" shapeId="0" xr:uid="{88F2DE1B-4EB5-422D-B4FF-7E0E841AD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76" authorId="0" shapeId="0" xr:uid="{719DD5F7-F7B0-4208-BD23-6BA4FC2F54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BUGANOTAN STORE
INUMAN, SINDANGAN</t>
        </r>
      </text>
    </comment>
    <comment ref="AA76" authorId="0" shapeId="0" xr:uid="{5C7E79C3-181A-4DC3-9138-AB64BC0A98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PASAMANTE
GOLEO, SINDANGAN</t>
        </r>
      </text>
    </comment>
    <comment ref="C77" authorId="0" shapeId="0" xr:uid="{6956EA22-1510-4A42-944F-206744B1C0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GREG SAGAPSAPAN
TINAPLAN, SINDANGAN</t>
        </r>
      </text>
    </comment>
    <comment ref="D122" authorId="0" shapeId="0" xr:uid="{18DB7D9F-E5CB-414A-B158-2047D26FF5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EDNA TAMPUS
POB, SINDANGAN</t>
        </r>
      </text>
    </comment>
    <comment ref="O122" authorId="0" shapeId="0" xr:uid="{A6C739AB-98C9-4FCA-9135-C99090986B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ANGCLO
DATU TANGKILAN, SINDANGAN</t>
        </r>
      </text>
    </comment>
    <comment ref="AA122" authorId="0" shapeId="0" xr:uid="{2BD71D9F-8CA2-490B-AB87-57EADFE970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</t>
        </r>
      </text>
    </comment>
    <comment ref="D123" authorId="0" shapeId="0" xr:uid="{AAF00163-A9C9-4AEB-9988-52BAEA7090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23" authorId="0" shapeId="0" xr:uid="{A5F3C37C-93DB-4B97-AD8A-792E491EBA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
TALINGA, SINDANGAN</t>
        </r>
      </text>
    </comment>
    <comment ref="AA123" authorId="0" shapeId="0" xr:uid="{0230ACC4-8C82-44B2-A8E1-1B092CF88D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POB, SALUG</t>
        </r>
      </text>
    </comment>
    <comment ref="D124" authorId="0" shapeId="0" xr:uid="{7335945C-640B-4609-ACBB-4C4E94AD5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124" authorId="0" shapeId="0" xr:uid="{7294077C-6600-4138-843B-7B6F3B7A13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AILEEN
GOLEO, SINDANGAN</t>
        </r>
      </text>
    </comment>
    <comment ref="AA124" authorId="0" shapeId="0" xr:uid="{0E67C7A1-21B0-4F04-BAA8-52E3B2777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LAGAG, SINDANGAN</t>
        </r>
      </text>
    </comment>
    <comment ref="D125" authorId="0" shapeId="0" xr:uid="{59C1AE4C-BE95-42C0-B552-89176345D7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125" authorId="0" shapeId="0" xr:uid="{73402CEA-839F-4B08-8712-4CEE1F1639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AA125" authorId="0" shapeId="0" xr:uid="{76A2F2AF-8CDD-4EC1-8162-C4C9505E95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D126" authorId="0" shapeId="0" xr:uid="{ABA6857E-7B4F-47BC-94A0-37EEAA01B7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VARIETY STORE
DAPAON, SINDANGAN</t>
        </r>
      </text>
    </comment>
    <comment ref="O126" authorId="0" shapeId="0" xr:uid="{BE34E09D-FB89-4E12-94E0-0A735635CB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26" authorId="0" shapeId="0" xr:uid="{43F60E8B-058F-4E76-A3FF-4191BF5AD7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AMIT, ANALYN
BACONG, SALUG</t>
        </r>
      </text>
    </comment>
    <comment ref="O127" authorId="0" shapeId="0" xr:uid="{3DC26940-1592-490B-A40A-8084CD200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
POB, BACUNGAN</t>
        </r>
      </text>
    </comment>
    <comment ref="AA127" authorId="0" shapeId="0" xr:uid="{B39854B1-15B5-4461-BC85-44BD2B89A4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SLPA 2
RAZIEL VUGAS
BACONG, SALUG</t>
        </r>
      </text>
    </comment>
    <comment ref="AA128" authorId="0" shapeId="0" xr:uid="{108ED6BF-BC0A-4004-B780-28FFB48267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MARVIN SULO
BACONG, SALUG</t>
        </r>
      </text>
    </comment>
    <comment ref="AA129" authorId="0" shapeId="0" xr:uid="{C67484DE-80E7-4110-9ED4-264B33D2B8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</t>
        </r>
      </text>
    </comment>
    <comment ref="AA130" authorId="0" shapeId="0" xr:uid="{4CCAFB6B-9384-4722-A785-D09A50EEA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AA131" authorId="0" shapeId="0" xr:uid="{314774D9-4D30-4B22-8E76-A83E4DFFB6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177" authorId="0" shapeId="0" xr:uid="{1765DFA6-7303-45F5-8547-710570FC7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THREE M STORE
DISUD, SINDANGAN</t>
        </r>
      </text>
    </comment>
    <comment ref="O177" authorId="0" shapeId="0" xr:uid="{6CE7FE2E-7780-4FE9-BAF2-06FE0189C5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7" authorId="0" shapeId="0" xr:uid="{EEE96ED9-5233-4CF7-9C15-E9637C65F1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178" authorId="0" shapeId="0" xr:uid="{45F9C323-B444-4F2A-AAF1-2CF0E3C7A532}">
      <text>
        <r>
          <rPr>
            <b/>
            <sz val="9"/>
            <color indexed="81"/>
            <rFont val="Tahoma"/>
            <charset val="1"/>
          </rPr>
          <t>User:
CRIS PAUNILYAN
POLAYO, SIAYAN</t>
        </r>
      </text>
    </comment>
    <comment ref="O178" authorId="0" shapeId="0" xr:uid="{CE119575-03B9-4364-9F5C-E837F41F06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8" authorId="0" shapeId="0" xr:uid="{BD9A3788-D4EE-450C-B770-3229AC458E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79" authorId="0" shapeId="0" xr:uid="{3B0E6EA8-4A67-4EAD-B338-25898DFE43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O179" authorId="0" shapeId="0" xr:uid="{FAD5DECE-A8B8-4ED2-8FF7-C75FA7219A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ALDRIN TOBIAS
MANDIH, SINDANGAN</t>
        </r>
      </text>
    </comment>
    <comment ref="AA179" authorId="0" shapeId="0" xr:uid="{BFBE41B6-935C-46A2-9322-3D18BA22FA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180" authorId="0" shapeId="0" xr:uid="{6418A50F-701A-4531-B709-5BA1654FCF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ABORQUE
POB, SIAYAN</t>
        </r>
      </text>
    </comment>
    <comment ref="O180" authorId="0" shapeId="0" xr:uid="{31588E0B-5142-4BF8-86EF-F5FC2DAF11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CALUAN INFINITY POOL
CALUAN, SINDANGAN</t>
        </r>
      </text>
    </comment>
    <comment ref="AA180" authorId="0" shapeId="0" xr:uid="{99C0437F-D813-41C7-A750-0177119DE8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SHEILA GUIBANG-GUIBANG
KAYOK, LILOY</t>
        </r>
      </text>
    </comment>
    <comment ref="C181" authorId="0" shapeId="0" xr:uid="{0EB241F6-07A9-4E3C-A455-4B1E750AA9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181" authorId="0" shapeId="0" xr:uid="{1433899B-DE7C-47EC-851E-8FF541CB8D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MAGLANGIT
CALUAN, SINDANGAN</t>
        </r>
      </text>
    </comment>
    <comment ref="AA181" authorId="0" shapeId="0" xr:uid="{0994C3AD-8808-4280-9419-72D8C842CC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NELMEN GUIBANG-GUIBANG
KAYOK, LILOY</t>
        </r>
      </text>
    </comment>
    <comment ref="C182" authorId="0" shapeId="0" xr:uid="{3417E055-50C6-4912-9583-7F55DFECFF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O182" authorId="0" shapeId="0" xr:uid="{54852F7E-2DC5-403A-BC6D-CDA69AAB1E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ESPAÑOLA
LOWER INUMAN, SINDANGAN</t>
        </r>
      </text>
    </comment>
    <comment ref="C183" authorId="0" shapeId="0" xr:uid="{DE40E0FB-CFC8-470B-B210-B92EBDDAA4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183" authorId="0" shapeId="0" xr:uid="{028DD394-62E8-4F02-8600-DD81EFCD6B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BUROY FLORES
GOLEO, SINDANGAN</t>
        </r>
      </text>
    </comment>
    <comment ref="C184" authorId="0" shapeId="0" xr:uid="{55DAE299-4B5A-4ED5-9E06-69846DB461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POB, SINDANGAN</t>
        </r>
      </text>
    </comment>
    <comment ref="O184" authorId="0" shapeId="0" xr:uid="{4CF4971F-DC59-4D3D-80FA-5AD986500A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O185" authorId="0" shapeId="0" xr:uid="{A477FD0F-B866-4E8D-937F-FF2639EF65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 STORE
GOLEO, SINDANGAN</t>
        </r>
      </text>
    </comment>
    <comment ref="C232" authorId="0" shapeId="0" xr:uid="{2CAB5E76-72E6-4A43-BF41-8C7F7FE701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TERIZA STORE
DISUD, SINDANGAN</t>
        </r>
      </text>
    </comment>
    <comment ref="O232" authorId="0" shapeId="0" xr:uid="{36BEC8F9-8704-4274-BD81-8D7CA0EA43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SINDANGAN</t>
        </r>
      </text>
    </comment>
    <comment ref="AA232" authorId="0" shapeId="0" xr:uid="{AFDD4F6E-2699-467B-B361-7CF6AA0F07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 ZENAIDA
POB, SALUG</t>
        </r>
      </text>
    </comment>
    <comment ref="O233" authorId="0" shapeId="0" xr:uid="{EE775DC6-C090-42DE-ABA4-0DF11200F2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AA233" authorId="0" shapeId="0" xr:uid="{D851C6EC-5A31-43ED-9771-2546A989A2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POB, SALUG</t>
        </r>
      </text>
    </comment>
    <comment ref="C234" authorId="0" shapeId="0" xr:uid="{24BB9E8D-ED37-4FC4-8B25-1F43F7C4AF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234" authorId="0" shapeId="0" xr:uid="{AA1992A1-640D-4640-9093-40DAE147EB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PAZ AGAN STORE
POB, BACUNGAN</t>
        </r>
      </text>
    </comment>
    <comment ref="AA234" authorId="0" shapeId="0" xr:uid="{FB3086CB-D904-4DF5-929C-06F83C1180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POB, SALUG</t>
        </r>
      </text>
    </comment>
    <comment ref="C235" authorId="0" shapeId="0" xr:uid="{698AE119-63F4-4D5A-AC7B-B00B986A3E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235" authorId="0" shapeId="0" xr:uid="{BFB027DF-1563-425F-AF84-CEA707AB42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ANADEO
POB, BACUNGAN</t>
        </r>
      </text>
    </comment>
    <comment ref="AA235" authorId="0" shapeId="0" xr:uid="{40FDA72E-D7B1-434E-B672-E408629794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POG, SALUG</t>
        </r>
      </text>
    </comment>
    <comment ref="C236" authorId="0" shapeId="0" xr:uid="{110001F9-173F-4FC1-9F93-6B81F81996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AA236" authorId="0" shapeId="0" xr:uid="{BC143D2A-5A13-4EF3-947C-83D711B0EA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LEOVY PASTOR
POB, SALUG</t>
        </r>
      </text>
    </comment>
    <comment ref="C237" authorId="0" shapeId="0" xr:uid="{7E2B5D40-4D54-4852-9D5B-7B5B1C54FC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ANITA VILLALUNA
LABAKID, SINDANGAN</t>
        </r>
      </text>
    </comment>
    <comment ref="AA237" authorId="0" shapeId="0" xr:uid="{E3AB9F03-BD0E-4CC8-AD3C-605DED91AD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RANILO CARBONA
POB, SALUG</t>
        </r>
      </text>
    </comment>
    <comment ref="C238" authorId="0" shapeId="0" xr:uid="{C1458468-FDED-450E-AEED-0A4AF88637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AA238" authorId="0" shapeId="0" xr:uid="{8337165C-1637-4B5C-868E-277092D838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239" authorId="0" shapeId="0" xr:uid="{AB64A714-C526-418A-A3EA-C846C315A1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AA239" authorId="0" shapeId="0" xr:uid="{DF386BDE-1A23-4C4E-9699-7513DCEB02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RAYMOND ABRIOL
POB, SALUG</t>
        </r>
      </text>
    </comment>
    <comment ref="AA240" authorId="0" shapeId="0" xr:uid="{E8DB5E00-C42C-401A-9E99-6E325031AC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CLARK BUHIAN
POB, SALUG</t>
        </r>
      </text>
    </comment>
    <comment ref="AA241" authorId="0" shapeId="0" xr:uid="{1DB3DB7B-1FF4-4955-AF97-4E0E24D6B6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TIMTIM
POB, SALUG</t>
        </r>
      </text>
    </comment>
    <comment ref="AA242" authorId="0" shapeId="0" xr:uid="{527C527D-BF4B-426F-AA26-EAF3FC6219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</commentList>
</comments>
</file>

<file path=xl/sharedStrings.xml><?xml version="1.0" encoding="utf-8"?>
<sst xmlns="http://schemas.openxmlformats.org/spreadsheetml/2006/main" count="338" uniqueCount="56">
  <si>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</si>
  <si>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</si>
  <si>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</si>
  <si>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</si>
  <si>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</si>
  <si>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</si>
  <si>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</si>
  <si>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</si>
  <si>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</si>
  <si>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</si>
  <si>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</si>
  <si>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</si>
  <si>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</si>
  <si>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</si>
  <si>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</si>
  <si>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</si>
  <si>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</si>
  <si>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</si>
  <si>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</si>
  <si>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</si>
  <si>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</si>
  <si>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</si>
  <si>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</si>
  <si>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</si>
  <si>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</si>
  <si>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</si>
  <si>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</si>
  <si>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</si>
  <si>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</si>
  <si>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</si>
  <si>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</si>
  <si>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</si>
  <si>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</si>
  <si>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</si>
  <si>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R3A</t>
  </si>
  <si>
    <t>R3B</t>
  </si>
  <si>
    <t>GICA, GRACE B.</t>
  </si>
  <si>
    <t>JANUARY 2026</t>
  </si>
  <si>
    <t>JANUARY 02, 2026</t>
  </si>
  <si>
    <t>NO TRIP</t>
  </si>
  <si>
    <t>FRIDAY</t>
  </si>
  <si>
    <t>SATURDAY</t>
  </si>
  <si>
    <t>JANUARY 03, 2026</t>
  </si>
  <si>
    <t>8226-8233</t>
  </si>
  <si>
    <t>8100,8151-8152,8306-8313/8234-8243</t>
  </si>
  <si>
    <t>MONDAY</t>
  </si>
  <si>
    <t>JANUARY 05, 2026</t>
  </si>
  <si>
    <t>LOPEZ, GINA</t>
  </si>
  <si>
    <t>8314-8318/8153-8158/7795-7797,8244-8250</t>
  </si>
  <si>
    <t>TUESDAY</t>
  </si>
  <si>
    <t>JANUARY 06, 2026</t>
  </si>
  <si>
    <t>8319-8326/8126-8134/7798-7800,8351-8352</t>
  </si>
  <si>
    <t>WEDNESDAY</t>
  </si>
  <si>
    <t>JANUARY 07, 2026</t>
  </si>
  <si>
    <t>GICA, GRACE</t>
  </si>
  <si>
    <t>8326-8333/8135-8138/8353-8363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</si>
</sst>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2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zoomScaleNormal="100" workbookViewId="0">
      <selection activeCell="H16" sqref="H16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1" t="s">
        <v>37</v>
      </c>
      <c r="B6" s="101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30</v>
      </c>
      <c r="C10" s="44" t="s">
        <v>39</v>
      </c>
      <c r="D10" s="55" t="s">
        <v>39</v>
      </c>
      <c r="F10" s="14"/>
      <c r="G10" s="14"/>
      <c r="H10" s="14"/>
      <c r="I10" s="14"/>
      <c r="J10" s="17">
        <f t="shared" ref="J10:J40" si="0">F10+G10+H10</f>
        <v>0</v>
      </c>
    </row>
    <row r="11" spans="1:10" x14ac:dyDescent="0.25">
      <c r="A11" s="10">
        <f>A10+1</f>
        <v>2</v>
      </c>
      <c r="B11" s="43" t="s">
        <v>4</v>
      </c>
      <c r="C11" s="12" t="s">
        <v>43</v>
      </c>
      <c r="D11" s="16">
        <f t="shared" ref="D11:D25" si="1">J11</f>
        <v>373017</v>
      </c>
      <c r="F11" s="14">
        <v>373017</v>
      </c>
      <c r="G11" s="14"/>
      <c r="H11" s="14"/>
      <c r="I11" s="14"/>
      <c r="J11" s="17">
        <f t="shared" si="0"/>
        <v>373017</v>
      </c>
    </row>
    <row r="12" spans="1:10" x14ac:dyDescent="0.25">
      <c r="A12" s="10">
        <f t="shared" ref="A12:A40" si="2">A11+1</f>
        <v>3</v>
      </c>
      <c r="B12" s="56" t="s">
        <v>5</v>
      </c>
      <c r="C12" s="12" t="s">
        <v>44</v>
      </c>
      <c r="D12" s="16">
        <f t="shared" si="1"/>
        <v>940444</v>
      </c>
      <c r="F12" s="14">
        <v>583720</v>
      </c>
      <c r="G12" s="14"/>
      <c r="H12" s="14">
        <v>356724</v>
      </c>
      <c r="I12" s="14"/>
      <c r="J12" s="17">
        <f t="shared" si="0"/>
        <v>940444</v>
      </c>
    </row>
    <row r="13" spans="1:10" x14ac:dyDescent="0.25">
      <c r="A13" s="10">
        <f t="shared" si="2"/>
        <v>4</v>
      </c>
      <c r="B13" s="13" t="s">
        <v>6</v>
      </c>
      <c r="C13" s="44" t="s">
        <v>29</v>
      </c>
      <c r="D13" s="55" t="s">
        <v>29</v>
      </c>
      <c r="F13" s="14"/>
      <c r="G13" s="14"/>
      <c r="H13" s="14"/>
      <c r="I13" s="14"/>
      <c r="J13" s="59"/>
    </row>
    <row r="14" spans="1:10" x14ac:dyDescent="0.25">
      <c r="A14" s="10">
        <f t="shared" si="2"/>
        <v>5</v>
      </c>
      <c r="B14" s="11" t="s">
        <v>7</v>
      </c>
      <c r="C14" s="12" t="s">
        <v>48</v>
      </c>
      <c r="D14" s="16">
        <f t="shared" si="1"/>
        <v>1291670.5</v>
      </c>
      <c r="F14" s="14">
        <v>392302</v>
      </c>
      <c r="G14" s="14">
        <v>331984.5</v>
      </c>
      <c r="H14" s="14">
        <v>567384</v>
      </c>
      <c r="I14" s="14"/>
      <c r="J14" s="17">
        <f t="shared" si="0"/>
        <v>1291670.5</v>
      </c>
    </row>
    <row r="15" spans="1:10" x14ac:dyDescent="0.25">
      <c r="A15" s="10">
        <f t="shared" si="2"/>
        <v>6</v>
      </c>
      <c r="B15" s="43" t="s">
        <v>8</v>
      </c>
      <c r="C15" s="12" t="s">
        <v>51</v>
      </c>
      <c r="D15" s="16">
        <f t="shared" si="1"/>
        <v>1078020.5</v>
      </c>
      <c r="F15" s="14">
        <v>435352.5</v>
      </c>
      <c r="G15" s="14">
        <v>409277</v>
      </c>
      <c r="H15" s="14">
        <v>233391</v>
      </c>
      <c r="I15" s="14"/>
      <c r="J15" s="17">
        <f t="shared" si="0"/>
        <v>1078020.5</v>
      </c>
    </row>
    <row r="16" spans="1:10" x14ac:dyDescent="0.25">
      <c r="A16" s="10">
        <f t="shared" si="2"/>
        <v>7</v>
      </c>
      <c r="B16" s="56" t="s">
        <v>9</v>
      </c>
      <c r="C16" s="12" t="s">
        <v>55</v>
      </c>
      <c r="D16" s="16">
        <f t="shared" si="1"/>
        <v>988036</v>
      </c>
      <c r="F16" s="14">
        <v>352681</v>
      </c>
      <c r="G16" s="14">
        <v>308515.5</v>
      </c>
      <c r="H16" s="14">
        <v>326839.5</v>
      </c>
      <c r="I16" s="14"/>
      <c r="J16" s="17">
        <f t="shared" si="0"/>
        <v>988036</v>
      </c>
    </row>
    <row r="17" spans="1:10" x14ac:dyDescent="0.25">
      <c r="A17" s="10">
        <f t="shared" si="2"/>
        <v>8</v>
      </c>
      <c r="B17" s="11" t="s">
        <v>30</v>
      </c>
      <c r="C17" s="12"/>
      <c r="D17" s="16">
        <f t="shared" si="1"/>
        <v>0</v>
      </c>
      <c r="F17" s="14"/>
      <c r="G17" s="14"/>
      <c r="H17" s="14"/>
      <c r="I17" s="14"/>
      <c r="J17" s="17">
        <f t="shared" si="0"/>
        <v>0</v>
      </c>
    </row>
    <row r="18" spans="1:10" x14ac:dyDescent="0.25">
      <c r="A18" s="10">
        <f t="shared" si="2"/>
        <v>9</v>
      </c>
      <c r="B18" s="43" t="s">
        <v>4</v>
      </c>
      <c r="C18" s="12"/>
      <c r="D18" s="16">
        <f t="shared" si="1"/>
        <v>0</v>
      </c>
      <c r="F18" s="14"/>
      <c r="G18" s="14"/>
      <c r="H18" s="14"/>
      <c r="I18" s="14"/>
      <c r="J18" s="17">
        <f t="shared" si="0"/>
        <v>0</v>
      </c>
    </row>
    <row r="19" spans="1:10" x14ac:dyDescent="0.25">
      <c r="A19" s="10">
        <f t="shared" si="2"/>
        <v>10</v>
      </c>
      <c r="B19" s="56" t="s">
        <v>5</v>
      </c>
      <c r="C19" s="12"/>
      <c r="D19" s="16">
        <f t="shared" si="1"/>
        <v>0</v>
      </c>
      <c r="F19" s="14"/>
      <c r="G19" s="14"/>
      <c r="H19" s="14"/>
      <c r="I19" s="14"/>
      <c r="J19" s="17">
        <f t="shared" si="0"/>
        <v>0</v>
      </c>
    </row>
    <row r="20" spans="1:10" x14ac:dyDescent="0.25">
      <c r="A20" s="10">
        <f t="shared" si="2"/>
        <v>11</v>
      </c>
      <c r="B20" s="13" t="s">
        <v>6</v>
      </c>
      <c r="C20" s="44" t="s">
        <v>29</v>
      </c>
      <c r="D20" s="55" t="s">
        <v>29</v>
      </c>
      <c r="F20" s="14"/>
      <c r="G20" s="14"/>
      <c r="H20" s="14"/>
      <c r="I20" s="14"/>
      <c r="J20" s="59"/>
    </row>
    <row r="21" spans="1:10" x14ac:dyDescent="0.25">
      <c r="A21" s="10">
        <f t="shared" si="2"/>
        <v>12</v>
      </c>
      <c r="B21" s="11" t="s">
        <v>7</v>
      </c>
      <c r="C21" s="12"/>
      <c r="D21" s="16">
        <f t="shared" si="1"/>
        <v>0</v>
      </c>
      <c r="F21" s="14"/>
      <c r="G21" s="14"/>
      <c r="H21" s="14"/>
      <c r="I21" s="14"/>
      <c r="J21" s="17">
        <f t="shared" si="0"/>
        <v>0</v>
      </c>
    </row>
    <row r="22" spans="1:10" x14ac:dyDescent="0.25">
      <c r="A22" s="10">
        <f t="shared" si="2"/>
        <v>13</v>
      </c>
      <c r="B22" s="43" t="s">
        <v>8</v>
      </c>
      <c r="C22" s="12"/>
      <c r="D22" s="16">
        <f t="shared" si="1"/>
        <v>0</v>
      </c>
      <c r="F22" s="14"/>
      <c r="G22" s="14"/>
      <c r="H22" s="14"/>
      <c r="I22" s="14"/>
      <c r="J22" s="17">
        <f t="shared" si="0"/>
        <v>0</v>
      </c>
    </row>
    <row r="23" spans="1:10" x14ac:dyDescent="0.25">
      <c r="A23" s="10">
        <f t="shared" si="2"/>
        <v>14</v>
      </c>
      <c r="B23" s="56" t="s">
        <v>9</v>
      </c>
      <c r="C23" s="12"/>
      <c r="D23" s="16">
        <f t="shared" si="1"/>
        <v>0</v>
      </c>
      <c r="F23" s="14"/>
      <c r="G23" s="14"/>
      <c r="H23" s="14"/>
      <c r="I23" s="14"/>
      <c r="J23" s="17">
        <f t="shared" si="0"/>
        <v>0</v>
      </c>
    </row>
    <row r="24" spans="1:10" x14ac:dyDescent="0.25">
      <c r="A24" s="10">
        <f t="shared" si="2"/>
        <v>15</v>
      </c>
      <c r="B24" s="11" t="s">
        <v>30</v>
      </c>
      <c r="C24" s="12"/>
      <c r="D24" s="16">
        <f t="shared" si="1"/>
        <v>0</v>
      </c>
      <c r="F24" s="14"/>
      <c r="G24" s="14"/>
      <c r="H24" s="14"/>
      <c r="I24" s="14"/>
      <c r="J24" s="17">
        <f t="shared" si="0"/>
        <v>0</v>
      </c>
    </row>
    <row r="25" spans="1:10" x14ac:dyDescent="0.25">
      <c r="A25" s="10">
        <f t="shared" si="2"/>
        <v>16</v>
      </c>
      <c r="B25" s="43" t="s">
        <v>4</v>
      </c>
      <c r="C25" s="12"/>
      <c r="D25" s="16">
        <f t="shared" si="1"/>
        <v>0</v>
      </c>
      <c r="F25" s="14"/>
      <c r="G25" s="14"/>
      <c r="H25" s="14"/>
      <c r="I25" s="14"/>
      <c r="J25" s="17">
        <f t="shared" si="0"/>
        <v>0</v>
      </c>
    </row>
    <row r="26" spans="1:10" x14ac:dyDescent="0.25">
      <c r="A26" s="10">
        <f t="shared" si="2"/>
        <v>17</v>
      </c>
      <c r="B26" s="56" t="s">
        <v>5</v>
      </c>
      <c r="C26" s="12"/>
      <c r="D26" s="16">
        <f t="shared" ref="D26:D28" si="3">J26</f>
        <v>0</v>
      </c>
      <c r="F26" s="14"/>
      <c r="G26" s="14"/>
      <c r="H26" s="14"/>
      <c r="I26" s="14"/>
      <c r="J26" s="17">
        <f t="shared" si="0"/>
        <v>0</v>
      </c>
    </row>
    <row r="27" spans="1:10" x14ac:dyDescent="0.25">
      <c r="A27" s="10">
        <f t="shared" si="2"/>
        <v>18</v>
      </c>
      <c r="B27" s="13" t="s">
        <v>6</v>
      </c>
      <c r="C27" s="44" t="s">
        <v>29</v>
      </c>
      <c r="D27" s="55" t="s">
        <v>29</v>
      </c>
      <c r="F27" s="14"/>
      <c r="G27" s="14"/>
      <c r="H27" s="14"/>
      <c r="I27" s="14"/>
      <c r="J27" s="59"/>
    </row>
    <row r="28" spans="1:10" x14ac:dyDescent="0.25">
      <c r="A28" s="10">
        <f t="shared" si="2"/>
        <v>19</v>
      </c>
      <c r="B28" s="11" t="s">
        <v>7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0"/>
        <v>0</v>
      </c>
    </row>
    <row r="29" spans="1:10" x14ac:dyDescent="0.25">
      <c r="A29" s="10">
        <f t="shared" si="2"/>
        <v>20</v>
      </c>
      <c r="B29" s="43" t="s">
        <v>8</v>
      </c>
      <c r="C29" s="12"/>
      <c r="D29" s="16">
        <f t="shared" ref="D29:D39" si="4">J29</f>
        <v>0</v>
      </c>
      <c r="F29" s="14"/>
      <c r="G29" s="14"/>
      <c r="H29" s="14"/>
      <c r="I29" s="14"/>
      <c r="J29" s="17">
        <f t="shared" si="0"/>
        <v>0</v>
      </c>
    </row>
    <row r="30" spans="1:10" x14ac:dyDescent="0.25">
      <c r="A30" s="10">
        <f t="shared" si="2"/>
        <v>21</v>
      </c>
      <c r="B30" s="56" t="s">
        <v>9</v>
      </c>
      <c r="C30" s="12"/>
      <c r="D30" s="16">
        <f t="shared" si="4"/>
        <v>0</v>
      </c>
      <c r="F30" s="14"/>
      <c r="G30" s="14"/>
      <c r="H30" s="14"/>
      <c r="I30" s="14"/>
      <c r="J30" s="17">
        <f t="shared" si="0"/>
        <v>0</v>
      </c>
    </row>
    <row r="31" spans="1:10" x14ac:dyDescent="0.25">
      <c r="A31" s="10">
        <f t="shared" si="2"/>
        <v>22</v>
      </c>
      <c r="B31" s="11" t="s">
        <v>30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0"/>
        <v>0</v>
      </c>
    </row>
    <row r="32" spans="1:10" x14ac:dyDescent="0.25">
      <c r="A32" s="10">
        <f t="shared" si="2"/>
        <v>23</v>
      </c>
      <c r="B32" s="43" t="s">
        <v>4</v>
      </c>
      <c r="C32" s="12"/>
      <c r="D32" s="16">
        <f t="shared" si="4"/>
        <v>0</v>
      </c>
      <c r="E32" s="15"/>
      <c r="F32" s="15"/>
      <c r="G32" s="14"/>
      <c r="H32" s="54"/>
      <c r="I32" s="54"/>
      <c r="J32" s="17">
        <f t="shared" si="0"/>
        <v>0</v>
      </c>
    </row>
    <row r="33" spans="1:10" x14ac:dyDescent="0.25">
      <c r="A33" s="10">
        <f t="shared" si="2"/>
        <v>24</v>
      </c>
      <c r="B33" s="56" t="s">
        <v>5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0"/>
        <v>0</v>
      </c>
    </row>
    <row r="34" spans="1:10" x14ac:dyDescent="0.25">
      <c r="A34" s="10">
        <f>A33+1</f>
        <v>25</v>
      </c>
      <c r="B34" s="13" t="s">
        <v>6</v>
      </c>
      <c r="C34" s="44" t="s">
        <v>29</v>
      </c>
      <c r="D34" s="55" t="s">
        <v>29</v>
      </c>
      <c r="E34" s="14"/>
      <c r="F34" s="15"/>
      <c r="G34" s="14"/>
      <c r="H34" s="14"/>
      <c r="I34" s="14"/>
      <c r="J34" s="59"/>
    </row>
    <row r="35" spans="1:10" x14ac:dyDescent="0.25">
      <c r="A35" s="10">
        <f t="shared" si="2"/>
        <v>26</v>
      </c>
      <c r="B35" s="11" t="s">
        <v>7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0"/>
        <v>0</v>
      </c>
    </row>
    <row r="36" spans="1:10" x14ac:dyDescent="0.25">
      <c r="A36" s="10">
        <f t="shared" si="2"/>
        <v>27</v>
      </c>
      <c r="B36" s="43" t="s">
        <v>8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0"/>
        <v>0</v>
      </c>
    </row>
    <row r="37" spans="1:10" x14ac:dyDescent="0.25">
      <c r="A37" s="10">
        <f t="shared" si="2"/>
        <v>28</v>
      </c>
      <c r="B37" s="56" t="s">
        <v>9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0"/>
        <v>0</v>
      </c>
    </row>
    <row r="38" spans="1:10" x14ac:dyDescent="0.25">
      <c r="A38" s="10">
        <f t="shared" si="2"/>
        <v>29</v>
      </c>
      <c r="B38" s="11" t="s">
        <v>30</v>
      </c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0"/>
        <v>0</v>
      </c>
    </row>
    <row r="39" spans="1:10" x14ac:dyDescent="0.25">
      <c r="A39" s="10">
        <f t="shared" si="2"/>
        <v>30</v>
      </c>
      <c r="B39" s="43" t="s">
        <v>4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0"/>
        <v>0</v>
      </c>
    </row>
    <row r="40" spans="1:10" x14ac:dyDescent="0.25">
      <c r="A40" s="10">
        <f t="shared" si="2"/>
        <v>31</v>
      </c>
      <c r="B40" s="56" t="s">
        <v>5</v>
      </c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0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2" t="s">
        <v>10</v>
      </c>
      <c r="B42" s="103"/>
      <c r="C42" s="104"/>
      <c r="D42" s="48">
        <f>SUM(D2:D41)</f>
        <v>4671188</v>
      </c>
      <c r="J42" s="49">
        <f>SUM(J10:J41)</f>
        <v>4671188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opLeftCell="A246" zoomScaleNormal="100" workbookViewId="0">
      <selection activeCell="AE275" sqref="AE27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40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40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40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38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36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1" t="s">
        <v>17</v>
      </c>
      <c r="E10" s="111"/>
      <c r="F10" s="77"/>
      <c r="G10" s="27"/>
      <c r="I10" s="109" t="s">
        <v>18</v>
      </c>
      <c r="J10" s="110"/>
      <c r="K10" s="107" t="s">
        <v>19</v>
      </c>
      <c r="N10" s="25"/>
      <c r="O10" s="26"/>
      <c r="P10" s="111" t="s">
        <v>17</v>
      </c>
      <c r="Q10" s="111"/>
      <c r="R10" s="77"/>
      <c r="S10" s="27"/>
      <c r="U10" s="109" t="s">
        <v>18</v>
      </c>
      <c r="V10" s="110"/>
      <c r="W10" s="107" t="s">
        <v>19</v>
      </c>
      <c r="Z10" s="25"/>
      <c r="AA10" s="26"/>
      <c r="AB10" s="111" t="s">
        <v>17</v>
      </c>
      <c r="AC10" s="111"/>
      <c r="AD10" s="77"/>
      <c r="AE10" s="27"/>
      <c r="AG10" s="109" t="s">
        <v>18</v>
      </c>
      <c r="AH10" s="110"/>
      <c r="AI10" s="107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08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08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08"/>
    </row>
    <row r="12" spans="1:35" x14ac:dyDescent="0.25">
      <c r="A12" s="10">
        <v>1</v>
      </c>
      <c r="B12" s="30">
        <v>46054</v>
      </c>
      <c r="C12" s="91">
        <v>8226</v>
      </c>
      <c r="D12" s="32">
        <f>650</f>
        <v>650</v>
      </c>
      <c r="E12" s="32"/>
      <c r="F12" s="32"/>
      <c r="G12" s="32">
        <f t="shared" ref="G12:G45" si="0">SUM(D12:E12)</f>
        <v>650</v>
      </c>
      <c r="H12" s="12"/>
      <c r="I12" s="12"/>
      <c r="J12" s="12"/>
      <c r="K12" s="12">
        <f t="shared" ref="K12:K45" si="1">SUM(G12:J12)</f>
        <v>650</v>
      </c>
      <c r="M12" s="10">
        <v>1</v>
      </c>
      <c r="N12" s="30">
        <v>46054</v>
      </c>
      <c r="O12" s="31">
        <v>7595</v>
      </c>
      <c r="P12" s="32"/>
      <c r="Q12" s="32"/>
      <c r="R12" s="32"/>
      <c r="S12" s="32">
        <f>SUM(P12:Q12)</f>
        <v>0</v>
      </c>
      <c r="T12" s="12"/>
      <c r="U12" s="12"/>
      <c r="V12" s="12"/>
      <c r="W12" s="12">
        <f>SUM(S12:V12)</f>
        <v>0</v>
      </c>
      <c r="Y12" s="10">
        <v>1</v>
      </c>
      <c r="Z12" s="30">
        <v>46054</v>
      </c>
      <c r="AA12" s="31">
        <v>7350</v>
      </c>
      <c r="AB12" s="32"/>
      <c r="AC12" s="32"/>
      <c r="AD12" s="32"/>
      <c r="AE12" s="32">
        <f>SUM(AB12:AC12)</f>
        <v>0</v>
      </c>
      <c r="AF12" s="12"/>
      <c r="AG12" s="12"/>
      <c r="AH12" s="12"/>
      <c r="AI12" s="12">
        <f>SUM(AE12:AH12)</f>
        <v>0</v>
      </c>
    </row>
    <row r="13" spans="1:35" x14ac:dyDescent="0.25">
      <c r="A13" s="10">
        <v>2</v>
      </c>
      <c r="B13" s="30">
        <v>46054</v>
      </c>
      <c r="C13" s="91">
        <f>C12+1</f>
        <v>8227</v>
      </c>
      <c r="D13" s="32">
        <f>9100+1340+2488+171</f>
        <v>13099</v>
      </c>
      <c r="E13" s="32"/>
      <c r="F13" s="32"/>
      <c r="G13" s="32">
        <f t="shared" si="0"/>
        <v>13099</v>
      </c>
      <c r="H13" s="12"/>
      <c r="I13" s="12">
        <f>12+58.5+13.5</f>
        <v>84</v>
      </c>
      <c r="J13" s="12"/>
      <c r="K13" s="12">
        <f t="shared" si="1"/>
        <v>13183</v>
      </c>
      <c r="M13" s="10">
        <v>2</v>
      </c>
      <c r="N13" s="30">
        <v>46054</v>
      </c>
      <c r="O13" s="31">
        <f>O12+1</f>
        <v>7596</v>
      </c>
      <c r="P13" s="32"/>
      <c r="Q13" s="32"/>
      <c r="R13" s="32"/>
      <c r="S13" s="32">
        <f t="shared" ref="S13:S44" si="2">SUM(P13:Q13)</f>
        <v>0</v>
      </c>
      <c r="T13" s="12"/>
      <c r="U13" s="12"/>
      <c r="V13" s="12"/>
      <c r="W13" s="12">
        <f t="shared" ref="W13:W44" si="3">SUM(S13:V13)</f>
        <v>0</v>
      </c>
      <c r="Y13" s="10">
        <v>2</v>
      </c>
      <c r="Z13" s="30">
        <v>46054</v>
      </c>
      <c r="AA13" s="31">
        <v>7451</v>
      </c>
      <c r="AB13" s="32"/>
      <c r="AC13" s="32"/>
      <c r="AD13" s="32"/>
      <c r="AE13" s="32">
        <f t="shared" ref="AE13:AE44" si="4">SUM(AB13:AC13)</f>
        <v>0</v>
      </c>
      <c r="AF13" s="12"/>
      <c r="AG13" s="12"/>
      <c r="AH13" s="12"/>
      <c r="AI13" s="12">
        <f t="shared" ref="AI13:AI44" si="5">SUM(AE13:AH13)</f>
        <v>0</v>
      </c>
    </row>
    <row r="14" spans="1:35" x14ac:dyDescent="0.25">
      <c r="A14" s="10">
        <v>3</v>
      </c>
      <c r="B14" s="30">
        <v>46054</v>
      </c>
      <c r="C14" s="91">
        <f t="shared" ref="C14:C19" si="6">C13+1</f>
        <v>8228</v>
      </c>
      <c r="D14" s="33">
        <f>650*228+670*10+622*50+872*5</f>
        <v>190360</v>
      </c>
      <c r="E14" s="33">
        <v>-1758</v>
      </c>
      <c r="F14" s="33"/>
      <c r="G14" s="33">
        <f t="shared" si="0"/>
        <v>188602</v>
      </c>
      <c r="H14" s="34"/>
      <c r="I14" s="34"/>
      <c r="J14" s="34"/>
      <c r="K14" s="34">
        <f t="shared" si="1"/>
        <v>188602</v>
      </c>
      <c r="M14" s="10">
        <v>3</v>
      </c>
      <c r="N14" s="30">
        <v>46054</v>
      </c>
      <c r="O14" s="31">
        <f t="shared" ref="O14:O21" si="7">O13+1</f>
        <v>7597</v>
      </c>
      <c r="P14" s="32"/>
      <c r="Q14" s="32"/>
      <c r="R14" s="32"/>
      <c r="S14" s="32">
        <f t="shared" si="2"/>
        <v>0</v>
      </c>
      <c r="T14" s="12"/>
      <c r="U14" s="12"/>
      <c r="V14" s="12"/>
      <c r="W14" s="12">
        <f t="shared" si="3"/>
        <v>0</v>
      </c>
      <c r="Y14" s="10">
        <v>3</v>
      </c>
      <c r="Z14" s="30">
        <v>46054</v>
      </c>
      <c r="AA14" s="31">
        <f t="shared" ref="AA14:AA21" si="8">AA13+1</f>
        <v>7452</v>
      </c>
      <c r="AB14" s="33"/>
      <c r="AC14" s="33"/>
      <c r="AD14" s="32"/>
      <c r="AE14" s="32">
        <f t="shared" si="4"/>
        <v>0</v>
      </c>
      <c r="AF14" s="12"/>
      <c r="AG14" s="12"/>
      <c r="AH14" s="12"/>
      <c r="AI14" s="12">
        <f t="shared" si="5"/>
        <v>0</v>
      </c>
    </row>
    <row r="15" spans="1:35" x14ac:dyDescent="0.25">
      <c r="A15" s="10">
        <v>4</v>
      </c>
      <c r="B15" s="30">
        <v>46054</v>
      </c>
      <c r="C15" s="91">
        <f t="shared" si="6"/>
        <v>8229</v>
      </c>
      <c r="D15" s="32">
        <f>650*25</f>
        <v>16250</v>
      </c>
      <c r="E15" s="32"/>
      <c r="F15" s="32"/>
      <c r="G15" s="32">
        <f t="shared" si="0"/>
        <v>16250</v>
      </c>
      <c r="H15" s="12"/>
      <c r="I15" s="12"/>
      <c r="J15" s="12"/>
      <c r="K15" s="12">
        <f t="shared" si="1"/>
        <v>16250</v>
      </c>
      <c r="M15" s="10">
        <v>4</v>
      </c>
      <c r="N15" s="30">
        <v>46054</v>
      </c>
      <c r="O15" s="31">
        <f t="shared" si="7"/>
        <v>7598</v>
      </c>
      <c r="P15" s="32"/>
      <c r="Q15" s="32"/>
      <c r="R15" s="32"/>
      <c r="S15" s="32">
        <f t="shared" si="2"/>
        <v>0</v>
      </c>
      <c r="T15" s="12"/>
      <c r="U15" s="12"/>
      <c r="V15" s="12"/>
      <c r="W15" s="12">
        <f t="shared" si="3"/>
        <v>0</v>
      </c>
      <c r="Y15" s="10">
        <v>4</v>
      </c>
      <c r="Z15" s="30">
        <v>46054</v>
      </c>
      <c r="AA15" s="31">
        <f t="shared" si="8"/>
        <v>7453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46054</v>
      </c>
      <c r="C16" s="91">
        <f t="shared" si="6"/>
        <v>8230</v>
      </c>
      <c r="D16" s="32">
        <f>13000+6220</f>
        <v>19220</v>
      </c>
      <c r="E16" s="32"/>
      <c r="F16" s="32"/>
      <c r="G16" s="32">
        <f t="shared" si="0"/>
        <v>19220</v>
      </c>
      <c r="H16" s="12"/>
      <c r="I16" s="12"/>
      <c r="J16" s="12"/>
      <c r="K16" s="12">
        <f t="shared" si="1"/>
        <v>19220</v>
      </c>
      <c r="M16" s="10">
        <v>5</v>
      </c>
      <c r="N16" s="30">
        <v>46054</v>
      </c>
      <c r="O16" s="31">
        <f t="shared" si="7"/>
        <v>7599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>
        <v>46054</v>
      </c>
      <c r="AA16" s="31">
        <f t="shared" si="8"/>
        <v>7454</v>
      </c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46054</v>
      </c>
      <c r="C17" s="91">
        <f t="shared" si="6"/>
        <v>8231</v>
      </c>
      <c r="D17" s="32">
        <f>65000+916</f>
        <v>65916</v>
      </c>
      <c r="E17" s="32">
        <v>-600</v>
      </c>
      <c r="F17" s="32"/>
      <c r="G17" s="32">
        <f t="shared" si="0"/>
        <v>65316</v>
      </c>
      <c r="H17" s="12"/>
      <c r="I17" s="12"/>
      <c r="J17" s="12">
        <f>-100*111</f>
        <v>-11100</v>
      </c>
      <c r="K17" s="12">
        <f t="shared" si="1"/>
        <v>54216</v>
      </c>
      <c r="M17" s="10">
        <v>6</v>
      </c>
      <c r="N17" s="30">
        <v>46054</v>
      </c>
      <c r="O17" s="31">
        <f t="shared" si="7"/>
        <v>7600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46054</v>
      </c>
      <c r="AA17" s="31">
        <f t="shared" si="8"/>
        <v>7455</v>
      </c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46054</v>
      </c>
      <c r="C18" s="91">
        <f t="shared" si="6"/>
        <v>8232</v>
      </c>
      <c r="D18" s="32">
        <f>59800+622*10</f>
        <v>66020</v>
      </c>
      <c r="E18" s="32">
        <v>-612</v>
      </c>
      <c r="F18" s="32"/>
      <c r="G18" s="32">
        <f t="shared" si="0"/>
        <v>65408</v>
      </c>
      <c r="H18" s="12"/>
      <c r="I18" s="12"/>
      <c r="J18" s="12">
        <v>-1998</v>
      </c>
      <c r="K18" s="12">
        <f t="shared" si="1"/>
        <v>63410</v>
      </c>
      <c r="M18" s="10">
        <v>7</v>
      </c>
      <c r="N18" s="30">
        <v>46054</v>
      </c>
      <c r="O18" s="31">
        <f t="shared" si="7"/>
        <v>7601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46054</v>
      </c>
      <c r="AA18" s="31">
        <f t="shared" si="8"/>
        <v>7456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46054</v>
      </c>
      <c r="C19" s="91">
        <f t="shared" si="6"/>
        <v>8233</v>
      </c>
      <c r="D19" s="32">
        <f>559*8</f>
        <v>4472</v>
      </c>
      <c r="E19" s="32"/>
      <c r="F19" s="32"/>
      <c r="G19" s="32">
        <f t="shared" si="0"/>
        <v>4472</v>
      </c>
      <c r="H19" s="12"/>
      <c r="I19" s="12"/>
      <c r="J19" s="12"/>
      <c r="K19" s="12">
        <f t="shared" si="1"/>
        <v>4472</v>
      </c>
      <c r="M19" s="10">
        <v>8</v>
      </c>
      <c r="N19" s="30">
        <v>46054</v>
      </c>
      <c r="O19" s="31">
        <f t="shared" si="7"/>
        <v>7602</v>
      </c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>
        <v>46054</v>
      </c>
      <c r="AA19" s="31">
        <f t="shared" si="8"/>
        <v>7457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46054</v>
      </c>
      <c r="O20" s="31">
        <f t="shared" si="7"/>
        <v>7603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46054</v>
      </c>
      <c r="AA20" s="31">
        <f t="shared" si="8"/>
        <v>7458</v>
      </c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91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46054</v>
      </c>
      <c r="O21" s="31">
        <f t="shared" si="7"/>
        <v>7604</v>
      </c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>
        <v>46054</v>
      </c>
      <c r="AA21" s="31">
        <f t="shared" si="8"/>
        <v>7459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9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11" t="s">
        <v>27</v>
      </c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11" t="s">
        <v>27</v>
      </c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91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9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91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91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91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91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91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91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91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9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91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9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9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9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91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9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9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91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91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9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91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91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9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9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375987</v>
      </c>
      <c r="E55" s="38">
        <f t="shared" ref="E55:F55" si="18">SUM(E12:E52)</f>
        <v>-2970</v>
      </c>
      <c r="F55" s="38">
        <f t="shared" si="18"/>
        <v>0</v>
      </c>
      <c r="G55" s="38">
        <f>SUM(G12:G54)</f>
        <v>373017</v>
      </c>
      <c r="H55" s="4"/>
      <c r="I55" s="39">
        <f>SUM(I12:I54)</f>
        <v>84</v>
      </c>
      <c r="J55" s="39">
        <f>SUM(J12:J54)</f>
        <v>-13098</v>
      </c>
      <c r="K55" s="40">
        <f>SUM(K12:K54)</f>
        <v>360003</v>
      </c>
      <c r="N55" s="57"/>
      <c r="O55" s="57"/>
      <c r="P55" s="38">
        <f>SUM(P12:P54)</f>
        <v>0</v>
      </c>
      <c r="Q55" s="38">
        <f>SUM(Q12:Q36)</f>
        <v>0</v>
      </c>
      <c r="R55" s="38">
        <f>SUM(R12:R36)</f>
        <v>0</v>
      </c>
      <c r="S55" s="38">
        <f>SUM(S12:S54)</f>
        <v>0</v>
      </c>
      <c r="T55" s="4"/>
      <c r="U55" s="41">
        <f>SUM(U12:U54)</f>
        <v>0</v>
      </c>
      <c r="V55" s="41">
        <f>SUM(V12:V36)</f>
        <v>0</v>
      </c>
      <c r="W55" s="42">
        <f>SUM(W12:W54)</f>
        <v>0</v>
      </c>
      <c r="Z55" s="57"/>
      <c r="AA55" s="57"/>
      <c r="AB55" s="38">
        <f>SUM(AB12:AB54)</f>
        <v>0</v>
      </c>
      <c r="AC55" s="38">
        <f>SUM(AC12:AC36)</f>
        <v>0</v>
      </c>
      <c r="AD55" s="38">
        <f>SUM(AD12:AD36)</f>
        <v>0</v>
      </c>
      <c r="AE55" s="38">
        <f>SUM(AE12:AE54)</f>
        <v>0</v>
      </c>
      <c r="AF55" s="4"/>
      <c r="AG55" s="41">
        <f>SUM(AG12:AG54)</f>
        <v>0</v>
      </c>
      <c r="AH55" s="41">
        <f>SUM(AH12:AH36)</f>
        <v>0</v>
      </c>
      <c r="AI55" s="42">
        <f>SUM(AI12:AI54)</f>
        <v>0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s="62"/>
      <c r="N57" s="97"/>
      <c r="O57" s="97"/>
      <c r="P57" s="97"/>
      <c r="Q57" s="97"/>
      <c r="R57" s="97"/>
      <c r="S57" s="97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s="62"/>
      <c r="N58" s="97"/>
      <c r="O58" s="97"/>
      <c r="P58" s="97"/>
      <c r="Q58" s="97"/>
      <c r="R58" s="97"/>
      <c r="S58" s="97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M59" s="62"/>
      <c r="N59" s="97"/>
      <c r="O59" s="97"/>
      <c r="P59" s="97"/>
      <c r="Q59" s="97"/>
      <c r="R59" s="97"/>
      <c r="S59" s="97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63"/>
      <c r="N60" s="97"/>
      <c r="O60" s="97"/>
      <c r="P60" s="97"/>
      <c r="Q60" s="97"/>
      <c r="R60" s="97"/>
      <c r="S60" s="97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M61" s="62"/>
      <c r="N61" s="97"/>
      <c r="O61" s="97"/>
      <c r="P61" s="97"/>
      <c r="Q61" s="97"/>
      <c r="R61" s="97"/>
      <c r="S61" s="97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s="62"/>
      <c r="N62" s="97"/>
      <c r="O62" s="97"/>
      <c r="P62" s="97"/>
      <c r="Q62" s="97"/>
      <c r="R62" s="97"/>
      <c r="S62" s="97"/>
      <c r="T62" s="62"/>
      <c r="U62" s="97"/>
      <c r="V62" s="74"/>
      <c r="W62" s="62"/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33</v>
      </c>
      <c r="K63" s="24"/>
      <c r="M63" s="64"/>
      <c r="N63" s="97"/>
      <c r="O63" s="97"/>
      <c r="P63" s="97"/>
      <c r="Q63" s="97"/>
      <c r="R63" s="97"/>
      <c r="S63" s="97"/>
      <c r="T63" s="62"/>
      <c r="U63" s="65"/>
      <c r="V63" s="65"/>
      <c r="W63" s="62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31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M64" s="62"/>
      <c r="N64" s="97"/>
      <c r="O64" s="97"/>
      <c r="P64" s="97"/>
      <c r="Q64" s="97"/>
      <c r="R64" s="97"/>
      <c r="S64" s="97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1" t="s">
        <v>17</v>
      </c>
      <c r="E65" s="111"/>
      <c r="F65" s="95"/>
      <c r="G65" s="27"/>
      <c r="I65" s="109" t="s">
        <v>18</v>
      </c>
      <c r="J65" s="110"/>
      <c r="K65" s="107" t="s">
        <v>19</v>
      </c>
      <c r="M65" s="62"/>
      <c r="N65" s="65"/>
      <c r="O65" s="97"/>
      <c r="P65" s="106"/>
      <c r="Q65" s="106"/>
      <c r="R65" s="97"/>
      <c r="S65" s="97"/>
      <c r="T65" s="62"/>
      <c r="U65" s="106"/>
      <c r="V65" s="106"/>
      <c r="W65" s="105"/>
      <c r="Z65" s="25"/>
      <c r="AA65" s="26"/>
      <c r="AB65" s="111" t="s">
        <v>17</v>
      </c>
      <c r="AC65" s="111"/>
      <c r="AD65" s="95"/>
      <c r="AE65" s="27"/>
      <c r="AG65" s="109" t="s">
        <v>18</v>
      </c>
      <c r="AH65" s="110"/>
      <c r="AI65" s="107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08"/>
      <c r="M66" s="62"/>
      <c r="N66" s="97"/>
      <c r="O66" s="97"/>
      <c r="P66" s="81"/>
      <c r="Q66" s="83"/>
      <c r="R66" s="83"/>
      <c r="S66" s="83"/>
      <c r="T66" s="62"/>
      <c r="U66" s="96"/>
      <c r="V66" s="96"/>
      <c r="W66" s="105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08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46082</v>
      </c>
      <c r="C67" s="91">
        <v>8100</v>
      </c>
      <c r="D67" s="32">
        <f>650*8+76</f>
        <v>5276</v>
      </c>
      <c r="E67" s="32"/>
      <c r="F67" s="32"/>
      <c r="G67" s="32">
        <f t="shared" ref="G67:G100" si="19">SUM(D67:E67)</f>
        <v>5276</v>
      </c>
      <c r="H67" s="12"/>
      <c r="I67" s="12"/>
      <c r="J67" s="12"/>
      <c r="K67" s="12">
        <f t="shared" ref="K67:K100" si="20">SUM(G67:J67)</f>
        <v>5276</v>
      </c>
      <c r="M67" s="62"/>
      <c r="N67" s="66"/>
      <c r="O67" s="97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46082</v>
      </c>
      <c r="AA67" s="31">
        <v>8234</v>
      </c>
      <c r="AB67" s="32">
        <f>650+622</f>
        <v>1272</v>
      </c>
      <c r="AC67" s="32"/>
      <c r="AD67" s="32"/>
      <c r="AE67" s="32">
        <f>SUM(AB67:AC67)</f>
        <v>1272</v>
      </c>
      <c r="AF67" s="12"/>
      <c r="AG67" s="12"/>
      <c r="AH67" s="12"/>
      <c r="AI67" s="12">
        <f>SUM(AE67:AH67)</f>
        <v>1272</v>
      </c>
      <c r="AK67" s="62"/>
      <c r="AL67" s="65"/>
      <c r="AM67" s="87"/>
      <c r="AN67" s="106"/>
      <c r="AO67" s="106"/>
      <c r="AP67" s="87"/>
      <c r="AQ67" s="62"/>
      <c r="AR67" s="106"/>
      <c r="AS67" s="106"/>
      <c r="AT67" s="105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46082</v>
      </c>
      <c r="C68" s="91">
        <v>8306</v>
      </c>
      <c r="D68" s="32">
        <f>650*432+1050*10+872*20+229*14</f>
        <v>311946</v>
      </c>
      <c r="E68" s="32">
        <v>-2772</v>
      </c>
      <c r="F68" s="32"/>
      <c r="G68" s="32">
        <f t="shared" si="19"/>
        <v>309174</v>
      </c>
      <c r="H68" s="12"/>
      <c r="I68" s="12"/>
      <c r="J68" s="12">
        <f>-1800+-47952+-468</f>
        <v>-50220</v>
      </c>
      <c r="K68" s="12">
        <f t="shared" si="20"/>
        <v>258954</v>
      </c>
      <c r="M68" s="62"/>
      <c r="N68" s="66"/>
      <c r="O68" s="97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46082</v>
      </c>
      <c r="AA68" s="31">
        <f>AA67+1</f>
        <v>8235</v>
      </c>
      <c r="AB68" s="32">
        <f>140400</f>
        <v>140400</v>
      </c>
      <c r="AC68" s="32">
        <v>-1296</v>
      </c>
      <c r="AD68" s="32"/>
      <c r="AE68" s="32">
        <f t="shared" ref="AE68:AE70" si="21">SUM(AB68:AC68)</f>
        <v>139104</v>
      </c>
      <c r="AF68" s="12"/>
      <c r="AG68" s="12"/>
      <c r="AH68" s="12"/>
      <c r="AI68" s="12">
        <f t="shared" ref="AI68:AI99" si="22">SUM(AE68:AH68)</f>
        <v>139104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05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46082</v>
      </c>
      <c r="C69" s="91">
        <f t="shared" ref="C69:C77" si="23">C68+1</f>
        <v>8307</v>
      </c>
      <c r="D69" s="33">
        <f>11050+1866</f>
        <v>12916</v>
      </c>
      <c r="E69" s="33"/>
      <c r="F69" s="33"/>
      <c r="G69" s="33">
        <f t="shared" si="19"/>
        <v>12916</v>
      </c>
      <c r="H69" s="34"/>
      <c r="I69" s="34"/>
      <c r="J69" s="34"/>
      <c r="K69" s="34">
        <f t="shared" si="20"/>
        <v>12916</v>
      </c>
      <c r="M69" s="62"/>
      <c r="N69" s="66"/>
      <c r="O69" s="97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46082</v>
      </c>
      <c r="AA69" s="31">
        <f t="shared" ref="AA69:AA76" si="24">AA68+1</f>
        <v>8236</v>
      </c>
      <c r="AB69" s="33">
        <f>10400+2680+1244+458</f>
        <v>14782</v>
      </c>
      <c r="AC69" s="33"/>
      <c r="AD69" s="32"/>
      <c r="AE69" s="32">
        <f t="shared" si="21"/>
        <v>14782</v>
      </c>
      <c r="AF69" s="12"/>
      <c r="AG69" s="12"/>
      <c r="AH69" s="12"/>
      <c r="AI69" s="12">
        <f t="shared" si="22"/>
        <v>14782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46082</v>
      </c>
      <c r="C70" s="91">
        <f t="shared" si="23"/>
        <v>8308</v>
      </c>
      <c r="D70" s="32">
        <f>84500+1145</f>
        <v>85645</v>
      </c>
      <c r="E70" s="32"/>
      <c r="F70" s="32"/>
      <c r="G70" s="32">
        <f t="shared" si="19"/>
        <v>85645</v>
      </c>
      <c r="H70" s="12"/>
      <c r="I70" s="12">
        <f>999+390</f>
        <v>1389</v>
      </c>
      <c r="J70" s="12"/>
      <c r="K70" s="12">
        <f t="shared" si="20"/>
        <v>87034</v>
      </c>
      <c r="M70" s="62"/>
      <c r="N70" s="66"/>
      <c r="O70" s="97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46082</v>
      </c>
      <c r="AA70" s="31">
        <f t="shared" si="24"/>
        <v>8237</v>
      </c>
      <c r="AB70" s="32">
        <f>650+1244</f>
        <v>1894</v>
      </c>
      <c r="AC70" s="32"/>
      <c r="AD70" s="32"/>
      <c r="AE70" s="32">
        <f t="shared" si="21"/>
        <v>1894</v>
      </c>
      <c r="AF70" s="12"/>
      <c r="AH70" s="12"/>
      <c r="AI70" s="12">
        <f t="shared" si="22"/>
        <v>1894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46082</v>
      </c>
      <c r="C71" s="91">
        <f t="shared" si="23"/>
        <v>8309</v>
      </c>
      <c r="D71" s="32">
        <f>650*50+229</f>
        <v>32729</v>
      </c>
      <c r="E71" s="32"/>
      <c r="F71" s="32"/>
      <c r="G71" s="32">
        <f t="shared" si="19"/>
        <v>32729</v>
      </c>
      <c r="H71" s="12"/>
      <c r="I71" s="12">
        <f>78+4.5</f>
        <v>82.5</v>
      </c>
      <c r="J71" s="12"/>
      <c r="K71" s="12">
        <f t="shared" si="20"/>
        <v>32811.5</v>
      </c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46082</v>
      </c>
      <c r="AA71" s="31">
        <f t="shared" si="24"/>
        <v>8238</v>
      </c>
      <c r="AB71" s="32">
        <f>39000+670*5+622*5+229</f>
        <v>45689</v>
      </c>
      <c r="AC71" s="32"/>
      <c r="AD71" s="32"/>
      <c r="AE71" s="32">
        <f t="shared" ref="AE71:AE76" si="25">SUM(AB71:AC71)</f>
        <v>45689</v>
      </c>
      <c r="AF71" s="12"/>
      <c r="AG71" s="12"/>
      <c r="AH71" s="12"/>
      <c r="AI71" s="12">
        <f t="shared" si="22"/>
        <v>45689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46082</v>
      </c>
      <c r="C72" s="91">
        <f t="shared" si="23"/>
        <v>8310</v>
      </c>
      <c r="D72" s="32">
        <f>650*50+700</f>
        <v>33200</v>
      </c>
      <c r="E72" s="32"/>
      <c r="F72" s="32"/>
      <c r="G72" s="32">
        <f t="shared" si="19"/>
        <v>33200</v>
      </c>
      <c r="H72" s="12"/>
      <c r="I72" s="12">
        <f>5550+111</f>
        <v>5661</v>
      </c>
      <c r="J72" s="12"/>
      <c r="K72" s="12">
        <f t="shared" si="20"/>
        <v>38861</v>
      </c>
      <c r="M72" s="62"/>
      <c r="N72" s="66"/>
      <c r="O72" s="97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>
        <v>46082</v>
      </c>
      <c r="AA72" s="31">
        <f t="shared" si="24"/>
        <v>8239</v>
      </c>
      <c r="AB72" s="32">
        <f>650*130+973+622*10+229*3</f>
        <v>92380</v>
      </c>
      <c r="AC72" s="32">
        <v>-840</v>
      </c>
      <c r="AD72" s="32"/>
      <c r="AE72" s="32">
        <f t="shared" si="25"/>
        <v>91540</v>
      </c>
      <c r="AF72" s="12"/>
      <c r="AG72" s="12"/>
      <c r="AH72" s="10">
        <v>-7659</v>
      </c>
      <c r="AI72" s="12">
        <f t="shared" si="22"/>
        <v>83881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46082</v>
      </c>
      <c r="C73" s="91">
        <f t="shared" si="23"/>
        <v>8311</v>
      </c>
      <c r="D73" s="32">
        <f>3900+57</f>
        <v>3957</v>
      </c>
      <c r="E73" s="32"/>
      <c r="F73" s="32"/>
      <c r="G73" s="32">
        <f t="shared" si="19"/>
        <v>3957</v>
      </c>
      <c r="H73" s="12"/>
      <c r="I73" s="12">
        <v>9</v>
      </c>
      <c r="J73" s="12"/>
      <c r="K73" s="12">
        <f t="shared" si="20"/>
        <v>3966</v>
      </c>
      <c r="M73" s="62"/>
      <c r="N73" s="66"/>
      <c r="O73" s="97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>
        <v>46082</v>
      </c>
      <c r="AA73" s="31">
        <f t="shared" si="24"/>
        <v>8240</v>
      </c>
      <c r="AB73" s="32">
        <f>650*30+670*5+622*8+2100+229*3</f>
        <v>30613</v>
      </c>
      <c r="AC73" s="32"/>
      <c r="AD73" s="32"/>
      <c r="AE73" s="32">
        <f t="shared" si="25"/>
        <v>30613</v>
      </c>
      <c r="AF73" s="12"/>
      <c r="AG73" s="58"/>
      <c r="AH73" s="12"/>
      <c r="AI73" s="12">
        <f t="shared" si="22"/>
        <v>30613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46082</v>
      </c>
      <c r="C74" s="91">
        <f t="shared" si="23"/>
        <v>8312</v>
      </c>
      <c r="D74" s="32">
        <f>973*60+912*5+1050*6+872*6+500*3</f>
        <v>75972</v>
      </c>
      <c r="E74" s="32"/>
      <c r="F74" s="32"/>
      <c r="G74" s="32">
        <f t="shared" si="19"/>
        <v>75972</v>
      </c>
      <c r="H74" s="12"/>
      <c r="I74" s="12"/>
      <c r="J74" s="12"/>
      <c r="K74" s="12">
        <f t="shared" si="20"/>
        <v>75972</v>
      </c>
      <c r="M74" s="62"/>
      <c r="N74" s="66"/>
      <c r="O74" s="97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>
        <v>46082</v>
      </c>
      <c r="AA74" s="31">
        <f t="shared" si="24"/>
        <v>8241</v>
      </c>
      <c r="AB74" s="32">
        <f>2736+650*5</f>
        <v>5986</v>
      </c>
      <c r="AC74" s="32"/>
      <c r="AE74" s="32">
        <f t="shared" si="25"/>
        <v>5986</v>
      </c>
      <c r="AF74" s="12"/>
      <c r="AG74" s="12"/>
      <c r="AH74" s="12"/>
      <c r="AI74" s="12">
        <f t="shared" si="22"/>
        <v>5986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46082</v>
      </c>
      <c r="C75" s="91">
        <f t="shared" si="23"/>
        <v>8313</v>
      </c>
      <c r="D75" s="32">
        <f>9750+1244</f>
        <v>10994</v>
      </c>
      <c r="E75" s="32"/>
      <c r="F75" s="32"/>
      <c r="G75" s="32">
        <f t="shared" si="19"/>
        <v>10994</v>
      </c>
      <c r="H75" s="12"/>
      <c r="I75" s="12"/>
      <c r="J75" s="12"/>
      <c r="K75" s="12">
        <f t="shared" si="20"/>
        <v>10994</v>
      </c>
      <c r="M75" s="62"/>
      <c r="N75" s="66"/>
      <c r="O75" s="97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>
        <v>46082</v>
      </c>
      <c r="AA75" s="31">
        <f t="shared" si="24"/>
        <v>8242</v>
      </c>
      <c r="AB75" s="32">
        <f>650*27+670+622*10</f>
        <v>24440</v>
      </c>
      <c r="AC75" s="32"/>
      <c r="AD75" s="32"/>
      <c r="AE75" s="32">
        <f t="shared" si="25"/>
        <v>24440</v>
      </c>
      <c r="AF75" s="12"/>
      <c r="AH75" s="12"/>
      <c r="AI75" s="12">
        <f t="shared" si="22"/>
        <v>24440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46082</v>
      </c>
      <c r="C76" s="91">
        <v>8151</v>
      </c>
      <c r="D76" s="32">
        <f>7260+2488+152</f>
        <v>9900</v>
      </c>
      <c r="E76" s="32"/>
      <c r="F76" s="32"/>
      <c r="G76" s="32">
        <f t="shared" si="19"/>
        <v>9900</v>
      </c>
      <c r="H76" s="12"/>
      <c r="I76" s="12"/>
      <c r="J76" s="12"/>
      <c r="K76" s="12">
        <f t="shared" si="20"/>
        <v>9900</v>
      </c>
      <c r="M76" s="62"/>
      <c r="N76" s="66"/>
      <c r="O76" s="97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>
        <v>46082</v>
      </c>
      <c r="AA76" s="31">
        <f t="shared" si="24"/>
        <v>8243</v>
      </c>
      <c r="AB76" s="32">
        <f>1175+229</f>
        <v>1404</v>
      </c>
      <c r="AC76" s="32"/>
      <c r="AD76" s="32"/>
      <c r="AE76" s="32">
        <f t="shared" si="25"/>
        <v>1404</v>
      </c>
      <c r="AF76" s="12"/>
      <c r="AG76" s="12">
        <v>36</v>
      </c>
      <c r="AH76" s="12"/>
      <c r="AI76" s="12">
        <f t="shared" si="22"/>
        <v>1440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46082</v>
      </c>
      <c r="C77" s="91">
        <f t="shared" si="23"/>
        <v>8152</v>
      </c>
      <c r="D77" s="32">
        <f>3900+57</f>
        <v>3957</v>
      </c>
      <c r="E77" s="32"/>
      <c r="F77" s="32"/>
      <c r="G77" s="32">
        <f t="shared" si="19"/>
        <v>3957</v>
      </c>
      <c r="H77" s="12"/>
      <c r="I77" s="12">
        <f>4.5+6</f>
        <v>10.5</v>
      </c>
      <c r="J77" s="12"/>
      <c r="K77" s="12">
        <f t="shared" si="20"/>
        <v>3967.5</v>
      </c>
      <c r="M77" s="62"/>
      <c r="N77" s="66"/>
      <c r="O77" s="97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11" t="s">
        <v>27</v>
      </c>
      <c r="AB77" s="32"/>
      <c r="AC77" s="32"/>
      <c r="AD77" s="32"/>
      <c r="AE77" s="32">
        <f t="shared" ref="AE77:AE99" si="26">SUM(AB77:AC77)</f>
        <v>0</v>
      </c>
      <c r="AF77" s="12"/>
      <c r="AG77" s="12"/>
      <c r="AH77" s="12"/>
      <c r="AI77" s="12">
        <f t="shared" si="22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62"/>
      <c r="N78" s="66"/>
      <c r="O78" s="97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6"/>
        <v>0</v>
      </c>
      <c r="AF78" s="12"/>
      <c r="AG78" s="12"/>
      <c r="AH78" s="12"/>
      <c r="AI78" s="12">
        <f t="shared" si="22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9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62"/>
      <c r="N79" s="66"/>
      <c r="O79" s="97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6"/>
        <v>0</v>
      </c>
      <c r="AF79" s="12"/>
      <c r="AG79" s="12"/>
      <c r="AH79" s="12"/>
      <c r="AI79" s="12">
        <f t="shared" si="22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91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62"/>
      <c r="N80" s="66"/>
      <c r="O80" s="97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6"/>
        <v>0</v>
      </c>
      <c r="AF80" s="12"/>
      <c r="AG80" s="12"/>
      <c r="AH80" s="12"/>
      <c r="AI80" s="12">
        <f t="shared" si="22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91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62"/>
      <c r="N81" s="66"/>
      <c r="O81" s="97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6"/>
        <v>0</v>
      </c>
      <c r="AF81" s="12"/>
      <c r="AG81" s="12"/>
      <c r="AH81" s="12"/>
      <c r="AI81" s="12">
        <f t="shared" si="22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91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62"/>
      <c r="N82" s="66"/>
      <c r="O82" s="97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31"/>
      <c r="AB82" s="32"/>
      <c r="AC82" s="32"/>
      <c r="AD82" s="32"/>
      <c r="AE82" s="32">
        <f t="shared" si="26"/>
        <v>0</v>
      </c>
      <c r="AF82" s="12"/>
      <c r="AG82" s="12"/>
      <c r="AH82" s="12"/>
      <c r="AI82" s="12">
        <f t="shared" si="22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91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62"/>
      <c r="N83" s="66"/>
      <c r="O83" s="97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6"/>
        <v>0</v>
      </c>
      <c r="AF83" s="12"/>
      <c r="AG83" s="12"/>
      <c r="AH83" s="12"/>
      <c r="AI83" s="12">
        <f t="shared" si="22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91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62"/>
      <c r="N84" s="66"/>
      <c r="O84" s="97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6"/>
        <v>0</v>
      </c>
      <c r="AF84" s="12"/>
      <c r="AG84" s="12"/>
      <c r="AH84" s="12"/>
      <c r="AI84" s="12">
        <f t="shared" si="22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62"/>
      <c r="N85" s="66"/>
      <c r="O85" s="97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6"/>
        <v>0</v>
      </c>
      <c r="AF85" s="12"/>
      <c r="AG85" s="12"/>
      <c r="AH85" s="12"/>
      <c r="AI85" s="12">
        <f t="shared" si="22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62"/>
      <c r="N86" s="66"/>
      <c r="O86" s="97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A86" s="31"/>
      <c r="AB86" s="32"/>
      <c r="AC86" s="32"/>
      <c r="AD86" s="32"/>
      <c r="AE86" s="32">
        <f t="shared" si="26"/>
        <v>0</v>
      </c>
      <c r="AF86" s="12"/>
      <c r="AG86" s="12"/>
      <c r="AH86" s="12"/>
      <c r="AI86" s="12">
        <f t="shared" si="22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91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62"/>
      <c r="N87" s="66"/>
      <c r="O87" s="62"/>
      <c r="P87" s="67"/>
      <c r="Q87" s="97"/>
      <c r="R87" s="97"/>
      <c r="S87" s="60"/>
      <c r="T87" s="62"/>
      <c r="U87" s="62"/>
      <c r="V87" s="62"/>
      <c r="W87" s="61"/>
      <c r="Y87" s="10">
        <v>21</v>
      </c>
      <c r="Z87" s="30"/>
      <c r="AB87" s="46"/>
      <c r="AC87" s="31"/>
      <c r="AD87" s="31"/>
      <c r="AE87" s="32">
        <f t="shared" si="26"/>
        <v>0</v>
      </c>
      <c r="AF87" s="10"/>
      <c r="AG87" s="10"/>
      <c r="AH87" s="10"/>
      <c r="AI87" s="12">
        <f t="shared" si="22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9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62"/>
      <c r="N88" s="66"/>
      <c r="O88" s="62"/>
      <c r="P88" s="68"/>
      <c r="Q88" s="97"/>
      <c r="R88" s="97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6"/>
        <v>0</v>
      </c>
      <c r="AF88" s="10"/>
      <c r="AG88" s="10"/>
      <c r="AH88" s="10"/>
      <c r="AI88" s="12">
        <f t="shared" si="22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91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62"/>
      <c r="N89" s="66"/>
      <c r="O89" s="97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E89" s="32">
        <f t="shared" si="26"/>
        <v>0</v>
      </c>
      <c r="AF89" s="10"/>
      <c r="AG89" s="10"/>
      <c r="AH89" s="10"/>
      <c r="AI89" s="12">
        <f t="shared" si="22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9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62"/>
      <c r="N90" s="66"/>
      <c r="O90" s="65"/>
      <c r="P90" s="69"/>
      <c r="Q90" s="97"/>
      <c r="R90" s="97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6"/>
        <v>0</v>
      </c>
      <c r="AF90" s="10"/>
      <c r="AG90" s="10"/>
      <c r="AH90" s="10"/>
      <c r="AI90" s="12">
        <f t="shared" si="22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9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62"/>
      <c r="N91" s="66"/>
      <c r="O91" s="97"/>
      <c r="P91" s="69"/>
      <c r="Q91" s="97"/>
      <c r="R91" s="97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6"/>
        <v>0</v>
      </c>
      <c r="AF91" s="10"/>
      <c r="AG91" s="10"/>
      <c r="AH91" s="10"/>
      <c r="AI91" s="12">
        <f t="shared" si="22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9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62"/>
      <c r="N92" s="66"/>
      <c r="O92" s="97"/>
      <c r="P92" s="69"/>
      <c r="Q92" s="97"/>
      <c r="R92" s="97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6"/>
        <v>0</v>
      </c>
      <c r="AF92" s="10"/>
      <c r="AG92" s="10"/>
      <c r="AH92" s="10"/>
      <c r="AI92" s="12">
        <f t="shared" si="22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91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62"/>
      <c r="N93" s="66"/>
      <c r="O93" s="97"/>
      <c r="P93" s="69"/>
      <c r="Q93" s="97"/>
      <c r="R93" s="97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6"/>
        <v>0</v>
      </c>
      <c r="AF93" s="10"/>
      <c r="AG93" s="10"/>
      <c r="AH93" s="10"/>
      <c r="AI93" s="12">
        <f t="shared" si="22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9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62"/>
      <c r="N94" s="66"/>
      <c r="O94" s="97"/>
      <c r="P94" s="69"/>
      <c r="Q94" s="97"/>
      <c r="R94" s="97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6"/>
        <v>0</v>
      </c>
      <c r="AF94" s="10"/>
      <c r="AG94" s="10"/>
      <c r="AH94" s="10"/>
      <c r="AI94" s="12">
        <f t="shared" si="22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9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62"/>
      <c r="N95" s="66"/>
      <c r="O95" s="62"/>
      <c r="P95" s="69"/>
      <c r="Q95" s="97"/>
      <c r="R95" s="97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6"/>
        <v>0</v>
      </c>
      <c r="AF95" s="10"/>
      <c r="AG95" s="10"/>
      <c r="AH95" s="10"/>
      <c r="AI95" s="12">
        <f t="shared" si="22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91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62"/>
      <c r="N96" s="66"/>
      <c r="O96" s="62"/>
      <c r="P96" s="69"/>
      <c r="Q96" s="97"/>
      <c r="R96" s="97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6"/>
        <v>0</v>
      </c>
      <c r="AF96" s="10"/>
      <c r="AG96" s="10"/>
      <c r="AH96" s="10"/>
      <c r="AI96" s="12">
        <f t="shared" si="22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91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62"/>
      <c r="N97" s="66"/>
      <c r="O97" s="97"/>
      <c r="P97" s="69"/>
      <c r="Q97" s="97"/>
      <c r="R97" s="97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6"/>
        <v>0</v>
      </c>
      <c r="AF97" s="10"/>
      <c r="AG97" s="10"/>
      <c r="AH97" s="10"/>
      <c r="AI97" s="12">
        <f t="shared" si="22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9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62"/>
      <c r="N98" s="66"/>
      <c r="O98" s="62"/>
      <c r="P98" s="69"/>
      <c r="Q98" s="97"/>
      <c r="R98" s="97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6"/>
        <v>0</v>
      </c>
      <c r="AF98" s="10"/>
      <c r="AG98" s="10"/>
      <c r="AH98" s="10"/>
      <c r="AI98" s="12">
        <f t="shared" si="22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91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62"/>
      <c r="N99" s="66"/>
      <c r="O99" s="97"/>
      <c r="P99" s="69"/>
      <c r="Q99" s="97"/>
      <c r="R99" s="97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6"/>
        <v>0</v>
      </c>
      <c r="AF99" s="10"/>
      <c r="AG99" s="10"/>
      <c r="AH99" s="10"/>
      <c r="AI99" s="12">
        <f t="shared" si="22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91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62"/>
      <c r="N100" s="66"/>
      <c r="O100" s="97"/>
      <c r="P100" s="69"/>
      <c r="Q100" s="97"/>
      <c r="R100" s="97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7">SUM(AB100:AC100)</f>
        <v>0</v>
      </c>
      <c r="AF100" s="10"/>
      <c r="AG100" s="10"/>
      <c r="AH100" s="10"/>
      <c r="AI100" s="12">
        <f t="shared" ref="AI100:AI108" si="28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91"/>
      <c r="D101" s="32"/>
      <c r="E101" s="32"/>
      <c r="F101" s="32"/>
      <c r="G101" s="32"/>
      <c r="H101" s="10"/>
      <c r="I101" s="10"/>
      <c r="J101" s="10"/>
      <c r="K101" s="12"/>
      <c r="M101" s="62"/>
      <c r="N101" s="66"/>
      <c r="O101" s="97"/>
      <c r="P101" s="69"/>
      <c r="Q101" s="97"/>
      <c r="R101" s="97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7"/>
        <v>0</v>
      </c>
      <c r="AF101" s="10"/>
      <c r="AG101" s="10"/>
      <c r="AH101" s="10"/>
      <c r="AI101" s="12">
        <f t="shared" si="28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91"/>
      <c r="D102" s="32"/>
      <c r="E102" s="32"/>
      <c r="F102" s="32"/>
      <c r="G102" s="32"/>
      <c r="H102" s="10"/>
      <c r="I102" s="10"/>
      <c r="J102" s="10"/>
      <c r="K102" s="12"/>
      <c r="M102" s="62"/>
      <c r="N102" s="66"/>
      <c r="O102" s="97"/>
      <c r="P102" s="69"/>
      <c r="Q102" s="97"/>
      <c r="R102" s="97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7"/>
        <v>0</v>
      </c>
      <c r="AF102" s="10"/>
      <c r="AG102" s="10"/>
      <c r="AH102" s="10"/>
      <c r="AI102" s="12">
        <f t="shared" si="28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62"/>
      <c r="N103" s="66"/>
      <c r="O103" s="62"/>
      <c r="P103" s="69"/>
      <c r="Q103" s="97"/>
      <c r="R103" s="97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7"/>
        <v>0</v>
      </c>
      <c r="AF103" s="10"/>
      <c r="AG103" s="10"/>
      <c r="AH103" s="10"/>
      <c r="AI103" s="12">
        <f t="shared" si="28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62"/>
      <c r="N104" s="66"/>
      <c r="O104" s="97"/>
      <c r="P104" s="69"/>
      <c r="Q104" s="97"/>
      <c r="R104" s="97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7"/>
        <v>0</v>
      </c>
      <c r="AF104" s="10"/>
      <c r="AG104" s="10"/>
      <c r="AH104" s="10"/>
      <c r="AI104" s="12">
        <f t="shared" si="28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62"/>
      <c r="N105" s="66"/>
      <c r="O105" s="97"/>
      <c r="P105" s="69"/>
      <c r="Q105" s="97"/>
      <c r="R105" s="97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7"/>
        <v>0</v>
      </c>
      <c r="AF105" s="10"/>
      <c r="AG105" s="10"/>
      <c r="AH105" s="10"/>
      <c r="AI105" s="12">
        <f t="shared" si="28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62"/>
      <c r="N106" s="66"/>
      <c r="O106" s="62"/>
      <c r="P106" s="69"/>
      <c r="Q106" s="97"/>
      <c r="R106" s="97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8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29">SUM(D107:E107)</f>
        <v>0</v>
      </c>
      <c r="H107" s="10"/>
      <c r="I107" s="10"/>
      <c r="J107" s="10"/>
      <c r="K107" s="12">
        <f t="shared" ref="K107" si="30">SUM(G107:J107)</f>
        <v>0</v>
      </c>
      <c r="M107" s="62"/>
      <c r="N107" s="66"/>
      <c r="O107" s="97"/>
      <c r="P107" s="69"/>
      <c r="Q107" s="97"/>
      <c r="R107" s="97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31">SUM(AB107:AC107)</f>
        <v>0</v>
      </c>
      <c r="AF107" s="10"/>
      <c r="AG107" s="10"/>
      <c r="AH107" s="10"/>
      <c r="AI107" s="12">
        <f t="shared" si="28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62"/>
      <c r="N108" s="97"/>
      <c r="O108" s="97"/>
      <c r="P108" s="97"/>
      <c r="Q108" s="97"/>
      <c r="R108" s="97"/>
      <c r="S108" s="97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8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M109" s="62"/>
      <c r="N109" s="97"/>
      <c r="O109" s="97"/>
      <c r="P109" s="97"/>
      <c r="Q109" s="97"/>
      <c r="R109" s="97"/>
      <c r="S109" s="97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586492</v>
      </c>
      <c r="E110" s="38">
        <f t="shared" ref="E110:F110" si="32">SUM(E67:E107)</f>
        <v>-2772</v>
      </c>
      <c r="F110" s="38">
        <f t="shared" si="32"/>
        <v>0</v>
      </c>
      <c r="G110" s="38">
        <f>SUM(G67:G109)</f>
        <v>583720</v>
      </c>
      <c r="H110" s="4"/>
      <c r="I110" s="39">
        <f>SUM(I67:I109)</f>
        <v>7152</v>
      </c>
      <c r="J110" s="39">
        <f>SUM(J67:J109)</f>
        <v>-50220</v>
      </c>
      <c r="K110" s="40">
        <f>SUM(K67:K109)</f>
        <v>540652</v>
      </c>
      <c r="M110" s="62"/>
      <c r="N110" s="97"/>
      <c r="O110" s="97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358860</v>
      </c>
      <c r="AC110" s="38">
        <f>SUM(AC67:AC91)</f>
        <v>-2136</v>
      </c>
      <c r="AD110" s="38">
        <f>SUM(AD67:AD91)</f>
        <v>0</v>
      </c>
      <c r="AE110" s="38">
        <f>SUM(AE67:AE109)</f>
        <v>356724</v>
      </c>
      <c r="AF110" s="4"/>
      <c r="AG110" s="41">
        <f>SUM(AG67:AG109)</f>
        <v>36</v>
      </c>
      <c r="AH110" s="41">
        <f>SUM(AH67:AH91)</f>
        <v>-7659</v>
      </c>
      <c r="AI110" s="42">
        <f>SUM(AI67:AI109)</f>
        <v>349101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47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1" t="s">
        <v>17</v>
      </c>
      <c r="E120" s="111"/>
      <c r="F120" s="98"/>
      <c r="G120" s="27"/>
      <c r="I120" s="109" t="s">
        <v>18</v>
      </c>
      <c r="J120" s="110"/>
      <c r="K120" s="107" t="s">
        <v>19</v>
      </c>
      <c r="N120" s="25"/>
      <c r="O120" s="26"/>
      <c r="P120" s="111" t="s">
        <v>17</v>
      </c>
      <c r="Q120" s="111"/>
      <c r="R120" s="98"/>
      <c r="S120" s="27"/>
      <c r="U120" s="109" t="s">
        <v>18</v>
      </c>
      <c r="V120" s="110"/>
      <c r="W120" s="107" t="s">
        <v>19</v>
      </c>
      <c r="Z120" s="25"/>
      <c r="AA120" s="26"/>
      <c r="AB120" s="111" t="s">
        <v>17</v>
      </c>
      <c r="AC120" s="111"/>
      <c r="AD120" s="98"/>
      <c r="AE120" s="27"/>
      <c r="AG120" s="109" t="s">
        <v>18</v>
      </c>
      <c r="AH120" s="110"/>
      <c r="AI120" s="107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08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08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08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46143</v>
      </c>
      <c r="C122" s="91">
        <v>8314</v>
      </c>
      <c r="D122" s="32">
        <f>210600+622*108+229*18</f>
        <v>281898</v>
      </c>
      <c r="E122" s="32">
        <v>-2592</v>
      </c>
      <c r="F122" s="32"/>
      <c r="G122" s="32">
        <f t="shared" ref="G122:G155" si="33">SUM(D122:E122)</f>
        <v>279306</v>
      </c>
      <c r="H122" s="12"/>
      <c r="I122" s="12">
        <v>1404</v>
      </c>
      <c r="J122" s="12">
        <f>-960+-89244+-666-1452</f>
        <v>-92322</v>
      </c>
      <c r="K122" s="12">
        <f t="shared" ref="K122:K155" si="34">SUM(G122:J122)</f>
        <v>188388</v>
      </c>
      <c r="M122" s="10">
        <v>1</v>
      </c>
      <c r="N122" s="30">
        <v>46143</v>
      </c>
      <c r="O122" s="31">
        <v>8153</v>
      </c>
      <c r="P122" s="32">
        <f>2600+40</f>
        <v>2640</v>
      </c>
      <c r="Q122" s="32"/>
      <c r="R122" s="32"/>
      <c r="S122" s="32">
        <f>SUM(P122:Q122)</f>
        <v>2640</v>
      </c>
      <c r="T122" s="12"/>
      <c r="U122" s="12"/>
      <c r="V122" s="12"/>
      <c r="W122" s="12">
        <f>SUM(S122:V122)</f>
        <v>2640</v>
      </c>
      <c r="Y122" s="10">
        <v>1</v>
      </c>
      <c r="Z122" s="30">
        <v>46143</v>
      </c>
      <c r="AA122" s="31">
        <v>7795</v>
      </c>
      <c r="AB122" s="32">
        <f>120*650+622*55+229*7</f>
        <v>113813</v>
      </c>
      <c r="AC122" s="32">
        <v>-1050</v>
      </c>
      <c r="AD122" s="32"/>
      <c r="AE122" s="32">
        <f>SUM(AB122:AC122)</f>
        <v>112763</v>
      </c>
      <c r="AF122" s="12"/>
      <c r="AG122" s="12"/>
      <c r="AH122" s="12"/>
      <c r="AI122" s="12">
        <f>SUM(AE122:AH122)</f>
        <v>112763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46143</v>
      </c>
      <c r="C123" s="91">
        <f>C122+1</f>
        <v>8315</v>
      </c>
      <c r="D123" s="32">
        <f>70200+4690+1946+3732+1824+2100+1744+1374+1000+3500</f>
        <v>92110</v>
      </c>
      <c r="E123" s="32"/>
      <c r="F123" s="32"/>
      <c r="G123" s="32">
        <f t="shared" si="33"/>
        <v>92110</v>
      </c>
      <c r="H123" s="12"/>
      <c r="I123" s="12">
        <f>108+324</f>
        <v>432</v>
      </c>
      <c r="J123" s="12"/>
      <c r="K123" s="12">
        <f t="shared" si="34"/>
        <v>92542</v>
      </c>
      <c r="M123" s="10">
        <v>2</v>
      </c>
      <c r="N123" s="30">
        <v>46143</v>
      </c>
      <c r="O123" s="31">
        <f>O122+1</f>
        <v>8154</v>
      </c>
      <c r="P123" s="32">
        <f>5200+80</f>
        <v>5280</v>
      </c>
      <c r="Q123" s="32"/>
      <c r="R123" s="32"/>
      <c r="S123" s="32">
        <f t="shared" ref="S123:S154" si="35">SUM(P123:Q123)</f>
        <v>5280</v>
      </c>
      <c r="T123" s="12"/>
      <c r="U123" s="12"/>
      <c r="V123" s="12"/>
      <c r="W123" s="12">
        <f t="shared" ref="W123:W154" si="36">SUM(S123:V123)</f>
        <v>5280</v>
      </c>
      <c r="Y123" s="10">
        <v>2</v>
      </c>
      <c r="Z123" s="30">
        <v>46143</v>
      </c>
      <c r="AA123" s="31">
        <f>AA122+1</f>
        <v>7796</v>
      </c>
      <c r="AB123" s="32">
        <f>650*76</f>
        <v>49400</v>
      </c>
      <c r="AC123" s="32">
        <v>-456</v>
      </c>
      <c r="AD123" s="32"/>
      <c r="AE123" s="32">
        <f t="shared" ref="AE123:AE125" si="37">SUM(AB123:AC123)</f>
        <v>48944</v>
      </c>
      <c r="AF123" s="12"/>
      <c r="AG123" s="12"/>
      <c r="AH123" s="12"/>
      <c r="AI123" s="12">
        <f t="shared" ref="AI123:AI154" si="38">SUM(AE123:AH123)</f>
        <v>48944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46143</v>
      </c>
      <c r="C124" s="91">
        <f t="shared" ref="C124:C126" si="39">C123+1</f>
        <v>8316</v>
      </c>
      <c r="D124" s="33">
        <f>650*20</f>
        <v>13000</v>
      </c>
      <c r="E124" s="33"/>
      <c r="F124" s="33"/>
      <c r="G124" s="33">
        <f t="shared" si="33"/>
        <v>13000</v>
      </c>
      <c r="H124" s="34"/>
      <c r="I124" s="34"/>
      <c r="J124" s="34"/>
      <c r="K124" s="34">
        <f t="shared" si="34"/>
        <v>13000</v>
      </c>
      <c r="M124" s="10">
        <v>3</v>
      </c>
      <c r="N124" s="30">
        <v>46143</v>
      </c>
      <c r="O124" s="31">
        <f t="shared" ref="O124:O127" si="40">O123+1</f>
        <v>8155</v>
      </c>
      <c r="P124" s="32">
        <f>2600+40</f>
        <v>2640</v>
      </c>
      <c r="Q124" s="32"/>
      <c r="R124" s="32"/>
      <c r="S124" s="32">
        <f t="shared" si="35"/>
        <v>2640</v>
      </c>
      <c r="T124" s="12"/>
      <c r="U124" s="12"/>
      <c r="V124" s="12"/>
      <c r="W124" s="12">
        <f t="shared" si="36"/>
        <v>2640</v>
      </c>
      <c r="Y124" s="10">
        <v>3</v>
      </c>
      <c r="Z124" s="30">
        <v>46143</v>
      </c>
      <c r="AA124" s="31">
        <f t="shared" ref="AA124:AA131" si="41">AA123+1</f>
        <v>7797</v>
      </c>
      <c r="AB124" s="33">
        <f>650*29+622*8</f>
        <v>23826</v>
      </c>
      <c r="AC124" s="33"/>
      <c r="AD124" s="32"/>
      <c r="AE124" s="32">
        <f t="shared" si="37"/>
        <v>23826</v>
      </c>
      <c r="AF124" s="12"/>
      <c r="AG124" s="12"/>
      <c r="AH124" s="12">
        <v>-2220</v>
      </c>
      <c r="AI124" s="12">
        <f t="shared" si="38"/>
        <v>21606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46143</v>
      </c>
      <c r="C125" s="91">
        <f t="shared" si="39"/>
        <v>8317</v>
      </c>
      <c r="D125" s="32">
        <f>1950+622+38</f>
        <v>2610</v>
      </c>
      <c r="E125" s="32"/>
      <c r="F125" s="32"/>
      <c r="G125" s="32">
        <f t="shared" si="33"/>
        <v>2610</v>
      </c>
      <c r="H125" s="12"/>
      <c r="I125" s="12"/>
      <c r="J125" s="12"/>
      <c r="K125" s="12">
        <f t="shared" si="34"/>
        <v>2610</v>
      </c>
      <c r="M125" s="10">
        <v>4</v>
      </c>
      <c r="N125" s="30">
        <v>46143</v>
      </c>
      <c r="O125" s="31">
        <f t="shared" si="40"/>
        <v>8156</v>
      </c>
      <c r="P125" s="32">
        <f>650*216+229*6</f>
        <v>141774</v>
      </c>
      <c r="Q125" s="32">
        <f>-216*6</f>
        <v>-1296</v>
      </c>
      <c r="R125" s="32"/>
      <c r="S125" s="32">
        <f t="shared" si="35"/>
        <v>140478</v>
      </c>
      <c r="T125" s="12"/>
      <c r="U125" s="12">
        <v>312</v>
      </c>
      <c r="V125" s="12"/>
      <c r="W125" s="12">
        <f t="shared" si="36"/>
        <v>140790</v>
      </c>
      <c r="Y125" s="10">
        <v>4</v>
      </c>
      <c r="Z125" s="30">
        <v>46143</v>
      </c>
      <c r="AA125" s="31">
        <v>8244</v>
      </c>
      <c r="AB125" s="32">
        <f>650*29+670*2+700+622*15+912+872*3+229*2+500</f>
        <v>34706</v>
      </c>
      <c r="AC125" s="32"/>
      <c r="AD125" s="32"/>
      <c r="AE125" s="32">
        <f t="shared" si="37"/>
        <v>34706</v>
      </c>
      <c r="AF125" s="12"/>
      <c r="AH125" s="12"/>
      <c r="AI125" s="12">
        <f t="shared" si="38"/>
        <v>34706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46143</v>
      </c>
      <c r="C126" s="91">
        <f t="shared" si="39"/>
        <v>8318</v>
      </c>
      <c r="D126" s="32">
        <f>650*8+9.5*8</f>
        <v>5276</v>
      </c>
      <c r="E126" s="32"/>
      <c r="F126" s="32"/>
      <c r="G126" s="32">
        <f t="shared" si="33"/>
        <v>5276</v>
      </c>
      <c r="H126" s="12"/>
      <c r="I126" s="12">
        <v>222</v>
      </c>
      <c r="J126" s="12"/>
      <c r="K126" s="12">
        <f t="shared" si="34"/>
        <v>5498</v>
      </c>
      <c r="M126" s="10">
        <v>5</v>
      </c>
      <c r="N126" s="30">
        <v>46143</v>
      </c>
      <c r="O126" s="31">
        <f t="shared" si="40"/>
        <v>8157</v>
      </c>
      <c r="P126" s="32">
        <f>650*55+622*8+572.5</f>
        <v>41298.5</v>
      </c>
      <c r="Q126" s="32"/>
      <c r="R126" s="32"/>
      <c r="S126" s="32">
        <f t="shared" si="35"/>
        <v>41298.5</v>
      </c>
      <c r="T126" s="12"/>
      <c r="U126" s="12">
        <v>195</v>
      </c>
      <c r="V126" s="12"/>
      <c r="W126" s="12">
        <f t="shared" si="36"/>
        <v>41493.5</v>
      </c>
      <c r="Y126" s="10">
        <v>5</v>
      </c>
      <c r="Z126" s="30">
        <v>46143</v>
      </c>
      <c r="AA126" s="31">
        <f t="shared" si="41"/>
        <v>8245</v>
      </c>
      <c r="AB126" s="32">
        <f>6500+95</f>
        <v>6595</v>
      </c>
      <c r="AC126" s="32"/>
      <c r="AD126" s="32"/>
      <c r="AE126" s="32">
        <f t="shared" ref="AE126:AE154" si="42">SUM(AB126:AC126)</f>
        <v>6595</v>
      </c>
      <c r="AF126" s="12"/>
      <c r="AG126" s="12"/>
      <c r="AH126" s="12"/>
      <c r="AI126" s="12">
        <f t="shared" si="38"/>
        <v>6595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11" t="s">
        <v>27</v>
      </c>
      <c r="D127" s="32"/>
      <c r="E127" s="32"/>
      <c r="F127" s="32"/>
      <c r="G127" s="32">
        <f t="shared" si="33"/>
        <v>0</v>
      </c>
      <c r="H127" s="12"/>
      <c r="I127" s="12"/>
      <c r="J127" s="12"/>
      <c r="K127" s="12">
        <f t="shared" si="34"/>
        <v>0</v>
      </c>
      <c r="M127" s="10">
        <v>6</v>
      </c>
      <c r="N127" s="30">
        <v>46143</v>
      </c>
      <c r="O127" s="31">
        <f t="shared" si="40"/>
        <v>8158</v>
      </c>
      <c r="P127" s="32">
        <f>650*214+229*8</f>
        <v>140932</v>
      </c>
      <c r="Q127" s="32">
        <v>-1284</v>
      </c>
      <c r="R127" s="32"/>
      <c r="S127" s="32">
        <f t="shared" si="35"/>
        <v>139648</v>
      </c>
      <c r="T127" s="12"/>
      <c r="U127" s="12">
        <v>108</v>
      </c>
      <c r="V127" s="10"/>
      <c r="W127" s="12">
        <f t="shared" si="36"/>
        <v>139756</v>
      </c>
      <c r="Y127" s="10">
        <v>6</v>
      </c>
      <c r="Z127" s="30">
        <v>46143</v>
      </c>
      <c r="AA127" s="31">
        <f t="shared" si="41"/>
        <v>8246</v>
      </c>
      <c r="AB127" s="32">
        <f>650*59+670*2+700+622*10+912+872</f>
        <v>48394</v>
      </c>
      <c r="AC127" s="32"/>
      <c r="AD127" s="32"/>
      <c r="AE127" s="32">
        <f t="shared" si="42"/>
        <v>48394</v>
      </c>
      <c r="AF127" s="12"/>
      <c r="AG127" s="12">
        <v>63</v>
      </c>
      <c r="AH127" s="10"/>
      <c r="AI127" s="12">
        <f t="shared" si="38"/>
        <v>48457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91"/>
      <c r="D128" s="32"/>
      <c r="E128" s="32"/>
      <c r="F128" s="32"/>
      <c r="G128" s="32">
        <f t="shared" si="33"/>
        <v>0</v>
      </c>
      <c r="H128" s="12"/>
      <c r="I128" s="12"/>
      <c r="J128" s="12"/>
      <c r="K128" s="12">
        <f t="shared" si="34"/>
        <v>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35"/>
        <v>0</v>
      </c>
      <c r="T128" s="12"/>
      <c r="U128" s="12"/>
      <c r="V128" s="12"/>
      <c r="W128" s="12">
        <f t="shared" si="36"/>
        <v>0</v>
      </c>
      <c r="Y128" s="10">
        <v>7</v>
      </c>
      <c r="Z128" s="30">
        <v>46143</v>
      </c>
      <c r="AA128" s="31">
        <f t="shared" si="41"/>
        <v>8247</v>
      </c>
      <c r="AB128" s="32">
        <f>13650+973+912+2100+872</f>
        <v>18507</v>
      </c>
      <c r="AC128" s="32"/>
      <c r="AD128" s="32"/>
      <c r="AE128" s="32">
        <f t="shared" si="42"/>
        <v>18507</v>
      </c>
      <c r="AF128" s="12"/>
      <c r="AG128" s="58">
        <f>102+40.5</f>
        <v>142.5</v>
      </c>
      <c r="AH128" s="12"/>
      <c r="AI128" s="12">
        <f t="shared" si="38"/>
        <v>18649.5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91"/>
      <c r="D129" s="32"/>
      <c r="E129" s="32"/>
      <c r="F129" s="32"/>
      <c r="G129" s="32">
        <f t="shared" si="33"/>
        <v>0</v>
      </c>
      <c r="H129" s="12"/>
      <c r="I129" s="12"/>
      <c r="J129" s="12"/>
      <c r="K129" s="12">
        <f t="shared" si="34"/>
        <v>0</v>
      </c>
      <c r="M129" s="10">
        <v>8</v>
      </c>
      <c r="N129" s="30"/>
      <c r="O129" s="31"/>
      <c r="P129" s="32"/>
      <c r="Q129" s="32"/>
      <c r="R129" s="32"/>
      <c r="S129" s="32">
        <f t="shared" si="35"/>
        <v>0</v>
      </c>
      <c r="T129" s="12"/>
      <c r="U129" s="12"/>
      <c r="V129" s="12"/>
      <c r="W129" s="12">
        <f t="shared" si="36"/>
        <v>0</v>
      </c>
      <c r="Y129" s="10">
        <v>8</v>
      </c>
      <c r="Z129" s="30">
        <v>46143</v>
      </c>
      <c r="AA129" s="31">
        <f t="shared" si="41"/>
        <v>8248</v>
      </c>
      <c r="AB129" s="32">
        <f>650*216+229*9</f>
        <v>142461</v>
      </c>
      <c r="AC129" s="32"/>
      <c r="AE129" s="32">
        <f t="shared" si="42"/>
        <v>142461</v>
      </c>
      <c r="AF129" s="12"/>
      <c r="AG129" s="12">
        <v>324</v>
      </c>
      <c r="AH129" s="12"/>
      <c r="AI129" s="12">
        <f t="shared" si="38"/>
        <v>142785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91"/>
      <c r="D130" s="32"/>
      <c r="E130" s="32"/>
      <c r="F130" s="32"/>
      <c r="G130" s="32">
        <f t="shared" si="33"/>
        <v>0</v>
      </c>
      <c r="H130" s="12"/>
      <c r="I130" s="12"/>
      <c r="J130" s="12"/>
      <c r="K130" s="12">
        <f t="shared" si="34"/>
        <v>0</v>
      </c>
      <c r="M130" s="10">
        <v>9</v>
      </c>
      <c r="N130" s="30"/>
      <c r="O130" s="31"/>
      <c r="P130" s="32"/>
      <c r="Q130" s="32"/>
      <c r="R130" s="32"/>
      <c r="S130" s="32">
        <f t="shared" si="35"/>
        <v>0</v>
      </c>
      <c r="T130" s="12"/>
      <c r="U130" s="12"/>
      <c r="V130" s="12"/>
      <c r="W130" s="12">
        <f t="shared" si="36"/>
        <v>0</v>
      </c>
      <c r="Y130" s="10">
        <v>9</v>
      </c>
      <c r="Z130" s="30">
        <v>46143</v>
      </c>
      <c r="AA130" s="31">
        <f t="shared" si="41"/>
        <v>8249</v>
      </c>
      <c r="AB130" s="32">
        <f>650*95+700+622*5+872</f>
        <v>66432</v>
      </c>
      <c r="AC130" s="32"/>
      <c r="AD130" s="32"/>
      <c r="AE130" s="32">
        <f t="shared" si="42"/>
        <v>66432</v>
      </c>
      <c r="AF130" s="12"/>
      <c r="AH130" s="12"/>
      <c r="AI130" s="12">
        <f t="shared" si="38"/>
        <v>66432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91"/>
      <c r="D131" s="32"/>
      <c r="E131" s="32"/>
      <c r="F131" s="32"/>
      <c r="G131" s="32">
        <f t="shared" si="33"/>
        <v>0</v>
      </c>
      <c r="H131" s="12"/>
      <c r="I131" s="12"/>
      <c r="J131" s="12"/>
      <c r="K131" s="12">
        <f t="shared" si="34"/>
        <v>0</v>
      </c>
      <c r="M131" s="10">
        <v>10</v>
      </c>
      <c r="N131" s="30"/>
      <c r="O131" s="31"/>
      <c r="P131" s="32"/>
      <c r="Q131" s="32"/>
      <c r="R131" s="32"/>
      <c r="S131" s="32">
        <f t="shared" si="35"/>
        <v>0</v>
      </c>
      <c r="T131" s="12"/>
      <c r="U131" s="12"/>
      <c r="V131" s="12"/>
      <c r="W131" s="12">
        <f t="shared" si="36"/>
        <v>0</v>
      </c>
      <c r="Y131" s="10">
        <v>10</v>
      </c>
      <c r="Z131" s="30">
        <v>46143</v>
      </c>
      <c r="AA131" s="31">
        <f t="shared" si="41"/>
        <v>8250</v>
      </c>
      <c r="AB131" s="32">
        <f>52000+12440+916</f>
        <v>65356</v>
      </c>
      <c r="AC131" s="32">
        <v>-600</v>
      </c>
      <c r="AD131" s="32"/>
      <c r="AE131" s="32">
        <f t="shared" si="42"/>
        <v>64756</v>
      </c>
      <c r="AF131" s="12"/>
      <c r="AG131" s="12">
        <v>72</v>
      </c>
      <c r="AH131" s="12"/>
      <c r="AI131" s="12">
        <f t="shared" si="38"/>
        <v>64828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91"/>
      <c r="D132" s="32"/>
      <c r="E132" s="32"/>
      <c r="F132" s="32"/>
      <c r="G132" s="32">
        <f t="shared" si="33"/>
        <v>0</v>
      </c>
      <c r="H132" s="12"/>
      <c r="I132" s="12"/>
      <c r="J132" s="12"/>
      <c r="K132" s="12">
        <f t="shared" si="34"/>
        <v>0</v>
      </c>
      <c r="M132" s="10">
        <v>11</v>
      </c>
      <c r="N132" s="30"/>
      <c r="P132" s="32"/>
      <c r="Q132" s="32"/>
      <c r="R132" s="32"/>
      <c r="S132" s="32">
        <f t="shared" si="35"/>
        <v>0</v>
      </c>
      <c r="T132" s="12"/>
      <c r="U132" s="12"/>
      <c r="V132" s="12"/>
      <c r="W132" s="12">
        <f t="shared" si="36"/>
        <v>0</v>
      </c>
      <c r="Y132" s="10">
        <v>11</v>
      </c>
      <c r="Z132" s="30"/>
      <c r="AA132" s="11" t="s">
        <v>27</v>
      </c>
      <c r="AB132" s="32"/>
      <c r="AC132" s="32"/>
      <c r="AD132" s="32"/>
      <c r="AE132" s="32">
        <f t="shared" si="42"/>
        <v>0</v>
      </c>
      <c r="AF132" s="12"/>
      <c r="AG132" s="12"/>
      <c r="AH132" s="12"/>
      <c r="AI132" s="12">
        <f t="shared" si="38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3"/>
        <v>0</v>
      </c>
      <c r="H133" s="12"/>
      <c r="I133" s="12"/>
      <c r="J133" s="10"/>
      <c r="K133" s="12">
        <f t="shared" si="34"/>
        <v>0</v>
      </c>
      <c r="M133" s="10">
        <v>12</v>
      </c>
      <c r="N133" s="30"/>
      <c r="O133" s="31"/>
      <c r="P133" s="32"/>
      <c r="Q133" s="32"/>
      <c r="R133" s="32"/>
      <c r="S133" s="32">
        <f t="shared" si="35"/>
        <v>0</v>
      </c>
      <c r="T133" s="12"/>
      <c r="U133" s="12"/>
      <c r="V133" s="12"/>
      <c r="W133" s="12">
        <f t="shared" si="36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2"/>
        <v>0</v>
      </c>
      <c r="AF133" s="12"/>
      <c r="AG133" s="12"/>
      <c r="AH133" s="12"/>
      <c r="AI133" s="12">
        <f t="shared" si="38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91"/>
      <c r="D134" s="32"/>
      <c r="E134" s="32"/>
      <c r="F134" s="32"/>
      <c r="G134" s="32">
        <f t="shared" si="33"/>
        <v>0</v>
      </c>
      <c r="H134" s="12"/>
      <c r="I134" s="12"/>
      <c r="J134" s="12"/>
      <c r="K134" s="12">
        <f t="shared" si="34"/>
        <v>0</v>
      </c>
      <c r="M134" s="10">
        <v>13</v>
      </c>
      <c r="N134" s="30"/>
      <c r="O134" s="31"/>
      <c r="P134" s="32"/>
      <c r="Q134" s="32"/>
      <c r="R134" s="32"/>
      <c r="S134" s="32">
        <f t="shared" si="35"/>
        <v>0</v>
      </c>
      <c r="T134" s="12"/>
      <c r="U134" s="12"/>
      <c r="V134" s="12"/>
      <c r="W134" s="12">
        <f t="shared" si="36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2"/>
        <v>0</v>
      </c>
      <c r="AF134" s="12"/>
      <c r="AG134" s="12"/>
      <c r="AH134" s="12"/>
      <c r="AI134" s="12">
        <f t="shared" si="38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91"/>
      <c r="D135" s="32"/>
      <c r="E135" s="32"/>
      <c r="F135" s="32"/>
      <c r="G135" s="32">
        <f t="shared" si="33"/>
        <v>0</v>
      </c>
      <c r="H135" s="12"/>
      <c r="I135" s="12"/>
      <c r="J135" s="12"/>
      <c r="K135" s="12">
        <f t="shared" si="34"/>
        <v>0</v>
      </c>
      <c r="M135" s="10">
        <v>14</v>
      </c>
      <c r="N135" s="30"/>
      <c r="O135" s="31"/>
      <c r="P135" s="32"/>
      <c r="Q135" s="32"/>
      <c r="R135" s="32"/>
      <c r="S135" s="32">
        <f t="shared" si="35"/>
        <v>0</v>
      </c>
      <c r="T135" s="12"/>
      <c r="U135" s="12"/>
      <c r="V135" s="12"/>
      <c r="W135" s="12">
        <f t="shared" si="36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2"/>
        <v>0</v>
      </c>
      <c r="AF135" s="12"/>
      <c r="AG135" s="12"/>
      <c r="AH135" s="12"/>
      <c r="AI135" s="12">
        <f t="shared" si="38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91"/>
      <c r="D136" s="32"/>
      <c r="E136" s="32"/>
      <c r="F136" s="32"/>
      <c r="G136" s="32">
        <f t="shared" si="33"/>
        <v>0</v>
      </c>
      <c r="H136" s="12"/>
      <c r="I136" s="12"/>
      <c r="J136" s="12"/>
      <c r="K136" s="12">
        <f t="shared" si="34"/>
        <v>0</v>
      </c>
      <c r="M136" s="10">
        <v>15</v>
      </c>
      <c r="N136" s="30"/>
      <c r="O136" s="31"/>
      <c r="P136" s="32"/>
      <c r="Q136" s="32"/>
      <c r="R136" s="32"/>
      <c r="S136" s="32">
        <f t="shared" si="35"/>
        <v>0</v>
      </c>
      <c r="T136" s="12"/>
      <c r="U136" s="12"/>
      <c r="V136" s="12"/>
      <c r="W136" s="12">
        <f t="shared" si="36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2"/>
        <v>0</v>
      </c>
      <c r="AF136" s="12"/>
      <c r="AG136" s="12"/>
      <c r="AH136" s="12"/>
      <c r="AI136" s="12">
        <f t="shared" si="38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91"/>
      <c r="D137" s="32"/>
      <c r="E137" s="32"/>
      <c r="F137" s="32"/>
      <c r="G137" s="32">
        <f t="shared" si="33"/>
        <v>0</v>
      </c>
      <c r="H137" s="12"/>
      <c r="I137" s="12"/>
      <c r="J137" s="12"/>
      <c r="K137" s="12">
        <f t="shared" si="34"/>
        <v>0</v>
      </c>
      <c r="M137" s="10">
        <v>16</v>
      </c>
      <c r="N137" s="30"/>
      <c r="O137" s="31"/>
      <c r="P137" s="32"/>
      <c r="Q137" s="32"/>
      <c r="R137" s="32"/>
      <c r="S137" s="32">
        <f t="shared" si="35"/>
        <v>0</v>
      </c>
      <c r="T137" s="12"/>
      <c r="U137" s="12"/>
      <c r="V137" s="12"/>
      <c r="W137" s="12">
        <f t="shared" si="36"/>
        <v>0</v>
      </c>
      <c r="Y137" s="10">
        <v>16</v>
      </c>
      <c r="Z137" s="30"/>
      <c r="AA137" s="31"/>
      <c r="AB137" s="32"/>
      <c r="AC137" s="32"/>
      <c r="AD137" s="32"/>
      <c r="AE137" s="32">
        <f t="shared" si="42"/>
        <v>0</v>
      </c>
      <c r="AF137" s="12"/>
      <c r="AG137" s="12"/>
      <c r="AH137" s="12"/>
      <c r="AI137" s="12">
        <f t="shared" si="38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91"/>
      <c r="D138" s="32"/>
      <c r="E138" s="32"/>
      <c r="F138" s="32"/>
      <c r="G138" s="32">
        <f t="shared" si="33"/>
        <v>0</v>
      </c>
      <c r="H138" s="12"/>
      <c r="I138" s="12"/>
      <c r="J138" s="12"/>
      <c r="K138" s="12">
        <f t="shared" si="34"/>
        <v>0</v>
      </c>
      <c r="M138" s="10">
        <v>17</v>
      </c>
      <c r="N138" s="30"/>
      <c r="O138" s="31"/>
      <c r="P138" s="35"/>
      <c r="Q138" s="32"/>
      <c r="R138" s="32"/>
      <c r="S138" s="32">
        <f t="shared" si="35"/>
        <v>0</v>
      </c>
      <c r="T138" s="12"/>
      <c r="U138" s="12"/>
      <c r="V138" s="12"/>
      <c r="W138" s="12">
        <f t="shared" si="36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2"/>
        <v>0</v>
      </c>
      <c r="AF138" s="12"/>
      <c r="AG138" s="12"/>
      <c r="AH138" s="12"/>
      <c r="AI138" s="12">
        <f t="shared" si="38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91"/>
      <c r="D139" s="32"/>
      <c r="E139" s="32"/>
      <c r="F139" s="32"/>
      <c r="G139" s="32">
        <f t="shared" si="33"/>
        <v>0</v>
      </c>
      <c r="H139" s="12"/>
      <c r="I139" s="12"/>
      <c r="J139" s="12"/>
      <c r="K139" s="12">
        <f t="shared" si="34"/>
        <v>0</v>
      </c>
      <c r="M139" s="10">
        <v>18</v>
      </c>
      <c r="N139" s="30"/>
      <c r="O139" s="31"/>
      <c r="P139" s="32"/>
      <c r="Q139" s="32"/>
      <c r="R139" s="32"/>
      <c r="S139" s="32">
        <f t="shared" si="35"/>
        <v>0</v>
      </c>
      <c r="T139" s="12"/>
      <c r="U139" s="12"/>
      <c r="V139" s="12"/>
      <c r="W139" s="12">
        <f t="shared" si="36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2"/>
        <v>0</v>
      </c>
      <c r="AF139" s="12"/>
      <c r="AG139" s="12"/>
      <c r="AH139" s="12"/>
      <c r="AI139" s="12">
        <f t="shared" si="38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91"/>
      <c r="D140" s="32"/>
      <c r="E140" s="32"/>
      <c r="F140" s="32"/>
      <c r="G140" s="32">
        <f t="shared" si="33"/>
        <v>0</v>
      </c>
      <c r="H140" s="12"/>
      <c r="I140" s="12"/>
      <c r="J140" s="12"/>
      <c r="K140" s="12">
        <f t="shared" si="34"/>
        <v>0</v>
      </c>
      <c r="M140" s="10">
        <v>19</v>
      </c>
      <c r="N140" s="30"/>
      <c r="O140" s="31"/>
      <c r="P140" s="32"/>
      <c r="Q140" s="32"/>
      <c r="R140" s="32"/>
      <c r="S140" s="32">
        <f t="shared" si="35"/>
        <v>0</v>
      </c>
      <c r="T140" s="12"/>
      <c r="U140" s="12"/>
      <c r="V140" s="12"/>
      <c r="W140" s="12">
        <f t="shared" si="36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2"/>
        <v>0</v>
      </c>
      <c r="AF140" s="12"/>
      <c r="AG140" s="12"/>
      <c r="AH140" s="12"/>
      <c r="AI140" s="12">
        <f t="shared" si="38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57"/>
      <c r="D141" s="32"/>
      <c r="E141" s="32"/>
      <c r="F141" s="32"/>
      <c r="G141" s="32">
        <f t="shared" si="33"/>
        <v>0</v>
      </c>
      <c r="H141" s="12"/>
      <c r="I141" s="12"/>
      <c r="J141" s="12"/>
      <c r="K141" s="12">
        <f t="shared" si="34"/>
        <v>0</v>
      </c>
      <c r="M141" s="10">
        <v>20</v>
      </c>
      <c r="N141" s="30"/>
      <c r="O141" s="31"/>
      <c r="P141" s="32"/>
      <c r="Q141" s="32"/>
      <c r="R141" s="32"/>
      <c r="S141" s="32">
        <f t="shared" si="35"/>
        <v>0</v>
      </c>
      <c r="T141" s="12"/>
      <c r="U141" s="12"/>
      <c r="V141" s="12"/>
      <c r="W141" s="12">
        <f t="shared" si="36"/>
        <v>0</v>
      </c>
      <c r="Y141" s="10">
        <v>20</v>
      </c>
      <c r="Z141" s="30"/>
      <c r="AA141" s="31"/>
      <c r="AB141" s="32"/>
      <c r="AC141" s="32"/>
      <c r="AD141" s="32"/>
      <c r="AE141" s="32">
        <f t="shared" si="42"/>
        <v>0</v>
      </c>
      <c r="AF141" s="12"/>
      <c r="AG141" s="12"/>
      <c r="AH141" s="12"/>
      <c r="AI141" s="12">
        <f t="shared" si="38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91"/>
      <c r="D142" s="32"/>
      <c r="E142" s="32"/>
      <c r="F142" s="32"/>
      <c r="G142" s="32">
        <f t="shared" si="33"/>
        <v>0</v>
      </c>
      <c r="H142" s="10"/>
      <c r="I142" s="10"/>
      <c r="J142" s="10"/>
      <c r="K142" s="12">
        <f t="shared" si="34"/>
        <v>0</v>
      </c>
      <c r="M142" s="10">
        <v>21</v>
      </c>
      <c r="N142" s="30"/>
      <c r="O142" s="31"/>
      <c r="P142" s="46"/>
      <c r="Q142" s="31"/>
      <c r="R142" s="31"/>
      <c r="S142" s="32">
        <f t="shared" si="35"/>
        <v>0</v>
      </c>
      <c r="T142" s="10"/>
      <c r="U142" s="10"/>
      <c r="V142" s="10"/>
      <c r="W142" s="12">
        <f t="shared" si="36"/>
        <v>0</v>
      </c>
      <c r="Y142" s="10">
        <v>21</v>
      </c>
      <c r="Z142" s="30"/>
      <c r="AB142" s="46"/>
      <c r="AC142" s="31"/>
      <c r="AD142" s="31"/>
      <c r="AE142" s="32">
        <f t="shared" si="42"/>
        <v>0</v>
      </c>
      <c r="AF142" s="10"/>
      <c r="AG142" s="10"/>
      <c r="AH142" s="10"/>
      <c r="AI142" s="12">
        <f t="shared" si="38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91"/>
      <c r="D143" s="32"/>
      <c r="E143" s="32"/>
      <c r="F143" s="32"/>
      <c r="G143" s="32">
        <f t="shared" si="33"/>
        <v>0</v>
      </c>
      <c r="H143" s="10"/>
      <c r="I143" s="10"/>
      <c r="J143" s="10"/>
      <c r="K143" s="12">
        <f t="shared" si="34"/>
        <v>0</v>
      </c>
      <c r="M143" s="10">
        <v>22</v>
      </c>
      <c r="N143" s="30"/>
      <c r="O143" s="31"/>
      <c r="P143" s="45"/>
      <c r="Q143" s="31"/>
      <c r="R143" s="31"/>
      <c r="S143" s="32">
        <f t="shared" si="35"/>
        <v>0</v>
      </c>
      <c r="T143" s="10"/>
      <c r="U143" s="10"/>
      <c r="V143" s="10"/>
      <c r="W143" s="12">
        <f t="shared" si="36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2"/>
        <v>0</v>
      </c>
      <c r="AF143" s="10"/>
      <c r="AG143" s="10"/>
      <c r="AH143" s="10"/>
      <c r="AI143" s="12">
        <f t="shared" si="38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91"/>
      <c r="D144" s="32"/>
      <c r="E144" s="32"/>
      <c r="F144" s="32"/>
      <c r="G144" s="32">
        <f t="shared" si="33"/>
        <v>0</v>
      </c>
      <c r="H144" s="10"/>
      <c r="I144" s="10"/>
      <c r="J144" s="12"/>
      <c r="K144" s="12">
        <f t="shared" si="34"/>
        <v>0</v>
      </c>
      <c r="M144" s="10">
        <v>23</v>
      </c>
      <c r="N144" s="30"/>
      <c r="O144" s="31"/>
      <c r="P144" s="47"/>
      <c r="S144" s="32">
        <f t="shared" si="35"/>
        <v>0</v>
      </c>
      <c r="T144" s="10"/>
      <c r="U144" s="10"/>
      <c r="V144" s="10"/>
      <c r="W144" s="12">
        <f t="shared" si="36"/>
        <v>0</v>
      </c>
      <c r="Y144" s="10">
        <v>23</v>
      </c>
      <c r="Z144" s="30"/>
      <c r="AA144" s="31"/>
      <c r="AB144" s="47"/>
      <c r="AE144" s="32">
        <f t="shared" si="42"/>
        <v>0</v>
      </c>
      <c r="AF144" s="10"/>
      <c r="AG144" s="10"/>
      <c r="AH144" s="10"/>
      <c r="AI144" s="12">
        <f t="shared" si="38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91"/>
      <c r="D145" s="32"/>
      <c r="E145" s="32"/>
      <c r="F145" s="32"/>
      <c r="G145" s="32">
        <f t="shared" si="33"/>
        <v>0</v>
      </c>
      <c r="H145" s="10"/>
      <c r="I145" s="10"/>
      <c r="J145" s="10"/>
      <c r="K145" s="12">
        <f t="shared" si="34"/>
        <v>0</v>
      </c>
      <c r="M145" s="10">
        <v>24</v>
      </c>
      <c r="N145" s="30"/>
      <c r="O145" s="31"/>
      <c r="P145" s="47"/>
      <c r="Q145" s="31"/>
      <c r="R145" s="31"/>
      <c r="S145" s="32">
        <f t="shared" si="35"/>
        <v>0</v>
      </c>
      <c r="T145" s="10"/>
      <c r="U145" s="10"/>
      <c r="V145" s="10"/>
      <c r="W145" s="12">
        <f t="shared" si="36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2"/>
        <v>0</v>
      </c>
      <c r="AF145" s="10"/>
      <c r="AG145" s="10"/>
      <c r="AH145" s="10"/>
      <c r="AI145" s="12">
        <f t="shared" si="38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91"/>
      <c r="D146" s="32"/>
      <c r="E146" s="32"/>
      <c r="F146" s="32"/>
      <c r="G146" s="32">
        <f t="shared" si="33"/>
        <v>0</v>
      </c>
      <c r="H146" s="10"/>
      <c r="I146" s="10"/>
      <c r="J146" s="10"/>
      <c r="K146" s="12">
        <f t="shared" si="34"/>
        <v>0</v>
      </c>
      <c r="M146" s="10">
        <v>25</v>
      </c>
      <c r="N146" s="30"/>
      <c r="O146" s="31"/>
      <c r="P146" s="47"/>
      <c r="Q146" s="31"/>
      <c r="R146" s="31"/>
      <c r="S146" s="32">
        <f t="shared" si="35"/>
        <v>0</v>
      </c>
      <c r="T146" s="10"/>
      <c r="U146" s="10"/>
      <c r="V146" s="10"/>
      <c r="W146" s="12">
        <f t="shared" si="36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2"/>
        <v>0</v>
      </c>
      <c r="AF146" s="10"/>
      <c r="AG146" s="10"/>
      <c r="AH146" s="10"/>
      <c r="AI146" s="12">
        <f t="shared" si="38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91"/>
      <c r="D147" s="32"/>
      <c r="E147" s="32"/>
      <c r="F147" s="32"/>
      <c r="G147" s="32">
        <f t="shared" si="33"/>
        <v>0</v>
      </c>
      <c r="H147" s="10"/>
      <c r="I147" s="10"/>
      <c r="J147" s="10"/>
      <c r="K147" s="12">
        <f t="shared" si="34"/>
        <v>0</v>
      </c>
      <c r="M147" s="10">
        <v>26</v>
      </c>
      <c r="N147" s="30"/>
      <c r="O147" s="31"/>
      <c r="P147" s="47"/>
      <c r="Q147" s="31"/>
      <c r="R147" s="31"/>
      <c r="S147" s="32">
        <f t="shared" si="35"/>
        <v>0</v>
      </c>
      <c r="T147" s="10"/>
      <c r="U147" s="10"/>
      <c r="V147" s="10"/>
      <c r="W147" s="12">
        <f t="shared" si="36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2"/>
        <v>0</v>
      </c>
      <c r="AF147" s="10"/>
      <c r="AG147" s="10"/>
      <c r="AH147" s="10"/>
      <c r="AI147" s="12">
        <f t="shared" si="38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91"/>
      <c r="D148" s="32"/>
      <c r="E148" s="32"/>
      <c r="F148" s="32"/>
      <c r="G148" s="32">
        <f t="shared" si="33"/>
        <v>0</v>
      </c>
      <c r="H148" s="10"/>
      <c r="I148" s="10"/>
      <c r="J148" s="10"/>
      <c r="K148" s="12">
        <f t="shared" si="34"/>
        <v>0</v>
      </c>
      <c r="M148" s="10">
        <v>27</v>
      </c>
      <c r="N148" s="30"/>
      <c r="O148" s="31"/>
      <c r="P148" s="47"/>
      <c r="Q148" s="31"/>
      <c r="R148" s="31"/>
      <c r="S148" s="32">
        <f t="shared" si="35"/>
        <v>0</v>
      </c>
      <c r="T148" s="10"/>
      <c r="U148" s="10"/>
      <c r="V148" s="10"/>
      <c r="W148" s="12">
        <f t="shared" si="36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2"/>
        <v>0</v>
      </c>
      <c r="AF148" s="10"/>
      <c r="AG148" s="10"/>
      <c r="AH148" s="10"/>
      <c r="AI148" s="12">
        <f t="shared" si="38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91"/>
      <c r="D149" s="32"/>
      <c r="E149" s="32"/>
      <c r="F149" s="32"/>
      <c r="G149" s="32">
        <f t="shared" si="33"/>
        <v>0</v>
      </c>
      <c r="H149" s="10"/>
      <c r="I149" s="10"/>
      <c r="J149" s="10"/>
      <c r="K149" s="12">
        <f t="shared" si="34"/>
        <v>0</v>
      </c>
      <c r="M149" s="10">
        <v>28</v>
      </c>
      <c r="N149" s="30"/>
      <c r="O149" s="31"/>
      <c r="P149" s="47"/>
      <c r="Q149" s="31"/>
      <c r="R149" s="31"/>
      <c r="S149" s="32">
        <f t="shared" si="35"/>
        <v>0</v>
      </c>
      <c r="T149" s="10"/>
      <c r="U149" s="10"/>
      <c r="V149" s="10"/>
      <c r="W149" s="12">
        <f t="shared" si="36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2"/>
        <v>0</v>
      </c>
      <c r="AF149" s="10"/>
      <c r="AG149" s="10"/>
      <c r="AH149" s="10"/>
      <c r="AI149" s="12">
        <f t="shared" si="38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91"/>
      <c r="D150" s="32"/>
      <c r="E150" s="32"/>
      <c r="F150" s="32"/>
      <c r="G150" s="32">
        <f t="shared" si="33"/>
        <v>0</v>
      </c>
      <c r="H150" s="10"/>
      <c r="I150" s="10"/>
      <c r="J150" s="10"/>
      <c r="K150" s="12">
        <f t="shared" si="34"/>
        <v>0</v>
      </c>
      <c r="M150" s="10">
        <v>29</v>
      </c>
      <c r="N150" s="30"/>
      <c r="O150" s="31"/>
      <c r="P150" s="47"/>
      <c r="Q150" s="31"/>
      <c r="R150" s="31"/>
      <c r="S150" s="32">
        <f t="shared" si="35"/>
        <v>0</v>
      </c>
      <c r="T150" s="10"/>
      <c r="U150" s="10"/>
      <c r="V150" s="10"/>
      <c r="W150" s="12">
        <f t="shared" si="36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2"/>
        <v>0</v>
      </c>
      <c r="AF150" s="10"/>
      <c r="AG150" s="10"/>
      <c r="AH150" s="10"/>
      <c r="AI150" s="12">
        <f t="shared" si="38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91"/>
      <c r="D151" s="32"/>
      <c r="E151" s="32"/>
      <c r="F151" s="32"/>
      <c r="G151" s="32">
        <f t="shared" si="33"/>
        <v>0</v>
      </c>
      <c r="H151" s="10"/>
      <c r="I151" s="10"/>
      <c r="J151" s="10"/>
      <c r="K151" s="12">
        <f t="shared" si="34"/>
        <v>0</v>
      </c>
      <c r="M151" s="10">
        <v>30</v>
      </c>
      <c r="N151" s="30"/>
      <c r="O151" s="31"/>
      <c r="P151" s="47"/>
      <c r="Q151" s="31"/>
      <c r="R151" s="31"/>
      <c r="S151" s="32">
        <f t="shared" si="35"/>
        <v>0</v>
      </c>
      <c r="T151" s="10"/>
      <c r="U151" s="10"/>
      <c r="V151" s="10"/>
      <c r="W151" s="12">
        <f t="shared" si="36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2"/>
        <v>0</v>
      </c>
      <c r="AF151" s="10"/>
      <c r="AG151" s="10"/>
      <c r="AH151" s="10"/>
      <c r="AI151" s="12">
        <f t="shared" si="38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91"/>
      <c r="D152" s="32"/>
      <c r="E152" s="32"/>
      <c r="F152" s="32"/>
      <c r="G152" s="32">
        <f t="shared" si="33"/>
        <v>0</v>
      </c>
      <c r="H152" s="10"/>
      <c r="I152" s="10"/>
      <c r="J152" s="10"/>
      <c r="K152" s="12">
        <f t="shared" si="34"/>
        <v>0</v>
      </c>
      <c r="M152" s="10">
        <v>31</v>
      </c>
      <c r="N152" s="30"/>
      <c r="O152" s="31"/>
      <c r="P152" s="47"/>
      <c r="Q152" s="31"/>
      <c r="R152" s="31"/>
      <c r="S152" s="32">
        <f t="shared" si="35"/>
        <v>0</v>
      </c>
      <c r="T152" s="10"/>
      <c r="U152" s="10"/>
      <c r="V152" s="10"/>
      <c r="W152" s="12">
        <f t="shared" si="36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2"/>
        <v>0</v>
      </c>
      <c r="AF152" s="10"/>
      <c r="AG152" s="10"/>
      <c r="AH152" s="10"/>
      <c r="AI152" s="12">
        <f t="shared" si="38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91"/>
      <c r="D153" s="32"/>
      <c r="E153" s="32"/>
      <c r="F153" s="32"/>
      <c r="G153" s="32">
        <f t="shared" si="33"/>
        <v>0</v>
      </c>
      <c r="H153" s="10"/>
      <c r="I153" s="10"/>
      <c r="J153" s="10"/>
      <c r="K153" s="12">
        <f t="shared" si="34"/>
        <v>0</v>
      </c>
      <c r="M153" s="10">
        <v>32</v>
      </c>
      <c r="N153" s="30"/>
      <c r="O153" s="31"/>
      <c r="P153" s="47"/>
      <c r="Q153" s="31"/>
      <c r="R153" s="31"/>
      <c r="S153" s="32">
        <f t="shared" si="35"/>
        <v>0</v>
      </c>
      <c r="T153" s="10"/>
      <c r="U153" s="10"/>
      <c r="V153" s="10"/>
      <c r="W153" s="12">
        <f t="shared" si="36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2"/>
        <v>0</v>
      </c>
      <c r="AF153" s="10"/>
      <c r="AG153" s="10"/>
      <c r="AH153" s="10"/>
      <c r="AI153" s="12">
        <f t="shared" si="38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91"/>
      <c r="D154" s="32"/>
      <c r="E154" s="32"/>
      <c r="F154" s="32"/>
      <c r="G154" s="32">
        <f t="shared" si="33"/>
        <v>0</v>
      </c>
      <c r="H154" s="10"/>
      <c r="I154" s="10"/>
      <c r="J154" s="10"/>
      <c r="K154" s="12">
        <f t="shared" si="34"/>
        <v>0</v>
      </c>
      <c r="M154" s="10">
        <v>33</v>
      </c>
      <c r="N154" s="30"/>
      <c r="O154" s="31"/>
      <c r="P154" s="47"/>
      <c r="Q154" s="31"/>
      <c r="R154" s="31"/>
      <c r="S154" s="32">
        <f t="shared" si="35"/>
        <v>0</v>
      </c>
      <c r="T154" s="10"/>
      <c r="U154" s="10"/>
      <c r="V154" s="10"/>
      <c r="W154" s="12">
        <f t="shared" si="36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2"/>
        <v>0</v>
      </c>
      <c r="AF154" s="10"/>
      <c r="AG154" s="10"/>
      <c r="AH154" s="10"/>
      <c r="AI154" s="12">
        <f t="shared" si="38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91"/>
      <c r="D155" s="32"/>
      <c r="E155" s="32"/>
      <c r="F155" s="32"/>
      <c r="G155" s="32">
        <f t="shared" si="33"/>
        <v>0</v>
      </c>
      <c r="H155" s="10"/>
      <c r="I155" s="10"/>
      <c r="J155" s="10"/>
      <c r="K155" s="12">
        <f t="shared" si="34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3">SUM(P155:Q155)</f>
        <v>0</v>
      </c>
      <c r="T155" s="10"/>
      <c r="U155" s="10"/>
      <c r="V155" s="10"/>
      <c r="W155" s="12">
        <f t="shared" ref="W155:W163" si="44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45">SUM(AB155:AC155)</f>
        <v>0</v>
      </c>
      <c r="AF155" s="10"/>
      <c r="AG155" s="10"/>
      <c r="AH155" s="10"/>
      <c r="AI155" s="12">
        <f t="shared" ref="AI155:AI163" si="46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9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3"/>
        <v>0</v>
      </c>
      <c r="T156" s="10"/>
      <c r="U156" s="10"/>
      <c r="V156" s="10"/>
      <c r="W156" s="12">
        <f t="shared" si="44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5"/>
        <v>0</v>
      </c>
      <c r="AF156" s="10"/>
      <c r="AG156" s="10"/>
      <c r="AH156" s="10"/>
      <c r="AI156" s="12">
        <f t="shared" si="46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9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3"/>
        <v>0</v>
      </c>
      <c r="T157" s="10"/>
      <c r="U157" s="10"/>
      <c r="V157" s="10"/>
      <c r="W157" s="12">
        <f t="shared" si="44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5"/>
        <v>0</v>
      </c>
      <c r="AF157" s="10"/>
      <c r="AG157" s="10"/>
      <c r="AH157" s="10"/>
      <c r="AI157" s="12">
        <f t="shared" si="46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3"/>
        <v>0</v>
      </c>
      <c r="T158" s="10"/>
      <c r="U158" s="10"/>
      <c r="V158" s="10"/>
      <c r="W158" s="12">
        <f t="shared" si="44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5"/>
        <v>0</v>
      </c>
      <c r="AF158" s="10"/>
      <c r="AG158" s="10"/>
      <c r="AH158" s="10"/>
      <c r="AI158" s="12">
        <f t="shared" si="46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3"/>
        <v>0</v>
      </c>
      <c r="T159" s="10"/>
      <c r="U159" s="10"/>
      <c r="V159" s="10"/>
      <c r="W159" s="12">
        <f t="shared" si="44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5"/>
        <v>0</v>
      </c>
      <c r="AF159" s="10"/>
      <c r="AG159" s="10"/>
      <c r="AH159" s="10"/>
      <c r="AI159" s="12">
        <f t="shared" si="46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3"/>
        <v>0</v>
      </c>
      <c r="T160" s="10"/>
      <c r="U160" s="10"/>
      <c r="V160" s="10"/>
      <c r="W160" s="12">
        <f t="shared" si="44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5"/>
        <v>0</v>
      </c>
      <c r="AF160" s="10"/>
      <c r="AG160" s="10"/>
      <c r="AH160" s="10"/>
      <c r="AI160" s="12">
        <f t="shared" si="46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4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46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7">SUM(D162:E162)</f>
        <v>0</v>
      </c>
      <c r="H162" s="10"/>
      <c r="I162" s="10"/>
      <c r="J162" s="10"/>
      <c r="K162" s="12">
        <f t="shared" ref="K162" si="48">SUM(G162:J162)</f>
        <v>0</v>
      </c>
      <c r="M162" s="10"/>
      <c r="N162" s="30"/>
      <c r="O162" s="31"/>
      <c r="P162" s="47"/>
      <c r="Q162" s="31"/>
      <c r="R162" s="31"/>
      <c r="S162" s="32">
        <f t="shared" ref="S162" si="49">SUM(P162:Q162)</f>
        <v>0</v>
      </c>
      <c r="T162" s="10"/>
      <c r="U162" s="10"/>
      <c r="V162" s="10"/>
      <c r="W162" s="12">
        <f t="shared" si="44"/>
        <v>0</v>
      </c>
      <c r="Y162" s="10"/>
      <c r="Z162" s="30"/>
      <c r="AA162" s="31"/>
      <c r="AB162" s="47"/>
      <c r="AC162" s="31"/>
      <c r="AD162" s="31"/>
      <c r="AE162" s="32">
        <f t="shared" ref="AE162" si="50">SUM(AB162:AC162)</f>
        <v>0</v>
      </c>
      <c r="AF162" s="10"/>
      <c r="AG162" s="10"/>
      <c r="AH162" s="10"/>
      <c r="AI162" s="12">
        <f t="shared" si="46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4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46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394894</v>
      </c>
      <c r="E165" s="38">
        <f t="shared" ref="E165:F165" si="51">SUM(E122:E162)</f>
        <v>-2592</v>
      </c>
      <c r="F165" s="38">
        <f t="shared" si="51"/>
        <v>0</v>
      </c>
      <c r="G165" s="38">
        <f>SUM(G122:G164)</f>
        <v>392302</v>
      </c>
      <c r="H165" s="4"/>
      <c r="I165" s="39">
        <f>SUM(I122:I164)</f>
        <v>2058</v>
      </c>
      <c r="J165" s="39">
        <f>SUM(J122:J164)</f>
        <v>-92322</v>
      </c>
      <c r="K165" s="40">
        <f>SUM(K122:K164)</f>
        <v>302038</v>
      </c>
      <c r="N165" s="57"/>
      <c r="O165" s="57"/>
      <c r="P165" s="38">
        <f>SUM(P122:P164)</f>
        <v>334564.5</v>
      </c>
      <c r="Q165" s="38">
        <f>SUM(Q122:Q146)</f>
        <v>-2580</v>
      </c>
      <c r="R165" s="38">
        <f>SUM(R122:R146)</f>
        <v>0</v>
      </c>
      <c r="S165" s="38">
        <f>SUM(S122:S164)</f>
        <v>331984.5</v>
      </c>
      <c r="T165" s="4"/>
      <c r="U165" s="41">
        <f>SUM(U122:U164)</f>
        <v>615</v>
      </c>
      <c r="V165" s="41">
        <f>SUM(V122:V146)</f>
        <v>0</v>
      </c>
      <c r="W165" s="42">
        <f>SUM(W122:W164)</f>
        <v>332599.5</v>
      </c>
      <c r="Z165" s="57"/>
      <c r="AA165" s="57"/>
      <c r="AB165" s="38">
        <f>SUM(AB122:AB164)</f>
        <v>569490</v>
      </c>
      <c r="AC165" s="38">
        <f>SUM(AC122:AC146)</f>
        <v>-2106</v>
      </c>
      <c r="AD165" s="38">
        <f>SUM(AD122:AD146)</f>
        <v>0</v>
      </c>
      <c r="AE165" s="38">
        <f>SUM(AE122:AE164)</f>
        <v>567384</v>
      </c>
      <c r="AF165" s="4"/>
      <c r="AG165" s="41">
        <f>SUM(AG122:AG164)</f>
        <v>601.5</v>
      </c>
      <c r="AH165" s="41">
        <f>SUM(AH122:AH146)</f>
        <v>-2220</v>
      </c>
      <c r="AI165" s="42">
        <f>SUM(AI122:AI164)</f>
        <v>565765.5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49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49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49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50</v>
      </c>
      <c r="B173" s="20"/>
      <c r="C173" s="57"/>
      <c r="D173" s="57"/>
      <c r="E173" s="57"/>
      <c r="G173" s="57"/>
      <c r="I173" s="22" t="s">
        <v>16</v>
      </c>
      <c r="J173" s="23" t="s">
        <v>33</v>
      </c>
      <c r="K173" s="24"/>
      <c r="M173" s="21" t="s">
        <v>50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54</v>
      </c>
      <c r="W173" s="24"/>
      <c r="Y173" s="21" t="s">
        <v>50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1" t="s">
        <v>17</v>
      </c>
      <c r="E175" s="111"/>
      <c r="F175" s="99"/>
      <c r="G175" s="27"/>
      <c r="I175" s="109" t="s">
        <v>18</v>
      </c>
      <c r="J175" s="110"/>
      <c r="K175" s="107" t="s">
        <v>19</v>
      </c>
      <c r="N175" s="25"/>
      <c r="O175" s="26"/>
      <c r="P175" s="111" t="s">
        <v>17</v>
      </c>
      <c r="Q175" s="111"/>
      <c r="R175" s="99"/>
      <c r="S175" s="27"/>
      <c r="U175" s="109" t="s">
        <v>18</v>
      </c>
      <c r="V175" s="110"/>
      <c r="W175" s="107" t="s">
        <v>19</v>
      </c>
      <c r="Z175" s="25"/>
      <c r="AA175" s="26"/>
      <c r="AB175" s="111" t="s">
        <v>17</v>
      </c>
      <c r="AC175" s="111"/>
      <c r="AD175" s="99"/>
      <c r="AE175" s="27"/>
      <c r="AG175" s="109" t="s">
        <v>18</v>
      </c>
      <c r="AH175" s="110"/>
      <c r="AI175" s="107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9" t="s">
        <v>22</v>
      </c>
      <c r="E176" s="78" t="s">
        <v>23</v>
      </c>
      <c r="F176" s="80" t="s">
        <v>32</v>
      </c>
      <c r="G176" s="80" t="s">
        <v>24</v>
      </c>
      <c r="I176" s="29" t="s">
        <v>25</v>
      </c>
      <c r="J176" s="29" t="s">
        <v>26</v>
      </c>
      <c r="K176" s="108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08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08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46174</v>
      </c>
      <c r="C177" s="91">
        <v>8319</v>
      </c>
      <c r="D177" s="32">
        <f>5850+1340+2488+872+123.5</f>
        <v>10673.5</v>
      </c>
      <c r="E177" s="32"/>
      <c r="F177" s="32"/>
      <c r="G177" s="32">
        <f t="shared" ref="G177:G210" si="52">SUM(D177:E177)</f>
        <v>10673.5</v>
      </c>
      <c r="H177" s="12"/>
      <c r="I177" s="12">
        <f>36+31.5</f>
        <v>67.5</v>
      </c>
      <c r="J177" s="12"/>
      <c r="K177" s="12">
        <f t="shared" ref="K177:K210" si="53">SUM(G177:J177)</f>
        <v>10741</v>
      </c>
      <c r="M177" s="10">
        <v>1</v>
      </c>
      <c r="N177" s="30">
        <v>46174</v>
      </c>
      <c r="O177" s="31">
        <v>8126</v>
      </c>
      <c r="P177" s="32">
        <f>24050+6220+229</f>
        <v>30499</v>
      </c>
      <c r="Q177" s="32"/>
      <c r="R177" s="32"/>
      <c r="S177" s="32">
        <f>SUM(P177:Q177)</f>
        <v>30499</v>
      </c>
      <c r="T177" s="12"/>
      <c r="U177" s="12"/>
      <c r="V177" s="12">
        <v>-1332</v>
      </c>
      <c r="W177" s="12">
        <f>SUM(S177:V177)</f>
        <v>29167</v>
      </c>
      <c r="Y177" s="10">
        <v>1</v>
      </c>
      <c r="Z177" s="30">
        <v>46174</v>
      </c>
      <c r="AA177" s="31">
        <v>7798</v>
      </c>
      <c r="AB177" s="32">
        <f>167700+622*10</f>
        <v>173920</v>
      </c>
      <c r="AC177" s="32">
        <v>-1608</v>
      </c>
      <c r="AD177" s="32"/>
      <c r="AE177" s="32">
        <f>SUM(AB177:AC177)</f>
        <v>172312</v>
      </c>
      <c r="AF177" s="12"/>
      <c r="AG177" s="12">
        <v>1332</v>
      </c>
      <c r="AH177" s="12"/>
      <c r="AI177" s="12">
        <f>SUM(AE177:AH177)</f>
        <v>173644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46174</v>
      </c>
      <c r="C178" s="91">
        <f>C177+1</f>
        <v>8320</v>
      </c>
      <c r="D178" s="32">
        <f>1300+622</f>
        <v>1922</v>
      </c>
      <c r="E178" s="32"/>
      <c r="F178" s="32"/>
      <c r="G178" s="32">
        <f t="shared" si="52"/>
        <v>1922</v>
      </c>
      <c r="H178" s="12"/>
      <c r="I178" s="12"/>
      <c r="J178" s="12"/>
      <c r="K178" s="12">
        <f t="shared" si="53"/>
        <v>1922</v>
      </c>
      <c r="M178" s="10">
        <v>2</v>
      </c>
      <c r="N178" s="30">
        <v>46174</v>
      </c>
      <c r="O178" s="31">
        <f>O177+1</f>
        <v>8127</v>
      </c>
      <c r="P178" s="32">
        <f>670</f>
        <v>670</v>
      </c>
      <c r="Q178" s="32"/>
      <c r="R178" s="32"/>
      <c r="S178" s="32">
        <f t="shared" ref="S178:S209" si="54">SUM(P178:Q178)</f>
        <v>670</v>
      </c>
      <c r="T178" s="12"/>
      <c r="U178" s="12"/>
      <c r="V178" s="12"/>
      <c r="W178" s="12">
        <f t="shared" ref="W178:W209" si="55">SUM(S178:V178)</f>
        <v>670</v>
      </c>
      <c r="Y178" s="10">
        <v>2</v>
      </c>
      <c r="Z178" s="30">
        <v>46174</v>
      </c>
      <c r="AA178" s="31">
        <f>AA177+1</f>
        <v>7799</v>
      </c>
      <c r="AB178" s="32">
        <f>32500+872+458</f>
        <v>33830</v>
      </c>
      <c r="AC178" s="32">
        <v>-306</v>
      </c>
      <c r="AD178" s="32"/>
      <c r="AE178" s="32">
        <f t="shared" ref="AE178:AE180" si="56">SUM(AB178:AC178)</f>
        <v>33524</v>
      </c>
      <c r="AF178" s="12"/>
      <c r="AG178" s="12"/>
      <c r="AH178" s="12">
        <v>-3108</v>
      </c>
      <c r="AI178" s="12">
        <f t="shared" ref="AI178:AI209" si="57">SUM(AE178:AH178)</f>
        <v>30416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46174</v>
      </c>
      <c r="C179" s="91">
        <f t="shared" ref="C179:C184" si="58">C178+1</f>
        <v>8321</v>
      </c>
      <c r="D179" s="33">
        <f>195000+6220+1374</f>
        <v>202594</v>
      </c>
      <c r="E179" s="33"/>
      <c r="F179" s="33"/>
      <c r="G179" s="33">
        <f t="shared" si="52"/>
        <v>202594</v>
      </c>
      <c r="H179" s="34"/>
      <c r="I179" s="34"/>
      <c r="J179" s="34"/>
      <c r="K179" s="34">
        <f t="shared" si="53"/>
        <v>202594</v>
      </c>
      <c r="M179" s="10">
        <v>3</v>
      </c>
      <c r="N179" s="30">
        <v>46174</v>
      </c>
      <c r="O179" s="31">
        <f t="shared" ref="O179:O185" si="59">O178+1</f>
        <v>8128</v>
      </c>
      <c r="P179" s="32">
        <f>210600+1374</f>
        <v>211974</v>
      </c>
      <c r="Q179" s="32">
        <v>-1944</v>
      </c>
      <c r="R179" s="32"/>
      <c r="S179" s="32">
        <f t="shared" si="54"/>
        <v>210030</v>
      </c>
      <c r="T179" s="12"/>
      <c r="U179" s="12">
        <v>156</v>
      </c>
      <c r="V179" s="12">
        <v>-11988</v>
      </c>
      <c r="W179" s="12">
        <f t="shared" si="55"/>
        <v>198198</v>
      </c>
      <c r="Y179" s="10">
        <v>3</v>
      </c>
      <c r="Z179" s="30">
        <v>46174</v>
      </c>
      <c r="AA179" s="31">
        <f t="shared" ref="AA179:AA181" si="60">AA178+1</f>
        <v>7800</v>
      </c>
      <c r="AB179" s="33">
        <f>19500+1175+1744+650</f>
        <v>23069</v>
      </c>
      <c r="AC179" s="33"/>
      <c r="AD179" s="32"/>
      <c r="AE179" s="32">
        <f t="shared" si="56"/>
        <v>23069</v>
      </c>
      <c r="AF179" s="12"/>
      <c r="AG179" s="12"/>
      <c r="AH179" s="12">
        <v>-11100</v>
      </c>
      <c r="AI179" s="12">
        <f t="shared" si="57"/>
        <v>11969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46174</v>
      </c>
      <c r="C180" s="91">
        <f t="shared" si="58"/>
        <v>8322</v>
      </c>
      <c r="D180" s="32">
        <f>5200+1244+95</f>
        <v>6539</v>
      </c>
      <c r="E180" s="32"/>
      <c r="F180" s="32"/>
      <c r="G180" s="32">
        <f t="shared" si="52"/>
        <v>6539</v>
      </c>
      <c r="H180" s="12"/>
      <c r="I180" s="12"/>
      <c r="J180" s="12"/>
      <c r="K180" s="12">
        <f t="shared" si="53"/>
        <v>6539</v>
      </c>
      <c r="M180" s="10">
        <v>4</v>
      </c>
      <c r="N180" s="30">
        <v>46174</v>
      </c>
      <c r="O180" s="31">
        <f t="shared" si="59"/>
        <v>8129</v>
      </c>
      <c r="P180" s="32">
        <f>19500+3110+1744+229</f>
        <v>24583</v>
      </c>
      <c r="Q180" s="32"/>
      <c r="R180" s="32"/>
      <c r="S180" s="32">
        <f t="shared" si="54"/>
        <v>24583</v>
      </c>
      <c r="T180" s="12"/>
      <c r="U180" s="12"/>
      <c r="V180" s="12"/>
      <c r="W180" s="12">
        <f t="shared" si="55"/>
        <v>24583</v>
      </c>
      <c r="Y180" s="10">
        <v>4</v>
      </c>
      <c r="Z180" s="30">
        <v>46174</v>
      </c>
      <c r="AA180" s="31">
        <v>8351</v>
      </c>
      <c r="AB180" s="32">
        <f>670</f>
        <v>670</v>
      </c>
      <c r="AC180" s="32"/>
      <c r="AD180" s="32"/>
      <c r="AE180" s="32">
        <f t="shared" si="56"/>
        <v>670</v>
      </c>
      <c r="AF180" s="12"/>
      <c r="AH180" s="12"/>
      <c r="AI180" s="12">
        <f t="shared" si="57"/>
        <v>670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46174</v>
      </c>
      <c r="C181" s="91">
        <f t="shared" si="58"/>
        <v>8323</v>
      </c>
      <c r="D181" s="32">
        <f>56550</f>
        <v>56550</v>
      </c>
      <c r="E181" s="32"/>
      <c r="F181" s="32"/>
      <c r="G181" s="32">
        <f t="shared" si="52"/>
        <v>56550</v>
      </c>
      <c r="H181" s="12"/>
      <c r="I181" s="12">
        <f>27.5+99</f>
        <v>126.5</v>
      </c>
      <c r="J181" s="12"/>
      <c r="K181" s="12">
        <f t="shared" si="53"/>
        <v>56676.5</v>
      </c>
      <c r="M181" s="10">
        <v>5</v>
      </c>
      <c r="N181" s="30">
        <v>46174</v>
      </c>
      <c r="O181" s="31">
        <f t="shared" si="59"/>
        <v>8130</v>
      </c>
      <c r="P181" s="32">
        <f>622*2+57</f>
        <v>1301</v>
      </c>
      <c r="Q181" s="32"/>
      <c r="R181" s="32"/>
      <c r="S181" s="32">
        <f t="shared" si="54"/>
        <v>1301</v>
      </c>
      <c r="T181" s="12"/>
      <c r="U181" s="12">
        <v>13.5</v>
      </c>
      <c r="V181" s="12"/>
      <c r="W181" s="12">
        <f t="shared" si="55"/>
        <v>1314.5</v>
      </c>
      <c r="Y181" s="10">
        <v>5</v>
      </c>
      <c r="Z181" s="30">
        <v>46174</v>
      </c>
      <c r="AA181" s="31">
        <f t="shared" si="60"/>
        <v>8352</v>
      </c>
      <c r="AB181" s="32">
        <f>1950+1866</f>
        <v>3816</v>
      </c>
      <c r="AC181" s="32"/>
      <c r="AD181" s="32"/>
      <c r="AE181" s="32">
        <f t="shared" ref="AE181:AE209" si="61">SUM(AB181:AC181)</f>
        <v>3816</v>
      </c>
      <c r="AF181" s="12"/>
      <c r="AG181" s="12"/>
      <c r="AH181" s="12"/>
      <c r="AI181" s="12">
        <f t="shared" si="57"/>
        <v>3816</v>
      </c>
      <c r="AK181" s="62"/>
      <c r="AL181" s="65"/>
      <c r="AM181" s="87"/>
      <c r="AN181" s="106"/>
      <c r="AO181" s="106"/>
      <c r="AP181" s="87"/>
      <c r="AQ181" s="62"/>
      <c r="AR181" s="106"/>
      <c r="AS181" s="106"/>
      <c r="AT181" s="105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46174</v>
      </c>
      <c r="C182" s="91">
        <f t="shared" si="58"/>
        <v>8324</v>
      </c>
      <c r="D182" s="32">
        <f>140400+6220+458</f>
        <v>147078</v>
      </c>
      <c r="E182" s="32"/>
      <c r="F182" s="32"/>
      <c r="G182" s="32">
        <f t="shared" si="52"/>
        <v>147078</v>
      </c>
      <c r="H182" s="12"/>
      <c r="I182" s="12"/>
      <c r="J182" s="12"/>
      <c r="K182" s="12">
        <f t="shared" si="53"/>
        <v>147078</v>
      </c>
      <c r="M182" s="10">
        <v>6</v>
      </c>
      <c r="N182" s="30">
        <v>46174</v>
      </c>
      <c r="O182" s="31">
        <f t="shared" si="59"/>
        <v>8131</v>
      </c>
      <c r="P182" s="32">
        <f>1950+670+1866+76</f>
        <v>4562</v>
      </c>
      <c r="Q182" s="32"/>
      <c r="R182" s="32"/>
      <c r="S182" s="32">
        <f t="shared" si="54"/>
        <v>4562</v>
      </c>
      <c r="T182" s="12"/>
      <c r="U182" s="12">
        <v>13.5</v>
      </c>
      <c r="V182" s="10">
        <v>-222</v>
      </c>
      <c r="W182" s="12">
        <f t="shared" si="55"/>
        <v>4353.5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si="61"/>
        <v>0</v>
      </c>
      <c r="AF182" s="12"/>
      <c r="AG182" s="12"/>
      <c r="AH182" s="10"/>
      <c r="AI182" s="12">
        <f t="shared" si="57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05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46174</v>
      </c>
      <c r="C183" s="91">
        <f t="shared" si="58"/>
        <v>8325</v>
      </c>
      <c r="D183" s="32">
        <f>7150</f>
        <v>7150</v>
      </c>
      <c r="E183" s="32"/>
      <c r="F183" s="32"/>
      <c r="G183" s="32">
        <f t="shared" si="52"/>
        <v>7150</v>
      </c>
      <c r="H183" s="12"/>
      <c r="I183" s="12"/>
      <c r="J183" s="12"/>
      <c r="K183" s="12">
        <f t="shared" si="53"/>
        <v>7150</v>
      </c>
      <c r="M183" s="10">
        <v>7</v>
      </c>
      <c r="N183" s="30">
        <v>46174</v>
      </c>
      <c r="O183" s="31">
        <f t="shared" si="59"/>
        <v>8132</v>
      </c>
      <c r="P183" s="32">
        <f>1300+19</f>
        <v>1319</v>
      </c>
      <c r="Q183" s="32"/>
      <c r="R183" s="32"/>
      <c r="S183" s="32">
        <f t="shared" si="54"/>
        <v>1319</v>
      </c>
      <c r="T183" s="12"/>
      <c r="U183" s="12">
        <f>4.5+1.5*2</f>
        <v>7.5</v>
      </c>
      <c r="V183" s="12"/>
      <c r="W183" s="12">
        <f t="shared" si="55"/>
        <v>1326.5</v>
      </c>
      <c r="Y183" s="10">
        <v>7</v>
      </c>
      <c r="Z183" s="30"/>
      <c r="AA183" s="31"/>
      <c r="AB183" s="32"/>
      <c r="AC183" s="32"/>
      <c r="AD183" s="32"/>
      <c r="AE183" s="32">
        <f t="shared" si="61"/>
        <v>0</v>
      </c>
      <c r="AF183" s="12"/>
      <c r="AG183" s="58"/>
      <c r="AH183" s="12"/>
      <c r="AI183" s="12">
        <f t="shared" si="57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46174</v>
      </c>
      <c r="C184" s="91">
        <f t="shared" si="58"/>
        <v>8326</v>
      </c>
      <c r="D184" s="32">
        <f>973+912+525+436</f>
        <v>2846</v>
      </c>
      <c r="E184" s="32"/>
      <c r="F184" s="32"/>
      <c r="G184" s="32">
        <f t="shared" si="52"/>
        <v>2846</v>
      </c>
      <c r="H184" s="12"/>
      <c r="I184" s="12"/>
      <c r="J184" s="12"/>
      <c r="K184" s="12">
        <f t="shared" si="53"/>
        <v>2846</v>
      </c>
      <c r="M184" s="10">
        <v>8</v>
      </c>
      <c r="N184" s="30">
        <v>46174</v>
      </c>
      <c r="O184" s="31">
        <f t="shared" si="59"/>
        <v>8133</v>
      </c>
      <c r="P184" s="32">
        <f>650*180+1667+622*20+229*8+650*2</f>
        <v>134239</v>
      </c>
      <c r="Q184" s="32">
        <v>-1206</v>
      </c>
      <c r="R184" s="32"/>
      <c r="S184" s="32">
        <f t="shared" si="54"/>
        <v>133033</v>
      </c>
      <c r="T184" s="12"/>
      <c r="U184" s="12">
        <v>390</v>
      </c>
      <c r="V184" s="12">
        <v>-1776</v>
      </c>
      <c r="W184" s="12">
        <f t="shared" si="55"/>
        <v>131647</v>
      </c>
      <c r="Y184" s="10">
        <v>8</v>
      </c>
      <c r="Z184" s="30"/>
      <c r="AA184" s="31"/>
      <c r="AB184" s="32"/>
      <c r="AC184" s="32"/>
      <c r="AE184" s="32">
        <f t="shared" si="61"/>
        <v>0</v>
      </c>
      <c r="AF184" s="12"/>
      <c r="AG184" s="12"/>
      <c r="AH184" s="12"/>
      <c r="AI184" s="12">
        <f t="shared" si="57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 t="s">
        <v>27</v>
      </c>
      <c r="D185" s="32"/>
      <c r="E185" s="32"/>
      <c r="F185" s="32"/>
      <c r="G185" s="32">
        <f t="shared" si="52"/>
        <v>0</v>
      </c>
      <c r="H185" s="12"/>
      <c r="I185" s="12"/>
      <c r="J185" s="12"/>
      <c r="K185" s="12">
        <f t="shared" si="53"/>
        <v>0</v>
      </c>
      <c r="M185" s="10">
        <v>9</v>
      </c>
      <c r="N185" s="30">
        <v>46174</v>
      </c>
      <c r="O185" s="31">
        <f t="shared" si="59"/>
        <v>8134</v>
      </c>
      <c r="P185" s="32">
        <f>1950+670+622+38</f>
        <v>3280</v>
      </c>
      <c r="Q185" s="32"/>
      <c r="R185" s="32"/>
      <c r="S185" s="32">
        <f t="shared" si="54"/>
        <v>3280</v>
      </c>
      <c r="T185" s="12"/>
      <c r="U185" s="12"/>
      <c r="V185" s="12"/>
      <c r="W185" s="12">
        <f t="shared" si="55"/>
        <v>3280</v>
      </c>
      <c r="Y185" s="10">
        <v>9</v>
      </c>
      <c r="Z185" s="30"/>
      <c r="AA185" s="31"/>
      <c r="AB185" s="32"/>
      <c r="AC185" s="32"/>
      <c r="AD185" s="32"/>
      <c r="AE185" s="32">
        <f t="shared" si="61"/>
        <v>0</v>
      </c>
      <c r="AF185" s="12"/>
      <c r="AH185" s="12"/>
      <c r="AI185" s="12">
        <f t="shared" si="57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91"/>
      <c r="D186" s="32"/>
      <c r="E186" s="32"/>
      <c r="F186" s="32"/>
      <c r="G186" s="32">
        <f t="shared" si="52"/>
        <v>0</v>
      </c>
      <c r="H186" s="12"/>
      <c r="I186" s="12"/>
      <c r="J186" s="12"/>
      <c r="K186" s="12">
        <f t="shared" si="53"/>
        <v>0</v>
      </c>
      <c r="M186" s="10">
        <v>10</v>
      </c>
      <c r="N186" s="30"/>
      <c r="O186" s="11" t="s">
        <v>27</v>
      </c>
      <c r="P186" s="32"/>
      <c r="Q186" s="32"/>
      <c r="R186" s="32"/>
      <c r="S186" s="32">
        <f t="shared" si="54"/>
        <v>0</v>
      </c>
      <c r="T186" s="12"/>
      <c r="U186" s="12"/>
      <c r="V186" s="12"/>
      <c r="W186" s="12">
        <f t="shared" si="55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1"/>
        <v>0</v>
      </c>
      <c r="AF186" s="12"/>
      <c r="AG186" s="12"/>
      <c r="AH186" s="12"/>
      <c r="AI186" s="12">
        <f t="shared" si="57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91"/>
      <c r="D187" s="32"/>
      <c r="E187" s="32"/>
      <c r="F187" s="32"/>
      <c r="G187" s="32">
        <f t="shared" si="52"/>
        <v>0</v>
      </c>
      <c r="H187" s="12"/>
      <c r="I187" s="12"/>
      <c r="J187" s="12"/>
      <c r="K187" s="12">
        <f t="shared" si="53"/>
        <v>0</v>
      </c>
      <c r="M187" s="10">
        <v>11</v>
      </c>
      <c r="N187" s="30"/>
      <c r="O187" s="31"/>
      <c r="P187" s="32"/>
      <c r="Q187" s="32"/>
      <c r="R187" s="32"/>
      <c r="S187" s="32">
        <f t="shared" si="54"/>
        <v>0</v>
      </c>
      <c r="T187" s="12"/>
      <c r="U187" s="12"/>
      <c r="V187" s="12"/>
      <c r="W187" s="12">
        <f t="shared" si="55"/>
        <v>0</v>
      </c>
      <c r="Y187" s="10">
        <v>11</v>
      </c>
      <c r="Z187" s="30"/>
      <c r="AA187" s="31"/>
      <c r="AB187" s="32"/>
      <c r="AC187" s="32"/>
      <c r="AD187" s="32"/>
      <c r="AE187" s="32">
        <f t="shared" si="61"/>
        <v>0</v>
      </c>
      <c r="AF187" s="12"/>
      <c r="AG187" s="12"/>
      <c r="AH187" s="12"/>
      <c r="AI187" s="12">
        <f t="shared" si="57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91"/>
      <c r="D188" s="32"/>
      <c r="E188" s="32"/>
      <c r="F188" s="32"/>
      <c r="G188" s="32">
        <f t="shared" si="52"/>
        <v>0</v>
      </c>
      <c r="H188" s="12"/>
      <c r="I188" s="12"/>
      <c r="J188" s="10"/>
      <c r="K188" s="12">
        <f t="shared" si="53"/>
        <v>0</v>
      </c>
      <c r="M188" s="10">
        <v>12</v>
      </c>
      <c r="N188" s="30"/>
      <c r="O188" s="31"/>
      <c r="P188" s="32"/>
      <c r="Q188" s="32"/>
      <c r="R188" s="32"/>
      <c r="S188" s="32">
        <f t="shared" si="54"/>
        <v>0</v>
      </c>
      <c r="T188" s="12"/>
      <c r="U188" s="12"/>
      <c r="V188" s="12"/>
      <c r="W188" s="12">
        <f t="shared" si="55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1"/>
        <v>0</v>
      </c>
      <c r="AF188" s="12"/>
      <c r="AG188" s="12"/>
      <c r="AH188" s="12"/>
      <c r="AI188" s="12">
        <f t="shared" si="57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91"/>
      <c r="D189" s="32"/>
      <c r="E189" s="32"/>
      <c r="F189" s="32"/>
      <c r="G189" s="32">
        <f t="shared" si="52"/>
        <v>0</v>
      </c>
      <c r="H189" s="12"/>
      <c r="I189" s="12"/>
      <c r="J189" s="12"/>
      <c r="K189" s="12">
        <f t="shared" si="53"/>
        <v>0</v>
      </c>
      <c r="M189" s="10">
        <v>13</v>
      </c>
      <c r="N189" s="30"/>
      <c r="O189" s="31"/>
      <c r="P189" s="32"/>
      <c r="Q189" s="32"/>
      <c r="R189" s="32"/>
      <c r="S189" s="32">
        <f t="shared" si="54"/>
        <v>0</v>
      </c>
      <c r="T189" s="12"/>
      <c r="U189" s="12"/>
      <c r="V189" s="12"/>
      <c r="W189" s="12">
        <f t="shared" si="55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1"/>
        <v>0</v>
      </c>
      <c r="AF189" s="12"/>
      <c r="AG189" s="12"/>
      <c r="AH189" s="12"/>
      <c r="AI189" s="12">
        <f t="shared" si="57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91"/>
      <c r="D190" s="32"/>
      <c r="E190" s="32"/>
      <c r="F190" s="32"/>
      <c r="G190" s="32">
        <f t="shared" si="52"/>
        <v>0</v>
      </c>
      <c r="H190" s="12"/>
      <c r="I190" s="12"/>
      <c r="J190" s="12"/>
      <c r="K190" s="12">
        <f t="shared" si="53"/>
        <v>0</v>
      </c>
      <c r="M190" s="10">
        <v>14</v>
      </c>
      <c r="N190" s="30"/>
      <c r="O190" s="31"/>
      <c r="P190" s="32"/>
      <c r="Q190" s="32"/>
      <c r="R190" s="32"/>
      <c r="S190" s="32">
        <f t="shared" si="54"/>
        <v>0</v>
      </c>
      <c r="T190" s="12"/>
      <c r="U190" s="12"/>
      <c r="V190" s="12"/>
      <c r="W190" s="12">
        <f t="shared" si="55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1"/>
        <v>0</v>
      </c>
      <c r="AF190" s="12"/>
      <c r="AG190" s="12"/>
      <c r="AH190" s="12"/>
      <c r="AI190" s="12">
        <f t="shared" si="57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91"/>
      <c r="D191" s="32"/>
      <c r="E191" s="32"/>
      <c r="F191" s="32"/>
      <c r="G191" s="32">
        <f t="shared" si="52"/>
        <v>0</v>
      </c>
      <c r="H191" s="12"/>
      <c r="I191" s="12"/>
      <c r="J191" s="12"/>
      <c r="K191" s="12">
        <f t="shared" si="53"/>
        <v>0</v>
      </c>
      <c r="M191" s="10">
        <v>15</v>
      </c>
      <c r="N191" s="30"/>
      <c r="O191" s="31"/>
      <c r="P191" s="32"/>
      <c r="Q191" s="32"/>
      <c r="R191" s="32"/>
      <c r="S191" s="32">
        <f t="shared" si="54"/>
        <v>0</v>
      </c>
      <c r="T191" s="12"/>
      <c r="U191" s="12"/>
      <c r="V191" s="12"/>
      <c r="W191" s="12">
        <f t="shared" si="55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1"/>
        <v>0</v>
      </c>
      <c r="AF191" s="12"/>
      <c r="AG191" s="12"/>
      <c r="AH191" s="12"/>
      <c r="AI191" s="12">
        <f t="shared" si="57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91"/>
      <c r="D192" s="32"/>
      <c r="E192" s="32"/>
      <c r="F192" s="32"/>
      <c r="G192" s="32">
        <f t="shared" si="52"/>
        <v>0</v>
      </c>
      <c r="H192" s="12"/>
      <c r="I192" s="12"/>
      <c r="J192" s="12"/>
      <c r="K192" s="12">
        <f t="shared" si="53"/>
        <v>0</v>
      </c>
      <c r="M192" s="10">
        <v>16</v>
      </c>
      <c r="N192" s="30"/>
      <c r="P192" s="32"/>
      <c r="Q192" s="32"/>
      <c r="R192" s="32"/>
      <c r="S192" s="32">
        <f t="shared" si="54"/>
        <v>0</v>
      </c>
      <c r="T192" s="12"/>
      <c r="U192" s="12"/>
      <c r="V192" s="12"/>
      <c r="W192" s="12">
        <f t="shared" si="55"/>
        <v>0</v>
      </c>
      <c r="Y192" s="10">
        <v>16</v>
      </c>
      <c r="Z192" s="30"/>
      <c r="AB192" s="32"/>
      <c r="AC192" s="32"/>
      <c r="AD192" s="32"/>
      <c r="AE192" s="32">
        <f t="shared" si="61"/>
        <v>0</v>
      </c>
      <c r="AF192" s="12"/>
      <c r="AG192" s="12"/>
      <c r="AH192" s="12"/>
      <c r="AI192" s="12">
        <f t="shared" si="57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91"/>
      <c r="D193" s="32"/>
      <c r="E193" s="32"/>
      <c r="F193" s="32"/>
      <c r="G193" s="32">
        <f t="shared" si="52"/>
        <v>0</v>
      </c>
      <c r="H193" s="12"/>
      <c r="I193" s="12"/>
      <c r="J193" s="12"/>
      <c r="K193" s="12">
        <f t="shared" si="53"/>
        <v>0</v>
      </c>
      <c r="M193" s="10">
        <v>17</v>
      </c>
      <c r="N193" s="30"/>
      <c r="O193" s="31"/>
      <c r="P193" s="35"/>
      <c r="Q193" s="32"/>
      <c r="R193" s="32"/>
      <c r="S193" s="32">
        <f t="shared" si="54"/>
        <v>0</v>
      </c>
      <c r="T193" s="12"/>
      <c r="U193" s="12"/>
      <c r="V193" s="12"/>
      <c r="W193" s="12">
        <f t="shared" si="55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1"/>
        <v>0</v>
      </c>
      <c r="AF193" s="12"/>
      <c r="AG193" s="12"/>
      <c r="AH193" s="12"/>
      <c r="AI193" s="12">
        <f t="shared" si="57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91"/>
      <c r="D194" s="32"/>
      <c r="E194" s="32"/>
      <c r="F194" s="32"/>
      <c r="G194" s="32">
        <f t="shared" si="52"/>
        <v>0</v>
      </c>
      <c r="H194" s="12"/>
      <c r="I194" s="12"/>
      <c r="J194" s="12"/>
      <c r="K194" s="12">
        <f t="shared" si="53"/>
        <v>0</v>
      </c>
      <c r="M194" s="10">
        <v>18</v>
      </c>
      <c r="N194" s="30"/>
      <c r="O194" s="31"/>
      <c r="P194" s="32"/>
      <c r="Q194" s="32"/>
      <c r="R194" s="32"/>
      <c r="S194" s="32">
        <f t="shared" si="54"/>
        <v>0</v>
      </c>
      <c r="T194" s="12"/>
      <c r="U194" s="12"/>
      <c r="V194" s="12"/>
      <c r="W194" s="12">
        <f t="shared" si="55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1"/>
        <v>0</v>
      </c>
      <c r="AF194" s="12"/>
      <c r="AG194" s="12"/>
      <c r="AH194" s="12"/>
      <c r="AI194" s="12">
        <f t="shared" si="57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91"/>
      <c r="D195" s="32"/>
      <c r="E195" s="32"/>
      <c r="F195" s="32"/>
      <c r="G195" s="32">
        <f t="shared" si="52"/>
        <v>0</v>
      </c>
      <c r="H195" s="12"/>
      <c r="I195" s="12"/>
      <c r="J195" s="12"/>
      <c r="K195" s="12">
        <f t="shared" si="53"/>
        <v>0</v>
      </c>
      <c r="M195" s="10">
        <v>19</v>
      </c>
      <c r="N195" s="30"/>
      <c r="O195" s="31"/>
      <c r="P195" s="32"/>
      <c r="Q195" s="32"/>
      <c r="R195" s="32"/>
      <c r="S195" s="32">
        <f t="shared" si="54"/>
        <v>0</v>
      </c>
      <c r="T195" s="12"/>
      <c r="U195" s="12"/>
      <c r="V195" s="12"/>
      <c r="W195" s="12">
        <f t="shared" si="55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1"/>
        <v>0</v>
      </c>
      <c r="AF195" s="12"/>
      <c r="AG195" s="12"/>
      <c r="AH195" s="12"/>
      <c r="AI195" s="12">
        <f t="shared" si="57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57"/>
      <c r="D196" s="32"/>
      <c r="E196" s="32"/>
      <c r="F196" s="32"/>
      <c r="G196" s="32">
        <f t="shared" si="52"/>
        <v>0</v>
      </c>
      <c r="H196" s="12"/>
      <c r="I196" s="12"/>
      <c r="J196" s="12"/>
      <c r="K196" s="12">
        <f t="shared" si="53"/>
        <v>0</v>
      </c>
      <c r="M196" s="10">
        <v>20</v>
      </c>
      <c r="N196" s="30"/>
      <c r="O196" s="31"/>
      <c r="P196" s="32"/>
      <c r="Q196" s="32"/>
      <c r="R196" s="32"/>
      <c r="S196" s="32">
        <f t="shared" si="54"/>
        <v>0</v>
      </c>
      <c r="T196" s="12"/>
      <c r="U196" s="12"/>
      <c r="V196" s="12"/>
      <c r="W196" s="12">
        <f t="shared" si="55"/>
        <v>0</v>
      </c>
      <c r="Y196" s="10">
        <v>20</v>
      </c>
      <c r="Z196" s="30"/>
      <c r="AA196" s="31"/>
      <c r="AB196" s="32"/>
      <c r="AC196" s="32"/>
      <c r="AD196" s="32"/>
      <c r="AE196" s="32">
        <f t="shared" si="61"/>
        <v>0</v>
      </c>
      <c r="AF196" s="12"/>
      <c r="AG196" s="12"/>
      <c r="AH196" s="12"/>
      <c r="AI196" s="12">
        <f t="shared" si="57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91"/>
      <c r="D197" s="32"/>
      <c r="E197" s="32"/>
      <c r="F197" s="32"/>
      <c r="G197" s="32">
        <f t="shared" si="52"/>
        <v>0</v>
      </c>
      <c r="H197" s="10"/>
      <c r="I197" s="10"/>
      <c r="J197" s="10"/>
      <c r="K197" s="12">
        <f t="shared" si="53"/>
        <v>0</v>
      </c>
      <c r="M197" s="10">
        <v>21</v>
      </c>
      <c r="N197" s="30"/>
      <c r="O197" s="31"/>
      <c r="P197" s="46"/>
      <c r="Q197" s="31"/>
      <c r="R197" s="31"/>
      <c r="S197" s="32">
        <f t="shared" si="54"/>
        <v>0</v>
      </c>
      <c r="T197" s="10"/>
      <c r="U197" s="10"/>
      <c r="V197" s="10"/>
      <c r="W197" s="12">
        <f t="shared" si="55"/>
        <v>0</v>
      </c>
      <c r="Y197" s="10">
        <v>21</v>
      </c>
      <c r="Z197" s="30"/>
      <c r="AB197" s="46"/>
      <c r="AC197" s="31"/>
      <c r="AD197" s="31"/>
      <c r="AE197" s="32">
        <f t="shared" si="61"/>
        <v>0</v>
      </c>
      <c r="AF197" s="10"/>
      <c r="AG197" s="10"/>
      <c r="AH197" s="10"/>
      <c r="AI197" s="12">
        <f t="shared" si="57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91"/>
      <c r="D198" s="32"/>
      <c r="E198" s="32"/>
      <c r="F198" s="32"/>
      <c r="G198" s="32">
        <f t="shared" si="52"/>
        <v>0</v>
      </c>
      <c r="H198" s="10"/>
      <c r="I198" s="10"/>
      <c r="J198" s="10"/>
      <c r="K198" s="12">
        <f t="shared" si="53"/>
        <v>0</v>
      </c>
      <c r="M198" s="10">
        <v>22</v>
      </c>
      <c r="N198" s="30"/>
      <c r="O198" s="31"/>
      <c r="P198" s="45"/>
      <c r="Q198" s="31"/>
      <c r="R198" s="31"/>
      <c r="S198" s="32">
        <f t="shared" si="54"/>
        <v>0</v>
      </c>
      <c r="T198" s="10"/>
      <c r="U198" s="10"/>
      <c r="V198" s="10"/>
      <c r="W198" s="12">
        <f t="shared" si="55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1"/>
        <v>0</v>
      </c>
      <c r="AF198" s="10"/>
      <c r="AG198" s="10"/>
      <c r="AH198" s="10"/>
      <c r="AI198" s="12">
        <f t="shared" si="57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91"/>
      <c r="D199" s="32"/>
      <c r="E199" s="32"/>
      <c r="F199" s="32"/>
      <c r="G199" s="32">
        <f t="shared" si="52"/>
        <v>0</v>
      </c>
      <c r="H199" s="10"/>
      <c r="I199" s="10"/>
      <c r="J199" s="12"/>
      <c r="K199" s="12">
        <f t="shared" si="53"/>
        <v>0</v>
      </c>
      <c r="M199" s="10">
        <v>23</v>
      </c>
      <c r="N199" s="30"/>
      <c r="O199" s="31"/>
      <c r="P199" s="47"/>
      <c r="S199" s="32">
        <f t="shared" si="54"/>
        <v>0</v>
      </c>
      <c r="T199" s="10"/>
      <c r="U199" s="10"/>
      <c r="V199" s="10"/>
      <c r="W199" s="12">
        <f t="shared" si="55"/>
        <v>0</v>
      </c>
      <c r="Y199" s="10">
        <v>23</v>
      </c>
      <c r="Z199" s="30"/>
      <c r="AA199" s="31"/>
      <c r="AB199" s="47"/>
      <c r="AE199" s="32">
        <f t="shared" si="61"/>
        <v>0</v>
      </c>
      <c r="AF199" s="10"/>
      <c r="AG199" s="10"/>
      <c r="AH199" s="10"/>
      <c r="AI199" s="12">
        <f t="shared" si="57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91"/>
      <c r="D200" s="32"/>
      <c r="E200" s="32"/>
      <c r="F200" s="32"/>
      <c r="G200" s="32">
        <f t="shared" si="52"/>
        <v>0</v>
      </c>
      <c r="H200" s="10"/>
      <c r="I200" s="10"/>
      <c r="J200" s="10"/>
      <c r="K200" s="12">
        <f t="shared" si="53"/>
        <v>0</v>
      </c>
      <c r="M200" s="10">
        <v>24</v>
      </c>
      <c r="N200" s="30"/>
      <c r="O200" s="31"/>
      <c r="P200" s="47"/>
      <c r="Q200" s="31"/>
      <c r="R200" s="31"/>
      <c r="S200" s="32">
        <f t="shared" si="54"/>
        <v>0</v>
      </c>
      <c r="T200" s="10"/>
      <c r="U200" s="10"/>
      <c r="V200" s="10"/>
      <c r="W200" s="12">
        <f t="shared" si="55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1"/>
        <v>0</v>
      </c>
      <c r="AF200" s="10"/>
      <c r="AG200" s="10"/>
      <c r="AH200" s="10"/>
      <c r="AI200" s="12">
        <f t="shared" si="57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91"/>
      <c r="D201" s="32"/>
      <c r="E201" s="32"/>
      <c r="F201" s="32"/>
      <c r="G201" s="32">
        <f t="shared" si="52"/>
        <v>0</v>
      </c>
      <c r="H201" s="10"/>
      <c r="I201" s="10"/>
      <c r="J201" s="10"/>
      <c r="K201" s="12">
        <f t="shared" si="53"/>
        <v>0</v>
      </c>
      <c r="M201" s="10">
        <v>25</v>
      </c>
      <c r="N201" s="30"/>
      <c r="O201" s="31"/>
      <c r="P201" s="47"/>
      <c r="Q201" s="31"/>
      <c r="R201" s="31"/>
      <c r="S201" s="32">
        <f t="shared" si="54"/>
        <v>0</v>
      </c>
      <c r="T201" s="10"/>
      <c r="U201" s="10"/>
      <c r="V201" s="10"/>
      <c r="W201" s="12">
        <f t="shared" si="55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1"/>
        <v>0</v>
      </c>
      <c r="AF201" s="10"/>
      <c r="AG201" s="10"/>
      <c r="AH201" s="10"/>
      <c r="AI201" s="12">
        <f t="shared" si="57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91"/>
      <c r="D202" s="32"/>
      <c r="E202" s="32"/>
      <c r="F202" s="32"/>
      <c r="G202" s="32">
        <f t="shared" si="52"/>
        <v>0</v>
      </c>
      <c r="H202" s="10"/>
      <c r="I202" s="10"/>
      <c r="J202" s="10"/>
      <c r="K202" s="12">
        <f t="shared" si="53"/>
        <v>0</v>
      </c>
      <c r="M202" s="10">
        <v>26</v>
      </c>
      <c r="N202" s="30"/>
      <c r="O202" s="31"/>
      <c r="P202" s="47"/>
      <c r="Q202" s="31"/>
      <c r="R202" s="31"/>
      <c r="S202" s="32">
        <f t="shared" si="54"/>
        <v>0</v>
      </c>
      <c r="T202" s="10"/>
      <c r="U202" s="10"/>
      <c r="V202" s="10"/>
      <c r="W202" s="12">
        <f t="shared" si="55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1"/>
        <v>0</v>
      </c>
      <c r="AF202" s="10"/>
      <c r="AG202" s="10"/>
      <c r="AH202" s="10"/>
      <c r="AI202" s="12">
        <f t="shared" si="57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91"/>
      <c r="D203" s="32"/>
      <c r="E203" s="32"/>
      <c r="F203" s="32"/>
      <c r="G203" s="32">
        <f t="shared" si="52"/>
        <v>0</v>
      </c>
      <c r="H203" s="10"/>
      <c r="I203" s="10"/>
      <c r="J203" s="10"/>
      <c r="K203" s="12">
        <f t="shared" si="53"/>
        <v>0</v>
      </c>
      <c r="M203" s="10">
        <v>27</v>
      </c>
      <c r="N203" s="30"/>
      <c r="O203" s="31"/>
      <c r="P203" s="47"/>
      <c r="Q203" s="31"/>
      <c r="R203" s="31"/>
      <c r="S203" s="32">
        <f t="shared" si="54"/>
        <v>0</v>
      </c>
      <c r="T203" s="10"/>
      <c r="U203" s="10"/>
      <c r="V203" s="10"/>
      <c r="W203" s="12">
        <f t="shared" si="55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1"/>
        <v>0</v>
      </c>
      <c r="AF203" s="10"/>
      <c r="AG203" s="10"/>
      <c r="AH203" s="10"/>
      <c r="AI203" s="12">
        <f t="shared" si="57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91"/>
      <c r="D204" s="32"/>
      <c r="E204" s="32"/>
      <c r="F204" s="32"/>
      <c r="G204" s="32">
        <f t="shared" si="52"/>
        <v>0</v>
      </c>
      <c r="H204" s="10"/>
      <c r="I204" s="10"/>
      <c r="J204" s="10"/>
      <c r="K204" s="12">
        <f t="shared" si="53"/>
        <v>0</v>
      </c>
      <c r="M204" s="10">
        <v>28</v>
      </c>
      <c r="N204" s="30"/>
      <c r="O204" s="31"/>
      <c r="P204" s="47"/>
      <c r="Q204" s="31"/>
      <c r="R204" s="31"/>
      <c r="S204" s="32">
        <f t="shared" si="54"/>
        <v>0</v>
      </c>
      <c r="T204" s="10"/>
      <c r="U204" s="10"/>
      <c r="V204" s="10"/>
      <c r="W204" s="12">
        <f t="shared" si="55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1"/>
        <v>0</v>
      </c>
      <c r="AF204" s="10"/>
      <c r="AG204" s="10"/>
      <c r="AH204" s="10"/>
      <c r="AI204" s="12">
        <f t="shared" si="57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91"/>
      <c r="D205" s="32"/>
      <c r="E205" s="32"/>
      <c r="F205" s="32"/>
      <c r="G205" s="32">
        <f t="shared" si="52"/>
        <v>0</v>
      </c>
      <c r="H205" s="10"/>
      <c r="I205" s="10"/>
      <c r="J205" s="10"/>
      <c r="K205" s="12">
        <f t="shared" si="53"/>
        <v>0</v>
      </c>
      <c r="M205" s="10">
        <v>29</v>
      </c>
      <c r="N205" s="30"/>
      <c r="O205" s="31"/>
      <c r="P205" s="47"/>
      <c r="Q205" s="31"/>
      <c r="R205" s="31"/>
      <c r="S205" s="32">
        <f t="shared" si="54"/>
        <v>0</v>
      </c>
      <c r="T205" s="10"/>
      <c r="U205" s="10"/>
      <c r="V205" s="10"/>
      <c r="W205" s="12">
        <f t="shared" si="55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1"/>
        <v>0</v>
      </c>
      <c r="AF205" s="10"/>
      <c r="AG205" s="10"/>
      <c r="AH205" s="10"/>
      <c r="AI205" s="12">
        <f t="shared" si="57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91"/>
      <c r="D206" s="32"/>
      <c r="E206" s="32"/>
      <c r="F206" s="32"/>
      <c r="G206" s="32">
        <f t="shared" si="52"/>
        <v>0</v>
      </c>
      <c r="H206" s="10"/>
      <c r="I206" s="10"/>
      <c r="J206" s="10"/>
      <c r="K206" s="12">
        <f t="shared" si="53"/>
        <v>0</v>
      </c>
      <c r="M206" s="10">
        <v>30</v>
      </c>
      <c r="N206" s="30"/>
      <c r="O206" s="31"/>
      <c r="P206" s="47"/>
      <c r="Q206" s="31"/>
      <c r="R206" s="31"/>
      <c r="S206" s="32">
        <f t="shared" si="54"/>
        <v>0</v>
      </c>
      <c r="T206" s="10"/>
      <c r="U206" s="10"/>
      <c r="V206" s="10"/>
      <c r="W206" s="12">
        <f t="shared" si="55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1"/>
        <v>0</v>
      </c>
      <c r="AF206" s="10"/>
      <c r="AG206" s="10"/>
      <c r="AH206" s="10"/>
      <c r="AI206" s="12">
        <f t="shared" si="57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91"/>
      <c r="D207" s="32"/>
      <c r="E207" s="32"/>
      <c r="F207" s="32"/>
      <c r="G207" s="32">
        <f t="shared" si="52"/>
        <v>0</v>
      </c>
      <c r="H207" s="10"/>
      <c r="I207" s="10"/>
      <c r="J207" s="10"/>
      <c r="K207" s="12">
        <f t="shared" si="53"/>
        <v>0</v>
      </c>
      <c r="M207" s="10">
        <v>31</v>
      </c>
      <c r="N207" s="30"/>
      <c r="O207" s="31"/>
      <c r="P207" s="47"/>
      <c r="Q207" s="31"/>
      <c r="R207" s="31"/>
      <c r="S207" s="32">
        <f t="shared" si="54"/>
        <v>0</v>
      </c>
      <c r="T207" s="10"/>
      <c r="U207" s="10"/>
      <c r="V207" s="10"/>
      <c r="W207" s="12">
        <f t="shared" si="55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1"/>
        <v>0</v>
      </c>
      <c r="AF207" s="10"/>
      <c r="AG207" s="10"/>
      <c r="AH207" s="10"/>
      <c r="AI207" s="12">
        <f t="shared" si="57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91"/>
      <c r="D208" s="32"/>
      <c r="E208" s="32"/>
      <c r="F208" s="32"/>
      <c r="G208" s="32">
        <f t="shared" si="52"/>
        <v>0</v>
      </c>
      <c r="H208" s="10"/>
      <c r="I208" s="10"/>
      <c r="J208" s="10"/>
      <c r="K208" s="12">
        <f t="shared" si="53"/>
        <v>0</v>
      </c>
      <c r="M208" s="10">
        <v>32</v>
      </c>
      <c r="N208" s="30"/>
      <c r="O208" s="31"/>
      <c r="P208" s="47"/>
      <c r="Q208" s="31"/>
      <c r="R208" s="31"/>
      <c r="S208" s="32">
        <f t="shared" si="54"/>
        <v>0</v>
      </c>
      <c r="T208" s="10"/>
      <c r="U208" s="10"/>
      <c r="V208" s="10"/>
      <c r="W208" s="12">
        <f t="shared" si="55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1"/>
        <v>0</v>
      </c>
      <c r="AF208" s="10"/>
      <c r="AG208" s="10"/>
      <c r="AH208" s="10"/>
      <c r="AI208" s="12">
        <f t="shared" si="57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91"/>
      <c r="D209" s="32"/>
      <c r="E209" s="32"/>
      <c r="F209" s="32"/>
      <c r="G209" s="32">
        <f t="shared" si="52"/>
        <v>0</v>
      </c>
      <c r="H209" s="10"/>
      <c r="I209" s="10"/>
      <c r="J209" s="10"/>
      <c r="K209" s="12">
        <f t="shared" si="53"/>
        <v>0</v>
      </c>
      <c r="M209" s="10">
        <v>33</v>
      </c>
      <c r="N209" s="30"/>
      <c r="O209" s="31"/>
      <c r="P209" s="47"/>
      <c r="Q209" s="31"/>
      <c r="R209" s="31"/>
      <c r="S209" s="32">
        <f t="shared" si="54"/>
        <v>0</v>
      </c>
      <c r="T209" s="10"/>
      <c r="U209" s="10"/>
      <c r="V209" s="10"/>
      <c r="W209" s="12">
        <f t="shared" si="55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1"/>
        <v>0</v>
      </c>
      <c r="AF209" s="10"/>
      <c r="AG209" s="10"/>
      <c r="AH209" s="10"/>
      <c r="AI209" s="12">
        <f t="shared" si="57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91"/>
      <c r="D210" s="32"/>
      <c r="E210" s="32"/>
      <c r="F210" s="32"/>
      <c r="G210" s="32">
        <f t="shared" si="52"/>
        <v>0</v>
      </c>
      <c r="H210" s="10"/>
      <c r="I210" s="10"/>
      <c r="J210" s="10"/>
      <c r="K210" s="12">
        <f t="shared" si="53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2">SUM(P210:Q210)</f>
        <v>0</v>
      </c>
      <c r="T210" s="10"/>
      <c r="U210" s="10"/>
      <c r="V210" s="10"/>
      <c r="W210" s="12">
        <f t="shared" ref="W210:W218" si="63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64">SUM(AB210:AC210)</f>
        <v>0</v>
      </c>
      <c r="AF210" s="10"/>
      <c r="AG210" s="10"/>
      <c r="AH210" s="10"/>
      <c r="AI210" s="12">
        <f t="shared" ref="AI210:AI218" si="65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91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2"/>
        <v>0</v>
      </c>
      <c r="T211" s="10"/>
      <c r="U211" s="10"/>
      <c r="V211" s="10"/>
      <c r="W211" s="12">
        <f t="shared" si="63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4"/>
        <v>0</v>
      </c>
      <c r="AF211" s="10"/>
      <c r="AG211" s="10"/>
      <c r="AH211" s="10"/>
      <c r="AI211" s="12">
        <f t="shared" si="65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91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2"/>
        <v>0</v>
      </c>
      <c r="T212" s="10"/>
      <c r="U212" s="10"/>
      <c r="V212" s="10"/>
      <c r="W212" s="12">
        <f t="shared" si="63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4"/>
        <v>0</v>
      </c>
      <c r="AF212" s="10"/>
      <c r="AG212" s="10"/>
      <c r="AH212" s="10"/>
      <c r="AI212" s="12">
        <f t="shared" si="65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2"/>
        <v>0</v>
      </c>
      <c r="T213" s="10"/>
      <c r="U213" s="10"/>
      <c r="V213" s="10"/>
      <c r="W213" s="12">
        <f t="shared" si="63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4"/>
        <v>0</v>
      </c>
      <c r="AF213" s="10"/>
      <c r="AG213" s="10"/>
      <c r="AH213" s="10"/>
      <c r="AI213" s="12">
        <f t="shared" si="65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2"/>
        <v>0</v>
      </c>
      <c r="T214" s="10"/>
      <c r="U214" s="10"/>
      <c r="V214" s="10"/>
      <c r="W214" s="12">
        <f t="shared" si="63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4"/>
        <v>0</v>
      </c>
      <c r="AF214" s="10"/>
      <c r="AG214" s="10"/>
      <c r="AH214" s="10"/>
      <c r="AI214" s="12">
        <f t="shared" si="65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2"/>
        <v>0</v>
      </c>
      <c r="T215" s="10"/>
      <c r="U215" s="10"/>
      <c r="V215" s="10"/>
      <c r="W215" s="12">
        <f t="shared" si="63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4"/>
        <v>0</v>
      </c>
      <c r="AF215" s="10"/>
      <c r="AG215" s="10"/>
      <c r="AH215" s="10"/>
      <c r="AI215" s="12">
        <f t="shared" si="65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3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5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6">SUM(D217:E217)</f>
        <v>0</v>
      </c>
      <c r="H217" s="10"/>
      <c r="I217" s="10"/>
      <c r="J217" s="10"/>
      <c r="K217" s="12">
        <f t="shared" ref="K217" si="67">SUM(G217:J217)</f>
        <v>0</v>
      </c>
      <c r="M217" s="10"/>
      <c r="N217" s="30"/>
      <c r="O217" s="31"/>
      <c r="P217" s="47"/>
      <c r="Q217" s="31"/>
      <c r="R217" s="31"/>
      <c r="S217" s="32">
        <f t="shared" ref="S217" si="68">SUM(P217:Q217)</f>
        <v>0</v>
      </c>
      <c r="T217" s="10"/>
      <c r="U217" s="10"/>
      <c r="V217" s="10"/>
      <c r="W217" s="12">
        <f t="shared" si="63"/>
        <v>0</v>
      </c>
      <c r="Y217" s="10"/>
      <c r="Z217" s="30"/>
      <c r="AA217" s="31"/>
      <c r="AB217" s="47"/>
      <c r="AC217" s="31"/>
      <c r="AD217" s="31"/>
      <c r="AE217" s="32">
        <f t="shared" ref="AE217" si="69">SUM(AB217:AC217)</f>
        <v>0</v>
      </c>
      <c r="AF217" s="10"/>
      <c r="AG217" s="10"/>
      <c r="AH217" s="10"/>
      <c r="AI217" s="12">
        <f t="shared" si="65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3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5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435352.5</v>
      </c>
      <c r="E220" s="38">
        <f t="shared" ref="E220:F220" si="70">SUM(E177:E217)</f>
        <v>0</v>
      </c>
      <c r="F220" s="38">
        <f t="shared" si="70"/>
        <v>0</v>
      </c>
      <c r="G220" s="38">
        <f>SUM(G177:G219)</f>
        <v>435352.5</v>
      </c>
      <c r="H220" s="4"/>
      <c r="I220" s="39">
        <f>SUM(I177:I219)</f>
        <v>194</v>
      </c>
      <c r="J220" s="39">
        <f>SUM(J177:J219)</f>
        <v>0</v>
      </c>
      <c r="K220" s="40">
        <f>SUM(K177:K219)</f>
        <v>435546.5</v>
      </c>
      <c r="N220" s="57"/>
      <c r="O220" s="57"/>
      <c r="P220" s="38">
        <f>SUM(P177:P219)</f>
        <v>412427</v>
      </c>
      <c r="Q220" s="38">
        <f>SUM(Q177:Q201)</f>
        <v>-3150</v>
      </c>
      <c r="R220" s="38">
        <f>SUM(R177:R201)</f>
        <v>0</v>
      </c>
      <c r="S220" s="38">
        <f>SUM(S177:S219)</f>
        <v>409277</v>
      </c>
      <c r="T220" s="4"/>
      <c r="U220" s="41">
        <f>SUM(U177:U219)</f>
        <v>580.5</v>
      </c>
      <c r="V220" s="41">
        <f>SUM(V177:V201)</f>
        <v>-15318</v>
      </c>
      <c r="W220" s="42">
        <f>SUM(W177:W219)</f>
        <v>394539.5</v>
      </c>
      <c r="Z220" s="57"/>
      <c r="AA220" s="57"/>
      <c r="AB220" s="38">
        <f>SUM(AB177:AB219)</f>
        <v>235305</v>
      </c>
      <c r="AC220" s="38">
        <f>SUM(AC177:AC201)</f>
        <v>-1914</v>
      </c>
      <c r="AD220" s="38">
        <f>SUM(AD177:AD201)</f>
        <v>0</v>
      </c>
      <c r="AE220" s="38">
        <f>SUM(AE177:AE219)</f>
        <v>233391</v>
      </c>
      <c r="AF220" s="4"/>
      <c r="AG220" s="41">
        <f>SUM(AG177:AG219)</f>
        <v>1332</v>
      </c>
      <c r="AH220" s="41">
        <f>SUM(AH177:AH201)</f>
        <v>-14208</v>
      </c>
      <c r="AI220" s="42">
        <f>SUM(AI177:AI219)</f>
        <v>220515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52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52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52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53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21" t="s">
        <v>53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47</v>
      </c>
      <c r="W228" s="24"/>
      <c r="Y228" s="21" t="s">
        <v>53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1" t="s">
        <v>17</v>
      </c>
      <c r="E230" s="111"/>
      <c r="F230" s="100"/>
      <c r="G230" s="27"/>
      <c r="I230" s="109" t="s">
        <v>18</v>
      </c>
      <c r="J230" s="110"/>
      <c r="K230" s="107" t="s">
        <v>19</v>
      </c>
      <c r="N230" s="25"/>
      <c r="O230" s="26"/>
      <c r="P230" s="111" t="s">
        <v>17</v>
      </c>
      <c r="Q230" s="111"/>
      <c r="R230" s="100"/>
      <c r="S230" s="27"/>
      <c r="U230" s="109" t="s">
        <v>18</v>
      </c>
      <c r="V230" s="110"/>
      <c r="W230" s="107" t="s">
        <v>19</v>
      </c>
      <c r="Z230" s="25"/>
      <c r="AA230" s="26"/>
      <c r="AB230" s="111" t="s">
        <v>17</v>
      </c>
      <c r="AC230" s="111"/>
      <c r="AD230" s="100"/>
      <c r="AE230" s="27"/>
      <c r="AG230" s="109" t="s">
        <v>18</v>
      </c>
      <c r="AH230" s="110"/>
      <c r="AI230" s="107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08"/>
      <c r="N231" s="28" t="s">
        <v>20</v>
      </c>
      <c r="O231" s="28" t="s">
        <v>21</v>
      </c>
      <c r="P231" s="79" t="s">
        <v>22</v>
      </c>
      <c r="Q231" s="80" t="s">
        <v>23</v>
      </c>
      <c r="R231" s="80" t="s">
        <v>32</v>
      </c>
      <c r="S231" s="80" t="s">
        <v>24</v>
      </c>
      <c r="U231" s="29" t="s">
        <v>25</v>
      </c>
      <c r="V231" s="29" t="s">
        <v>26</v>
      </c>
      <c r="W231" s="108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08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46204</v>
      </c>
      <c r="C232" s="91">
        <v>8326</v>
      </c>
      <c r="D232" s="32">
        <f>1300+650</f>
        <v>1950</v>
      </c>
      <c r="E232" s="32"/>
      <c r="F232" s="32"/>
      <c r="G232" s="32">
        <f t="shared" ref="G232:G276" si="71">SUM(D232:E232)</f>
        <v>1950</v>
      </c>
      <c r="H232" s="12"/>
      <c r="I232" s="12"/>
      <c r="J232" s="12">
        <v>-444</v>
      </c>
      <c r="K232" s="12">
        <f t="shared" ref="K232:K276" si="72">SUM(G232:J232)</f>
        <v>1506</v>
      </c>
      <c r="M232" s="10">
        <v>1</v>
      </c>
      <c r="N232" s="30">
        <v>46204</v>
      </c>
      <c r="O232" s="31">
        <v>8135</v>
      </c>
      <c r="P232" s="32">
        <f>650*31+700</f>
        <v>20850</v>
      </c>
      <c r="Q232" s="32"/>
      <c r="R232" s="32"/>
      <c r="S232" s="32">
        <f>SUM(P232:Q232)</f>
        <v>20850</v>
      </c>
      <c r="T232" s="12"/>
      <c r="U232" s="12">
        <v>45</v>
      </c>
      <c r="V232" s="12">
        <v>-78</v>
      </c>
      <c r="W232" s="12">
        <f>SUM(S232:V232)</f>
        <v>20817</v>
      </c>
      <c r="Y232" s="10">
        <v>1</v>
      </c>
      <c r="Z232" s="30">
        <v>46204</v>
      </c>
      <c r="AA232" s="31">
        <v>8353</v>
      </c>
      <c r="AB232" s="32">
        <f>650*31+670*2</f>
        <v>21490</v>
      </c>
      <c r="AC232" s="32"/>
      <c r="AD232" s="32"/>
      <c r="AE232" s="32">
        <f>SUM(AB232:AC232)</f>
        <v>21490</v>
      </c>
      <c r="AF232" s="12"/>
      <c r="AG232" s="12"/>
      <c r="AH232" s="12"/>
      <c r="AI232" s="12">
        <f>SUM(AE232:AH232)</f>
        <v>21490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46204</v>
      </c>
      <c r="C233" s="91">
        <f>C232+1</f>
        <v>8327</v>
      </c>
      <c r="D233" s="32"/>
      <c r="E233" s="32"/>
      <c r="F233" s="32"/>
      <c r="G233" s="32">
        <f t="shared" si="71"/>
        <v>0</v>
      </c>
      <c r="H233" s="12"/>
      <c r="I233" s="12"/>
      <c r="J233" s="12"/>
      <c r="K233" s="12">
        <f t="shared" si="72"/>
        <v>0</v>
      </c>
      <c r="M233" s="10">
        <v>2</v>
      </c>
      <c r="N233" s="30">
        <v>46204</v>
      </c>
      <c r="O233" s="31">
        <f>O232+1</f>
        <v>8136</v>
      </c>
      <c r="P233" s="32">
        <f>650*324+622*20+229*14</f>
        <v>226246</v>
      </c>
      <c r="Q233" s="32">
        <v>-2064</v>
      </c>
      <c r="R233" s="32"/>
      <c r="S233" s="32">
        <f t="shared" ref="S233:S276" si="73">SUM(P233:Q233)</f>
        <v>224182</v>
      </c>
      <c r="T233" s="12"/>
      <c r="U233" s="12">
        <v>390</v>
      </c>
      <c r="V233" s="12">
        <v>-336</v>
      </c>
      <c r="W233" s="12">
        <f t="shared" ref="W233:W276" si="74">SUM(S233:V233)</f>
        <v>224236</v>
      </c>
      <c r="Y233" s="10">
        <v>2</v>
      </c>
      <c r="Z233" s="30">
        <v>46204</v>
      </c>
      <c r="AA233" s="31">
        <f>AA232+1</f>
        <v>8354</v>
      </c>
      <c r="AB233" s="32">
        <f>650*65+670*2+973*2+622*10</f>
        <v>51756</v>
      </c>
      <c r="AC233" s="32"/>
      <c r="AD233" s="32"/>
      <c r="AE233" s="32">
        <f t="shared" ref="AE233:AE237" si="75">SUM(AB233:AC233)</f>
        <v>51756</v>
      </c>
      <c r="AF233" s="12"/>
      <c r="AG233" s="12"/>
      <c r="AH233" s="12"/>
      <c r="AI233" s="12">
        <f t="shared" ref="AI233:AI276" si="76">SUM(AE233:AH233)</f>
        <v>51756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46204</v>
      </c>
      <c r="C234" s="91">
        <f t="shared" ref="C234:C246" si="77">C233+1</f>
        <v>8328</v>
      </c>
      <c r="D234" s="33">
        <f>650*431+4122</f>
        <v>284272</v>
      </c>
      <c r="E234" s="33">
        <v>-2586</v>
      </c>
      <c r="F234" s="33"/>
      <c r="G234" s="33">
        <f t="shared" si="71"/>
        <v>281686</v>
      </c>
      <c r="H234" s="34"/>
      <c r="I234" s="34">
        <v>702</v>
      </c>
      <c r="J234" s="34">
        <v>-48063</v>
      </c>
      <c r="K234" s="34">
        <f t="shared" si="72"/>
        <v>234325</v>
      </c>
      <c r="M234" s="10">
        <v>3</v>
      </c>
      <c r="N234" s="30">
        <v>46204</v>
      </c>
      <c r="O234" s="31">
        <f t="shared" ref="O234:O246" si="78">O233+1</f>
        <v>8137</v>
      </c>
      <c r="P234" s="32">
        <f>39000+1400</f>
        <v>40400</v>
      </c>
      <c r="Q234" s="32"/>
      <c r="R234" s="32"/>
      <c r="S234" s="32">
        <f t="shared" si="73"/>
        <v>40400</v>
      </c>
      <c r="T234" s="12"/>
      <c r="U234" s="12"/>
      <c r="V234" s="12">
        <v>-252</v>
      </c>
      <c r="W234" s="12">
        <f t="shared" si="74"/>
        <v>40148</v>
      </c>
      <c r="Y234" s="10">
        <v>3</v>
      </c>
      <c r="Z234" s="30">
        <v>46204</v>
      </c>
      <c r="AA234" s="31">
        <f t="shared" ref="AA234:AA246" si="79">AA233+1</f>
        <v>8355</v>
      </c>
      <c r="AB234" s="33">
        <f>650*10+650*9</f>
        <v>12350</v>
      </c>
      <c r="AC234" s="33"/>
      <c r="AD234" s="32"/>
      <c r="AE234" s="32">
        <f t="shared" si="75"/>
        <v>12350</v>
      </c>
      <c r="AF234" s="12"/>
      <c r="AG234" s="12"/>
      <c r="AH234" s="12"/>
      <c r="AI234" s="12">
        <f t="shared" si="76"/>
        <v>12350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46204</v>
      </c>
      <c r="C235" s="91">
        <f t="shared" si="77"/>
        <v>8329</v>
      </c>
      <c r="D235" s="32">
        <f>26000+3110</f>
        <v>29110</v>
      </c>
      <c r="E235" s="32"/>
      <c r="F235" s="32"/>
      <c r="G235" s="32">
        <f t="shared" si="71"/>
        <v>29110</v>
      </c>
      <c r="H235" s="12"/>
      <c r="I235" s="12">
        <v>111</v>
      </c>
      <c r="J235" s="12"/>
      <c r="K235" s="12">
        <f t="shared" si="72"/>
        <v>29221</v>
      </c>
      <c r="M235" s="10">
        <v>4</v>
      </c>
      <c r="N235" s="30">
        <v>46204</v>
      </c>
      <c r="O235" s="31">
        <f t="shared" si="78"/>
        <v>8138</v>
      </c>
      <c r="P235" s="32">
        <f>22750+333.5</f>
        <v>23083.5</v>
      </c>
      <c r="Q235" s="32"/>
      <c r="R235" s="32"/>
      <c r="S235" s="32">
        <f t="shared" si="73"/>
        <v>23083.5</v>
      </c>
      <c r="T235" s="12"/>
      <c r="U235" s="12">
        <v>31.5</v>
      </c>
      <c r="V235" s="12"/>
      <c r="W235" s="12">
        <f t="shared" si="74"/>
        <v>23115</v>
      </c>
      <c r="Y235" s="10">
        <v>4</v>
      </c>
      <c r="Z235" s="30">
        <v>46204</v>
      </c>
      <c r="AA235" s="31">
        <f t="shared" si="79"/>
        <v>8356</v>
      </c>
      <c r="AB235" s="32">
        <f>32500+6220+458</f>
        <v>39178</v>
      </c>
      <c r="AC235" s="32"/>
      <c r="AD235" s="32"/>
      <c r="AE235" s="32">
        <f t="shared" si="75"/>
        <v>39178</v>
      </c>
      <c r="AF235" s="12"/>
      <c r="AH235" s="12"/>
      <c r="AI235" s="12">
        <f t="shared" si="76"/>
        <v>39178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46204</v>
      </c>
      <c r="C236" s="91">
        <f t="shared" si="77"/>
        <v>8330</v>
      </c>
      <c r="D236" s="32">
        <f>11700+700+525+436</f>
        <v>13361</v>
      </c>
      <c r="E236" s="32"/>
      <c r="F236" s="32"/>
      <c r="G236" s="32">
        <f t="shared" si="71"/>
        <v>13361</v>
      </c>
      <c r="H236" s="12"/>
      <c r="I236" s="12">
        <f>15+81</f>
        <v>96</v>
      </c>
      <c r="J236" s="12"/>
      <c r="K236" s="12">
        <f t="shared" si="72"/>
        <v>13457</v>
      </c>
      <c r="M236" s="10">
        <v>5</v>
      </c>
      <c r="N236" s="30"/>
      <c r="O236" s="11" t="s">
        <v>27</v>
      </c>
      <c r="P236" s="32"/>
      <c r="Q236" s="32"/>
      <c r="R236" s="32"/>
      <c r="S236" s="32">
        <f t="shared" si="73"/>
        <v>0</v>
      </c>
      <c r="T236" s="12"/>
      <c r="U236" s="12"/>
      <c r="V236" s="12"/>
      <c r="W236" s="12">
        <f t="shared" si="74"/>
        <v>0</v>
      </c>
      <c r="Y236" s="10">
        <v>5</v>
      </c>
      <c r="Z236" s="30">
        <v>46204</v>
      </c>
      <c r="AA236" s="31">
        <f t="shared" si="79"/>
        <v>8357</v>
      </c>
      <c r="AB236" s="32">
        <f>11700+1244</f>
        <v>12944</v>
      </c>
      <c r="AC236" s="32"/>
      <c r="AD236" s="32"/>
      <c r="AE236" s="32">
        <f t="shared" ref="AE236:AE276" si="80">SUM(AB236:AC236)</f>
        <v>12944</v>
      </c>
      <c r="AF236" s="12"/>
      <c r="AG236" s="12"/>
      <c r="AH236" s="12"/>
      <c r="AI236" s="12">
        <f t="shared" si="76"/>
        <v>12944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46204</v>
      </c>
      <c r="C237" s="91">
        <f t="shared" si="77"/>
        <v>8331</v>
      </c>
      <c r="D237" s="32">
        <f>1950+28</f>
        <v>1978</v>
      </c>
      <c r="E237" s="32"/>
      <c r="F237" s="32"/>
      <c r="G237" s="32">
        <f t="shared" si="71"/>
        <v>1978</v>
      </c>
      <c r="H237" s="12"/>
      <c r="I237" s="12"/>
      <c r="J237" s="12">
        <v>-777</v>
      </c>
      <c r="K237" s="12">
        <f t="shared" si="72"/>
        <v>1201</v>
      </c>
      <c r="M237" s="10">
        <v>6</v>
      </c>
      <c r="N237" s="30"/>
      <c r="O237" s="31"/>
      <c r="P237" s="32"/>
      <c r="Q237" s="32"/>
      <c r="R237" s="32"/>
      <c r="S237" s="32">
        <f t="shared" si="73"/>
        <v>0</v>
      </c>
      <c r="T237" s="12"/>
      <c r="U237" s="12"/>
      <c r="V237" s="10"/>
      <c r="W237" s="12">
        <f t="shared" si="74"/>
        <v>0</v>
      </c>
      <c r="Y237" s="10">
        <v>6</v>
      </c>
      <c r="Z237" s="30">
        <v>46204</v>
      </c>
      <c r="AA237" s="31">
        <f t="shared" si="79"/>
        <v>8358</v>
      </c>
      <c r="AB237" s="32">
        <f>8450+4354+190</f>
        <v>12994</v>
      </c>
      <c r="AC237" s="32"/>
      <c r="AD237" s="32"/>
      <c r="AE237" s="32">
        <f t="shared" si="80"/>
        <v>12994</v>
      </c>
      <c r="AF237" s="12"/>
      <c r="AG237" s="12">
        <v>40.5</v>
      </c>
      <c r="AH237" s="10"/>
      <c r="AI237" s="12">
        <f t="shared" si="76"/>
        <v>13034.5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46204</v>
      </c>
      <c r="C238" s="91">
        <f t="shared" si="77"/>
        <v>8332</v>
      </c>
      <c r="D238" s="32">
        <f>16250+3110</f>
        <v>19360</v>
      </c>
      <c r="E238" s="32"/>
      <c r="F238" s="32"/>
      <c r="G238" s="32">
        <f t="shared" si="71"/>
        <v>19360</v>
      </c>
      <c r="H238" s="12"/>
      <c r="I238" s="12">
        <v>222</v>
      </c>
      <c r="J238" s="12"/>
      <c r="K238" s="12">
        <f t="shared" si="72"/>
        <v>19582</v>
      </c>
      <c r="M238" s="10">
        <v>7</v>
      </c>
      <c r="N238" s="30"/>
      <c r="O238" s="31"/>
      <c r="P238" s="32"/>
      <c r="Q238" s="32"/>
      <c r="R238" s="32"/>
      <c r="S238" s="32">
        <f t="shared" si="73"/>
        <v>0</v>
      </c>
      <c r="T238" s="12"/>
      <c r="U238" s="12"/>
      <c r="V238" s="12"/>
      <c r="W238" s="12">
        <f t="shared" si="74"/>
        <v>0</v>
      </c>
      <c r="Y238" s="10">
        <v>7</v>
      </c>
      <c r="Z238" s="30">
        <v>46204</v>
      </c>
      <c r="AA238" s="31">
        <f t="shared" si="79"/>
        <v>8359</v>
      </c>
      <c r="AB238" s="32">
        <f>97500+3350+622*50+912+872*2+229*9+650</f>
        <v>137317</v>
      </c>
      <c r="AC238" s="32">
        <v>-1248</v>
      </c>
      <c r="AD238" s="32"/>
      <c r="AE238" s="32">
        <f t="shared" si="80"/>
        <v>136069</v>
      </c>
      <c r="AF238" s="12"/>
      <c r="AG238" s="58">
        <f>2442+546+18+243</f>
        <v>3249</v>
      </c>
      <c r="AH238" s="12"/>
      <c r="AI238" s="12">
        <f t="shared" si="76"/>
        <v>139318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46204</v>
      </c>
      <c r="C239" s="91">
        <f t="shared" si="77"/>
        <v>8333</v>
      </c>
      <c r="D239" s="32">
        <f>1950+1340+1946</f>
        <v>5236</v>
      </c>
      <c r="E239" s="32"/>
      <c r="F239" s="32"/>
      <c r="G239" s="32">
        <f t="shared" si="71"/>
        <v>5236</v>
      </c>
      <c r="H239" s="12"/>
      <c r="I239" s="12"/>
      <c r="J239" s="12">
        <v>-666</v>
      </c>
      <c r="K239" s="12">
        <f t="shared" si="72"/>
        <v>4570</v>
      </c>
      <c r="M239" s="10">
        <v>8</v>
      </c>
      <c r="N239" s="30"/>
      <c r="O239" s="31"/>
      <c r="P239" s="32"/>
      <c r="Q239" s="32"/>
      <c r="R239" s="32"/>
      <c r="S239" s="32">
        <f t="shared" si="73"/>
        <v>0</v>
      </c>
      <c r="T239" s="12"/>
      <c r="U239" s="12"/>
      <c r="V239" s="12"/>
      <c r="W239" s="12">
        <f t="shared" si="74"/>
        <v>0</v>
      </c>
      <c r="Y239" s="10">
        <v>8</v>
      </c>
      <c r="Z239" s="30">
        <v>46204</v>
      </c>
      <c r="AA239" s="31">
        <f t="shared" si="79"/>
        <v>8360</v>
      </c>
      <c r="AB239" s="32">
        <f>4550+66.5</f>
        <v>4616.5</v>
      </c>
      <c r="AC239" s="32"/>
      <c r="AE239" s="32">
        <f t="shared" si="80"/>
        <v>4616.5</v>
      </c>
      <c r="AF239" s="12"/>
      <c r="AG239" s="12"/>
      <c r="AH239" s="12"/>
      <c r="AI239" s="12">
        <f t="shared" si="76"/>
        <v>4616.5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11" t="s">
        <v>27</v>
      </c>
      <c r="D240" s="32"/>
      <c r="E240" s="32"/>
      <c r="F240" s="32"/>
      <c r="G240" s="32">
        <f t="shared" si="71"/>
        <v>0</v>
      </c>
      <c r="H240" s="12"/>
      <c r="I240" s="12"/>
      <c r="J240" s="12"/>
      <c r="K240" s="12">
        <f t="shared" si="72"/>
        <v>0</v>
      </c>
      <c r="M240" s="10">
        <v>9</v>
      </c>
      <c r="N240" s="30"/>
      <c r="O240" s="31"/>
      <c r="P240" s="32"/>
      <c r="Q240" s="32"/>
      <c r="R240" s="32"/>
      <c r="S240" s="32">
        <f t="shared" si="73"/>
        <v>0</v>
      </c>
      <c r="T240" s="12"/>
      <c r="U240" s="12"/>
      <c r="V240" s="12"/>
      <c r="W240" s="12">
        <f t="shared" si="74"/>
        <v>0</v>
      </c>
      <c r="Y240" s="10">
        <v>9</v>
      </c>
      <c r="Z240" s="30">
        <v>46204</v>
      </c>
      <c r="AA240" s="31">
        <f t="shared" si="79"/>
        <v>8361</v>
      </c>
      <c r="AB240" s="32">
        <f>16900+229</f>
        <v>17129</v>
      </c>
      <c r="AC240" s="32"/>
      <c r="AD240" s="32"/>
      <c r="AE240" s="32">
        <f t="shared" si="80"/>
        <v>17129</v>
      </c>
      <c r="AF240" s="12"/>
      <c r="AH240" s="12"/>
      <c r="AI240" s="12">
        <f t="shared" si="76"/>
        <v>17129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91"/>
      <c r="D241" s="32"/>
      <c r="E241" s="32"/>
      <c r="F241" s="32"/>
      <c r="G241" s="32">
        <f t="shared" si="71"/>
        <v>0</v>
      </c>
      <c r="H241" s="12"/>
      <c r="I241" s="12"/>
      <c r="J241" s="12"/>
      <c r="K241" s="12">
        <f t="shared" si="72"/>
        <v>0</v>
      </c>
      <c r="M241" s="10">
        <v>10</v>
      </c>
      <c r="N241" s="30"/>
      <c r="O241" s="31"/>
      <c r="P241" s="32"/>
      <c r="Q241" s="32"/>
      <c r="R241" s="32"/>
      <c r="S241" s="32">
        <f t="shared" si="73"/>
        <v>0</v>
      </c>
      <c r="T241" s="12"/>
      <c r="U241" s="12"/>
      <c r="V241" s="12"/>
      <c r="W241" s="12">
        <f t="shared" si="74"/>
        <v>0</v>
      </c>
      <c r="Y241" s="10">
        <v>10</v>
      </c>
      <c r="Z241" s="30">
        <v>46204</v>
      </c>
      <c r="AA241" s="31">
        <f t="shared" si="79"/>
        <v>8362</v>
      </c>
      <c r="AB241" s="32">
        <f>872</f>
        <v>872</v>
      </c>
      <c r="AC241" s="32"/>
      <c r="AD241" s="32"/>
      <c r="AE241" s="32">
        <f t="shared" si="80"/>
        <v>872</v>
      </c>
      <c r="AF241" s="12"/>
      <c r="AG241" s="12"/>
      <c r="AH241" s="12"/>
      <c r="AI241" s="12">
        <f t="shared" si="76"/>
        <v>872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91"/>
      <c r="D242" s="32"/>
      <c r="E242" s="32"/>
      <c r="F242" s="32"/>
      <c r="G242" s="32">
        <f t="shared" si="71"/>
        <v>0</v>
      </c>
      <c r="H242" s="12"/>
      <c r="I242" s="12"/>
      <c r="J242" s="12"/>
      <c r="K242" s="12">
        <f t="shared" si="72"/>
        <v>0</v>
      </c>
      <c r="M242" s="10">
        <v>11</v>
      </c>
      <c r="N242" s="30"/>
      <c r="O242" s="31"/>
      <c r="P242" s="32"/>
      <c r="Q242" s="32"/>
      <c r="R242" s="32"/>
      <c r="S242" s="32">
        <f t="shared" si="73"/>
        <v>0</v>
      </c>
      <c r="T242" s="12"/>
      <c r="U242" s="12"/>
      <c r="V242" s="12"/>
      <c r="W242" s="12">
        <f t="shared" si="74"/>
        <v>0</v>
      </c>
      <c r="Y242" s="10">
        <v>11</v>
      </c>
      <c r="Z242" s="30">
        <v>46204</v>
      </c>
      <c r="AA242" s="31">
        <f t="shared" si="79"/>
        <v>8363</v>
      </c>
      <c r="AB242" s="32">
        <f>6500+6700+3140+872+229</f>
        <v>17441</v>
      </c>
      <c r="AC242" s="32"/>
      <c r="AD242" s="32"/>
      <c r="AE242" s="32">
        <f t="shared" si="80"/>
        <v>17441</v>
      </c>
      <c r="AF242" s="12"/>
      <c r="AG242" s="12"/>
      <c r="AH242" s="12"/>
      <c r="AI242" s="12">
        <f t="shared" si="76"/>
        <v>17441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91"/>
      <c r="D243" s="32"/>
      <c r="E243" s="32"/>
      <c r="F243" s="32"/>
      <c r="G243" s="32">
        <f t="shared" si="71"/>
        <v>0</v>
      </c>
      <c r="H243" s="12"/>
      <c r="I243" s="12"/>
      <c r="J243" s="10"/>
      <c r="K243" s="12">
        <f t="shared" si="72"/>
        <v>0</v>
      </c>
      <c r="M243" s="10">
        <v>12</v>
      </c>
      <c r="N243" s="30"/>
      <c r="O243" s="31"/>
      <c r="P243" s="32"/>
      <c r="Q243" s="32"/>
      <c r="R243" s="32"/>
      <c r="S243" s="32">
        <f t="shared" si="73"/>
        <v>0</v>
      </c>
      <c r="T243" s="12"/>
      <c r="U243" s="12"/>
      <c r="V243" s="12"/>
      <c r="W243" s="12">
        <f t="shared" si="74"/>
        <v>0</v>
      </c>
      <c r="Y243" s="10">
        <v>12</v>
      </c>
      <c r="Z243" s="30"/>
      <c r="AA243" s="11" t="s">
        <v>27</v>
      </c>
      <c r="AB243" s="32"/>
      <c r="AC243" s="32"/>
      <c r="AD243" s="32"/>
      <c r="AE243" s="32">
        <f t="shared" si="80"/>
        <v>0</v>
      </c>
      <c r="AF243" s="12"/>
      <c r="AG243" s="12"/>
      <c r="AH243" s="12"/>
      <c r="AI243" s="12">
        <f t="shared" si="7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91"/>
      <c r="D244" s="32"/>
      <c r="E244" s="32"/>
      <c r="F244" s="32"/>
      <c r="G244" s="32">
        <f t="shared" si="71"/>
        <v>0</v>
      </c>
      <c r="H244" s="12"/>
      <c r="I244" s="12"/>
      <c r="J244" s="12"/>
      <c r="K244" s="12">
        <f t="shared" si="72"/>
        <v>0</v>
      </c>
      <c r="M244" s="10">
        <v>13</v>
      </c>
      <c r="N244" s="30"/>
      <c r="O244" s="31"/>
      <c r="P244" s="32"/>
      <c r="Q244" s="32"/>
      <c r="R244" s="32"/>
      <c r="S244" s="32">
        <f t="shared" si="73"/>
        <v>0</v>
      </c>
      <c r="T244" s="12"/>
      <c r="U244" s="12"/>
      <c r="V244" s="12"/>
      <c r="W244" s="12">
        <f t="shared" si="7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80"/>
        <v>0</v>
      </c>
      <c r="AF244" s="12"/>
      <c r="AG244" s="12"/>
      <c r="AH244" s="12"/>
      <c r="AI244" s="12">
        <f t="shared" si="7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91"/>
      <c r="D245" s="32"/>
      <c r="E245" s="32"/>
      <c r="F245" s="32"/>
      <c r="G245" s="32">
        <f t="shared" si="71"/>
        <v>0</v>
      </c>
      <c r="H245" s="12"/>
      <c r="I245" s="12"/>
      <c r="J245" s="12"/>
      <c r="K245" s="12">
        <f t="shared" si="72"/>
        <v>0</v>
      </c>
      <c r="M245" s="10">
        <v>14</v>
      </c>
      <c r="N245" s="30"/>
      <c r="O245" s="31"/>
      <c r="P245" s="32"/>
      <c r="Q245" s="32"/>
      <c r="R245" s="32"/>
      <c r="S245" s="32">
        <f t="shared" si="73"/>
        <v>0</v>
      </c>
      <c r="T245" s="12"/>
      <c r="U245" s="12"/>
      <c r="V245" s="12"/>
      <c r="W245" s="12">
        <f t="shared" si="7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80"/>
        <v>0</v>
      </c>
      <c r="AF245" s="12"/>
      <c r="AG245" s="12"/>
      <c r="AH245" s="12"/>
      <c r="AI245" s="12">
        <f t="shared" si="7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91"/>
      <c r="D246" s="32"/>
      <c r="E246" s="32"/>
      <c r="F246" s="32"/>
      <c r="G246" s="32">
        <f t="shared" si="71"/>
        <v>0</v>
      </c>
      <c r="H246" s="12"/>
      <c r="I246" s="12"/>
      <c r="J246" s="12"/>
      <c r="K246" s="12">
        <f t="shared" si="72"/>
        <v>0</v>
      </c>
      <c r="M246" s="10">
        <v>15</v>
      </c>
      <c r="N246" s="30"/>
      <c r="O246" s="31"/>
      <c r="P246" s="32"/>
      <c r="Q246" s="32"/>
      <c r="R246" s="32"/>
      <c r="S246" s="32">
        <f t="shared" si="73"/>
        <v>0</v>
      </c>
      <c r="T246" s="12"/>
      <c r="U246" s="12"/>
      <c r="V246" s="12"/>
      <c r="W246" s="12">
        <f t="shared" si="7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80"/>
        <v>0</v>
      </c>
      <c r="AF246" s="12"/>
      <c r="AG246" s="12"/>
      <c r="AH246" s="12"/>
      <c r="AI246" s="12">
        <f t="shared" si="7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D247" s="32"/>
      <c r="E247" s="32"/>
      <c r="F247" s="32"/>
      <c r="G247" s="32">
        <f t="shared" si="71"/>
        <v>0</v>
      </c>
      <c r="H247" s="12"/>
      <c r="I247" s="12"/>
      <c r="J247" s="12"/>
      <c r="K247" s="12">
        <f t="shared" si="72"/>
        <v>0</v>
      </c>
      <c r="M247" s="10">
        <v>16</v>
      </c>
      <c r="N247" s="30"/>
      <c r="P247" s="32"/>
      <c r="Q247" s="32"/>
      <c r="R247" s="32"/>
      <c r="S247" s="32">
        <f t="shared" si="73"/>
        <v>0</v>
      </c>
      <c r="T247" s="12"/>
      <c r="U247" s="12"/>
      <c r="V247" s="12"/>
      <c r="W247" s="12">
        <f t="shared" si="74"/>
        <v>0</v>
      </c>
      <c r="Y247" s="10">
        <v>16</v>
      </c>
      <c r="Z247" s="30"/>
      <c r="AB247" s="32"/>
      <c r="AC247" s="32"/>
      <c r="AD247" s="32"/>
      <c r="AE247" s="32">
        <f t="shared" si="80"/>
        <v>0</v>
      </c>
      <c r="AF247" s="12"/>
      <c r="AG247" s="12"/>
      <c r="AH247" s="12"/>
      <c r="AI247" s="12">
        <f t="shared" si="7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91"/>
      <c r="D248" s="32"/>
      <c r="E248" s="32"/>
      <c r="F248" s="32"/>
      <c r="G248" s="32">
        <f t="shared" si="71"/>
        <v>0</v>
      </c>
      <c r="H248" s="12"/>
      <c r="I248" s="12"/>
      <c r="J248" s="12"/>
      <c r="K248" s="12">
        <f t="shared" si="72"/>
        <v>0</v>
      </c>
      <c r="M248" s="10">
        <v>17</v>
      </c>
      <c r="N248" s="30"/>
      <c r="O248" s="31"/>
      <c r="P248" s="35"/>
      <c r="Q248" s="32"/>
      <c r="R248" s="32"/>
      <c r="S248" s="32">
        <f t="shared" si="73"/>
        <v>0</v>
      </c>
      <c r="T248" s="12"/>
      <c r="U248" s="12"/>
      <c r="V248" s="12"/>
      <c r="W248" s="12">
        <f t="shared" si="7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80"/>
        <v>0</v>
      </c>
      <c r="AF248" s="12"/>
      <c r="AG248" s="12"/>
      <c r="AH248" s="12"/>
      <c r="AI248" s="12">
        <f t="shared" si="7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91"/>
      <c r="D249" s="32"/>
      <c r="E249" s="32"/>
      <c r="F249" s="32"/>
      <c r="G249" s="32">
        <f t="shared" si="71"/>
        <v>0</v>
      </c>
      <c r="H249" s="12"/>
      <c r="I249" s="12"/>
      <c r="J249" s="12"/>
      <c r="K249" s="12">
        <f t="shared" si="72"/>
        <v>0</v>
      </c>
      <c r="M249" s="10">
        <v>18</v>
      </c>
      <c r="N249" s="30"/>
      <c r="O249" s="31"/>
      <c r="P249" s="32"/>
      <c r="Q249" s="32"/>
      <c r="R249" s="32"/>
      <c r="S249" s="32">
        <f t="shared" si="73"/>
        <v>0</v>
      </c>
      <c r="T249" s="12"/>
      <c r="U249" s="12"/>
      <c r="V249" s="12"/>
      <c r="W249" s="12">
        <f t="shared" si="7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80"/>
        <v>0</v>
      </c>
      <c r="AF249" s="12"/>
      <c r="AG249" s="12"/>
      <c r="AH249" s="12"/>
      <c r="AI249" s="12">
        <f t="shared" si="7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1"/>
      <c r="D250" s="32"/>
      <c r="E250" s="32"/>
      <c r="F250" s="32"/>
      <c r="G250" s="32">
        <f t="shared" si="71"/>
        <v>0</v>
      </c>
      <c r="H250" s="12"/>
      <c r="I250" s="12"/>
      <c r="J250" s="12"/>
      <c r="K250" s="12">
        <f t="shared" si="72"/>
        <v>0</v>
      </c>
      <c r="M250" s="10">
        <v>19</v>
      </c>
      <c r="N250" s="30"/>
      <c r="O250" s="31"/>
      <c r="P250" s="32"/>
      <c r="Q250" s="32"/>
      <c r="R250" s="32"/>
      <c r="S250" s="32">
        <f t="shared" si="73"/>
        <v>0</v>
      </c>
      <c r="T250" s="12"/>
      <c r="U250" s="12"/>
      <c r="V250" s="12"/>
      <c r="W250" s="12">
        <f t="shared" si="7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80"/>
        <v>0</v>
      </c>
      <c r="AF250" s="12"/>
      <c r="AG250" s="12"/>
      <c r="AH250" s="12"/>
      <c r="AI250" s="12">
        <f t="shared" si="7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57"/>
      <c r="D251" s="32"/>
      <c r="E251" s="32"/>
      <c r="F251" s="32"/>
      <c r="G251" s="32">
        <f t="shared" si="71"/>
        <v>0</v>
      </c>
      <c r="H251" s="12"/>
      <c r="I251" s="12"/>
      <c r="J251" s="12"/>
      <c r="K251" s="12">
        <f t="shared" si="72"/>
        <v>0</v>
      </c>
      <c r="M251" s="10">
        <v>20</v>
      </c>
      <c r="N251" s="30"/>
      <c r="O251" s="31"/>
      <c r="P251" s="32"/>
      <c r="Q251" s="32"/>
      <c r="R251" s="32"/>
      <c r="S251" s="32">
        <f t="shared" si="73"/>
        <v>0</v>
      </c>
      <c r="T251" s="12"/>
      <c r="U251" s="12"/>
      <c r="V251" s="12"/>
      <c r="W251" s="12">
        <f t="shared" si="74"/>
        <v>0</v>
      </c>
      <c r="Y251" s="10">
        <v>20</v>
      </c>
      <c r="Z251" s="30"/>
      <c r="AA251" s="31"/>
      <c r="AB251" s="32"/>
      <c r="AC251" s="32"/>
      <c r="AD251" s="32"/>
      <c r="AE251" s="32">
        <f t="shared" si="80"/>
        <v>0</v>
      </c>
      <c r="AF251" s="12"/>
      <c r="AG251" s="12"/>
      <c r="AH251" s="12"/>
      <c r="AI251" s="12">
        <f t="shared" si="7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91"/>
      <c r="D252" s="32"/>
      <c r="E252" s="32"/>
      <c r="F252" s="32"/>
      <c r="G252" s="32">
        <f t="shared" si="71"/>
        <v>0</v>
      </c>
      <c r="H252" s="10"/>
      <c r="I252" s="10"/>
      <c r="J252" s="10"/>
      <c r="K252" s="12">
        <f t="shared" si="72"/>
        <v>0</v>
      </c>
      <c r="M252" s="10">
        <v>21</v>
      </c>
      <c r="N252" s="30"/>
      <c r="O252" s="31"/>
      <c r="P252" s="46"/>
      <c r="Q252" s="31"/>
      <c r="R252" s="31"/>
      <c r="S252" s="32">
        <f t="shared" si="73"/>
        <v>0</v>
      </c>
      <c r="T252" s="10"/>
      <c r="U252" s="10"/>
      <c r="V252" s="10"/>
      <c r="W252" s="12">
        <f t="shared" si="74"/>
        <v>0</v>
      </c>
      <c r="Y252" s="10">
        <v>21</v>
      </c>
      <c r="Z252" s="30"/>
      <c r="AB252" s="46"/>
      <c r="AC252" s="31"/>
      <c r="AD252" s="31"/>
      <c r="AE252" s="32">
        <f t="shared" si="80"/>
        <v>0</v>
      </c>
      <c r="AF252" s="10"/>
      <c r="AG252" s="10"/>
      <c r="AH252" s="10"/>
      <c r="AI252" s="12">
        <f t="shared" si="7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1"/>
      <c r="D253" s="32"/>
      <c r="E253" s="32"/>
      <c r="F253" s="32"/>
      <c r="G253" s="32">
        <f t="shared" si="71"/>
        <v>0</v>
      </c>
      <c r="H253" s="10"/>
      <c r="I253" s="10"/>
      <c r="J253" s="10"/>
      <c r="K253" s="12">
        <f t="shared" si="72"/>
        <v>0</v>
      </c>
      <c r="M253" s="10">
        <v>22</v>
      </c>
      <c r="N253" s="30"/>
      <c r="O253" s="31"/>
      <c r="P253" s="45"/>
      <c r="Q253" s="31"/>
      <c r="R253" s="31"/>
      <c r="S253" s="32">
        <f t="shared" si="73"/>
        <v>0</v>
      </c>
      <c r="T253" s="10"/>
      <c r="U253" s="10"/>
      <c r="V253" s="10"/>
      <c r="W253" s="12">
        <f t="shared" si="7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80"/>
        <v>0</v>
      </c>
      <c r="AF253" s="10"/>
      <c r="AG253" s="10"/>
      <c r="AH253" s="10"/>
      <c r="AI253" s="12">
        <f t="shared" si="7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91"/>
      <c r="D254" s="32"/>
      <c r="E254" s="32"/>
      <c r="F254" s="32"/>
      <c r="G254" s="32">
        <f t="shared" si="71"/>
        <v>0</v>
      </c>
      <c r="H254" s="10"/>
      <c r="I254" s="10"/>
      <c r="J254" s="12"/>
      <c r="K254" s="12">
        <f t="shared" si="72"/>
        <v>0</v>
      </c>
      <c r="M254" s="10">
        <v>23</v>
      </c>
      <c r="N254" s="30"/>
      <c r="O254" s="31"/>
      <c r="P254" s="47"/>
      <c r="S254" s="32">
        <f t="shared" si="73"/>
        <v>0</v>
      </c>
      <c r="T254" s="10"/>
      <c r="U254" s="10"/>
      <c r="V254" s="10"/>
      <c r="W254" s="12">
        <f t="shared" si="74"/>
        <v>0</v>
      </c>
      <c r="Y254" s="10">
        <v>23</v>
      </c>
      <c r="Z254" s="30"/>
      <c r="AA254" s="31"/>
      <c r="AB254" s="47"/>
      <c r="AE254" s="32">
        <f t="shared" si="80"/>
        <v>0</v>
      </c>
      <c r="AF254" s="10"/>
      <c r="AG254" s="10"/>
      <c r="AH254" s="10"/>
      <c r="AI254" s="12">
        <f t="shared" si="7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91"/>
      <c r="D255" s="32"/>
      <c r="E255" s="32"/>
      <c r="F255" s="32"/>
      <c r="G255" s="32">
        <f t="shared" si="71"/>
        <v>0</v>
      </c>
      <c r="H255" s="10"/>
      <c r="I255" s="10"/>
      <c r="J255" s="10"/>
      <c r="K255" s="12">
        <f t="shared" si="72"/>
        <v>0</v>
      </c>
      <c r="M255" s="10">
        <v>24</v>
      </c>
      <c r="N255" s="30"/>
      <c r="O255" s="31"/>
      <c r="P255" s="47"/>
      <c r="Q255" s="31"/>
      <c r="R255" s="31"/>
      <c r="S255" s="32">
        <f t="shared" si="73"/>
        <v>0</v>
      </c>
      <c r="T255" s="10"/>
      <c r="U255" s="10"/>
      <c r="V255" s="10"/>
      <c r="W255" s="12">
        <f t="shared" si="7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80"/>
        <v>0</v>
      </c>
      <c r="AF255" s="10"/>
      <c r="AG255" s="10"/>
      <c r="AH255" s="10"/>
      <c r="AI255" s="12">
        <f t="shared" si="7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91"/>
      <c r="D256" s="32"/>
      <c r="E256" s="32"/>
      <c r="F256" s="32"/>
      <c r="G256" s="32">
        <f t="shared" si="71"/>
        <v>0</v>
      </c>
      <c r="H256" s="10"/>
      <c r="I256" s="10"/>
      <c r="J256" s="10"/>
      <c r="K256" s="12">
        <f t="shared" si="72"/>
        <v>0</v>
      </c>
      <c r="M256" s="10">
        <v>25</v>
      </c>
      <c r="N256" s="30"/>
      <c r="O256" s="31"/>
      <c r="P256" s="47"/>
      <c r="Q256" s="31"/>
      <c r="R256" s="31"/>
      <c r="S256" s="32">
        <f t="shared" si="73"/>
        <v>0</v>
      </c>
      <c r="T256" s="10"/>
      <c r="U256" s="10"/>
      <c r="V256" s="10"/>
      <c r="W256" s="12">
        <f t="shared" si="7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80"/>
        <v>0</v>
      </c>
      <c r="AF256" s="10"/>
      <c r="AG256" s="10"/>
      <c r="AH256" s="10"/>
      <c r="AI256" s="12">
        <f t="shared" si="7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91"/>
      <c r="D257" s="32"/>
      <c r="E257" s="32"/>
      <c r="F257" s="32"/>
      <c r="G257" s="32">
        <f t="shared" si="71"/>
        <v>0</v>
      </c>
      <c r="H257" s="10"/>
      <c r="I257" s="10"/>
      <c r="J257" s="10"/>
      <c r="K257" s="12">
        <f t="shared" si="72"/>
        <v>0</v>
      </c>
      <c r="M257" s="10">
        <v>26</v>
      </c>
      <c r="N257" s="30"/>
      <c r="O257" s="31"/>
      <c r="P257" s="47"/>
      <c r="Q257" s="31"/>
      <c r="R257" s="31"/>
      <c r="S257" s="32">
        <f t="shared" si="73"/>
        <v>0</v>
      </c>
      <c r="T257" s="10"/>
      <c r="U257" s="10"/>
      <c r="V257" s="10"/>
      <c r="W257" s="12">
        <f t="shared" si="7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80"/>
        <v>0</v>
      </c>
      <c r="AF257" s="10"/>
      <c r="AG257" s="10"/>
      <c r="AH257" s="10"/>
      <c r="AI257" s="12">
        <f t="shared" si="7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91"/>
      <c r="D258" s="32"/>
      <c r="E258" s="32"/>
      <c r="F258" s="32"/>
      <c r="G258" s="32">
        <f t="shared" si="71"/>
        <v>0</v>
      </c>
      <c r="H258" s="10"/>
      <c r="I258" s="10"/>
      <c r="J258" s="10"/>
      <c r="K258" s="12">
        <f t="shared" si="72"/>
        <v>0</v>
      </c>
      <c r="M258" s="10">
        <v>27</v>
      </c>
      <c r="N258" s="30"/>
      <c r="O258" s="31"/>
      <c r="P258" s="47"/>
      <c r="Q258" s="31"/>
      <c r="R258" s="31"/>
      <c r="S258" s="32">
        <f t="shared" si="73"/>
        <v>0</v>
      </c>
      <c r="T258" s="10"/>
      <c r="U258" s="10"/>
      <c r="V258" s="10"/>
      <c r="W258" s="12">
        <f t="shared" si="7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80"/>
        <v>0</v>
      </c>
      <c r="AF258" s="10"/>
      <c r="AG258" s="10"/>
      <c r="AH258" s="10"/>
      <c r="AI258" s="12">
        <f t="shared" si="7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91"/>
      <c r="D259" s="32"/>
      <c r="E259" s="32"/>
      <c r="F259" s="32"/>
      <c r="G259" s="32">
        <f t="shared" si="71"/>
        <v>0</v>
      </c>
      <c r="H259" s="10"/>
      <c r="I259" s="10"/>
      <c r="J259" s="10"/>
      <c r="K259" s="12">
        <f t="shared" si="72"/>
        <v>0</v>
      </c>
      <c r="M259" s="10">
        <v>28</v>
      </c>
      <c r="N259" s="30"/>
      <c r="O259" s="31"/>
      <c r="P259" s="47"/>
      <c r="Q259" s="31"/>
      <c r="R259" s="31"/>
      <c r="S259" s="32">
        <f t="shared" si="73"/>
        <v>0</v>
      </c>
      <c r="T259" s="10"/>
      <c r="U259" s="10"/>
      <c r="V259" s="10"/>
      <c r="W259" s="12">
        <f t="shared" si="7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80"/>
        <v>0</v>
      </c>
      <c r="AF259" s="10"/>
      <c r="AG259" s="10"/>
      <c r="AH259" s="10"/>
      <c r="AI259" s="12">
        <f t="shared" si="7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91"/>
      <c r="D260" s="32"/>
      <c r="E260" s="32"/>
      <c r="F260" s="32"/>
      <c r="G260" s="32">
        <f t="shared" si="71"/>
        <v>0</v>
      </c>
      <c r="H260" s="10"/>
      <c r="I260" s="10"/>
      <c r="J260" s="10"/>
      <c r="K260" s="12">
        <f t="shared" si="72"/>
        <v>0</v>
      </c>
      <c r="M260" s="10">
        <v>29</v>
      </c>
      <c r="N260" s="30"/>
      <c r="O260" s="31"/>
      <c r="P260" s="47"/>
      <c r="Q260" s="31"/>
      <c r="R260" s="31"/>
      <c r="S260" s="32">
        <f t="shared" si="73"/>
        <v>0</v>
      </c>
      <c r="T260" s="10"/>
      <c r="U260" s="10"/>
      <c r="V260" s="10"/>
      <c r="W260" s="12">
        <f t="shared" si="7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80"/>
        <v>0</v>
      </c>
      <c r="AF260" s="10"/>
      <c r="AG260" s="10"/>
      <c r="AH260" s="10"/>
      <c r="AI260" s="12">
        <f t="shared" si="7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91"/>
      <c r="D261" s="32"/>
      <c r="E261" s="32"/>
      <c r="F261" s="32"/>
      <c r="G261" s="32">
        <f t="shared" si="71"/>
        <v>0</v>
      </c>
      <c r="H261" s="10"/>
      <c r="I261" s="10"/>
      <c r="J261" s="10"/>
      <c r="K261" s="12">
        <f t="shared" si="72"/>
        <v>0</v>
      </c>
      <c r="M261" s="10">
        <v>30</v>
      </c>
      <c r="N261" s="30"/>
      <c r="O261" s="31"/>
      <c r="P261" s="47"/>
      <c r="Q261" s="31"/>
      <c r="R261" s="31"/>
      <c r="S261" s="32">
        <f t="shared" si="73"/>
        <v>0</v>
      </c>
      <c r="T261" s="10"/>
      <c r="U261" s="10"/>
      <c r="V261" s="10"/>
      <c r="W261" s="12">
        <f t="shared" si="7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80"/>
        <v>0</v>
      </c>
      <c r="AF261" s="10"/>
      <c r="AG261" s="10"/>
      <c r="AH261" s="10"/>
      <c r="AI261" s="12">
        <f t="shared" si="7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91"/>
      <c r="D262" s="32"/>
      <c r="E262" s="32"/>
      <c r="F262" s="32"/>
      <c r="G262" s="32">
        <f t="shared" si="71"/>
        <v>0</v>
      </c>
      <c r="H262" s="10"/>
      <c r="I262" s="10"/>
      <c r="J262" s="10"/>
      <c r="K262" s="12">
        <f t="shared" si="72"/>
        <v>0</v>
      </c>
      <c r="M262" s="10">
        <v>31</v>
      </c>
      <c r="N262" s="30"/>
      <c r="O262" s="31"/>
      <c r="P262" s="47"/>
      <c r="Q262" s="31"/>
      <c r="R262" s="31"/>
      <c r="S262" s="32">
        <f t="shared" si="73"/>
        <v>0</v>
      </c>
      <c r="T262" s="10"/>
      <c r="U262" s="10"/>
      <c r="V262" s="10"/>
      <c r="W262" s="12">
        <f t="shared" si="7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80"/>
        <v>0</v>
      </c>
      <c r="AF262" s="10"/>
      <c r="AG262" s="10"/>
      <c r="AH262" s="10"/>
      <c r="AI262" s="12">
        <f t="shared" si="7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91"/>
      <c r="D263" s="32"/>
      <c r="E263" s="32"/>
      <c r="F263" s="32"/>
      <c r="G263" s="32">
        <f t="shared" si="71"/>
        <v>0</v>
      </c>
      <c r="H263" s="10"/>
      <c r="I263" s="10"/>
      <c r="J263" s="10"/>
      <c r="K263" s="12">
        <f t="shared" si="72"/>
        <v>0</v>
      </c>
      <c r="M263" s="10">
        <v>32</v>
      </c>
      <c r="N263" s="30"/>
      <c r="O263" s="31"/>
      <c r="P263" s="47"/>
      <c r="Q263" s="31"/>
      <c r="R263" s="31"/>
      <c r="S263" s="32">
        <f t="shared" si="73"/>
        <v>0</v>
      </c>
      <c r="T263" s="10"/>
      <c r="U263" s="10"/>
      <c r="V263" s="10"/>
      <c r="W263" s="12">
        <f t="shared" si="7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80"/>
        <v>0</v>
      </c>
      <c r="AF263" s="10"/>
      <c r="AG263" s="10"/>
      <c r="AH263" s="10"/>
      <c r="AI263" s="12">
        <f t="shared" si="7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91"/>
      <c r="D264" s="32"/>
      <c r="E264" s="32"/>
      <c r="F264" s="32"/>
      <c r="G264" s="32">
        <f t="shared" si="71"/>
        <v>0</v>
      </c>
      <c r="H264" s="10"/>
      <c r="I264" s="10"/>
      <c r="J264" s="10"/>
      <c r="K264" s="12">
        <f t="shared" si="72"/>
        <v>0</v>
      </c>
      <c r="M264" s="10">
        <v>33</v>
      </c>
      <c r="N264" s="30"/>
      <c r="O264" s="31"/>
      <c r="P264" s="47"/>
      <c r="Q264" s="31"/>
      <c r="R264" s="31"/>
      <c r="S264" s="32">
        <f t="shared" si="73"/>
        <v>0</v>
      </c>
      <c r="T264" s="10"/>
      <c r="U264" s="10"/>
      <c r="V264" s="10"/>
      <c r="W264" s="12">
        <f t="shared" si="7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80"/>
        <v>0</v>
      </c>
      <c r="AF264" s="10"/>
      <c r="AG264" s="10"/>
      <c r="AH264" s="10"/>
      <c r="AI264" s="12">
        <f t="shared" si="7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91"/>
      <c r="D265" s="32"/>
      <c r="E265" s="32"/>
      <c r="F265" s="32"/>
      <c r="G265" s="32">
        <f t="shared" si="71"/>
        <v>0</v>
      </c>
      <c r="H265" s="10"/>
      <c r="I265" s="10"/>
      <c r="J265" s="10"/>
      <c r="K265" s="12">
        <f t="shared" si="72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5" si="81">SUM(P265:Q265)</f>
        <v>0</v>
      </c>
      <c r="T265" s="10"/>
      <c r="U265" s="10"/>
      <c r="V265" s="10"/>
      <c r="W265" s="12">
        <f t="shared" ref="W265:W276" si="82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5" si="83">SUM(AB265:AC265)</f>
        <v>0</v>
      </c>
      <c r="AF265" s="10"/>
      <c r="AG265" s="10"/>
      <c r="AH265" s="10"/>
      <c r="AI265" s="12">
        <f t="shared" ref="AI265:AI276" si="84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91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1"/>
        <v>0</v>
      </c>
      <c r="T266" s="10"/>
      <c r="U266" s="10"/>
      <c r="V266" s="10"/>
      <c r="W266" s="12">
        <f t="shared" si="82"/>
        <v>0</v>
      </c>
      <c r="Y266" s="10">
        <v>35</v>
      </c>
      <c r="Z266" s="30"/>
      <c r="AA266" s="31"/>
      <c r="AB266" s="47"/>
      <c r="AC266" s="31"/>
      <c r="AD266" s="31"/>
      <c r="AE266" s="32">
        <f t="shared" si="83"/>
        <v>0</v>
      </c>
      <c r="AF266" s="10"/>
      <c r="AG266" s="10"/>
      <c r="AH266" s="10"/>
      <c r="AI266" s="12">
        <f t="shared" si="84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91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1"/>
        <v>0</v>
      </c>
      <c r="T267" s="10"/>
      <c r="U267" s="10"/>
      <c r="V267" s="10"/>
      <c r="W267" s="12">
        <f t="shared" si="82"/>
        <v>0</v>
      </c>
      <c r="Y267" s="10">
        <v>36</v>
      </c>
      <c r="Z267" s="30"/>
      <c r="AA267" s="31"/>
      <c r="AB267" s="47"/>
      <c r="AC267" s="31"/>
      <c r="AD267" s="31"/>
      <c r="AE267" s="32">
        <f t="shared" si="83"/>
        <v>0</v>
      </c>
      <c r="AF267" s="10"/>
      <c r="AG267" s="10"/>
      <c r="AH267" s="10"/>
      <c r="AI267" s="12">
        <f t="shared" si="84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1"/>
        <v>0</v>
      </c>
      <c r="T268" s="10"/>
      <c r="U268" s="10"/>
      <c r="V268" s="10"/>
      <c r="W268" s="12">
        <f t="shared" si="82"/>
        <v>0</v>
      </c>
      <c r="Y268" s="10">
        <v>37</v>
      </c>
      <c r="Z268" s="30"/>
      <c r="AA268" s="31"/>
      <c r="AB268" s="47"/>
      <c r="AC268" s="31"/>
      <c r="AD268" s="31"/>
      <c r="AE268" s="32">
        <f t="shared" si="83"/>
        <v>0</v>
      </c>
      <c r="AF268" s="10"/>
      <c r="AG268" s="10"/>
      <c r="AH268" s="10"/>
      <c r="AI268" s="12">
        <f t="shared" si="84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1"/>
        <v>0</v>
      </c>
      <c r="T269" s="10"/>
      <c r="U269" s="10"/>
      <c r="V269" s="10"/>
      <c r="W269" s="12">
        <f t="shared" si="82"/>
        <v>0</v>
      </c>
      <c r="Y269" s="10">
        <v>38</v>
      </c>
      <c r="Z269" s="30"/>
      <c r="AA269" s="31"/>
      <c r="AB269" s="47"/>
      <c r="AC269" s="31"/>
      <c r="AD269" s="31"/>
      <c r="AE269" s="32">
        <f t="shared" si="83"/>
        <v>0</v>
      </c>
      <c r="AF269" s="10"/>
      <c r="AG269" s="10"/>
      <c r="AH269" s="10"/>
      <c r="AI269" s="12">
        <f t="shared" si="84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1"/>
        <v>0</v>
      </c>
      <c r="T270" s="10"/>
      <c r="U270" s="10"/>
      <c r="V270" s="10"/>
      <c r="W270" s="12">
        <f t="shared" si="82"/>
        <v>0</v>
      </c>
      <c r="Y270" s="10">
        <v>39</v>
      </c>
      <c r="Z270" s="30"/>
      <c r="AA270" s="31"/>
      <c r="AB270" s="47"/>
      <c r="AC270" s="31"/>
      <c r="AD270" s="31"/>
      <c r="AE270" s="32">
        <f t="shared" si="83"/>
        <v>0</v>
      </c>
      <c r="AF270" s="10"/>
      <c r="AG270" s="10"/>
      <c r="AH270" s="10"/>
      <c r="AI270" s="12">
        <f t="shared" si="84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2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4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5">SUM(D272:E272)</f>
        <v>0</v>
      </c>
      <c r="H272" s="10"/>
      <c r="I272" s="10"/>
      <c r="J272" s="10"/>
      <c r="K272" s="12">
        <f t="shared" ref="K272" si="86">SUM(G272:J272)</f>
        <v>0</v>
      </c>
      <c r="M272" s="10"/>
      <c r="N272" s="30"/>
      <c r="O272" s="31"/>
      <c r="P272" s="47"/>
      <c r="Q272" s="31"/>
      <c r="R272" s="31"/>
      <c r="S272" s="32">
        <f t="shared" ref="S272" si="87">SUM(P272:Q272)</f>
        <v>0</v>
      </c>
      <c r="T272" s="10"/>
      <c r="U272" s="10"/>
      <c r="V272" s="10"/>
      <c r="W272" s="12">
        <f t="shared" si="82"/>
        <v>0</v>
      </c>
      <c r="Y272" s="10"/>
      <c r="Z272" s="30"/>
      <c r="AA272" s="31"/>
      <c r="AB272" s="47"/>
      <c r="AC272" s="31"/>
      <c r="AD272" s="31"/>
      <c r="AE272" s="32">
        <f t="shared" ref="AE272" si="88">SUM(AB272:AC272)</f>
        <v>0</v>
      </c>
      <c r="AF272" s="10"/>
      <c r="AG272" s="10"/>
      <c r="AH272" s="10"/>
      <c r="AI272" s="12">
        <f t="shared" si="84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2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4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355267</v>
      </c>
      <c r="E275" s="38">
        <f t="shared" ref="E275:G275" si="89">SUM(E232:E272)</f>
        <v>-2586</v>
      </c>
      <c r="F275" s="38">
        <f t="shared" si="89"/>
        <v>0</v>
      </c>
      <c r="G275" s="38">
        <f>SUM(G232:G274)</f>
        <v>352681</v>
      </c>
      <c r="H275" s="4"/>
      <c r="I275" s="39">
        <f>SUM(I232:I274)</f>
        <v>1131</v>
      </c>
      <c r="J275" s="39">
        <f>SUM(J232:J274)</f>
        <v>-49950</v>
      </c>
      <c r="K275" s="40">
        <f>SUM(K232:K274)</f>
        <v>303862</v>
      </c>
      <c r="N275" s="57"/>
      <c r="O275" s="57"/>
      <c r="P275" s="38">
        <f>SUM(P232:P274)</f>
        <v>310579.5</v>
      </c>
      <c r="Q275" s="38">
        <f>SUM(Q232:Q256)</f>
        <v>-2064</v>
      </c>
      <c r="R275" s="38">
        <f>SUM(R232:R256)</f>
        <v>0</v>
      </c>
      <c r="S275" s="38">
        <f>SUM(S232:S274)</f>
        <v>308515.5</v>
      </c>
      <c r="T275" s="4"/>
      <c r="U275" s="41">
        <f>SUM(U232:U274)</f>
        <v>466.5</v>
      </c>
      <c r="V275" s="41">
        <f>SUM(V232:V256)</f>
        <v>-666</v>
      </c>
      <c r="W275" s="42">
        <f>SUM(W232:W274)</f>
        <v>308316</v>
      </c>
      <c r="Z275" s="57"/>
      <c r="AA275" s="57"/>
      <c r="AB275" s="38">
        <f>SUM(AB232:AB274)</f>
        <v>328087.5</v>
      </c>
      <c r="AC275" s="38">
        <f>SUM(AC232:AC256)</f>
        <v>-1248</v>
      </c>
      <c r="AD275" s="38">
        <f>SUM(AD232:AD256)</f>
        <v>0</v>
      </c>
      <c r="AE275" s="38">
        <f>SUM(AE232:AE274)</f>
        <v>326839.5</v>
      </c>
      <c r="AF275" s="4"/>
      <c r="AG275" s="41">
        <f>SUM(AG232:AG274)</f>
        <v>3289.5</v>
      </c>
      <c r="AH275" s="41">
        <f>SUM(AH232:AH256)</f>
        <v>0</v>
      </c>
      <c r="AI275" s="42">
        <f>SUM(AI232:AI274)</f>
        <v>330129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94"/>
      <c r="C277" s="94"/>
      <c r="D277" s="94"/>
      <c r="E277" s="94"/>
      <c r="F277" s="94"/>
      <c r="G277" s="94"/>
      <c r="H277" s="62"/>
      <c r="I277" s="62"/>
      <c r="J277" s="62"/>
      <c r="K277" s="62"/>
      <c r="L277" s="62"/>
      <c r="M277" s="62"/>
      <c r="N277" s="94"/>
      <c r="O277" s="94"/>
      <c r="P277" s="94"/>
      <c r="Q277" s="94"/>
      <c r="R277" s="94"/>
      <c r="S277" s="94"/>
      <c r="T277" s="62"/>
      <c r="U277" s="62"/>
      <c r="V277" s="62"/>
      <c r="W277" s="62"/>
      <c r="X277" s="62"/>
      <c r="Y277" s="62"/>
      <c r="Z277" s="94"/>
      <c r="AA277" s="94"/>
      <c r="AB277" s="94"/>
      <c r="AC277" s="94"/>
      <c r="AD277" s="94"/>
      <c r="AE277" s="94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94"/>
      <c r="C278" s="94"/>
      <c r="D278" s="94"/>
      <c r="E278" s="94"/>
      <c r="F278" s="94"/>
      <c r="G278" s="94"/>
      <c r="H278" s="62"/>
      <c r="I278" s="62"/>
      <c r="J278" s="62"/>
      <c r="K278" s="62"/>
      <c r="L278" s="62"/>
      <c r="M278" s="62"/>
      <c r="N278" s="94"/>
      <c r="O278" s="94"/>
      <c r="P278" s="94"/>
      <c r="Q278" s="94"/>
      <c r="R278" s="94"/>
      <c r="S278" s="94"/>
      <c r="T278" s="62"/>
      <c r="U278" s="62"/>
      <c r="V278" s="62"/>
      <c r="W278" s="62"/>
      <c r="X278" s="62"/>
      <c r="Y278" s="62"/>
      <c r="Z278" s="94"/>
      <c r="AA278" s="94"/>
      <c r="AB278" s="94"/>
      <c r="AC278" s="94"/>
      <c r="AD278" s="94"/>
      <c r="AE278" s="94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94"/>
      <c r="C279" s="94"/>
      <c r="D279" s="94"/>
      <c r="E279" s="94"/>
      <c r="F279" s="94"/>
      <c r="G279" s="94"/>
      <c r="H279" s="62"/>
      <c r="I279" s="62"/>
      <c r="J279" s="62"/>
      <c r="K279" s="62"/>
      <c r="L279" s="62"/>
      <c r="M279" s="62"/>
      <c r="N279" s="94"/>
      <c r="O279" s="94"/>
      <c r="P279" s="94"/>
      <c r="Q279" s="94"/>
      <c r="R279" s="94"/>
      <c r="S279" s="94"/>
      <c r="T279" s="62"/>
      <c r="U279" s="62"/>
      <c r="V279" s="62"/>
      <c r="W279" s="62"/>
      <c r="X279" s="62"/>
      <c r="Y279" s="62"/>
      <c r="Z279" s="94"/>
      <c r="AA279" s="94"/>
      <c r="AB279" s="94"/>
      <c r="AC279" s="94"/>
      <c r="AD279" s="94"/>
      <c r="AE279" s="94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94"/>
      <c r="C280" s="94"/>
      <c r="D280" s="94"/>
      <c r="E280" s="94"/>
      <c r="F280" s="94"/>
      <c r="G280" s="94"/>
      <c r="H280" s="62"/>
      <c r="I280" s="62"/>
      <c r="J280" s="62"/>
      <c r="K280" s="62"/>
      <c r="L280" s="62"/>
      <c r="M280" s="63"/>
      <c r="N280" s="94"/>
      <c r="O280" s="94"/>
      <c r="P280" s="94"/>
      <c r="Q280" s="94"/>
      <c r="R280" s="94"/>
      <c r="S280" s="94"/>
      <c r="T280" s="62"/>
      <c r="U280" s="62"/>
      <c r="V280" s="62"/>
      <c r="W280" s="62"/>
      <c r="X280" s="62"/>
      <c r="Y280" s="63"/>
      <c r="Z280" s="94"/>
      <c r="AA280" s="94"/>
      <c r="AB280" s="94"/>
      <c r="AC280" s="94"/>
      <c r="AD280" s="94"/>
      <c r="AE280" s="94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94"/>
      <c r="C281" s="94"/>
      <c r="D281" s="94"/>
      <c r="E281" s="94"/>
      <c r="F281" s="94"/>
      <c r="G281" s="94"/>
      <c r="H281" s="62"/>
      <c r="I281" s="62"/>
      <c r="J281" s="62"/>
      <c r="K281" s="62"/>
      <c r="L281" s="62"/>
      <c r="M281" s="62"/>
      <c r="N281" s="94"/>
      <c r="O281" s="94"/>
      <c r="P281" s="94"/>
      <c r="Q281" s="94"/>
      <c r="R281" s="94"/>
      <c r="S281" s="94"/>
      <c r="T281" s="62"/>
      <c r="U281" s="62"/>
      <c r="V281" s="62"/>
      <c r="W281" s="62"/>
      <c r="X281" s="62"/>
      <c r="Y281" s="62"/>
      <c r="Z281" s="94"/>
      <c r="AA281" s="94"/>
      <c r="AB281" s="94"/>
      <c r="AC281" s="94"/>
      <c r="AD281" s="94"/>
      <c r="AE281" s="94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94"/>
      <c r="C282" s="94"/>
      <c r="D282" s="94"/>
      <c r="E282" s="94"/>
      <c r="F282" s="94"/>
      <c r="G282" s="94"/>
      <c r="H282" s="62"/>
      <c r="I282" s="94"/>
      <c r="J282" s="74"/>
      <c r="K282" s="62"/>
      <c r="L282" s="62"/>
      <c r="M282" s="62"/>
      <c r="N282" s="94"/>
      <c r="O282" s="94"/>
      <c r="P282" s="94"/>
      <c r="Q282" s="94"/>
      <c r="R282" s="94"/>
      <c r="S282" s="94"/>
      <c r="T282" s="62"/>
      <c r="U282" s="94"/>
      <c r="V282" s="74"/>
      <c r="W282" s="62"/>
      <c r="X282" s="62"/>
      <c r="Y282" s="62"/>
      <c r="Z282" s="94"/>
      <c r="AA282" s="94"/>
      <c r="AB282" s="94"/>
      <c r="AC282" s="94"/>
      <c r="AD282" s="94"/>
      <c r="AE282" s="94"/>
      <c r="AF282" s="62"/>
      <c r="AG282" s="94"/>
      <c r="AH282" s="94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94"/>
      <c r="C283" s="94"/>
      <c r="D283" s="94"/>
      <c r="E283" s="94"/>
      <c r="F283" s="94"/>
      <c r="G283" s="94"/>
      <c r="H283" s="62"/>
      <c r="I283" s="65"/>
      <c r="J283" s="65"/>
      <c r="K283" s="62"/>
      <c r="L283" s="62"/>
      <c r="M283" s="64"/>
      <c r="N283" s="94"/>
      <c r="O283" s="94"/>
      <c r="P283" s="94"/>
      <c r="Q283" s="94"/>
      <c r="R283" s="94"/>
      <c r="S283" s="94"/>
      <c r="T283" s="62"/>
      <c r="U283" s="65"/>
      <c r="V283" s="65"/>
      <c r="W283" s="62"/>
      <c r="X283" s="62"/>
      <c r="Y283" s="64"/>
      <c r="Z283" s="94"/>
      <c r="AA283" s="94"/>
      <c r="AB283" s="94"/>
      <c r="AC283" s="94"/>
      <c r="AD283" s="94"/>
      <c r="AE283" s="94"/>
      <c r="AF283" s="62"/>
      <c r="AG283" s="65"/>
      <c r="AH283" s="65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94"/>
      <c r="C284" s="94"/>
      <c r="D284" s="94"/>
      <c r="E284" s="94"/>
      <c r="F284" s="94"/>
      <c r="G284" s="94"/>
      <c r="H284" s="62"/>
      <c r="I284" s="62"/>
      <c r="J284" s="62"/>
      <c r="K284" s="62"/>
      <c r="L284" s="62"/>
      <c r="M284" s="62"/>
      <c r="N284" s="94"/>
      <c r="O284" s="94"/>
      <c r="P284" s="94"/>
      <c r="Q284" s="94"/>
      <c r="R284" s="94"/>
      <c r="S284" s="94"/>
      <c r="T284" s="62"/>
      <c r="U284" s="62"/>
      <c r="V284" s="62"/>
      <c r="W284" s="62"/>
      <c r="X284" s="62"/>
      <c r="Y284" s="62"/>
      <c r="Z284" s="94"/>
      <c r="AA284" s="94"/>
      <c r="AB284" s="94"/>
      <c r="AC284" s="94"/>
      <c r="AD284" s="94"/>
      <c r="AE284" s="94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94"/>
      <c r="D285" s="106"/>
      <c r="E285" s="106"/>
      <c r="F285" s="94"/>
      <c r="G285" s="94"/>
      <c r="H285" s="62"/>
      <c r="I285" s="106"/>
      <c r="J285" s="106"/>
      <c r="K285" s="105"/>
      <c r="L285" s="62"/>
      <c r="M285" s="62"/>
      <c r="N285" s="65"/>
      <c r="O285" s="94"/>
      <c r="P285" s="106"/>
      <c r="Q285" s="106"/>
      <c r="R285" s="94"/>
      <c r="S285" s="94"/>
      <c r="T285" s="62"/>
      <c r="U285" s="106"/>
      <c r="V285" s="106"/>
      <c r="W285" s="105"/>
      <c r="X285" s="62"/>
      <c r="Y285" s="62"/>
      <c r="Z285" s="65"/>
      <c r="AA285" s="94"/>
      <c r="AB285" s="106"/>
      <c r="AC285" s="106"/>
      <c r="AD285" s="94"/>
      <c r="AE285" s="94"/>
      <c r="AF285" s="62"/>
      <c r="AG285" s="106"/>
      <c r="AH285" s="106"/>
      <c r="AI285" s="105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x14ac:dyDescent="0.25">
      <c r="A286" s="62"/>
      <c r="B286" s="94"/>
      <c r="C286" s="94"/>
      <c r="D286" s="81"/>
      <c r="E286" s="82"/>
      <c r="F286" s="83"/>
      <c r="G286" s="83"/>
      <c r="H286" s="62"/>
      <c r="I286" s="93"/>
      <c r="J286" s="93"/>
      <c r="K286" s="105"/>
      <c r="L286" s="62"/>
      <c r="M286" s="62"/>
      <c r="N286" s="94"/>
      <c r="O286" s="94"/>
      <c r="P286" s="81"/>
      <c r="Q286" s="83"/>
      <c r="R286" s="83"/>
      <c r="S286" s="83"/>
      <c r="T286" s="62"/>
      <c r="U286" s="93"/>
      <c r="V286" s="93"/>
      <c r="W286" s="105"/>
      <c r="X286" s="62"/>
      <c r="Y286" s="62"/>
      <c r="Z286" s="94"/>
      <c r="AA286" s="94"/>
      <c r="AB286" s="81"/>
      <c r="AC286" s="83"/>
      <c r="AD286" s="83"/>
      <c r="AE286" s="83"/>
      <c r="AF286" s="62"/>
      <c r="AG286" s="93"/>
      <c r="AH286" s="93"/>
      <c r="AI286" s="105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92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94"/>
      <c r="P287" s="60"/>
      <c r="Q287" s="60"/>
      <c r="R287" s="60"/>
      <c r="S287" s="60"/>
      <c r="T287" s="61"/>
      <c r="U287" s="61"/>
      <c r="V287" s="61"/>
      <c r="W287" s="61"/>
      <c r="X287" s="62"/>
      <c r="Y287" s="62"/>
      <c r="Z287" s="66"/>
      <c r="AA287" s="94"/>
      <c r="AB287" s="60"/>
      <c r="AC287" s="60"/>
      <c r="AD287" s="60"/>
      <c r="AE287" s="60"/>
      <c r="AF287" s="61"/>
      <c r="AG287" s="61"/>
      <c r="AH287" s="61"/>
      <c r="AI287" s="61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92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94"/>
      <c r="P288" s="60"/>
      <c r="Q288" s="60"/>
      <c r="R288" s="60"/>
      <c r="S288" s="60"/>
      <c r="T288" s="61"/>
      <c r="U288" s="61"/>
      <c r="V288" s="61"/>
      <c r="W288" s="61"/>
      <c r="X288" s="62"/>
      <c r="Y288" s="62"/>
      <c r="Z288" s="66"/>
      <c r="AA288" s="94"/>
      <c r="AB288" s="60"/>
      <c r="AC288" s="60"/>
      <c r="AD288" s="60"/>
      <c r="AE288" s="60"/>
      <c r="AF288" s="61"/>
      <c r="AG288" s="61"/>
      <c r="AH288" s="61"/>
      <c r="AI288" s="61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92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94"/>
      <c r="P289" s="60"/>
      <c r="Q289" s="60"/>
      <c r="R289" s="60"/>
      <c r="S289" s="60"/>
      <c r="T289" s="61"/>
      <c r="U289" s="61"/>
      <c r="V289" s="61"/>
      <c r="W289" s="61"/>
      <c r="X289" s="62"/>
      <c r="Y289" s="62"/>
      <c r="Z289" s="66"/>
      <c r="AA289" s="94"/>
      <c r="AB289" s="60"/>
      <c r="AC289" s="60"/>
      <c r="AD289" s="60"/>
      <c r="AE289" s="60"/>
      <c r="AF289" s="61"/>
      <c r="AG289" s="61"/>
      <c r="AH289" s="61"/>
      <c r="AI289" s="61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92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94"/>
      <c r="P290" s="60"/>
      <c r="Q290" s="60"/>
      <c r="R290" s="60"/>
      <c r="S290" s="60"/>
      <c r="T290" s="61"/>
      <c r="U290" s="61"/>
      <c r="V290" s="61"/>
      <c r="W290" s="61"/>
      <c r="X290" s="62"/>
      <c r="Y290" s="62"/>
      <c r="Z290" s="66"/>
      <c r="AA290" s="94"/>
      <c r="AB290" s="60"/>
      <c r="AC290" s="60"/>
      <c r="AD290" s="60"/>
      <c r="AE290" s="60"/>
      <c r="AF290" s="61"/>
      <c r="AG290" s="62"/>
      <c r="AH290" s="61"/>
      <c r="AI290" s="61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92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94"/>
      <c r="P291" s="60"/>
      <c r="Q291" s="60"/>
      <c r="R291" s="60"/>
      <c r="S291" s="60"/>
      <c r="T291" s="61"/>
      <c r="U291" s="61"/>
      <c r="V291" s="61"/>
      <c r="W291" s="61"/>
      <c r="X291" s="62"/>
      <c r="Y291" s="62"/>
      <c r="Z291" s="66"/>
      <c r="AA291" s="65"/>
      <c r="AB291" s="60"/>
      <c r="AC291" s="60"/>
      <c r="AD291" s="60"/>
      <c r="AE291" s="60"/>
      <c r="AF291" s="61"/>
      <c r="AG291" s="61"/>
      <c r="AH291" s="61"/>
      <c r="AI291" s="61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92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94"/>
      <c r="P292" s="60"/>
      <c r="Q292" s="60"/>
      <c r="R292" s="60"/>
      <c r="S292" s="60"/>
      <c r="T292" s="61"/>
      <c r="U292" s="61"/>
      <c r="V292" s="62"/>
      <c r="W292" s="61"/>
      <c r="X292" s="62"/>
      <c r="Y292" s="62"/>
      <c r="Z292" s="66"/>
      <c r="AA292" s="94"/>
      <c r="AB292" s="60"/>
      <c r="AC292" s="60"/>
      <c r="AD292" s="60"/>
      <c r="AE292" s="60"/>
      <c r="AF292" s="61"/>
      <c r="AG292" s="61"/>
      <c r="AH292" s="62"/>
      <c r="AI292" s="61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92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94"/>
      <c r="P293" s="60"/>
      <c r="Q293" s="60"/>
      <c r="R293" s="60"/>
      <c r="S293" s="60"/>
      <c r="T293" s="61"/>
      <c r="U293" s="61"/>
      <c r="V293" s="61"/>
      <c r="W293" s="61"/>
      <c r="X293" s="62"/>
      <c r="Y293" s="62"/>
      <c r="Z293" s="66"/>
      <c r="AA293" s="94"/>
      <c r="AB293" s="60"/>
      <c r="AC293" s="60"/>
      <c r="AD293" s="60"/>
      <c r="AE293" s="60"/>
      <c r="AF293" s="61"/>
      <c r="AG293" s="61"/>
      <c r="AH293" s="61"/>
      <c r="AI293" s="61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92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94"/>
      <c r="P294" s="60"/>
      <c r="Q294" s="60"/>
      <c r="R294" s="60"/>
      <c r="S294" s="60"/>
      <c r="T294" s="61"/>
      <c r="U294" s="61"/>
      <c r="V294" s="61"/>
      <c r="W294" s="61"/>
      <c r="X294" s="62"/>
      <c r="Y294" s="62"/>
      <c r="Z294" s="66"/>
      <c r="AA294" s="94"/>
      <c r="AB294" s="60"/>
      <c r="AC294" s="60"/>
      <c r="AD294" s="62"/>
      <c r="AE294" s="60"/>
      <c r="AF294" s="61"/>
      <c r="AG294" s="61"/>
      <c r="AH294" s="61"/>
      <c r="AI294" s="61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92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94"/>
      <c r="P295" s="60"/>
      <c r="Q295" s="60"/>
      <c r="R295" s="60"/>
      <c r="S295" s="60"/>
      <c r="T295" s="61"/>
      <c r="U295" s="61"/>
      <c r="V295" s="61"/>
      <c r="W295" s="61"/>
      <c r="X295" s="62"/>
      <c r="Y295" s="62"/>
      <c r="Z295" s="66"/>
      <c r="AA295" s="94"/>
      <c r="AB295" s="62"/>
      <c r="AC295" s="60"/>
      <c r="AD295" s="60"/>
      <c r="AE295" s="60"/>
      <c r="AF295" s="61"/>
      <c r="AG295" s="62"/>
      <c r="AH295" s="61"/>
      <c r="AI295" s="61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92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94"/>
      <c r="P296" s="60"/>
      <c r="Q296" s="60"/>
      <c r="R296" s="60"/>
      <c r="S296" s="60"/>
      <c r="T296" s="61"/>
      <c r="U296" s="61"/>
      <c r="V296" s="61"/>
      <c r="W296" s="61"/>
      <c r="X296" s="62"/>
      <c r="Y296" s="62"/>
      <c r="Z296" s="66"/>
      <c r="AA296" s="94"/>
      <c r="AB296" s="60"/>
      <c r="AC296" s="60"/>
      <c r="AD296" s="60"/>
      <c r="AE296" s="60"/>
      <c r="AF296" s="61"/>
      <c r="AG296" s="61"/>
      <c r="AH296" s="61"/>
      <c r="AI296" s="61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92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94"/>
      <c r="P297" s="60"/>
      <c r="Q297" s="60"/>
      <c r="R297" s="60"/>
      <c r="S297" s="60"/>
      <c r="T297" s="61"/>
      <c r="U297" s="61"/>
      <c r="V297" s="61"/>
      <c r="W297" s="61"/>
      <c r="X297" s="62"/>
      <c r="Y297" s="62"/>
      <c r="Z297" s="66"/>
      <c r="AA297" s="94"/>
      <c r="AB297" s="60"/>
      <c r="AC297" s="60"/>
      <c r="AD297" s="60"/>
      <c r="AE297" s="60"/>
      <c r="AF297" s="61"/>
      <c r="AG297" s="61"/>
      <c r="AH297" s="61"/>
      <c r="AI297" s="61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65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94"/>
      <c r="P298" s="60"/>
      <c r="Q298" s="60"/>
      <c r="R298" s="60"/>
      <c r="S298" s="60"/>
      <c r="T298" s="61"/>
      <c r="U298" s="61"/>
      <c r="V298" s="61"/>
      <c r="W298" s="61"/>
      <c r="X298" s="62"/>
      <c r="Y298" s="62"/>
      <c r="Z298" s="66"/>
      <c r="AA298" s="94"/>
      <c r="AB298" s="60"/>
      <c r="AC298" s="60"/>
      <c r="AD298" s="60"/>
      <c r="AE298" s="60"/>
      <c r="AF298" s="61"/>
      <c r="AG298" s="61"/>
      <c r="AH298" s="61"/>
      <c r="AI298" s="61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92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94"/>
      <c r="P299" s="60"/>
      <c r="Q299" s="60"/>
      <c r="R299" s="60"/>
      <c r="S299" s="60"/>
      <c r="T299" s="61"/>
      <c r="U299" s="61"/>
      <c r="V299" s="61"/>
      <c r="W299" s="61"/>
      <c r="X299" s="62"/>
      <c r="Y299" s="62"/>
      <c r="Z299" s="66"/>
      <c r="AA299" s="94"/>
      <c r="AB299" s="60"/>
      <c r="AC299" s="60"/>
      <c r="AD299" s="60"/>
      <c r="AE299" s="60"/>
      <c r="AF299" s="61"/>
      <c r="AG299" s="61"/>
      <c r="AH299" s="61"/>
      <c r="AI299" s="61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92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94"/>
      <c r="P300" s="60"/>
      <c r="Q300" s="60"/>
      <c r="R300" s="60"/>
      <c r="S300" s="60"/>
      <c r="T300" s="61"/>
      <c r="U300" s="61"/>
      <c r="V300" s="61"/>
      <c r="W300" s="61"/>
      <c r="X300" s="62"/>
      <c r="Y300" s="62"/>
      <c r="Z300" s="66"/>
      <c r="AA300" s="94"/>
      <c r="AB300" s="60"/>
      <c r="AC300" s="60"/>
      <c r="AD300" s="60"/>
      <c r="AE300" s="60"/>
      <c r="AF300" s="61"/>
      <c r="AG300" s="61"/>
      <c r="AH300" s="61"/>
      <c r="AI300" s="61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92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94"/>
      <c r="P301" s="60"/>
      <c r="Q301" s="60"/>
      <c r="R301" s="60"/>
      <c r="S301" s="60"/>
      <c r="T301" s="61"/>
      <c r="U301" s="61"/>
      <c r="V301" s="61"/>
      <c r="W301" s="61"/>
      <c r="X301" s="62"/>
      <c r="Y301" s="62"/>
      <c r="Z301" s="66"/>
      <c r="AA301" s="94"/>
      <c r="AB301" s="60"/>
      <c r="AC301" s="60"/>
      <c r="AD301" s="60"/>
      <c r="AE301" s="60"/>
      <c r="AF301" s="61"/>
      <c r="AG301" s="61"/>
      <c r="AH301" s="61"/>
      <c r="AI301" s="61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65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94"/>
      <c r="P302" s="60"/>
      <c r="Q302" s="60"/>
      <c r="R302" s="60"/>
      <c r="S302" s="60"/>
      <c r="T302" s="61"/>
      <c r="U302" s="61"/>
      <c r="V302" s="61"/>
      <c r="W302" s="61"/>
      <c r="X302" s="62"/>
      <c r="Y302" s="62"/>
      <c r="Z302" s="66"/>
      <c r="AA302" s="94"/>
      <c r="AB302" s="60"/>
      <c r="AC302" s="60"/>
      <c r="AD302" s="60"/>
      <c r="AE302" s="60"/>
      <c r="AF302" s="61"/>
      <c r="AG302" s="61"/>
      <c r="AH302" s="61"/>
      <c r="AI302" s="61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65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94"/>
      <c r="P303" s="60"/>
      <c r="Q303" s="60"/>
      <c r="R303" s="60"/>
      <c r="S303" s="60"/>
      <c r="T303" s="61"/>
      <c r="U303" s="61"/>
      <c r="V303" s="61"/>
      <c r="W303" s="61"/>
      <c r="X303" s="62"/>
      <c r="Y303" s="62"/>
      <c r="Z303" s="66"/>
      <c r="AA303" s="94"/>
      <c r="AB303" s="60"/>
      <c r="AC303" s="60"/>
      <c r="AD303" s="60"/>
      <c r="AE303" s="60"/>
      <c r="AF303" s="61"/>
      <c r="AG303" s="61"/>
      <c r="AH303" s="61"/>
      <c r="AI303" s="61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94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94"/>
      <c r="P304" s="60"/>
      <c r="Q304" s="60"/>
      <c r="R304" s="60"/>
      <c r="S304" s="60"/>
      <c r="T304" s="61"/>
      <c r="U304" s="61"/>
      <c r="V304" s="61"/>
      <c r="W304" s="61"/>
      <c r="X304" s="62"/>
      <c r="Y304" s="62"/>
      <c r="Z304" s="66"/>
      <c r="AA304" s="94"/>
      <c r="AB304" s="60"/>
      <c r="AC304" s="60"/>
      <c r="AD304" s="60"/>
      <c r="AE304" s="60"/>
      <c r="AF304" s="61"/>
      <c r="AG304" s="61"/>
      <c r="AH304" s="61"/>
      <c r="AI304" s="61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92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94"/>
      <c r="P305" s="60"/>
      <c r="Q305" s="60"/>
      <c r="R305" s="60"/>
      <c r="S305" s="60"/>
      <c r="T305" s="61"/>
      <c r="U305" s="61"/>
      <c r="V305" s="61"/>
      <c r="W305" s="61"/>
      <c r="X305" s="62"/>
      <c r="Y305" s="62"/>
      <c r="Z305" s="66"/>
      <c r="AA305" s="94"/>
      <c r="AB305" s="60"/>
      <c r="AC305" s="60"/>
      <c r="AD305" s="60"/>
      <c r="AE305" s="60"/>
      <c r="AF305" s="61"/>
      <c r="AG305" s="61"/>
      <c r="AH305" s="61"/>
      <c r="AI305" s="61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92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94"/>
      <c r="P306" s="60"/>
      <c r="Q306" s="60"/>
      <c r="R306" s="60"/>
      <c r="S306" s="60"/>
      <c r="T306" s="61"/>
      <c r="U306" s="61"/>
      <c r="V306" s="61"/>
      <c r="W306" s="61"/>
      <c r="X306" s="62"/>
      <c r="Y306" s="62"/>
      <c r="Z306" s="66"/>
      <c r="AA306" s="94"/>
      <c r="AB306" s="60"/>
      <c r="AC306" s="60"/>
      <c r="AD306" s="60"/>
      <c r="AE306" s="60"/>
      <c r="AF306" s="61"/>
      <c r="AG306" s="61"/>
      <c r="AH306" s="61"/>
      <c r="AI306" s="61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92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94"/>
      <c r="P307" s="67"/>
      <c r="Q307" s="94"/>
      <c r="R307" s="94"/>
      <c r="S307" s="60"/>
      <c r="T307" s="62"/>
      <c r="U307" s="62"/>
      <c r="V307" s="62"/>
      <c r="W307" s="61"/>
      <c r="X307" s="62"/>
      <c r="Y307" s="62"/>
      <c r="Z307" s="66"/>
      <c r="AA307" s="62"/>
      <c r="AB307" s="67"/>
      <c r="AC307" s="94"/>
      <c r="AD307" s="94"/>
      <c r="AE307" s="60"/>
      <c r="AF307" s="62"/>
      <c r="AG307" s="62"/>
      <c r="AH307" s="62"/>
      <c r="AI307" s="61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92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94"/>
      <c r="P308" s="68"/>
      <c r="Q308" s="94"/>
      <c r="R308" s="94"/>
      <c r="S308" s="60"/>
      <c r="T308" s="62"/>
      <c r="U308" s="62"/>
      <c r="V308" s="62"/>
      <c r="W308" s="61"/>
      <c r="X308" s="62"/>
      <c r="Y308" s="62"/>
      <c r="Z308" s="66"/>
      <c r="AA308" s="62"/>
      <c r="AB308" s="68"/>
      <c r="AC308" s="94"/>
      <c r="AD308" s="94"/>
      <c r="AE308" s="60"/>
      <c r="AF308" s="62"/>
      <c r="AG308" s="62"/>
      <c r="AH308" s="62"/>
      <c r="AI308" s="61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94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94"/>
      <c r="P309" s="69"/>
      <c r="Q309" s="62"/>
      <c r="R309" s="62"/>
      <c r="S309" s="60"/>
      <c r="T309" s="62"/>
      <c r="U309" s="62"/>
      <c r="V309" s="62"/>
      <c r="W309" s="61"/>
      <c r="X309" s="62"/>
      <c r="Y309" s="62"/>
      <c r="Z309" s="66"/>
      <c r="AA309" s="94"/>
      <c r="AB309" s="69"/>
      <c r="AC309" s="62"/>
      <c r="AD309" s="62"/>
      <c r="AE309" s="60"/>
      <c r="AF309" s="62"/>
      <c r="AG309" s="62"/>
      <c r="AH309" s="62"/>
      <c r="AI309" s="61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94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65"/>
      <c r="P310" s="69"/>
      <c r="Q310" s="94"/>
      <c r="R310" s="94"/>
      <c r="S310" s="60"/>
      <c r="T310" s="62"/>
      <c r="U310" s="62"/>
      <c r="V310" s="62"/>
      <c r="W310" s="61"/>
      <c r="X310" s="62"/>
      <c r="Y310" s="62"/>
      <c r="Z310" s="66"/>
      <c r="AA310" s="94"/>
      <c r="AB310" s="69"/>
      <c r="AC310" s="94"/>
      <c r="AD310" s="94"/>
      <c r="AE310" s="60"/>
      <c r="AF310" s="62"/>
      <c r="AG310" s="62"/>
      <c r="AH310" s="62"/>
      <c r="AI310" s="61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94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94"/>
      <c r="P311" s="69"/>
      <c r="Q311" s="94"/>
      <c r="R311" s="94"/>
      <c r="S311" s="60"/>
      <c r="T311" s="62"/>
      <c r="U311" s="62"/>
      <c r="V311" s="62"/>
      <c r="W311" s="61"/>
      <c r="X311" s="62"/>
      <c r="Y311" s="62"/>
      <c r="Z311" s="66"/>
      <c r="AA311" s="65"/>
      <c r="AB311" s="69"/>
      <c r="AC311" s="94"/>
      <c r="AD311" s="94"/>
      <c r="AE311" s="60"/>
      <c r="AF311" s="62"/>
      <c r="AG311" s="62"/>
      <c r="AH311" s="62"/>
      <c r="AI311" s="61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65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62"/>
      <c r="P312" s="69"/>
      <c r="Q312" s="94"/>
      <c r="R312" s="94"/>
      <c r="S312" s="60"/>
      <c r="T312" s="62"/>
      <c r="U312" s="62"/>
      <c r="V312" s="62"/>
      <c r="W312" s="61"/>
      <c r="X312" s="62"/>
      <c r="Y312" s="62"/>
      <c r="Z312" s="66"/>
      <c r="AA312" s="62"/>
      <c r="AB312" s="69"/>
      <c r="AC312" s="94"/>
      <c r="AD312" s="94"/>
      <c r="AE312" s="60"/>
      <c r="AF312" s="62"/>
      <c r="AG312" s="62"/>
      <c r="AH312" s="62"/>
      <c r="AI312" s="61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94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94"/>
      <c r="P313" s="69"/>
      <c r="Q313" s="94"/>
      <c r="R313" s="94"/>
      <c r="S313" s="60"/>
      <c r="T313" s="62"/>
      <c r="U313" s="62"/>
      <c r="V313" s="62"/>
      <c r="W313" s="61"/>
      <c r="X313" s="62"/>
      <c r="Y313" s="62"/>
      <c r="Z313" s="66"/>
      <c r="AA313" s="94"/>
      <c r="AB313" s="69"/>
      <c r="AC313" s="94"/>
      <c r="AD313" s="94"/>
      <c r="AE313" s="60"/>
      <c r="AF313" s="62"/>
      <c r="AG313" s="62"/>
      <c r="AH313" s="62"/>
      <c r="AI313" s="61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94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94"/>
      <c r="P314" s="69"/>
      <c r="Q314" s="94"/>
      <c r="R314" s="94"/>
      <c r="S314" s="60"/>
      <c r="T314" s="62"/>
      <c r="U314" s="62"/>
      <c r="V314" s="62"/>
      <c r="W314" s="61"/>
      <c r="X314" s="62"/>
      <c r="Y314" s="62"/>
      <c r="Z314" s="66"/>
      <c r="AA314" s="94"/>
      <c r="AB314" s="69"/>
      <c r="AC314" s="94"/>
      <c r="AD314" s="94"/>
      <c r="AE314" s="60"/>
      <c r="AF314" s="62"/>
      <c r="AG314" s="62"/>
      <c r="AH314" s="62"/>
      <c r="AI314" s="61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94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62"/>
      <c r="P315" s="69"/>
      <c r="Q315" s="94"/>
      <c r="R315" s="94"/>
      <c r="S315" s="60"/>
      <c r="T315" s="62"/>
      <c r="U315" s="62"/>
      <c r="V315" s="62"/>
      <c r="W315" s="61"/>
      <c r="X315" s="62"/>
      <c r="Y315" s="62"/>
      <c r="Z315" s="66"/>
      <c r="AA315" s="94"/>
      <c r="AB315" s="69"/>
      <c r="AC315" s="94"/>
      <c r="AD315" s="94"/>
      <c r="AE315" s="60"/>
      <c r="AF315" s="62"/>
      <c r="AG315" s="62"/>
      <c r="AH315" s="62"/>
      <c r="AI315" s="61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94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62"/>
      <c r="P316" s="69"/>
      <c r="Q316" s="94"/>
      <c r="R316" s="94"/>
      <c r="S316" s="60"/>
      <c r="T316" s="62"/>
      <c r="U316" s="62"/>
      <c r="V316" s="62"/>
      <c r="W316" s="61"/>
      <c r="X316" s="62"/>
      <c r="Y316" s="62"/>
      <c r="Z316" s="66"/>
      <c r="AA316" s="62"/>
      <c r="AB316" s="69"/>
      <c r="AC316" s="94"/>
      <c r="AD316" s="94"/>
      <c r="AE316" s="60"/>
      <c r="AF316" s="62"/>
      <c r="AG316" s="62"/>
      <c r="AH316" s="62"/>
      <c r="AI316" s="61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94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94"/>
      <c r="P317" s="69"/>
      <c r="Q317" s="94"/>
      <c r="R317" s="94"/>
      <c r="S317" s="60"/>
      <c r="T317" s="62"/>
      <c r="U317" s="62"/>
      <c r="V317" s="62"/>
      <c r="W317" s="61"/>
      <c r="X317" s="62"/>
      <c r="Y317" s="62"/>
      <c r="Z317" s="66"/>
      <c r="AA317" s="62"/>
      <c r="AB317" s="69"/>
      <c r="AC317" s="94"/>
      <c r="AD317" s="94"/>
      <c r="AE317" s="60"/>
      <c r="AF317" s="62"/>
      <c r="AG317" s="62"/>
      <c r="AH317" s="62"/>
      <c r="AI317" s="61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94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62"/>
      <c r="P318" s="69"/>
      <c r="Q318" s="94"/>
      <c r="R318" s="94"/>
      <c r="S318" s="60"/>
      <c r="T318" s="62"/>
      <c r="U318" s="62"/>
      <c r="V318" s="62"/>
      <c r="W318" s="61"/>
      <c r="X318" s="62"/>
      <c r="Y318" s="62"/>
      <c r="Z318" s="66"/>
      <c r="AA318" s="94"/>
      <c r="AB318" s="69"/>
      <c r="AC318" s="94"/>
      <c r="AD318" s="94"/>
      <c r="AE318" s="60"/>
      <c r="AF318" s="62"/>
      <c r="AG318" s="62"/>
      <c r="AH318" s="62"/>
      <c r="AI318" s="61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94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94"/>
      <c r="P319" s="69"/>
      <c r="Q319" s="94"/>
      <c r="R319" s="94"/>
      <c r="S319" s="60"/>
      <c r="T319" s="62"/>
      <c r="U319" s="62"/>
      <c r="V319" s="62"/>
      <c r="W319" s="61"/>
      <c r="X319" s="62"/>
      <c r="Y319" s="62"/>
      <c r="Z319" s="66"/>
      <c r="AA319" s="94"/>
      <c r="AB319" s="69"/>
      <c r="AC319" s="94"/>
      <c r="AD319" s="94"/>
      <c r="AE319" s="60"/>
      <c r="AF319" s="62"/>
      <c r="AG319" s="62"/>
      <c r="AH319" s="62"/>
      <c r="AI319" s="61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94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94"/>
      <c r="P320" s="69"/>
      <c r="Q320" s="94"/>
      <c r="R320" s="94"/>
      <c r="S320" s="60"/>
      <c r="T320" s="62"/>
      <c r="U320" s="62"/>
      <c r="V320" s="62"/>
      <c r="W320" s="61"/>
      <c r="X320" s="62"/>
      <c r="Y320" s="62"/>
      <c r="Z320" s="66"/>
      <c r="AA320" s="62"/>
      <c r="AB320" s="69"/>
      <c r="AC320" s="94"/>
      <c r="AD320" s="94"/>
      <c r="AE320" s="60"/>
      <c r="AF320" s="62"/>
      <c r="AG320" s="62"/>
      <c r="AH320" s="62"/>
      <c r="AI320" s="61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94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94"/>
      <c r="P321" s="69"/>
      <c r="Q321" s="94"/>
      <c r="R321" s="94"/>
      <c r="S321" s="60"/>
      <c r="T321" s="62"/>
      <c r="U321" s="62"/>
      <c r="V321" s="62"/>
      <c r="W321" s="61"/>
      <c r="X321" s="62"/>
      <c r="Y321" s="62"/>
      <c r="Z321" s="66"/>
      <c r="AA321" s="94"/>
      <c r="AB321" s="69"/>
      <c r="AC321" s="94"/>
      <c r="AD321" s="94"/>
      <c r="AE321" s="60"/>
      <c r="AF321" s="62"/>
      <c r="AG321" s="62"/>
      <c r="AH321" s="62"/>
      <c r="AI321" s="61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94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94"/>
      <c r="P322" s="69"/>
      <c r="Q322" s="94"/>
      <c r="R322" s="94"/>
      <c r="S322" s="60"/>
      <c r="T322" s="62"/>
      <c r="U322" s="62"/>
      <c r="V322" s="62"/>
      <c r="W322" s="61"/>
      <c r="X322" s="62"/>
      <c r="Y322" s="62"/>
      <c r="Z322" s="66"/>
      <c r="AA322" s="94"/>
      <c r="AB322" s="69"/>
      <c r="AC322" s="94"/>
      <c r="AD322" s="94"/>
      <c r="AE322" s="60"/>
      <c r="AF322" s="62"/>
      <c r="AG322" s="62"/>
      <c r="AH322" s="62"/>
      <c r="AI322" s="61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94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94"/>
      <c r="R323" s="94"/>
      <c r="S323" s="60"/>
      <c r="T323" s="62"/>
      <c r="U323" s="62"/>
      <c r="V323" s="62"/>
      <c r="W323" s="61"/>
      <c r="X323" s="62"/>
      <c r="Y323" s="62"/>
      <c r="Z323" s="66"/>
      <c r="AA323" s="94"/>
      <c r="AB323" s="69"/>
      <c r="AC323" s="94"/>
      <c r="AD323" s="94"/>
      <c r="AE323" s="60"/>
      <c r="AF323" s="62"/>
      <c r="AG323" s="62"/>
      <c r="AH323" s="62"/>
      <c r="AI323" s="61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94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94"/>
      <c r="P324" s="69"/>
      <c r="Q324" s="94"/>
      <c r="R324" s="94"/>
      <c r="S324" s="60"/>
      <c r="T324" s="62"/>
      <c r="U324" s="62"/>
      <c r="V324" s="62"/>
      <c r="W324" s="61"/>
      <c r="X324" s="62"/>
      <c r="Y324" s="62"/>
      <c r="Z324" s="66"/>
      <c r="AA324" s="94"/>
      <c r="AB324" s="69"/>
      <c r="AC324" s="94"/>
      <c r="AD324" s="94"/>
      <c r="AE324" s="60"/>
      <c r="AF324" s="62"/>
      <c r="AG324" s="62"/>
      <c r="AH324" s="62"/>
      <c r="AI324" s="61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94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94"/>
      <c r="P325" s="69"/>
      <c r="Q325" s="94"/>
      <c r="R325" s="94"/>
      <c r="S325" s="60"/>
      <c r="T325" s="62"/>
      <c r="U325" s="62"/>
      <c r="V325" s="62"/>
      <c r="W325" s="61"/>
      <c r="X325" s="62"/>
      <c r="Y325" s="62"/>
      <c r="Z325" s="66"/>
      <c r="AA325" s="94"/>
      <c r="AB325" s="69"/>
      <c r="AC325" s="94"/>
      <c r="AD325" s="94"/>
      <c r="AE325" s="60"/>
      <c r="AF325" s="62"/>
      <c r="AG325" s="62"/>
      <c r="AH325" s="62"/>
      <c r="AI325" s="61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94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94"/>
      <c r="R326" s="94"/>
      <c r="S326" s="60"/>
      <c r="T326" s="62"/>
      <c r="U326" s="62"/>
      <c r="V326" s="62"/>
      <c r="W326" s="61"/>
      <c r="X326" s="62"/>
      <c r="Y326" s="62"/>
      <c r="Z326" s="66"/>
      <c r="AA326" s="62"/>
      <c r="AB326" s="69"/>
      <c r="AC326" s="94"/>
      <c r="AD326" s="94"/>
      <c r="AE326" s="60"/>
      <c r="AF326" s="62"/>
      <c r="AG326" s="62"/>
      <c r="AH326" s="62"/>
      <c r="AI326" s="61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94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94"/>
      <c r="P327" s="69"/>
      <c r="Q327" s="94"/>
      <c r="R327" s="94"/>
      <c r="S327" s="60"/>
      <c r="T327" s="62"/>
      <c r="U327" s="62"/>
      <c r="V327" s="62"/>
      <c r="W327" s="61"/>
      <c r="X327" s="62"/>
      <c r="Y327" s="62"/>
      <c r="Z327" s="66"/>
      <c r="AA327" s="94"/>
      <c r="AB327" s="69"/>
      <c r="AC327" s="94"/>
      <c r="AD327" s="94"/>
      <c r="AE327" s="60"/>
      <c r="AF327" s="62"/>
      <c r="AG327" s="62"/>
      <c r="AH327" s="62"/>
      <c r="AI327" s="61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94"/>
      <c r="O328" s="94"/>
      <c r="P328" s="94"/>
      <c r="Q328" s="94"/>
      <c r="R328" s="94"/>
      <c r="S328" s="94"/>
      <c r="T328" s="62"/>
      <c r="U328" s="62"/>
      <c r="V328" s="62"/>
      <c r="W328" s="61"/>
      <c r="X328" s="62"/>
      <c r="Y328" s="62"/>
      <c r="Z328" s="94"/>
      <c r="AA328" s="94"/>
      <c r="AB328" s="94"/>
      <c r="AC328" s="94"/>
      <c r="AD328" s="94"/>
      <c r="AE328" s="94"/>
      <c r="AF328" s="62"/>
      <c r="AG328" s="62"/>
      <c r="AH328" s="62"/>
      <c r="AI328" s="61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94"/>
      <c r="C329" s="94"/>
      <c r="D329" s="94"/>
      <c r="E329" s="94"/>
      <c r="F329" s="94"/>
      <c r="G329" s="94"/>
      <c r="H329" s="62"/>
      <c r="I329" s="62"/>
      <c r="J329" s="62"/>
      <c r="K329" s="62"/>
      <c r="L329" s="62"/>
      <c r="M329" s="62"/>
      <c r="N329" s="94"/>
      <c r="O329" s="94"/>
      <c r="P329" s="94"/>
      <c r="Q329" s="94"/>
      <c r="R329" s="94"/>
      <c r="S329" s="94"/>
      <c r="T329" s="62"/>
      <c r="U329" s="62"/>
      <c r="V329" s="62"/>
      <c r="W329" s="62"/>
      <c r="X329" s="62"/>
      <c r="Y329" s="62"/>
      <c r="Z329" s="94"/>
      <c r="AA329" s="94"/>
      <c r="AB329" s="94"/>
      <c r="AC329" s="94"/>
      <c r="AD329" s="94"/>
      <c r="AE329" s="94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94"/>
      <c r="C330" s="94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94"/>
      <c r="O330" s="94"/>
      <c r="P330" s="70"/>
      <c r="Q330" s="70"/>
      <c r="R330" s="70"/>
      <c r="S330" s="70"/>
      <c r="T330" s="63"/>
      <c r="U330" s="71"/>
      <c r="V330" s="71"/>
      <c r="W330" s="71"/>
      <c r="X330" s="62"/>
      <c r="Y330" s="62"/>
      <c r="Z330" s="94"/>
      <c r="AA330" s="94"/>
      <c r="AB330" s="70"/>
      <c r="AC330" s="70"/>
      <c r="AD330" s="70"/>
      <c r="AE330" s="70"/>
      <c r="AF330" s="63"/>
      <c r="AG330" s="71"/>
      <c r="AH330" s="71"/>
      <c r="AI330" s="71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94"/>
      <c r="C332" s="94"/>
      <c r="D332" s="94"/>
      <c r="E332" s="94"/>
      <c r="F332" s="94"/>
      <c r="G332" s="94"/>
      <c r="H332" s="62"/>
      <c r="I332" s="62"/>
      <c r="J332" s="62"/>
      <c r="K332" s="62"/>
      <c r="L332" s="62"/>
      <c r="M332" s="62"/>
      <c r="N332" s="94"/>
      <c r="O332" s="94"/>
      <c r="P332" s="94"/>
      <c r="Q332" s="94"/>
      <c r="R332" s="94"/>
      <c r="S332" s="94"/>
      <c r="T332" s="62"/>
      <c r="U332" s="62"/>
      <c r="V332" s="62"/>
      <c r="W332" s="62"/>
      <c r="X332" s="62"/>
      <c r="Y332" s="62"/>
      <c r="Z332" s="94"/>
      <c r="AA332" s="94"/>
      <c r="AB332" s="94"/>
      <c r="AC332" s="94"/>
      <c r="AD332" s="94"/>
      <c r="AE332" s="94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94"/>
      <c r="C333" s="94"/>
      <c r="D333" s="94"/>
      <c r="E333" s="94"/>
      <c r="F333" s="94"/>
      <c r="G333" s="94"/>
      <c r="H333" s="62"/>
      <c r="I333" s="62"/>
      <c r="J333" s="62"/>
      <c r="K333" s="62"/>
      <c r="L333" s="62"/>
      <c r="M333" s="62"/>
      <c r="N333" s="94"/>
      <c r="O333" s="94"/>
      <c r="P333" s="94"/>
      <c r="Q333" s="94"/>
      <c r="R333" s="94"/>
      <c r="S333" s="94"/>
      <c r="T333" s="62"/>
      <c r="U333" s="62"/>
      <c r="V333" s="62"/>
      <c r="W333" s="62"/>
      <c r="X333" s="62"/>
      <c r="Y333" s="62"/>
      <c r="Z333" s="94"/>
      <c r="AA333" s="94"/>
      <c r="AB333" s="94"/>
      <c r="AC333" s="94"/>
      <c r="AD333" s="94"/>
      <c r="AE333" s="94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94"/>
      <c r="C334" s="94"/>
      <c r="D334" s="94"/>
      <c r="E334" s="94"/>
      <c r="F334" s="94"/>
      <c r="G334" s="94"/>
      <c r="H334" s="62"/>
      <c r="I334" s="62"/>
      <c r="J334" s="62"/>
      <c r="K334" s="62"/>
      <c r="L334" s="62"/>
      <c r="M334" s="62"/>
      <c r="N334" s="94"/>
      <c r="O334" s="94"/>
      <c r="P334" s="94"/>
      <c r="Q334" s="94"/>
      <c r="R334" s="94"/>
      <c r="S334" s="94"/>
      <c r="T334" s="62"/>
      <c r="U334" s="62"/>
      <c r="V334" s="62"/>
      <c r="W334" s="62"/>
      <c r="X334" s="62"/>
      <c r="Y334" s="62"/>
      <c r="Z334" s="94"/>
      <c r="AA334" s="94"/>
      <c r="AB334" s="94"/>
      <c r="AC334" s="94"/>
      <c r="AD334" s="94"/>
      <c r="AE334" s="94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94"/>
      <c r="C335" s="94"/>
      <c r="D335" s="94"/>
      <c r="E335" s="94"/>
      <c r="F335" s="94"/>
      <c r="G335" s="94"/>
      <c r="H335" s="62"/>
      <c r="I335" s="62"/>
      <c r="J335" s="62"/>
      <c r="K335" s="62"/>
      <c r="L335" s="62"/>
      <c r="M335" s="63"/>
      <c r="N335" s="94"/>
      <c r="O335" s="94"/>
      <c r="P335" s="94"/>
      <c r="Q335" s="94"/>
      <c r="R335" s="94"/>
      <c r="S335" s="94"/>
      <c r="T335" s="62"/>
      <c r="U335" s="62"/>
      <c r="V335" s="62"/>
      <c r="W335" s="62"/>
      <c r="X335" s="62"/>
      <c r="Y335" s="63"/>
      <c r="Z335" s="94"/>
      <c r="AA335" s="94"/>
      <c r="AB335" s="94"/>
      <c r="AC335" s="94"/>
      <c r="AD335" s="94"/>
      <c r="AE335" s="94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94"/>
      <c r="C336" s="94"/>
      <c r="D336" s="94"/>
      <c r="E336" s="94"/>
      <c r="F336" s="94"/>
      <c r="G336" s="94"/>
      <c r="H336" s="62"/>
      <c r="I336" s="62"/>
      <c r="J336" s="62"/>
      <c r="K336" s="62"/>
      <c r="L336" s="62"/>
      <c r="M336" s="62"/>
      <c r="N336" s="94"/>
      <c r="O336" s="94"/>
      <c r="P336" s="94"/>
      <c r="Q336" s="94"/>
      <c r="R336" s="94"/>
      <c r="S336" s="94"/>
      <c r="T336" s="62"/>
      <c r="U336" s="62"/>
      <c r="V336" s="62"/>
      <c r="W336" s="62"/>
      <c r="X336" s="62"/>
      <c r="Y336" s="62"/>
      <c r="Z336" s="94"/>
      <c r="AA336" s="94"/>
      <c r="AB336" s="94"/>
      <c r="AC336" s="94"/>
      <c r="AD336" s="94"/>
      <c r="AE336" s="94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94"/>
      <c r="C337" s="94"/>
      <c r="D337" s="94"/>
      <c r="E337" s="94"/>
      <c r="F337" s="94"/>
      <c r="G337" s="94"/>
      <c r="H337" s="62"/>
      <c r="I337" s="94"/>
      <c r="J337" s="74"/>
      <c r="K337" s="62"/>
      <c r="L337" s="62"/>
      <c r="M337" s="62"/>
      <c r="N337" s="94"/>
      <c r="O337" s="94"/>
      <c r="P337" s="94"/>
      <c r="Q337" s="94"/>
      <c r="R337" s="94"/>
      <c r="S337" s="94"/>
      <c r="T337" s="62"/>
      <c r="U337" s="94"/>
      <c r="V337" s="74"/>
      <c r="W337" s="62"/>
      <c r="X337" s="62"/>
      <c r="Y337" s="62"/>
      <c r="Z337" s="94"/>
      <c r="AA337" s="94"/>
      <c r="AB337" s="94"/>
      <c r="AC337" s="94"/>
      <c r="AD337" s="94"/>
      <c r="AE337" s="94"/>
      <c r="AF337" s="62"/>
      <c r="AG337" s="94"/>
      <c r="AH337" s="94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94"/>
      <c r="C338" s="94"/>
      <c r="D338" s="94"/>
      <c r="E338" s="94"/>
      <c r="F338" s="94"/>
      <c r="G338" s="94"/>
      <c r="H338" s="62"/>
      <c r="I338" s="65"/>
      <c r="J338" s="65"/>
      <c r="K338" s="62"/>
      <c r="L338" s="62"/>
      <c r="M338" s="64"/>
      <c r="N338" s="94"/>
      <c r="O338" s="94"/>
      <c r="P338" s="94"/>
      <c r="Q338" s="94"/>
      <c r="R338" s="94"/>
      <c r="S338" s="94"/>
      <c r="T338" s="62"/>
      <c r="U338" s="65"/>
      <c r="V338" s="65"/>
      <c r="W338" s="62"/>
      <c r="X338" s="62"/>
      <c r="Y338" s="64"/>
      <c r="Z338" s="94"/>
      <c r="AA338" s="94"/>
      <c r="AB338" s="94"/>
      <c r="AC338" s="94"/>
      <c r="AD338" s="94"/>
      <c r="AE338" s="94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94"/>
      <c r="C339" s="94"/>
      <c r="D339" s="94"/>
      <c r="E339" s="94"/>
      <c r="F339" s="94"/>
      <c r="G339" s="94"/>
      <c r="H339" s="62"/>
      <c r="I339" s="62"/>
      <c r="J339" s="62"/>
      <c r="K339" s="62"/>
      <c r="L339" s="62"/>
      <c r="M339" s="62"/>
      <c r="N339" s="94"/>
      <c r="O339" s="94"/>
      <c r="P339" s="94"/>
      <c r="Q339" s="94"/>
      <c r="R339" s="94"/>
      <c r="S339" s="94"/>
      <c r="T339" s="62"/>
      <c r="U339" s="62"/>
      <c r="V339" s="62"/>
      <c r="W339" s="62"/>
      <c r="X339" s="62"/>
      <c r="Y339" s="62"/>
      <c r="Z339" s="94"/>
      <c r="AA339" s="94"/>
      <c r="AB339" s="94"/>
      <c r="AC339" s="94"/>
      <c r="AD339" s="94"/>
      <c r="AE339" s="94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94"/>
      <c r="D340" s="106"/>
      <c r="E340" s="106"/>
      <c r="F340" s="94"/>
      <c r="G340" s="94"/>
      <c r="H340" s="62"/>
      <c r="I340" s="106"/>
      <c r="J340" s="106"/>
      <c r="K340" s="105"/>
      <c r="L340" s="62"/>
      <c r="M340" s="62"/>
      <c r="N340" s="65"/>
      <c r="O340" s="94"/>
      <c r="P340" s="106"/>
      <c r="Q340" s="106"/>
      <c r="R340" s="94"/>
      <c r="S340" s="94"/>
      <c r="T340" s="62"/>
      <c r="U340" s="106"/>
      <c r="V340" s="106"/>
      <c r="W340" s="105"/>
      <c r="X340" s="62"/>
      <c r="Y340" s="62"/>
      <c r="Z340" s="65"/>
      <c r="AA340" s="94"/>
      <c r="AB340" s="106"/>
      <c r="AC340" s="106"/>
      <c r="AD340" s="94"/>
      <c r="AE340" s="94"/>
      <c r="AF340" s="62"/>
      <c r="AG340" s="106"/>
      <c r="AH340" s="106"/>
      <c r="AI340" s="105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94"/>
      <c r="C341" s="94"/>
      <c r="D341" s="81"/>
      <c r="E341" s="82"/>
      <c r="F341" s="83"/>
      <c r="G341" s="83"/>
      <c r="H341" s="62"/>
      <c r="I341" s="93"/>
      <c r="J341" s="93"/>
      <c r="K341" s="105"/>
      <c r="L341" s="62"/>
      <c r="M341" s="62"/>
      <c r="N341" s="94"/>
      <c r="O341" s="94"/>
      <c r="P341" s="81"/>
      <c r="Q341" s="83"/>
      <c r="R341" s="83"/>
      <c r="S341" s="83"/>
      <c r="T341" s="62"/>
      <c r="U341" s="93"/>
      <c r="V341" s="93"/>
      <c r="W341" s="105"/>
      <c r="X341" s="62"/>
      <c r="Y341" s="62"/>
      <c r="Z341" s="94"/>
      <c r="AA341" s="94"/>
      <c r="AB341" s="81"/>
      <c r="AC341" s="83"/>
      <c r="AD341" s="83"/>
      <c r="AE341" s="83"/>
      <c r="AF341" s="62"/>
      <c r="AG341" s="93"/>
      <c r="AH341" s="93"/>
      <c r="AI341" s="105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92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94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94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92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94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94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92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94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65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92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94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94"/>
      <c r="AB345" s="60"/>
      <c r="AC345" s="60"/>
      <c r="AD345" s="60"/>
      <c r="AE345" s="60"/>
      <c r="AF345" s="61"/>
      <c r="AG345" s="62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92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94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94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92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94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94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92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94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94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92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94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94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92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94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94"/>
      <c r="AB350" s="62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92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94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94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92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94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94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92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94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94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92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94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94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92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94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94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92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94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94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92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94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62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92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65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94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65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94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94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94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94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94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92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94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94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92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94"/>
      <c r="P362" s="67"/>
      <c r="Q362" s="94"/>
      <c r="R362" s="94"/>
      <c r="S362" s="60"/>
      <c r="T362" s="62"/>
      <c r="U362" s="62"/>
      <c r="V362" s="62"/>
      <c r="W362" s="61"/>
      <c r="X362" s="62"/>
      <c r="Y362" s="62"/>
      <c r="Z362" s="66"/>
      <c r="AA362" s="62"/>
      <c r="AB362" s="67"/>
      <c r="AC362" s="94"/>
      <c r="AD362" s="94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92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94"/>
      <c r="P363" s="68"/>
      <c r="Q363" s="94"/>
      <c r="R363" s="94"/>
      <c r="S363" s="60"/>
      <c r="T363" s="62"/>
      <c r="U363" s="62"/>
      <c r="V363" s="62"/>
      <c r="W363" s="61"/>
      <c r="X363" s="62"/>
      <c r="Y363" s="62"/>
      <c r="Z363" s="66"/>
      <c r="AA363" s="62"/>
      <c r="AB363" s="68"/>
      <c r="AC363" s="94"/>
      <c r="AD363" s="94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94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94"/>
      <c r="P364" s="69"/>
      <c r="Q364" s="62"/>
      <c r="R364" s="62"/>
      <c r="S364" s="60"/>
      <c r="T364" s="62"/>
      <c r="U364" s="62"/>
      <c r="V364" s="62"/>
      <c r="W364" s="61"/>
      <c r="X364" s="62"/>
      <c r="Y364" s="62"/>
      <c r="Z364" s="66"/>
      <c r="AA364" s="94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94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62"/>
      <c r="P365" s="69"/>
      <c r="Q365" s="94"/>
      <c r="R365" s="94"/>
      <c r="S365" s="60"/>
      <c r="T365" s="62"/>
      <c r="U365" s="62"/>
      <c r="V365" s="62"/>
      <c r="W365" s="61"/>
      <c r="X365" s="62"/>
      <c r="Y365" s="62"/>
      <c r="Z365" s="66"/>
      <c r="AA365" s="94"/>
      <c r="AB365" s="69"/>
      <c r="AC365" s="94"/>
      <c r="AD365" s="94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94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94"/>
      <c r="P366" s="69"/>
      <c r="Q366" s="94"/>
      <c r="R366" s="94"/>
      <c r="S366" s="60"/>
      <c r="T366" s="62"/>
      <c r="U366" s="62"/>
      <c r="V366" s="62"/>
      <c r="W366" s="61"/>
      <c r="X366" s="62"/>
      <c r="Y366" s="62"/>
      <c r="Z366" s="66"/>
      <c r="AA366" s="65"/>
      <c r="AB366" s="69"/>
      <c r="AC366" s="94"/>
      <c r="AD366" s="94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65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62"/>
      <c r="P367" s="69"/>
      <c r="Q367" s="94"/>
      <c r="R367" s="94"/>
      <c r="S367" s="60"/>
      <c r="T367" s="62"/>
      <c r="U367" s="62"/>
      <c r="V367" s="62"/>
      <c r="W367" s="61"/>
      <c r="X367" s="62"/>
      <c r="Y367" s="62"/>
      <c r="Z367" s="66"/>
      <c r="AA367" s="62"/>
      <c r="AB367" s="69"/>
      <c r="AC367" s="94"/>
      <c r="AD367" s="94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94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94"/>
      <c r="P368" s="69"/>
      <c r="Q368" s="94"/>
      <c r="R368" s="94"/>
      <c r="S368" s="60"/>
      <c r="T368" s="62"/>
      <c r="U368" s="62"/>
      <c r="V368" s="62"/>
      <c r="W368" s="61"/>
      <c r="X368" s="62"/>
      <c r="Y368" s="62"/>
      <c r="Z368" s="66"/>
      <c r="AA368" s="94"/>
      <c r="AB368" s="69"/>
      <c r="AC368" s="94"/>
      <c r="AD368" s="94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94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94"/>
      <c r="P369" s="69"/>
      <c r="Q369" s="94"/>
      <c r="R369" s="94"/>
      <c r="S369" s="60"/>
      <c r="T369" s="62"/>
      <c r="U369" s="62"/>
      <c r="V369" s="62"/>
      <c r="W369" s="61"/>
      <c r="X369" s="62"/>
      <c r="Y369" s="62"/>
      <c r="Z369" s="66"/>
      <c r="AA369" s="94"/>
      <c r="AB369" s="69"/>
      <c r="AC369" s="94"/>
      <c r="AD369" s="94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94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62"/>
      <c r="P370" s="69"/>
      <c r="Q370" s="94"/>
      <c r="R370" s="94"/>
      <c r="S370" s="60"/>
      <c r="T370" s="62"/>
      <c r="U370" s="62"/>
      <c r="V370" s="62"/>
      <c r="W370" s="61"/>
      <c r="X370" s="62"/>
      <c r="Y370" s="62"/>
      <c r="Z370" s="66"/>
      <c r="AA370" s="94"/>
      <c r="AB370" s="69"/>
      <c r="AC370" s="94"/>
      <c r="AD370" s="94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94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62"/>
      <c r="P371" s="69"/>
      <c r="Q371" s="94"/>
      <c r="R371" s="94"/>
      <c r="S371" s="60"/>
      <c r="T371" s="62"/>
      <c r="U371" s="62"/>
      <c r="V371" s="62"/>
      <c r="W371" s="61"/>
      <c r="X371" s="62"/>
      <c r="Y371" s="62"/>
      <c r="Z371" s="66"/>
      <c r="AA371" s="62"/>
      <c r="AB371" s="69"/>
      <c r="AC371" s="94"/>
      <c r="AD371" s="94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94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94"/>
      <c r="P372" s="69"/>
      <c r="Q372" s="94"/>
      <c r="R372" s="94"/>
      <c r="S372" s="60"/>
      <c r="T372" s="62"/>
      <c r="U372" s="62"/>
      <c r="V372" s="62"/>
      <c r="W372" s="61"/>
      <c r="X372" s="62"/>
      <c r="Y372" s="62"/>
      <c r="Z372" s="66"/>
      <c r="AA372" s="62"/>
      <c r="AB372" s="69"/>
      <c r="AC372" s="94"/>
      <c r="AD372" s="94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94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62"/>
      <c r="P373" s="69"/>
      <c r="Q373" s="94"/>
      <c r="R373" s="94"/>
      <c r="S373" s="60"/>
      <c r="T373" s="62"/>
      <c r="U373" s="62"/>
      <c r="V373" s="62"/>
      <c r="W373" s="61"/>
      <c r="X373" s="62"/>
      <c r="Y373" s="62"/>
      <c r="Z373" s="66"/>
      <c r="AA373" s="94"/>
      <c r="AB373" s="69"/>
      <c r="AC373" s="94"/>
      <c r="AD373" s="94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94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94"/>
      <c r="P374" s="69"/>
      <c r="Q374" s="94"/>
      <c r="R374" s="94"/>
      <c r="S374" s="60"/>
      <c r="T374" s="62"/>
      <c r="U374" s="62"/>
      <c r="V374" s="62"/>
      <c r="W374" s="61"/>
      <c r="X374" s="62"/>
      <c r="Y374" s="62"/>
      <c r="Z374" s="66"/>
      <c r="AA374" s="94"/>
      <c r="AB374" s="69"/>
      <c r="AC374" s="94"/>
      <c r="AD374" s="94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94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94"/>
      <c r="P375" s="69"/>
      <c r="Q375" s="94"/>
      <c r="R375" s="94"/>
      <c r="S375" s="60"/>
      <c r="T375" s="62"/>
      <c r="U375" s="62"/>
      <c r="V375" s="62"/>
      <c r="W375" s="61"/>
      <c r="X375" s="62"/>
      <c r="Y375" s="62"/>
      <c r="Z375" s="66"/>
      <c r="AA375" s="62"/>
      <c r="AB375" s="69"/>
      <c r="AC375" s="94"/>
      <c r="AD375" s="94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94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94"/>
      <c r="P376" s="69"/>
      <c r="Q376" s="94"/>
      <c r="R376" s="94"/>
      <c r="S376" s="60"/>
      <c r="T376" s="62"/>
      <c r="U376" s="62"/>
      <c r="V376" s="62"/>
      <c r="W376" s="61"/>
      <c r="X376" s="62"/>
      <c r="Y376" s="62"/>
      <c r="Z376" s="66"/>
      <c r="AA376" s="94"/>
      <c r="AB376" s="69"/>
      <c r="AC376" s="94"/>
      <c r="AD376" s="94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94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94"/>
      <c r="P377" s="69"/>
      <c r="Q377" s="94"/>
      <c r="R377" s="94"/>
      <c r="S377" s="60"/>
      <c r="T377" s="62"/>
      <c r="U377" s="62"/>
      <c r="V377" s="62"/>
      <c r="W377" s="61"/>
      <c r="X377" s="62"/>
      <c r="Y377" s="62"/>
      <c r="Z377" s="66"/>
      <c r="AA377" s="94"/>
      <c r="AB377" s="69"/>
      <c r="AC377" s="94"/>
      <c r="AD377" s="94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94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94"/>
      <c r="R378" s="94"/>
      <c r="S378" s="60"/>
      <c r="T378" s="62"/>
      <c r="U378" s="62"/>
      <c r="V378" s="62"/>
      <c r="W378" s="61"/>
      <c r="X378" s="62"/>
      <c r="Y378" s="62"/>
      <c r="Z378" s="66"/>
      <c r="AA378" s="94"/>
      <c r="AB378" s="69"/>
      <c r="AC378" s="94"/>
      <c r="AD378" s="94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94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94"/>
      <c r="P379" s="69"/>
      <c r="Q379" s="94"/>
      <c r="R379" s="94"/>
      <c r="S379" s="60"/>
      <c r="T379" s="62"/>
      <c r="U379" s="62"/>
      <c r="V379" s="62"/>
      <c r="W379" s="61"/>
      <c r="X379" s="62"/>
      <c r="Y379" s="62"/>
      <c r="Z379" s="66"/>
      <c r="AA379" s="94"/>
      <c r="AB379" s="69"/>
      <c r="AC379" s="94"/>
      <c r="AD379" s="94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94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94"/>
      <c r="P380" s="69"/>
      <c r="Q380" s="94"/>
      <c r="R380" s="94"/>
      <c r="S380" s="60"/>
      <c r="T380" s="62"/>
      <c r="U380" s="62"/>
      <c r="V380" s="62"/>
      <c r="W380" s="61"/>
      <c r="X380" s="62"/>
      <c r="Y380" s="62"/>
      <c r="Z380" s="66"/>
      <c r="AA380" s="94"/>
      <c r="AB380" s="69"/>
      <c r="AC380" s="94"/>
      <c r="AD380" s="94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94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94"/>
      <c r="R381" s="94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94"/>
      <c r="AD381" s="94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94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94"/>
      <c r="P382" s="69"/>
      <c r="Q382" s="94"/>
      <c r="R382" s="94"/>
      <c r="S382" s="60"/>
      <c r="T382" s="62"/>
      <c r="U382" s="62"/>
      <c r="V382" s="62"/>
      <c r="W382" s="61"/>
      <c r="X382" s="62"/>
      <c r="Y382" s="62"/>
      <c r="Z382" s="66"/>
      <c r="AA382" s="94"/>
      <c r="AB382" s="69"/>
      <c r="AC382" s="94"/>
      <c r="AD382" s="94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94"/>
      <c r="O383" s="94"/>
      <c r="P383" s="94"/>
      <c r="Q383" s="94"/>
      <c r="R383" s="94"/>
      <c r="S383" s="94"/>
      <c r="T383" s="62"/>
      <c r="U383" s="62"/>
      <c r="V383" s="62"/>
      <c r="W383" s="61"/>
      <c r="X383" s="62"/>
      <c r="Y383" s="62"/>
      <c r="Z383" s="94"/>
      <c r="AA383" s="94"/>
      <c r="AB383" s="94"/>
      <c r="AC383" s="94"/>
      <c r="AD383" s="94"/>
      <c r="AE383" s="94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94"/>
      <c r="C384" s="94"/>
      <c r="D384" s="94"/>
      <c r="E384" s="94"/>
      <c r="F384" s="94"/>
      <c r="G384" s="94"/>
      <c r="H384" s="62"/>
      <c r="I384" s="62"/>
      <c r="J384" s="62"/>
      <c r="K384" s="62"/>
      <c r="L384" s="62"/>
      <c r="M384" s="62"/>
      <c r="N384" s="94"/>
      <c r="O384" s="94"/>
      <c r="P384" s="94"/>
      <c r="Q384" s="94"/>
      <c r="R384" s="94"/>
      <c r="S384" s="94"/>
      <c r="T384" s="62"/>
      <c r="U384" s="62"/>
      <c r="V384" s="62"/>
      <c r="W384" s="62"/>
      <c r="X384" s="62"/>
      <c r="Y384" s="62"/>
      <c r="Z384" s="94"/>
      <c r="AA384" s="94"/>
      <c r="AB384" s="94"/>
      <c r="AC384" s="94"/>
      <c r="AD384" s="94"/>
      <c r="AE384" s="94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94"/>
      <c r="C385" s="94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94"/>
      <c r="O385" s="94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94"/>
      <c r="AA385" s="94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94"/>
      <c r="C387" s="94"/>
      <c r="D387" s="94"/>
      <c r="E387" s="94"/>
      <c r="F387" s="94"/>
      <c r="G387" s="94"/>
      <c r="H387" s="62"/>
      <c r="I387" s="62"/>
      <c r="J387" s="62"/>
      <c r="K387" s="62"/>
      <c r="L387" s="62"/>
      <c r="M387" s="62"/>
      <c r="N387" s="94"/>
      <c r="O387" s="94"/>
      <c r="P387" s="94"/>
      <c r="Q387" s="94"/>
      <c r="R387" s="94"/>
      <c r="S387" s="94"/>
      <c r="T387" s="62"/>
      <c r="U387" s="62"/>
      <c r="V387" s="62"/>
      <c r="W387" s="62"/>
      <c r="X387" s="62"/>
      <c r="Y387" s="62"/>
      <c r="Z387" s="94"/>
      <c r="AA387" s="94"/>
      <c r="AB387" s="94"/>
      <c r="AC387" s="94"/>
      <c r="AD387" s="94"/>
      <c r="AE387" s="94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94"/>
      <c r="C388" s="94"/>
      <c r="D388" s="94"/>
      <c r="E388" s="94"/>
      <c r="F388" s="94"/>
      <c r="G388" s="94"/>
      <c r="H388" s="62"/>
      <c r="I388" s="62"/>
      <c r="J388" s="62"/>
      <c r="K388" s="62"/>
      <c r="L388" s="62"/>
      <c r="M388" s="62"/>
      <c r="N388" s="94"/>
      <c r="O388" s="94"/>
      <c r="P388" s="94"/>
      <c r="Q388" s="94"/>
      <c r="R388" s="94"/>
      <c r="S388" s="94"/>
      <c r="T388" s="62"/>
      <c r="U388" s="62"/>
      <c r="V388" s="62"/>
      <c r="W388" s="62"/>
      <c r="X388" s="62"/>
      <c r="Y388" s="62"/>
      <c r="Z388" s="94"/>
      <c r="AA388" s="94"/>
      <c r="AB388" s="94"/>
      <c r="AC388" s="94"/>
      <c r="AD388" s="94"/>
      <c r="AE388" s="94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94"/>
      <c r="C389" s="94"/>
      <c r="D389" s="94"/>
      <c r="E389" s="94"/>
      <c r="F389" s="94"/>
      <c r="G389" s="94"/>
      <c r="H389" s="62"/>
      <c r="I389" s="62"/>
      <c r="J389" s="62"/>
      <c r="K389" s="62"/>
      <c r="L389" s="62"/>
      <c r="M389" s="62"/>
      <c r="N389" s="94"/>
      <c r="O389" s="94"/>
      <c r="P389" s="94"/>
      <c r="Q389" s="94"/>
      <c r="R389" s="94"/>
      <c r="S389" s="94"/>
      <c r="T389" s="62"/>
      <c r="U389" s="62"/>
      <c r="V389" s="62"/>
      <c r="W389" s="62"/>
      <c r="X389" s="62"/>
      <c r="Y389" s="62"/>
      <c r="Z389" s="94"/>
      <c r="AA389" s="94"/>
      <c r="AB389" s="94"/>
      <c r="AC389" s="94"/>
      <c r="AD389" s="94"/>
      <c r="AE389" s="94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94"/>
      <c r="C390" s="94"/>
      <c r="D390" s="94"/>
      <c r="E390" s="94"/>
      <c r="F390" s="94"/>
      <c r="G390" s="94"/>
      <c r="H390" s="62"/>
      <c r="I390" s="62"/>
      <c r="J390" s="62"/>
      <c r="K390" s="62"/>
      <c r="L390" s="62"/>
      <c r="M390" s="63"/>
      <c r="N390" s="94"/>
      <c r="O390" s="94"/>
      <c r="P390" s="94"/>
      <c r="Q390" s="94"/>
      <c r="R390" s="94"/>
      <c r="S390" s="94"/>
      <c r="T390" s="62"/>
      <c r="U390" s="62"/>
      <c r="V390" s="62"/>
      <c r="W390" s="62"/>
      <c r="X390" s="62"/>
      <c r="Y390" s="63"/>
      <c r="Z390" s="94"/>
      <c r="AA390" s="94"/>
      <c r="AB390" s="94"/>
      <c r="AC390" s="94"/>
      <c r="AD390" s="94"/>
      <c r="AE390" s="94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94"/>
      <c r="C391" s="94"/>
      <c r="D391" s="94"/>
      <c r="E391" s="94"/>
      <c r="F391" s="94"/>
      <c r="G391" s="94"/>
      <c r="H391" s="62"/>
      <c r="I391" s="62"/>
      <c r="J391" s="62"/>
      <c r="K391" s="62"/>
      <c r="L391" s="62"/>
      <c r="M391" s="62"/>
      <c r="N391" s="94"/>
      <c r="O391" s="94"/>
      <c r="P391" s="94"/>
      <c r="Q391" s="94"/>
      <c r="R391" s="94"/>
      <c r="S391" s="94"/>
      <c r="T391" s="62"/>
      <c r="U391" s="62"/>
      <c r="V391" s="62"/>
      <c r="W391" s="62"/>
      <c r="X391" s="62"/>
      <c r="Y391" s="62"/>
      <c r="Z391" s="94"/>
      <c r="AA391" s="94"/>
      <c r="AB391" s="94"/>
      <c r="AC391" s="94"/>
      <c r="AD391" s="94"/>
      <c r="AE391" s="94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94"/>
      <c r="C392" s="94"/>
      <c r="D392" s="94"/>
      <c r="E392" s="94"/>
      <c r="F392" s="94"/>
      <c r="G392" s="94"/>
      <c r="H392" s="62"/>
      <c r="I392" s="94"/>
      <c r="J392" s="74"/>
      <c r="K392" s="62"/>
      <c r="L392" s="62"/>
      <c r="M392" s="62"/>
      <c r="N392" s="94"/>
      <c r="O392" s="94"/>
      <c r="P392" s="94"/>
      <c r="Q392" s="94"/>
      <c r="R392" s="94"/>
      <c r="S392" s="94"/>
      <c r="T392" s="62"/>
      <c r="U392" s="94"/>
      <c r="V392" s="74"/>
      <c r="W392" s="62"/>
      <c r="X392" s="62"/>
      <c r="Y392" s="62"/>
      <c r="Z392" s="94"/>
      <c r="AA392" s="94"/>
      <c r="AB392" s="94"/>
      <c r="AC392" s="94"/>
      <c r="AD392" s="94"/>
      <c r="AE392" s="94"/>
      <c r="AF392" s="62"/>
      <c r="AG392" s="94"/>
      <c r="AH392" s="94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94"/>
      <c r="C393" s="94"/>
      <c r="D393" s="94"/>
      <c r="E393" s="94"/>
      <c r="F393" s="94"/>
      <c r="G393" s="94"/>
      <c r="H393" s="62"/>
      <c r="I393" s="65"/>
      <c r="J393" s="65"/>
      <c r="K393" s="62"/>
      <c r="L393" s="62"/>
      <c r="M393" s="64"/>
      <c r="N393" s="94"/>
      <c r="O393" s="94"/>
      <c r="P393" s="94"/>
      <c r="Q393" s="94"/>
      <c r="R393" s="94"/>
      <c r="S393" s="94"/>
      <c r="T393" s="62"/>
      <c r="U393" s="65"/>
      <c r="V393" s="65"/>
      <c r="W393" s="62"/>
      <c r="X393" s="62"/>
      <c r="Y393" s="64"/>
      <c r="Z393" s="94"/>
      <c r="AA393" s="94"/>
      <c r="AB393" s="94"/>
      <c r="AC393" s="94"/>
      <c r="AD393" s="94"/>
      <c r="AE393" s="94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94"/>
      <c r="C394" s="94"/>
      <c r="D394" s="94"/>
      <c r="E394" s="94"/>
      <c r="F394" s="94"/>
      <c r="G394" s="94"/>
      <c r="H394" s="62"/>
      <c r="I394" s="62"/>
      <c r="J394" s="62"/>
      <c r="K394" s="62"/>
      <c r="L394" s="62"/>
      <c r="M394" s="62"/>
      <c r="N394" s="94"/>
      <c r="O394" s="94"/>
      <c r="P394" s="94"/>
      <c r="Q394" s="94"/>
      <c r="R394" s="94"/>
      <c r="S394" s="94"/>
      <c r="T394" s="62"/>
      <c r="U394" s="62"/>
      <c r="V394" s="62"/>
      <c r="W394" s="62"/>
      <c r="X394" s="62"/>
      <c r="Y394" s="62"/>
      <c r="Z394" s="94"/>
      <c r="AA394" s="94"/>
      <c r="AB394" s="94"/>
      <c r="AC394" s="94"/>
      <c r="AD394" s="94"/>
      <c r="AE394" s="94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94"/>
      <c r="D395" s="106"/>
      <c r="E395" s="106"/>
      <c r="F395" s="94"/>
      <c r="G395" s="94"/>
      <c r="H395" s="62"/>
      <c r="I395" s="106"/>
      <c r="J395" s="106"/>
      <c r="K395" s="105"/>
      <c r="L395" s="62"/>
      <c r="M395" s="62"/>
      <c r="N395" s="65"/>
      <c r="O395" s="94"/>
      <c r="P395" s="106"/>
      <c r="Q395" s="106"/>
      <c r="R395" s="94"/>
      <c r="S395" s="94"/>
      <c r="T395" s="62"/>
      <c r="U395" s="106"/>
      <c r="V395" s="106"/>
      <c r="W395" s="105"/>
      <c r="X395" s="62"/>
      <c r="Y395" s="62"/>
      <c r="Z395" s="65"/>
      <c r="AA395" s="94"/>
      <c r="AB395" s="106"/>
      <c r="AC395" s="106"/>
      <c r="AD395" s="94"/>
      <c r="AE395" s="94"/>
      <c r="AF395" s="62"/>
      <c r="AG395" s="106"/>
      <c r="AH395" s="106"/>
      <c r="AI395" s="105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94"/>
      <c r="C396" s="94"/>
      <c r="D396" s="81"/>
      <c r="E396" s="82"/>
      <c r="F396" s="83"/>
      <c r="G396" s="83"/>
      <c r="H396" s="62"/>
      <c r="I396" s="93"/>
      <c r="J396" s="93"/>
      <c r="K396" s="105"/>
      <c r="L396" s="62"/>
      <c r="M396" s="62"/>
      <c r="N396" s="94"/>
      <c r="O396" s="94"/>
      <c r="P396" s="81"/>
      <c r="Q396" s="83"/>
      <c r="R396" s="83"/>
      <c r="S396" s="83"/>
      <c r="T396" s="62"/>
      <c r="U396" s="93"/>
      <c r="V396" s="93"/>
      <c r="W396" s="105"/>
      <c r="X396" s="62"/>
      <c r="Y396" s="62"/>
      <c r="Z396" s="94"/>
      <c r="AA396" s="94"/>
      <c r="AB396" s="81"/>
      <c r="AC396" s="83"/>
      <c r="AD396" s="83"/>
      <c r="AE396" s="83"/>
      <c r="AF396" s="62"/>
      <c r="AG396" s="93"/>
      <c r="AH396" s="93"/>
      <c r="AI396" s="105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92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94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94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92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94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94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92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94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94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92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94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94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92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94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94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92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65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65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92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94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94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92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94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94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92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94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94"/>
      <c r="AB405" s="62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92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94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94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92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94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62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92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94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94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92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94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94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92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94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94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92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94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94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65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94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62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92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62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94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9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94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94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9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94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94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92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94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94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92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94"/>
      <c r="P417" s="67"/>
      <c r="Q417" s="94"/>
      <c r="R417" s="94"/>
      <c r="S417" s="60"/>
      <c r="T417" s="62"/>
      <c r="U417" s="62"/>
      <c r="V417" s="62"/>
      <c r="W417" s="61"/>
      <c r="X417" s="62"/>
      <c r="Y417" s="62"/>
      <c r="Z417" s="66"/>
      <c r="AA417" s="62"/>
      <c r="AB417" s="67"/>
      <c r="AC417" s="94"/>
      <c r="AD417" s="94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92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94"/>
      <c r="P418" s="68"/>
      <c r="Q418" s="94"/>
      <c r="R418" s="94"/>
      <c r="S418" s="60"/>
      <c r="T418" s="62"/>
      <c r="U418" s="62"/>
      <c r="V418" s="62"/>
      <c r="W418" s="61"/>
      <c r="X418" s="62"/>
      <c r="Y418" s="62"/>
      <c r="Z418" s="66"/>
      <c r="AA418" s="62"/>
      <c r="AB418" s="68"/>
      <c r="AC418" s="94"/>
      <c r="AD418" s="94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9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94"/>
      <c r="P419" s="69"/>
      <c r="Q419" s="62"/>
      <c r="R419" s="62"/>
      <c r="S419" s="60"/>
      <c r="T419" s="62"/>
      <c r="U419" s="62"/>
      <c r="V419" s="62"/>
      <c r="W419" s="61"/>
      <c r="X419" s="62"/>
      <c r="Y419" s="62"/>
      <c r="Z419" s="66"/>
      <c r="AA419" s="94"/>
      <c r="AB419" s="69"/>
      <c r="AC419" s="62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9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62"/>
      <c r="P420" s="69"/>
      <c r="Q420" s="94"/>
      <c r="R420" s="94"/>
      <c r="S420" s="60"/>
      <c r="T420" s="62"/>
      <c r="U420" s="62"/>
      <c r="V420" s="62"/>
      <c r="W420" s="61"/>
      <c r="X420" s="62"/>
      <c r="Y420" s="62"/>
      <c r="Z420" s="66"/>
      <c r="AA420" s="94"/>
      <c r="AB420" s="69"/>
      <c r="AC420" s="94"/>
      <c r="AD420" s="94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9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94"/>
      <c r="P421" s="69"/>
      <c r="Q421" s="94"/>
      <c r="R421" s="94"/>
      <c r="S421" s="60"/>
      <c r="T421" s="62"/>
      <c r="U421" s="62"/>
      <c r="V421" s="62"/>
      <c r="W421" s="61"/>
      <c r="X421" s="62"/>
      <c r="Y421" s="62"/>
      <c r="Z421" s="66"/>
      <c r="AA421" s="65"/>
      <c r="AB421" s="69"/>
      <c r="AC421" s="94"/>
      <c r="AD421" s="94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65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62"/>
      <c r="P422" s="69"/>
      <c r="Q422" s="94"/>
      <c r="R422" s="94"/>
      <c r="S422" s="60"/>
      <c r="T422" s="62"/>
      <c r="U422" s="62"/>
      <c r="V422" s="62"/>
      <c r="W422" s="61"/>
      <c r="X422" s="62"/>
      <c r="Y422" s="62"/>
      <c r="Z422" s="66"/>
      <c r="AA422" s="62"/>
      <c r="AB422" s="69"/>
      <c r="AC422" s="94"/>
      <c r="AD422" s="94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9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94"/>
      <c r="P423" s="69"/>
      <c r="Q423" s="94"/>
      <c r="R423" s="94"/>
      <c r="S423" s="60"/>
      <c r="T423" s="62"/>
      <c r="U423" s="62"/>
      <c r="V423" s="62"/>
      <c r="W423" s="61"/>
      <c r="X423" s="62"/>
      <c r="Y423" s="62"/>
      <c r="Z423" s="66"/>
      <c r="AA423" s="94"/>
      <c r="AB423" s="69"/>
      <c r="AC423" s="94"/>
      <c r="AD423" s="94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9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94"/>
      <c r="P424" s="69"/>
      <c r="Q424" s="94"/>
      <c r="R424" s="94"/>
      <c r="S424" s="60"/>
      <c r="T424" s="62"/>
      <c r="U424" s="62"/>
      <c r="V424" s="62"/>
      <c r="W424" s="61"/>
      <c r="X424" s="62"/>
      <c r="Y424" s="62"/>
      <c r="Z424" s="66"/>
      <c r="AA424" s="94"/>
      <c r="AB424" s="69"/>
      <c r="AC424" s="94"/>
      <c r="AD424" s="94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9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62"/>
      <c r="P425" s="69"/>
      <c r="Q425" s="94"/>
      <c r="R425" s="94"/>
      <c r="S425" s="60"/>
      <c r="T425" s="62"/>
      <c r="U425" s="62"/>
      <c r="V425" s="62"/>
      <c r="W425" s="61"/>
      <c r="X425" s="62"/>
      <c r="Y425" s="62"/>
      <c r="Z425" s="66"/>
      <c r="AA425" s="94"/>
      <c r="AB425" s="69"/>
      <c r="AC425" s="94"/>
      <c r="AD425" s="94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9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62"/>
      <c r="P426" s="69"/>
      <c r="Q426" s="94"/>
      <c r="R426" s="94"/>
      <c r="S426" s="60"/>
      <c r="T426" s="62"/>
      <c r="U426" s="62"/>
      <c r="V426" s="62"/>
      <c r="W426" s="61"/>
      <c r="X426" s="62"/>
      <c r="Y426" s="62"/>
      <c r="Z426" s="66"/>
      <c r="AA426" s="62"/>
      <c r="AB426" s="69"/>
      <c r="AC426" s="94"/>
      <c r="AD426" s="94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9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94"/>
      <c r="P427" s="69"/>
      <c r="Q427" s="94"/>
      <c r="R427" s="94"/>
      <c r="S427" s="60"/>
      <c r="T427" s="62"/>
      <c r="U427" s="62"/>
      <c r="V427" s="62"/>
      <c r="W427" s="61"/>
      <c r="X427" s="62"/>
      <c r="Y427" s="62"/>
      <c r="Z427" s="66"/>
      <c r="AA427" s="62"/>
      <c r="AB427" s="69"/>
      <c r="AC427" s="94"/>
      <c r="AD427" s="94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9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62"/>
      <c r="P428" s="69"/>
      <c r="Q428" s="94"/>
      <c r="R428" s="94"/>
      <c r="S428" s="60"/>
      <c r="T428" s="62"/>
      <c r="U428" s="62"/>
      <c r="V428" s="62"/>
      <c r="W428" s="61"/>
      <c r="X428" s="62"/>
      <c r="Y428" s="62"/>
      <c r="Z428" s="66"/>
      <c r="AA428" s="94"/>
      <c r="AB428" s="69"/>
      <c r="AC428" s="94"/>
      <c r="AD428" s="94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9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94"/>
      <c r="P429" s="69"/>
      <c r="Q429" s="94"/>
      <c r="R429" s="94"/>
      <c r="S429" s="60"/>
      <c r="T429" s="62"/>
      <c r="U429" s="62"/>
      <c r="V429" s="62"/>
      <c r="W429" s="61"/>
      <c r="X429" s="62"/>
      <c r="Y429" s="62"/>
      <c r="Z429" s="66"/>
      <c r="AA429" s="94"/>
      <c r="AB429" s="69"/>
      <c r="AC429" s="94"/>
      <c r="AD429" s="94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9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94"/>
      <c r="P430" s="69"/>
      <c r="Q430" s="94"/>
      <c r="R430" s="94"/>
      <c r="S430" s="60"/>
      <c r="T430" s="62"/>
      <c r="U430" s="62"/>
      <c r="V430" s="62"/>
      <c r="W430" s="61"/>
      <c r="X430" s="62"/>
      <c r="Y430" s="62"/>
      <c r="Z430" s="66"/>
      <c r="AA430" s="62"/>
      <c r="AB430" s="69"/>
      <c r="AC430" s="94"/>
      <c r="AD430" s="94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9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94"/>
      <c r="P431" s="69"/>
      <c r="Q431" s="94"/>
      <c r="R431" s="94"/>
      <c r="S431" s="60"/>
      <c r="T431" s="62"/>
      <c r="U431" s="62"/>
      <c r="V431" s="62"/>
      <c r="W431" s="61"/>
      <c r="X431" s="62"/>
      <c r="Y431" s="62"/>
      <c r="Z431" s="66"/>
      <c r="AA431" s="94"/>
      <c r="AB431" s="69"/>
      <c r="AC431" s="94"/>
      <c r="AD431" s="94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9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94"/>
      <c r="P432" s="69"/>
      <c r="Q432" s="94"/>
      <c r="R432" s="94"/>
      <c r="S432" s="60"/>
      <c r="T432" s="62"/>
      <c r="U432" s="62"/>
      <c r="V432" s="62"/>
      <c r="W432" s="61"/>
      <c r="X432" s="62"/>
      <c r="Y432" s="62"/>
      <c r="Z432" s="66"/>
      <c r="AA432" s="94"/>
      <c r="AB432" s="69"/>
      <c r="AC432" s="94"/>
      <c r="AD432" s="94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94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94"/>
      <c r="R433" s="94"/>
      <c r="S433" s="60"/>
      <c r="T433" s="62"/>
      <c r="U433" s="62"/>
      <c r="V433" s="62"/>
      <c r="W433" s="61"/>
      <c r="X433" s="62"/>
      <c r="Y433" s="62"/>
      <c r="Z433" s="66"/>
      <c r="AA433" s="94"/>
      <c r="AB433" s="69"/>
      <c r="AC433" s="94"/>
      <c r="AD433" s="94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94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94"/>
      <c r="P434" s="69"/>
      <c r="Q434" s="94"/>
      <c r="R434" s="94"/>
      <c r="S434" s="60"/>
      <c r="T434" s="62"/>
      <c r="U434" s="62"/>
      <c r="V434" s="62"/>
      <c r="W434" s="61"/>
      <c r="X434" s="62"/>
      <c r="Y434" s="62"/>
      <c r="Z434" s="66"/>
      <c r="AA434" s="94"/>
      <c r="AB434" s="69"/>
      <c r="AC434" s="94"/>
      <c r="AD434" s="94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94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94"/>
      <c r="P435" s="69"/>
      <c r="Q435" s="94"/>
      <c r="R435" s="94"/>
      <c r="S435" s="60"/>
      <c r="T435" s="62"/>
      <c r="U435" s="62"/>
      <c r="V435" s="62"/>
      <c r="W435" s="61"/>
      <c r="X435" s="62"/>
      <c r="Y435" s="62"/>
      <c r="Z435" s="66"/>
      <c r="AA435" s="94"/>
      <c r="AB435" s="69"/>
      <c r="AC435" s="94"/>
      <c r="AD435" s="94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94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94"/>
      <c r="R436" s="94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94"/>
      <c r="AD436" s="94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94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94"/>
      <c r="P437" s="69"/>
      <c r="Q437" s="94"/>
      <c r="R437" s="94"/>
      <c r="S437" s="60"/>
      <c r="T437" s="62"/>
      <c r="U437" s="62"/>
      <c r="V437" s="62"/>
      <c r="W437" s="61"/>
      <c r="X437" s="62"/>
      <c r="Y437" s="62"/>
      <c r="Z437" s="66"/>
      <c r="AA437" s="94"/>
      <c r="AB437" s="69"/>
      <c r="AC437" s="94"/>
      <c r="AD437" s="94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94"/>
      <c r="O438" s="94"/>
      <c r="P438" s="94"/>
      <c r="Q438" s="94"/>
      <c r="R438" s="94"/>
      <c r="S438" s="94"/>
      <c r="T438" s="62"/>
      <c r="U438" s="62"/>
      <c r="V438" s="62"/>
      <c r="W438" s="61"/>
      <c r="X438" s="62"/>
      <c r="Y438" s="62"/>
      <c r="Z438" s="94"/>
      <c r="AA438" s="94"/>
      <c r="AB438" s="94"/>
      <c r="AC438" s="94"/>
      <c r="AD438" s="94"/>
      <c r="AE438" s="94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94"/>
      <c r="C439" s="94"/>
      <c r="D439" s="94"/>
      <c r="E439" s="94"/>
      <c r="F439" s="94"/>
      <c r="G439" s="94"/>
      <c r="H439" s="62"/>
      <c r="I439" s="62"/>
      <c r="J439" s="62"/>
      <c r="K439" s="62"/>
      <c r="L439" s="62"/>
      <c r="M439" s="62"/>
      <c r="N439" s="94"/>
      <c r="O439" s="94"/>
      <c r="P439" s="94"/>
      <c r="Q439" s="94"/>
      <c r="R439" s="94"/>
      <c r="S439" s="94"/>
      <c r="T439" s="62"/>
      <c r="U439" s="62"/>
      <c r="V439" s="62"/>
      <c r="W439" s="62"/>
      <c r="X439" s="62"/>
      <c r="Y439" s="62"/>
      <c r="Z439" s="94"/>
      <c r="AA439" s="94"/>
      <c r="AB439" s="94"/>
      <c r="AC439" s="94"/>
      <c r="AD439" s="94"/>
      <c r="AE439" s="94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94"/>
      <c r="C440" s="94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94"/>
      <c r="O440" s="94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94"/>
      <c r="AA440" s="94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4"/>
      <c r="C442" s="94"/>
      <c r="D442" s="94"/>
      <c r="E442" s="94"/>
      <c r="F442" s="94"/>
      <c r="G442" s="94"/>
      <c r="H442" s="62"/>
      <c r="I442" s="62"/>
      <c r="J442" s="62"/>
      <c r="K442" s="62"/>
      <c r="L442" s="62"/>
      <c r="M442" s="62"/>
      <c r="N442" s="94"/>
      <c r="O442" s="94"/>
      <c r="P442" s="94"/>
      <c r="Q442" s="94"/>
      <c r="R442" s="94"/>
      <c r="S442" s="94"/>
      <c r="T442" s="62"/>
      <c r="U442" s="62"/>
      <c r="V442" s="62"/>
      <c r="W442" s="62"/>
      <c r="X442" s="62"/>
      <c r="Y442" s="62"/>
      <c r="Z442" s="94"/>
      <c r="AA442" s="94"/>
      <c r="AB442" s="94"/>
      <c r="AC442" s="94"/>
      <c r="AD442" s="94"/>
      <c r="AE442" s="94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4"/>
      <c r="C443" s="94"/>
      <c r="D443" s="94"/>
      <c r="E443" s="94"/>
      <c r="F443" s="94"/>
      <c r="G443" s="94"/>
      <c r="H443" s="62"/>
      <c r="I443" s="62"/>
      <c r="J443" s="62"/>
      <c r="K443" s="62"/>
      <c r="L443" s="62"/>
      <c r="M443" s="62"/>
      <c r="N443" s="94"/>
      <c r="O443" s="94"/>
      <c r="P443" s="94"/>
      <c r="Q443" s="94"/>
      <c r="R443" s="94"/>
      <c r="S443" s="94"/>
      <c r="T443" s="62"/>
      <c r="U443" s="62"/>
      <c r="V443" s="62"/>
      <c r="W443" s="62"/>
      <c r="X443" s="62"/>
      <c r="Y443" s="62"/>
      <c r="Z443" s="94"/>
      <c r="AA443" s="94"/>
      <c r="AB443" s="94"/>
      <c r="AC443" s="94"/>
      <c r="AD443" s="94"/>
      <c r="AE443" s="94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4"/>
      <c r="C444" s="94"/>
      <c r="D444" s="94"/>
      <c r="E444" s="94"/>
      <c r="F444" s="94"/>
      <c r="G444" s="94"/>
      <c r="H444" s="62"/>
      <c r="I444" s="62"/>
      <c r="J444" s="62"/>
      <c r="K444" s="62"/>
      <c r="L444" s="62"/>
      <c r="M444" s="62"/>
      <c r="N444" s="94"/>
      <c r="O444" s="94"/>
      <c r="P444" s="94"/>
      <c r="Q444" s="94"/>
      <c r="R444" s="94"/>
      <c r="S444" s="94"/>
      <c r="T444" s="62"/>
      <c r="U444" s="62"/>
      <c r="V444" s="62"/>
      <c r="W444" s="62"/>
      <c r="X444" s="62"/>
      <c r="Y444" s="62"/>
      <c r="Z444" s="94"/>
      <c r="AA444" s="94"/>
      <c r="AB444" s="94"/>
      <c r="AC444" s="94"/>
      <c r="AD444" s="94"/>
      <c r="AE444" s="94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4"/>
      <c r="C445" s="94"/>
      <c r="D445" s="94"/>
      <c r="E445" s="94"/>
      <c r="F445" s="94"/>
      <c r="G445" s="94"/>
      <c r="H445" s="62"/>
      <c r="I445" s="62"/>
      <c r="J445" s="62"/>
      <c r="K445" s="62"/>
      <c r="L445" s="62"/>
      <c r="M445" s="63"/>
      <c r="N445" s="94"/>
      <c r="O445" s="94"/>
      <c r="P445" s="94"/>
      <c r="Q445" s="94"/>
      <c r="R445" s="94"/>
      <c r="S445" s="94"/>
      <c r="T445" s="62"/>
      <c r="U445" s="62"/>
      <c r="V445" s="62"/>
      <c r="W445" s="62"/>
      <c r="X445" s="62"/>
      <c r="Y445" s="63"/>
      <c r="Z445" s="94"/>
      <c r="AA445" s="94"/>
      <c r="AB445" s="94"/>
      <c r="AC445" s="94"/>
      <c r="AD445" s="94"/>
      <c r="AE445" s="94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4"/>
      <c r="C446" s="94"/>
      <c r="D446" s="94"/>
      <c r="E446" s="94"/>
      <c r="F446" s="94"/>
      <c r="G446" s="94"/>
      <c r="H446" s="62"/>
      <c r="I446" s="62"/>
      <c r="J446" s="62"/>
      <c r="K446" s="62"/>
      <c r="L446" s="62"/>
      <c r="M446" s="62"/>
      <c r="N446" s="94"/>
      <c r="O446" s="94"/>
      <c r="P446" s="94"/>
      <c r="Q446" s="94"/>
      <c r="R446" s="94"/>
      <c r="S446" s="94"/>
      <c r="T446" s="62"/>
      <c r="U446" s="62"/>
      <c r="V446" s="62"/>
      <c r="W446" s="62"/>
      <c r="X446" s="62"/>
      <c r="Y446" s="62"/>
      <c r="Z446" s="94"/>
      <c r="AA446" s="94"/>
      <c r="AB446" s="94"/>
      <c r="AC446" s="94"/>
      <c r="AD446" s="94"/>
      <c r="AE446" s="94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4"/>
      <c r="C447" s="94"/>
      <c r="D447" s="94"/>
      <c r="E447" s="94"/>
      <c r="F447" s="94"/>
      <c r="G447" s="94"/>
      <c r="H447" s="62"/>
      <c r="I447" s="94"/>
      <c r="J447" s="74"/>
      <c r="K447" s="62"/>
      <c r="L447" s="62"/>
      <c r="M447" s="62"/>
      <c r="N447" s="94"/>
      <c r="O447" s="94"/>
      <c r="P447" s="94"/>
      <c r="Q447" s="94"/>
      <c r="R447" s="94"/>
      <c r="S447" s="94"/>
      <c r="T447" s="62"/>
      <c r="U447" s="94"/>
      <c r="V447" s="74"/>
      <c r="W447" s="62"/>
      <c r="X447" s="62"/>
      <c r="Y447" s="62"/>
      <c r="Z447" s="94"/>
      <c r="AA447" s="94"/>
      <c r="AB447" s="94"/>
      <c r="AC447" s="94"/>
      <c r="AD447" s="94"/>
      <c r="AE447" s="94"/>
      <c r="AF447" s="62"/>
      <c r="AG447" s="94"/>
      <c r="AH447" s="94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4"/>
      <c r="C448" s="94"/>
      <c r="D448" s="94"/>
      <c r="E448" s="94"/>
      <c r="F448" s="94"/>
      <c r="G448" s="94"/>
      <c r="H448" s="62"/>
      <c r="I448" s="65"/>
      <c r="J448" s="65"/>
      <c r="K448" s="62"/>
      <c r="L448" s="62"/>
      <c r="M448" s="64"/>
      <c r="N448" s="94"/>
      <c r="O448" s="94"/>
      <c r="P448" s="94"/>
      <c r="Q448" s="94"/>
      <c r="R448" s="94"/>
      <c r="S448" s="94"/>
      <c r="T448" s="62"/>
      <c r="U448" s="65"/>
      <c r="V448" s="65"/>
      <c r="W448" s="62"/>
      <c r="X448" s="62"/>
      <c r="Y448" s="64"/>
      <c r="Z448" s="94"/>
      <c r="AA448" s="94"/>
      <c r="AB448" s="94"/>
      <c r="AC448" s="94"/>
      <c r="AD448" s="94"/>
      <c r="AE448" s="94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4"/>
      <c r="C449" s="94"/>
      <c r="D449" s="94"/>
      <c r="E449" s="94"/>
      <c r="F449" s="94"/>
      <c r="G449" s="94"/>
      <c r="H449" s="62"/>
      <c r="I449" s="62"/>
      <c r="J449" s="62"/>
      <c r="K449" s="62"/>
      <c r="L449" s="62"/>
      <c r="M449" s="62"/>
      <c r="N449" s="94"/>
      <c r="O449" s="94"/>
      <c r="P449" s="94"/>
      <c r="Q449" s="94"/>
      <c r="R449" s="94"/>
      <c r="S449" s="94"/>
      <c r="T449" s="62"/>
      <c r="U449" s="62"/>
      <c r="V449" s="62"/>
      <c r="W449" s="62"/>
      <c r="X449" s="62"/>
      <c r="Y449" s="62"/>
      <c r="Z449" s="94"/>
      <c r="AA449" s="94"/>
      <c r="AB449" s="94"/>
      <c r="AC449" s="94"/>
      <c r="AD449" s="94"/>
      <c r="AE449" s="94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4"/>
      <c r="D450" s="106"/>
      <c r="E450" s="106"/>
      <c r="F450" s="94"/>
      <c r="G450" s="94"/>
      <c r="H450" s="62"/>
      <c r="I450" s="106"/>
      <c r="J450" s="106"/>
      <c r="K450" s="105"/>
      <c r="L450" s="62"/>
      <c r="M450" s="62"/>
      <c r="N450" s="65"/>
      <c r="O450" s="94"/>
      <c r="P450" s="106"/>
      <c r="Q450" s="106"/>
      <c r="R450" s="94"/>
      <c r="S450" s="94"/>
      <c r="T450" s="62"/>
      <c r="U450" s="106"/>
      <c r="V450" s="106"/>
      <c r="W450" s="105"/>
      <c r="X450" s="62"/>
      <c r="Y450" s="62"/>
      <c r="Z450" s="65"/>
      <c r="AA450" s="94"/>
      <c r="AB450" s="106"/>
      <c r="AC450" s="106"/>
      <c r="AD450" s="94"/>
      <c r="AE450" s="94"/>
      <c r="AF450" s="62"/>
      <c r="AG450" s="106"/>
      <c r="AH450" s="106"/>
      <c r="AI450" s="105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94"/>
      <c r="C451" s="94"/>
      <c r="D451" s="81"/>
      <c r="E451" s="82"/>
      <c r="F451" s="83"/>
      <c r="G451" s="83"/>
      <c r="H451" s="62"/>
      <c r="I451" s="93"/>
      <c r="J451" s="93"/>
      <c r="K451" s="105"/>
      <c r="L451" s="62"/>
      <c r="M451" s="62"/>
      <c r="N451" s="94"/>
      <c r="O451" s="94"/>
      <c r="P451" s="81"/>
      <c r="Q451" s="83"/>
      <c r="R451" s="83"/>
      <c r="S451" s="83"/>
      <c r="T451" s="62"/>
      <c r="U451" s="93"/>
      <c r="V451" s="93"/>
      <c r="W451" s="105"/>
      <c r="X451" s="62"/>
      <c r="Y451" s="62"/>
      <c r="Z451" s="94"/>
      <c r="AA451" s="94"/>
      <c r="AB451" s="81"/>
      <c r="AC451" s="83"/>
      <c r="AD451" s="83"/>
      <c r="AE451" s="83"/>
      <c r="AF451" s="62"/>
      <c r="AG451" s="93"/>
      <c r="AH451" s="93"/>
      <c r="AI451" s="105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92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94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94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92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94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94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92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94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94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92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65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94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92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94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65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92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62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62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92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94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94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92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94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94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92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94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94"/>
      <c r="AB460" s="62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92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94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94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92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94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62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92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94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94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92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94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94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92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94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94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92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94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94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92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94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62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92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62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94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92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94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94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65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94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94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92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94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94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92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94"/>
      <c r="P472" s="67"/>
      <c r="Q472" s="94"/>
      <c r="R472" s="94"/>
      <c r="S472" s="60"/>
      <c r="T472" s="62"/>
      <c r="U472" s="62"/>
      <c r="V472" s="62"/>
      <c r="W472" s="61"/>
      <c r="X472" s="62"/>
      <c r="Y472" s="62"/>
      <c r="Z472" s="66"/>
      <c r="AA472" s="62"/>
      <c r="AB472" s="67"/>
      <c r="AC472" s="94"/>
      <c r="AD472" s="94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92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94"/>
      <c r="P473" s="68"/>
      <c r="Q473" s="94"/>
      <c r="R473" s="94"/>
      <c r="S473" s="60"/>
      <c r="T473" s="62"/>
      <c r="U473" s="62"/>
      <c r="V473" s="62"/>
      <c r="W473" s="61"/>
      <c r="X473" s="62"/>
      <c r="Y473" s="62"/>
      <c r="Z473" s="66"/>
      <c r="AA473" s="62"/>
      <c r="AB473" s="68"/>
      <c r="AC473" s="94"/>
      <c r="AD473" s="94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9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94"/>
      <c r="P474" s="69"/>
      <c r="Q474" s="62"/>
      <c r="R474" s="62"/>
      <c r="S474" s="60"/>
      <c r="T474" s="62"/>
      <c r="U474" s="62"/>
      <c r="V474" s="62"/>
      <c r="W474" s="61"/>
      <c r="X474" s="62"/>
      <c r="Y474" s="62"/>
      <c r="Z474" s="66"/>
      <c r="AA474" s="94"/>
      <c r="AB474" s="69"/>
      <c r="AC474" s="62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92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62"/>
      <c r="P475" s="69"/>
      <c r="Q475" s="94"/>
      <c r="R475" s="94"/>
      <c r="S475" s="60"/>
      <c r="T475" s="62"/>
      <c r="U475" s="62"/>
      <c r="V475" s="62"/>
      <c r="W475" s="61"/>
      <c r="X475" s="62"/>
      <c r="Y475" s="62"/>
      <c r="Z475" s="66"/>
      <c r="AA475" s="94"/>
      <c r="AB475" s="69"/>
      <c r="AC475" s="94"/>
      <c r="AD475" s="94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92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94"/>
      <c r="P476" s="69"/>
      <c r="Q476" s="94"/>
      <c r="R476" s="94"/>
      <c r="S476" s="60"/>
      <c r="T476" s="62"/>
      <c r="U476" s="62"/>
      <c r="V476" s="62"/>
      <c r="W476" s="61"/>
      <c r="X476" s="62"/>
      <c r="Y476" s="62"/>
      <c r="Z476" s="66"/>
      <c r="AA476" s="65"/>
      <c r="AB476" s="69"/>
      <c r="AC476" s="94"/>
      <c r="AD476" s="94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92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62"/>
      <c r="P477" s="69"/>
      <c r="Q477" s="94"/>
      <c r="R477" s="94"/>
      <c r="S477" s="60"/>
      <c r="T477" s="62"/>
      <c r="U477" s="62"/>
      <c r="V477" s="62"/>
      <c r="W477" s="61"/>
      <c r="X477" s="62"/>
      <c r="Y477" s="62"/>
      <c r="Z477" s="66"/>
      <c r="AA477" s="62"/>
      <c r="AB477" s="69"/>
      <c r="AC477" s="94"/>
      <c r="AD477" s="94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92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94"/>
      <c r="P478" s="69"/>
      <c r="Q478" s="94"/>
      <c r="R478" s="94"/>
      <c r="S478" s="60"/>
      <c r="T478" s="62"/>
      <c r="U478" s="62"/>
      <c r="V478" s="62"/>
      <c r="W478" s="61"/>
      <c r="X478" s="62"/>
      <c r="Y478" s="62"/>
      <c r="Z478" s="66"/>
      <c r="AA478" s="94"/>
      <c r="AB478" s="69"/>
      <c r="AC478" s="94"/>
      <c r="AD478" s="94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92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94"/>
      <c r="P479" s="69"/>
      <c r="Q479" s="94"/>
      <c r="R479" s="94"/>
      <c r="S479" s="60"/>
      <c r="T479" s="62"/>
      <c r="U479" s="62"/>
      <c r="V479" s="62"/>
      <c r="W479" s="61"/>
      <c r="X479" s="62"/>
      <c r="Y479" s="62"/>
      <c r="Z479" s="66"/>
      <c r="AA479" s="94"/>
      <c r="AB479" s="69"/>
      <c r="AC479" s="94"/>
      <c r="AD479" s="94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92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62"/>
      <c r="P480" s="69"/>
      <c r="Q480" s="94"/>
      <c r="R480" s="94"/>
      <c r="S480" s="60"/>
      <c r="T480" s="62"/>
      <c r="U480" s="62"/>
      <c r="V480" s="62"/>
      <c r="W480" s="61"/>
      <c r="X480" s="62"/>
      <c r="Y480" s="62"/>
      <c r="Z480" s="66"/>
      <c r="AA480" s="94"/>
      <c r="AB480" s="69"/>
      <c r="AC480" s="94"/>
      <c r="AD480" s="94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9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62"/>
      <c r="P481" s="69"/>
      <c r="Q481" s="94"/>
      <c r="R481" s="94"/>
      <c r="S481" s="60"/>
      <c r="T481" s="62"/>
      <c r="U481" s="62"/>
      <c r="V481" s="62"/>
      <c r="W481" s="61"/>
      <c r="X481" s="62"/>
      <c r="Y481" s="62"/>
      <c r="Z481" s="66"/>
      <c r="AA481" s="62"/>
      <c r="AB481" s="69"/>
      <c r="AC481" s="94"/>
      <c r="AD481" s="94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92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94"/>
      <c r="P482" s="69"/>
      <c r="Q482" s="94"/>
      <c r="R482" s="94"/>
      <c r="S482" s="60"/>
      <c r="T482" s="62"/>
      <c r="U482" s="62"/>
      <c r="V482" s="62"/>
      <c r="W482" s="61"/>
      <c r="X482" s="62"/>
      <c r="Y482" s="62"/>
      <c r="Z482" s="66"/>
      <c r="AA482" s="62"/>
      <c r="AB482" s="69"/>
      <c r="AC482" s="94"/>
      <c r="AD482" s="94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92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62"/>
      <c r="P483" s="69"/>
      <c r="Q483" s="94"/>
      <c r="R483" s="94"/>
      <c r="S483" s="60"/>
      <c r="T483" s="62"/>
      <c r="U483" s="62"/>
      <c r="V483" s="62"/>
      <c r="W483" s="61"/>
      <c r="X483" s="62"/>
      <c r="Y483" s="62"/>
      <c r="Z483" s="66"/>
      <c r="AA483" s="94"/>
      <c r="AB483" s="69"/>
      <c r="AC483" s="94"/>
      <c r="AD483" s="94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92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94"/>
      <c r="P484" s="69"/>
      <c r="Q484" s="94"/>
      <c r="R484" s="94"/>
      <c r="S484" s="60"/>
      <c r="T484" s="62"/>
      <c r="U484" s="62"/>
      <c r="V484" s="62"/>
      <c r="W484" s="61"/>
      <c r="X484" s="62"/>
      <c r="Y484" s="62"/>
      <c r="Z484" s="66"/>
      <c r="AA484" s="94"/>
      <c r="AB484" s="69"/>
      <c r="AC484" s="94"/>
      <c r="AD484" s="94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92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94"/>
      <c r="P485" s="69"/>
      <c r="Q485" s="94"/>
      <c r="R485" s="94"/>
      <c r="S485" s="60"/>
      <c r="T485" s="62"/>
      <c r="U485" s="62"/>
      <c r="V485" s="62"/>
      <c r="W485" s="61"/>
      <c r="X485" s="62"/>
      <c r="Y485" s="62"/>
      <c r="Z485" s="66"/>
      <c r="AA485" s="62"/>
      <c r="AB485" s="69"/>
      <c r="AC485" s="94"/>
      <c r="AD485" s="94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9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94"/>
      <c r="P486" s="69"/>
      <c r="Q486" s="94"/>
      <c r="R486" s="94"/>
      <c r="S486" s="60"/>
      <c r="T486" s="62"/>
      <c r="U486" s="62"/>
      <c r="V486" s="62"/>
      <c r="W486" s="61"/>
      <c r="X486" s="62"/>
      <c r="Y486" s="62"/>
      <c r="Z486" s="66"/>
      <c r="AA486" s="94"/>
      <c r="AB486" s="69"/>
      <c r="AC486" s="94"/>
      <c r="AD486" s="94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9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94"/>
      <c r="P487" s="69"/>
      <c r="Q487" s="94"/>
      <c r="R487" s="94"/>
      <c r="S487" s="60"/>
      <c r="T487" s="62"/>
      <c r="U487" s="62"/>
      <c r="V487" s="62"/>
      <c r="W487" s="61"/>
      <c r="X487" s="62"/>
      <c r="Y487" s="62"/>
      <c r="Z487" s="66"/>
      <c r="AA487" s="94"/>
      <c r="AB487" s="69"/>
      <c r="AC487" s="94"/>
      <c r="AD487" s="94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4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94"/>
      <c r="R488" s="94"/>
      <c r="S488" s="60"/>
      <c r="T488" s="62"/>
      <c r="U488" s="62"/>
      <c r="V488" s="62"/>
      <c r="W488" s="61"/>
      <c r="X488" s="62"/>
      <c r="Y488" s="62"/>
      <c r="Z488" s="66"/>
      <c r="AA488" s="94"/>
      <c r="AB488" s="69"/>
      <c r="AC488" s="94"/>
      <c r="AD488" s="94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4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94"/>
      <c r="P489" s="69"/>
      <c r="Q489" s="94"/>
      <c r="R489" s="94"/>
      <c r="S489" s="60"/>
      <c r="T489" s="62"/>
      <c r="U489" s="62"/>
      <c r="V489" s="62"/>
      <c r="W489" s="61"/>
      <c r="X489" s="62"/>
      <c r="Y489" s="62"/>
      <c r="Z489" s="66"/>
      <c r="AA489" s="94"/>
      <c r="AB489" s="69"/>
      <c r="AC489" s="94"/>
      <c r="AD489" s="94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4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94"/>
      <c r="P490" s="69"/>
      <c r="Q490" s="94"/>
      <c r="R490" s="94"/>
      <c r="S490" s="60"/>
      <c r="T490" s="62"/>
      <c r="U490" s="62"/>
      <c r="V490" s="62"/>
      <c r="W490" s="61"/>
      <c r="X490" s="62"/>
      <c r="Y490" s="62"/>
      <c r="Z490" s="66"/>
      <c r="AA490" s="94"/>
      <c r="AB490" s="69"/>
      <c r="AC490" s="94"/>
      <c r="AD490" s="94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4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94"/>
      <c r="R491" s="94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94"/>
      <c r="AD491" s="94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4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94"/>
      <c r="P492" s="69"/>
      <c r="Q492" s="94"/>
      <c r="R492" s="94"/>
      <c r="S492" s="60"/>
      <c r="T492" s="62"/>
      <c r="U492" s="62"/>
      <c r="V492" s="62"/>
      <c r="W492" s="61"/>
      <c r="X492" s="62"/>
      <c r="Y492" s="62"/>
      <c r="Z492" s="66"/>
      <c r="AA492" s="94"/>
      <c r="AB492" s="69"/>
      <c r="AC492" s="94"/>
      <c r="AD492" s="94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94"/>
      <c r="O493" s="94"/>
      <c r="P493" s="94"/>
      <c r="Q493" s="94"/>
      <c r="R493" s="94"/>
      <c r="S493" s="94"/>
      <c r="T493" s="62"/>
      <c r="U493" s="62"/>
      <c r="V493" s="62"/>
      <c r="W493" s="61"/>
      <c r="X493" s="62"/>
      <c r="Y493" s="62"/>
      <c r="Z493" s="94"/>
      <c r="AA493" s="94"/>
      <c r="AB493" s="94"/>
      <c r="AC493" s="94"/>
      <c r="AD493" s="94"/>
      <c r="AE493" s="94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4"/>
      <c r="C494" s="94"/>
      <c r="D494" s="94"/>
      <c r="E494" s="94"/>
      <c r="F494" s="94"/>
      <c r="G494" s="94"/>
      <c r="H494" s="62"/>
      <c r="I494" s="62"/>
      <c r="J494" s="62"/>
      <c r="K494" s="62"/>
      <c r="L494" s="62"/>
      <c r="M494" s="62"/>
      <c r="N494" s="94"/>
      <c r="O494" s="94"/>
      <c r="P494" s="94"/>
      <c r="Q494" s="94"/>
      <c r="R494" s="94"/>
      <c r="S494" s="94"/>
      <c r="T494" s="62"/>
      <c r="U494" s="62"/>
      <c r="V494" s="62"/>
      <c r="W494" s="62"/>
      <c r="X494" s="62"/>
      <c r="Y494" s="62"/>
      <c r="Z494" s="94"/>
      <c r="AA494" s="94"/>
      <c r="AB494" s="94"/>
      <c r="AC494" s="94"/>
      <c r="AD494" s="94"/>
      <c r="AE494" s="94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4"/>
      <c r="C495" s="94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94"/>
      <c r="O495" s="94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94"/>
      <c r="AA495" s="94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94"/>
      <c r="C497" s="94"/>
      <c r="D497" s="94"/>
      <c r="E497" s="94"/>
      <c r="F497" s="94"/>
      <c r="G497" s="94"/>
      <c r="H497" s="62"/>
      <c r="I497" s="62"/>
      <c r="J497" s="62"/>
      <c r="K497" s="62"/>
      <c r="L497" s="62"/>
      <c r="M497" s="62"/>
      <c r="N497" s="94"/>
      <c r="O497" s="94"/>
      <c r="P497" s="94"/>
      <c r="Q497" s="94"/>
      <c r="R497" s="94"/>
      <c r="S497" s="94"/>
      <c r="T497" s="62"/>
      <c r="U497" s="62"/>
      <c r="V497" s="62"/>
      <c r="W497" s="62"/>
      <c r="X497" s="62"/>
      <c r="Y497" s="62"/>
      <c r="Z497" s="94"/>
      <c r="AA497" s="94"/>
      <c r="AB497" s="94"/>
      <c r="AC497" s="94"/>
      <c r="AD497" s="94"/>
      <c r="AE497" s="94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94"/>
      <c r="C498" s="94"/>
      <c r="D498" s="94"/>
      <c r="E498" s="94"/>
      <c r="F498" s="94"/>
      <c r="G498" s="94"/>
      <c r="H498" s="62"/>
      <c r="I498" s="62"/>
      <c r="J498" s="62"/>
      <c r="K498" s="62"/>
      <c r="L498" s="62"/>
      <c r="M498" s="62"/>
      <c r="N498" s="94"/>
      <c r="O498" s="94"/>
      <c r="P498" s="94"/>
      <c r="Q498" s="94"/>
      <c r="R498" s="94"/>
      <c r="S498" s="94"/>
      <c r="T498" s="62"/>
      <c r="U498" s="62"/>
      <c r="V498" s="62"/>
      <c r="W498" s="62"/>
      <c r="X498" s="62"/>
      <c r="Y498" s="62"/>
      <c r="Z498" s="94"/>
      <c r="AA498" s="94"/>
      <c r="AB498" s="94"/>
      <c r="AC498" s="94"/>
      <c r="AD498" s="94"/>
      <c r="AE498" s="94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94"/>
      <c r="C499" s="94"/>
      <c r="D499" s="94"/>
      <c r="E499" s="94"/>
      <c r="F499" s="94"/>
      <c r="G499" s="94"/>
      <c r="H499" s="62"/>
      <c r="I499" s="62"/>
      <c r="J499" s="62"/>
      <c r="K499" s="62"/>
      <c r="L499" s="62"/>
      <c r="M499" s="62"/>
      <c r="N499" s="94"/>
      <c r="O499" s="94"/>
      <c r="P499" s="94"/>
      <c r="Q499" s="94"/>
      <c r="R499" s="94"/>
      <c r="S499" s="94"/>
      <c r="T499" s="62"/>
      <c r="U499" s="62"/>
      <c r="V499" s="62"/>
      <c r="W499" s="62"/>
      <c r="X499" s="62"/>
      <c r="Y499" s="62"/>
      <c r="Z499" s="94"/>
      <c r="AA499" s="94"/>
      <c r="AB499" s="94"/>
      <c r="AC499" s="94"/>
      <c r="AD499" s="94"/>
      <c r="AE499" s="94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94"/>
      <c r="C500" s="94"/>
      <c r="D500" s="94"/>
      <c r="E500" s="94"/>
      <c r="F500" s="94"/>
      <c r="G500" s="94"/>
      <c r="H500" s="62"/>
      <c r="I500" s="62"/>
      <c r="J500" s="62"/>
      <c r="K500" s="62"/>
      <c r="L500" s="62"/>
      <c r="M500" s="63"/>
      <c r="N500" s="94"/>
      <c r="O500" s="94"/>
      <c r="P500" s="94"/>
      <c r="Q500" s="94"/>
      <c r="R500" s="94"/>
      <c r="S500" s="94"/>
      <c r="T500" s="62"/>
      <c r="U500" s="62"/>
      <c r="V500" s="62"/>
      <c r="W500" s="62"/>
      <c r="X500" s="62"/>
      <c r="Y500" s="63"/>
      <c r="Z500" s="94"/>
      <c r="AA500" s="94"/>
      <c r="AB500" s="94"/>
      <c r="AC500" s="94"/>
      <c r="AD500" s="94"/>
      <c r="AE500" s="94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94"/>
      <c r="C501" s="94"/>
      <c r="D501" s="94"/>
      <c r="E501" s="94"/>
      <c r="F501" s="94"/>
      <c r="G501" s="94"/>
      <c r="H501" s="62"/>
      <c r="I501" s="62"/>
      <c r="J501" s="62"/>
      <c r="K501" s="62"/>
      <c r="L501" s="62"/>
      <c r="M501" s="62"/>
      <c r="N501" s="94"/>
      <c r="O501" s="94"/>
      <c r="P501" s="94"/>
      <c r="Q501" s="94"/>
      <c r="R501" s="94"/>
      <c r="S501" s="94"/>
      <c r="T501" s="62"/>
      <c r="U501" s="62"/>
      <c r="V501" s="62"/>
      <c r="W501" s="62"/>
      <c r="X501" s="62"/>
      <c r="Y501" s="62"/>
      <c r="Z501" s="94"/>
      <c r="AA501" s="94"/>
      <c r="AB501" s="94"/>
      <c r="AC501" s="94"/>
      <c r="AD501" s="94"/>
      <c r="AE501" s="94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94"/>
      <c r="C502" s="94"/>
      <c r="D502" s="94"/>
      <c r="E502" s="94"/>
      <c r="F502" s="94"/>
      <c r="G502" s="94"/>
      <c r="H502" s="62"/>
      <c r="I502" s="94"/>
      <c r="J502" s="74"/>
      <c r="K502" s="62"/>
      <c r="L502" s="62"/>
      <c r="M502" s="62"/>
      <c r="N502" s="94"/>
      <c r="O502" s="94"/>
      <c r="P502" s="94"/>
      <c r="Q502" s="94"/>
      <c r="R502" s="94"/>
      <c r="S502" s="94"/>
      <c r="T502" s="62"/>
      <c r="U502" s="94"/>
      <c r="V502" s="74"/>
      <c r="W502" s="62"/>
      <c r="X502" s="62"/>
      <c r="Y502" s="62"/>
      <c r="Z502" s="94"/>
      <c r="AA502" s="94"/>
      <c r="AB502" s="94"/>
      <c r="AC502" s="94"/>
      <c r="AD502" s="94"/>
      <c r="AE502" s="94"/>
      <c r="AF502" s="62"/>
      <c r="AG502" s="94"/>
      <c r="AH502" s="94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94"/>
      <c r="C503" s="94"/>
      <c r="D503" s="94"/>
      <c r="E503" s="94"/>
      <c r="F503" s="94"/>
      <c r="G503" s="94"/>
      <c r="H503" s="62"/>
      <c r="I503" s="65"/>
      <c r="J503" s="65"/>
      <c r="K503" s="62"/>
      <c r="L503" s="62"/>
      <c r="M503" s="64"/>
      <c r="N503" s="94"/>
      <c r="O503" s="94"/>
      <c r="P503" s="94"/>
      <c r="Q503" s="94"/>
      <c r="R503" s="94"/>
      <c r="S503" s="94"/>
      <c r="T503" s="62"/>
      <c r="U503" s="65"/>
      <c r="V503" s="65"/>
      <c r="W503" s="62"/>
      <c r="X503" s="62"/>
      <c r="Y503" s="64"/>
      <c r="Z503" s="94"/>
      <c r="AA503" s="94"/>
      <c r="AB503" s="94"/>
      <c r="AC503" s="94"/>
      <c r="AD503" s="94"/>
      <c r="AE503" s="94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94"/>
      <c r="C504" s="94"/>
      <c r="D504" s="94"/>
      <c r="E504" s="94"/>
      <c r="F504" s="94"/>
      <c r="G504" s="94"/>
      <c r="H504" s="62"/>
      <c r="I504" s="62"/>
      <c r="J504" s="62"/>
      <c r="K504" s="62"/>
      <c r="L504" s="62"/>
      <c r="M504" s="62"/>
      <c r="N504" s="94"/>
      <c r="O504" s="94"/>
      <c r="P504" s="94"/>
      <c r="Q504" s="94"/>
      <c r="R504" s="94"/>
      <c r="S504" s="94"/>
      <c r="T504" s="62"/>
      <c r="U504" s="62"/>
      <c r="V504" s="62"/>
      <c r="W504" s="62"/>
      <c r="X504" s="62"/>
      <c r="Y504" s="62"/>
      <c r="Z504" s="94"/>
      <c r="AA504" s="94"/>
      <c r="AB504" s="94"/>
      <c r="AC504" s="94"/>
      <c r="AD504" s="94"/>
      <c r="AE504" s="94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94"/>
      <c r="D505" s="106"/>
      <c r="E505" s="106"/>
      <c r="F505" s="94"/>
      <c r="G505" s="94"/>
      <c r="H505" s="62"/>
      <c r="I505" s="106"/>
      <c r="J505" s="106"/>
      <c r="K505" s="105"/>
      <c r="L505" s="62"/>
      <c r="M505" s="62"/>
      <c r="N505" s="65"/>
      <c r="O505" s="94"/>
      <c r="P505" s="106"/>
      <c r="Q505" s="106"/>
      <c r="R505" s="94"/>
      <c r="S505" s="94"/>
      <c r="T505" s="62"/>
      <c r="U505" s="106"/>
      <c r="V505" s="106"/>
      <c r="W505" s="105"/>
      <c r="X505" s="62"/>
      <c r="Y505" s="62"/>
      <c r="Z505" s="65"/>
      <c r="AA505" s="94"/>
      <c r="AB505" s="106"/>
      <c r="AC505" s="106"/>
      <c r="AD505" s="94"/>
      <c r="AE505" s="94"/>
      <c r="AF505" s="62"/>
      <c r="AG505" s="106"/>
      <c r="AH505" s="106"/>
      <c r="AI505" s="105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94"/>
      <c r="C506" s="94"/>
      <c r="D506" s="81"/>
      <c r="E506" s="82"/>
      <c r="F506" s="83"/>
      <c r="G506" s="83"/>
      <c r="H506" s="62"/>
      <c r="I506" s="93"/>
      <c r="J506" s="93"/>
      <c r="K506" s="105"/>
      <c r="L506" s="62"/>
      <c r="M506" s="62"/>
      <c r="N506" s="94"/>
      <c r="O506" s="94"/>
      <c r="P506" s="81"/>
      <c r="Q506" s="83"/>
      <c r="R506" s="83"/>
      <c r="S506" s="83"/>
      <c r="T506" s="62"/>
      <c r="U506" s="93"/>
      <c r="V506" s="93"/>
      <c r="W506" s="105"/>
      <c r="X506" s="62"/>
      <c r="Y506" s="62"/>
      <c r="Z506" s="94"/>
      <c r="AA506" s="94"/>
      <c r="AB506" s="81"/>
      <c r="AC506" s="83"/>
      <c r="AD506" s="83"/>
      <c r="AE506" s="83"/>
      <c r="AF506" s="62"/>
      <c r="AG506" s="93"/>
      <c r="AH506" s="93"/>
      <c r="AI506" s="105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92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94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94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92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94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94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92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94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94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92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94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94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65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94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94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92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94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94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92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94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94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92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94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94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92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94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94"/>
      <c r="AB515" s="62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92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94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94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92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94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94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92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94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92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65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94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92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94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94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92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94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94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94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94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94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92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94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94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9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94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94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9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94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94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92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94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92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62"/>
      <c r="P527" s="67"/>
      <c r="Q527" s="94"/>
      <c r="R527" s="94"/>
      <c r="S527" s="60"/>
      <c r="T527" s="62"/>
      <c r="U527" s="62"/>
      <c r="V527" s="62"/>
      <c r="W527" s="61"/>
      <c r="X527" s="62"/>
      <c r="Y527" s="62"/>
      <c r="Z527" s="66"/>
      <c r="AA527" s="62"/>
      <c r="AB527" s="67"/>
      <c r="AC527" s="94"/>
      <c r="AD527" s="94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92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94"/>
      <c r="P528" s="68"/>
      <c r="Q528" s="94"/>
      <c r="R528" s="94"/>
      <c r="S528" s="60"/>
      <c r="T528" s="62"/>
      <c r="U528" s="62"/>
      <c r="V528" s="62"/>
      <c r="W528" s="61"/>
      <c r="X528" s="62"/>
      <c r="Y528" s="62"/>
      <c r="Z528" s="66"/>
      <c r="AA528" s="62"/>
      <c r="AB528" s="68"/>
      <c r="AC528" s="94"/>
      <c r="AD528" s="94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9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94"/>
      <c r="P529" s="69"/>
      <c r="Q529" s="62"/>
      <c r="R529" s="62"/>
      <c r="S529" s="60"/>
      <c r="T529" s="62"/>
      <c r="U529" s="62"/>
      <c r="V529" s="62"/>
      <c r="W529" s="61"/>
      <c r="X529" s="62"/>
      <c r="Y529" s="62"/>
      <c r="Z529" s="66"/>
      <c r="AA529" s="94"/>
      <c r="AB529" s="69"/>
      <c r="AC529" s="62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9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62"/>
      <c r="P530" s="69"/>
      <c r="Q530" s="94"/>
      <c r="R530" s="94"/>
      <c r="S530" s="60"/>
      <c r="T530" s="62"/>
      <c r="U530" s="62"/>
      <c r="V530" s="62"/>
      <c r="W530" s="61"/>
      <c r="X530" s="62"/>
      <c r="Y530" s="62"/>
      <c r="Z530" s="66"/>
      <c r="AA530" s="94"/>
      <c r="AB530" s="69"/>
      <c r="AC530" s="94"/>
      <c r="AD530" s="94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94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94"/>
      <c r="P531" s="69"/>
      <c r="Q531" s="94"/>
      <c r="R531" s="94"/>
      <c r="S531" s="60"/>
      <c r="T531" s="62"/>
      <c r="U531" s="62"/>
      <c r="V531" s="62"/>
      <c r="W531" s="61"/>
      <c r="X531" s="62"/>
      <c r="Y531" s="62"/>
      <c r="Z531" s="66"/>
      <c r="AA531" s="65"/>
      <c r="AB531" s="69"/>
      <c r="AC531" s="94"/>
      <c r="AD531" s="94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65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62"/>
      <c r="P532" s="69"/>
      <c r="Q532" s="94"/>
      <c r="R532" s="94"/>
      <c r="S532" s="60"/>
      <c r="T532" s="62"/>
      <c r="U532" s="62"/>
      <c r="V532" s="62"/>
      <c r="W532" s="61"/>
      <c r="X532" s="62"/>
      <c r="Y532" s="62"/>
      <c r="Z532" s="66"/>
      <c r="AA532" s="62"/>
      <c r="AB532" s="69"/>
      <c r="AC532" s="94"/>
      <c r="AD532" s="94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9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94"/>
      <c r="P533" s="69"/>
      <c r="Q533" s="94"/>
      <c r="R533" s="94"/>
      <c r="S533" s="60"/>
      <c r="T533" s="62"/>
      <c r="U533" s="62"/>
      <c r="V533" s="62"/>
      <c r="W533" s="61"/>
      <c r="X533" s="62"/>
      <c r="Y533" s="62"/>
      <c r="Z533" s="66"/>
      <c r="AA533" s="94"/>
      <c r="AB533" s="69"/>
      <c r="AC533" s="94"/>
      <c r="AD533" s="94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9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94"/>
      <c r="P534" s="69"/>
      <c r="Q534" s="94"/>
      <c r="R534" s="94"/>
      <c r="S534" s="60"/>
      <c r="T534" s="62"/>
      <c r="U534" s="62"/>
      <c r="V534" s="62"/>
      <c r="W534" s="61"/>
      <c r="X534" s="62"/>
      <c r="Y534" s="62"/>
      <c r="Z534" s="66"/>
      <c r="AA534" s="94"/>
      <c r="AB534" s="69"/>
      <c r="AC534" s="94"/>
      <c r="AD534" s="94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9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62"/>
      <c r="P535" s="69"/>
      <c r="Q535" s="94"/>
      <c r="R535" s="94"/>
      <c r="S535" s="60"/>
      <c r="T535" s="62"/>
      <c r="U535" s="62"/>
      <c r="V535" s="62"/>
      <c r="W535" s="61"/>
      <c r="X535" s="62"/>
      <c r="Y535" s="62"/>
      <c r="Z535" s="66"/>
      <c r="AA535" s="94"/>
      <c r="AB535" s="69"/>
      <c r="AC535" s="94"/>
      <c r="AD535" s="94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9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62"/>
      <c r="P536" s="69"/>
      <c r="Q536" s="94"/>
      <c r="R536" s="94"/>
      <c r="S536" s="60"/>
      <c r="T536" s="62"/>
      <c r="U536" s="62"/>
      <c r="V536" s="62"/>
      <c r="W536" s="61"/>
      <c r="X536" s="62"/>
      <c r="Y536" s="62"/>
      <c r="Z536" s="66"/>
      <c r="AA536" s="62"/>
      <c r="AB536" s="69"/>
      <c r="AC536" s="94"/>
      <c r="AD536" s="94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9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94"/>
      <c r="P537" s="69"/>
      <c r="Q537" s="94"/>
      <c r="R537" s="94"/>
      <c r="S537" s="60"/>
      <c r="T537" s="62"/>
      <c r="U537" s="62"/>
      <c r="V537" s="62"/>
      <c r="W537" s="61"/>
      <c r="X537" s="62"/>
      <c r="Y537" s="62"/>
      <c r="Z537" s="66"/>
      <c r="AA537" s="62"/>
      <c r="AB537" s="69"/>
      <c r="AC537" s="94"/>
      <c r="AD537" s="94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9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62"/>
      <c r="P538" s="69"/>
      <c r="Q538" s="94"/>
      <c r="R538" s="94"/>
      <c r="S538" s="60"/>
      <c r="T538" s="62"/>
      <c r="U538" s="62"/>
      <c r="V538" s="62"/>
      <c r="W538" s="61"/>
      <c r="X538" s="62"/>
      <c r="Y538" s="62"/>
      <c r="Z538" s="66"/>
      <c r="AA538" s="94"/>
      <c r="AB538" s="69"/>
      <c r="AC538" s="94"/>
      <c r="AD538" s="94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9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94"/>
      <c r="P539" s="69"/>
      <c r="Q539" s="94"/>
      <c r="R539" s="94"/>
      <c r="S539" s="60"/>
      <c r="T539" s="62"/>
      <c r="U539" s="62"/>
      <c r="V539" s="62"/>
      <c r="W539" s="61"/>
      <c r="X539" s="62"/>
      <c r="Y539" s="62"/>
      <c r="Z539" s="66"/>
      <c r="AA539" s="94"/>
      <c r="AB539" s="69"/>
      <c r="AC539" s="94"/>
      <c r="AD539" s="94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9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94"/>
      <c r="P540" s="69"/>
      <c r="Q540" s="94"/>
      <c r="R540" s="94"/>
      <c r="S540" s="60"/>
      <c r="T540" s="62"/>
      <c r="U540" s="62"/>
      <c r="V540" s="62"/>
      <c r="W540" s="61"/>
      <c r="X540" s="62"/>
      <c r="Y540" s="62"/>
      <c r="Z540" s="66"/>
      <c r="AA540" s="62"/>
      <c r="AB540" s="69"/>
      <c r="AC540" s="94"/>
      <c r="AD540" s="94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9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94"/>
      <c r="P541" s="69"/>
      <c r="Q541" s="94"/>
      <c r="R541" s="94"/>
      <c r="S541" s="60"/>
      <c r="T541" s="62"/>
      <c r="U541" s="62"/>
      <c r="V541" s="62"/>
      <c r="W541" s="61"/>
      <c r="X541" s="62"/>
      <c r="Y541" s="62"/>
      <c r="Z541" s="66"/>
      <c r="AA541" s="94"/>
      <c r="AB541" s="69"/>
      <c r="AC541" s="94"/>
      <c r="AD541" s="94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9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94"/>
      <c r="P542" s="69"/>
      <c r="Q542" s="94"/>
      <c r="R542" s="94"/>
      <c r="S542" s="60"/>
      <c r="T542" s="62"/>
      <c r="U542" s="62"/>
      <c r="V542" s="62"/>
      <c r="W542" s="61"/>
      <c r="X542" s="62"/>
      <c r="Y542" s="62"/>
      <c r="Z542" s="66"/>
      <c r="AA542" s="94"/>
      <c r="AB542" s="69"/>
      <c r="AC542" s="94"/>
      <c r="AD542" s="94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94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94"/>
      <c r="R543" s="94"/>
      <c r="S543" s="60"/>
      <c r="T543" s="62"/>
      <c r="U543" s="62"/>
      <c r="V543" s="62"/>
      <c r="W543" s="61"/>
      <c r="X543" s="62"/>
      <c r="Y543" s="62"/>
      <c r="Z543" s="66"/>
      <c r="AA543" s="94"/>
      <c r="AB543" s="69"/>
      <c r="AC543" s="94"/>
      <c r="AD543" s="94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94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94"/>
      <c r="P544" s="69"/>
      <c r="Q544" s="94"/>
      <c r="R544" s="94"/>
      <c r="S544" s="60"/>
      <c r="T544" s="62"/>
      <c r="U544" s="62"/>
      <c r="V544" s="62"/>
      <c r="W544" s="61"/>
      <c r="X544" s="62"/>
      <c r="Y544" s="62"/>
      <c r="Z544" s="66"/>
      <c r="AA544" s="94"/>
      <c r="AB544" s="69"/>
      <c r="AC544" s="94"/>
      <c r="AD544" s="94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94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94"/>
      <c r="P545" s="69"/>
      <c r="Q545" s="94"/>
      <c r="R545" s="94"/>
      <c r="S545" s="60"/>
      <c r="T545" s="62"/>
      <c r="U545" s="62"/>
      <c r="V545" s="62"/>
      <c r="W545" s="61"/>
      <c r="X545" s="62"/>
      <c r="Y545" s="62"/>
      <c r="Z545" s="66"/>
      <c r="AA545" s="94"/>
      <c r="AB545" s="69"/>
      <c r="AC545" s="94"/>
      <c r="AD545" s="94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94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94"/>
      <c r="R546" s="94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94"/>
      <c r="AD546" s="94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94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94"/>
      <c r="P547" s="69"/>
      <c r="Q547" s="94"/>
      <c r="R547" s="94"/>
      <c r="S547" s="60"/>
      <c r="T547" s="62"/>
      <c r="U547" s="62"/>
      <c r="V547" s="62"/>
      <c r="W547" s="61"/>
      <c r="X547" s="62"/>
      <c r="Y547" s="62"/>
      <c r="Z547" s="66"/>
      <c r="AA547" s="94"/>
      <c r="AB547" s="69"/>
      <c r="AC547" s="94"/>
      <c r="AD547" s="94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94"/>
      <c r="O548" s="94"/>
      <c r="P548" s="94"/>
      <c r="Q548" s="94"/>
      <c r="R548" s="94"/>
      <c r="S548" s="94"/>
      <c r="T548" s="62"/>
      <c r="U548" s="62"/>
      <c r="V548" s="62"/>
      <c r="W548" s="61"/>
      <c r="X548" s="62"/>
      <c r="Y548" s="62"/>
      <c r="Z548" s="94"/>
      <c r="AA548" s="94"/>
      <c r="AB548" s="94"/>
      <c r="AC548" s="94"/>
      <c r="AD548" s="94"/>
      <c r="AE548" s="94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94"/>
      <c r="C549" s="94"/>
      <c r="D549" s="94"/>
      <c r="E549" s="94"/>
      <c r="F549" s="94"/>
      <c r="G549" s="94"/>
      <c r="H549" s="62"/>
      <c r="I549" s="62"/>
      <c r="J549" s="62"/>
      <c r="K549" s="62"/>
      <c r="L549" s="62"/>
      <c r="M549" s="62"/>
      <c r="N549" s="94"/>
      <c r="O549" s="94"/>
      <c r="P549" s="94"/>
      <c r="Q549" s="94"/>
      <c r="R549" s="94"/>
      <c r="S549" s="94"/>
      <c r="T549" s="62"/>
      <c r="U549" s="62"/>
      <c r="V549" s="62"/>
      <c r="W549" s="62"/>
      <c r="X549" s="62"/>
      <c r="Y549" s="62"/>
      <c r="Z549" s="94"/>
      <c r="AA549" s="94"/>
      <c r="AB549" s="94"/>
      <c r="AC549" s="94"/>
      <c r="AD549" s="94"/>
      <c r="AE549" s="94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94"/>
      <c r="C550" s="94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94"/>
      <c r="O550" s="94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94"/>
      <c r="AA550" s="94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4"/>
      <c r="C552" s="94"/>
      <c r="D552" s="94"/>
      <c r="E552" s="94"/>
      <c r="F552" s="94"/>
      <c r="G552" s="94"/>
      <c r="H552" s="62"/>
      <c r="I552" s="62"/>
      <c r="J552" s="62"/>
      <c r="K552" s="62"/>
      <c r="L552" s="62"/>
      <c r="M552" s="62"/>
      <c r="N552" s="94"/>
      <c r="O552" s="94"/>
      <c r="P552" s="94"/>
      <c r="Q552" s="94"/>
      <c r="R552" s="94"/>
      <c r="S552" s="94"/>
      <c r="T552" s="62"/>
      <c r="U552" s="62"/>
      <c r="V552" s="62"/>
      <c r="W552" s="62"/>
      <c r="X552" s="62"/>
      <c r="Y552" s="62"/>
      <c r="Z552" s="94"/>
      <c r="AA552" s="94"/>
      <c r="AB552" s="94"/>
      <c r="AC552" s="94"/>
      <c r="AD552" s="94"/>
      <c r="AE552" s="94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4"/>
      <c r="C553" s="94"/>
      <c r="D553" s="94"/>
      <c r="E553" s="94"/>
      <c r="F553" s="94"/>
      <c r="G553" s="94"/>
      <c r="H553" s="62"/>
      <c r="I553" s="62"/>
      <c r="J553" s="62"/>
      <c r="K553" s="62"/>
      <c r="L553" s="62"/>
      <c r="M553" s="62"/>
      <c r="N553" s="94"/>
      <c r="O553" s="94"/>
      <c r="P553" s="94"/>
      <c r="Q553" s="94"/>
      <c r="R553" s="94"/>
      <c r="S553" s="94"/>
      <c r="T553" s="62"/>
      <c r="U553" s="62"/>
      <c r="V553" s="62"/>
      <c r="W553" s="62"/>
      <c r="X553" s="62"/>
      <c r="Y553" s="62"/>
      <c r="Z553" s="94"/>
      <c r="AA553" s="94"/>
      <c r="AB553" s="94"/>
      <c r="AC553" s="94"/>
      <c r="AD553" s="94"/>
      <c r="AE553" s="94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4"/>
      <c r="C554" s="94"/>
      <c r="D554" s="94"/>
      <c r="E554" s="94"/>
      <c r="F554" s="94"/>
      <c r="G554" s="94"/>
      <c r="H554" s="62"/>
      <c r="I554" s="62"/>
      <c r="J554" s="62"/>
      <c r="K554" s="62"/>
      <c r="L554" s="62"/>
      <c r="M554" s="62"/>
      <c r="N554" s="94"/>
      <c r="O554" s="94"/>
      <c r="P554" s="94"/>
      <c r="Q554" s="94"/>
      <c r="R554" s="94"/>
      <c r="S554" s="94"/>
      <c r="T554" s="62"/>
      <c r="U554" s="62"/>
      <c r="V554" s="62"/>
      <c r="W554" s="62"/>
      <c r="X554" s="62"/>
      <c r="Y554" s="62"/>
      <c r="Z554" s="94"/>
      <c r="AA554" s="94"/>
      <c r="AB554" s="94"/>
      <c r="AC554" s="94"/>
      <c r="AD554" s="94"/>
      <c r="AE554" s="94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4"/>
      <c r="C555" s="94"/>
      <c r="D555" s="94"/>
      <c r="E555" s="94"/>
      <c r="F555" s="94"/>
      <c r="G555" s="94"/>
      <c r="H555" s="62"/>
      <c r="I555" s="62"/>
      <c r="J555" s="62"/>
      <c r="K555" s="62"/>
      <c r="L555" s="62"/>
      <c r="M555" s="63"/>
      <c r="N555" s="94"/>
      <c r="O555" s="94"/>
      <c r="P555" s="94"/>
      <c r="Q555" s="94"/>
      <c r="R555" s="94"/>
      <c r="S555" s="94"/>
      <c r="T555" s="62"/>
      <c r="U555" s="62"/>
      <c r="V555" s="62"/>
      <c r="W555" s="62"/>
      <c r="X555" s="62"/>
      <c r="Y555" s="63"/>
      <c r="Z555" s="94"/>
      <c r="AA555" s="94"/>
      <c r="AB555" s="94"/>
      <c r="AC555" s="94"/>
      <c r="AD555" s="94"/>
      <c r="AE555" s="94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4"/>
      <c r="C556" s="94"/>
      <c r="D556" s="94"/>
      <c r="E556" s="94"/>
      <c r="F556" s="94"/>
      <c r="G556" s="94"/>
      <c r="H556" s="62"/>
      <c r="I556" s="62"/>
      <c r="J556" s="62"/>
      <c r="K556" s="62"/>
      <c r="L556" s="62"/>
      <c r="M556" s="62"/>
      <c r="N556" s="94"/>
      <c r="O556" s="94"/>
      <c r="P556" s="94"/>
      <c r="Q556" s="94"/>
      <c r="R556" s="94"/>
      <c r="S556" s="94"/>
      <c r="T556" s="62"/>
      <c r="U556" s="62"/>
      <c r="V556" s="62"/>
      <c r="W556" s="62"/>
      <c r="X556" s="62"/>
      <c r="Y556" s="62"/>
      <c r="Z556" s="94"/>
      <c r="AA556" s="94"/>
      <c r="AB556" s="94"/>
      <c r="AC556" s="94"/>
      <c r="AD556" s="94"/>
      <c r="AE556" s="94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4"/>
      <c r="C557" s="94"/>
      <c r="D557" s="94"/>
      <c r="E557" s="94"/>
      <c r="F557" s="94"/>
      <c r="G557" s="94"/>
      <c r="H557" s="62"/>
      <c r="I557" s="94"/>
      <c r="J557" s="74"/>
      <c r="K557" s="62"/>
      <c r="L557" s="62"/>
      <c r="M557" s="62"/>
      <c r="N557" s="94"/>
      <c r="O557" s="94"/>
      <c r="P557" s="94"/>
      <c r="Q557" s="94"/>
      <c r="R557" s="94"/>
      <c r="S557" s="94"/>
      <c r="T557" s="62"/>
      <c r="U557" s="94"/>
      <c r="V557" s="74"/>
      <c r="W557" s="62"/>
      <c r="X557" s="62"/>
      <c r="Y557" s="62"/>
      <c r="Z557" s="94"/>
      <c r="AA557" s="94"/>
      <c r="AB557" s="94"/>
      <c r="AC557" s="94"/>
      <c r="AD557" s="94"/>
      <c r="AE557" s="94"/>
      <c r="AF557" s="62"/>
      <c r="AG557" s="94"/>
      <c r="AH557" s="94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4"/>
      <c r="C558" s="94"/>
      <c r="D558" s="94"/>
      <c r="E558" s="94"/>
      <c r="F558" s="94"/>
      <c r="G558" s="94"/>
      <c r="H558" s="62"/>
      <c r="I558" s="65"/>
      <c r="J558" s="65"/>
      <c r="K558" s="62"/>
      <c r="L558" s="62"/>
      <c r="M558" s="64"/>
      <c r="N558" s="94"/>
      <c r="O558" s="94"/>
      <c r="P558" s="94"/>
      <c r="Q558" s="94"/>
      <c r="R558" s="94"/>
      <c r="S558" s="94"/>
      <c r="T558" s="62"/>
      <c r="U558" s="65"/>
      <c r="V558" s="65"/>
      <c r="W558" s="62"/>
      <c r="X558" s="62"/>
      <c r="Y558" s="64"/>
      <c r="Z558" s="94"/>
      <c r="AA558" s="94"/>
      <c r="AB558" s="94"/>
      <c r="AC558" s="94"/>
      <c r="AD558" s="94"/>
      <c r="AE558" s="94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4"/>
      <c r="C559" s="94"/>
      <c r="D559" s="94"/>
      <c r="E559" s="94"/>
      <c r="F559" s="94"/>
      <c r="G559" s="94"/>
      <c r="H559" s="62"/>
      <c r="I559" s="62"/>
      <c r="J559" s="62"/>
      <c r="K559" s="62"/>
      <c r="L559" s="62"/>
      <c r="M559" s="62"/>
      <c r="N559" s="94"/>
      <c r="O559" s="94"/>
      <c r="P559" s="94"/>
      <c r="Q559" s="94"/>
      <c r="R559" s="94"/>
      <c r="S559" s="94"/>
      <c r="T559" s="62"/>
      <c r="U559" s="62"/>
      <c r="V559" s="62"/>
      <c r="W559" s="62"/>
      <c r="X559" s="62"/>
      <c r="Y559" s="62"/>
      <c r="Z559" s="94"/>
      <c r="AA559" s="94"/>
      <c r="AB559" s="94"/>
      <c r="AC559" s="94"/>
      <c r="AD559" s="94"/>
      <c r="AE559" s="94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4"/>
      <c r="D560" s="106"/>
      <c r="E560" s="106"/>
      <c r="F560" s="94"/>
      <c r="G560" s="94"/>
      <c r="H560" s="62"/>
      <c r="I560" s="106"/>
      <c r="J560" s="106"/>
      <c r="K560" s="105"/>
      <c r="L560" s="62"/>
      <c r="M560" s="62"/>
      <c r="N560" s="65"/>
      <c r="O560" s="94"/>
      <c r="P560" s="106"/>
      <c r="Q560" s="106"/>
      <c r="R560" s="94"/>
      <c r="S560" s="94"/>
      <c r="T560" s="62"/>
      <c r="U560" s="106"/>
      <c r="V560" s="106"/>
      <c r="W560" s="105"/>
      <c r="X560" s="62"/>
      <c r="Y560" s="62"/>
      <c r="Z560" s="65"/>
      <c r="AA560" s="94"/>
      <c r="AB560" s="106"/>
      <c r="AC560" s="106"/>
      <c r="AD560" s="94"/>
      <c r="AE560" s="94"/>
      <c r="AF560" s="62"/>
      <c r="AG560" s="106"/>
      <c r="AH560" s="106"/>
      <c r="AI560" s="105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94"/>
      <c r="C561" s="94"/>
      <c r="D561" s="81"/>
      <c r="E561" s="82"/>
      <c r="F561" s="83"/>
      <c r="G561" s="83"/>
      <c r="H561" s="62"/>
      <c r="I561" s="93"/>
      <c r="J561" s="93"/>
      <c r="K561" s="105"/>
      <c r="L561" s="62"/>
      <c r="M561" s="62"/>
      <c r="N561" s="94"/>
      <c r="O561" s="94"/>
      <c r="P561" s="81"/>
      <c r="Q561" s="83"/>
      <c r="R561" s="83"/>
      <c r="S561" s="83"/>
      <c r="T561" s="62"/>
      <c r="U561" s="93"/>
      <c r="V561" s="93"/>
      <c r="W561" s="105"/>
      <c r="X561" s="62"/>
      <c r="Y561" s="62"/>
      <c r="Z561" s="94"/>
      <c r="AA561" s="94"/>
      <c r="AB561" s="81"/>
      <c r="AC561" s="83"/>
      <c r="AD561" s="83"/>
      <c r="AE561" s="83"/>
      <c r="AF561" s="62"/>
      <c r="AG561" s="93"/>
      <c r="AH561" s="93"/>
      <c r="AI561" s="105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92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94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94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92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94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94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92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94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94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94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94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9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94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94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92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94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94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92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94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65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92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94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94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92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94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94"/>
      <c r="AB570" s="62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92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94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94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9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94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94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92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94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62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92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94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94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92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94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94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92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94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94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9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94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94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92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94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94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9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94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94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9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65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94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92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94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92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94"/>
      <c r="P582" s="67"/>
      <c r="Q582" s="94"/>
      <c r="R582" s="94"/>
      <c r="S582" s="60"/>
      <c r="T582" s="62"/>
      <c r="U582" s="62"/>
      <c r="V582" s="62"/>
      <c r="W582" s="61"/>
      <c r="X582" s="62"/>
      <c r="Y582" s="62"/>
      <c r="Z582" s="66"/>
      <c r="AA582" s="62"/>
      <c r="AB582" s="67"/>
      <c r="AC582" s="94"/>
      <c r="AD582" s="94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92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94"/>
      <c r="P583" s="68"/>
      <c r="Q583" s="94"/>
      <c r="R583" s="94"/>
      <c r="S583" s="60"/>
      <c r="T583" s="62"/>
      <c r="U583" s="62"/>
      <c r="V583" s="62"/>
      <c r="W583" s="61"/>
      <c r="X583" s="62"/>
      <c r="Y583" s="62"/>
      <c r="Z583" s="66"/>
      <c r="AA583" s="62"/>
      <c r="AB583" s="68"/>
      <c r="AC583" s="94"/>
      <c r="AD583" s="94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9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94"/>
      <c r="P584" s="69"/>
      <c r="Q584" s="62"/>
      <c r="R584" s="62"/>
      <c r="S584" s="60"/>
      <c r="T584" s="62"/>
      <c r="U584" s="62"/>
      <c r="V584" s="62"/>
      <c r="W584" s="61"/>
      <c r="X584" s="62"/>
      <c r="Y584" s="62"/>
      <c r="Z584" s="66"/>
      <c r="AA584" s="94"/>
      <c r="AB584" s="69"/>
      <c r="AC584" s="62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9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94"/>
      <c r="P585" s="69"/>
      <c r="Q585" s="94"/>
      <c r="R585" s="94"/>
      <c r="S585" s="60"/>
      <c r="T585" s="62"/>
      <c r="U585" s="62"/>
      <c r="V585" s="62"/>
      <c r="W585" s="61"/>
      <c r="X585" s="62"/>
      <c r="Y585" s="62"/>
      <c r="Z585" s="66"/>
      <c r="AA585" s="94"/>
      <c r="AB585" s="69"/>
      <c r="AC585" s="94"/>
      <c r="AD585" s="94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9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62"/>
      <c r="P586" s="69"/>
      <c r="Q586" s="94"/>
      <c r="R586" s="94"/>
      <c r="S586" s="60"/>
      <c r="T586" s="62"/>
      <c r="U586" s="62"/>
      <c r="V586" s="62"/>
      <c r="W586" s="61"/>
      <c r="X586" s="62"/>
      <c r="Y586" s="62"/>
      <c r="Z586" s="66"/>
      <c r="AA586" s="65"/>
      <c r="AB586" s="69"/>
      <c r="AC586" s="94"/>
      <c r="AD586" s="94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62"/>
      <c r="P587" s="69"/>
      <c r="Q587" s="94"/>
      <c r="R587" s="94"/>
      <c r="S587" s="60"/>
      <c r="T587" s="62"/>
      <c r="U587" s="62"/>
      <c r="V587" s="62"/>
      <c r="W587" s="61"/>
      <c r="X587" s="62"/>
      <c r="Y587" s="62"/>
      <c r="Z587" s="66"/>
      <c r="AA587" s="62"/>
      <c r="AB587" s="69"/>
      <c r="AC587" s="94"/>
      <c r="AD587" s="94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9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94"/>
      <c r="P588" s="69"/>
      <c r="Q588" s="94"/>
      <c r="R588" s="94"/>
      <c r="S588" s="60"/>
      <c r="T588" s="62"/>
      <c r="U588" s="62"/>
      <c r="V588" s="62"/>
      <c r="W588" s="61"/>
      <c r="X588" s="62"/>
      <c r="Y588" s="62"/>
      <c r="Z588" s="66"/>
      <c r="AA588" s="94"/>
      <c r="AB588" s="69"/>
      <c r="AC588" s="94"/>
      <c r="AD588" s="94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9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94"/>
      <c r="P589" s="69"/>
      <c r="Q589" s="94"/>
      <c r="R589" s="94"/>
      <c r="S589" s="60"/>
      <c r="T589" s="62"/>
      <c r="U589" s="62"/>
      <c r="V589" s="62"/>
      <c r="W589" s="61"/>
      <c r="X589" s="62"/>
      <c r="Y589" s="62"/>
      <c r="Z589" s="66"/>
      <c r="AA589" s="94"/>
      <c r="AB589" s="69"/>
      <c r="AC589" s="94"/>
      <c r="AD589" s="94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9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62"/>
      <c r="P590" s="69"/>
      <c r="Q590" s="94"/>
      <c r="R590" s="94"/>
      <c r="S590" s="60"/>
      <c r="T590" s="62"/>
      <c r="U590" s="62"/>
      <c r="V590" s="62"/>
      <c r="W590" s="61"/>
      <c r="X590" s="62"/>
      <c r="Y590" s="62"/>
      <c r="Z590" s="66"/>
      <c r="AA590" s="94"/>
      <c r="AB590" s="69"/>
      <c r="AC590" s="94"/>
      <c r="AD590" s="94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9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62"/>
      <c r="P591" s="69"/>
      <c r="Q591" s="94"/>
      <c r="R591" s="94"/>
      <c r="S591" s="60"/>
      <c r="T591" s="62"/>
      <c r="U591" s="62"/>
      <c r="V591" s="62"/>
      <c r="W591" s="61"/>
      <c r="X591" s="62"/>
      <c r="Y591" s="62"/>
      <c r="Z591" s="66"/>
      <c r="AA591" s="62"/>
      <c r="AB591" s="69"/>
      <c r="AC591" s="94"/>
      <c r="AD591" s="94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9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94"/>
      <c r="P592" s="69"/>
      <c r="Q592" s="94"/>
      <c r="R592" s="94"/>
      <c r="S592" s="60"/>
      <c r="T592" s="62"/>
      <c r="U592" s="62"/>
      <c r="V592" s="62"/>
      <c r="W592" s="61"/>
      <c r="X592" s="62"/>
      <c r="Y592" s="62"/>
      <c r="Z592" s="66"/>
      <c r="AA592" s="62"/>
      <c r="AB592" s="69"/>
      <c r="AC592" s="94"/>
      <c r="AD592" s="94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9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62"/>
      <c r="P593" s="69"/>
      <c r="Q593" s="94"/>
      <c r="R593" s="94"/>
      <c r="S593" s="60"/>
      <c r="T593" s="62"/>
      <c r="U593" s="62"/>
      <c r="V593" s="62"/>
      <c r="W593" s="61"/>
      <c r="X593" s="62"/>
      <c r="Y593" s="62"/>
      <c r="Z593" s="66"/>
      <c r="AA593" s="94"/>
      <c r="AB593" s="69"/>
      <c r="AC593" s="94"/>
      <c r="AD593" s="94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9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94"/>
      <c r="P594" s="69"/>
      <c r="Q594" s="94"/>
      <c r="R594" s="94"/>
      <c r="S594" s="60"/>
      <c r="T594" s="62"/>
      <c r="U594" s="62"/>
      <c r="V594" s="62"/>
      <c r="W594" s="61"/>
      <c r="X594" s="62"/>
      <c r="Y594" s="62"/>
      <c r="Z594" s="66"/>
      <c r="AA594" s="94"/>
      <c r="AB594" s="69"/>
      <c r="AC594" s="94"/>
      <c r="AD594" s="94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9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94"/>
      <c r="P595" s="69"/>
      <c r="Q595" s="94"/>
      <c r="R595" s="94"/>
      <c r="S595" s="60"/>
      <c r="T595" s="62"/>
      <c r="U595" s="62"/>
      <c r="V595" s="62"/>
      <c r="W595" s="61"/>
      <c r="X595" s="62"/>
      <c r="Y595" s="62"/>
      <c r="Z595" s="66"/>
      <c r="AA595" s="62"/>
      <c r="AB595" s="69"/>
      <c r="AC595" s="94"/>
      <c r="AD595" s="94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9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94"/>
      <c r="P596" s="69"/>
      <c r="Q596" s="94"/>
      <c r="R596" s="94"/>
      <c r="S596" s="60"/>
      <c r="T596" s="62"/>
      <c r="U596" s="62"/>
      <c r="V596" s="62"/>
      <c r="W596" s="61"/>
      <c r="X596" s="62"/>
      <c r="Y596" s="62"/>
      <c r="Z596" s="66"/>
      <c r="AA596" s="94"/>
      <c r="AB596" s="69"/>
      <c r="AC596" s="94"/>
      <c r="AD596" s="94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9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94"/>
      <c r="P597" s="69"/>
      <c r="Q597" s="94"/>
      <c r="R597" s="94"/>
      <c r="S597" s="60"/>
      <c r="T597" s="62"/>
      <c r="U597" s="62"/>
      <c r="V597" s="62"/>
      <c r="W597" s="61"/>
      <c r="X597" s="62"/>
      <c r="Y597" s="62"/>
      <c r="Z597" s="66"/>
      <c r="AA597" s="94"/>
      <c r="AB597" s="69"/>
      <c r="AC597" s="94"/>
      <c r="AD597" s="94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4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94"/>
      <c r="R598" s="94"/>
      <c r="S598" s="60"/>
      <c r="T598" s="62"/>
      <c r="U598" s="62"/>
      <c r="V598" s="62"/>
      <c r="W598" s="61"/>
      <c r="X598" s="62"/>
      <c r="Y598" s="62"/>
      <c r="Z598" s="66"/>
      <c r="AA598" s="94"/>
      <c r="AB598" s="69"/>
      <c r="AC598" s="94"/>
      <c r="AD598" s="94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4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94"/>
      <c r="P599" s="69"/>
      <c r="Q599" s="94"/>
      <c r="R599" s="94"/>
      <c r="S599" s="60"/>
      <c r="T599" s="62"/>
      <c r="U599" s="62"/>
      <c r="V599" s="62"/>
      <c r="W599" s="61"/>
      <c r="X599" s="62"/>
      <c r="Y599" s="62"/>
      <c r="Z599" s="66"/>
      <c r="AA599" s="94"/>
      <c r="AB599" s="69"/>
      <c r="AC599" s="94"/>
      <c r="AD599" s="94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4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94"/>
      <c r="P600" s="69"/>
      <c r="Q600" s="94"/>
      <c r="R600" s="94"/>
      <c r="S600" s="60"/>
      <c r="T600" s="62"/>
      <c r="U600" s="62"/>
      <c r="V600" s="62"/>
      <c r="W600" s="61"/>
      <c r="X600" s="62"/>
      <c r="Y600" s="62"/>
      <c r="Z600" s="66"/>
      <c r="AA600" s="94"/>
      <c r="AB600" s="69"/>
      <c r="AC600" s="94"/>
      <c r="AD600" s="94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4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94"/>
      <c r="R601" s="94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94"/>
      <c r="AD601" s="94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4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94"/>
      <c r="P602" s="69"/>
      <c r="Q602" s="94"/>
      <c r="R602" s="94"/>
      <c r="S602" s="60"/>
      <c r="T602" s="62"/>
      <c r="U602" s="62"/>
      <c r="V602" s="62"/>
      <c r="W602" s="61"/>
      <c r="X602" s="62"/>
      <c r="Y602" s="62"/>
      <c r="Z602" s="66"/>
      <c r="AA602" s="94"/>
      <c r="AB602" s="69"/>
      <c r="AC602" s="94"/>
      <c r="AD602" s="94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94"/>
      <c r="O603" s="94"/>
      <c r="P603" s="94"/>
      <c r="Q603" s="94"/>
      <c r="R603" s="94"/>
      <c r="S603" s="94"/>
      <c r="T603" s="62"/>
      <c r="U603" s="62"/>
      <c r="V603" s="62"/>
      <c r="W603" s="61"/>
      <c r="X603" s="62"/>
      <c r="Y603" s="62"/>
      <c r="Z603" s="94"/>
      <c r="AA603" s="94"/>
      <c r="AB603" s="94"/>
      <c r="AC603" s="94"/>
      <c r="AD603" s="94"/>
      <c r="AE603" s="94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4"/>
      <c r="C604" s="94"/>
      <c r="D604" s="94"/>
      <c r="E604" s="94"/>
      <c r="F604" s="94"/>
      <c r="G604" s="94"/>
      <c r="H604" s="62"/>
      <c r="I604" s="62"/>
      <c r="J604" s="62"/>
      <c r="K604" s="62"/>
      <c r="L604" s="62"/>
      <c r="M604" s="62"/>
      <c r="N604" s="94"/>
      <c r="O604" s="94"/>
      <c r="P604" s="94"/>
      <c r="Q604" s="94"/>
      <c r="R604" s="94"/>
      <c r="S604" s="94"/>
      <c r="T604" s="62"/>
      <c r="U604" s="62"/>
      <c r="V604" s="62"/>
      <c r="W604" s="62"/>
      <c r="X604" s="62"/>
      <c r="Y604" s="62"/>
      <c r="Z604" s="94"/>
      <c r="AA604" s="94"/>
      <c r="AB604" s="94"/>
      <c r="AC604" s="94"/>
      <c r="AD604" s="94"/>
      <c r="AE604" s="94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4"/>
      <c r="C605" s="94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94"/>
      <c r="O605" s="94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94"/>
      <c r="AA605" s="94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4"/>
      <c r="C607" s="94"/>
      <c r="D607" s="94"/>
      <c r="E607" s="94"/>
      <c r="F607" s="94"/>
      <c r="G607" s="94"/>
      <c r="H607" s="62"/>
      <c r="I607" s="62"/>
      <c r="J607" s="62"/>
      <c r="K607" s="62"/>
      <c r="L607" s="62"/>
      <c r="M607" s="62"/>
      <c r="N607" s="94"/>
      <c r="O607" s="94"/>
      <c r="P607" s="94"/>
      <c r="Q607" s="94"/>
      <c r="R607" s="94"/>
      <c r="S607" s="94"/>
      <c r="T607" s="62"/>
      <c r="U607" s="62"/>
      <c r="V607" s="62"/>
      <c r="W607" s="62"/>
      <c r="X607" s="62"/>
      <c r="Y607" s="62"/>
      <c r="Z607" s="94"/>
      <c r="AA607" s="94"/>
      <c r="AB607" s="94"/>
      <c r="AC607" s="94"/>
      <c r="AD607" s="94"/>
      <c r="AE607" s="94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4"/>
      <c r="C608" s="94"/>
      <c r="D608" s="94"/>
      <c r="E608" s="94"/>
      <c r="F608" s="94"/>
      <c r="G608" s="94"/>
      <c r="H608" s="62"/>
      <c r="I608" s="62"/>
      <c r="J608" s="62"/>
      <c r="K608" s="62"/>
      <c r="L608" s="62"/>
      <c r="M608" s="62"/>
      <c r="N608" s="94"/>
      <c r="O608" s="94"/>
      <c r="P608" s="94"/>
      <c r="Q608" s="94"/>
      <c r="R608" s="94"/>
      <c r="S608" s="94"/>
      <c r="T608" s="62"/>
      <c r="U608" s="62"/>
      <c r="V608" s="62"/>
      <c r="W608" s="62"/>
      <c r="X608" s="62"/>
      <c r="Y608" s="62"/>
      <c r="Z608" s="94"/>
      <c r="AA608" s="94"/>
      <c r="AB608" s="94"/>
      <c r="AC608" s="94"/>
      <c r="AD608" s="94"/>
      <c r="AE608" s="94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4"/>
      <c r="C609" s="94"/>
      <c r="D609" s="94"/>
      <c r="E609" s="94"/>
      <c r="F609" s="94"/>
      <c r="G609" s="94"/>
      <c r="H609" s="62"/>
      <c r="I609" s="62"/>
      <c r="J609" s="62"/>
      <c r="K609" s="62"/>
      <c r="L609" s="62"/>
      <c r="M609" s="62"/>
      <c r="N609" s="94"/>
      <c r="O609" s="94"/>
      <c r="P609" s="94"/>
      <c r="Q609" s="94"/>
      <c r="R609" s="94"/>
      <c r="S609" s="94"/>
      <c r="T609" s="62"/>
      <c r="U609" s="62"/>
      <c r="V609" s="62"/>
      <c r="W609" s="62"/>
      <c r="X609" s="62"/>
      <c r="Y609" s="62"/>
      <c r="Z609" s="94"/>
      <c r="AA609" s="94"/>
      <c r="AB609" s="94"/>
      <c r="AC609" s="94"/>
      <c r="AD609" s="94"/>
      <c r="AE609" s="94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4"/>
      <c r="C610" s="94"/>
      <c r="D610" s="94"/>
      <c r="E610" s="94"/>
      <c r="F610" s="94"/>
      <c r="G610" s="94"/>
      <c r="H610" s="62"/>
      <c r="I610" s="62"/>
      <c r="J610" s="62"/>
      <c r="K610" s="62"/>
      <c r="L610" s="62"/>
      <c r="M610" s="63"/>
      <c r="N610" s="94"/>
      <c r="O610" s="94"/>
      <c r="P610" s="94"/>
      <c r="Q610" s="94"/>
      <c r="R610" s="94"/>
      <c r="S610" s="94"/>
      <c r="T610" s="62"/>
      <c r="U610" s="62"/>
      <c r="V610" s="62"/>
      <c r="W610" s="62"/>
      <c r="X610" s="62"/>
      <c r="Y610" s="63"/>
      <c r="Z610" s="94"/>
      <c r="AA610" s="94"/>
      <c r="AB610" s="94"/>
      <c r="AC610" s="94"/>
      <c r="AD610" s="94"/>
      <c r="AE610" s="94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4"/>
      <c r="C611" s="94"/>
      <c r="D611" s="94"/>
      <c r="E611" s="94"/>
      <c r="F611" s="94"/>
      <c r="G611" s="94"/>
      <c r="H611" s="62"/>
      <c r="I611" s="62"/>
      <c r="J611" s="62"/>
      <c r="K611" s="62"/>
      <c r="L611" s="62"/>
      <c r="M611" s="62"/>
      <c r="N611" s="94"/>
      <c r="O611" s="94"/>
      <c r="P611" s="94"/>
      <c r="Q611" s="94"/>
      <c r="R611" s="94"/>
      <c r="S611" s="94"/>
      <c r="T611" s="62"/>
      <c r="U611" s="62"/>
      <c r="V611" s="62"/>
      <c r="W611" s="62"/>
      <c r="X611" s="62"/>
      <c r="Y611" s="62"/>
      <c r="Z611" s="94"/>
      <c r="AA611" s="94"/>
      <c r="AB611" s="94"/>
      <c r="AC611" s="94"/>
      <c r="AD611" s="94"/>
      <c r="AE611" s="94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4"/>
      <c r="C612" s="94"/>
      <c r="D612" s="94"/>
      <c r="E612" s="94"/>
      <c r="F612" s="94"/>
      <c r="G612" s="94"/>
      <c r="H612" s="62"/>
      <c r="I612" s="94"/>
      <c r="J612" s="74"/>
      <c r="K612" s="62"/>
      <c r="L612" s="62"/>
      <c r="M612" s="62"/>
      <c r="N612" s="94"/>
      <c r="O612" s="94"/>
      <c r="P612" s="94"/>
      <c r="Q612" s="94"/>
      <c r="R612" s="94"/>
      <c r="S612" s="94"/>
      <c r="T612" s="62"/>
      <c r="U612" s="94"/>
      <c r="V612" s="74"/>
      <c r="W612" s="62"/>
      <c r="X612" s="62"/>
      <c r="Y612" s="62"/>
      <c r="Z612" s="94"/>
      <c r="AA612" s="94"/>
      <c r="AB612" s="94"/>
      <c r="AC612" s="94"/>
      <c r="AD612" s="94"/>
      <c r="AE612" s="94"/>
      <c r="AF612" s="62"/>
      <c r="AG612" s="94"/>
      <c r="AH612" s="94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4"/>
      <c r="C613" s="94"/>
      <c r="D613" s="94"/>
      <c r="E613" s="94"/>
      <c r="F613" s="94"/>
      <c r="G613" s="94"/>
      <c r="H613" s="62"/>
      <c r="I613" s="65"/>
      <c r="J613" s="65"/>
      <c r="K613" s="62"/>
      <c r="L613" s="62"/>
      <c r="M613" s="64"/>
      <c r="N613" s="94"/>
      <c r="O613" s="94"/>
      <c r="P613" s="94"/>
      <c r="Q613" s="94"/>
      <c r="R613" s="94"/>
      <c r="S613" s="94"/>
      <c r="T613" s="62"/>
      <c r="U613" s="65"/>
      <c r="V613" s="65"/>
      <c r="W613" s="62"/>
      <c r="X613" s="62"/>
      <c r="Y613" s="64"/>
      <c r="Z613" s="94"/>
      <c r="AA613" s="94"/>
      <c r="AB613" s="94"/>
      <c r="AC613" s="94"/>
      <c r="AD613" s="94"/>
      <c r="AE613" s="94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4"/>
      <c r="C614" s="94"/>
      <c r="D614" s="94"/>
      <c r="E614" s="94"/>
      <c r="F614" s="94"/>
      <c r="G614" s="94"/>
      <c r="H614" s="62"/>
      <c r="I614" s="62"/>
      <c r="J614" s="62"/>
      <c r="K614" s="62"/>
      <c r="L614" s="62"/>
      <c r="M614" s="62"/>
      <c r="N614" s="94"/>
      <c r="O614" s="94"/>
      <c r="P614" s="94"/>
      <c r="Q614" s="94"/>
      <c r="R614" s="94"/>
      <c r="S614" s="94"/>
      <c r="T614" s="62"/>
      <c r="U614" s="62"/>
      <c r="V614" s="62"/>
      <c r="W614" s="62"/>
      <c r="X614" s="62"/>
      <c r="Y614" s="62"/>
      <c r="Z614" s="94"/>
      <c r="AA614" s="94"/>
      <c r="AB614" s="94"/>
      <c r="AC614" s="94"/>
      <c r="AD614" s="94"/>
      <c r="AE614" s="94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4"/>
      <c r="D615" s="106"/>
      <c r="E615" s="106"/>
      <c r="F615" s="94"/>
      <c r="G615" s="94"/>
      <c r="H615" s="62"/>
      <c r="I615" s="106"/>
      <c r="J615" s="106"/>
      <c r="K615" s="105"/>
      <c r="L615" s="62"/>
      <c r="M615" s="62"/>
      <c r="N615" s="65"/>
      <c r="O615" s="94"/>
      <c r="P615" s="106"/>
      <c r="Q615" s="106"/>
      <c r="R615" s="94"/>
      <c r="S615" s="94"/>
      <c r="T615" s="62"/>
      <c r="U615" s="106"/>
      <c r="V615" s="106"/>
      <c r="W615" s="105"/>
      <c r="X615" s="62"/>
      <c r="Y615" s="62"/>
      <c r="Z615" s="65"/>
      <c r="AA615" s="94"/>
      <c r="AB615" s="106"/>
      <c r="AC615" s="106"/>
      <c r="AD615" s="94"/>
      <c r="AE615" s="94"/>
      <c r="AF615" s="62"/>
      <c r="AG615" s="106"/>
      <c r="AH615" s="106"/>
      <c r="AI615" s="105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94"/>
      <c r="C616" s="94"/>
      <c r="D616" s="81"/>
      <c r="E616" s="82"/>
      <c r="F616" s="83"/>
      <c r="G616" s="83"/>
      <c r="H616" s="62"/>
      <c r="I616" s="93"/>
      <c r="J616" s="93"/>
      <c r="K616" s="105"/>
      <c r="L616" s="62"/>
      <c r="M616" s="62"/>
      <c r="N616" s="94"/>
      <c r="O616" s="94"/>
      <c r="P616" s="81"/>
      <c r="Q616" s="83"/>
      <c r="R616" s="83"/>
      <c r="S616" s="83"/>
      <c r="T616" s="62"/>
      <c r="U616" s="93"/>
      <c r="V616" s="93"/>
      <c r="W616" s="105"/>
      <c r="X616" s="62"/>
      <c r="Y616" s="62"/>
      <c r="Z616" s="94"/>
      <c r="AA616" s="94"/>
      <c r="AB616" s="81"/>
      <c r="AC616" s="83"/>
      <c r="AD616" s="83"/>
      <c r="AE616" s="83"/>
      <c r="AF616" s="62"/>
      <c r="AG616" s="93"/>
      <c r="AH616" s="93"/>
      <c r="AI616" s="105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92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94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94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92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94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94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92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94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94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92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94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94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92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65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94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92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94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94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92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94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65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92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94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94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92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94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94"/>
      <c r="AB625" s="62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92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94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94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92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94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62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92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94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62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92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94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94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92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94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94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92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94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94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92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94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94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92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94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94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92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94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94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65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62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94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9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94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92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94"/>
      <c r="P637" s="67"/>
      <c r="Q637" s="94"/>
      <c r="R637" s="94"/>
      <c r="S637" s="60"/>
      <c r="T637" s="62"/>
      <c r="U637" s="62"/>
      <c r="V637" s="62"/>
      <c r="W637" s="61"/>
      <c r="X637" s="62"/>
      <c r="Y637" s="62"/>
      <c r="Z637" s="66"/>
      <c r="AA637" s="62"/>
      <c r="AB637" s="67"/>
      <c r="AC637" s="94"/>
      <c r="AD637" s="94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92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94"/>
      <c r="P638" s="68"/>
      <c r="Q638" s="94"/>
      <c r="R638" s="94"/>
      <c r="S638" s="60"/>
      <c r="T638" s="62"/>
      <c r="U638" s="62"/>
      <c r="V638" s="62"/>
      <c r="W638" s="61"/>
      <c r="X638" s="62"/>
      <c r="Y638" s="62"/>
      <c r="Z638" s="66"/>
      <c r="AA638" s="62"/>
      <c r="AB638" s="68"/>
      <c r="AC638" s="94"/>
      <c r="AD638" s="94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9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94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94"/>
      <c r="AB639" s="69"/>
      <c r="AC639" s="62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9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94"/>
      <c r="P640" s="69"/>
      <c r="Q640" s="94"/>
      <c r="R640" s="94"/>
      <c r="S640" s="60"/>
      <c r="T640" s="62"/>
      <c r="U640" s="62"/>
      <c r="V640" s="62"/>
      <c r="W640" s="61"/>
      <c r="X640" s="62"/>
      <c r="Y640" s="62"/>
      <c r="Z640" s="66"/>
      <c r="AA640" s="94"/>
      <c r="AB640" s="69"/>
      <c r="AC640" s="94"/>
      <c r="AD640" s="94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9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62"/>
      <c r="P641" s="69"/>
      <c r="Q641" s="94"/>
      <c r="R641" s="94"/>
      <c r="S641" s="60"/>
      <c r="T641" s="62"/>
      <c r="U641" s="62"/>
      <c r="V641" s="62"/>
      <c r="W641" s="61"/>
      <c r="X641" s="62"/>
      <c r="Y641" s="62"/>
      <c r="Z641" s="66"/>
      <c r="AA641" s="65"/>
      <c r="AB641" s="69"/>
      <c r="AC641" s="94"/>
      <c r="AD641" s="94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65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62"/>
      <c r="P642" s="69"/>
      <c r="Q642" s="94"/>
      <c r="R642" s="94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94"/>
      <c r="AD642" s="94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9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94"/>
      <c r="P643" s="69"/>
      <c r="Q643" s="94"/>
      <c r="R643" s="94"/>
      <c r="S643" s="60"/>
      <c r="T643" s="62"/>
      <c r="U643" s="62"/>
      <c r="V643" s="62"/>
      <c r="W643" s="61"/>
      <c r="X643" s="62"/>
      <c r="Y643" s="62"/>
      <c r="Z643" s="66"/>
      <c r="AA643" s="94"/>
      <c r="AB643" s="69"/>
      <c r="AC643" s="94"/>
      <c r="AD643" s="94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9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94"/>
      <c r="P644" s="69"/>
      <c r="Q644" s="94"/>
      <c r="R644" s="94"/>
      <c r="S644" s="60"/>
      <c r="T644" s="62"/>
      <c r="U644" s="62"/>
      <c r="V644" s="62"/>
      <c r="W644" s="61"/>
      <c r="X644" s="62"/>
      <c r="Y644" s="62"/>
      <c r="Z644" s="66"/>
      <c r="AA644" s="94"/>
      <c r="AB644" s="69"/>
      <c r="AC644" s="94"/>
      <c r="AD644" s="94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9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62"/>
      <c r="P645" s="69"/>
      <c r="Q645" s="94"/>
      <c r="R645" s="94"/>
      <c r="S645" s="60"/>
      <c r="T645" s="62"/>
      <c r="U645" s="62"/>
      <c r="V645" s="62"/>
      <c r="W645" s="61"/>
      <c r="X645" s="62"/>
      <c r="Y645" s="62"/>
      <c r="Z645" s="66"/>
      <c r="AA645" s="94"/>
      <c r="AB645" s="69"/>
      <c r="AC645" s="94"/>
      <c r="AD645" s="94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9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62"/>
      <c r="P646" s="69"/>
      <c r="Q646" s="94"/>
      <c r="R646" s="94"/>
      <c r="S646" s="60"/>
      <c r="T646" s="62"/>
      <c r="U646" s="62"/>
      <c r="V646" s="62"/>
      <c r="W646" s="61"/>
      <c r="X646" s="62"/>
      <c r="Y646" s="62"/>
      <c r="Z646" s="66"/>
      <c r="AA646" s="62"/>
      <c r="AB646" s="69"/>
      <c r="AC646" s="94"/>
      <c r="AD646" s="94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9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94"/>
      <c r="P647" s="69"/>
      <c r="Q647" s="94"/>
      <c r="R647" s="94"/>
      <c r="S647" s="60"/>
      <c r="T647" s="62"/>
      <c r="U647" s="62"/>
      <c r="V647" s="62"/>
      <c r="W647" s="61"/>
      <c r="X647" s="62"/>
      <c r="Y647" s="62"/>
      <c r="Z647" s="66"/>
      <c r="AA647" s="62"/>
      <c r="AB647" s="69"/>
      <c r="AC647" s="94"/>
      <c r="AD647" s="94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9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62"/>
      <c r="P648" s="69"/>
      <c r="Q648" s="94"/>
      <c r="R648" s="94"/>
      <c r="S648" s="60"/>
      <c r="T648" s="62"/>
      <c r="U648" s="62"/>
      <c r="V648" s="62"/>
      <c r="W648" s="61"/>
      <c r="X648" s="62"/>
      <c r="Y648" s="62"/>
      <c r="Z648" s="66"/>
      <c r="AA648" s="94"/>
      <c r="AB648" s="69"/>
      <c r="AC648" s="94"/>
      <c r="AD648" s="94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9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94"/>
      <c r="P649" s="69"/>
      <c r="Q649" s="94"/>
      <c r="R649" s="94"/>
      <c r="S649" s="60"/>
      <c r="T649" s="62"/>
      <c r="U649" s="62"/>
      <c r="V649" s="62"/>
      <c r="W649" s="61"/>
      <c r="X649" s="62"/>
      <c r="Y649" s="62"/>
      <c r="Z649" s="66"/>
      <c r="AA649" s="94"/>
      <c r="AB649" s="69"/>
      <c r="AC649" s="94"/>
      <c r="AD649" s="94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9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94"/>
      <c r="P650" s="69"/>
      <c r="Q650" s="94"/>
      <c r="R650" s="94"/>
      <c r="S650" s="60"/>
      <c r="T650" s="62"/>
      <c r="U650" s="62"/>
      <c r="V650" s="62"/>
      <c r="W650" s="61"/>
      <c r="X650" s="62"/>
      <c r="Y650" s="62"/>
      <c r="Z650" s="66"/>
      <c r="AA650" s="62"/>
      <c r="AB650" s="69"/>
      <c r="AC650" s="94"/>
      <c r="AD650" s="94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9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94"/>
      <c r="P651" s="69"/>
      <c r="Q651" s="94"/>
      <c r="R651" s="94"/>
      <c r="S651" s="60"/>
      <c r="T651" s="62"/>
      <c r="U651" s="62"/>
      <c r="V651" s="62"/>
      <c r="W651" s="61"/>
      <c r="X651" s="62"/>
      <c r="Y651" s="62"/>
      <c r="Z651" s="66"/>
      <c r="AA651" s="94"/>
      <c r="AB651" s="69"/>
      <c r="AC651" s="94"/>
      <c r="AD651" s="94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9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94"/>
      <c r="P652" s="69"/>
      <c r="Q652" s="94"/>
      <c r="R652" s="94"/>
      <c r="S652" s="60"/>
      <c r="T652" s="62"/>
      <c r="U652" s="62"/>
      <c r="V652" s="62"/>
      <c r="W652" s="61"/>
      <c r="X652" s="62"/>
      <c r="Y652" s="62"/>
      <c r="Z652" s="66"/>
      <c r="AA652" s="94"/>
      <c r="AB652" s="69"/>
      <c r="AC652" s="94"/>
      <c r="AD652" s="94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4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94"/>
      <c r="R653" s="94"/>
      <c r="S653" s="60"/>
      <c r="T653" s="62"/>
      <c r="U653" s="62"/>
      <c r="V653" s="62"/>
      <c r="W653" s="61"/>
      <c r="X653" s="62"/>
      <c r="Y653" s="62"/>
      <c r="Z653" s="66"/>
      <c r="AA653" s="94"/>
      <c r="AB653" s="69"/>
      <c r="AC653" s="94"/>
      <c r="AD653" s="94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4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94"/>
      <c r="P654" s="69"/>
      <c r="Q654" s="94"/>
      <c r="R654" s="94"/>
      <c r="S654" s="60"/>
      <c r="T654" s="62"/>
      <c r="U654" s="62"/>
      <c r="V654" s="62"/>
      <c r="W654" s="61"/>
      <c r="X654" s="62"/>
      <c r="Y654" s="62"/>
      <c r="Z654" s="66"/>
      <c r="AA654" s="94"/>
      <c r="AB654" s="69"/>
      <c r="AC654" s="94"/>
      <c r="AD654" s="94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4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94"/>
      <c r="P655" s="69"/>
      <c r="Q655" s="94"/>
      <c r="R655" s="94"/>
      <c r="S655" s="60"/>
      <c r="T655" s="62"/>
      <c r="U655" s="62"/>
      <c r="V655" s="62"/>
      <c r="W655" s="61"/>
      <c r="X655" s="62"/>
      <c r="Y655" s="62"/>
      <c r="Z655" s="66"/>
      <c r="AA655" s="94"/>
      <c r="AB655" s="69"/>
      <c r="AC655" s="94"/>
      <c r="AD655" s="94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4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94"/>
      <c r="R656" s="94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94"/>
      <c r="AD656" s="94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4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94"/>
      <c r="P657" s="69"/>
      <c r="Q657" s="94"/>
      <c r="R657" s="94"/>
      <c r="S657" s="60"/>
      <c r="T657" s="62"/>
      <c r="U657" s="62"/>
      <c r="V657" s="62"/>
      <c r="W657" s="61"/>
      <c r="X657" s="62"/>
      <c r="Y657" s="62"/>
      <c r="Z657" s="66"/>
      <c r="AA657" s="94"/>
      <c r="AB657" s="69"/>
      <c r="AC657" s="94"/>
      <c r="AD657" s="94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94"/>
      <c r="O658" s="94"/>
      <c r="P658" s="94"/>
      <c r="Q658" s="94"/>
      <c r="R658" s="94"/>
      <c r="S658" s="94"/>
      <c r="T658" s="62"/>
      <c r="U658" s="62"/>
      <c r="V658" s="62"/>
      <c r="W658" s="61"/>
      <c r="X658" s="62"/>
      <c r="Y658" s="62"/>
      <c r="Z658" s="94"/>
      <c r="AA658" s="94"/>
      <c r="AB658" s="94"/>
      <c r="AC658" s="94"/>
      <c r="AD658" s="94"/>
      <c r="AE658" s="94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4"/>
      <c r="C659" s="94"/>
      <c r="D659" s="94"/>
      <c r="E659" s="94"/>
      <c r="F659" s="94"/>
      <c r="G659" s="94"/>
      <c r="H659" s="62"/>
      <c r="I659" s="62"/>
      <c r="J659" s="62"/>
      <c r="K659" s="62"/>
      <c r="L659" s="62"/>
      <c r="M659" s="62"/>
      <c r="N659" s="94"/>
      <c r="O659" s="94"/>
      <c r="P659" s="94"/>
      <c r="Q659" s="94"/>
      <c r="R659" s="94"/>
      <c r="S659" s="94"/>
      <c r="T659" s="62"/>
      <c r="U659" s="62"/>
      <c r="V659" s="62"/>
      <c r="W659" s="62"/>
      <c r="X659" s="62"/>
      <c r="Y659" s="62"/>
      <c r="Z659" s="94"/>
      <c r="AA659" s="94"/>
      <c r="AB659" s="94"/>
      <c r="AC659" s="94"/>
      <c r="AD659" s="94"/>
      <c r="AE659" s="94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4"/>
      <c r="C660" s="94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94"/>
      <c r="O660" s="94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94"/>
      <c r="AA660" s="94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4"/>
      <c r="C662" s="94"/>
      <c r="D662" s="94"/>
      <c r="E662" s="94"/>
      <c r="F662" s="94"/>
      <c r="G662" s="94"/>
      <c r="H662" s="62"/>
      <c r="I662" s="62"/>
      <c r="J662" s="62"/>
      <c r="K662" s="62"/>
      <c r="L662" s="62"/>
      <c r="M662" s="62"/>
      <c r="N662" s="94"/>
      <c r="O662" s="94"/>
      <c r="P662" s="94"/>
      <c r="Q662" s="94"/>
      <c r="R662" s="94"/>
      <c r="S662" s="94"/>
      <c r="T662" s="62"/>
      <c r="U662" s="62"/>
      <c r="V662" s="62"/>
      <c r="W662" s="62"/>
      <c r="X662" s="62"/>
      <c r="Y662" s="62"/>
      <c r="Z662" s="94"/>
      <c r="AA662" s="94"/>
      <c r="AB662" s="94"/>
      <c r="AC662" s="94"/>
      <c r="AD662" s="94"/>
      <c r="AE662" s="94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4"/>
      <c r="C663" s="94"/>
      <c r="D663" s="94"/>
      <c r="E663" s="94"/>
      <c r="F663" s="94"/>
      <c r="G663" s="94"/>
      <c r="H663" s="62"/>
      <c r="I663" s="62"/>
      <c r="J663" s="62"/>
      <c r="K663" s="62"/>
      <c r="L663" s="62"/>
      <c r="M663" s="62"/>
      <c r="N663" s="94"/>
      <c r="O663" s="94"/>
      <c r="P663" s="94"/>
      <c r="Q663" s="94"/>
      <c r="R663" s="94"/>
      <c r="S663" s="94"/>
      <c r="T663" s="62"/>
      <c r="U663" s="62"/>
      <c r="V663" s="62"/>
      <c r="W663" s="62"/>
      <c r="X663" s="62"/>
      <c r="Y663" s="62"/>
      <c r="Z663" s="94"/>
      <c r="AA663" s="94"/>
      <c r="AB663" s="94"/>
      <c r="AC663" s="94"/>
      <c r="AD663" s="94"/>
      <c r="AE663" s="94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94"/>
      <c r="C664" s="94"/>
      <c r="D664" s="94"/>
      <c r="E664" s="94"/>
      <c r="F664" s="94"/>
      <c r="G664" s="94"/>
      <c r="H664" s="62"/>
      <c r="I664" s="62"/>
      <c r="J664" s="62"/>
      <c r="K664" s="62"/>
      <c r="L664" s="62"/>
      <c r="M664" s="62"/>
      <c r="N664" s="94"/>
      <c r="O664" s="94"/>
      <c r="P664" s="94"/>
      <c r="Q664" s="94"/>
      <c r="R664" s="94"/>
      <c r="S664" s="94"/>
      <c r="T664" s="62"/>
      <c r="U664" s="62"/>
      <c r="V664" s="62"/>
      <c r="W664" s="62"/>
      <c r="X664" s="62"/>
      <c r="Y664" s="62"/>
      <c r="Z664" s="94"/>
      <c r="AA664" s="94"/>
      <c r="AB664" s="94"/>
      <c r="AC664" s="94"/>
      <c r="AD664" s="94"/>
      <c r="AE664" s="94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94"/>
      <c r="C665" s="94"/>
      <c r="D665" s="94"/>
      <c r="E665" s="94"/>
      <c r="F665" s="94"/>
      <c r="G665" s="94"/>
      <c r="H665" s="62"/>
      <c r="I665" s="62"/>
      <c r="J665" s="62"/>
      <c r="K665" s="62"/>
      <c r="L665" s="62"/>
      <c r="M665" s="63"/>
      <c r="N665" s="94"/>
      <c r="O665" s="94"/>
      <c r="P665" s="94"/>
      <c r="Q665" s="94"/>
      <c r="R665" s="94"/>
      <c r="S665" s="94"/>
      <c r="T665" s="62"/>
      <c r="U665" s="62"/>
      <c r="V665" s="62"/>
      <c r="W665" s="62"/>
      <c r="X665" s="62"/>
      <c r="Y665" s="63"/>
      <c r="Z665" s="94"/>
      <c r="AA665" s="94"/>
      <c r="AB665" s="94"/>
      <c r="AC665" s="94"/>
      <c r="AD665" s="94"/>
      <c r="AE665" s="94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94"/>
      <c r="C666" s="94"/>
      <c r="D666" s="94"/>
      <c r="E666" s="94"/>
      <c r="F666" s="94"/>
      <c r="G666" s="94"/>
      <c r="H666" s="62"/>
      <c r="I666" s="62"/>
      <c r="J666" s="62"/>
      <c r="K666" s="62"/>
      <c r="L666" s="62"/>
      <c r="M666" s="62"/>
      <c r="N666" s="94"/>
      <c r="O666" s="94"/>
      <c r="P666" s="94"/>
      <c r="Q666" s="94"/>
      <c r="R666" s="94"/>
      <c r="S666" s="94"/>
      <c r="T666" s="62"/>
      <c r="U666" s="62"/>
      <c r="V666" s="62"/>
      <c r="W666" s="62"/>
      <c r="X666" s="62"/>
      <c r="Y666" s="62"/>
      <c r="Z666" s="94"/>
      <c r="AA666" s="94"/>
      <c r="AB666" s="94"/>
      <c r="AC666" s="94"/>
      <c r="AD666" s="94"/>
      <c r="AE666" s="94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94"/>
      <c r="C667" s="94"/>
      <c r="D667" s="94"/>
      <c r="E667" s="94"/>
      <c r="F667" s="94"/>
      <c r="G667" s="94"/>
      <c r="H667" s="62"/>
      <c r="I667" s="94"/>
      <c r="J667" s="74"/>
      <c r="K667" s="62"/>
      <c r="L667" s="62"/>
      <c r="M667" s="62"/>
      <c r="N667" s="94"/>
      <c r="O667" s="94"/>
      <c r="P667" s="94"/>
      <c r="Q667" s="94"/>
      <c r="R667" s="94"/>
      <c r="S667" s="94"/>
      <c r="T667" s="62"/>
      <c r="U667" s="94"/>
      <c r="V667" s="74"/>
      <c r="W667" s="62"/>
      <c r="X667" s="62"/>
      <c r="Y667" s="62"/>
      <c r="Z667" s="94"/>
      <c r="AA667" s="94"/>
      <c r="AB667" s="94"/>
      <c r="AC667" s="94"/>
      <c r="AD667" s="94"/>
      <c r="AE667" s="94"/>
      <c r="AF667" s="62"/>
      <c r="AG667" s="94"/>
      <c r="AH667" s="94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94"/>
      <c r="C668" s="94"/>
      <c r="D668" s="94"/>
      <c r="E668" s="94"/>
      <c r="F668" s="94"/>
      <c r="G668" s="94"/>
      <c r="H668" s="62"/>
      <c r="I668" s="65"/>
      <c r="J668" s="65"/>
      <c r="K668" s="62"/>
      <c r="L668" s="62"/>
      <c r="M668" s="64"/>
      <c r="N668" s="94"/>
      <c r="O668" s="94"/>
      <c r="P668" s="94"/>
      <c r="Q668" s="94"/>
      <c r="R668" s="94"/>
      <c r="S668" s="94"/>
      <c r="T668" s="62"/>
      <c r="U668" s="65"/>
      <c r="V668" s="65"/>
      <c r="W668" s="62"/>
      <c r="X668" s="62"/>
      <c r="Y668" s="64"/>
      <c r="Z668" s="94"/>
      <c r="AA668" s="94"/>
      <c r="AB668" s="94"/>
      <c r="AC668" s="94"/>
      <c r="AD668" s="94"/>
      <c r="AE668" s="94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94"/>
      <c r="C669" s="94"/>
      <c r="D669" s="94"/>
      <c r="E669" s="94"/>
      <c r="F669" s="94"/>
      <c r="G669" s="94"/>
      <c r="H669" s="62"/>
      <c r="I669" s="62"/>
      <c r="J669" s="62"/>
      <c r="K669" s="62"/>
      <c r="L669" s="62"/>
      <c r="M669" s="62"/>
      <c r="N669" s="94"/>
      <c r="O669" s="94"/>
      <c r="P669" s="94"/>
      <c r="Q669" s="94"/>
      <c r="R669" s="94"/>
      <c r="S669" s="94"/>
      <c r="T669" s="62"/>
      <c r="U669" s="62"/>
      <c r="V669" s="62"/>
      <c r="W669" s="62"/>
      <c r="X669" s="62"/>
      <c r="Y669" s="62"/>
      <c r="Z669" s="94"/>
      <c r="AA669" s="94"/>
      <c r="AB669" s="94"/>
      <c r="AC669" s="94"/>
      <c r="AD669" s="94"/>
      <c r="AE669" s="94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94"/>
      <c r="D670" s="106"/>
      <c r="E670" s="106"/>
      <c r="F670" s="94"/>
      <c r="G670" s="94"/>
      <c r="H670" s="62"/>
      <c r="I670" s="106"/>
      <c r="J670" s="106"/>
      <c r="K670" s="105"/>
      <c r="L670" s="62"/>
      <c r="M670" s="62"/>
      <c r="N670" s="65"/>
      <c r="O670" s="94"/>
      <c r="P670" s="106"/>
      <c r="Q670" s="106"/>
      <c r="R670" s="94"/>
      <c r="S670" s="94"/>
      <c r="T670" s="62"/>
      <c r="U670" s="106"/>
      <c r="V670" s="106"/>
      <c r="W670" s="105"/>
      <c r="X670" s="62"/>
      <c r="Y670" s="62"/>
      <c r="Z670" s="65"/>
      <c r="AA670" s="94"/>
      <c r="AB670" s="106"/>
      <c r="AC670" s="106"/>
      <c r="AD670" s="94"/>
      <c r="AE670" s="94"/>
      <c r="AF670" s="62"/>
      <c r="AG670" s="106"/>
      <c r="AH670" s="106"/>
      <c r="AI670" s="105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94"/>
      <c r="C671" s="94"/>
      <c r="D671" s="81"/>
      <c r="E671" s="82"/>
      <c r="F671" s="83"/>
      <c r="G671" s="83"/>
      <c r="H671" s="62"/>
      <c r="I671" s="93"/>
      <c r="J671" s="93"/>
      <c r="K671" s="105"/>
      <c r="L671" s="62"/>
      <c r="M671" s="62"/>
      <c r="N671" s="94"/>
      <c r="O671" s="94"/>
      <c r="P671" s="81"/>
      <c r="Q671" s="83"/>
      <c r="R671" s="83"/>
      <c r="S671" s="83"/>
      <c r="T671" s="62"/>
      <c r="U671" s="93"/>
      <c r="V671" s="93"/>
      <c r="W671" s="105"/>
      <c r="X671" s="62"/>
      <c r="Y671" s="62"/>
      <c r="Z671" s="94"/>
      <c r="AA671" s="94"/>
      <c r="AB671" s="81"/>
      <c r="AC671" s="83"/>
      <c r="AD671" s="83"/>
      <c r="AE671" s="83"/>
      <c r="AF671" s="62"/>
      <c r="AG671" s="93"/>
      <c r="AH671" s="93"/>
      <c r="AI671" s="105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92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4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4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92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4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4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92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94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4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65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94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65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92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94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94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92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65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94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92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4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62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92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94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94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92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94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94"/>
      <c r="AB680" s="62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92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94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94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92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94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94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92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94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94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92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4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4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92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4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4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92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4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94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92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94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94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92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94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4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92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94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4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9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62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94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9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94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94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92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4"/>
      <c r="P692" s="67"/>
      <c r="Q692" s="94"/>
      <c r="R692" s="94"/>
      <c r="S692" s="60"/>
      <c r="T692" s="62"/>
      <c r="U692" s="62"/>
      <c r="V692" s="62"/>
      <c r="W692" s="61"/>
      <c r="X692" s="62"/>
      <c r="Y692" s="62"/>
      <c r="Z692" s="66"/>
      <c r="AA692" s="94"/>
      <c r="AB692" s="67"/>
      <c r="AC692" s="94"/>
      <c r="AD692" s="94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92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94"/>
      <c r="P693" s="68"/>
      <c r="Q693" s="94"/>
      <c r="R693" s="94"/>
      <c r="S693" s="60"/>
      <c r="T693" s="62"/>
      <c r="U693" s="62"/>
      <c r="V693" s="62"/>
      <c r="W693" s="61"/>
      <c r="X693" s="62"/>
      <c r="Y693" s="62"/>
      <c r="Z693" s="66"/>
      <c r="AA693" s="94"/>
      <c r="AB693" s="68"/>
      <c r="AC693" s="94"/>
      <c r="AD693" s="94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9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94"/>
      <c r="P694" s="69"/>
      <c r="Q694" s="62"/>
      <c r="R694" s="62"/>
      <c r="S694" s="60"/>
      <c r="T694" s="62"/>
      <c r="U694" s="62"/>
      <c r="V694" s="62"/>
      <c r="W694" s="61"/>
      <c r="X694" s="62"/>
      <c r="Y694" s="62"/>
      <c r="Z694" s="66"/>
      <c r="AA694" s="94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9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4"/>
      <c r="P695" s="69"/>
      <c r="Q695" s="94"/>
      <c r="R695" s="94"/>
      <c r="S695" s="60"/>
      <c r="T695" s="62"/>
      <c r="U695" s="62"/>
      <c r="V695" s="62"/>
      <c r="W695" s="61"/>
      <c r="X695" s="62"/>
      <c r="Y695" s="62"/>
      <c r="Z695" s="66"/>
      <c r="AA695" s="94"/>
      <c r="AB695" s="69"/>
      <c r="AC695" s="94"/>
      <c r="AD695" s="94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9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62"/>
      <c r="P696" s="69"/>
      <c r="Q696" s="94"/>
      <c r="R696" s="94"/>
      <c r="S696" s="60"/>
      <c r="T696" s="62"/>
      <c r="U696" s="62"/>
      <c r="V696" s="62"/>
      <c r="W696" s="61"/>
      <c r="X696" s="62"/>
      <c r="Y696" s="62"/>
      <c r="Z696" s="66"/>
      <c r="AA696" s="65"/>
      <c r="AB696" s="69"/>
      <c r="AC696" s="94"/>
      <c r="AD696" s="94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65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62"/>
      <c r="P697" s="69"/>
      <c r="Q697" s="94"/>
      <c r="R697" s="94"/>
      <c r="S697" s="60"/>
      <c r="T697" s="62"/>
      <c r="U697" s="62"/>
      <c r="V697" s="62"/>
      <c r="W697" s="61"/>
      <c r="X697" s="62"/>
      <c r="Y697" s="62"/>
      <c r="Z697" s="66"/>
      <c r="AA697" s="62"/>
      <c r="AB697" s="69"/>
      <c r="AC697" s="94"/>
      <c r="AD697" s="94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9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4"/>
      <c r="P698" s="69"/>
      <c r="Q698" s="94"/>
      <c r="R698" s="94"/>
      <c r="S698" s="60"/>
      <c r="T698" s="62"/>
      <c r="U698" s="62"/>
      <c r="V698" s="62"/>
      <c r="W698" s="61"/>
      <c r="X698" s="62"/>
      <c r="Y698" s="62"/>
      <c r="Z698" s="66"/>
      <c r="AA698" s="94"/>
      <c r="AB698" s="69"/>
      <c r="AC698" s="94"/>
      <c r="AD698" s="94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9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4"/>
      <c r="P699" s="69"/>
      <c r="Q699" s="94"/>
      <c r="R699" s="94"/>
      <c r="S699" s="60"/>
      <c r="T699" s="62"/>
      <c r="U699" s="62"/>
      <c r="V699" s="62"/>
      <c r="W699" s="61"/>
      <c r="X699" s="62"/>
      <c r="Y699" s="62"/>
      <c r="Z699" s="66"/>
      <c r="AA699" s="94"/>
      <c r="AB699" s="69"/>
      <c r="AC699" s="94"/>
      <c r="AD699" s="94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9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62"/>
      <c r="P700" s="69"/>
      <c r="Q700" s="94"/>
      <c r="R700" s="94"/>
      <c r="S700" s="60"/>
      <c r="T700" s="62"/>
      <c r="U700" s="62"/>
      <c r="V700" s="62"/>
      <c r="W700" s="61"/>
      <c r="X700" s="62"/>
      <c r="Y700" s="62"/>
      <c r="Z700" s="66"/>
      <c r="AA700" s="94"/>
      <c r="AB700" s="69"/>
      <c r="AC700" s="94"/>
      <c r="AD700" s="94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9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62"/>
      <c r="P701" s="69"/>
      <c r="Q701" s="94"/>
      <c r="R701" s="94"/>
      <c r="S701" s="60"/>
      <c r="T701" s="62"/>
      <c r="U701" s="62"/>
      <c r="V701" s="62"/>
      <c r="W701" s="61"/>
      <c r="X701" s="62"/>
      <c r="Y701" s="62"/>
      <c r="Z701" s="66"/>
      <c r="AA701" s="62"/>
      <c r="AB701" s="69"/>
      <c r="AC701" s="94"/>
      <c r="AD701" s="94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9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4"/>
      <c r="P702" s="69"/>
      <c r="Q702" s="94"/>
      <c r="R702" s="94"/>
      <c r="S702" s="60"/>
      <c r="T702" s="62"/>
      <c r="U702" s="62"/>
      <c r="V702" s="62"/>
      <c r="W702" s="61"/>
      <c r="X702" s="62"/>
      <c r="Y702" s="62"/>
      <c r="Z702" s="66"/>
      <c r="AA702" s="62"/>
      <c r="AB702" s="69"/>
      <c r="AC702" s="94"/>
      <c r="AD702" s="94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9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62"/>
      <c r="P703" s="69"/>
      <c r="Q703" s="94"/>
      <c r="R703" s="94"/>
      <c r="S703" s="60"/>
      <c r="T703" s="62"/>
      <c r="U703" s="62"/>
      <c r="V703" s="62"/>
      <c r="W703" s="61"/>
      <c r="X703" s="62"/>
      <c r="Y703" s="62"/>
      <c r="Z703" s="66"/>
      <c r="AA703" s="94"/>
      <c r="AB703" s="69"/>
      <c r="AC703" s="94"/>
      <c r="AD703" s="94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9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4"/>
      <c r="P704" s="69"/>
      <c r="Q704" s="94"/>
      <c r="R704" s="94"/>
      <c r="S704" s="60"/>
      <c r="T704" s="62"/>
      <c r="U704" s="62"/>
      <c r="V704" s="62"/>
      <c r="W704" s="61"/>
      <c r="X704" s="62"/>
      <c r="Y704" s="62"/>
      <c r="Z704" s="66"/>
      <c r="AA704" s="94"/>
      <c r="AB704" s="69"/>
      <c r="AC704" s="94"/>
      <c r="AD704" s="94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9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94"/>
      <c r="P705" s="69"/>
      <c r="Q705" s="94"/>
      <c r="R705" s="94"/>
      <c r="S705" s="60"/>
      <c r="T705" s="62"/>
      <c r="U705" s="62"/>
      <c r="V705" s="62"/>
      <c r="W705" s="61"/>
      <c r="X705" s="62"/>
      <c r="Y705" s="62"/>
      <c r="Z705" s="66"/>
      <c r="AA705" s="62"/>
      <c r="AB705" s="69"/>
      <c r="AC705" s="94"/>
      <c r="AD705" s="94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9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94"/>
      <c r="P706" s="69"/>
      <c r="Q706" s="94"/>
      <c r="R706" s="94"/>
      <c r="S706" s="60"/>
      <c r="T706" s="62"/>
      <c r="U706" s="62"/>
      <c r="V706" s="62"/>
      <c r="W706" s="61"/>
      <c r="X706" s="62"/>
      <c r="Y706" s="62"/>
      <c r="Z706" s="66"/>
      <c r="AA706" s="94"/>
      <c r="AB706" s="69"/>
      <c r="AC706" s="94"/>
      <c r="AD706" s="94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9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94"/>
      <c r="P707" s="69"/>
      <c r="Q707" s="94"/>
      <c r="R707" s="94"/>
      <c r="S707" s="60"/>
      <c r="T707" s="62"/>
      <c r="U707" s="62"/>
      <c r="V707" s="62"/>
      <c r="W707" s="61"/>
      <c r="X707" s="62"/>
      <c r="Y707" s="62"/>
      <c r="Z707" s="66"/>
      <c r="AA707" s="94"/>
      <c r="AB707" s="69"/>
      <c r="AC707" s="94"/>
      <c r="AD707" s="94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4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94"/>
      <c r="R708" s="94"/>
      <c r="S708" s="60"/>
      <c r="T708" s="62"/>
      <c r="U708" s="62"/>
      <c r="V708" s="62"/>
      <c r="W708" s="61"/>
      <c r="X708" s="62"/>
      <c r="Y708" s="62"/>
      <c r="Z708" s="66"/>
      <c r="AA708" s="94"/>
      <c r="AB708" s="69"/>
      <c r="AC708" s="94"/>
      <c r="AD708" s="94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4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4"/>
      <c r="P709" s="69"/>
      <c r="Q709" s="94"/>
      <c r="R709" s="94"/>
      <c r="S709" s="60"/>
      <c r="T709" s="62"/>
      <c r="U709" s="62"/>
      <c r="V709" s="62"/>
      <c r="W709" s="61"/>
      <c r="X709" s="62"/>
      <c r="Y709" s="62"/>
      <c r="Z709" s="66"/>
      <c r="AA709" s="94"/>
      <c r="AB709" s="69"/>
      <c r="AC709" s="94"/>
      <c r="AD709" s="94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4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94"/>
      <c r="P710" s="69"/>
      <c r="Q710" s="94"/>
      <c r="R710" s="94"/>
      <c r="S710" s="60"/>
      <c r="T710" s="62"/>
      <c r="U710" s="62"/>
      <c r="V710" s="62"/>
      <c r="W710" s="61"/>
      <c r="X710" s="62"/>
      <c r="Y710" s="62"/>
      <c r="Z710" s="66"/>
      <c r="AA710" s="94"/>
      <c r="AB710" s="69"/>
      <c r="AC710" s="94"/>
      <c r="AD710" s="94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4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94"/>
      <c r="R711" s="94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94"/>
      <c r="AD711" s="94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94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94"/>
      <c r="P712" s="69"/>
      <c r="Q712" s="94"/>
      <c r="R712" s="94"/>
      <c r="S712" s="60"/>
      <c r="T712" s="62"/>
      <c r="U712" s="62"/>
      <c r="V712" s="62"/>
      <c r="W712" s="61"/>
      <c r="X712" s="62"/>
      <c r="Y712" s="62"/>
      <c r="Z712" s="66"/>
      <c r="AA712" s="94"/>
      <c r="AB712" s="69"/>
      <c r="AC712" s="94"/>
      <c r="AD712" s="94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94"/>
      <c r="O713" s="94"/>
      <c r="P713" s="94"/>
      <c r="Q713" s="94"/>
      <c r="R713" s="94"/>
      <c r="S713" s="94"/>
      <c r="T713" s="62"/>
      <c r="U713" s="62"/>
      <c r="V713" s="62"/>
      <c r="W713" s="61"/>
      <c r="X713" s="62"/>
      <c r="Y713" s="62"/>
      <c r="Z713" s="94"/>
      <c r="AA713" s="94"/>
      <c r="AB713" s="94"/>
      <c r="AC713" s="94"/>
      <c r="AD713" s="94"/>
      <c r="AE713" s="94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4"/>
      <c r="C714" s="94"/>
      <c r="D714" s="94"/>
      <c r="E714" s="94"/>
      <c r="F714" s="94"/>
      <c r="G714" s="94"/>
      <c r="H714" s="62"/>
      <c r="I714" s="62"/>
      <c r="J714" s="62"/>
      <c r="K714" s="62"/>
      <c r="L714" s="62"/>
      <c r="M714" s="62"/>
      <c r="N714" s="94"/>
      <c r="O714" s="94"/>
      <c r="P714" s="94"/>
      <c r="Q714" s="94"/>
      <c r="R714" s="94"/>
      <c r="S714" s="94"/>
      <c r="T714" s="62"/>
      <c r="U714" s="62"/>
      <c r="V714" s="62"/>
      <c r="W714" s="62"/>
      <c r="X714" s="62"/>
      <c r="Y714" s="62"/>
      <c r="Z714" s="94"/>
      <c r="AA714" s="94"/>
      <c r="AB714" s="94"/>
      <c r="AC714" s="94"/>
      <c r="AD714" s="94"/>
      <c r="AE714" s="94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94"/>
      <c r="C715" s="94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94"/>
      <c r="O715" s="94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94"/>
      <c r="AA715" s="94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4"/>
      <c r="C717" s="94"/>
      <c r="D717" s="94"/>
      <c r="E717" s="94"/>
      <c r="F717" s="94"/>
      <c r="G717" s="94"/>
      <c r="H717" s="62"/>
      <c r="I717" s="62"/>
      <c r="J717" s="62"/>
      <c r="K717" s="62"/>
      <c r="L717" s="62"/>
      <c r="M717" s="62"/>
      <c r="N717" s="94"/>
      <c r="O717" s="94"/>
      <c r="P717" s="94"/>
      <c r="Q717" s="94"/>
      <c r="R717" s="94"/>
      <c r="S717" s="94"/>
      <c r="T717" s="62"/>
      <c r="U717" s="62"/>
      <c r="V717" s="62"/>
      <c r="W717" s="62"/>
      <c r="X717" s="62"/>
      <c r="Y717" s="62"/>
      <c r="Z717" s="94"/>
      <c r="AA717" s="94"/>
      <c r="AB717" s="94"/>
      <c r="AC717" s="94"/>
      <c r="AD717" s="94"/>
      <c r="AE717" s="94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4"/>
      <c r="C718" s="94"/>
      <c r="D718" s="94"/>
      <c r="E718" s="94"/>
      <c r="F718" s="94"/>
      <c r="G718" s="94"/>
      <c r="H718" s="62"/>
      <c r="I718" s="62"/>
      <c r="J718" s="62"/>
      <c r="K718" s="62"/>
      <c r="L718" s="62"/>
      <c r="M718" s="62"/>
      <c r="N718" s="94"/>
      <c r="O718" s="94"/>
      <c r="P718" s="94"/>
      <c r="Q718" s="94"/>
      <c r="R718" s="94"/>
      <c r="S718" s="94"/>
      <c r="T718" s="62"/>
      <c r="U718" s="62"/>
      <c r="V718" s="62"/>
      <c r="W718" s="62"/>
      <c r="X718" s="62"/>
      <c r="Y718" s="62"/>
      <c r="Z718" s="94"/>
      <c r="AA718" s="94"/>
      <c r="AB718" s="94"/>
      <c r="AC718" s="94"/>
      <c r="AD718" s="94"/>
      <c r="AE718" s="94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4"/>
      <c r="C719" s="94"/>
      <c r="D719" s="94"/>
      <c r="E719" s="94"/>
      <c r="F719" s="94"/>
      <c r="G719" s="94"/>
      <c r="H719" s="62"/>
      <c r="I719" s="62"/>
      <c r="J719" s="62"/>
      <c r="K719" s="62"/>
      <c r="L719" s="62"/>
      <c r="M719" s="62"/>
      <c r="N719" s="94"/>
      <c r="O719" s="94"/>
      <c r="P719" s="94"/>
      <c r="Q719" s="94"/>
      <c r="R719" s="94"/>
      <c r="S719" s="94"/>
      <c r="T719" s="62"/>
      <c r="U719" s="62"/>
      <c r="V719" s="62"/>
      <c r="W719" s="62"/>
      <c r="X719" s="62"/>
      <c r="Y719" s="62"/>
      <c r="Z719" s="94"/>
      <c r="AA719" s="94"/>
      <c r="AB719" s="94"/>
      <c r="AC719" s="94"/>
      <c r="AD719" s="94"/>
      <c r="AE719" s="94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4"/>
      <c r="C720" s="94"/>
      <c r="D720" s="94"/>
      <c r="E720" s="94"/>
      <c r="F720" s="94"/>
      <c r="G720" s="94"/>
      <c r="H720" s="62"/>
      <c r="I720" s="62"/>
      <c r="J720" s="62"/>
      <c r="K720" s="62"/>
      <c r="L720" s="62"/>
      <c r="M720" s="63"/>
      <c r="N720" s="94"/>
      <c r="O720" s="94"/>
      <c r="P720" s="94"/>
      <c r="Q720" s="94"/>
      <c r="R720" s="94"/>
      <c r="S720" s="94"/>
      <c r="T720" s="62"/>
      <c r="U720" s="62"/>
      <c r="V720" s="62"/>
      <c r="W720" s="62"/>
      <c r="X720" s="62"/>
      <c r="Y720" s="63"/>
      <c r="Z720" s="94"/>
      <c r="AA720" s="94"/>
      <c r="AB720" s="94"/>
      <c r="AC720" s="94"/>
      <c r="AD720" s="94"/>
      <c r="AE720" s="94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4"/>
      <c r="C721" s="94"/>
      <c r="D721" s="94"/>
      <c r="E721" s="94"/>
      <c r="F721" s="94"/>
      <c r="G721" s="94"/>
      <c r="H721" s="62"/>
      <c r="I721" s="62"/>
      <c r="J721" s="62"/>
      <c r="K721" s="62"/>
      <c r="L721" s="62"/>
      <c r="M721" s="62"/>
      <c r="N721" s="94"/>
      <c r="O721" s="94"/>
      <c r="P721" s="94"/>
      <c r="Q721" s="94"/>
      <c r="R721" s="94"/>
      <c r="S721" s="94"/>
      <c r="T721" s="62"/>
      <c r="U721" s="62"/>
      <c r="V721" s="62"/>
      <c r="W721" s="62"/>
      <c r="X721" s="62"/>
      <c r="Y721" s="62"/>
      <c r="Z721" s="94"/>
      <c r="AA721" s="94"/>
      <c r="AB721" s="94"/>
      <c r="AC721" s="94"/>
      <c r="AD721" s="94"/>
      <c r="AE721" s="94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4"/>
      <c r="C722" s="94"/>
      <c r="D722" s="94"/>
      <c r="E722" s="94"/>
      <c r="F722" s="94"/>
      <c r="G722" s="94"/>
      <c r="H722" s="62"/>
      <c r="I722" s="94"/>
      <c r="J722" s="74"/>
      <c r="K722" s="62"/>
      <c r="L722" s="62"/>
      <c r="M722" s="62"/>
      <c r="N722" s="94"/>
      <c r="O722" s="94"/>
      <c r="P722" s="94"/>
      <c r="Q722" s="94"/>
      <c r="R722" s="94"/>
      <c r="S722" s="94"/>
      <c r="T722" s="62"/>
      <c r="U722" s="94"/>
      <c r="V722" s="74"/>
      <c r="W722" s="62"/>
      <c r="X722" s="62"/>
      <c r="Y722" s="62"/>
      <c r="Z722" s="94"/>
      <c r="AA722" s="94"/>
      <c r="AB722" s="94"/>
      <c r="AC722" s="94"/>
      <c r="AD722" s="94"/>
      <c r="AE722" s="94"/>
      <c r="AF722" s="62"/>
      <c r="AG722" s="94"/>
      <c r="AH722" s="94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4"/>
      <c r="C723" s="94"/>
      <c r="D723" s="94"/>
      <c r="E723" s="94"/>
      <c r="F723" s="94"/>
      <c r="G723" s="94"/>
      <c r="H723" s="62"/>
      <c r="I723" s="65"/>
      <c r="J723" s="65"/>
      <c r="K723" s="62"/>
      <c r="L723" s="62"/>
      <c r="M723" s="64"/>
      <c r="N723" s="94"/>
      <c r="O723" s="94"/>
      <c r="P723" s="94"/>
      <c r="Q723" s="94"/>
      <c r="R723" s="94"/>
      <c r="S723" s="94"/>
      <c r="T723" s="62"/>
      <c r="U723" s="65"/>
      <c r="V723" s="65"/>
      <c r="W723" s="62"/>
      <c r="X723" s="62"/>
      <c r="Y723" s="64"/>
      <c r="Z723" s="94"/>
      <c r="AA723" s="94"/>
      <c r="AB723" s="94"/>
      <c r="AC723" s="94"/>
      <c r="AD723" s="94"/>
      <c r="AE723" s="94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4"/>
      <c r="C724" s="94"/>
      <c r="D724" s="94"/>
      <c r="E724" s="94"/>
      <c r="F724" s="94"/>
      <c r="G724" s="94"/>
      <c r="H724" s="62"/>
      <c r="I724" s="62"/>
      <c r="J724" s="62"/>
      <c r="K724" s="62"/>
      <c r="L724" s="62"/>
      <c r="M724" s="62"/>
      <c r="N724" s="94"/>
      <c r="O724" s="94"/>
      <c r="P724" s="94"/>
      <c r="Q724" s="94"/>
      <c r="R724" s="94"/>
      <c r="S724" s="94"/>
      <c r="T724" s="62"/>
      <c r="U724" s="62"/>
      <c r="V724" s="62"/>
      <c r="W724" s="62"/>
      <c r="X724" s="62"/>
      <c r="Y724" s="62"/>
      <c r="Z724" s="94"/>
      <c r="AA724" s="94"/>
      <c r="AB724" s="94"/>
      <c r="AC724" s="94"/>
      <c r="AD724" s="94"/>
      <c r="AE724" s="94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94"/>
      <c r="D725" s="106"/>
      <c r="E725" s="106"/>
      <c r="F725" s="94"/>
      <c r="G725" s="94"/>
      <c r="H725" s="62"/>
      <c r="I725" s="106"/>
      <c r="J725" s="106"/>
      <c r="K725" s="105"/>
      <c r="L725" s="62"/>
      <c r="M725" s="62"/>
      <c r="N725" s="65"/>
      <c r="O725" s="94"/>
      <c r="P725" s="106"/>
      <c r="Q725" s="106"/>
      <c r="R725" s="94"/>
      <c r="S725" s="94"/>
      <c r="T725" s="62"/>
      <c r="U725" s="106"/>
      <c r="V725" s="106"/>
      <c r="W725" s="105"/>
      <c r="X725" s="62"/>
      <c r="Y725" s="62"/>
      <c r="Z725" s="65"/>
      <c r="AA725" s="94"/>
      <c r="AB725" s="106"/>
      <c r="AC725" s="106"/>
      <c r="AD725" s="94"/>
      <c r="AE725" s="94"/>
      <c r="AF725" s="62"/>
      <c r="AG725" s="106"/>
      <c r="AH725" s="106"/>
      <c r="AI725" s="105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4"/>
      <c r="C726" s="94"/>
      <c r="D726" s="81"/>
      <c r="E726" s="82"/>
      <c r="F726" s="83"/>
      <c r="G726" s="83"/>
      <c r="H726" s="62"/>
      <c r="I726" s="93"/>
      <c r="J726" s="93"/>
      <c r="K726" s="105"/>
      <c r="L726" s="62"/>
      <c r="M726" s="62"/>
      <c r="N726" s="94"/>
      <c r="O726" s="94"/>
      <c r="P726" s="81"/>
      <c r="Q726" s="83"/>
      <c r="R726" s="83"/>
      <c r="S726" s="83"/>
      <c r="T726" s="62"/>
      <c r="U726" s="93"/>
      <c r="V726" s="93"/>
      <c r="W726" s="105"/>
      <c r="X726" s="62"/>
      <c r="Y726" s="62"/>
      <c r="Z726" s="94"/>
      <c r="AA726" s="94"/>
      <c r="AB726" s="81"/>
      <c r="AC726" s="83"/>
      <c r="AD726" s="83"/>
      <c r="AE726" s="83"/>
      <c r="AF726" s="62"/>
      <c r="AG726" s="93"/>
      <c r="AH726" s="93"/>
      <c r="AI726" s="105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92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4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4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92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4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4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92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4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4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92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94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65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92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4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94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92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94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94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92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4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4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92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94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94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92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4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94"/>
      <c r="AB735" s="62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92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65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4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92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94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94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92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94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4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92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4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4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92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4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4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92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4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4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92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62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62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92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94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4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65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94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94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92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62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4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92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94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94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92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4"/>
      <c r="P747" s="67"/>
      <c r="Q747" s="94"/>
      <c r="R747" s="94"/>
      <c r="S747" s="60"/>
      <c r="T747" s="62"/>
      <c r="U747" s="62"/>
      <c r="V747" s="62"/>
      <c r="W747" s="61"/>
      <c r="X747" s="62"/>
      <c r="Y747" s="62"/>
      <c r="Z747" s="66"/>
      <c r="AA747" s="94"/>
      <c r="AB747" s="67"/>
      <c r="AC747" s="94"/>
      <c r="AD747" s="94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2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94"/>
      <c r="P748" s="68"/>
      <c r="Q748" s="94"/>
      <c r="R748" s="94"/>
      <c r="S748" s="60"/>
      <c r="T748" s="62"/>
      <c r="U748" s="62"/>
      <c r="V748" s="62"/>
      <c r="W748" s="61"/>
      <c r="X748" s="62"/>
      <c r="Y748" s="62"/>
      <c r="Z748" s="66"/>
      <c r="AA748" s="94"/>
      <c r="AB748" s="68"/>
      <c r="AC748" s="94"/>
      <c r="AD748" s="94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92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4"/>
      <c r="P749" s="69"/>
      <c r="Q749" s="62"/>
      <c r="R749" s="62"/>
      <c r="S749" s="60"/>
      <c r="T749" s="62"/>
      <c r="U749" s="62"/>
      <c r="V749" s="62"/>
      <c r="W749" s="61"/>
      <c r="X749" s="62"/>
      <c r="Y749" s="62"/>
      <c r="Z749" s="66"/>
      <c r="AA749" s="94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9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4"/>
      <c r="P750" s="69"/>
      <c r="Q750" s="94"/>
      <c r="R750" s="94"/>
      <c r="S750" s="60"/>
      <c r="T750" s="62"/>
      <c r="U750" s="62"/>
      <c r="V750" s="62"/>
      <c r="W750" s="61"/>
      <c r="X750" s="62"/>
      <c r="Y750" s="62"/>
      <c r="Z750" s="66"/>
      <c r="AA750" s="94"/>
      <c r="AB750" s="69"/>
      <c r="AC750" s="94"/>
      <c r="AD750" s="94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9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62"/>
      <c r="P751" s="69"/>
      <c r="Q751" s="94"/>
      <c r="R751" s="94"/>
      <c r="S751" s="60"/>
      <c r="T751" s="62"/>
      <c r="U751" s="62"/>
      <c r="V751" s="62"/>
      <c r="W751" s="61"/>
      <c r="X751" s="62"/>
      <c r="Y751" s="62"/>
      <c r="Z751" s="66"/>
      <c r="AA751" s="65"/>
      <c r="AB751" s="69"/>
      <c r="AC751" s="94"/>
      <c r="AD751" s="94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65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2"/>
      <c r="P752" s="69"/>
      <c r="Q752" s="94"/>
      <c r="R752" s="94"/>
      <c r="S752" s="60"/>
      <c r="T752" s="62"/>
      <c r="U752" s="62"/>
      <c r="V752" s="62"/>
      <c r="W752" s="61"/>
      <c r="X752" s="62"/>
      <c r="Y752" s="62"/>
      <c r="Z752" s="66"/>
      <c r="AA752" s="62"/>
      <c r="AB752" s="69"/>
      <c r="AC752" s="94"/>
      <c r="AD752" s="94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9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4"/>
      <c r="P753" s="69"/>
      <c r="Q753" s="94"/>
      <c r="R753" s="94"/>
      <c r="S753" s="60"/>
      <c r="T753" s="62"/>
      <c r="U753" s="62"/>
      <c r="V753" s="62"/>
      <c r="W753" s="61"/>
      <c r="X753" s="62"/>
      <c r="Y753" s="62"/>
      <c r="Z753" s="66"/>
      <c r="AA753" s="94"/>
      <c r="AB753" s="69"/>
      <c r="AC753" s="94"/>
      <c r="AD753" s="94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9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4"/>
      <c r="P754" s="69"/>
      <c r="Q754" s="94"/>
      <c r="R754" s="94"/>
      <c r="S754" s="60"/>
      <c r="T754" s="62"/>
      <c r="U754" s="62"/>
      <c r="V754" s="62"/>
      <c r="W754" s="61"/>
      <c r="X754" s="62"/>
      <c r="Y754" s="62"/>
      <c r="Z754" s="66"/>
      <c r="AA754" s="94"/>
      <c r="AB754" s="69"/>
      <c r="AC754" s="94"/>
      <c r="AD754" s="94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9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62"/>
      <c r="P755" s="69"/>
      <c r="Q755" s="94"/>
      <c r="R755" s="94"/>
      <c r="S755" s="60"/>
      <c r="T755" s="62"/>
      <c r="U755" s="62"/>
      <c r="V755" s="62"/>
      <c r="W755" s="61"/>
      <c r="X755" s="62"/>
      <c r="Y755" s="62"/>
      <c r="Z755" s="66"/>
      <c r="AA755" s="94"/>
      <c r="AB755" s="69"/>
      <c r="AC755" s="94"/>
      <c r="AD755" s="94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9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94"/>
      <c r="R756" s="94"/>
      <c r="S756" s="60"/>
      <c r="T756" s="62"/>
      <c r="U756" s="62"/>
      <c r="V756" s="62"/>
      <c r="W756" s="61"/>
      <c r="X756" s="62"/>
      <c r="Y756" s="62"/>
      <c r="Z756" s="66"/>
      <c r="AA756" s="62"/>
      <c r="AB756" s="69"/>
      <c r="AC756" s="94"/>
      <c r="AD756" s="94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9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4"/>
      <c r="P757" s="69"/>
      <c r="Q757" s="94"/>
      <c r="R757" s="94"/>
      <c r="S757" s="60"/>
      <c r="T757" s="62"/>
      <c r="U757" s="62"/>
      <c r="V757" s="62"/>
      <c r="W757" s="61"/>
      <c r="X757" s="62"/>
      <c r="Y757" s="62"/>
      <c r="Z757" s="66"/>
      <c r="AA757" s="62"/>
      <c r="AB757" s="69"/>
      <c r="AC757" s="94"/>
      <c r="AD757" s="94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9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62"/>
      <c r="P758" s="69"/>
      <c r="Q758" s="94"/>
      <c r="R758" s="94"/>
      <c r="S758" s="60"/>
      <c r="T758" s="62"/>
      <c r="U758" s="62"/>
      <c r="V758" s="62"/>
      <c r="W758" s="61"/>
      <c r="X758" s="62"/>
      <c r="Y758" s="62"/>
      <c r="Z758" s="66"/>
      <c r="AA758" s="94"/>
      <c r="AB758" s="69"/>
      <c r="AC758" s="94"/>
      <c r="AD758" s="94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9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4"/>
      <c r="P759" s="69"/>
      <c r="Q759" s="94"/>
      <c r="R759" s="94"/>
      <c r="S759" s="60"/>
      <c r="T759" s="62"/>
      <c r="U759" s="62"/>
      <c r="V759" s="62"/>
      <c r="W759" s="61"/>
      <c r="X759" s="62"/>
      <c r="Y759" s="62"/>
      <c r="Z759" s="66"/>
      <c r="AA759" s="94"/>
      <c r="AB759" s="69"/>
      <c r="AC759" s="94"/>
      <c r="AD759" s="94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9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94"/>
      <c r="P760" s="69"/>
      <c r="Q760" s="94"/>
      <c r="R760" s="94"/>
      <c r="S760" s="60"/>
      <c r="T760" s="62"/>
      <c r="U760" s="62"/>
      <c r="V760" s="62"/>
      <c r="W760" s="61"/>
      <c r="X760" s="62"/>
      <c r="Y760" s="62"/>
      <c r="Z760" s="66"/>
      <c r="AA760" s="62"/>
      <c r="AB760" s="69"/>
      <c r="AC760" s="94"/>
      <c r="AD760" s="94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9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94"/>
      <c r="P761" s="69"/>
      <c r="Q761" s="94"/>
      <c r="R761" s="94"/>
      <c r="S761" s="60"/>
      <c r="T761" s="62"/>
      <c r="U761" s="62"/>
      <c r="V761" s="62"/>
      <c r="W761" s="61"/>
      <c r="X761" s="62"/>
      <c r="Y761" s="62"/>
      <c r="Z761" s="66"/>
      <c r="AA761" s="94"/>
      <c r="AB761" s="69"/>
      <c r="AC761" s="94"/>
      <c r="AD761" s="94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9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4"/>
      <c r="P762" s="69"/>
      <c r="Q762" s="94"/>
      <c r="R762" s="94"/>
      <c r="S762" s="60"/>
      <c r="T762" s="62"/>
      <c r="U762" s="62"/>
      <c r="V762" s="62"/>
      <c r="W762" s="61"/>
      <c r="X762" s="62"/>
      <c r="Y762" s="62"/>
      <c r="Z762" s="66"/>
      <c r="AA762" s="94"/>
      <c r="AB762" s="69"/>
      <c r="AC762" s="94"/>
      <c r="AD762" s="94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4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94"/>
      <c r="R763" s="94"/>
      <c r="S763" s="60"/>
      <c r="T763" s="62"/>
      <c r="U763" s="62"/>
      <c r="V763" s="62"/>
      <c r="W763" s="61"/>
      <c r="X763" s="62"/>
      <c r="Y763" s="62"/>
      <c r="Z763" s="66"/>
      <c r="AA763" s="94"/>
      <c r="AB763" s="69"/>
      <c r="AC763" s="94"/>
      <c r="AD763" s="94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4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4"/>
      <c r="P764" s="69"/>
      <c r="Q764" s="94"/>
      <c r="R764" s="94"/>
      <c r="S764" s="60"/>
      <c r="T764" s="62"/>
      <c r="U764" s="62"/>
      <c r="V764" s="62"/>
      <c r="W764" s="61"/>
      <c r="X764" s="62"/>
      <c r="Y764" s="62"/>
      <c r="Z764" s="66"/>
      <c r="AA764" s="94"/>
      <c r="AB764" s="69"/>
      <c r="AC764" s="94"/>
      <c r="AD764" s="94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4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4"/>
      <c r="P765" s="69"/>
      <c r="Q765" s="94"/>
      <c r="R765" s="94"/>
      <c r="S765" s="60"/>
      <c r="T765" s="62"/>
      <c r="U765" s="62"/>
      <c r="V765" s="62"/>
      <c r="W765" s="61"/>
      <c r="X765" s="62"/>
      <c r="Y765" s="62"/>
      <c r="Z765" s="66"/>
      <c r="AA765" s="94"/>
      <c r="AB765" s="69"/>
      <c r="AC765" s="94"/>
      <c r="AD765" s="94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4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4"/>
      <c r="R766" s="94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4"/>
      <c r="AD766" s="94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4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4"/>
      <c r="P767" s="69"/>
      <c r="Q767" s="94"/>
      <c r="R767" s="94"/>
      <c r="S767" s="60"/>
      <c r="T767" s="62"/>
      <c r="U767" s="62"/>
      <c r="V767" s="62"/>
      <c r="W767" s="61"/>
      <c r="X767" s="62"/>
      <c r="Y767" s="62"/>
      <c r="Z767" s="66"/>
      <c r="AA767" s="94"/>
      <c r="AB767" s="69"/>
      <c r="AC767" s="94"/>
      <c r="AD767" s="94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4"/>
      <c r="O768" s="94"/>
      <c r="P768" s="94"/>
      <c r="Q768" s="94"/>
      <c r="R768" s="94"/>
      <c r="S768" s="94"/>
      <c r="T768" s="62"/>
      <c r="U768" s="62"/>
      <c r="V768" s="62"/>
      <c r="W768" s="61"/>
      <c r="X768" s="62"/>
      <c r="Y768" s="62"/>
      <c r="Z768" s="94"/>
      <c r="AA768" s="94"/>
      <c r="AB768" s="94"/>
      <c r="AC768" s="94"/>
      <c r="AD768" s="94"/>
      <c r="AE768" s="94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4"/>
      <c r="C769" s="94"/>
      <c r="D769" s="94"/>
      <c r="E769" s="94"/>
      <c r="F769" s="94"/>
      <c r="G769" s="94"/>
      <c r="H769" s="62"/>
      <c r="I769" s="62"/>
      <c r="J769" s="62"/>
      <c r="K769" s="62"/>
      <c r="L769" s="62"/>
      <c r="M769" s="62"/>
      <c r="N769" s="94"/>
      <c r="O769" s="94"/>
      <c r="P769" s="94"/>
      <c r="Q769" s="94"/>
      <c r="R769" s="94"/>
      <c r="S769" s="94"/>
      <c r="T769" s="62"/>
      <c r="U769" s="62"/>
      <c r="V769" s="62"/>
      <c r="W769" s="62"/>
      <c r="X769" s="62"/>
      <c r="Y769" s="62"/>
      <c r="Z769" s="94"/>
      <c r="AA769" s="94"/>
      <c r="AB769" s="94"/>
      <c r="AC769" s="94"/>
      <c r="AD769" s="94"/>
      <c r="AE769" s="94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4"/>
      <c r="C770" s="94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4"/>
      <c r="O770" s="94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4"/>
      <c r="AA770" s="94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4"/>
      <c r="C772" s="94"/>
      <c r="D772" s="94"/>
      <c r="E772" s="94"/>
      <c r="F772" s="94"/>
      <c r="G772" s="94"/>
      <c r="H772" s="62"/>
      <c r="I772" s="62"/>
      <c r="J772" s="62"/>
      <c r="K772" s="62"/>
      <c r="L772" s="62"/>
      <c r="M772" s="62"/>
      <c r="N772" s="94"/>
      <c r="O772" s="94"/>
      <c r="P772" s="94"/>
      <c r="Q772" s="94"/>
      <c r="R772" s="94"/>
      <c r="S772" s="94"/>
      <c r="T772" s="62"/>
      <c r="U772" s="62"/>
      <c r="V772" s="62"/>
      <c r="W772" s="62"/>
      <c r="X772" s="62"/>
      <c r="Y772" s="62"/>
      <c r="Z772" s="94"/>
      <c r="AA772" s="94"/>
      <c r="AB772" s="94"/>
      <c r="AC772" s="94"/>
      <c r="AD772" s="94"/>
      <c r="AE772" s="94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4"/>
      <c r="C773" s="94"/>
      <c r="D773" s="94"/>
      <c r="E773" s="94"/>
      <c r="F773" s="94"/>
      <c r="G773" s="94"/>
      <c r="H773" s="62"/>
      <c r="I773" s="62"/>
      <c r="J773" s="62"/>
      <c r="K773" s="62"/>
      <c r="L773" s="62"/>
      <c r="M773" s="62"/>
      <c r="N773" s="94"/>
      <c r="O773" s="94"/>
      <c r="P773" s="94"/>
      <c r="Q773" s="94"/>
      <c r="R773" s="94"/>
      <c r="S773" s="94"/>
      <c r="T773" s="62"/>
      <c r="U773" s="62"/>
      <c r="V773" s="62"/>
      <c r="W773" s="62"/>
      <c r="X773" s="62"/>
      <c r="Y773" s="62"/>
      <c r="Z773" s="94"/>
      <c r="AA773" s="94"/>
      <c r="AB773" s="94"/>
      <c r="AC773" s="94"/>
      <c r="AD773" s="94"/>
      <c r="AE773" s="94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4"/>
      <c r="C774" s="94"/>
      <c r="D774" s="94"/>
      <c r="E774" s="94"/>
      <c r="F774" s="94"/>
      <c r="G774" s="94"/>
      <c r="H774" s="62"/>
      <c r="I774" s="62"/>
      <c r="J774" s="62"/>
      <c r="K774" s="62"/>
      <c r="L774" s="62"/>
      <c r="M774" s="62"/>
      <c r="N774" s="94"/>
      <c r="O774" s="94"/>
      <c r="P774" s="94"/>
      <c r="Q774" s="94"/>
      <c r="R774" s="94"/>
      <c r="S774" s="94"/>
      <c r="T774" s="62"/>
      <c r="U774" s="62"/>
      <c r="V774" s="62"/>
      <c r="W774" s="62"/>
      <c r="X774" s="62"/>
      <c r="Y774" s="62"/>
      <c r="Z774" s="94"/>
      <c r="AA774" s="94"/>
      <c r="AB774" s="94"/>
      <c r="AC774" s="94"/>
      <c r="AD774" s="94"/>
      <c r="AE774" s="94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4"/>
      <c r="C775" s="94"/>
      <c r="D775" s="94"/>
      <c r="E775" s="94"/>
      <c r="F775" s="94"/>
      <c r="G775" s="94"/>
      <c r="H775" s="62"/>
      <c r="I775" s="62"/>
      <c r="J775" s="62"/>
      <c r="K775" s="62"/>
      <c r="L775" s="62"/>
      <c r="M775" s="63"/>
      <c r="N775" s="94"/>
      <c r="O775" s="94"/>
      <c r="P775" s="94"/>
      <c r="Q775" s="94"/>
      <c r="R775" s="94"/>
      <c r="S775" s="94"/>
      <c r="T775" s="62"/>
      <c r="U775" s="62"/>
      <c r="V775" s="62"/>
      <c r="W775" s="62"/>
      <c r="X775" s="62"/>
      <c r="Y775" s="63"/>
      <c r="Z775" s="94"/>
      <c r="AA775" s="94"/>
      <c r="AB775" s="94"/>
      <c r="AC775" s="94"/>
      <c r="AD775" s="94"/>
      <c r="AE775" s="94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4"/>
      <c r="C776" s="94"/>
      <c r="D776" s="94"/>
      <c r="E776" s="94"/>
      <c r="F776" s="94"/>
      <c r="G776" s="94"/>
      <c r="H776" s="62"/>
      <c r="I776" s="62"/>
      <c r="J776" s="62"/>
      <c r="K776" s="62"/>
      <c r="L776" s="62"/>
      <c r="M776" s="62"/>
      <c r="N776" s="94"/>
      <c r="O776" s="94"/>
      <c r="P776" s="94"/>
      <c r="Q776" s="94"/>
      <c r="R776" s="94"/>
      <c r="S776" s="94"/>
      <c r="T776" s="62"/>
      <c r="U776" s="62"/>
      <c r="V776" s="62"/>
      <c r="W776" s="62"/>
      <c r="X776" s="62"/>
      <c r="Y776" s="62"/>
      <c r="Z776" s="94"/>
      <c r="AA776" s="94"/>
      <c r="AB776" s="94"/>
      <c r="AC776" s="94"/>
      <c r="AD776" s="94"/>
      <c r="AE776" s="94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4"/>
      <c r="C777" s="94"/>
      <c r="D777" s="94"/>
      <c r="E777" s="94"/>
      <c r="F777" s="94"/>
      <c r="G777" s="94"/>
      <c r="H777" s="62"/>
      <c r="I777" s="94"/>
      <c r="J777" s="74"/>
      <c r="K777" s="62"/>
      <c r="L777" s="62"/>
      <c r="M777" s="62"/>
      <c r="N777" s="94"/>
      <c r="O777" s="94"/>
      <c r="P777" s="94"/>
      <c r="Q777" s="94"/>
      <c r="R777" s="94"/>
      <c r="S777" s="94"/>
      <c r="T777" s="62"/>
      <c r="U777" s="94"/>
      <c r="V777" s="74"/>
      <c r="W777" s="62"/>
      <c r="X777" s="62"/>
      <c r="Y777" s="62"/>
      <c r="Z777" s="94"/>
      <c r="AA777" s="94"/>
      <c r="AB777" s="94"/>
      <c r="AC777" s="94"/>
      <c r="AD777" s="94"/>
      <c r="AE777" s="94"/>
      <c r="AF777" s="62"/>
      <c r="AG777" s="94"/>
      <c r="AH777" s="94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4"/>
      <c r="C778" s="94"/>
      <c r="D778" s="94"/>
      <c r="E778" s="94"/>
      <c r="F778" s="94"/>
      <c r="G778" s="94"/>
      <c r="H778" s="62"/>
      <c r="I778" s="65"/>
      <c r="J778" s="65"/>
      <c r="K778" s="62"/>
      <c r="L778" s="62"/>
      <c r="M778" s="64"/>
      <c r="N778" s="94"/>
      <c r="O778" s="94"/>
      <c r="P778" s="94"/>
      <c r="Q778" s="94"/>
      <c r="R778" s="94"/>
      <c r="S778" s="94"/>
      <c r="T778" s="62"/>
      <c r="U778" s="65"/>
      <c r="V778" s="65"/>
      <c r="W778" s="62"/>
      <c r="X778" s="62"/>
      <c r="Y778" s="64"/>
      <c r="Z778" s="94"/>
      <c r="AA778" s="94"/>
      <c r="AB778" s="94"/>
      <c r="AC778" s="94"/>
      <c r="AD778" s="94"/>
      <c r="AE778" s="94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4"/>
      <c r="C779" s="94"/>
      <c r="D779" s="94"/>
      <c r="E779" s="94"/>
      <c r="F779" s="94"/>
      <c r="G779" s="94"/>
      <c r="H779" s="62"/>
      <c r="I779" s="62"/>
      <c r="J779" s="62"/>
      <c r="K779" s="62"/>
      <c r="L779" s="62"/>
      <c r="M779" s="62"/>
      <c r="N779" s="94"/>
      <c r="O779" s="94"/>
      <c r="P779" s="94"/>
      <c r="Q779" s="94"/>
      <c r="R779" s="94"/>
      <c r="S779" s="94"/>
      <c r="T779" s="62"/>
      <c r="U779" s="62"/>
      <c r="V779" s="62"/>
      <c r="W779" s="62"/>
      <c r="X779" s="62"/>
      <c r="Y779" s="62"/>
      <c r="Z779" s="94"/>
      <c r="AA779" s="94"/>
      <c r="AB779" s="94"/>
      <c r="AC779" s="94"/>
      <c r="AD779" s="94"/>
      <c r="AE779" s="94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4"/>
      <c r="D780" s="106"/>
      <c r="E780" s="106"/>
      <c r="F780" s="94"/>
      <c r="G780" s="94"/>
      <c r="H780" s="62"/>
      <c r="I780" s="106"/>
      <c r="J780" s="106"/>
      <c r="K780" s="105"/>
      <c r="L780" s="62"/>
      <c r="M780" s="62"/>
      <c r="N780" s="65"/>
      <c r="O780" s="94"/>
      <c r="P780" s="106"/>
      <c r="Q780" s="106"/>
      <c r="R780" s="94"/>
      <c r="S780" s="94"/>
      <c r="T780" s="62"/>
      <c r="U780" s="106"/>
      <c r="V780" s="106"/>
      <c r="W780" s="105"/>
      <c r="X780" s="62"/>
      <c r="Y780" s="62"/>
      <c r="Z780" s="65"/>
      <c r="AA780" s="94"/>
      <c r="AB780" s="106"/>
      <c r="AC780" s="106"/>
      <c r="AD780" s="94"/>
      <c r="AE780" s="94"/>
      <c r="AF780" s="62"/>
      <c r="AG780" s="106"/>
      <c r="AH780" s="106"/>
      <c r="AI780" s="105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4"/>
      <c r="C781" s="94"/>
      <c r="D781" s="81"/>
      <c r="E781" s="82"/>
      <c r="F781" s="83"/>
      <c r="G781" s="83"/>
      <c r="H781" s="62"/>
      <c r="I781" s="93"/>
      <c r="J781" s="93"/>
      <c r="K781" s="105"/>
      <c r="L781" s="62"/>
      <c r="M781" s="62"/>
      <c r="N781" s="94"/>
      <c r="O781" s="94"/>
      <c r="P781" s="81"/>
      <c r="Q781" s="83"/>
      <c r="R781" s="83"/>
      <c r="S781" s="83"/>
      <c r="T781" s="62"/>
      <c r="U781" s="93"/>
      <c r="V781" s="93"/>
      <c r="W781" s="105"/>
      <c r="X781" s="62"/>
      <c r="Y781" s="62"/>
      <c r="Z781" s="94"/>
      <c r="AA781" s="94"/>
      <c r="AB781" s="81"/>
      <c r="AC781" s="83"/>
      <c r="AD781" s="83"/>
      <c r="AE781" s="83"/>
      <c r="AF781" s="62"/>
      <c r="AG781" s="93"/>
      <c r="AH781" s="93"/>
      <c r="AI781" s="105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92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4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4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92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4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4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92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65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4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92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94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4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92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4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4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92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4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94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92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4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4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92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94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4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65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4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94"/>
      <c r="AB790" s="62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92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62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4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92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94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65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92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94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4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92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4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4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92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4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4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92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4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4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92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2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62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92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4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4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9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94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94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92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62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4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92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4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4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2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4"/>
      <c r="P802" s="67"/>
      <c r="Q802" s="94"/>
      <c r="R802" s="94"/>
      <c r="S802" s="60"/>
      <c r="T802" s="62"/>
      <c r="U802" s="62"/>
      <c r="V802" s="62"/>
      <c r="W802" s="61"/>
      <c r="X802" s="62"/>
      <c r="Y802" s="62"/>
      <c r="Z802" s="66"/>
      <c r="AA802" s="94"/>
      <c r="AB802" s="67"/>
      <c r="AC802" s="94"/>
      <c r="AD802" s="94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2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94"/>
      <c r="P803" s="68"/>
      <c r="Q803" s="94"/>
      <c r="R803" s="94"/>
      <c r="S803" s="60"/>
      <c r="T803" s="62"/>
      <c r="U803" s="62"/>
      <c r="V803" s="62"/>
      <c r="W803" s="61"/>
      <c r="X803" s="62"/>
      <c r="Y803" s="62"/>
      <c r="Z803" s="66"/>
      <c r="AA803" s="94"/>
      <c r="AB803" s="68"/>
      <c r="AC803" s="94"/>
      <c r="AD803" s="94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92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4"/>
      <c r="P804" s="69"/>
      <c r="Q804" s="62"/>
      <c r="R804" s="62"/>
      <c r="S804" s="60"/>
      <c r="T804" s="62"/>
      <c r="U804" s="62"/>
      <c r="V804" s="62"/>
      <c r="W804" s="61"/>
      <c r="X804" s="62"/>
      <c r="Y804" s="62"/>
      <c r="Z804" s="66"/>
      <c r="AA804" s="94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9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4"/>
      <c r="P805" s="69"/>
      <c r="Q805" s="94"/>
      <c r="R805" s="94"/>
      <c r="S805" s="60"/>
      <c r="T805" s="62"/>
      <c r="U805" s="62"/>
      <c r="V805" s="62"/>
      <c r="W805" s="61"/>
      <c r="X805" s="62"/>
      <c r="Y805" s="62"/>
      <c r="Z805" s="66"/>
      <c r="AA805" s="94"/>
      <c r="AB805" s="69"/>
      <c r="AC805" s="94"/>
      <c r="AD805" s="94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9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62"/>
      <c r="P806" s="69"/>
      <c r="Q806" s="94"/>
      <c r="R806" s="94"/>
      <c r="S806" s="60"/>
      <c r="T806" s="62"/>
      <c r="U806" s="62"/>
      <c r="V806" s="62"/>
      <c r="W806" s="61"/>
      <c r="X806" s="62"/>
      <c r="Y806" s="62"/>
      <c r="Z806" s="66"/>
      <c r="AA806" s="65"/>
      <c r="AB806" s="69"/>
      <c r="AC806" s="94"/>
      <c r="AD806" s="94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65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2"/>
      <c r="P807" s="69"/>
      <c r="Q807" s="94"/>
      <c r="R807" s="94"/>
      <c r="S807" s="60"/>
      <c r="T807" s="62"/>
      <c r="U807" s="62"/>
      <c r="V807" s="62"/>
      <c r="W807" s="61"/>
      <c r="X807" s="62"/>
      <c r="Y807" s="62"/>
      <c r="Z807" s="66"/>
      <c r="AA807" s="62"/>
      <c r="AB807" s="69"/>
      <c r="AC807" s="94"/>
      <c r="AD807" s="94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9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4"/>
      <c r="P808" s="69"/>
      <c r="Q808" s="94"/>
      <c r="R808" s="94"/>
      <c r="S808" s="60"/>
      <c r="T808" s="62"/>
      <c r="U808" s="62"/>
      <c r="V808" s="62"/>
      <c r="W808" s="61"/>
      <c r="X808" s="62"/>
      <c r="Y808" s="62"/>
      <c r="Z808" s="66"/>
      <c r="AA808" s="94"/>
      <c r="AB808" s="69"/>
      <c r="AC808" s="94"/>
      <c r="AD808" s="94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9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4"/>
      <c r="P809" s="69"/>
      <c r="Q809" s="94"/>
      <c r="R809" s="94"/>
      <c r="S809" s="60"/>
      <c r="T809" s="62"/>
      <c r="U809" s="62"/>
      <c r="V809" s="62"/>
      <c r="W809" s="61"/>
      <c r="X809" s="62"/>
      <c r="Y809" s="62"/>
      <c r="Z809" s="66"/>
      <c r="AA809" s="94"/>
      <c r="AB809" s="69"/>
      <c r="AC809" s="94"/>
      <c r="AD809" s="94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9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62"/>
      <c r="P810" s="69"/>
      <c r="Q810" s="94"/>
      <c r="R810" s="94"/>
      <c r="S810" s="60"/>
      <c r="T810" s="62"/>
      <c r="U810" s="62"/>
      <c r="V810" s="62"/>
      <c r="W810" s="61"/>
      <c r="X810" s="62"/>
      <c r="Y810" s="62"/>
      <c r="Z810" s="66"/>
      <c r="AA810" s="94"/>
      <c r="AB810" s="69"/>
      <c r="AC810" s="94"/>
      <c r="AD810" s="94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9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94"/>
      <c r="R811" s="94"/>
      <c r="S811" s="60"/>
      <c r="T811" s="62"/>
      <c r="U811" s="62"/>
      <c r="V811" s="62"/>
      <c r="W811" s="61"/>
      <c r="X811" s="62"/>
      <c r="Y811" s="62"/>
      <c r="Z811" s="66"/>
      <c r="AA811" s="62"/>
      <c r="AB811" s="69"/>
      <c r="AC811" s="94"/>
      <c r="AD811" s="94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9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4"/>
      <c r="P812" s="69"/>
      <c r="Q812" s="94"/>
      <c r="R812" s="94"/>
      <c r="S812" s="60"/>
      <c r="T812" s="62"/>
      <c r="U812" s="62"/>
      <c r="V812" s="62"/>
      <c r="W812" s="61"/>
      <c r="X812" s="62"/>
      <c r="Y812" s="62"/>
      <c r="Z812" s="66"/>
      <c r="AA812" s="62"/>
      <c r="AB812" s="69"/>
      <c r="AC812" s="94"/>
      <c r="AD812" s="94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9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62"/>
      <c r="P813" s="69"/>
      <c r="Q813" s="94"/>
      <c r="R813" s="94"/>
      <c r="S813" s="60"/>
      <c r="T813" s="62"/>
      <c r="U813" s="62"/>
      <c r="V813" s="62"/>
      <c r="W813" s="61"/>
      <c r="X813" s="62"/>
      <c r="Y813" s="62"/>
      <c r="Z813" s="66"/>
      <c r="AA813" s="94"/>
      <c r="AB813" s="69"/>
      <c r="AC813" s="94"/>
      <c r="AD813" s="94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9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4"/>
      <c r="P814" s="69"/>
      <c r="Q814" s="94"/>
      <c r="R814" s="94"/>
      <c r="S814" s="60"/>
      <c r="T814" s="62"/>
      <c r="U814" s="62"/>
      <c r="V814" s="62"/>
      <c r="W814" s="61"/>
      <c r="X814" s="62"/>
      <c r="Y814" s="62"/>
      <c r="Z814" s="66"/>
      <c r="AA814" s="94"/>
      <c r="AB814" s="69"/>
      <c r="AC814" s="94"/>
      <c r="AD814" s="94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9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94"/>
      <c r="P815" s="69"/>
      <c r="Q815" s="94"/>
      <c r="R815" s="94"/>
      <c r="S815" s="60"/>
      <c r="T815" s="62"/>
      <c r="U815" s="62"/>
      <c r="V815" s="62"/>
      <c r="W815" s="61"/>
      <c r="X815" s="62"/>
      <c r="Y815" s="62"/>
      <c r="Z815" s="66"/>
      <c r="AA815" s="62"/>
      <c r="AB815" s="69"/>
      <c r="AC815" s="94"/>
      <c r="AD815" s="94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9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94"/>
      <c r="P816" s="69"/>
      <c r="Q816" s="94"/>
      <c r="R816" s="94"/>
      <c r="S816" s="60"/>
      <c r="T816" s="62"/>
      <c r="U816" s="62"/>
      <c r="V816" s="62"/>
      <c r="W816" s="61"/>
      <c r="X816" s="62"/>
      <c r="Y816" s="62"/>
      <c r="Z816" s="66"/>
      <c r="AA816" s="94"/>
      <c r="AB816" s="69"/>
      <c r="AC816" s="94"/>
      <c r="AD816" s="94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9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4"/>
      <c r="P817" s="69"/>
      <c r="Q817" s="94"/>
      <c r="R817" s="94"/>
      <c r="S817" s="60"/>
      <c r="T817" s="62"/>
      <c r="U817" s="62"/>
      <c r="V817" s="62"/>
      <c r="W817" s="61"/>
      <c r="X817" s="62"/>
      <c r="Y817" s="62"/>
      <c r="Z817" s="66"/>
      <c r="AA817" s="94"/>
      <c r="AB817" s="69"/>
      <c r="AC817" s="94"/>
      <c r="AD817" s="94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4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94"/>
      <c r="R818" s="94"/>
      <c r="S818" s="60"/>
      <c r="T818" s="62"/>
      <c r="U818" s="62"/>
      <c r="V818" s="62"/>
      <c r="W818" s="61"/>
      <c r="X818" s="62"/>
      <c r="Y818" s="62"/>
      <c r="Z818" s="66"/>
      <c r="AA818" s="94"/>
      <c r="AB818" s="69"/>
      <c r="AC818" s="94"/>
      <c r="AD818" s="94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4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4"/>
      <c r="P819" s="69"/>
      <c r="Q819" s="94"/>
      <c r="R819" s="94"/>
      <c r="S819" s="60"/>
      <c r="T819" s="62"/>
      <c r="U819" s="62"/>
      <c r="V819" s="62"/>
      <c r="W819" s="61"/>
      <c r="X819" s="62"/>
      <c r="Y819" s="62"/>
      <c r="Z819" s="66"/>
      <c r="AA819" s="94"/>
      <c r="AB819" s="69"/>
      <c r="AC819" s="94"/>
      <c r="AD819" s="94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4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4"/>
      <c r="P820" s="69"/>
      <c r="Q820" s="94"/>
      <c r="R820" s="94"/>
      <c r="S820" s="60"/>
      <c r="T820" s="62"/>
      <c r="U820" s="62"/>
      <c r="V820" s="62"/>
      <c r="W820" s="61"/>
      <c r="X820" s="62"/>
      <c r="Y820" s="62"/>
      <c r="Z820" s="66"/>
      <c r="AA820" s="94"/>
      <c r="AB820" s="69"/>
      <c r="AC820" s="94"/>
      <c r="AD820" s="94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4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4"/>
      <c r="R821" s="94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4"/>
      <c r="AD821" s="94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4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4"/>
      <c r="P822" s="69"/>
      <c r="Q822" s="94"/>
      <c r="R822" s="94"/>
      <c r="S822" s="60"/>
      <c r="T822" s="62"/>
      <c r="U822" s="62"/>
      <c r="V822" s="62"/>
      <c r="W822" s="61"/>
      <c r="X822" s="62"/>
      <c r="Y822" s="62"/>
      <c r="Z822" s="66"/>
      <c r="AA822" s="94"/>
      <c r="AB822" s="69"/>
      <c r="AC822" s="94"/>
      <c r="AD822" s="94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4"/>
      <c r="O823" s="94"/>
      <c r="P823" s="94"/>
      <c r="Q823" s="94"/>
      <c r="R823" s="94"/>
      <c r="S823" s="94"/>
      <c r="T823" s="62"/>
      <c r="U823" s="62"/>
      <c r="V823" s="62"/>
      <c r="W823" s="61"/>
      <c r="X823" s="62"/>
      <c r="Y823" s="62"/>
      <c r="Z823" s="94"/>
      <c r="AA823" s="94"/>
      <c r="AB823" s="94"/>
      <c r="AC823" s="94"/>
      <c r="AD823" s="94"/>
      <c r="AE823" s="94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4"/>
      <c r="C824" s="94"/>
      <c r="D824" s="94"/>
      <c r="E824" s="94"/>
      <c r="F824" s="94"/>
      <c r="G824" s="94"/>
      <c r="H824" s="62"/>
      <c r="I824" s="62"/>
      <c r="J824" s="62"/>
      <c r="K824" s="62"/>
      <c r="L824" s="62"/>
      <c r="M824" s="62"/>
      <c r="N824" s="94"/>
      <c r="O824" s="94"/>
      <c r="P824" s="94"/>
      <c r="Q824" s="94"/>
      <c r="R824" s="94"/>
      <c r="S824" s="94"/>
      <c r="T824" s="62"/>
      <c r="U824" s="62"/>
      <c r="V824" s="62"/>
      <c r="W824" s="62"/>
      <c r="X824" s="62"/>
      <c r="Y824" s="62"/>
      <c r="Z824" s="94"/>
      <c r="AA824" s="94"/>
      <c r="AB824" s="94"/>
      <c r="AC824" s="94"/>
      <c r="AD824" s="94"/>
      <c r="AE824" s="94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4"/>
      <c r="C825" s="94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4"/>
      <c r="O825" s="94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4"/>
      <c r="AA825" s="94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94"/>
      <c r="C827" s="94"/>
      <c r="D827" s="94"/>
      <c r="E827" s="94"/>
      <c r="F827" s="94"/>
      <c r="G827" s="94"/>
      <c r="H827" s="62"/>
      <c r="I827" s="62"/>
      <c r="J827" s="62"/>
      <c r="K827" s="62"/>
      <c r="L827" s="62"/>
      <c r="M827" s="62"/>
      <c r="N827" s="94"/>
      <c r="O827" s="94"/>
      <c r="P827" s="94"/>
      <c r="Q827" s="94"/>
      <c r="R827" s="94"/>
      <c r="S827" s="94"/>
      <c r="T827" s="62"/>
      <c r="U827" s="62"/>
      <c r="V827" s="62"/>
      <c r="W827" s="62"/>
      <c r="X827" s="62"/>
      <c r="Y827" s="62"/>
      <c r="Z827" s="94"/>
      <c r="AA827" s="94"/>
      <c r="AB827" s="94"/>
      <c r="AC827" s="94"/>
      <c r="AD827" s="94"/>
      <c r="AE827" s="94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94"/>
      <c r="C828" s="94"/>
      <c r="D828" s="94"/>
      <c r="E828" s="94"/>
      <c r="F828" s="94"/>
      <c r="G828" s="94"/>
      <c r="H828" s="62"/>
      <c r="I828" s="62"/>
      <c r="J828" s="62"/>
      <c r="K828" s="62"/>
      <c r="L828" s="62"/>
      <c r="M828" s="62"/>
      <c r="N828" s="94"/>
      <c r="O828" s="94"/>
      <c r="P828" s="94"/>
      <c r="Q828" s="94"/>
      <c r="R828" s="94"/>
      <c r="S828" s="94"/>
      <c r="T828" s="62"/>
      <c r="U828" s="62"/>
      <c r="V828" s="62"/>
      <c r="W828" s="62"/>
      <c r="X828" s="62"/>
      <c r="Y828" s="62"/>
      <c r="Z828" s="94"/>
      <c r="AA828" s="94"/>
      <c r="AB828" s="94"/>
      <c r="AC828" s="94"/>
      <c r="AD828" s="94"/>
      <c r="AE828" s="94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94"/>
      <c r="C829" s="94"/>
      <c r="D829" s="94"/>
      <c r="E829" s="94"/>
      <c r="F829" s="94"/>
      <c r="G829" s="94"/>
      <c r="H829" s="62"/>
      <c r="I829" s="62"/>
      <c r="J829" s="62"/>
      <c r="K829" s="62"/>
      <c r="L829" s="62"/>
      <c r="M829" s="62"/>
      <c r="N829" s="94"/>
      <c r="O829" s="94"/>
      <c r="P829" s="94"/>
      <c r="Q829" s="94"/>
      <c r="R829" s="94"/>
      <c r="S829" s="94"/>
      <c r="T829" s="62"/>
      <c r="U829" s="62"/>
      <c r="V829" s="62"/>
      <c r="W829" s="62"/>
      <c r="X829" s="62"/>
      <c r="Y829" s="62"/>
      <c r="Z829" s="94"/>
      <c r="AA829" s="94"/>
      <c r="AB829" s="94"/>
      <c r="AC829" s="94"/>
      <c r="AD829" s="94"/>
      <c r="AE829" s="94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94"/>
      <c r="C830" s="94"/>
      <c r="D830" s="94"/>
      <c r="E830" s="94"/>
      <c r="F830" s="94"/>
      <c r="G830" s="94"/>
      <c r="H830" s="62"/>
      <c r="I830" s="62"/>
      <c r="J830" s="62"/>
      <c r="K830" s="62"/>
      <c r="L830" s="62"/>
      <c r="M830" s="63"/>
      <c r="N830" s="94"/>
      <c r="O830" s="94"/>
      <c r="P830" s="94"/>
      <c r="Q830" s="94"/>
      <c r="R830" s="94"/>
      <c r="S830" s="94"/>
      <c r="T830" s="62"/>
      <c r="U830" s="62"/>
      <c r="V830" s="62"/>
      <c r="W830" s="62"/>
      <c r="X830" s="62"/>
      <c r="Y830" s="63"/>
      <c r="Z830" s="94"/>
      <c r="AA830" s="94"/>
      <c r="AB830" s="94"/>
      <c r="AC830" s="94"/>
      <c r="AD830" s="94"/>
      <c r="AE830" s="94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94"/>
      <c r="C831" s="94"/>
      <c r="D831" s="94"/>
      <c r="E831" s="94"/>
      <c r="F831" s="94"/>
      <c r="G831" s="94"/>
      <c r="H831" s="62"/>
      <c r="I831" s="62"/>
      <c r="J831" s="62"/>
      <c r="K831" s="62"/>
      <c r="L831" s="62"/>
      <c r="M831" s="62"/>
      <c r="N831" s="94"/>
      <c r="O831" s="94"/>
      <c r="P831" s="94"/>
      <c r="Q831" s="94"/>
      <c r="R831" s="94"/>
      <c r="S831" s="94"/>
      <c r="T831" s="62"/>
      <c r="U831" s="62"/>
      <c r="V831" s="62"/>
      <c r="W831" s="62"/>
      <c r="X831" s="62"/>
      <c r="Y831" s="62"/>
      <c r="Z831" s="94"/>
      <c r="AA831" s="94"/>
      <c r="AB831" s="94"/>
      <c r="AC831" s="94"/>
      <c r="AD831" s="94"/>
      <c r="AE831" s="94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94"/>
      <c r="C832" s="94"/>
      <c r="D832" s="94"/>
      <c r="E832" s="94"/>
      <c r="F832" s="94"/>
      <c r="G832" s="94"/>
      <c r="H832" s="62"/>
      <c r="I832" s="94"/>
      <c r="J832" s="74"/>
      <c r="K832" s="62"/>
      <c r="L832" s="62"/>
      <c r="M832" s="62"/>
      <c r="N832" s="94"/>
      <c r="O832" s="94"/>
      <c r="P832" s="94"/>
      <c r="Q832" s="94"/>
      <c r="R832" s="94"/>
      <c r="S832" s="94"/>
      <c r="T832" s="62"/>
      <c r="U832" s="94"/>
      <c r="V832" s="74"/>
      <c r="W832" s="62"/>
      <c r="X832" s="62"/>
      <c r="Y832" s="62"/>
      <c r="Z832" s="94"/>
      <c r="AA832" s="94"/>
      <c r="AB832" s="94"/>
      <c r="AC832" s="94"/>
      <c r="AD832" s="94"/>
      <c r="AE832" s="94"/>
      <c r="AF832" s="62"/>
      <c r="AG832" s="94"/>
      <c r="AH832" s="94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94"/>
      <c r="C833" s="94"/>
      <c r="D833" s="94"/>
      <c r="E833" s="94"/>
      <c r="F833" s="94"/>
      <c r="G833" s="94"/>
      <c r="H833" s="62"/>
      <c r="I833" s="65"/>
      <c r="J833" s="65"/>
      <c r="K833" s="62"/>
      <c r="L833" s="62"/>
      <c r="M833" s="64"/>
      <c r="N833" s="94"/>
      <c r="O833" s="94"/>
      <c r="P833" s="94"/>
      <c r="Q833" s="94"/>
      <c r="R833" s="94"/>
      <c r="S833" s="94"/>
      <c r="T833" s="62"/>
      <c r="U833" s="65"/>
      <c r="V833" s="65"/>
      <c r="W833" s="62"/>
      <c r="X833" s="62"/>
      <c r="Y833" s="64"/>
      <c r="Z833" s="94"/>
      <c r="AA833" s="94"/>
      <c r="AB833" s="94"/>
      <c r="AC833" s="94"/>
      <c r="AD833" s="94"/>
      <c r="AE833" s="94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94"/>
      <c r="C834" s="94"/>
      <c r="D834" s="94"/>
      <c r="E834" s="94"/>
      <c r="F834" s="94"/>
      <c r="G834" s="94"/>
      <c r="H834" s="62"/>
      <c r="I834" s="62"/>
      <c r="J834" s="62"/>
      <c r="K834" s="62"/>
      <c r="L834" s="62"/>
      <c r="M834" s="62"/>
      <c r="N834" s="94"/>
      <c r="O834" s="94"/>
      <c r="P834" s="94"/>
      <c r="Q834" s="94"/>
      <c r="R834" s="94"/>
      <c r="S834" s="94"/>
      <c r="T834" s="62"/>
      <c r="U834" s="62"/>
      <c r="V834" s="62"/>
      <c r="W834" s="62"/>
      <c r="X834" s="62"/>
      <c r="Y834" s="62"/>
      <c r="Z834" s="94"/>
      <c r="AA834" s="94"/>
      <c r="AB834" s="94"/>
      <c r="AC834" s="94"/>
      <c r="AD834" s="94"/>
      <c r="AE834" s="94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94"/>
      <c r="D835" s="106"/>
      <c r="E835" s="106"/>
      <c r="F835" s="94"/>
      <c r="G835" s="94"/>
      <c r="H835" s="62"/>
      <c r="I835" s="106"/>
      <c r="J835" s="106"/>
      <c r="K835" s="105"/>
      <c r="L835" s="62"/>
      <c r="M835" s="62"/>
      <c r="N835" s="65"/>
      <c r="O835" s="94"/>
      <c r="P835" s="106"/>
      <c r="Q835" s="106"/>
      <c r="R835" s="94"/>
      <c r="S835" s="94"/>
      <c r="T835" s="62"/>
      <c r="U835" s="106"/>
      <c r="V835" s="106"/>
      <c r="W835" s="105"/>
      <c r="X835" s="62"/>
      <c r="Y835" s="62"/>
      <c r="Z835" s="65"/>
      <c r="AA835" s="94"/>
      <c r="AB835" s="106"/>
      <c r="AC835" s="106"/>
      <c r="AD835" s="94"/>
      <c r="AE835" s="94"/>
      <c r="AF835" s="62"/>
      <c r="AG835" s="106"/>
      <c r="AH835" s="106"/>
      <c r="AI835" s="105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94"/>
      <c r="C836" s="94"/>
      <c r="D836" s="81"/>
      <c r="E836" s="82"/>
      <c r="F836" s="83"/>
      <c r="G836" s="83"/>
      <c r="H836" s="62"/>
      <c r="I836" s="93"/>
      <c r="J836" s="93"/>
      <c r="K836" s="105"/>
      <c r="L836" s="62"/>
      <c r="M836" s="62"/>
      <c r="N836" s="94"/>
      <c r="O836" s="94"/>
      <c r="P836" s="81"/>
      <c r="Q836" s="83"/>
      <c r="R836" s="83"/>
      <c r="S836" s="83"/>
      <c r="T836" s="62"/>
      <c r="U836" s="93"/>
      <c r="V836" s="93"/>
      <c r="W836" s="105"/>
      <c r="X836" s="62"/>
      <c r="Y836" s="62"/>
      <c r="Z836" s="94"/>
      <c r="AA836" s="94"/>
      <c r="AB836" s="81"/>
      <c r="AC836" s="83"/>
      <c r="AD836" s="83"/>
      <c r="AE836" s="83"/>
      <c r="AF836" s="62"/>
      <c r="AG836" s="93"/>
      <c r="AH836" s="93"/>
      <c r="AI836" s="105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92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94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94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92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94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94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65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94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94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92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94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94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92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94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94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92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94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94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92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94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94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92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94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94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92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94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94"/>
      <c r="AB845" s="62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92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94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94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9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94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5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92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94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94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92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94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94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92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94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94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92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94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94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92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94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2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92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94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94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9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94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94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92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94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94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92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65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94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92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94"/>
      <c r="P857" s="67"/>
      <c r="Q857" s="94"/>
      <c r="R857" s="94"/>
      <c r="S857" s="60"/>
      <c r="T857" s="62"/>
      <c r="U857" s="62"/>
      <c r="V857" s="62"/>
      <c r="W857" s="61"/>
      <c r="X857" s="62"/>
      <c r="Y857" s="62"/>
      <c r="Z857" s="66"/>
      <c r="AA857" s="94"/>
      <c r="AB857" s="67"/>
      <c r="AC857" s="94"/>
      <c r="AD857" s="94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92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94"/>
      <c r="P858" s="68"/>
      <c r="Q858" s="94"/>
      <c r="R858" s="94"/>
      <c r="S858" s="60"/>
      <c r="T858" s="62"/>
      <c r="U858" s="62"/>
      <c r="V858" s="62"/>
      <c r="W858" s="61"/>
      <c r="X858" s="62"/>
      <c r="Y858" s="62"/>
      <c r="Z858" s="66"/>
      <c r="AA858" s="94"/>
      <c r="AB858" s="68"/>
      <c r="AC858" s="94"/>
      <c r="AD858" s="94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92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94"/>
      <c r="P859" s="69"/>
      <c r="Q859" s="62"/>
      <c r="R859" s="62"/>
      <c r="S859" s="60"/>
      <c r="T859" s="62"/>
      <c r="U859" s="62"/>
      <c r="V859" s="62"/>
      <c r="W859" s="61"/>
      <c r="X859" s="62"/>
      <c r="Y859" s="62"/>
      <c r="Z859" s="66"/>
      <c r="AA859" s="94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9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94"/>
      <c r="P860" s="69"/>
      <c r="Q860" s="94"/>
      <c r="R860" s="94"/>
      <c r="S860" s="60"/>
      <c r="T860" s="62"/>
      <c r="U860" s="62"/>
      <c r="V860" s="62"/>
      <c r="W860" s="61"/>
      <c r="X860" s="62"/>
      <c r="Y860" s="62"/>
      <c r="Z860" s="66"/>
      <c r="AA860" s="94"/>
      <c r="AB860" s="69"/>
      <c r="AC860" s="94"/>
      <c r="AD860" s="94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9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62"/>
      <c r="P861" s="69"/>
      <c r="Q861" s="94"/>
      <c r="R861" s="94"/>
      <c r="S861" s="60"/>
      <c r="T861" s="62"/>
      <c r="U861" s="62"/>
      <c r="V861" s="62"/>
      <c r="W861" s="61"/>
      <c r="X861" s="62"/>
      <c r="Y861" s="62"/>
      <c r="Z861" s="66"/>
      <c r="AA861" s="65"/>
      <c r="AB861" s="69"/>
      <c r="AC861" s="94"/>
      <c r="AD861" s="94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65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2"/>
      <c r="P862" s="69"/>
      <c r="Q862" s="94"/>
      <c r="R862" s="94"/>
      <c r="S862" s="60"/>
      <c r="T862" s="62"/>
      <c r="U862" s="62"/>
      <c r="V862" s="62"/>
      <c r="W862" s="61"/>
      <c r="X862" s="62"/>
      <c r="Y862" s="62"/>
      <c r="Z862" s="66"/>
      <c r="AA862" s="62"/>
      <c r="AB862" s="69"/>
      <c r="AC862" s="94"/>
      <c r="AD862" s="94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9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94"/>
      <c r="P863" s="69"/>
      <c r="Q863" s="94"/>
      <c r="R863" s="94"/>
      <c r="S863" s="60"/>
      <c r="T863" s="62"/>
      <c r="U863" s="62"/>
      <c r="V863" s="62"/>
      <c r="W863" s="61"/>
      <c r="X863" s="62"/>
      <c r="Y863" s="62"/>
      <c r="Z863" s="66"/>
      <c r="AA863" s="94"/>
      <c r="AB863" s="69"/>
      <c r="AC863" s="94"/>
      <c r="AD863" s="94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9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94"/>
      <c r="P864" s="69"/>
      <c r="Q864" s="94"/>
      <c r="R864" s="94"/>
      <c r="S864" s="60"/>
      <c r="T864" s="62"/>
      <c r="U864" s="62"/>
      <c r="V864" s="62"/>
      <c r="W864" s="61"/>
      <c r="X864" s="62"/>
      <c r="Y864" s="62"/>
      <c r="Z864" s="66"/>
      <c r="AA864" s="94"/>
      <c r="AB864" s="69"/>
      <c r="AC864" s="94"/>
      <c r="AD864" s="94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9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62"/>
      <c r="P865" s="69"/>
      <c r="Q865" s="94"/>
      <c r="R865" s="94"/>
      <c r="S865" s="60"/>
      <c r="T865" s="62"/>
      <c r="U865" s="62"/>
      <c r="V865" s="62"/>
      <c r="W865" s="61"/>
      <c r="X865" s="62"/>
      <c r="Y865" s="62"/>
      <c r="Z865" s="66"/>
      <c r="AA865" s="94"/>
      <c r="AB865" s="69"/>
      <c r="AC865" s="94"/>
      <c r="AD865" s="94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9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94"/>
      <c r="R866" s="94"/>
      <c r="S866" s="60"/>
      <c r="T866" s="62"/>
      <c r="U866" s="62"/>
      <c r="V866" s="62"/>
      <c r="W866" s="61"/>
      <c r="X866" s="62"/>
      <c r="Y866" s="62"/>
      <c r="Z866" s="66"/>
      <c r="AA866" s="62"/>
      <c r="AB866" s="69"/>
      <c r="AC866" s="94"/>
      <c r="AD866" s="94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9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94"/>
      <c r="P867" s="69"/>
      <c r="Q867" s="94"/>
      <c r="R867" s="94"/>
      <c r="S867" s="60"/>
      <c r="T867" s="62"/>
      <c r="U867" s="62"/>
      <c r="V867" s="62"/>
      <c r="W867" s="61"/>
      <c r="X867" s="62"/>
      <c r="Y867" s="62"/>
      <c r="Z867" s="66"/>
      <c r="AA867" s="62"/>
      <c r="AB867" s="69"/>
      <c r="AC867" s="94"/>
      <c r="AD867" s="94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9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62"/>
      <c r="P868" s="69"/>
      <c r="Q868" s="94"/>
      <c r="R868" s="94"/>
      <c r="S868" s="60"/>
      <c r="T868" s="62"/>
      <c r="U868" s="62"/>
      <c r="V868" s="62"/>
      <c r="W868" s="61"/>
      <c r="X868" s="62"/>
      <c r="Y868" s="62"/>
      <c r="Z868" s="66"/>
      <c r="AA868" s="94"/>
      <c r="AB868" s="69"/>
      <c r="AC868" s="94"/>
      <c r="AD868" s="94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9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94"/>
      <c r="P869" s="69"/>
      <c r="Q869" s="94"/>
      <c r="R869" s="94"/>
      <c r="S869" s="60"/>
      <c r="T869" s="62"/>
      <c r="U869" s="62"/>
      <c r="V869" s="62"/>
      <c r="W869" s="61"/>
      <c r="X869" s="62"/>
      <c r="Y869" s="62"/>
      <c r="Z869" s="66"/>
      <c r="AA869" s="94"/>
      <c r="AB869" s="69"/>
      <c r="AC869" s="94"/>
      <c r="AD869" s="94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9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94"/>
      <c r="P870" s="69"/>
      <c r="Q870" s="94"/>
      <c r="R870" s="94"/>
      <c r="S870" s="60"/>
      <c r="T870" s="62"/>
      <c r="U870" s="62"/>
      <c r="V870" s="62"/>
      <c r="W870" s="61"/>
      <c r="X870" s="62"/>
      <c r="Y870" s="62"/>
      <c r="Z870" s="66"/>
      <c r="AA870" s="62"/>
      <c r="AB870" s="69"/>
      <c r="AC870" s="94"/>
      <c r="AD870" s="94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9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94"/>
      <c r="P871" s="69"/>
      <c r="Q871" s="94"/>
      <c r="R871" s="94"/>
      <c r="S871" s="60"/>
      <c r="T871" s="62"/>
      <c r="U871" s="62"/>
      <c r="V871" s="62"/>
      <c r="W871" s="61"/>
      <c r="X871" s="62"/>
      <c r="Y871" s="62"/>
      <c r="Z871" s="66"/>
      <c r="AA871" s="94"/>
      <c r="AB871" s="69"/>
      <c r="AC871" s="94"/>
      <c r="AD871" s="94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9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94"/>
      <c r="P872" s="69"/>
      <c r="Q872" s="94"/>
      <c r="R872" s="94"/>
      <c r="S872" s="60"/>
      <c r="T872" s="62"/>
      <c r="U872" s="62"/>
      <c r="V872" s="62"/>
      <c r="W872" s="61"/>
      <c r="X872" s="62"/>
      <c r="Y872" s="62"/>
      <c r="Z872" s="66"/>
      <c r="AA872" s="94"/>
      <c r="AB872" s="69"/>
      <c r="AC872" s="94"/>
      <c r="AD872" s="94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94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94"/>
      <c r="R873" s="94"/>
      <c r="S873" s="60"/>
      <c r="T873" s="62"/>
      <c r="U873" s="62"/>
      <c r="V873" s="62"/>
      <c r="W873" s="61"/>
      <c r="X873" s="62"/>
      <c r="Y873" s="62"/>
      <c r="Z873" s="66"/>
      <c r="AA873" s="94"/>
      <c r="AB873" s="69"/>
      <c r="AC873" s="94"/>
      <c r="AD873" s="94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94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94"/>
      <c r="P874" s="69"/>
      <c r="Q874" s="94"/>
      <c r="R874" s="94"/>
      <c r="S874" s="60"/>
      <c r="T874" s="62"/>
      <c r="U874" s="62"/>
      <c r="V874" s="62"/>
      <c r="W874" s="61"/>
      <c r="X874" s="62"/>
      <c r="Y874" s="62"/>
      <c r="Z874" s="66"/>
      <c r="AA874" s="94"/>
      <c r="AB874" s="69"/>
      <c r="AC874" s="94"/>
      <c r="AD874" s="94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94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94"/>
      <c r="P875" s="69"/>
      <c r="Q875" s="94"/>
      <c r="R875" s="94"/>
      <c r="S875" s="60"/>
      <c r="T875" s="62"/>
      <c r="U875" s="62"/>
      <c r="V875" s="62"/>
      <c r="W875" s="61"/>
      <c r="X875" s="62"/>
      <c r="Y875" s="62"/>
      <c r="Z875" s="66"/>
      <c r="AA875" s="94"/>
      <c r="AB875" s="69"/>
      <c r="AC875" s="94"/>
      <c r="AD875" s="94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94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94"/>
      <c r="R876" s="94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94"/>
      <c r="AD876" s="94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94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94"/>
      <c r="P877" s="69"/>
      <c r="Q877" s="94"/>
      <c r="R877" s="94"/>
      <c r="S877" s="60"/>
      <c r="T877" s="62"/>
      <c r="U877" s="62"/>
      <c r="V877" s="62"/>
      <c r="W877" s="61"/>
      <c r="X877" s="62"/>
      <c r="Y877" s="62"/>
      <c r="Z877" s="66"/>
      <c r="AA877" s="94"/>
      <c r="AB877" s="69"/>
      <c r="AC877" s="94"/>
      <c r="AD877" s="94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94"/>
      <c r="O878" s="94"/>
      <c r="P878" s="94"/>
      <c r="Q878" s="94"/>
      <c r="R878" s="94"/>
      <c r="S878" s="94"/>
      <c r="T878" s="62"/>
      <c r="U878" s="62"/>
      <c r="V878" s="62"/>
      <c r="W878" s="61"/>
      <c r="X878" s="62"/>
      <c r="Y878" s="62"/>
      <c r="Z878" s="94"/>
      <c r="AA878" s="94"/>
      <c r="AB878" s="94"/>
      <c r="AC878" s="94"/>
      <c r="AD878" s="94"/>
      <c r="AE878" s="94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94"/>
      <c r="C879" s="94"/>
      <c r="D879" s="94"/>
      <c r="E879" s="94"/>
      <c r="F879" s="94"/>
      <c r="G879" s="94"/>
      <c r="H879" s="62"/>
      <c r="I879" s="62"/>
      <c r="J879" s="62"/>
      <c r="K879" s="62"/>
      <c r="L879" s="62"/>
      <c r="M879" s="62"/>
      <c r="N879" s="94"/>
      <c r="O879" s="94"/>
      <c r="P879" s="94"/>
      <c r="Q879" s="94"/>
      <c r="R879" s="94"/>
      <c r="S879" s="94"/>
      <c r="T879" s="62"/>
      <c r="U879" s="62"/>
      <c r="V879" s="62"/>
      <c r="W879" s="62"/>
      <c r="X879" s="62"/>
      <c r="Y879" s="62"/>
      <c r="Z879" s="94"/>
      <c r="AA879" s="94"/>
      <c r="AB879" s="94"/>
      <c r="AC879" s="94"/>
      <c r="AD879" s="94"/>
      <c r="AE879" s="94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94"/>
      <c r="C880" s="94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94"/>
      <c r="O880" s="94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94"/>
      <c r="AA880" s="94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4"/>
      <c r="C882" s="94"/>
      <c r="D882" s="94"/>
      <c r="E882" s="94"/>
      <c r="F882" s="94"/>
      <c r="G882" s="94"/>
      <c r="H882" s="62"/>
      <c r="I882" s="62"/>
      <c r="J882" s="62"/>
      <c r="K882" s="62"/>
      <c r="L882" s="62"/>
      <c r="M882" s="62"/>
      <c r="N882" s="94"/>
      <c r="O882" s="94"/>
      <c r="P882" s="94"/>
      <c r="Q882" s="94"/>
      <c r="R882" s="94"/>
      <c r="S882" s="94"/>
      <c r="T882" s="62"/>
      <c r="U882" s="62"/>
      <c r="V882" s="62"/>
      <c r="W882" s="62"/>
      <c r="X882" s="62"/>
      <c r="Y882" s="62"/>
      <c r="Z882" s="94"/>
      <c r="AA882" s="94"/>
      <c r="AB882" s="94"/>
      <c r="AC882" s="94"/>
      <c r="AD882" s="94"/>
      <c r="AE882" s="94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4"/>
      <c r="C883" s="94"/>
      <c r="D883" s="94"/>
      <c r="E883" s="94"/>
      <c r="F883" s="94"/>
      <c r="G883" s="94"/>
      <c r="H883" s="62"/>
      <c r="I883" s="62"/>
      <c r="J883" s="62"/>
      <c r="K883" s="62"/>
      <c r="L883" s="62"/>
      <c r="M883" s="62"/>
      <c r="N883" s="94"/>
      <c r="O883" s="94"/>
      <c r="P883" s="94"/>
      <c r="Q883" s="94"/>
      <c r="R883" s="94"/>
      <c r="S883" s="94"/>
      <c r="T883" s="62"/>
      <c r="U883" s="62"/>
      <c r="V883" s="62"/>
      <c r="W883" s="62"/>
      <c r="X883" s="62"/>
      <c r="Y883" s="62"/>
      <c r="Z883" s="94"/>
      <c r="AA883" s="94"/>
      <c r="AB883" s="94"/>
      <c r="AC883" s="94"/>
      <c r="AD883" s="94"/>
      <c r="AE883" s="94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4"/>
      <c r="C884" s="94"/>
      <c r="D884" s="94"/>
      <c r="E884" s="94"/>
      <c r="F884" s="94"/>
      <c r="G884" s="94"/>
      <c r="H884" s="62"/>
      <c r="I884" s="62"/>
      <c r="J884" s="62"/>
      <c r="K884" s="62"/>
      <c r="L884" s="62"/>
      <c r="M884" s="62"/>
      <c r="N884" s="94"/>
      <c r="O884" s="94"/>
      <c r="P884" s="94"/>
      <c r="Q884" s="94"/>
      <c r="R884" s="94"/>
      <c r="S884" s="94"/>
      <c r="T884" s="62"/>
      <c r="U884" s="62"/>
      <c r="V884" s="62"/>
      <c r="W884" s="62"/>
      <c r="X884" s="62"/>
      <c r="Y884" s="62"/>
      <c r="Z884" s="94"/>
      <c r="AA884" s="94"/>
      <c r="AB884" s="94"/>
      <c r="AC884" s="94"/>
      <c r="AD884" s="94"/>
      <c r="AE884" s="94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4"/>
      <c r="C885" s="94"/>
      <c r="D885" s="94"/>
      <c r="E885" s="94"/>
      <c r="F885" s="94"/>
      <c r="G885" s="94"/>
      <c r="H885" s="62"/>
      <c r="I885" s="62"/>
      <c r="J885" s="62"/>
      <c r="K885" s="62"/>
      <c r="L885" s="62"/>
      <c r="M885" s="63"/>
      <c r="N885" s="94"/>
      <c r="O885" s="94"/>
      <c r="P885" s="94"/>
      <c r="Q885" s="94"/>
      <c r="R885" s="94"/>
      <c r="S885" s="94"/>
      <c r="T885" s="62"/>
      <c r="U885" s="62"/>
      <c r="V885" s="62"/>
      <c r="W885" s="62"/>
      <c r="X885" s="62"/>
      <c r="Y885" s="63"/>
      <c r="Z885" s="94"/>
      <c r="AA885" s="94"/>
      <c r="AB885" s="94"/>
      <c r="AC885" s="94"/>
      <c r="AD885" s="94"/>
      <c r="AE885" s="94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4"/>
      <c r="C886" s="94"/>
      <c r="D886" s="94"/>
      <c r="E886" s="94"/>
      <c r="F886" s="94"/>
      <c r="G886" s="94"/>
      <c r="H886" s="62"/>
      <c r="I886" s="62"/>
      <c r="J886" s="62"/>
      <c r="K886" s="62"/>
      <c r="L886" s="62"/>
      <c r="M886" s="62"/>
      <c r="N886" s="94"/>
      <c r="O886" s="94"/>
      <c r="P886" s="94"/>
      <c r="Q886" s="94"/>
      <c r="R886" s="94"/>
      <c r="S886" s="94"/>
      <c r="T886" s="62"/>
      <c r="U886" s="62"/>
      <c r="V886" s="62"/>
      <c r="W886" s="62"/>
      <c r="X886" s="62"/>
      <c r="Y886" s="62"/>
      <c r="Z886" s="94"/>
      <c r="AA886" s="94"/>
      <c r="AB886" s="94"/>
      <c r="AC886" s="94"/>
      <c r="AD886" s="94"/>
      <c r="AE886" s="94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4"/>
      <c r="C887" s="94"/>
      <c r="D887" s="94"/>
      <c r="E887" s="94"/>
      <c r="F887" s="94"/>
      <c r="G887" s="94"/>
      <c r="H887" s="62"/>
      <c r="I887" s="94"/>
      <c r="J887" s="74"/>
      <c r="K887" s="62"/>
      <c r="L887" s="62"/>
      <c r="M887" s="62"/>
      <c r="N887" s="94"/>
      <c r="O887" s="94"/>
      <c r="P887" s="94"/>
      <c r="Q887" s="94"/>
      <c r="R887" s="94"/>
      <c r="S887" s="94"/>
      <c r="T887" s="62"/>
      <c r="U887" s="94"/>
      <c r="V887" s="74"/>
      <c r="W887" s="62"/>
      <c r="X887" s="62"/>
      <c r="Y887" s="62"/>
      <c r="Z887" s="94"/>
      <c r="AA887" s="94"/>
      <c r="AB887" s="94"/>
      <c r="AC887" s="94"/>
      <c r="AD887" s="94"/>
      <c r="AE887" s="94"/>
      <c r="AF887" s="62"/>
      <c r="AG887" s="94"/>
      <c r="AH887" s="94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4"/>
      <c r="C888" s="94"/>
      <c r="D888" s="94"/>
      <c r="E888" s="94"/>
      <c r="F888" s="94"/>
      <c r="G888" s="94"/>
      <c r="H888" s="62"/>
      <c r="I888" s="65"/>
      <c r="J888" s="65"/>
      <c r="K888" s="62"/>
      <c r="L888" s="62"/>
      <c r="M888" s="64"/>
      <c r="N888" s="94"/>
      <c r="O888" s="94"/>
      <c r="P888" s="94"/>
      <c r="Q888" s="94"/>
      <c r="R888" s="94"/>
      <c r="S888" s="94"/>
      <c r="T888" s="62"/>
      <c r="U888" s="65"/>
      <c r="V888" s="65"/>
      <c r="W888" s="62"/>
      <c r="X888" s="62"/>
      <c r="Y888" s="64"/>
      <c r="Z888" s="94"/>
      <c r="AA888" s="94"/>
      <c r="AB888" s="94"/>
      <c r="AC888" s="94"/>
      <c r="AD888" s="94"/>
      <c r="AE888" s="94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4"/>
      <c r="C889" s="94"/>
      <c r="D889" s="94"/>
      <c r="E889" s="94"/>
      <c r="F889" s="94"/>
      <c r="G889" s="94"/>
      <c r="H889" s="62"/>
      <c r="I889" s="62"/>
      <c r="J889" s="62"/>
      <c r="K889" s="62"/>
      <c r="L889" s="62"/>
      <c r="M889" s="62"/>
      <c r="N889" s="94"/>
      <c r="O889" s="94"/>
      <c r="P889" s="94"/>
      <c r="Q889" s="94"/>
      <c r="R889" s="94"/>
      <c r="S889" s="94"/>
      <c r="T889" s="62"/>
      <c r="U889" s="62"/>
      <c r="V889" s="62"/>
      <c r="W889" s="62"/>
      <c r="X889" s="62"/>
      <c r="Y889" s="62"/>
      <c r="Z889" s="94"/>
      <c r="AA889" s="94"/>
      <c r="AB889" s="94"/>
      <c r="AC889" s="94"/>
      <c r="AD889" s="94"/>
      <c r="AE889" s="94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4"/>
      <c r="D890" s="106"/>
      <c r="E890" s="106"/>
      <c r="F890" s="94"/>
      <c r="G890" s="94"/>
      <c r="H890" s="62"/>
      <c r="I890" s="106"/>
      <c r="J890" s="106"/>
      <c r="K890" s="105"/>
      <c r="L890" s="62"/>
      <c r="M890" s="62"/>
      <c r="N890" s="65"/>
      <c r="O890" s="94"/>
      <c r="P890" s="106"/>
      <c r="Q890" s="106"/>
      <c r="R890" s="94"/>
      <c r="S890" s="94"/>
      <c r="T890" s="62"/>
      <c r="U890" s="106"/>
      <c r="V890" s="106"/>
      <c r="W890" s="105"/>
      <c r="X890" s="62"/>
      <c r="Y890" s="62"/>
      <c r="Z890" s="65"/>
      <c r="AA890" s="94"/>
      <c r="AB890" s="106"/>
      <c r="AC890" s="106"/>
      <c r="AD890" s="94"/>
      <c r="AE890" s="94"/>
      <c r="AF890" s="62"/>
      <c r="AG890" s="106"/>
      <c r="AH890" s="106"/>
      <c r="AI890" s="105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4"/>
      <c r="C891" s="94"/>
      <c r="D891" s="81"/>
      <c r="E891" s="82"/>
      <c r="F891" s="83"/>
      <c r="G891" s="83"/>
      <c r="H891" s="62"/>
      <c r="I891" s="93"/>
      <c r="J891" s="93"/>
      <c r="K891" s="105"/>
      <c r="L891" s="62"/>
      <c r="M891" s="62"/>
      <c r="N891" s="94"/>
      <c r="O891" s="94"/>
      <c r="P891" s="81"/>
      <c r="Q891" s="83"/>
      <c r="R891" s="83"/>
      <c r="S891" s="83"/>
      <c r="T891" s="62"/>
      <c r="U891" s="93"/>
      <c r="V891" s="93"/>
      <c r="W891" s="105"/>
      <c r="X891" s="62"/>
      <c r="Y891" s="62"/>
      <c r="Z891" s="94"/>
      <c r="AA891" s="94"/>
      <c r="AB891" s="81"/>
      <c r="AC891" s="83"/>
      <c r="AD891" s="83"/>
      <c r="AE891" s="83"/>
      <c r="AF891" s="62"/>
      <c r="AG891" s="93"/>
      <c r="AH891" s="93"/>
      <c r="AI891" s="105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92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4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4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92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4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4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92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4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4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92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4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4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92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94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4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92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4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65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92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4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94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65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4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4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92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4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94"/>
      <c r="AB900" s="62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92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4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4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92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94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2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92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4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4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92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4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94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92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4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4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92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4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4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94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94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2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92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4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4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9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4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94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92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4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4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92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4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4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2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5"/>
      <c r="P912" s="67"/>
      <c r="Q912" s="94"/>
      <c r="R912" s="94"/>
      <c r="S912" s="60"/>
      <c r="T912" s="62"/>
      <c r="U912" s="62"/>
      <c r="V912" s="62"/>
      <c r="W912" s="61"/>
      <c r="X912" s="62"/>
      <c r="Y912" s="62"/>
      <c r="Z912" s="66"/>
      <c r="AA912" s="94"/>
      <c r="AB912" s="67"/>
      <c r="AC912" s="94"/>
      <c r="AD912" s="94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2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4"/>
      <c r="P913" s="68"/>
      <c r="Q913" s="94"/>
      <c r="R913" s="94"/>
      <c r="S913" s="60"/>
      <c r="T913" s="62"/>
      <c r="U913" s="62"/>
      <c r="V913" s="62"/>
      <c r="W913" s="61"/>
      <c r="X913" s="62"/>
      <c r="Y913" s="62"/>
      <c r="Z913" s="66"/>
      <c r="AA913" s="94"/>
      <c r="AB913" s="68"/>
      <c r="AC913" s="94"/>
      <c r="AD913" s="94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92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4"/>
      <c r="P914" s="69"/>
      <c r="Q914" s="62"/>
      <c r="R914" s="62"/>
      <c r="S914" s="60"/>
      <c r="T914" s="62"/>
      <c r="U914" s="62"/>
      <c r="V914" s="62"/>
      <c r="W914" s="61"/>
      <c r="X914" s="62"/>
      <c r="Y914" s="62"/>
      <c r="Z914" s="66"/>
      <c r="AA914" s="94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9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4"/>
      <c r="P915" s="69"/>
      <c r="Q915" s="94"/>
      <c r="R915" s="94"/>
      <c r="S915" s="60"/>
      <c r="T915" s="62"/>
      <c r="U915" s="62"/>
      <c r="V915" s="62"/>
      <c r="W915" s="61"/>
      <c r="X915" s="62"/>
      <c r="Y915" s="62"/>
      <c r="Z915" s="66"/>
      <c r="AA915" s="94"/>
      <c r="AB915" s="69"/>
      <c r="AC915" s="94"/>
      <c r="AD915" s="94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9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62"/>
      <c r="P916" s="69"/>
      <c r="Q916" s="94"/>
      <c r="R916" s="94"/>
      <c r="S916" s="60"/>
      <c r="T916" s="62"/>
      <c r="U916" s="62"/>
      <c r="V916" s="62"/>
      <c r="W916" s="61"/>
      <c r="X916" s="62"/>
      <c r="Y916" s="62"/>
      <c r="Z916" s="66"/>
      <c r="AA916" s="65"/>
      <c r="AB916" s="69"/>
      <c r="AC916" s="94"/>
      <c r="AD916" s="94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65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2"/>
      <c r="P917" s="69"/>
      <c r="Q917" s="94"/>
      <c r="R917" s="94"/>
      <c r="S917" s="60"/>
      <c r="T917" s="62"/>
      <c r="U917" s="62"/>
      <c r="V917" s="62"/>
      <c r="W917" s="61"/>
      <c r="X917" s="62"/>
      <c r="Y917" s="62"/>
      <c r="Z917" s="66"/>
      <c r="AA917" s="62"/>
      <c r="AB917" s="69"/>
      <c r="AC917" s="94"/>
      <c r="AD917" s="94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9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4"/>
      <c r="P918" s="69"/>
      <c r="Q918" s="94"/>
      <c r="R918" s="94"/>
      <c r="S918" s="60"/>
      <c r="T918" s="62"/>
      <c r="U918" s="62"/>
      <c r="V918" s="62"/>
      <c r="W918" s="61"/>
      <c r="X918" s="62"/>
      <c r="Y918" s="62"/>
      <c r="Z918" s="66"/>
      <c r="AA918" s="94"/>
      <c r="AB918" s="69"/>
      <c r="AC918" s="94"/>
      <c r="AD918" s="94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9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4"/>
      <c r="P919" s="69"/>
      <c r="Q919" s="94"/>
      <c r="R919" s="94"/>
      <c r="S919" s="60"/>
      <c r="T919" s="62"/>
      <c r="U919" s="62"/>
      <c r="V919" s="62"/>
      <c r="W919" s="61"/>
      <c r="X919" s="62"/>
      <c r="Y919" s="62"/>
      <c r="Z919" s="66"/>
      <c r="AA919" s="94"/>
      <c r="AB919" s="69"/>
      <c r="AC919" s="94"/>
      <c r="AD919" s="94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9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62"/>
      <c r="P920" s="69"/>
      <c r="Q920" s="94"/>
      <c r="R920" s="94"/>
      <c r="S920" s="60"/>
      <c r="T920" s="62"/>
      <c r="U920" s="62"/>
      <c r="V920" s="62"/>
      <c r="W920" s="61"/>
      <c r="X920" s="62"/>
      <c r="Y920" s="62"/>
      <c r="Z920" s="66"/>
      <c r="AA920" s="94"/>
      <c r="AB920" s="69"/>
      <c r="AC920" s="94"/>
      <c r="AD920" s="94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9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2"/>
      <c r="P921" s="69"/>
      <c r="Q921" s="94"/>
      <c r="R921" s="94"/>
      <c r="S921" s="60"/>
      <c r="T921" s="62"/>
      <c r="U921" s="62"/>
      <c r="V921" s="62"/>
      <c r="W921" s="61"/>
      <c r="X921" s="62"/>
      <c r="Y921" s="62"/>
      <c r="Z921" s="66"/>
      <c r="AA921" s="62"/>
      <c r="AB921" s="69"/>
      <c r="AC921" s="94"/>
      <c r="AD921" s="94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9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94"/>
      <c r="P922" s="69"/>
      <c r="Q922" s="94"/>
      <c r="R922" s="94"/>
      <c r="S922" s="60"/>
      <c r="T922" s="62"/>
      <c r="U922" s="62"/>
      <c r="V922" s="62"/>
      <c r="W922" s="61"/>
      <c r="X922" s="62"/>
      <c r="Y922" s="62"/>
      <c r="Z922" s="66"/>
      <c r="AA922" s="62"/>
      <c r="AB922" s="69"/>
      <c r="AC922" s="94"/>
      <c r="AD922" s="94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9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62"/>
      <c r="P923" s="69"/>
      <c r="Q923" s="94"/>
      <c r="R923" s="94"/>
      <c r="S923" s="60"/>
      <c r="T923" s="62"/>
      <c r="U923" s="62"/>
      <c r="V923" s="62"/>
      <c r="W923" s="61"/>
      <c r="X923" s="62"/>
      <c r="Y923" s="62"/>
      <c r="Z923" s="66"/>
      <c r="AA923" s="94"/>
      <c r="AB923" s="69"/>
      <c r="AC923" s="94"/>
      <c r="AD923" s="94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9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4"/>
      <c r="P924" s="69"/>
      <c r="Q924" s="94"/>
      <c r="R924" s="94"/>
      <c r="S924" s="60"/>
      <c r="T924" s="62"/>
      <c r="U924" s="62"/>
      <c r="V924" s="62"/>
      <c r="W924" s="61"/>
      <c r="X924" s="62"/>
      <c r="Y924" s="62"/>
      <c r="Z924" s="66"/>
      <c r="AA924" s="94"/>
      <c r="AB924" s="69"/>
      <c r="AC924" s="94"/>
      <c r="AD924" s="94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9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94"/>
      <c r="P925" s="69"/>
      <c r="Q925" s="94"/>
      <c r="R925" s="94"/>
      <c r="S925" s="60"/>
      <c r="T925" s="62"/>
      <c r="U925" s="62"/>
      <c r="V925" s="62"/>
      <c r="W925" s="61"/>
      <c r="X925" s="62"/>
      <c r="Y925" s="62"/>
      <c r="Z925" s="66"/>
      <c r="AA925" s="62"/>
      <c r="AB925" s="69"/>
      <c r="AC925" s="94"/>
      <c r="AD925" s="94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9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94"/>
      <c r="P926" s="69"/>
      <c r="Q926" s="94"/>
      <c r="R926" s="94"/>
      <c r="S926" s="60"/>
      <c r="T926" s="62"/>
      <c r="U926" s="62"/>
      <c r="V926" s="62"/>
      <c r="W926" s="61"/>
      <c r="X926" s="62"/>
      <c r="Y926" s="62"/>
      <c r="Z926" s="66"/>
      <c r="AA926" s="94"/>
      <c r="AB926" s="69"/>
      <c r="AC926" s="94"/>
      <c r="AD926" s="94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9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4"/>
      <c r="P927" s="69"/>
      <c r="Q927" s="94"/>
      <c r="R927" s="94"/>
      <c r="S927" s="60"/>
      <c r="T927" s="62"/>
      <c r="U927" s="62"/>
      <c r="V927" s="62"/>
      <c r="W927" s="61"/>
      <c r="X927" s="62"/>
      <c r="Y927" s="62"/>
      <c r="Z927" s="66"/>
      <c r="AA927" s="94"/>
      <c r="AB927" s="69"/>
      <c r="AC927" s="94"/>
      <c r="AD927" s="94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4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94"/>
      <c r="R928" s="94"/>
      <c r="S928" s="60"/>
      <c r="T928" s="62"/>
      <c r="U928" s="62"/>
      <c r="V928" s="62"/>
      <c r="W928" s="61"/>
      <c r="X928" s="62"/>
      <c r="Y928" s="62"/>
      <c r="Z928" s="66"/>
      <c r="AA928" s="94"/>
      <c r="AB928" s="69"/>
      <c r="AC928" s="94"/>
      <c r="AD928" s="94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4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4"/>
      <c r="P929" s="69"/>
      <c r="Q929" s="94"/>
      <c r="R929" s="94"/>
      <c r="S929" s="60"/>
      <c r="T929" s="62"/>
      <c r="U929" s="62"/>
      <c r="V929" s="62"/>
      <c r="W929" s="61"/>
      <c r="X929" s="62"/>
      <c r="Y929" s="62"/>
      <c r="Z929" s="66"/>
      <c r="AA929" s="94"/>
      <c r="AB929" s="69"/>
      <c r="AC929" s="94"/>
      <c r="AD929" s="94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4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4"/>
      <c r="P930" s="69"/>
      <c r="Q930" s="94"/>
      <c r="R930" s="94"/>
      <c r="S930" s="60"/>
      <c r="T930" s="62"/>
      <c r="U930" s="62"/>
      <c r="V930" s="62"/>
      <c r="W930" s="61"/>
      <c r="X930" s="62"/>
      <c r="Y930" s="62"/>
      <c r="Z930" s="66"/>
      <c r="AA930" s="94"/>
      <c r="AB930" s="69"/>
      <c r="AC930" s="94"/>
      <c r="AD930" s="94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4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4"/>
      <c r="R931" s="94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4"/>
      <c r="AD931" s="94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4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4"/>
      <c r="P932" s="69"/>
      <c r="Q932" s="94"/>
      <c r="R932" s="94"/>
      <c r="S932" s="60"/>
      <c r="T932" s="62"/>
      <c r="U932" s="62"/>
      <c r="V932" s="62"/>
      <c r="W932" s="61"/>
      <c r="X932" s="62"/>
      <c r="Y932" s="62"/>
      <c r="Z932" s="66"/>
      <c r="AA932" s="94"/>
      <c r="AB932" s="69"/>
      <c r="AC932" s="94"/>
      <c r="AD932" s="94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4"/>
      <c r="O933" s="94"/>
      <c r="P933" s="94"/>
      <c r="Q933" s="94"/>
      <c r="R933" s="94"/>
      <c r="S933" s="94"/>
      <c r="T933" s="62"/>
      <c r="U933" s="62"/>
      <c r="V933" s="62"/>
      <c r="W933" s="61"/>
      <c r="X933" s="62"/>
      <c r="Y933" s="62"/>
      <c r="Z933" s="94"/>
      <c r="AA933" s="94"/>
      <c r="AB933" s="94"/>
      <c r="AC933" s="94"/>
      <c r="AD933" s="94"/>
      <c r="AE933" s="94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4"/>
      <c r="C934" s="94"/>
      <c r="D934" s="94"/>
      <c r="E934" s="94"/>
      <c r="F934" s="94"/>
      <c r="G934" s="94"/>
      <c r="H934" s="62"/>
      <c r="I934" s="62"/>
      <c r="J934" s="62"/>
      <c r="K934" s="62"/>
      <c r="L934" s="62"/>
      <c r="M934" s="62"/>
      <c r="N934" s="94"/>
      <c r="O934" s="94"/>
      <c r="P934" s="94"/>
      <c r="Q934" s="94"/>
      <c r="R934" s="94"/>
      <c r="S934" s="94"/>
      <c r="T934" s="62"/>
      <c r="U934" s="62"/>
      <c r="V934" s="62"/>
      <c r="W934" s="62"/>
      <c r="X934" s="62"/>
      <c r="Y934" s="62"/>
      <c r="Z934" s="94"/>
      <c r="AA934" s="94"/>
      <c r="AB934" s="94"/>
      <c r="AC934" s="94"/>
      <c r="AD934" s="94"/>
      <c r="AE934" s="94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4"/>
      <c r="C935" s="94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4"/>
      <c r="O935" s="94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4"/>
      <c r="AA935" s="94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94"/>
      <c r="C937" s="94"/>
      <c r="D937" s="94"/>
      <c r="E937" s="94"/>
      <c r="F937" s="94"/>
      <c r="G937" s="94"/>
      <c r="H937" s="62"/>
      <c r="I937" s="62"/>
      <c r="J937" s="62"/>
      <c r="K937" s="62"/>
      <c r="L937" s="62"/>
      <c r="M937" s="62"/>
      <c r="N937" s="94"/>
      <c r="O937" s="94"/>
      <c r="P937" s="94"/>
      <c r="Q937" s="94"/>
      <c r="R937" s="94"/>
      <c r="S937" s="94"/>
      <c r="T937" s="62"/>
      <c r="U937" s="62"/>
      <c r="V937" s="62"/>
      <c r="W937" s="62"/>
      <c r="X937" s="62"/>
      <c r="Y937" s="62"/>
      <c r="Z937" s="94"/>
      <c r="AA937" s="94"/>
      <c r="AB937" s="94"/>
      <c r="AC937" s="94"/>
      <c r="AD937" s="94"/>
      <c r="AE937" s="94"/>
      <c r="AF937" s="62"/>
      <c r="AG937" s="62"/>
      <c r="AH937" s="62"/>
      <c r="AI937" s="62"/>
      <c r="AJ937" s="62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94"/>
      <c r="C938" s="94"/>
      <c r="D938" s="94"/>
      <c r="E938" s="94"/>
      <c r="F938" s="94"/>
      <c r="G938" s="94"/>
      <c r="H938" s="62"/>
      <c r="I938" s="62"/>
      <c r="J938" s="62"/>
      <c r="K938" s="62"/>
      <c r="L938" s="62"/>
      <c r="M938" s="62"/>
      <c r="N938" s="94"/>
      <c r="O938" s="94"/>
      <c r="P938" s="94"/>
      <c r="Q938" s="94"/>
      <c r="R938" s="94"/>
      <c r="S938" s="94"/>
      <c r="T938" s="62"/>
      <c r="U938" s="62"/>
      <c r="V938" s="62"/>
      <c r="W938" s="62"/>
      <c r="X938" s="62"/>
      <c r="Y938" s="62"/>
      <c r="Z938" s="94"/>
      <c r="AA938" s="94"/>
      <c r="AB938" s="94"/>
      <c r="AC938" s="94"/>
      <c r="AD938" s="94"/>
      <c r="AE938" s="94"/>
      <c r="AF938" s="62"/>
      <c r="AG938" s="62"/>
      <c r="AH938" s="62"/>
      <c r="AI938" s="62"/>
      <c r="AJ938" s="62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94"/>
      <c r="C939" s="94"/>
      <c r="D939" s="94"/>
      <c r="E939" s="94"/>
      <c r="F939" s="94"/>
      <c r="G939" s="94"/>
      <c r="H939" s="62"/>
      <c r="I939" s="62"/>
      <c r="J939" s="62"/>
      <c r="K939" s="62"/>
      <c r="L939" s="62"/>
      <c r="M939" s="62"/>
      <c r="N939" s="94"/>
      <c r="O939" s="94"/>
      <c r="P939" s="94"/>
      <c r="Q939" s="94"/>
      <c r="R939" s="94"/>
      <c r="S939" s="94"/>
      <c r="T939" s="62"/>
      <c r="U939" s="62"/>
      <c r="V939" s="62"/>
      <c r="W939" s="62"/>
      <c r="X939" s="62"/>
      <c r="Y939" s="62"/>
      <c r="Z939" s="94"/>
      <c r="AA939" s="94"/>
      <c r="AB939" s="94"/>
      <c r="AC939" s="94"/>
      <c r="AD939" s="94"/>
      <c r="AE939" s="94"/>
      <c r="AF939" s="62"/>
      <c r="AG939" s="62"/>
      <c r="AH939" s="62"/>
      <c r="AI939" s="62"/>
      <c r="AJ939" s="62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94"/>
      <c r="C940" s="94"/>
      <c r="D940" s="94"/>
      <c r="E940" s="94"/>
      <c r="F940" s="94"/>
      <c r="G940" s="94"/>
      <c r="H940" s="62"/>
      <c r="I940" s="62"/>
      <c r="J940" s="62"/>
      <c r="K940" s="62"/>
      <c r="L940" s="62"/>
      <c r="M940" s="63"/>
      <c r="N940" s="94"/>
      <c r="O940" s="94"/>
      <c r="P940" s="94"/>
      <c r="Q940" s="94"/>
      <c r="R940" s="94"/>
      <c r="S940" s="94"/>
      <c r="T940" s="62"/>
      <c r="U940" s="62"/>
      <c r="V940" s="62"/>
      <c r="W940" s="62"/>
      <c r="X940" s="62"/>
      <c r="Y940" s="63"/>
      <c r="Z940" s="94"/>
      <c r="AA940" s="94"/>
      <c r="AB940" s="94"/>
      <c r="AC940" s="94"/>
      <c r="AD940" s="94"/>
      <c r="AE940" s="94"/>
      <c r="AF940" s="62"/>
      <c r="AG940" s="62"/>
      <c r="AH940" s="62"/>
      <c r="AI940" s="62"/>
      <c r="AJ940" s="62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94"/>
      <c r="C941" s="94"/>
      <c r="D941" s="94"/>
      <c r="E941" s="94"/>
      <c r="F941" s="94"/>
      <c r="G941" s="94"/>
      <c r="H941" s="62"/>
      <c r="I941" s="62"/>
      <c r="J941" s="62"/>
      <c r="K941" s="62"/>
      <c r="L941" s="62"/>
      <c r="M941" s="62"/>
      <c r="N941" s="94"/>
      <c r="O941" s="94"/>
      <c r="P941" s="94"/>
      <c r="Q941" s="94"/>
      <c r="R941" s="94"/>
      <c r="S941" s="94"/>
      <c r="T941" s="62"/>
      <c r="U941" s="62"/>
      <c r="V941" s="62"/>
      <c r="W941" s="62"/>
      <c r="X941" s="62"/>
      <c r="Y941" s="62"/>
      <c r="Z941" s="94"/>
      <c r="AA941" s="94"/>
      <c r="AB941" s="94"/>
      <c r="AC941" s="94"/>
      <c r="AD941" s="94"/>
      <c r="AE941" s="94"/>
      <c r="AF941" s="62"/>
      <c r="AG941" s="62"/>
      <c r="AH941" s="62"/>
      <c r="AI941" s="62"/>
      <c r="AJ941" s="62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94"/>
      <c r="C942" s="94"/>
      <c r="D942" s="94"/>
      <c r="E942" s="94"/>
      <c r="F942" s="94"/>
      <c r="G942" s="94"/>
      <c r="H942" s="62"/>
      <c r="I942" s="94"/>
      <c r="J942" s="74"/>
      <c r="K942" s="62"/>
      <c r="L942" s="62"/>
      <c r="M942" s="62"/>
      <c r="N942" s="94"/>
      <c r="O942" s="94"/>
      <c r="P942" s="94"/>
      <c r="Q942" s="94"/>
      <c r="R942" s="94"/>
      <c r="S942" s="94"/>
      <c r="T942" s="62"/>
      <c r="U942" s="94"/>
      <c r="V942" s="74"/>
      <c r="W942" s="62"/>
      <c r="X942" s="62"/>
      <c r="Y942" s="62"/>
      <c r="Z942" s="94"/>
      <c r="AA942" s="94"/>
      <c r="AB942" s="94"/>
      <c r="AC942" s="94"/>
      <c r="AD942" s="94"/>
      <c r="AE942" s="94"/>
      <c r="AF942" s="62"/>
      <c r="AG942" s="94"/>
      <c r="AH942" s="94"/>
      <c r="AI942" s="62"/>
      <c r="AJ942" s="62"/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94"/>
      <c r="C943" s="94"/>
      <c r="D943" s="94"/>
      <c r="E943" s="94"/>
      <c r="F943" s="94"/>
      <c r="G943" s="94"/>
      <c r="H943" s="62"/>
      <c r="I943" s="65"/>
      <c r="J943" s="65"/>
      <c r="K943" s="62"/>
      <c r="L943" s="62"/>
      <c r="M943" s="64"/>
      <c r="N943" s="94"/>
      <c r="O943" s="94"/>
      <c r="P943" s="94"/>
      <c r="Q943" s="94"/>
      <c r="R943" s="94"/>
      <c r="S943" s="94"/>
      <c r="T943" s="62"/>
      <c r="U943" s="65"/>
      <c r="V943" s="65"/>
      <c r="W943" s="62"/>
      <c r="X943" s="62"/>
      <c r="Y943" s="64"/>
      <c r="Z943" s="94"/>
      <c r="AA943" s="94"/>
      <c r="AB943" s="94"/>
      <c r="AC943" s="94"/>
      <c r="AD943" s="94"/>
      <c r="AE943" s="94"/>
      <c r="AF943" s="62"/>
      <c r="AG943" s="65"/>
      <c r="AH943" s="65"/>
      <c r="AI943" s="62"/>
      <c r="AJ943" s="62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94"/>
      <c r="C944" s="94"/>
      <c r="D944" s="94"/>
      <c r="E944" s="94"/>
      <c r="F944" s="94"/>
      <c r="G944" s="94"/>
      <c r="H944" s="62"/>
      <c r="I944" s="62"/>
      <c r="J944" s="62"/>
      <c r="K944" s="62"/>
      <c r="L944" s="62"/>
      <c r="M944" s="62"/>
      <c r="N944" s="94"/>
      <c r="O944" s="94"/>
      <c r="P944" s="94"/>
      <c r="Q944" s="94"/>
      <c r="R944" s="94"/>
      <c r="S944" s="94"/>
      <c r="T944" s="62"/>
      <c r="U944" s="62"/>
      <c r="V944" s="62"/>
      <c r="W944" s="62"/>
      <c r="X944" s="62"/>
      <c r="Y944" s="62"/>
      <c r="Z944" s="94"/>
      <c r="AA944" s="94"/>
      <c r="AB944" s="94"/>
      <c r="AC944" s="94"/>
      <c r="AD944" s="94"/>
      <c r="AE944" s="94"/>
      <c r="AF944" s="62"/>
      <c r="AG944" s="62"/>
      <c r="AH944" s="62"/>
      <c r="AI944" s="62"/>
      <c r="AJ944" s="62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94"/>
      <c r="D945" s="106"/>
      <c r="E945" s="106"/>
      <c r="F945" s="94"/>
      <c r="G945" s="94"/>
      <c r="H945" s="62"/>
      <c r="I945" s="106"/>
      <c r="J945" s="106"/>
      <c r="K945" s="105"/>
      <c r="L945" s="62"/>
      <c r="M945" s="62"/>
      <c r="N945" s="65"/>
      <c r="O945" s="94"/>
      <c r="P945" s="106"/>
      <c r="Q945" s="106"/>
      <c r="R945" s="94"/>
      <c r="S945" s="94"/>
      <c r="T945" s="62"/>
      <c r="U945" s="106"/>
      <c r="V945" s="106"/>
      <c r="W945" s="105"/>
      <c r="X945" s="62"/>
      <c r="Y945" s="62"/>
      <c r="Z945" s="65"/>
      <c r="AA945" s="94"/>
      <c r="AB945" s="106"/>
      <c r="AC945" s="106"/>
      <c r="AD945" s="94"/>
      <c r="AE945" s="94"/>
      <c r="AF945" s="62"/>
      <c r="AG945" s="106"/>
      <c r="AH945" s="106"/>
      <c r="AI945" s="105"/>
      <c r="AJ945" s="62"/>
      <c r="AK945" s="62"/>
      <c r="AL945" s="65"/>
      <c r="AM945" s="87"/>
      <c r="AN945" s="106"/>
      <c r="AO945" s="106"/>
      <c r="AP945" s="87"/>
      <c r="AQ945" s="84"/>
      <c r="AR945" s="62"/>
      <c r="AS945" s="106"/>
      <c r="AT945" s="106"/>
      <c r="AU945" s="105"/>
      <c r="AV945" s="62"/>
      <c r="AW945" s="62"/>
      <c r="AX945" s="62"/>
      <c r="AY945" s="62"/>
      <c r="AZ945" s="62"/>
    </row>
    <row r="946" spans="1:52" x14ac:dyDescent="0.25">
      <c r="A946" s="62"/>
      <c r="B946" s="94"/>
      <c r="C946" s="94"/>
      <c r="D946" s="81"/>
      <c r="E946" s="82"/>
      <c r="F946" s="83"/>
      <c r="G946" s="83"/>
      <c r="H946" s="62"/>
      <c r="I946" s="93"/>
      <c r="J946" s="93"/>
      <c r="K946" s="105"/>
      <c r="L946" s="62"/>
      <c r="M946" s="62"/>
      <c r="N946" s="94"/>
      <c r="O946" s="94"/>
      <c r="P946" s="81"/>
      <c r="Q946" s="83"/>
      <c r="R946" s="83"/>
      <c r="S946" s="83"/>
      <c r="T946" s="62"/>
      <c r="U946" s="93"/>
      <c r="V946" s="93"/>
      <c r="W946" s="105"/>
      <c r="X946" s="62"/>
      <c r="Y946" s="62"/>
      <c r="Z946" s="94"/>
      <c r="AA946" s="94"/>
      <c r="AB946" s="81"/>
      <c r="AC946" s="83"/>
      <c r="AD946" s="83"/>
      <c r="AE946" s="83"/>
      <c r="AF946" s="62"/>
      <c r="AG946" s="93"/>
      <c r="AH946" s="93"/>
      <c r="AI946" s="105"/>
      <c r="AJ946" s="6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05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92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94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94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92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94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94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92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94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94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92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94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94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92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94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94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92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94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94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92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65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94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92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94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94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92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94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94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92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94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94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92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94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65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94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94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92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94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94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92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94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94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92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94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94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92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94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62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92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94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94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92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94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94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92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94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94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92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94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94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9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62"/>
      <c r="P967" s="67"/>
      <c r="Q967" s="94"/>
      <c r="R967" s="94"/>
      <c r="S967" s="60"/>
      <c r="T967" s="62"/>
      <c r="U967" s="62"/>
      <c r="V967" s="62"/>
      <c r="W967" s="61"/>
      <c r="X967" s="62"/>
      <c r="Y967" s="62"/>
      <c r="Z967" s="66"/>
      <c r="AA967" s="94"/>
      <c r="AB967" s="67"/>
      <c r="AC967" s="94"/>
      <c r="AD967" s="94"/>
      <c r="AE967" s="60"/>
      <c r="AF967" s="62"/>
      <c r="AG967" s="62"/>
      <c r="AH967" s="62"/>
      <c r="AI967" s="61"/>
      <c r="AJ967" s="62"/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92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94"/>
      <c r="P968" s="68"/>
      <c r="Q968" s="94"/>
      <c r="R968" s="94"/>
      <c r="S968" s="60"/>
      <c r="T968" s="62"/>
      <c r="U968" s="62"/>
      <c r="V968" s="62"/>
      <c r="W968" s="61"/>
      <c r="X968" s="62"/>
      <c r="Y968" s="62"/>
      <c r="Z968" s="66"/>
      <c r="AA968" s="94"/>
      <c r="AB968" s="68"/>
      <c r="AC968" s="94"/>
      <c r="AD968" s="94"/>
      <c r="AE968" s="60"/>
      <c r="AF968" s="62"/>
      <c r="AG968" s="62"/>
      <c r="AH968" s="62"/>
      <c r="AI968" s="61"/>
      <c r="AJ968" s="62"/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92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94"/>
      <c r="P969" s="69"/>
      <c r="Q969" s="62"/>
      <c r="R969" s="62"/>
      <c r="S969" s="60"/>
      <c r="T969" s="62"/>
      <c r="U969" s="62"/>
      <c r="V969" s="62"/>
      <c r="W969" s="61"/>
      <c r="X969" s="62"/>
      <c r="Y969" s="62"/>
      <c r="Z969" s="66"/>
      <c r="AA969" s="94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9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94"/>
      <c r="P970" s="69"/>
      <c r="Q970" s="94"/>
      <c r="R970" s="94"/>
      <c r="S970" s="60"/>
      <c r="T970" s="62"/>
      <c r="U970" s="62"/>
      <c r="V970" s="62"/>
      <c r="W970" s="61"/>
      <c r="X970" s="62"/>
      <c r="Y970" s="62"/>
      <c r="Z970" s="66"/>
      <c r="AA970" s="94"/>
      <c r="AB970" s="69"/>
      <c r="AC970" s="94"/>
      <c r="AD970" s="94"/>
      <c r="AE970" s="60"/>
      <c r="AF970" s="62"/>
      <c r="AG970" s="62"/>
      <c r="AH970" s="62"/>
      <c r="AI970" s="61"/>
      <c r="AJ970" s="62"/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9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62"/>
      <c r="P971" s="69"/>
      <c r="Q971" s="94"/>
      <c r="R971" s="94"/>
      <c r="S971" s="60"/>
      <c r="T971" s="62"/>
      <c r="U971" s="62"/>
      <c r="V971" s="62"/>
      <c r="W971" s="61"/>
      <c r="X971" s="62"/>
      <c r="Y971" s="62"/>
      <c r="Z971" s="66"/>
      <c r="AA971" s="62"/>
      <c r="AB971" s="69"/>
      <c r="AC971" s="94"/>
      <c r="AD971" s="94"/>
      <c r="AE971" s="60"/>
      <c r="AF971" s="62"/>
      <c r="AG971" s="62"/>
      <c r="AH971" s="62"/>
      <c r="AI971" s="61"/>
      <c r="AJ971" s="62"/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65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62"/>
      <c r="P972" s="69"/>
      <c r="Q972" s="94"/>
      <c r="R972" s="94"/>
      <c r="S972" s="60"/>
      <c r="T972" s="62"/>
      <c r="U972" s="62"/>
      <c r="V972" s="62"/>
      <c r="W972" s="61"/>
      <c r="X972" s="62"/>
      <c r="Y972" s="62"/>
      <c r="Z972" s="66"/>
      <c r="AA972" s="62"/>
      <c r="AB972" s="69"/>
      <c r="AC972" s="94"/>
      <c r="AD972" s="94"/>
      <c r="AE972" s="60"/>
      <c r="AF972" s="62"/>
      <c r="AG972" s="62"/>
      <c r="AH972" s="62"/>
      <c r="AI972" s="61"/>
      <c r="AJ972" s="62"/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9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94"/>
      <c r="P973" s="69"/>
      <c r="Q973" s="94"/>
      <c r="R973" s="94"/>
      <c r="S973" s="60"/>
      <c r="T973" s="62"/>
      <c r="U973" s="62"/>
      <c r="V973" s="62"/>
      <c r="W973" s="61"/>
      <c r="X973" s="62"/>
      <c r="Y973" s="62"/>
      <c r="Z973" s="66"/>
      <c r="AA973" s="94"/>
      <c r="AB973" s="69"/>
      <c r="AC973" s="94"/>
      <c r="AD973" s="94"/>
      <c r="AE973" s="60"/>
      <c r="AF973" s="62"/>
      <c r="AG973" s="62"/>
      <c r="AH973" s="62"/>
      <c r="AI973" s="61"/>
      <c r="AJ973" s="62"/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9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94"/>
      <c r="P974" s="69"/>
      <c r="Q974" s="94"/>
      <c r="R974" s="94"/>
      <c r="S974" s="60"/>
      <c r="T974" s="62"/>
      <c r="U974" s="62"/>
      <c r="V974" s="62"/>
      <c r="W974" s="61"/>
      <c r="X974" s="62"/>
      <c r="Y974" s="62"/>
      <c r="Z974" s="66"/>
      <c r="AA974" s="94"/>
      <c r="AB974" s="69"/>
      <c r="AC974" s="94"/>
      <c r="AD974" s="94"/>
      <c r="AE974" s="60"/>
      <c r="AF974" s="62"/>
      <c r="AG974" s="62"/>
      <c r="AH974" s="62"/>
      <c r="AI974" s="61"/>
      <c r="AJ974" s="62"/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9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62"/>
      <c r="P975" s="69"/>
      <c r="Q975" s="94"/>
      <c r="R975" s="94"/>
      <c r="S975" s="60"/>
      <c r="T975" s="62"/>
      <c r="U975" s="62"/>
      <c r="V975" s="62"/>
      <c r="W975" s="61"/>
      <c r="X975" s="62"/>
      <c r="Y975" s="62"/>
      <c r="Z975" s="66"/>
      <c r="AA975" s="94"/>
      <c r="AB975" s="69"/>
      <c r="AC975" s="94"/>
      <c r="AD975" s="94"/>
      <c r="AE975" s="60"/>
      <c r="AF975" s="62"/>
      <c r="AG975" s="62"/>
      <c r="AH975" s="62"/>
      <c r="AI975" s="61"/>
      <c r="AJ975" s="62"/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9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94"/>
      <c r="R976" s="94"/>
      <c r="S976" s="60"/>
      <c r="T976" s="62"/>
      <c r="U976" s="62"/>
      <c r="V976" s="62"/>
      <c r="W976" s="61"/>
      <c r="X976" s="62"/>
      <c r="Y976" s="62"/>
      <c r="Z976" s="66"/>
      <c r="AA976" s="62"/>
      <c r="AB976" s="69"/>
      <c r="AC976" s="94"/>
      <c r="AD976" s="94"/>
      <c r="AE976" s="60"/>
      <c r="AF976" s="62"/>
      <c r="AG976" s="62"/>
      <c r="AH976" s="62"/>
      <c r="AI976" s="61"/>
      <c r="AJ976" s="62"/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9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94"/>
      <c r="P977" s="69"/>
      <c r="Q977" s="94"/>
      <c r="R977" s="94"/>
      <c r="S977" s="60"/>
      <c r="T977" s="62"/>
      <c r="U977" s="62"/>
      <c r="V977" s="62"/>
      <c r="W977" s="61"/>
      <c r="X977" s="62"/>
      <c r="Y977" s="62"/>
      <c r="Z977" s="66"/>
      <c r="AA977" s="62"/>
      <c r="AB977" s="69"/>
      <c r="AC977" s="94"/>
      <c r="AD977" s="94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9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62"/>
      <c r="P978" s="69"/>
      <c r="Q978" s="94"/>
      <c r="R978" s="94"/>
      <c r="S978" s="60"/>
      <c r="T978" s="62"/>
      <c r="U978" s="62"/>
      <c r="V978" s="62"/>
      <c r="W978" s="61"/>
      <c r="X978" s="62"/>
      <c r="Y978" s="62"/>
      <c r="Z978" s="66"/>
      <c r="AA978" s="94"/>
      <c r="AB978" s="69"/>
      <c r="AC978" s="94"/>
      <c r="AD978" s="94"/>
      <c r="AE978" s="60"/>
      <c r="AF978" s="62"/>
      <c r="AG978" s="62"/>
      <c r="AH978" s="62"/>
      <c r="AI978" s="61"/>
      <c r="AJ978" s="62"/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9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94"/>
      <c r="P979" s="69"/>
      <c r="Q979" s="94"/>
      <c r="R979" s="94"/>
      <c r="S979" s="60"/>
      <c r="T979" s="62"/>
      <c r="U979" s="62"/>
      <c r="V979" s="62"/>
      <c r="W979" s="61"/>
      <c r="X979" s="62"/>
      <c r="Y979" s="62"/>
      <c r="Z979" s="66"/>
      <c r="AA979" s="94"/>
      <c r="AB979" s="69"/>
      <c r="AC979" s="94"/>
      <c r="AD979" s="94"/>
      <c r="AE979" s="60"/>
      <c r="AF979" s="62"/>
      <c r="AG979" s="62"/>
      <c r="AH979" s="62"/>
      <c r="AI979" s="61"/>
      <c r="AJ979" s="62"/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9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94"/>
      <c r="P980" s="69"/>
      <c r="Q980" s="94"/>
      <c r="R980" s="94"/>
      <c r="S980" s="60"/>
      <c r="T980" s="62"/>
      <c r="U980" s="62"/>
      <c r="V980" s="62"/>
      <c r="W980" s="61"/>
      <c r="X980" s="62"/>
      <c r="Y980" s="62"/>
      <c r="Z980" s="66"/>
      <c r="AA980" s="62"/>
      <c r="AB980" s="69"/>
      <c r="AC980" s="94"/>
      <c r="AD980" s="94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9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94"/>
      <c r="P981" s="69"/>
      <c r="Q981" s="94"/>
      <c r="R981" s="94"/>
      <c r="S981" s="60"/>
      <c r="T981" s="62"/>
      <c r="U981" s="62"/>
      <c r="V981" s="62"/>
      <c r="W981" s="61"/>
      <c r="X981" s="62"/>
      <c r="Y981" s="62"/>
      <c r="Z981" s="66"/>
      <c r="AA981" s="94"/>
      <c r="AB981" s="69"/>
      <c r="AC981" s="94"/>
      <c r="AD981" s="94"/>
      <c r="AE981" s="60"/>
      <c r="AF981" s="62"/>
      <c r="AG981" s="62"/>
      <c r="AH981" s="62"/>
      <c r="AI981" s="61"/>
      <c r="AJ981" s="62"/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9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94"/>
      <c r="P982" s="69"/>
      <c r="Q982" s="94"/>
      <c r="R982" s="94"/>
      <c r="S982" s="60"/>
      <c r="T982" s="62"/>
      <c r="U982" s="62"/>
      <c r="V982" s="62"/>
      <c r="W982" s="61"/>
      <c r="X982" s="62"/>
      <c r="Y982" s="62"/>
      <c r="Z982" s="66"/>
      <c r="AA982" s="94"/>
      <c r="AB982" s="69"/>
      <c r="AC982" s="94"/>
      <c r="AD982" s="94"/>
      <c r="AE982" s="60"/>
      <c r="AF982" s="62"/>
      <c r="AG982" s="62"/>
      <c r="AH982" s="62"/>
      <c r="AI982" s="61"/>
      <c r="AJ982" s="62"/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94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94"/>
      <c r="R983" s="94"/>
      <c r="S983" s="60"/>
      <c r="T983" s="62"/>
      <c r="U983" s="62"/>
      <c r="V983" s="62"/>
      <c r="W983" s="61"/>
      <c r="X983" s="62"/>
      <c r="Y983" s="62"/>
      <c r="Z983" s="66"/>
      <c r="AA983" s="94"/>
      <c r="AB983" s="69"/>
      <c r="AC983" s="94"/>
      <c r="AD983" s="94"/>
      <c r="AE983" s="60"/>
      <c r="AF983" s="62"/>
      <c r="AG983" s="62"/>
      <c r="AH983" s="62"/>
      <c r="AI983" s="61"/>
      <c r="AJ983" s="62"/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94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94"/>
      <c r="P984" s="69"/>
      <c r="Q984" s="94"/>
      <c r="R984" s="94"/>
      <c r="S984" s="60"/>
      <c r="T984" s="62"/>
      <c r="U984" s="62"/>
      <c r="V984" s="62"/>
      <c r="W984" s="61"/>
      <c r="X984" s="62"/>
      <c r="Y984" s="62"/>
      <c r="Z984" s="66"/>
      <c r="AA984" s="94"/>
      <c r="AB984" s="69"/>
      <c r="AC984" s="94"/>
      <c r="AD984" s="94"/>
      <c r="AE984" s="60"/>
      <c r="AF984" s="62"/>
      <c r="AG984" s="62"/>
      <c r="AH984" s="62"/>
      <c r="AI984" s="61"/>
      <c r="AJ984" s="62"/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94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94"/>
      <c r="P985" s="69"/>
      <c r="Q985" s="94"/>
      <c r="R985" s="94"/>
      <c r="S985" s="60"/>
      <c r="T985" s="62"/>
      <c r="U985" s="62"/>
      <c r="V985" s="62"/>
      <c r="W985" s="61"/>
      <c r="X985" s="62"/>
      <c r="Y985" s="62"/>
      <c r="Z985" s="66"/>
      <c r="AA985" s="94"/>
      <c r="AB985" s="69"/>
      <c r="AC985" s="94"/>
      <c r="AD985" s="94"/>
      <c r="AE985" s="60"/>
      <c r="AF985" s="62"/>
      <c r="AG985" s="62"/>
      <c r="AH985" s="62"/>
      <c r="AI985" s="61"/>
      <c r="AJ985" s="62"/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94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94"/>
      <c r="R986" s="94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94"/>
      <c r="AD986" s="94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94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94"/>
      <c r="P987" s="69"/>
      <c r="Q987" s="94"/>
      <c r="R987" s="94"/>
      <c r="S987" s="60"/>
      <c r="T987" s="62"/>
      <c r="U987" s="62"/>
      <c r="V987" s="62"/>
      <c r="W987" s="61"/>
      <c r="X987" s="62"/>
      <c r="Y987" s="62"/>
      <c r="Z987" s="66"/>
      <c r="AA987" s="94"/>
      <c r="AB987" s="69"/>
      <c r="AC987" s="94"/>
      <c r="AD987" s="94"/>
      <c r="AE987" s="60"/>
      <c r="AF987" s="62"/>
      <c r="AG987" s="62"/>
      <c r="AH987" s="62"/>
      <c r="AI987" s="61"/>
      <c r="AJ987" s="62"/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94"/>
      <c r="O988" s="94"/>
      <c r="P988" s="94"/>
      <c r="Q988" s="94"/>
      <c r="R988" s="94"/>
      <c r="S988" s="94"/>
      <c r="T988" s="62"/>
      <c r="U988" s="62"/>
      <c r="V988" s="62"/>
      <c r="W988" s="61"/>
      <c r="X988" s="62"/>
      <c r="Y988" s="62"/>
      <c r="Z988" s="94"/>
      <c r="AA988" s="94"/>
      <c r="AB988" s="94"/>
      <c r="AC988" s="94"/>
      <c r="AD988" s="94"/>
      <c r="AE988" s="94"/>
      <c r="AF988" s="62"/>
      <c r="AG988" s="62"/>
      <c r="AH988" s="62"/>
      <c r="AI988" s="61"/>
      <c r="AJ988" s="62"/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94"/>
      <c r="C989" s="94"/>
      <c r="D989" s="94"/>
      <c r="E989" s="94"/>
      <c r="F989" s="94"/>
      <c r="G989" s="94"/>
      <c r="H989" s="62"/>
      <c r="I989" s="62"/>
      <c r="J989" s="62"/>
      <c r="K989" s="62"/>
      <c r="L989" s="62"/>
      <c r="M989" s="62"/>
      <c r="N989" s="94"/>
      <c r="O989" s="94"/>
      <c r="P989" s="94"/>
      <c r="Q989" s="94"/>
      <c r="R989" s="94"/>
      <c r="S989" s="94"/>
      <c r="T989" s="62"/>
      <c r="U989" s="62"/>
      <c r="V989" s="62"/>
      <c r="W989" s="62"/>
      <c r="X989" s="62"/>
      <c r="Y989" s="62"/>
      <c r="Z989" s="94"/>
      <c r="AA989" s="94"/>
      <c r="AB989" s="94"/>
      <c r="AC989" s="94"/>
      <c r="AD989" s="94"/>
      <c r="AE989" s="94"/>
      <c r="AF989" s="62"/>
      <c r="AG989" s="62"/>
      <c r="AH989" s="62"/>
      <c r="AI989" s="62"/>
      <c r="AJ989" s="62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94"/>
      <c r="C990" s="94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94"/>
      <c r="O990" s="94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94"/>
      <c r="AA990" s="94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94"/>
      <c r="C992" s="94"/>
      <c r="D992" s="94"/>
      <c r="E992" s="94"/>
      <c r="F992" s="94"/>
      <c r="G992" s="94"/>
      <c r="H992" s="62"/>
      <c r="I992" s="62"/>
      <c r="J992" s="62"/>
      <c r="K992" s="62"/>
      <c r="L992" s="62"/>
      <c r="M992" s="62"/>
      <c r="N992" s="94"/>
      <c r="O992" s="94"/>
      <c r="P992" s="94"/>
      <c r="Q992" s="94"/>
      <c r="R992" s="94"/>
      <c r="S992" s="94"/>
      <c r="T992" s="62"/>
      <c r="U992" s="62"/>
      <c r="V992" s="62"/>
      <c r="W992" s="62"/>
      <c r="X992" s="62"/>
      <c r="Y992" s="62"/>
      <c r="Z992" s="94"/>
      <c r="AA992" s="94"/>
      <c r="AB992" s="94"/>
      <c r="AC992" s="94"/>
      <c r="AD992" s="94"/>
      <c r="AE992" s="94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94"/>
      <c r="C993" s="94"/>
      <c r="D993" s="94"/>
      <c r="E993" s="94"/>
      <c r="F993" s="94"/>
      <c r="G993" s="94"/>
      <c r="H993" s="62"/>
      <c r="I993" s="62"/>
      <c r="J993" s="62"/>
      <c r="K993" s="62"/>
      <c r="L993" s="62"/>
      <c r="M993" s="62"/>
      <c r="N993" s="94"/>
      <c r="O993" s="94"/>
      <c r="P993" s="94"/>
      <c r="Q993" s="94"/>
      <c r="R993" s="94"/>
      <c r="S993" s="94"/>
      <c r="T993" s="62"/>
      <c r="U993" s="62"/>
      <c r="V993" s="62"/>
      <c r="W993" s="62"/>
      <c r="X993" s="62"/>
      <c r="Y993" s="62"/>
      <c r="Z993" s="94"/>
      <c r="AA993" s="94"/>
      <c r="AB993" s="94"/>
      <c r="AC993" s="94"/>
      <c r="AD993" s="94"/>
      <c r="AE993" s="94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94"/>
      <c r="C994" s="94"/>
      <c r="D994" s="94"/>
      <c r="E994" s="94"/>
      <c r="F994" s="94"/>
      <c r="G994" s="94"/>
      <c r="H994" s="62"/>
      <c r="I994" s="62"/>
      <c r="J994" s="62"/>
      <c r="K994" s="62"/>
      <c r="L994" s="62"/>
      <c r="M994" s="62"/>
      <c r="N994" s="94"/>
      <c r="O994" s="94"/>
      <c r="P994" s="94"/>
      <c r="Q994" s="94"/>
      <c r="R994" s="94"/>
      <c r="S994" s="94"/>
      <c r="T994" s="62"/>
      <c r="U994" s="62"/>
      <c r="V994" s="62"/>
      <c r="W994" s="62"/>
      <c r="X994" s="62"/>
      <c r="Y994" s="62"/>
      <c r="Z994" s="94"/>
      <c r="AA994" s="94"/>
      <c r="AB994" s="94"/>
      <c r="AC994" s="94"/>
      <c r="AD994" s="94"/>
      <c r="AE994" s="94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94"/>
      <c r="C995" s="94"/>
      <c r="D995" s="94"/>
      <c r="E995" s="94"/>
      <c r="F995" s="94"/>
      <c r="G995" s="94"/>
      <c r="H995" s="62"/>
      <c r="I995" s="62"/>
      <c r="J995" s="62"/>
      <c r="K995" s="62"/>
      <c r="L995" s="62"/>
      <c r="M995" s="63"/>
      <c r="N995" s="94"/>
      <c r="O995" s="94"/>
      <c r="P995" s="94"/>
      <c r="Q995" s="94"/>
      <c r="R995" s="94"/>
      <c r="S995" s="94"/>
      <c r="T995" s="62"/>
      <c r="U995" s="62"/>
      <c r="V995" s="62"/>
      <c r="W995" s="62"/>
      <c r="X995" s="62"/>
      <c r="Y995" s="63"/>
      <c r="Z995" s="94"/>
      <c r="AA995" s="94"/>
      <c r="AB995" s="94"/>
      <c r="AC995" s="94"/>
      <c r="AD995" s="94"/>
      <c r="AE995" s="94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94"/>
      <c r="C996" s="94"/>
      <c r="D996" s="94"/>
      <c r="E996" s="94"/>
      <c r="F996" s="94"/>
      <c r="G996" s="94"/>
      <c r="H996" s="62"/>
      <c r="I996" s="62"/>
      <c r="J996" s="62"/>
      <c r="K996" s="62"/>
      <c r="L996" s="62"/>
      <c r="M996" s="62"/>
      <c r="N996" s="94"/>
      <c r="O996" s="94"/>
      <c r="P996" s="94"/>
      <c r="Q996" s="94"/>
      <c r="R996" s="94"/>
      <c r="S996" s="94"/>
      <c r="T996" s="62"/>
      <c r="U996" s="62"/>
      <c r="V996" s="62"/>
      <c r="W996" s="62"/>
      <c r="X996" s="62"/>
      <c r="Y996" s="62"/>
      <c r="Z996" s="94"/>
      <c r="AA996" s="94"/>
      <c r="AB996" s="94"/>
      <c r="AC996" s="94"/>
      <c r="AD996" s="94"/>
      <c r="AE996" s="94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94"/>
      <c r="C997" s="94"/>
      <c r="D997" s="94"/>
      <c r="E997" s="94"/>
      <c r="F997" s="94"/>
      <c r="G997" s="94"/>
      <c r="H997" s="62"/>
      <c r="I997" s="94"/>
      <c r="J997" s="74"/>
      <c r="K997" s="62"/>
      <c r="L997" s="62"/>
      <c r="M997" s="62"/>
      <c r="N997" s="94"/>
      <c r="O997" s="94"/>
      <c r="P997" s="94"/>
      <c r="Q997" s="94"/>
      <c r="R997" s="94"/>
      <c r="S997" s="94"/>
      <c r="T997" s="62"/>
      <c r="U997" s="94"/>
      <c r="V997" s="74"/>
      <c r="W997" s="62"/>
      <c r="X997" s="62"/>
      <c r="Y997" s="62"/>
      <c r="Z997" s="94"/>
      <c r="AA997" s="94"/>
      <c r="AB997" s="94"/>
      <c r="AC997" s="94"/>
      <c r="AD997" s="94"/>
      <c r="AE997" s="94"/>
      <c r="AF997" s="62"/>
      <c r="AG997" s="94"/>
      <c r="AH997" s="94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94"/>
      <c r="C998" s="94"/>
      <c r="D998" s="94"/>
      <c r="E998" s="94"/>
      <c r="F998" s="94"/>
      <c r="G998" s="94"/>
      <c r="H998" s="62"/>
      <c r="I998" s="65"/>
      <c r="J998" s="65"/>
      <c r="K998" s="62"/>
      <c r="L998" s="62"/>
      <c r="M998" s="64"/>
      <c r="N998" s="94"/>
      <c r="O998" s="94"/>
      <c r="P998" s="94"/>
      <c r="Q998" s="94"/>
      <c r="R998" s="94"/>
      <c r="S998" s="94"/>
      <c r="T998" s="62"/>
      <c r="U998" s="65"/>
      <c r="V998" s="65"/>
      <c r="W998" s="62"/>
      <c r="X998" s="62"/>
      <c r="Y998" s="64"/>
      <c r="Z998" s="94"/>
      <c r="AA998" s="94"/>
      <c r="AB998" s="94"/>
      <c r="AC998" s="94"/>
      <c r="AD998" s="94"/>
      <c r="AE998" s="94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94"/>
      <c r="C999" s="94"/>
      <c r="D999" s="94"/>
      <c r="E999" s="94"/>
      <c r="F999" s="94"/>
      <c r="G999" s="94"/>
      <c r="H999" s="62"/>
      <c r="I999" s="62"/>
      <c r="J999" s="62"/>
      <c r="K999" s="62"/>
      <c r="L999" s="62"/>
      <c r="M999" s="62"/>
      <c r="N999" s="94"/>
      <c r="O999" s="94"/>
      <c r="P999" s="94"/>
      <c r="Q999" s="94"/>
      <c r="R999" s="94"/>
      <c r="S999" s="94"/>
      <c r="T999" s="62"/>
      <c r="U999" s="62"/>
      <c r="V999" s="62"/>
      <c r="W999" s="62"/>
      <c r="X999" s="62"/>
      <c r="Y999" s="62"/>
      <c r="Z999" s="94"/>
      <c r="AA999" s="94"/>
      <c r="AB999" s="94"/>
      <c r="AC999" s="94"/>
      <c r="AD999" s="94"/>
      <c r="AE999" s="94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94"/>
      <c r="D1000" s="106"/>
      <c r="E1000" s="106"/>
      <c r="F1000" s="94"/>
      <c r="G1000" s="94"/>
      <c r="H1000" s="62"/>
      <c r="I1000" s="106"/>
      <c r="J1000" s="106"/>
      <c r="K1000" s="105"/>
      <c r="L1000" s="62"/>
      <c r="M1000" s="62"/>
      <c r="N1000" s="65"/>
      <c r="O1000" s="94"/>
      <c r="P1000" s="106"/>
      <c r="Q1000" s="106"/>
      <c r="R1000" s="94"/>
      <c r="S1000" s="94"/>
      <c r="T1000" s="62"/>
      <c r="U1000" s="106"/>
      <c r="V1000" s="106"/>
      <c r="W1000" s="105"/>
      <c r="X1000" s="62"/>
      <c r="Y1000" s="62"/>
      <c r="Z1000" s="65"/>
      <c r="AA1000" s="94"/>
      <c r="AB1000" s="106"/>
      <c r="AC1000" s="106"/>
      <c r="AD1000" s="94"/>
      <c r="AE1000" s="94"/>
      <c r="AF1000" s="62"/>
      <c r="AG1000" s="106"/>
      <c r="AH1000" s="106"/>
      <c r="AI1000" s="105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94"/>
      <c r="C1001" s="94"/>
      <c r="D1001" s="81"/>
      <c r="E1001" s="82"/>
      <c r="F1001" s="83"/>
      <c r="G1001" s="83"/>
      <c r="H1001" s="62"/>
      <c r="I1001" s="93"/>
      <c r="J1001" s="93"/>
      <c r="K1001" s="105"/>
      <c r="L1001" s="62"/>
      <c r="M1001" s="62"/>
      <c r="N1001" s="94"/>
      <c r="O1001" s="94"/>
      <c r="P1001" s="81"/>
      <c r="Q1001" s="83"/>
      <c r="R1001" s="83"/>
      <c r="S1001" s="83"/>
      <c r="T1001" s="62"/>
      <c r="U1001" s="93"/>
      <c r="V1001" s="93"/>
      <c r="W1001" s="105"/>
      <c r="X1001" s="62"/>
      <c r="Y1001" s="62"/>
      <c r="Z1001" s="94"/>
      <c r="AA1001" s="94"/>
      <c r="AB1001" s="81"/>
      <c r="AC1001" s="83"/>
      <c r="AD1001" s="83"/>
      <c r="AE1001" s="83"/>
      <c r="AF1001" s="62"/>
      <c r="AG1001" s="93"/>
      <c r="AH1001" s="93"/>
      <c r="AI1001" s="105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92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94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94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92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94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94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92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94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94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92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94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92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94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94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65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94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94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92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94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94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92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65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94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92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62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94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92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94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94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92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94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94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94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94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92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94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94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92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94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94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92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94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94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92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94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92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94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94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92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94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94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92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94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94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92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94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94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94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94"/>
      <c r="R1022" s="94"/>
      <c r="S1022" s="60"/>
      <c r="T1022" s="62"/>
      <c r="U1022" s="62"/>
      <c r="V1022" s="62"/>
      <c r="W1022" s="61"/>
      <c r="X1022" s="62"/>
      <c r="Y1022" s="62"/>
      <c r="Z1022" s="66"/>
      <c r="AA1022" s="94"/>
      <c r="AB1022" s="67"/>
      <c r="AC1022" s="94"/>
      <c r="AD1022" s="94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92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94"/>
      <c r="P1023" s="68"/>
      <c r="Q1023" s="94"/>
      <c r="R1023" s="94"/>
      <c r="S1023" s="60"/>
      <c r="T1023" s="62"/>
      <c r="U1023" s="62"/>
      <c r="V1023" s="62"/>
      <c r="W1023" s="61"/>
      <c r="X1023" s="62"/>
      <c r="Y1023" s="62"/>
      <c r="Z1023" s="66"/>
      <c r="AA1023" s="94"/>
      <c r="AB1023" s="68"/>
      <c r="AC1023" s="94"/>
      <c r="AD1023" s="94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92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94"/>
      <c r="P1024" s="69"/>
      <c r="Q1024" s="62"/>
      <c r="R1024" s="62"/>
      <c r="S1024" s="60"/>
      <c r="T1024" s="62"/>
      <c r="U1024" s="62"/>
      <c r="V1024" s="62"/>
      <c r="W1024" s="61"/>
      <c r="X1024" s="62"/>
      <c r="Y1024" s="62"/>
      <c r="Z1024" s="66"/>
      <c r="AA1024" s="94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94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94"/>
      <c r="P1025" s="69"/>
      <c r="Q1025" s="94"/>
      <c r="R1025" s="94"/>
      <c r="S1025" s="60"/>
      <c r="T1025" s="62"/>
      <c r="U1025" s="62"/>
      <c r="V1025" s="62"/>
      <c r="W1025" s="61"/>
      <c r="X1025" s="62"/>
      <c r="Y1025" s="62"/>
      <c r="Z1025" s="66"/>
      <c r="AA1025" s="94"/>
      <c r="AB1025" s="69"/>
      <c r="AC1025" s="94"/>
      <c r="AD1025" s="94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94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62"/>
      <c r="P1026" s="69"/>
      <c r="Q1026" s="94"/>
      <c r="R1026" s="94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94"/>
      <c r="AD1026" s="94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65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62"/>
      <c r="P1027" s="69"/>
      <c r="Q1027" s="94"/>
      <c r="R1027" s="94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94"/>
      <c r="AD1027" s="94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94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94"/>
      <c r="P1028" s="69"/>
      <c r="Q1028" s="94"/>
      <c r="R1028" s="94"/>
      <c r="S1028" s="60"/>
      <c r="T1028" s="62"/>
      <c r="U1028" s="62"/>
      <c r="V1028" s="62"/>
      <c r="W1028" s="61"/>
      <c r="X1028" s="62"/>
      <c r="Y1028" s="62"/>
      <c r="Z1028" s="66"/>
      <c r="AA1028" s="94"/>
      <c r="AB1028" s="69"/>
      <c r="AC1028" s="94"/>
      <c r="AD1028" s="94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94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94"/>
      <c r="P1029" s="69"/>
      <c r="Q1029" s="94"/>
      <c r="R1029" s="94"/>
      <c r="S1029" s="60"/>
      <c r="T1029" s="62"/>
      <c r="U1029" s="62"/>
      <c r="V1029" s="62"/>
      <c r="W1029" s="61"/>
      <c r="X1029" s="62"/>
      <c r="Y1029" s="62"/>
      <c r="Z1029" s="66"/>
      <c r="AA1029" s="94"/>
      <c r="AB1029" s="69"/>
      <c r="AC1029" s="94"/>
      <c r="AD1029" s="94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9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62"/>
      <c r="P1030" s="69"/>
      <c r="Q1030" s="94"/>
      <c r="R1030" s="94"/>
      <c r="S1030" s="60"/>
      <c r="T1030" s="62"/>
      <c r="U1030" s="62"/>
      <c r="V1030" s="62"/>
      <c r="W1030" s="61"/>
      <c r="X1030" s="62"/>
      <c r="Y1030" s="62"/>
      <c r="Z1030" s="66"/>
      <c r="AA1030" s="94"/>
      <c r="AB1030" s="69"/>
      <c r="AC1030" s="94"/>
      <c r="AD1030" s="94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94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94"/>
      <c r="R1031" s="94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94"/>
      <c r="AD1031" s="94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9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94"/>
      <c r="P1032" s="69"/>
      <c r="Q1032" s="94"/>
      <c r="R1032" s="94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94"/>
      <c r="AD1032" s="94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9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62"/>
      <c r="P1033" s="69"/>
      <c r="Q1033" s="94"/>
      <c r="R1033" s="94"/>
      <c r="S1033" s="60"/>
      <c r="T1033" s="62"/>
      <c r="U1033" s="62"/>
      <c r="V1033" s="62"/>
      <c r="W1033" s="61"/>
      <c r="X1033" s="62"/>
      <c r="Y1033" s="62"/>
      <c r="Z1033" s="66"/>
      <c r="AA1033" s="94"/>
      <c r="AB1033" s="69"/>
      <c r="AC1033" s="94"/>
      <c r="AD1033" s="94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9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94"/>
      <c r="P1034" s="69"/>
      <c r="Q1034" s="94"/>
      <c r="R1034" s="94"/>
      <c r="S1034" s="60"/>
      <c r="T1034" s="62"/>
      <c r="U1034" s="62"/>
      <c r="V1034" s="62"/>
      <c r="W1034" s="61"/>
      <c r="X1034" s="62"/>
      <c r="Y1034" s="62"/>
      <c r="Z1034" s="66"/>
      <c r="AA1034" s="94"/>
      <c r="AB1034" s="69"/>
      <c r="AC1034" s="94"/>
      <c r="AD1034" s="94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9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94"/>
      <c r="P1035" s="69"/>
      <c r="Q1035" s="94"/>
      <c r="R1035" s="94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94"/>
      <c r="AD1035" s="94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9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94"/>
      <c r="P1036" s="69"/>
      <c r="Q1036" s="94"/>
      <c r="R1036" s="94"/>
      <c r="S1036" s="60"/>
      <c r="T1036" s="62"/>
      <c r="U1036" s="62"/>
      <c r="V1036" s="62"/>
      <c r="W1036" s="61"/>
      <c r="X1036" s="62"/>
      <c r="Y1036" s="62"/>
      <c r="Z1036" s="66"/>
      <c r="AA1036" s="94"/>
      <c r="AB1036" s="69"/>
      <c r="AC1036" s="94"/>
      <c r="AD1036" s="94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9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94"/>
      <c r="P1037" s="69"/>
      <c r="Q1037" s="94"/>
      <c r="R1037" s="94"/>
      <c r="S1037" s="60"/>
      <c r="T1037" s="62"/>
      <c r="U1037" s="62"/>
      <c r="V1037" s="62"/>
      <c r="W1037" s="61"/>
      <c r="X1037" s="62"/>
      <c r="Y1037" s="62"/>
      <c r="Z1037" s="66"/>
      <c r="AA1037" s="94"/>
      <c r="AB1037" s="69"/>
      <c r="AC1037" s="94"/>
      <c r="AD1037" s="94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94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94"/>
      <c r="R1038" s="94"/>
      <c r="S1038" s="60"/>
      <c r="T1038" s="62"/>
      <c r="U1038" s="62"/>
      <c r="V1038" s="62"/>
      <c r="W1038" s="61"/>
      <c r="X1038" s="62"/>
      <c r="Y1038" s="62"/>
      <c r="Z1038" s="66"/>
      <c r="AA1038" s="94"/>
      <c r="AB1038" s="69"/>
      <c r="AC1038" s="94"/>
      <c r="AD1038" s="94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94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94"/>
      <c r="P1039" s="69"/>
      <c r="Q1039" s="94"/>
      <c r="R1039" s="94"/>
      <c r="S1039" s="60"/>
      <c r="T1039" s="62"/>
      <c r="U1039" s="62"/>
      <c r="V1039" s="62"/>
      <c r="W1039" s="61"/>
      <c r="X1039" s="62"/>
      <c r="Y1039" s="62"/>
      <c r="Z1039" s="66"/>
      <c r="AA1039" s="94"/>
      <c r="AB1039" s="69"/>
      <c r="AC1039" s="94"/>
      <c r="AD1039" s="94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94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94"/>
      <c r="P1040" s="69"/>
      <c r="Q1040" s="94"/>
      <c r="R1040" s="94"/>
      <c r="S1040" s="60"/>
      <c r="T1040" s="62"/>
      <c r="U1040" s="62"/>
      <c r="V1040" s="62"/>
      <c r="W1040" s="61"/>
      <c r="X1040" s="62"/>
      <c r="Y1040" s="62"/>
      <c r="Z1040" s="66"/>
      <c r="AA1040" s="94"/>
      <c r="AB1040" s="69"/>
      <c r="AC1040" s="94"/>
      <c r="AD1040" s="94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94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94"/>
      <c r="R1041" s="94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94"/>
      <c r="AD1041" s="94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94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94"/>
      <c r="P1042" s="69"/>
      <c r="Q1042" s="94"/>
      <c r="R1042" s="94"/>
      <c r="S1042" s="60"/>
      <c r="T1042" s="62"/>
      <c r="U1042" s="62"/>
      <c r="V1042" s="62"/>
      <c r="W1042" s="61"/>
      <c r="X1042" s="62"/>
      <c r="Y1042" s="62"/>
      <c r="Z1042" s="66"/>
      <c r="AA1042" s="94"/>
      <c r="AB1042" s="69"/>
      <c r="AC1042" s="94"/>
      <c r="AD1042" s="94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94"/>
      <c r="O1043" s="94"/>
      <c r="P1043" s="94"/>
      <c r="Q1043" s="94"/>
      <c r="R1043" s="94"/>
      <c r="S1043" s="94"/>
      <c r="T1043" s="62"/>
      <c r="U1043" s="62"/>
      <c r="V1043" s="62"/>
      <c r="W1043" s="61"/>
      <c r="X1043" s="62"/>
      <c r="Y1043" s="62"/>
      <c r="Z1043" s="94"/>
      <c r="AA1043" s="94"/>
      <c r="AB1043" s="94"/>
      <c r="AC1043" s="94"/>
      <c r="AD1043" s="94"/>
      <c r="AE1043" s="94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94"/>
      <c r="C1044" s="94"/>
      <c r="D1044" s="94"/>
      <c r="E1044" s="94"/>
      <c r="F1044" s="94"/>
      <c r="G1044" s="94"/>
      <c r="H1044" s="62"/>
      <c r="I1044" s="62"/>
      <c r="J1044" s="62"/>
      <c r="K1044" s="62"/>
      <c r="L1044" s="62"/>
      <c r="M1044" s="62"/>
      <c r="N1044" s="94"/>
      <c r="O1044" s="94"/>
      <c r="P1044" s="94"/>
      <c r="Q1044" s="94"/>
      <c r="R1044" s="94"/>
      <c r="S1044" s="94"/>
      <c r="T1044" s="62"/>
      <c r="U1044" s="62"/>
      <c r="V1044" s="62"/>
      <c r="W1044" s="62"/>
      <c r="X1044" s="62"/>
      <c r="Y1044" s="62"/>
      <c r="Z1044" s="94"/>
      <c r="AA1044" s="94"/>
      <c r="AB1044" s="94"/>
      <c r="AC1044" s="94"/>
      <c r="AD1044" s="94"/>
      <c r="AE1044" s="94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94"/>
      <c r="C1045" s="94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94"/>
      <c r="O1045" s="94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94"/>
      <c r="AA1045" s="94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94"/>
      <c r="C1047" s="94"/>
      <c r="D1047" s="94"/>
      <c r="E1047" s="94"/>
      <c r="F1047" s="94"/>
      <c r="G1047" s="94"/>
      <c r="H1047" s="62"/>
      <c r="I1047" s="62"/>
      <c r="J1047" s="62"/>
      <c r="K1047" s="62"/>
      <c r="L1047" s="62"/>
      <c r="M1047" s="62"/>
      <c r="N1047" s="94"/>
      <c r="O1047" s="94"/>
      <c r="P1047" s="94"/>
      <c r="Q1047" s="94"/>
      <c r="R1047" s="94"/>
      <c r="S1047" s="94"/>
      <c r="T1047" s="62"/>
      <c r="U1047" s="62"/>
      <c r="V1047" s="62"/>
      <c r="W1047" s="62"/>
      <c r="X1047" s="62"/>
      <c r="Y1047" s="62"/>
      <c r="Z1047" s="94"/>
      <c r="AA1047" s="94"/>
      <c r="AB1047" s="94"/>
      <c r="AC1047" s="94"/>
      <c r="AD1047" s="94"/>
      <c r="AE1047" s="94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94"/>
      <c r="C1048" s="94"/>
      <c r="D1048" s="94"/>
      <c r="E1048" s="94"/>
      <c r="F1048" s="94"/>
      <c r="G1048" s="94"/>
      <c r="H1048" s="62"/>
      <c r="I1048" s="62"/>
      <c r="J1048" s="62"/>
      <c r="K1048" s="62"/>
      <c r="L1048" s="62"/>
      <c r="M1048" s="62"/>
      <c r="N1048" s="94"/>
      <c r="O1048" s="94"/>
      <c r="P1048" s="94"/>
      <c r="Q1048" s="94"/>
      <c r="R1048" s="94"/>
      <c r="S1048" s="94"/>
      <c r="T1048" s="62"/>
      <c r="U1048" s="62"/>
      <c r="V1048" s="62"/>
      <c r="W1048" s="62"/>
      <c r="X1048" s="62"/>
      <c r="Y1048" s="62"/>
      <c r="Z1048" s="94"/>
      <c r="AA1048" s="94"/>
      <c r="AB1048" s="94"/>
      <c r="AC1048" s="94"/>
      <c r="AD1048" s="94"/>
      <c r="AE1048" s="94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94"/>
      <c r="C1049" s="94"/>
      <c r="D1049" s="94"/>
      <c r="E1049" s="94"/>
      <c r="F1049" s="94"/>
      <c r="G1049" s="94"/>
      <c r="H1049" s="62"/>
      <c r="I1049" s="62"/>
      <c r="J1049" s="62"/>
      <c r="K1049" s="62"/>
      <c r="L1049" s="62"/>
      <c r="M1049" s="62"/>
      <c r="N1049" s="94"/>
      <c r="O1049" s="94"/>
      <c r="P1049" s="94"/>
      <c r="Q1049" s="94"/>
      <c r="R1049" s="94"/>
      <c r="S1049" s="94"/>
      <c r="T1049" s="62"/>
      <c r="U1049" s="62"/>
      <c r="V1049" s="62"/>
      <c r="W1049" s="62"/>
      <c r="X1049" s="62"/>
      <c r="Y1049" s="62"/>
      <c r="Z1049" s="94"/>
      <c r="AA1049" s="94"/>
      <c r="AB1049" s="94"/>
      <c r="AC1049" s="94"/>
      <c r="AD1049" s="94"/>
      <c r="AE1049" s="94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94"/>
      <c r="C1050" s="94"/>
      <c r="D1050" s="94"/>
      <c r="E1050" s="94"/>
      <c r="F1050" s="94"/>
      <c r="G1050" s="94"/>
      <c r="H1050" s="62"/>
      <c r="I1050" s="62"/>
      <c r="J1050" s="62"/>
      <c r="K1050" s="62"/>
      <c r="L1050" s="62"/>
      <c r="M1050" s="63"/>
      <c r="N1050" s="94"/>
      <c r="O1050" s="94"/>
      <c r="P1050" s="94"/>
      <c r="Q1050" s="94"/>
      <c r="R1050" s="94"/>
      <c r="S1050" s="94"/>
      <c r="T1050" s="62"/>
      <c r="U1050" s="62"/>
      <c r="V1050" s="62"/>
      <c r="W1050" s="62"/>
      <c r="X1050" s="62"/>
      <c r="Y1050" s="63"/>
      <c r="Z1050" s="94"/>
      <c r="AA1050" s="94"/>
      <c r="AB1050" s="94"/>
      <c r="AC1050" s="94"/>
      <c r="AD1050" s="94"/>
      <c r="AE1050" s="94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94"/>
      <c r="C1051" s="94"/>
      <c r="D1051" s="94"/>
      <c r="E1051" s="94"/>
      <c r="F1051" s="94"/>
      <c r="G1051" s="94"/>
      <c r="H1051" s="62"/>
      <c r="I1051" s="62"/>
      <c r="J1051" s="62"/>
      <c r="K1051" s="62"/>
      <c r="L1051" s="62"/>
      <c r="M1051" s="62"/>
      <c r="N1051" s="94"/>
      <c r="O1051" s="94"/>
      <c r="P1051" s="94"/>
      <c r="Q1051" s="94"/>
      <c r="R1051" s="94"/>
      <c r="S1051" s="94"/>
      <c r="T1051" s="62"/>
      <c r="U1051" s="62"/>
      <c r="V1051" s="62"/>
      <c r="W1051" s="62"/>
      <c r="X1051" s="62"/>
      <c r="Y1051" s="62"/>
      <c r="Z1051" s="94"/>
      <c r="AA1051" s="94"/>
      <c r="AB1051" s="94"/>
      <c r="AC1051" s="94"/>
      <c r="AD1051" s="94"/>
      <c r="AE1051" s="94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94"/>
      <c r="C1052" s="94"/>
      <c r="D1052" s="94"/>
      <c r="E1052" s="94"/>
      <c r="F1052" s="94"/>
      <c r="G1052" s="94"/>
      <c r="H1052" s="62"/>
      <c r="I1052" s="94"/>
      <c r="J1052" s="74"/>
      <c r="K1052" s="62"/>
      <c r="L1052" s="62"/>
      <c r="M1052" s="62"/>
      <c r="N1052" s="94"/>
      <c r="O1052" s="94"/>
      <c r="P1052" s="94"/>
      <c r="Q1052" s="94"/>
      <c r="R1052" s="94"/>
      <c r="S1052" s="94"/>
      <c r="T1052" s="62"/>
      <c r="U1052" s="94"/>
      <c r="V1052" s="74"/>
      <c r="W1052" s="62"/>
      <c r="X1052" s="62"/>
      <c r="Y1052" s="62"/>
      <c r="Z1052" s="94"/>
      <c r="AA1052" s="94"/>
      <c r="AB1052" s="94"/>
      <c r="AC1052" s="94"/>
      <c r="AD1052" s="94"/>
      <c r="AE1052" s="94"/>
      <c r="AF1052" s="62"/>
      <c r="AG1052" s="94"/>
      <c r="AH1052" s="94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94"/>
      <c r="C1053" s="94"/>
      <c r="D1053" s="94"/>
      <c r="E1053" s="94"/>
      <c r="F1053" s="94"/>
      <c r="G1053" s="94"/>
      <c r="H1053" s="62"/>
      <c r="I1053" s="65"/>
      <c r="J1053" s="65"/>
      <c r="K1053" s="62"/>
      <c r="L1053" s="62"/>
      <c r="M1053" s="64"/>
      <c r="N1053" s="94"/>
      <c r="O1053" s="94"/>
      <c r="P1053" s="94"/>
      <c r="Q1053" s="94"/>
      <c r="R1053" s="94"/>
      <c r="S1053" s="94"/>
      <c r="T1053" s="62"/>
      <c r="U1053" s="65"/>
      <c r="V1053" s="65"/>
      <c r="W1053" s="62"/>
      <c r="X1053" s="62"/>
      <c r="Y1053" s="64"/>
      <c r="Z1053" s="94"/>
      <c r="AA1053" s="94"/>
      <c r="AB1053" s="94"/>
      <c r="AC1053" s="94"/>
      <c r="AD1053" s="94"/>
      <c r="AE1053" s="94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94"/>
      <c r="C1054" s="94"/>
      <c r="D1054" s="94"/>
      <c r="E1054" s="94"/>
      <c r="F1054" s="94"/>
      <c r="G1054" s="94"/>
      <c r="H1054" s="62"/>
      <c r="I1054" s="62"/>
      <c r="J1054" s="62"/>
      <c r="K1054" s="62"/>
      <c r="L1054" s="62"/>
      <c r="M1054" s="62"/>
      <c r="N1054" s="94"/>
      <c r="O1054" s="94"/>
      <c r="P1054" s="94"/>
      <c r="Q1054" s="94"/>
      <c r="R1054" s="94"/>
      <c r="S1054" s="94"/>
      <c r="T1054" s="62"/>
      <c r="U1054" s="62"/>
      <c r="V1054" s="62"/>
      <c r="W1054" s="62"/>
      <c r="X1054" s="62"/>
      <c r="Y1054" s="62"/>
      <c r="Z1054" s="94"/>
      <c r="AA1054" s="94"/>
      <c r="AB1054" s="94"/>
      <c r="AC1054" s="94"/>
      <c r="AD1054" s="94"/>
      <c r="AE1054" s="94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94"/>
      <c r="D1055" s="106"/>
      <c r="E1055" s="106"/>
      <c r="F1055" s="94"/>
      <c r="G1055" s="94"/>
      <c r="H1055" s="62"/>
      <c r="I1055" s="106"/>
      <c r="J1055" s="106"/>
      <c r="K1055" s="105"/>
      <c r="L1055" s="62"/>
      <c r="M1055" s="62"/>
      <c r="N1055" s="65"/>
      <c r="O1055" s="94"/>
      <c r="P1055" s="106"/>
      <c r="Q1055" s="106"/>
      <c r="R1055" s="94"/>
      <c r="S1055" s="94"/>
      <c r="T1055" s="62"/>
      <c r="U1055" s="106"/>
      <c r="V1055" s="106"/>
      <c r="W1055" s="105"/>
      <c r="X1055" s="62"/>
      <c r="Y1055" s="62"/>
      <c r="Z1055" s="65"/>
      <c r="AA1055" s="94"/>
      <c r="AB1055" s="106"/>
      <c r="AC1055" s="106"/>
      <c r="AD1055" s="94"/>
      <c r="AE1055" s="94"/>
      <c r="AF1055" s="62"/>
      <c r="AG1055" s="106"/>
      <c r="AH1055" s="106"/>
      <c r="AI1055" s="105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94"/>
      <c r="C1056" s="94"/>
      <c r="D1056" s="81"/>
      <c r="E1056" s="82"/>
      <c r="F1056" s="83"/>
      <c r="G1056" s="83"/>
      <c r="H1056" s="62"/>
      <c r="I1056" s="93"/>
      <c r="J1056" s="93"/>
      <c r="K1056" s="105"/>
      <c r="L1056" s="62"/>
      <c r="M1056" s="62"/>
      <c r="N1056" s="94"/>
      <c r="O1056" s="94"/>
      <c r="P1056" s="81"/>
      <c r="Q1056" s="83"/>
      <c r="R1056" s="83"/>
      <c r="S1056" s="83"/>
      <c r="T1056" s="62"/>
      <c r="U1056" s="93"/>
      <c r="V1056" s="93"/>
      <c r="W1056" s="105"/>
      <c r="X1056" s="62"/>
      <c r="Y1056" s="62"/>
      <c r="Z1056" s="94"/>
      <c r="AA1056" s="94"/>
      <c r="AB1056" s="81"/>
      <c r="AC1056" s="83"/>
      <c r="AD1056" s="83"/>
      <c r="AE1056" s="83"/>
      <c r="AF1056" s="62"/>
      <c r="AG1056" s="93"/>
      <c r="AH1056" s="93"/>
      <c r="AI1056" s="105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92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94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94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92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94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94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92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94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94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92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94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94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92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94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94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65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94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65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92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94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94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92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94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62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92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94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94"/>
      <c r="AB1065" s="62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92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94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94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92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94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94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65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94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92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94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94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92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94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94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92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94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94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92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94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62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92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94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94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92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94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94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92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94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94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92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62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94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94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94"/>
      <c r="R1077" s="94"/>
      <c r="S1077" s="60"/>
      <c r="T1077" s="62"/>
      <c r="U1077" s="62"/>
      <c r="V1077" s="62"/>
      <c r="W1077" s="61"/>
      <c r="X1077" s="62"/>
      <c r="Y1077" s="62"/>
      <c r="Z1077" s="66"/>
      <c r="AA1077" s="94"/>
      <c r="AB1077" s="67"/>
      <c r="AC1077" s="94"/>
      <c r="AD1077" s="94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92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94"/>
      <c r="P1078" s="68"/>
      <c r="Q1078" s="94"/>
      <c r="R1078" s="94"/>
      <c r="S1078" s="60"/>
      <c r="T1078" s="62"/>
      <c r="U1078" s="62"/>
      <c r="V1078" s="62"/>
      <c r="W1078" s="61"/>
      <c r="X1078" s="62"/>
      <c r="Y1078" s="62"/>
      <c r="Z1078" s="66"/>
      <c r="AA1078" s="94"/>
      <c r="AB1078" s="68"/>
      <c r="AC1078" s="94"/>
      <c r="AD1078" s="94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92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94"/>
      <c r="P1079" s="69"/>
      <c r="Q1079" s="62"/>
      <c r="R1079" s="62"/>
      <c r="S1079" s="60"/>
      <c r="T1079" s="62"/>
      <c r="U1079" s="62"/>
      <c r="V1079" s="62"/>
      <c r="W1079" s="61"/>
      <c r="X1079" s="62"/>
      <c r="Y1079" s="62"/>
      <c r="Z1079" s="66"/>
      <c r="AA1079" s="94"/>
      <c r="AB1079" s="69"/>
      <c r="AC1079" s="62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94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94"/>
      <c r="P1080" s="69"/>
      <c r="Q1080" s="94"/>
      <c r="R1080" s="94"/>
      <c r="S1080" s="60"/>
      <c r="T1080" s="62"/>
      <c r="U1080" s="62"/>
      <c r="V1080" s="62"/>
      <c r="W1080" s="61"/>
      <c r="X1080" s="62"/>
      <c r="Y1080" s="62"/>
      <c r="Z1080" s="66"/>
      <c r="AA1080" s="94"/>
      <c r="AB1080" s="69"/>
      <c r="AC1080" s="94"/>
      <c r="AD1080" s="94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94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62"/>
      <c r="P1081" s="69"/>
      <c r="Q1081" s="94"/>
      <c r="R1081" s="94"/>
      <c r="S1081" s="60"/>
      <c r="T1081" s="62"/>
      <c r="U1081" s="62"/>
      <c r="V1081" s="62"/>
      <c r="W1081" s="61"/>
      <c r="X1081" s="62"/>
      <c r="Y1081" s="62"/>
      <c r="Z1081" s="66"/>
      <c r="AA1081" s="62"/>
      <c r="AB1081" s="69"/>
      <c r="AC1081" s="94"/>
      <c r="AD1081" s="94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65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62"/>
      <c r="P1082" s="69"/>
      <c r="Q1082" s="94"/>
      <c r="R1082" s="94"/>
      <c r="S1082" s="60"/>
      <c r="T1082" s="62"/>
      <c r="U1082" s="62"/>
      <c r="V1082" s="62"/>
      <c r="W1082" s="61"/>
      <c r="X1082" s="62"/>
      <c r="Y1082" s="62"/>
      <c r="Z1082" s="66"/>
      <c r="AA1082" s="62"/>
      <c r="AB1082" s="69"/>
      <c r="AC1082" s="94"/>
      <c r="AD1082" s="94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94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94"/>
      <c r="P1083" s="69"/>
      <c r="Q1083" s="94"/>
      <c r="R1083" s="94"/>
      <c r="S1083" s="60"/>
      <c r="T1083" s="62"/>
      <c r="U1083" s="62"/>
      <c r="V1083" s="62"/>
      <c r="W1083" s="61"/>
      <c r="X1083" s="62"/>
      <c r="Y1083" s="62"/>
      <c r="Z1083" s="66"/>
      <c r="AA1083" s="94"/>
      <c r="AB1083" s="69"/>
      <c r="AC1083" s="94"/>
      <c r="AD1083" s="94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94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94"/>
      <c r="P1084" s="69"/>
      <c r="Q1084" s="94"/>
      <c r="R1084" s="94"/>
      <c r="S1084" s="60"/>
      <c r="T1084" s="62"/>
      <c r="U1084" s="62"/>
      <c r="V1084" s="62"/>
      <c r="W1084" s="61"/>
      <c r="X1084" s="62"/>
      <c r="Y1084" s="62"/>
      <c r="Z1084" s="66"/>
      <c r="AA1084" s="94"/>
      <c r="AB1084" s="69"/>
      <c r="AC1084" s="94"/>
      <c r="AD1084" s="94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9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62"/>
      <c r="P1085" s="69"/>
      <c r="Q1085" s="94"/>
      <c r="R1085" s="94"/>
      <c r="S1085" s="60"/>
      <c r="T1085" s="62"/>
      <c r="U1085" s="62"/>
      <c r="V1085" s="62"/>
      <c r="W1085" s="61"/>
      <c r="X1085" s="62"/>
      <c r="Y1085" s="62"/>
      <c r="Z1085" s="66"/>
      <c r="AA1085" s="94"/>
      <c r="AB1085" s="69"/>
      <c r="AC1085" s="94"/>
      <c r="AD1085" s="94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94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94"/>
      <c r="R1086" s="94"/>
      <c r="S1086" s="60"/>
      <c r="T1086" s="62"/>
      <c r="U1086" s="62"/>
      <c r="V1086" s="62"/>
      <c r="W1086" s="61"/>
      <c r="X1086" s="62"/>
      <c r="Y1086" s="62"/>
      <c r="Z1086" s="66"/>
      <c r="AA1086" s="62"/>
      <c r="AB1086" s="69"/>
      <c r="AC1086" s="94"/>
      <c r="AD1086" s="94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9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94"/>
      <c r="P1087" s="69"/>
      <c r="Q1087" s="94"/>
      <c r="R1087" s="94"/>
      <c r="S1087" s="60"/>
      <c r="T1087" s="62"/>
      <c r="U1087" s="62"/>
      <c r="V1087" s="62"/>
      <c r="W1087" s="61"/>
      <c r="X1087" s="62"/>
      <c r="Y1087" s="62"/>
      <c r="Z1087" s="66"/>
      <c r="AA1087" s="62"/>
      <c r="AB1087" s="69"/>
      <c r="AC1087" s="94"/>
      <c r="AD1087" s="94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9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62"/>
      <c r="P1088" s="69"/>
      <c r="Q1088" s="94"/>
      <c r="R1088" s="94"/>
      <c r="S1088" s="60"/>
      <c r="T1088" s="62"/>
      <c r="U1088" s="62"/>
      <c r="V1088" s="62"/>
      <c r="W1088" s="61"/>
      <c r="X1088" s="62"/>
      <c r="Y1088" s="62"/>
      <c r="Z1088" s="66"/>
      <c r="AA1088" s="94"/>
      <c r="AB1088" s="69"/>
      <c r="AC1088" s="94"/>
      <c r="AD1088" s="94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9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94"/>
      <c r="P1089" s="69"/>
      <c r="Q1089" s="94"/>
      <c r="R1089" s="94"/>
      <c r="S1089" s="60"/>
      <c r="T1089" s="62"/>
      <c r="U1089" s="62"/>
      <c r="V1089" s="62"/>
      <c r="W1089" s="61"/>
      <c r="X1089" s="62"/>
      <c r="Y1089" s="62"/>
      <c r="Z1089" s="66"/>
      <c r="AA1089" s="94"/>
      <c r="AB1089" s="69"/>
      <c r="AC1089" s="94"/>
      <c r="AD1089" s="94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9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94"/>
      <c r="P1090" s="69"/>
      <c r="Q1090" s="94"/>
      <c r="R1090" s="94"/>
      <c r="S1090" s="60"/>
      <c r="T1090" s="62"/>
      <c r="U1090" s="62"/>
      <c r="V1090" s="62"/>
      <c r="W1090" s="61"/>
      <c r="X1090" s="62"/>
      <c r="Y1090" s="62"/>
      <c r="Z1090" s="66"/>
      <c r="AA1090" s="62"/>
      <c r="AB1090" s="69"/>
      <c r="AC1090" s="94"/>
      <c r="AD1090" s="94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9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94"/>
      <c r="P1091" s="69"/>
      <c r="Q1091" s="94"/>
      <c r="R1091" s="94"/>
      <c r="S1091" s="60"/>
      <c r="T1091" s="62"/>
      <c r="U1091" s="62"/>
      <c r="V1091" s="62"/>
      <c r="W1091" s="61"/>
      <c r="X1091" s="62"/>
      <c r="Y1091" s="62"/>
      <c r="Z1091" s="66"/>
      <c r="AA1091" s="94"/>
      <c r="AB1091" s="69"/>
      <c r="AC1091" s="94"/>
      <c r="AD1091" s="94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9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94"/>
      <c r="P1092" s="69"/>
      <c r="Q1092" s="94"/>
      <c r="R1092" s="94"/>
      <c r="S1092" s="60"/>
      <c r="T1092" s="62"/>
      <c r="U1092" s="62"/>
      <c r="V1092" s="62"/>
      <c r="W1092" s="61"/>
      <c r="X1092" s="62"/>
      <c r="Y1092" s="62"/>
      <c r="Z1092" s="66"/>
      <c r="AA1092" s="94"/>
      <c r="AB1092" s="69"/>
      <c r="AC1092" s="94"/>
      <c r="AD1092" s="94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94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94"/>
      <c r="R1093" s="94"/>
      <c r="S1093" s="60"/>
      <c r="T1093" s="62"/>
      <c r="U1093" s="62"/>
      <c r="V1093" s="62"/>
      <c r="W1093" s="61"/>
      <c r="X1093" s="62"/>
      <c r="Y1093" s="62"/>
      <c r="Z1093" s="66"/>
      <c r="AA1093" s="94"/>
      <c r="AB1093" s="69"/>
      <c r="AC1093" s="94"/>
      <c r="AD1093" s="94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94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94"/>
      <c r="P1094" s="69"/>
      <c r="Q1094" s="94"/>
      <c r="R1094" s="94"/>
      <c r="S1094" s="60"/>
      <c r="T1094" s="62"/>
      <c r="U1094" s="62"/>
      <c r="V1094" s="62"/>
      <c r="W1094" s="61"/>
      <c r="X1094" s="62"/>
      <c r="Y1094" s="62"/>
      <c r="Z1094" s="66"/>
      <c r="AA1094" s="94"/>
      <c r="AB1094" s="69"/>
      <c r="AC1094" s="94"/>
      <c r="AD1094" s="94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94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94"/>
      <c r="P1095" s="69"/>
      <c r="Q1095" s="94"/>
      <c r="R1095" s="94"/>
      <c r="S1095" s="60"/>
      <c r="T1095" s="62"/>
      <c r="U1095" s="62"/>
      <c r="V1095" s="62"/>
      <c r="W1095" s="61"/>
      <c r="X1095" s="62"/>
      <c r="Y1095" s="62"/>
      <c r="Z1095" s="66"/>
      <c r="AA1095" s="94"/>
      <c r="AB1095" s="69"/>
      <c r="AC1095" s="94"/>
      <c r="AD1095" s="94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94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94"/>
      <c r="R1096" s="94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94"/>
      <c r="AD1096" s="94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94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94"/>
      <c r="P1097" s="69"/>
      <c r="Q1097" s="94"/>
      <c r="R1097" s="94"/>
      <c r="S1097" s="60"/>
      <c r="T1097" s="62"/>
      <c r="U1097" s="62"/>
      <c r="V1097" s="62"/>
      <c r="W1097" s="61"/>
      <c r="X1097" s="62"/>
      <c r="Y1097" s="62"/>
      <c r="Z1097" s="66"/>
      <c r="AA1097" s="94"/>
      <c r="AB1097" s="69"/>
      <c r="AC1097" s="94"/>
      <c r="AD1097" s="94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94"/>
      <c r="O1098" s="94"/>
      <c r="P1098" s="94"/>
      <c r="Q1098" s="94"/>
      <c r="R1098" s="94"/>
      <c r="S1098" s="94"/>
      <c r="T1098" s="62"/>
      <c r="U1098" s="62"/>
      <c r="V1098" s="62"/>
      <c r="W1098" s="61"/>
      <c r="X1098" s="62"/>
      <c r="Y1098" s="62"/>
      <c r="Z1098" s="94"/>
      <c r="AA1098" s="94"/>
      <c r="AB1098" s="94"/>
      <c r="AC1098" s="94"/>
      <c r="AD1098" s="94"/>
      <c r="AE1098" s="94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94"/>
      <c r="C1099" s="94"/>
      <c r="D1099" s="94"/>
      <c r="E1099" s="94"/>
      <c r="F1099" s="94"/>
      <c r="G1099" s="94"/>
      <c r="H1099" s="62"/>
      <c r="I1099" s="62"/>
      <c r="J1099" s="62"/>
      <c r="K1099" s="62"/>
      <c r="L1099" s="62"/>
      <c r="M1099" s="62"/>
      <c r="N1099" s="94"/>
      <c r="O1099" s="94"/>
      <c r="P1099" s="94"/>
      <c r="Q1099" s="94"/>
      <c r="R1099" s="94"/>
      <c r="S1099" s="94"/>
      <c r="T1099" s="62"/>
      <c r="U1099" s="62"/>
      <c r="V1099" s="62"/>
      <c r="W1099" s="62"/>
      <c r="X1099" s="62"/>
      <c r="Y1099" s="62"/>
      <c r="Z1099" s="94"/>
      <c r="AA1099" s="94"/>
      <c r="AB1099" s="94"/>
      <c r="AC1099" s="94"/>
      <c r="AD1099" s="94"/>
      <c r="AE1099" s="94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94"/>
      <c r="C1100" s="94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94"/>
      <c r="O1100" s="94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94"/>
      <c r="AA1100" s="94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94"/>
      <c r="C1102" s="94"/>
      <c r="D1102" s="94"/>
      <c r="E1102" s="94"/>
      <c r="F1102" s="94"/>
      <c r="G1102" s="94"/>
      <c r="H1102" s="62"/>
      <c r="I1102" s="62"/>
      <c r="J1102" s="62"/>
      <c r="K1102" s="62"/>
      <c r="L1102" s="62"/>
      <c r="M1102" s="62"/>
      <c r="N1102" s="94"/>
      <c r="O1102" s="94"/>
      <c r="P1102" s="94"/>
      <c r="Q1102" s="94"/>
      <c r="R1102" s="94"/>
      <c r="S1102" s="94"/>
      <c r="T1102" s="62"/>
      <c r="U1102" s="62"/>
      <c r="V1102" s="62"/>
      <c r="W1102" s="62"/>
      <c r="X1102" s="62"/>
      <c r="Y1102" s="62"/>
      <c r="Z1102" s="94"/>
      <c r="AA1102" s="94"/>
      <c r="AB1102" s="94"/>
      <c r="AC1102" s="94"/>
      <c r="AD1102" s="94"/>
      <c r="AE1102" s="94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94"/>
      <c r="C1103" s="94"/>
      <c r="D1103" s="94"/>
      <c r="E1103" s="94"/>
      <c r="F1103" s="94"/>
      <c r="G1103" s="94"/>
      <c r="H1103" s="62"/>
      <c r="I1103" s="62"/>
      <c r="J1103" s="62"/>
      <c r="K1103" s="62"/>
      <c r="L1103" s="62"/>
      <c r="M1103" s="62"/>
      <c r="N1103" s="94"/>
      <c r="O1103" s="94"/>
      <c r="P1103" s="94"/>
      <c r="Q1103" s="94"/>
      <c r="R1103" s="94"/>
      <c r="S1103" s="94"/>
      <c r="T1103" s="62"/>
      <c r="U1103" s="62"/>
      <c r="V1103" s="62"/>
      <c r="W1103" s="62"/>
      <c r="X1103" s="62"/>
      <c r="Y1103" s="62"/>
      <c r="Z1103" s="94"/>
      <c r="AA1103" s="94"/>
      <c r="AB1103" s="94"/>
      <c r="AC1103" s="94"/>
      <c r="AD1103" s="94"/>
      <c r="AE1103" s="94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94"/>
      <c r="C1104" s="94"/>
      <c r="D1104" s="94"/>
      <c r="E1104" s="94"/>
      <c r="F1104" s="94"/>
      <c r="G1104" s="94"/>
      <c r="H1104" s="62"/>
      <c r="I1104" s="62"/>
      <c r="J1104" s="62"/>
      <c r="K1104" s="62"/>
      <c r="L1104" s="62"/>
      <c r="M1104" s="62"/>
      <c r="N1104" s="94"/>
      <c r="O1104" s="94"/>
      <c r="P1104" s="94"/>
      <c r="Q1104" s="94"/>
      <c r="R1104" s="94"/>
      <c r="S1104" s="94"/>
      <c r="T1104" s="62"/>
      <c r="U1104" s="62"/>
      <c r="V1104" s="62"/>
      <c r="W1104" s="62"/>
      <c r="X1104" s="62"/>
      <c r="Y1104" s="62"/>
      <c r="Z1104" s="94"/>
      <c r="AA1104" s="94"/>
      <c r="AB1104" s="94"/>
      <c r="AC1104" s="94"/>
      <c r="AD1104" s="94"/>
      <c r="AE1104" s="94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94"/>
      <c r="C1105" s="94"/>
      <c r="D1105" s="94"/>
      <c r="E1105" s="94"/>
      <c r="F1105" s="94"/>
      <c r="G1105" s="94"/>
      <c r="H1105" s="62"/>
      <c r="I1105" s="62"/>
      <c r="J1105" s="62"/>
      <c r="K1105" s="62"/>
      <c r="L1105" s="62"/>
      <c r="M1105" s="63"/>
      <c r="N1105" s="94"/>
      <c r="O1105" s="94"/>
      <c r="P1105" s="94"/>
      <c r="Q1105" s="94"/>
      <c r="R1105" s="94"/>
      <c r="S1105" s="94"/>
      <c r="T1105" s="62"/>
      <c r="U1105" s="62"/>
      <c r="V1105" s="62"/>
      <c r="W1105" s="62"/>
      <c r="X1105" s="62"/>
      <c r="Y1105" s="63"/>
      <c r="Z1105" s="94"/>
      <c r="AA1105" s="94"/>
      <c r="AB1105" s="94"/>
      <c r="AC1105" s="94"/>
      <c r="AD1105" s="94"/>
      <c r="AE1105" s="94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94"/>
      <c r="C1106" s="94"/>
      <c r="D1106" s="94"/>
      <c r="E1106" s="94"/>
      <c r="F1106" s="94"/>
      <c r="G1106" s="94"/>
      <c r="H1106" s="62"/>
      <c r="I1106" s="62"/>
      <c r="J1106" s="62"/>
      <c r="K1106" s="62"/>
      <c r="L1106" s="62"/>
      <c r="M1106" s="62"/>
      <c r="N1106" s="94"/>
      <c r="O1106" s="94"/>
      <c r="P1106" s="94"/>
      <c r="Q1106" s="94"/>
      <c r="R1106" s="94"/>
      <c r="S1106" s="94"/>
      <c r="T1106" s="62"/>
      <c r="U1106" s="62"/>
      <c r="V1106" s="62"/>
      <c r="W1106" s="62"/>
      <c r="X1106" s="62"/>
      <c r="Y1106" s="62"/>
      <c r="Z1106" s="94"/>
      <c r="AA1106" s="94"/>
      <c r="AB1106" s="94"/>
      <c r="AC1106" s="94"/>
      <c r="AD1106" s="94"/>
      <c r="AE1106" s="94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94"/>
      <c r="C1107" s="94"/>
      <c r="D1107" s="94"/>
      <c r="E1107" s="94"/>
      <c r="F1107" s="94"/>
      <c r="G1107" s="94"/>
      <c r="H1107" s="62"/>
      <c r="I1107" s="94"/>
      <c r="J1107" s="74"/>
      <c r="K1107" s="62"/>
      <c r="L1107" s="62"/>
      <c r="M1107" s="62"/>
      <c r="N1107" s="94"/>
      <c r="O1107" s="94"/>
      <c r="P1107" s="94"/>
      <c r="Q1107" s="94"/>
      <c r="R1107" s="94"/>
      <c r="S1107" s="94"/>
      <c r="T1107" s="62"/>
      <c r="U1107" s="94"/>
      <c r="V1107" s="74"/>
      <c r="W1107" s="62"/>
      <c r="X1107" s="62"/>
      <c r="Y1107" s="62"/>
      <c r="Z1107" s="94"/>
      <c r="AA1107" s="94"/>
      <c r="AB1107" s="94"/>
      <c r="AC1107" s="94"/>
      <c r="AD1107" s="94"/>
      <c r="AE1107" s="94"/>
      <c r="AF1107" s="62"/>
      <c r="AG1107" s="94"/>
      <c r="AH1107" s="94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94"/>
      <c r="C1108" s="94"/>
      <c r="D1108" s="94"/>
      <c r="E1108" s="94"/>
      <c r="F1108" s="94"/>
      <c r="G1108" s="94"/>
      <c r="H1108" s="62"/>
      <c r="I1108" s="65"/>
      <c r="J1108" s="65"/>
      <c r="K1108" s="62"/>
      <c r="L1108" s="62"/>
      <c r="M1108" s="64"/>
      <c r="N1108" s="94"/>
      <c r="O1108" s="94"/>
      <c r="P1108" s="94"/>
      <c r="Q1108" s="94"/>
      <c r="R1108" s="94"/>
      <c r="S1108" s="94"/>
      <c r="T1108" s="62"/>
      <c r="U1108" s="65"/>
      <c r="V1108" s="65"/>
      <c r="W1108" s="62"/>
      <c r="X1108" s="62"/>
      <c r="Y1108" s="64"/>
      <c r="Z1108" s="94"/>
      <c r="AA1108" s="94"/>
      <c r="AB1108" s="94"/>
      <c r="AC1108" s="94"/>
      <c r="AD1108" s="94"/>
      <c r="AE1108" s="94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94"/>
      <c r="C1109" s="94"/>
      <c r="D1109" s="94"/>
      <c r="E1109" s="94"/>
      <c r="F1109" s="94"/>
      <c r="G1109" s="94"/>
      <c r="H1109" s="62"/>
      <c r="I1109" s="62"/>
      <c r="J1109" s="62"/>
      <c r="K1109" s="62"/>
      <c r="L1109" s="62"/>
      <c r="M1109" s="62"/>
      <c r="N1109" s="94"/>
      <c r="O1109" s="94"/>
      <c r="P1109" s="94"/>
      <c r="Q1109" s="94"/>
      <c r="R1109" s="94"/>
      <c r="S1109" s="94"/>
      <c r="T1109" s="62"/>
      <c r="U1109" s="62"/>
      <c r="V1109" s="62"/>
      <c r="W1109" s="62"/>
      <c r="X1109" s="62"/>
      <c r="Y1109" s="62"/>
      <c r="Z1109" s="94"/>
      <c r="AA1109" s="94"/>
      <c r="AB1109" s="94"/>
      <c r="AC1109" s="94"/>
      <c r="AD1109" s="94"/>
      <c r="AE1109" s="94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94"/>
      <c r="D1110" s="106"/>
      <c r="E1110" s="106"/>
      <c r="F1110" s="94"/>
      <c r="G1110" s="94"/>
      <c r="H1110" s="62"/>
      <c r="I1110" s="106"/>
      <c r="J1110" s="106"/>
      <c r="K1110" s="105"/>
      <c r="L1110" s="62"/>
      <c r="M1110" s="62"/>
      <c r="N1110" s="65"/>
      <c r="O1110" s="94"/>
      <c r="P1110" s="106"/>
      <c r="Q1110" s="106"/>
      <c r="R1110" s="94"/>
      <c r="S1110" s="94"/>
      <c r="T1110" s="62"/>
      <c r="U1110" s="106"/>
      <c r="V1110" s="106"/>
      <c r="W1110" s="105"/>
      <c r="X1110" s="62"/>
      <c r="Y1110" s="62"/>
      <c r="Z1110" s="65"/>
      <c r="AA1110" s="94"/>
      <c r="AB1110" s="106"/>
      <c r="AC1110" s="106"/>
      <c r="AD1110" s="94"/>
      <c r="AE1110" s="94"/>
      <c r="AF1110" s="62"/>
      <c r="AG1110" s="106"/>
      <c r="AH1110" s="106"/>
      <c r="AI1110" s="105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94"/>
      <c r="C1111" s="94"/>
      <c r="D1111" s="81"/>
      <c r="E1111" s="82"/>
      <c r="F1111" s="83"/>
      <c r="G1111" s="83"/>
      <c r="H1111" s="62"/>
      <c r="I1111" s="93"/>
      <c r="J1111" s="93"/>
      <c r="K1111" s="105"/>
      <c r="L1111" s="62"/>
      <c r="M1111" s="62"/>
      <c r="N1111" s="94"/>
      <c r="O1111" s="94"/>
      <c r="P1111" s="81"/>
      <c r="Q1111" s="83"/>
      <c r="R1111" s="83"/>
      <c r="S1111" s="83"/>
      <c r="T1111" s="62"/>
      <c r="U1111" s="93"/>
      <c r="V1111" s="93"/>
      <c r="W1111" s="105"/>
      <c r="X1111" s="62"/>
      <c r="Y1111" s="62"/>
      <c r="Z1111" s="94"/>
      <c r="AA1111" s="94"/>
      <c r="AB1111" s="81"/>
      <c r="AC1111" s="83"/>
      <c r="AD1111" s="83"/>
      <c r="AE1111" s="83"/>
      <c r="AF1111" s="62"/>
      <c r="AG1111" s="93"/>
      <c r="AH1111" s="93"/>
      <c r="AI1111" s="105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92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94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94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92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94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94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92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94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94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92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94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94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92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94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94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92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94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92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94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94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92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94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5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92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94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94"/>
      <c r="AB1120" s="62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92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94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94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92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94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65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62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94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92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94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94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92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94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94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92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94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94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92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94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62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92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94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94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92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94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94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92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94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94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92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62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94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94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94"/>
      <c r="R1132" s="94"/>
      <c r="S1132" s="60"/>
      <c r="T1132" s="62"/>
      <c r="U1132" s="62"/>
      <c r="V1132" s="62"/>
      <c r="W1132" s="61"/>
      <c r="X1132" s="62"/>
      <c r="Y1132" s="62"/>
      <c r="Z1132" s="66"/>
      <c r="AA1132" s="94"/>
      <c r="AB1132" s="67"/>
      <c r="AC1132" s="94"/>
      <c r="AD1132" s="94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92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94"/>
      <c r="P1133" s="68"/>
      <c r="Q1133" s="94"/>
      <c r="R1133" s="94"/>
      <c r="S1133" s="60"/>
      <c r="T1133" s="62"/>
      <c r="U1133" s="62"/>
      <c r="V1133" s="62"/>
      <c r="W1133" s="61"/>
      <c r="X1133" s="62"/>
      <c r="Y1133" s="62"/>
      <c r="Z1133" s="66"/>
      <c r="AA1133" s="94"/>
      <c r="AB1133" s="68"/>
      <c r="AC1133" s="94"/>
      <c r="AD1133" s="94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92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94"/>
      <c r="P1134" s="69"/>
      <c r="Q1134" s="62"/>
      <c r="R1134" s="62"/>
      <c r="S1134" s="60"/>
      <c r="T1134" s="62"/>
      <c r="U1134" s="62"/>
      <c r="V1134" s="62"/>
      <c r="W1134" s="61"/>
      <c r="X1134" s="62"/>
      <c r="Y1134" s="62"/>
      <c r="Z1134" s="66"/>
      <c r="AA1134" s="94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94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94"/>
      <c r="P1135" s="69"/>
      <c r="Q1135" s="94"/>
      <c r="R1135" s="94"/>
      <c r="S1135" s="60"/>
      <c r="T1135" s="62"/>
      <c r="U1135" s="62"/>
      <c r="V1135" s="62"/>
      <c r="W1135" s="61"/>
      <c r="X1135" s="62"/>
      <c r="Y1135" s="62"/>
      <c r="Z1135" s="66"/>
      <c r="AA1135" s="94"/>
      <c r="AB1135" s="69"/>
      <c r="AC1135" s="94"/>
      <c r="AD1135" s="94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94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94"/>
      <c r="R1136" s="94"/>
      <c r="S1136" s="60"/>
      <c r="T1136" s="62"/>
      <c r="U1136" s="62"/>
      <c r="V1136" s="62"/>
      <c r="W1136" s="61"/>
      <c r="X1136" s="62"/>
      <c r="Y1136" s="62"/>
      <c r="Z1136" s="66"/>
      <c r="AA1136" s="62"/>
      <c r="AB1136" s="69"/>
      <c r="AC1136" s="94"/>
      <c r="AD1136" s="94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65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94"/>
      <c r="R1137" s="94"/>
      <c r="S1137" s="60"/>
      <c r="T1137" s="62"/>
      <c r="U1137" s="62"/>
      <c r="V1137" s="62"/>
      <c r="W1137" s="61"/>
      <c r="X1137" s="62"/>
      <c r="Y1137" s="62"/>
      <c r="Z1137" s="66"/>
      <c r="AA1137" s="62"/>
      <c r="AB1137" s="69"/>
      <c r="AC1137" s="94"/>
      <c r="AD1137" s="94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94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94"/>
      <c r="P1138" s="69"/>
      <c r="Q1138" s="94"/>
      <c r="R1138" s="94"/>
      <c r="S1138" s="60"/>
      <c r="T1138" s="62"/>
      <c r="U1138" s="62"/>
      <c r="V1138" s="62"/>
      <c r="W1138" s="61"/>
      <c r="X1138" s="62"/>
      <c r="Y1138" s="62"/>
      <c r="Z1138" s="66"/>
      <c r="AA1138" s="94"/>
      <c r="AB1138" s="69"/>
      <c r="AC1138" s="94"/>
      <c r="AD1138" s="94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94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94"/>
      <c r="P1139" s="69"/>
      <c r="Q1139" s="94"/>
      <c r="R1139" s="94"/>
      <c r="S1139" s="60"/>
      <c r="T1139" s="62"/>
      <c r="U1139" s="62"/>
      <c r="V1139" s="62"/>
      <c r="W1139" s="61"/>
      <c r="X1139" s="62"/>
      <c r="Y1139" s="62"/>
      <c r="Z1139" s="66"/>
      <c r="AA1139" s="94"/>
      <c r="AB1139" s="69"/>
      <c r="AC1139" s="94"/>
      <c r="AD1139" s="94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9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94"/>
      <c r="R1140" s="94"/>
      <c r="S1140" s="60"/>
      <c r="T1140" s="62"/>
      <c r="U1140" s="62"/>
      <c r="V1140" s="62"/>
      <c r="W1140" s="61"/>
      <c r="X1140" s="62"/>
      <c r="Y1140" s="62"/>
      <c r="Z1140" s="66"/>
      <c r="AA1140" s="94"/>
      <c r="AB1140" s="69"/>
      <c r="AC1140" s="94"/>
      <c r="AD1140" s="94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94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94"/>
      <c r="R1141" s="94"/>
      <c r="S1141" s="60"/>
      <c r="T1141" s="62"/>
      <c r="U1141" s="62"/>
      <c r="V1141" s="62"/>
      <c r="W1141" s="61"/>
      <c r="X1141" s="62"/>
      <c r="Y1141" s="62"/>
      <c r="Z1141" s="66"/>
      <c r="AA1141" s="62"/>
      <c r="AB1141" s="69"/>
      <c r="AC1141" s="94"/>
      <c r="AD1141" s="94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9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94"/>
      <c r="P1142" s="69"/>
      <c r="Q1142" s="94"/>
      <c r="R1142" s="94"/>
      <c r="S1142" s="60"/>
      <c r="T1142" s="62"/>
      <c r="U1142" s="62"/>
      <c r="V1142" s="62"/>
      <c r="W1142" s="61"/>
      <c r="X1142" s="62"/>
      <c r="Y1142" s="62"/>
      <c r="Z1142" s="66"/>
      <c r="AA1142" s="62"/>
      <c r="AB1142" s="69"/>
      <c r="AC1142" s="94"/>
      <c r="AD1142" s="94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9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62"/>
      <c r="P1143" s="69"/>
      <c r="Q1143" s="94"/>
      <c r="R1143" s="94"/>
      <c r="S1143" s="60"/>
      <c r="T1143" s="62"/>
      <c r="U1143" s="62"/>
      <c r="V1143" s="62"/>
      <c r="W1143" s="61"/>
      <c r="X1143" s="62"/>
      <c r="Y1143" s="62"/>
      <c r="Z1143" s="66"/>
      <c r="AA1143" s="94"/>
      <c r="AB1143" s="69"/>
      <c r="AC1143" s="94"/>
      <c r="AD1143" s="94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9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94"/>
      <c r="P1144" s="69"/>
      <c r="Q1144" s="94"/>
      <c r="R1144" s="94"/>
      <c r="S1144" s="60"/>
      <c r="T1144" s="62"/>
      <c r="U1144" s="62"/>
      <c r="V1144" s="62"/>
      <c r="W1144" s="61"/>
      <c r="X1144" s="62"/>
      <c r="Y1144" s="62"/>
      <c r="Z1144" s="66"/>
      <c r="AA1144" s="94"/>
      <c r="AB1144" s="69"/>
      <c r="AC1144" s="94"/>
      <c r="AD1144" s="94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9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94"/>
      <c r="P1145" s="69"/>
      <c r="Q1145" s="94"/>
      <c r="R1145" s="94"/>
      <c r="S1145" s="60"/>
      <c r="T1145" s="62"/>
      <c r="U1145" s="62"/>
      <c r="V1145" s="62"/>
      <c r="W1145" s="61"/>
      <c r="X1145" s="62"/>
      <c r="Y1145" s="62"/>
      <c r="Z1145" s="66"/>
      <c r="AA1145" s="62"/>
      <c r="AB1145" s="69"/>
      <c r="AC1145" s="94"/>
      <c r="AD1145" s="94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9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94"/>
      <c r="P1146" s="69"/>
      <c r="Q1146" s="94"/>
      <c r="R1146" s="94"/>
      <c r="S1146" s="60"/>
      <c r="T1146" s="62"/>
      <c r="U1146" s="62"/>
      <c r="V1146" s="62"/>
      <c r="W1146" s="61"/>
      <c r="X1146" s="62"/>
      <c r="Y1146" s="62"/>
      <c r="Z1146" s="66"/>
      <c r="AA1146" s="94"/>
      <c r="AB1146" s="69"/>
      <c r="AC1146" s="94"/>
      <c r="AD1146" s="94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9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94"/>
      <c r="P1147" s="69"/>
      <c r="Q1147" s="94"/>
      <c r="R1147" s="94"/>
      <c r="S1147" s="60"/>
      <c r="T1147" s="62"/>
      <c r="U1147" s="62"/>
      <c r="V1147" s="62"/>
      <c r="W1147" s="61"/>
      <c r="X1147" s="62"/>
      <c r="Y1147" s="62"/>
      <c r="Z1147" s="66"/>
      <c r="AA1147" s="94"/>
      <c r="AB1147" s="69"/>
      <c r="AC1147" s="94"/>
      <c r="AD1147" s="94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94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94"/>
      <c r="R1148" s="94"/>
      <c r="S1148" s="60"/>
      <c r="T1148" s="62"/>
      <c r="U1148" s="62"/>
      <c r="V1148" s="62"/>
      <c r="W1148" s="61"/>
      <c r="X1148" s="62"/>
      <c r="Y1148" s="62"/>
      <c r="Z1148" s="66"/>
      <c r="AA1148" s="94"/>
      <c r="AB1148" s="69"/>
      <c r="AC1148" s="94"/>
      <c r="AD1148" s="94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94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94"/>
      <c r="P1149" s="69"/>
      <c r="Q1149" s="94"/>
      <c r="R1149" s="94"/>
      <c r="S1149" s="60"/>
      <c r="T1149" s="62"/>
      <c r="U1149" s="62"/>
      <c r="V1149" s="62"/>
      <c r="W1149" s="61"/>
      <c r="X1149" s="62"/>
      <c r="Y1149" s="62"/>
      <c r="Z1149" s="66"/>
      <c r="AA1149" s="94"/>
      <c r="AB1149" s="69"/>
      <c r="AC1149" s="94"/>
      <c r="AD1149" s="94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94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94"/>
      <c r="P1150" s="69"/>
      <c r="Q1150" s="94"/>
      <c r="R1150" s="94"/>
      <c r="S1150" s="60"/>
      <c r="T1150" s="62"/>
      <c r="U1150" s="62"/>
      <c r="V1150" s="62"/>
      <c r="W1150" s="61"/>
      <c r="X1150" s="62"/>
      <c r="Y1150" s="62"/>
      <c r="Z1150" s="66"/>
      <c r="AA1150" s="94"/>
      <c r="AB1150" s="69"/>
      <c r="AC1150" s="94"/>
      <c r="AD1150" s="94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94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94"/>
      <c r="R1151" s="94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94"/>
      <c r="AD1151" s="94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94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94"/>
      <c r="P1152" s="69"/>
      <c r="Q1152" s="94"/>
      <c r="R1152" s="94"/>
      <c r="S1152" s="60"/>
      <c r="T1152" s="62"/>
      <c r="U1152" s="62"/>
      <c r="V1152" s="62"/>
      <c r="W1152" s="61"/>
      <c r="X1152" s="62"/>
      <c r="Y1152" s="62"/>
      <c r="Z1152" s="66"/>
      <c r="AA1152" s="94"/>
      <c r="AB1152" s="69"/>
      <c r="AC1152" s="94"/>
      <c r="AD1152" s="94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94"/>
      <c r="O1153" s="94"/>
      <c r="P1153" s="94"/>
      <c r="Q1153" s="94"/>
      <c r="R1153" s="94"/>
      <c r="S1153" s="94"/>
      <c r="T1153" s="62"/>
      <c r="U1153" s="62"/>
      <c r="V1153" s="62"/>
      <c r="W1153" s="61"/>
      <c r="X1153" s="62"/>
      <c r="Y1153" s="62"/>
      <c r="Z1153" s="94"/>
      <c r="AA1153" s="94"/>
      <c r="AB1153" s="94"/>
      <c r="AC1153" s="94"/>
      <c r="AD1153" s="94"/>
      <c r="AE1153" s="94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94"/>
      <c r="C1154" s="94"/>
      <c r="D1154" s="94"/>
      <c r="E1154" s="94"/>
      <c r="F1154" s="94"/>
      <c r="G1154" s="94"/>
      <c r="H1154" s="62"/>
      <c r="I1154" s="62"/>
      <c r="J1154" s="62"/>
      <c r="K1154" s="62"/>
      <c r="L1154" s="62"/>
      <c r="M1154" s="62"/>
      <c r="N1154" s="94"/>
      <c r="O1154" s="94"/>
      <c r="P1154" s="94"/>
      <c r="Q1154" s="94"/>
      <c r="R1154" s="94"/>
      <c r="S1154" s="94"/>
      <c r="T1154" s="62"/>
      <c r="U1154" s="62"/>
      <c r="V1154" s="62"/>
      <c r="W1154" s="62"/>
      <c r="X1154" s="62"/>
      <c r="Y1154" s="62"/>
      <c r="Z1154" s="94"/>
      <c r="AA1154" s="94"/>
      <c r="AB1154" s="94"/>
      <c r="AC1154" s="94"/>
      <c r="AD1154" s="94"/>
      <c r="AE1154" s="94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94"/>
      <c r="C1155" s="94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94"/>
      <c r="O1155" s="94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94"/>
      <c r="AA1155" s="94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06"/>
      <c r="E1165" s="106"/>
      <c r="F1165" s="89"/>
      <c r="G1165" s="89"/>
      <c r="H1165" s="62"/>
      <c r="I1165" s="106"/>
      <c r="J1165" s="106"/>
      <c r="K1165" s="105"/>
      <c r="L1165" s="62"/>
      <c r="M1165" s="62"/>
      <c r="N1165" s="65"/>
      <c r="O1165" s="89"/>
      <c r="P1165" s="106"/>
      <c r="Q1165" s="106"/>
      <c r="R1165" s="89"/>
      <c r="S1165" s="89"/>
      <c r="T1165" s="62"/>
      <c r="U1165" s="106"/>
      <c r="V1165" s="106"/>
      <c r="W1165" s="105"/>
      <c r="X1165" s="62"/>
      <c r="Y1165" s="62"/>
      <c r="Z1165" s="65"/>
      <c r="AA1165" s="89"/>
      <c r="AB1165" s="106"/>
      <c r="AC1165" s="106"/>
      <c r="AD1165" s="89"/>
      <c r="AE1165" s="89"/>
      <c r="AF1165" s="62"/>
      <c r="AG1165" s="106"/>
      <c r="AH1165" s="106"/>
      <c r="AI1165" s="105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05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05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05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06"/>
      <c r="E1221" s="106"/>
      <c r="F1221" s="87"/>
      <c r="G1221" s="87"/>
      <c r="H1221" s="62"/>
      <c r="I1221" s="106"/>
      <c r="J1221" s="106"/>
      <c r="K1221" s="105"/>
      <c r="L1221" s="62"/>
      <c r="M1221" s="62"/>
      <c r="N1221" s="65"/>
      <c r="O1221" s="87"/>
      <c r="P1221" s="106"/>
      <c r="Q1221" s="106"/>
      <c r="R1221" s="87"/>
      <c r="S1221" s="87"/>
      <c r="T1221" s="62"/>
      <c r="U1221" s="106"/>
      <c r="V1221" s="106"/>
      <c r="W1221" s="105"/>
      <c r="X1221" s="62"/>
      <c r="Y1221" s="62"/>
      <c r="Z1221" s="65"/>
      <c r="AA1221" s="87"/>
      <c r="AB1221" s="106"/>
      <c r="AC1221" s="106"/>
      <c r="AD1221" s="87"/>
      <c r="AE1221" s="87"/>
      <c r="AF1221" s="62"/>
      <c r="AG1221" s="106"/>
      <c r="AH1221" s="106"/>
      <c r="AI1221" s="105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05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05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05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06"/>
      <c r="E1283" s="106"/>
      <c r="F1283" s="84"/>
      <c r="G1283" s="84"/>
      <c r="H1283" s="62"/>
      <c r="I1283" s="106"/>
      <c r="J1283" s="106"/>
      <c r="K1283" s="105"/>
      <c r="L1283" s="62"/>
      <c r="M1283" s="62"/>
      <c r="N1283" s="65"/>
      <c r="O1283" s="84"/>
      <c r="P1283" s="106"/>
      <c r="Q1283" s="106"/>
      <c r="R1283" s="84"/>
      <c r="S1283" s="84"/>
      <c r="T1283" s="62"/>
      <c r="U1283" s="106"/>
      <c r="V1283" s="106"/>
      <c r="W1283" s="105"/>
      <c r="X1283" s="62"/>
      <c r="Y1283" s="62"/>
      <c r="Z1283" s="65"/>
      <c r="AA1283" s="84"/>
      <c r="AB1283" s="106"/>
      <c r="AC1283" s="106"/>
      <c r="AD1283" s="84"/>
      <c r="AE1283" s="84"/>
      <c r="AF1283" s="62"/>
      <c r="AG1283" s="106"/>
      <c r="AH1283" s="106"/>
      <c r="AI1283" s="105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05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05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05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JANUARY</vt:lpstr>
      <vt:lpstr>DSIS | JANUARY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2026-01-08T01:20:38Z</dcterms:modified>
</cp:coreProperties>
</file>