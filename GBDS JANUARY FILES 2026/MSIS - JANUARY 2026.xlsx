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7C24B9AC-FA50-4348-BD9C-81D5779D8A36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1390" i="2" l="1"/>
  <c r="AC1390" i="2"/>
  <c r="AB1390" i="2"/>
  <c r="AB1430" i="2" s="1"/>
  <c r="AB1389" i="2"/>
  <c r="AH1387" i="2"/>
  <c r="AC1387" i="2"/>
  <c r="AC1430" i="2" s="1"/>
  <c r="AB1387" i="2"/>
  <c r="AA1388" i="2"/>
  <c r="AE1388" i="2"/>
  <c r="AI1388" i="2" s="1"/>
  <c r="AG1430" i="2"/>
  <c r="AA1389" i="2"/>
  <c r="AA1390" i="2" s="1"/>
  <c r="AE1390" i="2"/>
  <c r="AE1391" i="2"/>
  <c r="AI1391" i="2" s="1"/>
  <c r="AE1392" i="2"/>
  <c r="AI1392" i="2"/>
  <c r="AE1393" i="2"/>
  <c r="AI1393" i="2" s="1"/>
  <c r="AE1394" i="2"/>
  <c r="AI1394" i="2"/>
  <c r="AE1395" i="2"/>
  <c r="AI1395" i="2"/>
  <c r="AE1396" i="2"/>
  <c r="AI1396" i="2"/>
  <c r="AE1397" i="2"/>
  <c r="AI1397" i="2"/>
  <c r="AE1398" i="2"/>
  <c r="AI1398" i="2"/>
  <c r="AE1399" i="2"/>
  <c r="AI1399" i="2"/>
  <c r="AE1400" i="2"/>
  <c r="AI1400" i="2" s="1"/>
  <c r="AE1401" i="2"/>
  <c r="AI1401" i="2" s="1"/>
  <c r="AE1402" i="2"/>
  <c r="AI1402" i="2"/>
  <c r="AE1403" i="2"/>
  <c r="AI1403" i="2"/>
  <c r="AE1404" i="2"/>
  <c r="AI1404" i="2"/>
  <c r="AE1405" i="2"/>
  <c r="AI1405" i="2"/>
  <c r="AE1406" i="2"/>
  <c r="AI1406" i="2"/>
  <c r="AE1407" i="2"/>
  <c r="AI1407" i="2"/>
  <c r="AE1408" i="2"/>
  <c r="AI1408" i="2"/>
  <c r="AE1409" i="2"/>
  <c r="AI1409" i="2" s="1"/>
  <c r="AE1410" i="2"/>
  <c r="AI1410" i="2"/>
  <c r="AE1411" i="2"/>
  <c r="AI1411" i="2"/>
  <c r="AE1412" i="2"/>
  <c r="AI1412" i="2"/>
  <c r="AE1413" i="2"/>
  <c r="AI1413" i="2"/>
  <c r="AE1414" i="2"/>
  <c r="AI1414" i="2"/>
  <c r="AE1415" i="2"/>
  <c r="AI1415" i="2"/>
  <c r="AE1416" i="2"/>
  <c r="AI1416" i="2"/>
  <c r="AE1417" i="2"/>
  <c r="AI1417" i="2"/>
  <c r="AE1418" i="2"/>
  <c r="AI1418" i="2"/>
  <c r="AE1419" i="2"/>
  <c r="AI1419" i="2"/>
  <c r="AE1420" i="2"/>
  <c r="AI1420" i="2"/>
  <c r="AE1421" i="2"/>
  <c r="AI1421" i="2"/>
  <c r="AE1422" i="2"/>
  <c r="AI1422" i="2"/>
  <c r="AE1423" i="2"/>
  <c r="AI1423" i="2"/>
  <c r="AE1424" i="2"/>
  <c r="AI1424" i="2"/>
  <c r="AE1425" i="2"/>
  <c r="AI1425" i="2"/>
  <c r="AI1426" i="2"/>
  <c r="AE1427" i="2"/>
  <c r="AI1427" i="2" s="1"/>
  <c r="AI1428" i="2"/>
  <c r="AD1430" i="2"/>
  <c r="P1392" i="2"/>
  <c r="V1391" i="2"/>
  <c r="V1430" i="2" s="1"/>
  <c r="Q1391" i="2"/>
  <c r="S1391" i="2" s="1"/>
  <c r="P1391" i="2"/>
  <c r="P1390" i="2"/>
  <c r="V1389" i="2"/>
  <c r="Q1389" i="2"/>
  <c r="Q1430" i="2" s="1"/>
  <c r="P1389" i="2"/>
  <c r="P1388" i="2"/>
  <c r="S1388" i="2" s="1"/>
  <c r="W1388" i="2" s="1"/>
  <c r="P1387" i="2"/>
  <c r="U1430" i="2"/>
  <c r="R1430" i="2"/>
  <c r="W1428" i="2"/>
  <c r="S1427" i="2"/>
  <c r="W1427" i="2" s="1"/>
  <c r="W1426" i="2"/>
  <c r="S1425" i="2"/>
  <c r="W1425" i="2" s="1"/>
  <c r="S1424" i="2"/>
  <c r="W1424" i="2" s="1"/>
  <c r="W1423" i="2"/>
  <c r="S1423" i="2"/>
  <c r="S1422" i="2"/>
  <c r="W1422" i="2" s="1"/>
  <c r="W1421" i="2"/>
  <c r="S1421" i="2"/>
  <c r="S1420" i="2"/>
  <c r="W1420" i="2" s="1"/>
  <c r="S1419" i="2"/>
  <c r="W1419" i="2" s="1"/>
  <c r="S1418" i="2"/>
  <c r="W1418" i="2" s="1"/>
  <c r="S1417" i="2"/>
  <c r="W1417" i="2" s="1"/>
  <c r="S1416" i="2"/>
  <c r="W1416" i="2" s="1"/>
  <c r="W1415" i="2"/>
  <c r="S1415" i="2"/>
  <c r="S1414" i="2"/>
  <c r="W1414" i="2" s="1"/>
  <c r="W1413" i="2"/>
  <c r="S1413" i="2"/>
  <c r="S1412" i="2"/>
  <c r="W1412" i="2" s="1"/>
  <c r="S1411" i="2"/>
  <c r="W1411" i="2" s="1"/>
  <c r="S1410" i="2"/>
  <c r="W1410" i="2" s="1"/>
  <c r="S1409" i="2"/>
  <c r="W1409" i="2" s="1"/>
  <c r="S1408" i="2"/>
  <c r="W1408" i="2" s="1"/>
  <c r="W1407" i="2"/>
  <c r="S1407" i="2"/>
  <c r="S1406" i="2"/>
  <c r="W1406" i="2" s="1"/>
  <c r="W1405" i="2"/>
  <c r="S1405" i="2"/>
  <c r="S1404" i="2"/>
  <c r="W1404" i="2" s="1"/>
  <c r="S1403" i="2"/>
  <c r="W1403" i="2" s="1"/>
  <c r="S1402" i="2"/>
  <c r="W1402" i="2" s="1"/>
  <c r="S1401" i="2"/>
  <c r="W1401" i="2" s="1"/>
  <c r="S1400" i="2"/>
  <c r="W1400" i="2" s="1"/>
  <c r="W1399" i="2"/>
  <c r="S1399" i="2"/>
  <c r="S1398" i="2"/>
  <c r="W1398" i="2" s="1"/>
  <c r="W1397" i="2"/>
  <c r="S1397" i="2"/>
  <c r="S1396" i="2"/>
  <c r="W1396" i="2" s="1"/>
  <c r="S1395" i="2"/>
  <c r="W1395" i="2" s="1"/>
  <c r="S1394" i="2"/>
  <c r="W1394" i="2" s="1"/>
  <c r="S1393" i="2"/>
  <c r="W1393" i="2" s="1"/>
  <c r="S1392" i="2"/>
  <c r="W1392" i="2" s="1"/>
  <c r="S1390" i="2"/>
  <c r="W1390" i="2" s="1"/>
  <c r="O1388" i="2"/>
  <c r="O1389" i="2" s="1"/>
  <c r="O1390" i="2" s="1"/>
  <c r="O1391" i="2" s="1"/>
  <c r="O1392" i="2" s="1"/>
  <c r="D1394" i="2"/>
  <c r="G1394" i="2" s="1"/>
  <c r="K1394" i="2" s="1"/>
  <c r="D1393" i="2"/>
  <c r="G1393" i="2" s="1"/>
  <c r="K1393" i="2" s="1"/>
  <c r="D1392" i="2"/>
  <c r="G1392" i="2" s="1"/>
  <c r="K1392" i="2" s="1"/>
  <c r="D1391" i="2"/>
  <c r="G1391" i="2" s="1"/>
  <c r="K1391" i="2" s="1"/>
  <c r="D1390" i="2"/>
  <c r="G1390" i="2" s="1"/>
  <c r="K1390" i="2" s="1"/>
  <c r="D1389" i="2"/>
  <c r="E1388" i="2"/>
  <c r="G1388" i="2" s="1"/>
  <c r="K1388" i="2" s="1"/>
  <c r="D1388" i="2"/>
  <c r="I1387" i="2"/>
  <c r="I1430" i="2"/>
  <c r="J1430" i="2"/>
  <c r="E1387" i="2"/>
  <c r="D1387" i="2"/>
  <c r="C1393" i="2"/>
  <c r="C1394" i="2" s="1"/>
  <c r="F1430" i="2"/>
  <c r="K1427" i="2"/>
  <c r="G1427" i="2"/>
  <c r="G1420" i="2"/>
  <c r="K1420" i="2" s="1"/>
  <c r="K1419" i="2"/>
  <c r="G1419" i="2"/>
  <c r="G1418" i="2"/>
  <c r="K1418" i="2" s="1"/>
  <c r="G1417" i="2"/>
  <c r="K1417" i="2" s="1"/>
  <c r="G1416" i="2"/>
  <c r="K1416" i="2" s="1"/>
  <c r="K1415" i="2"/>
  <c r="G1415" i="2"/>
  <c r="G1414" i="2"/>
  <c r="K1414" i="2" s="1"/>
  <c r="K1413" i="2"/>
  <c r="G1413" i="2"/>
  <c r="G1412" i="2"/>
  <c r="K1412" i="2" s="1"/>
  <c r="K1411" i="2"/>
  <c r="G1411" i="2"/>
  <c r="G1410" i="2"/>
  <c r="K1410" i="2" s="1"/>
  <c r="G1409" i="2"/>
  <c r="K1409" i="2" s="1"/>
  <c r="G1408" i="2"/>
  <c r="K1408" i="2" s="1"/>
  <c r="K1407" i="2"/>
  <c r="G1407" i="2"/>
  <c r="G1406" i="2"/>
  <c r="K1406" i="2" s="1"/>
  <c r="K1405" i="2"/>
  <c r="G1405" i="2"/>
  <c r="G1404" i="2"/>
  <c r="K1404" i="2" s="1"/>
  <c r="K1403" i="2"/>
  <c r="G1403" i="2"/>
  <c r="G1402" i="2"/>
  <c r="K1402" i="2" s="1"/>
  <c r="G1401" i="2"/>
  <c r="K1401" i="2" s="1"/>
  <c r="G1400" i="2"/>
  <c r="K1400" i="2" s="1"/>
  <c r="K1399" i="2"/>
  <c r="G1399" i="2"/>
  <c r="G1398" i="2"/>
  <c r="K1398" i="2" s="1"/>
  <c r="G1397" i="2"/>
  <c r="K1397" i="2" s="1"/>
  <c r="G1396" i="2"/>
  <c r="K1396" i="2" s="1"/>
  <c r="G1395" i="2"/>
  <c r="K1395" i="2" s="1"/>
  <c r="C1388" i="2"/>
  <c r="C1389" i="2" s="1"/>
  <c r="C1390" i="2" s="1"/>
  <c r="C1391" i="2" s="1"/>
  <c r="C1392" i="2" s="1"/>
  <c r="AH1430" i="2" l="1"/>
  <c r="AI1390" i="2"/>
  <c r="AE1389" i="2"/>
  <c r="AI1389" i="2" s="1"/>
  <c r="AE1387" i="2"/>
  <c r="AI1387" i="2" s="1"/>
  <c r="W1391" i="2"/>
  <c r="S1389" i="2"/>
  <c r="W1389" i="2" s="1"/>
  <c r="P1430" i="2"/>
  <c r="S1387" i="2"/>
  <c r="E1430" i="2"/>
  <c r="G1387" i="2"/>
  <c r="K1387" i="2" s="1"/>
  <c r="D1430" i="2"/>
  <c r="G1389" i="2"/>
  <c r="K1389" i="2" s="1"/>
  <c r="AH1335" i="2"/>
  <c r="AB1335" i="2"/>
  <c r="AB1334" i="2"/>
  <c r="AE1334" i="2"/>
  <c r="AI1334" i="2" s="1"/>
  <c r="AG1333" i="2"/>
  <c r="AB1333" i="2"/>
  <c r="AE1333" i="2" s="1"/>
  <c r="AI1333" i="2" s="1"/>
  <c r="AH1332" i="2"/>
  <c r="AH1375" i="2" s="1"/>
  <c r="AG1375" i="2"/>
  <c r="AB1332" i="2"/>
  <c r="AE1332" i="2"/>
  <c r="AA1333" i="2"/>
  <c r="AA1334" i="2" s="1"/>
  <c r="AA1335" i="2" s="1"/>
  <c r="AE1335" i="2"/>
  <c r="AI1335" i="2" s="1"/>
  <c r="AE1336" i="2"/>
  <c r="AI1336" i="2" s="1"/>
  <c r="AE1337" i="2"/>
  <c r="AI1337" i="2" s="1"/>
  <c r="AE1338" i="2"/>
  <c r="AI1338" i="2"/>
  <c r="AE1339" i="2"/>
  <c r="AI1339" i="2" s="1"/>
  <c r="AE1340" i="2"/>
  <c r="AI1340" i="2"/>
  <c r="AE1341" i="2"/>
  <c r="AI1341" i="2"/>
  <c r="AE1342" i="2"/>
  <c r="AI1342" i="2"/>
  <c r="AE1343" i="2"/>
  <c r="AI1343" i="2" s="1"/>
  <c r="AE1344" i="2"/>
  <c r="AI1344" i="2"/>
  <c r="AE1345" i="2"/>
  <c r="AI1345" i="2" s="1"/>
  <c r="AE1346" i="2"/>
  <c r="AI1346" i="2"/>
  <c r="AE1347" i="2"/>
  <c r="AI1347" i="2" s="1"/>
  <c r="AE1348" i="2"/>
  <c r="AI1348" i="2"/>
  <c r="AE1349" i="2"/>
  <c r="AI1349" i="2"/>
  <c r="AE1350" i="2"/>
  <c r="AI1350" i="2"/>
  <c r="AE1351" i="2"/>
  <c r="AI1351" i="2" s="1"/>
  <c r="AE1352" i="2"/>
  <c r="AI1352" i="2"/>
  <c r="AE1353" i="2"/>
  <c r="AI1353" i="2" s="1"/>
  <c r="AE1354" i="2"/>
  <c r="AI1354" i="2"/>
  <c r="AE1355" i="2"/>
  <c r="AI1355" i="2" s="1"/>
  <c r="AE1356" i="2"/>
  <c r="AI1356" i="2"/>
  <c r="AE1357" i="2"/>
  <c r="AI1357" i="2"/>
  <c r="AE1358" i="2"/>
  <c r="AI1358" i="2"/>
  <c r="AE1359" i="2"/>
  <c r="AI1359" i="2" s="1"/>
  <c r="AE1360" i="2"/>
  <c r="AI1360" i="2"/>
  <c r="AE1361" i="2"/>
  <c r="AI1361" i="2" s="1"/>
  <c r="AE1362" i="2"/>
  <c r="AI1362" i="2"/>
  <c r="AE1363" i="2"/>
  <c r="AI1363" i="2" s="1"/>
  <c r="AE1364" i="2"/>
  <c r="AI1364" i="2"/>
  <c r="AE1365" i="2"/>
  <c r="AI1365" i="2"/>
  <c r="AE1366" i="2"/>
  <c r="AI1366" i="2"/>
  <c r="AE1367" i="2"/>
  <c r="AI1367" i="2" s="1"/>
  <c r="AE1368" i="2"/>
  <c r="AI1368" i="2"/>
  <c r="AE1369" i="2"/>
  <c r="AI1369" i="2" s="1"/>
  <c r="AE1370" i="2"/>
  <c r="AI1370" i="2"/>
  <c r="AI1371" i="2"/>
  <c r="AE1372" i="2"/>
  <c r="AI1372" i="2"/>
  <c r="AI1373" i="2"/>
  <c r="AC1375" i="2"/>
  <c r="AD1375" i="2"/>
  <c r="AE1430" i="2" l="1"/>
  <c r="AI1430" i="2"/>
  <c r="S1430" i="2"/>
  <c r="W1387" i="2"/>
  <c r="W1430" i="2" s="1"/>
  <c r="K1430" i="2"/>
  <c r="G1430" i="2"/>
  <c r="AB1375" i="2"/>
  <c r="AI1332" i="2"/>
  <c r="AI1375" i="2" s="1"/>
  <c r="AE1375" i="2"/>
  <c r="AB1282" i="2"/>
  <c r="AB1281" i="2"/>
  <c r="AB1280" i="2"/>
  <c r="AE1280" i="2" s="1"/>
  <c r="AI1280" i="2" s="1"/>
  <c r="AB1279" i="2"/>
  <c r="AE1279" i="2" s="1"/>
  <c r="AI1279" i="2" s="1"/>
  <c r="AB1278" i="2"/>
  <c r="AE1278" i="2" s="1"/>
  <c r="AI1278" i="2" s="1"/>
  <c r="AG1277" i="2"/>
  <c r="AG1320" i="2" s="1"/>
  <c r="AB1277" i="2"/>
  <c r="AE1277" i="2"/>
  <c r="AA1278" i="2"/>
  <c r="AA1279" i="2" s="1"/>
  <c r="AA1280" i="2" s="1"/>
  <c r="AA1281" i="2" s="1"/>
  <c r="AA1282" i="2" s="1"/>
  <c r="AE1281" i="2"/>
  <c r="AI1281" i="2"/>
  <c r="AE1282" i="2"/>
  <c r="AI1282" i="2" s="1"/>
  <c r="AE1283" i="2"/>
  <c r="AI1283" i="2"/>
  <c r="AE1284" i="2"/>
  <c r="AI1284" i="2"/>
  <c r="AE1285" i="2"/>
  <c r="AI1285" i="2"/>
  <c r="AE1286" i="2"/>
  <c r="AI1286" i="2"/>
  <c r="AE1287" i="2"/>
  <c r="AI1287" i="2"/>
  <c r="AE1288" i="2"/>
  <c r="AI1288" i="2" s="1"/>
  <c r="AE1289" i="2"/>
  <c r="AI1289" i="2"/>
  <c r="AE1290" i="2"/>
  <c r="AI1290" i="2" s="1"/>
  <c r="AE1291" i="2"/>
  <c r="AI1291" i="2"/>
  <c r="AE1292" i="2"/>
  <c r="AI1292" i="2"/>
  <c r="AE1293" i="2"/>
  <c r="AI1293" i="2"/>
  <c r="AE1294" i="2"/>
  <c r="AI1294" i="2"/>
  <c r="AE1295" i="2"/>
  <c r="AI1295" i="2"/>
  <c r="AE1296" i="2"/>
  <c r="AI1296" i="2" s="1"/>
  <c r="AE1297" i="2"/>
  <c r="AI1297" i="2"/>
  <c r="AE1298" i="2"/>
  <c r="AI1298" i="2" s="1"/>
  <c r="AE1299" i="2"/>
  <c r="AI1299" i="2"/>
  <c r="AE1300" i="2"/>
  <c r="AI1300" i="2"/>
  <c r="AE1301" i="2"/>
  <c r="AI1301" i="2"/>
  <c r="AE1302" i="2"/>
  <c r="AI1302" i="2"/>
  <c r="AE1303" i="2"/>
  <c r="AI1303" i="2"/>
  <c r="AE1304" i="2"/>
  <c r="AI1304" i="2" s="1"/>
  <c r="AE1305" i="2"/>
  <c r="AI1305" i="2"/>
  <c r="AE1306" i="2"/>
  <c r="AI1306" i="2" s="1"/>
  <c r="AE1307" i="2"/>
  <c r="AI1307" i="2"/>
  <c r="AE1308" i="2"/>
  <c r="AI1308" i="2"/>
  <c r="AE1309" i="2"/>
  <c r="AI1309" i="2"/>
  <c r="AE1310" i="2"/>
  <c r="AI1310" i="2"/>
  <c r="AE1311" i="2"/>
  <c r="AI1311" i="2"/>
  <c r="AE1312" i="2"/>
  <c r="AI1312" i="2" s="1"/>
  <c r="AE1313" i="2"/>
  <c r="AI1313" i="2"/>
  <c r="AE1314" i="2"/>
  <c r="AI1314" i="2" s="1"/>
  <c r="AE1315" i="2"/>
  <c r="AI1315" i="2"/>
  <c r="AI1316" i="2"/>
  <c r="AE1317" i="2"/>
  <c r="AI1317" i="2"/>
  <c r="AI1318" i="2"/>
  <c r="AC1320" i="2"/>
  <c r="AD1320" i="2"/>
  <c r="AH1320" i="2"/>
  <c r="P1279" i="2"/>
  <c r="S1279" i="2" s="1"/>
  <c r="W1279" i="2" s="1"/>
  <c r="V1278" i="2"/>
  <c r="V1320" i="2" s="1"/>
  <c r="P1278" i="2"/>
  <c r="S1278" i="2" s="1"/>
  <c r="P1277" i="2"/>
  <c r="S1277" i="2"/>
  <c r="O1278" i="2"/>
  <c r="O1279" i="2" s="1"/>
  <c r="S1280" i="2"/>
  <c r="W1280" i="2" s="1"/>
  <c r="S1281" i="2"/>
  <c r="W1281" i="2" s="1"/>
  <c r="S1282" i="2"/>
  <c r="W1282" i="2"/>
  <c r="S1283" i="2"/>
  <c r="W1283" i="2"/>
  <c r="S1284" i="2"/>
  <c r="W1284" i="2"/>
  <c r="S1285" i="2"/>
  <c r="W1285" i="2"/>
  <c r="S1286" i="2"/>
  <c r="W1286" i="2" s="1"/>
  <c r="S1287" i="2"/>
  <c r="W1287" i="2" s="1"/>
  <c r="S1288" i="2"/>
  <c r="W1288" i="2"/>
  <c r="S1289" i="2"/>
  <c r="W1289" i="2"/>
  <c r="S1290" i="2"/>
  <c r="W1290" i="2"/>
  <c r="S1291" i="2"/>
  <c r="W1291" i="2"/>
  <c r="S1292" i="2"/>
  <c r="W1292" i="2"/>
  <c r="S1293" i="2"/>
  <c r="W1293" i="2"/>
  <c r="S1294" i="2"/>
  <c r="W1294" i="2" s="1"/>
  <c r="S1295" i="2"/>
  <c r="W1295" i="2" s="1"/>
  <c r="S1296" i="2"/>
  <c r="W1296" i="2"/>
  <c r="S1297" i="2"/>
  <c r="W1297" i="2"/>
  <c r="S1298" i="2"/>
  <c r="W1298" i="2"/>
  <c r="S1299" i="2"/>
  <c r="W1299" i="2"/>
  <c r="S1300" i="2"/>
  <c r="W1300" i="2"/>
  <c r="S1301" i="2"/>
  <c r="W1301" i="2"/>
  <c r="S1302" i="2"/>
  <c r="W1302" i="2" s="1"/>
  <c r="S1303" i="2"/>
  <c r="W1303" i="2" s="1"/>
  <c r="S1304" i="2"/>
  <c r="W1304" i="2"/>
  <c r="S1305" i="2"/>
  <c r="W1305" i="2"/>
  <c r="S1306" i="2"/>
  <c r="W1306" i="2"/>
  <c r="S1307" i="2"/>
  <c r="W1307" i="2"/>
  <c r="S1308" i="2"/>
  <c r="W1308" i="2"/>
  <c r="S1309" i="2"/>
  <c r="W1309" i="2"/>
  <c r="S1310" i="2"/>
  <c r="W1310" i="2" s="1"/>
  <c r="S1311" i="2"/>
  <c r="W1311" i="2" s="1"/>
  <c r="S1312" i="2"/>
  <c r="W1312" i="2"/>
  <c r="S1313" i="2"/>
  <c r="W1313" i="2"/>
  <c r="S1314" i="2"/>
  <c r="W1314" i="2"/>
  <c r="S1315" i="2"/>
  <c r="W1315" i="2"/>
  <c r="W1316" i="2"/>
  <c r="S1317" i="2"/>
  <c r="W1317" i="2"/>
  <c r="W1318" i="2"/>
  <c r="Q1320" i="2"/>
  <c r="R1320" i="2"/>
  <c r="U1320" i="2"/>
  <c r="D1282" i="2"/>
  <c r="G1282" i="2" s="1"/>
  <c r="K1282" i="2" s="1"/>
  <c r="D1281" i="2"/>
  <c r="D1280" i="2"/>
  <c r="G1280" i="2" s="1"/>
  <c r="K1280" i="2" s="1"/>
  <c r="I1279" i="2"/>
  <c r="I1320" i="2" s="1"/>
  <c r="D1279" i="2"/>
  <c r="D1278" i="2"/>
  <c r="D1277" i="2"/>
  <c r="C1278" i="2"/>
  <c r="C1279" i="2" s="1"/>
  <c r="C1280" i="2" s="1"/>
  <c r="C1281" i="2" s="1"/>
  <c r="C1282" i="2" s="1"/>
  <c r="G1278" i="2"/>
  <c r="K1278" i="2"/>
  <c r="G1281" i="2"/>
  <c r="K1281" i="2" s="1"/>
  <c r="G1283" i="2"/>
  <c r="K1283" i="2"/>
  <c r="G1284" i="2"/>
  <c r="K1284" i="2" s="1"/>
  <c r="G1285" i="2"/>
  <c r="K1285" i="2" s="1"/>
  <c r="G1286" i="2"/>
  <c r="K1286" i="2" s="1"/>
  <c r="G1287" i="2"/>
  <c r="K1287" i="2" s="1"/>
  <c r="G1288" i="2"/>
  <c r="K1288" i="2" s="1"/>
  <c r="G1289" i="2"/>
  <c r="K1289" i="2" s="1"/>
  <c r="G1290" i="2"/>
  <c r="K1290" i="2"/>
  <c r="G1291" i="2"/>
  <c r="K1291" i="2"/>
  <c r="G1292" i="2"/>
  <c r="K1292" i="2"/>
  <c r="G1293" i="2"/>
  <c r="K1293" i="2" s="1"/>
  <c r="G1294" i="2"/>
  <c r="K1294" i="2" s="1"/>
  <c r="G1295" i="2"/>
  <c r="K1295" i="2"/>
  <c r="G1296" i="2"/>
  <c r="K1296" i="2" s="1"/>
  <c r="J1320" i="2"/>
  <c r="G1297" i="2"/>
  <c r="K1297" i="2"/>
  <c r="G1298" i="2"/>
  <c r="K1298" i="2"/>
  <c r="G1299" i="2"/>
  <c r="K1299" i="2"/>
  <c r="G1300" i="2"/>
  <c r="K1300" i="2"/>
  <c r="G1301" i="2"/>
  <c r="K1301" i="2"/>
  <c r="G1302" i="2"/>
  <c r="K1302" i="2"/>
  <c r="G1303" i="2"/>
  <c r="K1303" i="2"/>
  <c r="G1304" i="2"/>
  <c r="K1304" i="2" s="1"/>
  <c r="G1305" i="2"/>
  <c r="K1305" i="2"/>
  <c r="G1306" i="2"/>
  <c r="K1306" i="2"/>
  <c r="G1307" i="2"/>
  <c r="K1307" i="2"/>
  <c r="G1308" i="2"/>
  <c r="K1308" i="2"/>
  <c r="G1309" i="2"/>
  <c r="K1309" i="2"/>
  <c r="G1310" i="2"/>
  <c r="K1310" i="2"/>
  <c r="G1317" i="2"/>
  <c r="K1317" i="2"/>
  <c r="E1320" i="2"/>
  <c r="F1320" i="2"/>
  <c r="AI1277" i="2" l="1"/>
  <c r="AI1320" i="2" s="1"/>
  <c r="AE1320" i="2"/>
  <c r="AB1320" i="2"/>
  <c r="W1278" i="2"/>
  <c r="P1320" i="2"/>
  <c r="W1277" i="2"/>
  <c r="W1320" i="2" s="1"/>
  <c r="S1320" i="2"/>
  <c r="D1320" i="2"/>
  <c r="G1277" i="2"/>
  <c r="K1277" i="2"/>
  <c r="G1279" i="2"/>
  <c r="K1279" i="2" s="1"/>
  <c r="AB1224" i="2"/>
  <c r="AH1223" i="2"/>
  <c r="AC1223" i="2"/>
  <c r="AE1223" i="2"/>
  <c r="AI1223" i="2" s="1"/>
  <c r="AB1223" i="2"/>
  <c r="AB1222" i="2"/>
  <c r="AE1222" i="2" s="1"/>
  <c r="AA1223" i="2"/>
  <c r="AA1224" i="2" s="1"/>
  <c r="AE1224" i="2"/>
  <c r="AI1224" i="2" s="1"/>
  <c r="AE1226" i="2"/>
  <c r="AI1226" i="2"/>
  <c r="AE1227" i="2"/>
  <c r="AI1227" i="2" s="1"/>
  <c r="AE1228" i="2"/>
  <c r="AI1228" i="2"/>
  <c r="AE1229" i="2"/>
  <c r="AI1229" i="2" s="1"/>
  <c r="AE1230" i="2"/>
  <c r="AI1230" i="2"/>
  <c r="AE1231" i="2"/>
  <c r="AI1231" i="2"/>
  <c r="AE1232" i="2"/>
  <c r="AI1232" i="2"/>
  <c r="AE1233" i="2"/>
  <c r="AI1233" i="2" s="1"/>
  <c r="AE1234" i="2"/>
  <c r="AI1234" i="2"/>
  <c r="AE1235" i="2"/>
  <c r="AI1235" i="2" s="1"/>
  <c r="AE1236" i="2"/>
  <c r="AI1236" i="2"/>
  <c r="AE1237" i="2"/>
  <c r="AI1237" i="2"/>
  <c r="AE1238" i="2"/>
  <c r="AI1238" i="2"/>
  <c r="AE1239" i="2"/>
  <c r="AI1239" i="2"/>
  <c r="AE1240" i="2"/>
  <c r="AI1240" i="2"/>
  <c r="AE1241" i="2"/>
  <c r="AI1241" i="2" s="1"/>
  <c r="AE1242" i="2"/>
  <c r="AI1242" i="2"/>
  <c r="AE1243" i="2"/>
  <c r="AI1243" i="2" s="1"/>
  <c r="AE1244" i="2"/>
  <c r="AI1244" i="2"/>
  <c r="AE1245" i="2"/>
  <c r="AI1245" i="2"/>
  <c r="AE1246" i="2"/>
  <c r="AI1246" i="2"/>
  <c r="AE1247" i="2"/>
  <c r="AI1247" i="2"/>
  <c r="AE1248" i="2"/>
  <c r="AI1248" i="2"/>
  <c r="AE1249" i="2"/>
  <c r="AI1249" i="2" s="1"/>
  <c r="AE1250" i="2"/>
  <c r="AI1250" i="2"/>
  <c r="AE1251" i="2"/>
  <c r="AI1251" i="2" s="1"/>
  <c r="AE1252" i="2"/>
  <c r="AI1252" i="2"/>
  <c r="AE1253" i="2"/>
  <c r="AI1253" i="2"/>
  <c r="AE1254" i="2"/>
  <c r="AI1254" i="2"/>
  <c r="AE1255" i="2"/>
  <c r="AI1255" i="2"/>
  <c r="AE1256" i="2"/>
  <c r="AI1256" i="2"/>
  <c r="AE1257" i="2"/>
  <c r="AI1257" i="2" s="1"/>
  <c r="AE1258" i="2"/>
  <c r="AI1258" i="2"/>
  <c r="AE1259" i="2"/>
  <c r="AI1259" i="2" s="1"/>
  <c r="AE1260" i="2"/>
  <c r="AI1260" i="2"/>
  <c r="AI1261" i="2"/>
  <c r="AE1262" i="2"/>
  <c r="AI1262" i="2"/>
  <c r="AI1263" i="2"/>
  <c r="AD1265" i="2"/>
  <c r="AG1265" i="2"/>
  <c r="AH1265" i="2"/>
  <c r="P1228" i="2"/>
  <c r="P1227" i="2"/>
  <c r="S1227" i="2" s="1"/>
  <c r="W1227" i="2" s="1"/>
  <c r="P1226" i="2"/>
  <c r="P1225" i="2"/>
  <c r="P1224" i="2"/>
  <c r="S1224" i="2" s="1"/>
  <c r="W1224" i="2" s="1"/>
  <c r="P1223" i="2"/>
  <c r="P1222" i="2"/>
  <c r="S1222" i="2" s="1"/>
  <c r="O1223" i="2"/>
  <c r="S1223" i="2"/>
  <c r="W1223" i="2" s="1"/>
  <c r="O1224" i="2"/>
  <c r="O1225" i="2" s="1"/>
  <c r="O1226" i="2" s="1"/>
  <c r="O1227" i="2" s="1"/>
  <c r="O1228" i="2" s="1"/>
  <c r="S1225" i="2"/>
  <c r="W1225" i="2" s="1"/>
  <c r="S1226" i="2"/>
  <c r="W1226" i="2" s="1"/>
  <c r="S1228" i="2"/>
  <c r="W1228" i="2"/>
  <c r="S1229" i="2"/>
  <c r="W1229" i="2" s="1"/>
  <c r="S1230" i="2"/>
  <c r="W1230" i="2" s="1"/>
  <c r="S1231" i="2"/>
  <c r="W1231" i="2" s="1"/>
  <c r="S1232" i="2"/>
  <c r="W1232" i="2"/>
  <c r="S1233" i="2"/>
  <c r="W1233" i="2"/>
  <c r="S1234" i="2"/>
  <c r="W1234" i="2"/>
  <c r="S1235" i="2"/>
  <c r="W1235" i="2" s="1"/>
  <c r="S1236" i="2"/>
  <c r="W1236" i="2"/>
  <c r="S1237" i="2"/>
  <c r="W1237" i="2"/>
  <c r="S1238" i="2"/>
  <c r="W1238" i="2"/>
  <c r="S1239" i="2"/>
  <c r="W1239" i="2" s="1"/>
  <c r="S1240" i="2"/>
  <c r="W1240" i="2"/>
  <c r="S1241" i="2"/>
  <c r="W1241" i="2"/>
  <c r="S1242" i="2"/>
  <c r="W1242" i="2" s="1"/>
  <c r="S1243" i="2"/>
  <c r="W1243" i="2"/>
  <c r="S1244" i="2"/>
  <c r="W1244" i="2"/>
  <c r="S1245" i="2"/>
  <c r="W1245" i="2"/>
  <c r="S1246" i="2"/>
  <c r="W1246" i="2"/>
  <c r="S1247" i="2"/>
  <c r="W1247" i="2" s="1"/>
  <c r="S1248" i="2"/>
  <c r="W1248" i="2"/>
  <c r="S1249" i="2"/>
  <c r="W1249" i="2"/>
  <c r="S1250" i="2"/>
  <c r="W1250" i="2" s="1"/>
  <c r="S1251" i="2"/>
  <c r="W1251" i="2"/>
  <c r="S1252" i="2"/>
  <c r="W1252" i="2"/>
  <c r="S1253" i="2"/>
  <c r="W1253" i="2"/>
  <c r="S1254" i="2"/>
  <c r="W1254" i="2"/>
  <c r="S1255" i="2"/>
  <c r="W1255" i="2" s="1"/>
  <c r="S1256" i="2"/>
  <c r="W1256" i="2"/>
  <c r="S1257" i="2"/>
  <c r="W1257" i="2"/>
  <c r="S1258" i="2"/>
  <c r="W1258" i="2" s="1"/>
  <c r="S1259" i="2"/>
  <c r="W1259" i="2"/>
  <c r="S1260" i="2"/>
  <c r="W1260" i="2"/>
  <c r="W1261" i="2"/>
  <c r="S1262" i="2"/>
  <c r="W1262" i="2"/>
  <c r="W1263" i="2"/>
  <c r="Q1265" i="2"/>
  <c r="R1265" i="2"/>
  <c r="U1265" i="2"/>
  <c r="V1265" i="2"/>
  <c r="J1241" i="2"/>
  <c r="D1241" i="2"/>
  <c r="G1241" i="2" s="1"/>
  <c r="K1241" i="2" s="1"/>
  <c r="D1240" i="2"/>
  <c r="G1240" i="2" s="1"/>
  <c r="K1240" i="2" s="1"/>
  <c r="D1239" i="2"/>
  <c r="G1239" i="2" s="1"/>
  <c r="K1239" i="2" s="1"/>
  <c r="D1238" i="2"/>
  <c r="D1237" i="2"/>
  <c r="G1237" i="2" s="1"/>
  <c r="K1237" i="2" s="1"/>
  <c r="D1236" i="2"/>
  <c r="G1236" i="2" s="1"/>
  <c r="K1236" i="2" s="1"/>
  <c r="D1235" i="2"/>
  <c r="G1235" i="2" s="1"/>
  <c r="K1235" i="2" s="1"/>
  <c r="D1234" i="2"/>
  <c r="G1234" i="2" s="1"/>
  <c r="K1234" i="2" s="1"/>
  <c r="D1233" i="2"/>
  <c r="D1232" i="2"/>
  <c r="G1232" i="2" s="1"/>
  <c r="K1232" i="2" s="1"/>
  <c r="D1231" i="2"/>
  <c r="D1230" i="2"/>
  <c r="I1229" i="2"/>
  <c r="I1265" i="2" s="1"/>
  <c r="D1229" i="2"/>
  <c r="D1228" i="2"/>
  <c r="D1227" i="2"/>
  <c r="G1227" i="2"/>
  <c r="K1227" i="2" s="1"/>
  <c r="D1226" i="2"/>
  <c r="D1225" i="2"/>
  <c r="G1225" i="2" s="1"/>
  <c r="K1225" i="2" s="1"/>
  <c r="D1224" i="2"/>
  <c r="D1223" i="2"/>
  <c r="G1223" i="2" s="1"/>
  <c r="D1222" i="2"/>
  <c r="C1223" i="2"/>
  <c r="C1224" i="2"/>
  <c r="C1225" i="2"/>
  <c r="C1226" i="2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G1226" i="2"/>
  <c r="K1226" i="2"/>
  <c r="G1228" i="2"/>
  <c r="K1228" i="2"/>
  <c r="G1229" i="2"/>
  <c r="G1230" i="2"/>
  <c r="K1230" i="2" s="1"/>
  <c r="G1231" i="2"/>
  <c r="K1231" i="2" s="1"/>
  <c r="G1233" i="2"/>
  <c r="K1233" i="2" s="1"/>
  <c r="J1265" i="2"/>
  <c r="G1238" i="2"/>
  <c r="K1238" i="2" s="1"/>
  <c r="G1242" i="2"/>
  <c r="K1242" i="2"/>
  <c r="G1243" i="2"/>
  <c r="K1243" i="2"/>
  <c r="G1244" i="2"/>
  <c r="K1244" i="2" s="1"/>
  <c r="G1245" i="2"/>
  <c r="K1245" i="2"/>
  <c r="G1246" i="2"/>
  <c r="K1246" i="2"/>
  <c r="G1247" i="2"/>
  <c r="K1247" i="2"/>
  <c r="G1248" i="2"/>
  <c r="K1248" i="2"/>
  <c r="G1249" i="2"/>
  <c r="K1249" i="2" s="1"/>
  <c r="G1250" i="2"/>
  <c r="K1250" i="2"/>
  <c r="G1251" i="2"/>
  <c r="K1251" i="2"/>
  <c r="G1252" i="2"/>
  <c r="K1252" i="2" s="1"/>
  <c r="G1253" i="2"/>
  <c r="K1253" i="2"/>
  <c r="G1254" i="2"/>
  <c r="K1254" i="2"/>
  <c r="G1255" i="2"/>
  <c r="K1255" i="2"/>
  <c r="G1262" i="2"/>
  <c r="K1262" i="2"/>
  <c r="E1265" i="2"/>
  <c r="F1265" i="2"/>
  <c r="K1320" i="2" l="1"/>
  <c r="G1320" i="2"/>
  <c r="AC1265" i="2"/>
  <c r="AB1265" i="2"/>
  <c r="AI1222" i="2"/>
  <c r="AE1225" i="2"/>
  <c r="AI1225" i="2" s="1"/>
  <c r="P1265" i="2"/>
  <c r="W1222" i="2"/>
  <c r="W1265" i="2" s="1"/>
  <c r="S1265" i="2"/>
  <c r="K1229" i="2"/>
  <c r="D1265" i="2"/>
  <c r="G1222" i="2"/>
  <c r="K1222" i="2" s="1"/>
  <c r="G1224" i="2"/>
  <c r="K1224" i="2" s="1"/>
  <c r="K1223" i="2"/>
  <c r="K1265" i="2" s="1"/>
  <c r="AB1171" i="2"/>
  <c r="AB1170" i="2"/>
  <c r="AE1170" i="2" s="1"/>
  <c r="AI1170" i="2" s="1"/>
  <c r="AB1169" i="2"/>
  <c r="AB1168" i="2"/>
  <c r="AB1167" i="2"/>
  <c r="AB1210" i="2" s="1"/>
  <c r="AE1167" i="2"/>
  <c r="AI1167" i="2" s="1"/>
  <c r="AA1168" i="2"/>
  <c r="AE1168" i="2"/>
  <c r="AA1169" i="2"/>
  <c r="AE1169" i="2"/>
  <c r="AI1169" i="2" s="1"/>
  <c r="AA1170" i="2"/>
  <c r="AA1171" i="2"/>
  <c r="AE1171" i="2"/>
  <c r="AI1171" i="2"/>
  <c r="AE1172" i="2"/>
  <c r="AI1172" i="2"/>
  <c r="AE1173" i="2"/>
  <c r="AI1173" i="2"/>
  <c r="AE1174" i="2"/>
  <c r="AI1174" i="2"/>
  <c r="AE1175" i="2"/>
  <c r="AI1175" i="2"/>
  <c r="AE1176" i="2"/>
  <c r="AI1176" i="2"/>
  <c r="AE1177" i="2"/>
  <c r="AI1177" i="2"/>
  <c r="AE1178" i="2"/>
  <c r="AI1178" i="2" s="1"/>
  <c r="AE1179" i="2"/>
  <c r="AI1179" i="2"/>
  <c r="AE1180" i="2"/>
  <c r="AI1180" i="2"/>
  <c r="AE1181" i="2"/>
  <c r="AI1181" i="2"/>
  <c r="AE1182" i="2"/>
  <c r="AI1182" i="2"/>
  <c r="AE1183" i="2"/>
  <c r="AI1183" i="2"/>
  <c r="AE1184" i="2"/>
  <c r="AI1184" i="2"/>
  <c r="AE1185" i="2"/>
  <c r="AI1185" i="2"/>
  <c r="AE1186" i="2"/>
  <c r="AI1186" i="2" s="1"/>
  <c r="AE1187" i="2"/>
  <c r="AI1187" i="2"/>
  <c r="AE1188" i="2"/>
  <c r="AI1188" i="2"/>
  <c r="AE1189" i="2"/>
  <c r="AI1189" i="2"/>
  <c r="AE1190" i="2"/>
  <c r="AI1190" i="2"/>
  <c r="AE1191" i="2"/>
  <c r="AI1191" i="2"/>
  <c r="AE1192" i="2"/>
  <c r="AI1192" i="2"/>
  <c r="AE1193" i="2"/>
  <c r="AI1193" i="2"/>
  <c r="AE1194" i="2"/>
  <c r="AI1194" i="2" s="1"/>
  <c r="AE1195" i="2"/>
  <c r="AI1195" i="2"/>
  <c r="AE1196" i="2"/>
  <c r="AI1196" i="2"/>
  <c r="AE1197" i="2"/>
  <c r="AI1197" i="2"/>
  <c r="AE1198" i="2"/>
  <c r="AI1198" i="2"/>
  <c r="AE1199" i="2"/>
  <c r="AI1199" i="2"/>
  <c r="AE1200" i="2"/>
  <c r="AI1200" i="2"/>
  <c r="AE1201" i="2"/>
  <c r="AI1201" i="2"/>
  <c r="AE1202" i="2"/>
  <c r="AI1202" i="2" s="1"/>
  <c r="AE1203" i="2"/>
  <c r="AI1203" i="2"/>
  <c r="AE1204" i="2"/>
  <c r="AI1204" i="2"/>
  <c r="AE1205" i="2"/>
  <c r="AI1205" i="2"/>
  <c r="AI1206" i="2"/>
  <c r="AE1207" i="2"/>
  <c r="AI1207" i="2"/>
  <c r="AI1208" i="2"/>
  <c r="AC1210" i="2"/>
  <c r="AD1210" i="2"/>
  <c r="AG1210" i="2"/>
  <c r="AH1210" i="2"/>
  <c r="P1181" i="2"/>
  <c r="S1181" i="2" s="1"/>
  <c r="W1181" i="2" s="1"/>
  <c r="P1180" i="2"/>
  <c r="S1180" i="2" s="1"/>
  <c r="W1180" i="2" s="1"/>
  <c r="P1179" i="2"/>
  <c r="P1178" i="2"/>
  <c r="S1178" i="2" s="1"/>
  <c r="W1178" i="2" s="1"/>
  <c r="P1177" i="2"/>
  <c r="S1177" i="2" s="1"/>
  <c r="W1177" i="2" s="1"/>
  <c r="P1176" i="2"/>
  <c r="P1175" i="2"/>
  <c r="P1174" i="2"/>
  <c r="S1174" i="2" s="1"/>
  <c r="W1174" i="2" s="1"/>
  <c r="P1173" i="2"/>
  <c r="S1173" i="2" s="1"/>
  <c r="W1173" i="2" s="1"/>
  <c r="P1172" i="2"/>
  <c r="P1171" i="2"/>
  <c r="S1171" i="2" s="1"/>
  <c r="W1171" i="2" s="1"/>
  <c r="P1170" i="2"/>
  <c r="S1170" i="2" s="1"/>
  <c r="W1170" i="2" s="1"/>
  <c r="P1169" i="2"/>
  <c r="S1169" i="2" s="1"/>
  <c r="W1169" i="2" s="1"/>
  <c r="P1168" i="2"/>
  <c r="P1167" i="2"/>
  <c r="S1167" i="2"/>
  <c r="W1167" i="2" s="1"/>
  <c r="O1168" i="2"/>
  <c r="S1168" i="2"/>
  <c r="W1168" i="2" s="1"/>
  <c r="O1169" i="2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S1172" i="2"/>
  <c r="W1172" i="2" s="1"/>
  <c r="S1175" i="2"/>
  <c r="W1175" i="2"/>
  <c r="S1176" i="2"/>
  <c r="W1176" i="2" s="1"/>
  <c r="S1179" i="2"/>
  <c r="W1179" i="2" s="1"/>
  <c r="S1182" i="2"/>
  <c r="W1182" i="2"/>
  <c r="S1183" i="2"/>
  <c r="W1183" i="2"/>
  <c r="S1184" i="2"/>
  <c r="W1184" i="2"/>
  <c r="S1185" i="2"/>
  <c r="W1185" i="2"/>
  <c r="S1186" i="2"/>
  <c r="W1186" i="2" s="1"/>
  <c r="S1187" i="2"/>
  <c r="W1187" i="2" s="1"/>
  <c r="S1188" i="2"/>
  <c r="W1188" i="2"/>
  <c r="S1189" i="2"/>
  <c r="W1189" i="2" s="1"/>
  <c r="S1190" i="2"/>
  <c r="W1190" i="2"/>
  <c r="S1191" i="2"/>
  <c r="W1191" i="2"/>
  <c r="S1192" i="2"/>
  <c r="W1192" i="2"/>
  <c r="S1193" i="2"/>
  <c r="W1193" i="2"/>
  <c r="S1194" i="2"/>
  <c r="W1194" i="2" s="1"/>
  <c r="S1195" i="2"/>
  <c r="W1195" i="2"/>
  <c r="S1196" i="2"/>
  <c r="W1196" i="2"/>
  <c r="S1197" i="2"/>
  <c r="W1197" i="2"/>
  <c r="S1198" i="2"/>
  <c r="W1198" i="2"/>
  <c r="S1199" i="2"/>
  <c r="W1199" i="2"/>
  <c r="S1200" i="2"/>
  <c r="W1200" i="2"/>
  <c r="S1201" i="2"/>
  <c r="W1201" i="2"/>
  <c r="S1202" i="2"/>
  <c r="W1202" i="2" s="1"/>
  <c r="S1203" i="2"/>
  <c r="W1203" i="2"/>
  <c r="S1204" i="2"/>
  <c r="W1204" i="2"/>
  <c r="S1205" i="2"/>
  <c r="W1205" i="2"/>
  <c r="W1206" i="2"/>
  <c r="S1207" i="2"/>
  <c r="W1207" i="2" s="1"/>
  <c r="W1208" i="2"/>
  <c r="Q1210" i="2"/>
  <c r="R1210" i="2"/>
  <c r="U1210" i="2"/>
  <c r="V1210" i="2"/>
  <c r="J1178" i="2"/>
  <c r="J1210" i="2" s="1"/>
  <c r="D1178" i="2"/>
  <c r="G1178" i="2" s="1"/>
  <c r="K1178" i="2" s="1"/>
  <c r="I1177" i="2"/>
  <c r="D1177" i="2"/>
  <c r="G1177" i="2" s="1"/>
  <c r="K1177" i="2" s="1"/>
  <c r="D1176" i="2"/>
  <c r="G1176" i="2" s="1"/>
  <c r="K1176" i="2" s="1"/>
  <c r="D1175" i="2"/>
  <c r="G1175" i="2" s="1"/>
  <c r="K1175" i="2" s="1"/>
  <c r="D1174" i="2"/>
  <c r="G1174" i="2" s="1"/>
  <c r="K1174" i="2" s="1"/>
  <c r="D1173" i="2"/>
  <c r="G1173" i="2" s="1"/>
  <c r="K1173" i="2" s="1"/>
  <c r="D1172" i="2"/>
  <c r="D1171" i="2"/>
  <c r="G1171" i="2" s="1"/>
  <c r="K1171" i="2" s="1"/>
  <c r="D1170" i="2"/>
  <c r="G1170" i="2"/>
  <c r="K1170" i="2" s="1"/>
  <c r="D1169" i="2"/>
  <c r="D1168" i="2"/>
  <c r="G1168" i="2" s="1"/>
  <c r="K1168" i="2" s="1"/>
  <c r="D1167" i="2"/>
  <c r="G1167" i="2" s="1"/>
  <c r="C1168" i="2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G1169" i="2"/>
  <c r="K1169" i="2" s="1"/>
  <c r="G1172" i="2"/>
  <c r="K1172" i="2" s="1"/>
  <c r="G1179" i="2"/>
  <c r="K1179" i="2"/>
  <c r="G1180" i="2"/>
  <c r="K1180" i="2" s="1"/>
  <c r="G1181" i="2"/>
  <c r="K1181" i="2" s="1"/>
  <c r="G1182" i="2"/>
  <c r="K1182" i="2"/>
  <c r="G1183" i="2"/>
  <c r="K1183" i="2" s="1"/>
  <c r="G1184" i="2"/>
  <c r="K1184" i="2" s="1"/>
  <c r="G1185" i="2"/>
  <c r="K1185" i="2" s="1"/>
  <c r="G1186" i="2"/>
  <c r="K1186" i="2"/>
  <c r="G1187" i="2"/>
  <c r="K1187" i="2"/>
  <c r="G1188" i="2"/>
  <c r="K1188" i="2" s="1"/>
  <c r="G1189" i="2"/>
  <c r="K1189" i="2"/>
  <c r="G1190" i="2"/>
  <c r="K1190" i="2"/>
  <c r="G1191" i="2"/>
  <c r="K1191" i="2"/>
  <c r="G1192" i="2"/>
  <c r="K1192" i="2" s="1"/>
  <c r="G1193" i="2"/>
  <c r="K1193" i="2" s="1"/>
  <c r="G1194" i="2"/>
  <c r="K1194" i="2"/>
  <c r="G1195" i="2"/>
  <c r="K1195" i="2"/>
  <c r="G1196" i="2"/>
  <c r="K1196" i="2" s="1"/>
  <c r="G1197" i="2"/>
  <c r="K1197" i="2"/>
  <c r="G1198" i="2"/>
  <c r="K1198" i="2"/>
  <c r="G1199" i="2"/>
  <c r="K1199" i="2"/>
  <c r="G1200" i="2"/>
  <c r="K1200" i="2" s="1"/>
  <c r="G1207" i="2"/>
  <c r="K1207" i="2" s="1"/>
  <c r="E1210" i="2"/>
  <c r="F1210" i="2"/>
  <c r="I1210" i="2"/>
  <c r="AE1265" i="2" l="1"/>
  <c r="AI1265" i="2"/>
  <c r="G1265" i="2"/>
  <c r="AE1210" i="2"/>
  <c r="AI1168" i="2"/>
  <c r="AI1210" i="2" s="1"/>
  <c r="P1210" i="2"/>
  <c r="S1210" i="2"/>
  <c r="W1210" i="2"/>
  <c r="K1167" i="2"/>
  <c r="K1210" i="2" s="1"/>
  <c r="G1210" i="2"/>
  <c r="D1210" i="2"/>
  <c r="AB1116" i="2"/>
  <c r="AE1116" i="2" s="1"/>
  <c r="AI1116" i="2" s="1"/>
  <c r="AB1115" i="2"/>
  <c r="AB1114" i="2"/>
  <c r="AB1113" i="2"/>
  <c r="AE1113" i="2" s="1"/>
  <c r="AI1113" i="2" s="1"/>
  <c r="AB1112" i="2"/>
  <c r="AA1113" i="2"/>
  <c r="AA1114" i="2" s="1"/>
  <c r="AA1115" i="2" s="1"/>
  <c r="AA1116" i="2" s="1"/>
  <c r="AE1114" i="2"/>
  <c r="AI1114" i="2" s="1"/>
  <c r="AE1115" i="2"/>
  <c r="AI1115" i="2" s="1"/>
  <c r="AE1117" i="2"/>
  <c r="AI1117" i="2" s="1"/>
  <c r="AE1118" i="2"/>
  <c r="AI1118" i="2" s="1"/>
  <c r="AE1119" i="2"/>
  <c r="AI1119" i="2" s="1"/>
  <c r="AE1120" i="2"/>
  <c r="AI1120" i="2" s="1"/>
  <c r="AE1121" i="2"/>
  <c r="AI1121" i="2"/>
  <c r="AE1122" i="2"/>
  <c r="AI1122" i="2"/>
  <c r="AE1123" i="2"/>
  <c r="AI1123" i="2"/>
  <c r="AE1124" i="2"/>
  <c r="AI1124" i="2"/>
  <c r="AE1125" i="2"/>
  <c r="AI1125" i="2"/>
  <c r="AE1126" i="2"/>
  <c r="AI1126" i="2" s="1"/>
  <c r="AE1127" i="2"/>
  <c r="AI1127" i="2"/>
  <c r="AE1128" i="2"/>
  <c r="AI1128" i="2"/>
  <c r="AE1129" i="2"/>
  <c r="AI1129" i="2"/>
  <c r="AE1130" i="2"/>
  <c r="AI1130" i="2"/>
  <c r="AE1131" i="2"/>
  <c r="AI1131" i="2"/>
  <c r="AE1132" i="2"/>
  <c r="AI1132" i="2"/>
  <c r="AE1133" i="2"/>
  <c r="AI1133" i="2"/>
  <c r="AE1134" i="2"/>
  <c r="AI1134" i="2" s="1"/>
  <c r="AE1135" i="2"/>
  <c r="AI1135" i="2"/>
  <c r="AE1136" i="2"/>
  <c r="AI1136" i="2" s="1"/>
  <c r="AE1137" i="2"/>
  <c r="AI1137" i="2"/>
  <c r="AE1138" i="2"/>
  <c r="AI1138" i="2"/>
  <c r="AE1139" i="2"/>
  <c r="AI1139" i="2"/>
  <c r="AE1140" i="2"/>
  <c r="AI1140" i="2"/>
  <c r="AE1141" i="2"/>
  <c r="AI1141" i="2"/>
  <c r="AE1142" i="2"/>
  <c r="AI1142" i="2" s="1"/>
  <c r="AE1143" i="2"/>
  <c r="AI1143" i="2"/>
  <c r="AE1144" i="2"/>
  <c r="AI1144" i="2"/>
  <c r="AE1145" i="2"/>
  <c r="AI1145" i="2"/>
  <c r="AE1146" i="2"/>
  <c r="AI1146" i="2"/>
  <c r="AE1147" i="2"/>
  <c r="AI1147" i="2"/>
  <c r="AE1148" i="2"/>
  <c r="AI1148" i="2"/>
  <c r="AE1149" i="2"/>
  <c r="AI1149" i="2"/>
  <c r="AE1150" i="2"/>
  <c r="AI1150" i="2" s="1"/>
  <c r="AI1151" i="2"/>
  <c r="AE1152" i="2"/>
  <c r="AI1152" i="2"/>
  <c r="AI1153" i="2"/>
  <c r="AC1155" i="2"/>
  <c r="AD1155" i="2"/>
  <c r="AG1155" i="2"/>
  <c r="AH1155" i="2"/>
  <c r="V1114" i="2"/>
  <c r="P1114" i="2"/>
  <c r="P1113" i="2"/>
  <c r="S1113" i="2" s="1"/>
  <c r="P1112" i="2"/>
  <c r="S1112" i="2" s="1"/>
  <c r="W1112" i="2" s="1"/>
  <c r="O1113" i="2"/>
  <c r="O1114" i="2" s="1"/>
  <c r="S1114" i="2"/>
  <c r="W1114" i="2"/>
  <c r="S1115" i="2"/>
  <c r="W1115" i="2" s="1"/>
  <c r="U1155" i="2"/>
  <c r="V1155" i="2"/>
  <c r="S1116" i="2"/>
  <c r="W1116" i="2" s="1"/>
  <c r="S1117" i="2"/>
  <c r="W1117" i="2" s="1"/>
  <c r="S1118" i="2"/>
  <c r="W1118" i="2" s="1"/>
  <c r="S1119" i="2"/>
  <c r="W1119" i="2"/>
  <c r="S1120" i="2"/>
  <c r="W1120" i="2" s="1"/>
  <c r="S1121" i="2"/>
  <c r="W1121" i="2" s="1"/>
  <c r="S1122" i="2"/>
  <c r="W1122" i="2"/>
  <c r="S1123" i="2"/>
  <c r="W1123" i="2" s="1"/>
  <c r="S1124" i="2"/>
  <c r="W1124" i="2" s="1"/>
  <c r="S1125" i="2"/>
  <c r="W1125" i="2"/>
  <c r="S1126" i="2"/>
  <c r="W1126" i="2"/>
  <c r="S1127" i="2"/>
  <c r="W1127" i="2"/>
  <c r="S1128" i="2"/>
  <c r="W1128" i="2" s="1"/>
  <c r="S1129" i="2"/>
  <c r="W1129" i="2" s="1"/>
  <c r="S1130" i="2"/>
  <c r="W1130" i="2"/>
  <c r="S1131" i="2"/>
  <c r="W1131" i="2" s="1"/>
  <c r="S1132" i="2"/>
  <c r="W1132" i="2" s="1"/>
  <c r="S1133" i="2"/>
  <c r="W1133" i="2"/>
  <c r="S1134" i="2"/>
  <c r="W1134" i="2"/>
  <c r="S1135" i="2"/>
  <c r="W1135" i="2"/>
  <c r="S1136" i="2"/>
  <c r="W1136" i="2" s="1"/>
  <c r="S1137" i="2"/>
  <c r="W1137" i="2" s="1"/>
  <c r="S1138" i="2"/>
  <c r="W1138" i="2"/>
  <c r="S1139" i="2"/>
  <c r="W1139" i="2" s="1"/>
  <c r="S1140" i="2"/>
  <c r="W1140" i="2"/>
  <c r="S1141" i="2"/>
  <c r="W1141" i="2"/>
  <c r="S1142" i="2"/>
  <c r="W1142" i="2"/>
  <c r="S1143" i="2"/>
  <c r="W1143" i="2"/>
  <c r="S1144" i="2"/>
  <c r="W1144" i="2" s="1"/>
  <c r="S1145" i="2"/>
  <c r="W1145" i="2" s="1"/>
  <c r="S1146" i="2"/>
  <c r="W1146" i="2"/>
  <c r="S1147" i="2"/>
  <c r="W1147" i="2" s="1"/>
  <c r="S1148" i="2"/>
  <c r="W1148" i="2"/>
  <c r="S1149" i="2"/>
  <c r="W1149" i="2"/>
  <c r="S1150" i="2"/>
  <c r="W1150" i="2"/>
  <c r="W1151" i="2"/>
  <c r="S1152" i="2"/>
  <c r="W1152" i="2"/>
  <c r="W1153" i="2"/>
  <c r="Q1155" i="2"/>
  <c r="R1155" i="2"/>
  <c r="J1120" i="2"/>
  <c r="J1155" i="2" s="1"/>
  <c r="I1120" i="2"/>
  <c r="D1120" i="2"/>
  <c r="G1120" i="2" s="1"/>
  <c r="D1119" i="2"/>
  <c r="G1119" i="2" s="1"/>
  <c r="K1119" i="2" s="1"/>
  <c r="D1118" i="2"/>
  <c r="G1118" i="2" s="1"/>
  <c r="K1118" i="2" s="1"/>
  <c r="D1117" i="2"/>
  <c r="G1117" i="2" s="1"/>
  <c r="K1117" i="2" s="1"/>
  <c r="D1116" i="2"/>
  <c r="G1116" i="2" s="1"/>
  <c r="K1116" i="2" s="1"/>
  <c r="D1115" i="2"/>
  <c r="G1115" i="2" s="1"/>
  <c r="K1115" i="2" s="1"/>
  <c r="I1115" i="2"/>
  <c r="I1114" i="2"/>
  <c r="D1114" i="2"/>
  <c r="G1114" i="2" s="1"/>
  <c r="D1113" i="2"/>
  <c r="G1113" i="2" s="1"/>
  <c r="I1112" i="2"/>
  <c r="D1112" i="2"/>
  <c r="C1113" i="2"/>
  <c r="C1114" i="2" s="1"/>
  <c r="C1115" i="2" s="1"/>
  <c r="C1116" i="2" s="1"/>
  <c r="C1117" i="2" s="1"/>
  <c r="C1118" i="2" s="1"/>
  <c r="C1119" i="2" s="1"/>
  <c r="G1121" i="2"/>
  <c r="K1121" i="2" s="1"/>
  <c r="G1122" i="2"/>
  <c r="K1122" i="2" s="1"/>
  <c r="G1123" i="2"/>
  <c r="K1123" i="2"/>
  <c r="G1124" i="2"/>
  <c r="K1124" i="2"/>
  <c r="G1125" i="2"/>
  <c r="K1125" i="2"/>
  <c r="G1126" i="2"/>
  <c r="K1126" i="2"/>
  <c r="G1127" i="2"/>
  <c r="K1127" i="2"/>
  <c r="G1128" i="2"/>
  <c r="K1128" i="2"/>
  <c r="G1129" i="2"/>
  <c r="K1129" i="2"/>
  <c r="G1130" i="2"/>
  <c r="K1130" i="2"/>
  <c r="G1131" i="2"/>
  <c r="K1131" i="2"/>
  <c r="G1132" i="2"/>
  <c r="K1132" i="2"/>
  <c r="G1133" i="2"/>
  <c r="K1133" i="2"/>
  <c r="G1134" i="2"/>
  <c r="K1134" i="2"/>
  <c r="G1135" i="2"/>
  <c r="K1135" i="2"/>
  <c r="G1136" i="2"/>
  <c r="K1136" i="2"/>
  <c r="G1137" i="2"/>
  <c r="K1137" i="2"/>
  <c r="G1138" i="2"/>
  <c r="K1138" i="2"/>
  <c r="G1139" i="2"/>
  <c r="K1139" i="2"/>
  <c r="G1140" i="2"/>
  <c r="K1140" i="2"/>
  <c r="G1141" i="2"/>
  <c r="K1141" i="2"/>
  <c r="G1142" i="2"/>
  <c r="K1142" i="2"/>
  <c r="G1143" i="2"/>
  <c r="K1143" i="2"/>
  <c r="G1144" i="2"/>
  <c r="K1144" i="2"/>
  <c r="G1145" i="2"/>
  <c r="K1145" i="2"/>
  <c r="G1152" i="2"/>
  <c r="K1152" i="2"/>
  <c r="E1155" i="2"/>
  <c r="F1155" i="2"/>
  <c r="AB1155" i="2" l="1"/>
  <c r="AE1112" i="2"/>
  <c r="AI1112" i="2" s="1"/>
  <c r="AE1155" i="2"/>
  <c r="AI1155" i="2"/>
  <c r="P1155" i="2"/>
  <c r="S1155" i="2"/>
  <c r="W1113" i="2"/>
  <c r="W1155" i="2" s="1"/>
  <c r="K1120" i="2"/>
  <c r="I1155" i="2"/>
  <c r="K1114" i="2"/>
  <c r="D1155" i="2"/>
  <c r="G1112" i="2"/>
  <c r="K1112" i="2" s="1"/>
  <c r="K1113" i="2"/>
  <c r="AB1067" i="2"/>
  <c r="AE1067" i="2" s="1"/>
  <c r="AI1067" i="2" s="1"/>
  <c r="AB1066" i="2"/>
  <c r="AB1065" i="2"/>
  <c r="AB1064" i="2"/>
  <c r="AE1064" i="2" s="1"/>
  <c r="AI1064" i="2" s="1"/>
  <c r="AG1063" i="2"/>
  <c r="AG1100" i="2" s="1"/>
  <c r="AB1063" i="2"/>
  <c r="AH1062" i="2"/>
  <c r="AB1062" i="2"/>
  <c r="AB1061" i="2"/>
  <c r="AE1061" i="2" s="1"/>
  <c r="AI1061" i="2" s="1"/>
  <c r="AB1060" i="2"/>
  <c r="AE1060" i="2"/>
  <c r="AI1060" i="2" s="1"/>
  <c r="AB1059" i="2"/>
  <c r="AB1058" i="2"/>
  <c r="AE1058" i="2" s="1"/>
  <c r="AI1058" i="2" s="1"/>
  <c r="AH1057" i="2"/>
  <c r="AH1100" i="2"/>
  <c r="AB1057" i="2"/>
  <c r="AA1060" i="2"/>
  <c r="AA1061" i="2" s="1"/>
  <c r="AA1062" i="2" s="1"/>
  <c r="AA1063" i="2" s="1"/>
  <c r="AA1064" i="2" s="1"/>
  <c r="AA1065" i="2" s="1"/>
  <c r="AA1066" i="2" s="1"/>
  <c r="AA1067" i="2" s="1"/>
  <c r="AD1100" i="2"/>
  <c r="AC1100" i="2"/>
  <c r="AI1098" i="2"/>
  <c r="AE1097" i="2"/>
  <c r="AI1097" i="2" s="1"/>
  <c r="AI1096" i="2"/>
  <c r="AE1095" i="2"/>
  <c r="AI1095" i="2" s="1"/>
  <c r="AE1094" i="2"/>
  <c r="AI1094" i="2" s="1"/>
  <c r="AI1093" i="2"/>
  <c r="AE1093" i="2"/>
  <c r="AE1092" i="2"/>
  <c r="AI1092" i="2" s="1"/>
  <c r="AE1091" i="2"/>
  <c r="AI1091" i="2" s="1"/>
  <c r="AI1090" i="2"/>
  <c r="AE1090" i="2"/>
  <c r="AE1089" i="2"/>
  <c r="AI1089" i="2" s="1"/>
  <c r="AI1088" i="2"/>
  <c r="AE1088" i="2"/>
  <c r="AE1087" i="2"/>
  <c r="AI1087" i="2" s="1"/>
  <c r="AE1086" i="2"/>
  <c r="AI1086" i="2" s="1"/>
  <c r="AI1085" i="2"/>
  <c r="AE1085" i="2"/>
  <c r="AE1084" i="2"/>
  <c r="AI1084" i="2" s="1"/>
  <c r="AE1083" i="2"/>
  <c r="AI1083" i="2" s="1"/>
  <c r="AI1082" i="2"/>
  <c r="AE1082" i="2"/>
  <c r="AE1081" i="2"/>
  <c r="AI1081" i="2" s="1"/>
  <c r="AI1080" i="2"/>
  <c r="AE1080" i="2"/>
  <c r="AE1079" i="2"/>
  <c r="AI1079" i="2" s="1"/>
  <c r="AE1078" i="2"/>
  <c r="AI1078" i="2" s="1"/>
  <c r="AI1077" i="2"/>
  <c r="AE1077" i="2"/>
  <c r="AE1076" i="2"/>
  <c r="AI1076" i="2" s="1"/>
  <c r="AE1075" i="2"/>
  <c r="AI1075" i="2" s="1"/>
  <c r="AI1074" i="2"/>
  <c r="AE1074" i="2"/>
  <c r="AE1073" i="2"/>
  <c r="AI1073" i="2" s="1"/>
  <c r="AE1072" i="2"/>
  <c r="AI1072" i="2" s="1"/>
  <c r="AE1071" i="2"/>
  <c r="AI1071" i="2" s="1"/>
  <c r="AE1070" i="2"/>
  <c r="AI1070" i="2" s="1"/>
  <c r="AI1069" i="2"/>
  <c r="AE1069" i="2"/>
  <c r="AE1068" i="2"/>
  <c r="AI1068" i="2" s="1"/>
  <c r="AI1066" i="2"/>
  <c r="AE1066" i="2"/>
  <c r="AE1065" i="2"/>
  <c r="AI1065" i="2" s="1"/>
  <c r="AE1063" i="2"/>
  <c r="AI1063" i="2" s="1"/>
  <c r="AE1062" i="2"/>
  <c r="AI1062" i="2" s="1"/>
  <c r="AE1059" i="2"/>
  <c r="AI1059" i="2" s="1"/>
  <c r="AA1058" i="2"/>
  <c r="AA1059" i="2" s="1"/>
  <c r="P1063" i="2"/>
  <c r="S1063" i="2" s="1"/>
  <c r="W1063" i="2" s="1"/>
  <c r="P1062" i="2"/>
  <c r="P1061" i="2"/>
  <c r="S1061" i="2" s="1"/>
  <c r="W1061" i="2" s="1"/>
  <c r="V1060" i="2"/>
  <c r="V1100" i="2" s="1"/>
  <c r="U1060" i="2"/>
  <c r="U1100" i="2" s="1"/>
  <c r="P1060" i="2"/>
  <c r="P1059" i="2"/>
  <c r="P1058" i="2"/>
  <c r="S1058" i="2" s="1"/>
  <c r="W1058" i="2" s="1"/>
  <c r="P1057" i="2"/>
  <c r="S1057" i="2"/>
  <c r="O1058" i="2"/>
  <c r="O1059" i="2" s="1"/>
  <c r="O1060" i="2" s="1"/>
  <c r="O1061" i="2" s="1"/>
  <c r="O1062" i="2" s="1"/>
  <c r="O1063" i="2" s="1"/>
  <c r="S1059" i="2"/>
  <c r="W1059" i="2" s="1"/>
  <c r="S1060" i="2"/>
  <c r="S1062" i="2"/>
  <c r="W1062" i="2"/>
  <c r="S1064" i="2"/>
  <c r="W1064" i="2" s="1"/>
  <c r="S1065" i="2"/>
  <c r="W1065" i="2" s="1"/>
  <c r="S1066" i="2"/>
  <c r="W1066" i="2"/>
  <c r="S1067" i="2"/>
  <c r="W1067" i="2" s="1"/>
  <c r="S1068" i="2"/>
  <c r="W1068" i="2" s="1"/>
  <c r="S1069" i="2"/>
  <c r="W1069" i="2" s="1"/>
  <c r="S1070" i="2"/>
  <c r="W1070" i="2" s="1"/>
  <c r="S1071" i="2"/>
  <c r="W1071" i="2" s="1"/>
  <c r="S1072" i="2"/>
  <c r="W1072" i="2"/>
  <c r="S1073" i="2"/>
  <c r="W1073" i="2" s="1"/>
  <c r="S1074" i="2"/>
  <c r="W1074" i="2" s="1"/>
  <c r="S1075" i="2"/>
  <c r="W1075" i="2" s="1"/>
  <c r="S1076" i="2"/>
  <c r="W1076" i="2"/>
  <c r="S1077" i="2"/>
  <c r="W1077" i="2" s="1"/>
  <c r="S1078" i="2"/>
  <c r="W1078" i="2"/>
  <c r="S1079" i="2"/>
  <c r="W1079" i="2" s="1"/>
  <c r="S1080" i="2"/>
  <c r="W1080" i="2" s="1"/>
  <c r="S1081" i="2"/>
  <c r="W1081" i="2" s="1"/>
  <c r="S1082" i="2"/>
  <c r="W1082" i="2" s="1"/>
  <c r="S1083" i="2"/>
  <c r="W1083" i="2" s="1"/>
  <c r="S1084" i="2"/>
  <c r="W1084" i="2" s="1"/>
  <c r="S1085" i="2"/>
  <c r="W1085" i="2" s="1"/>
  <c r="S1086" i="2"/>
  <c r="W1086" i="2"/>
  <c r="S1087" i="2"/>
  <c r="W1087" i="2"/>
  <c r="S1088" i="2"/>
  <c r="W1088" i="2" s="1"/>
  <c r="S1089" i="2"/>
  <c r="W1089" i="2"/>
  <c r="S1090" i="2"/>
  <c r="W1090" i="2"/>
  <c r="S1091" i="2"/>
  <c r="W1091" i="2" s="1"/>
  <c r="S1092" i="2"/>
  <c r="W1092" i="2" s="1"/>
  <c r="S1093" i="2"/>
  <c r="W1093" i="2" s="1"/>
  <c r="S1094" i="2"/>
  <c r="W1094" i="2"/>
  <c r="S1095" i="2"/>
  <c r="W1095" i="2"/>
  <c r="W1096" i="2"/>
  <c r="S1097" i="2"/>
  <c r="W1097" i="2"/>
  <c r="W1098" i="2"/>
  <c r="Q1100" i="2"/>
  <c r="R1100" i="2"/>
  <c r="D1069" i="2"/>
  <c r="D1068" i="2"/>
  <c r="G1068" i="2" s="1"/>
  <c r="K1068" i="2" s="1"/>
  <c r="D1067" i="2"/>
  <c r="G1067" i="2" s="1"/>
  <c r="K1067" i="2" s="1"/>
  <c r="D1066" i="2"/>
  <c r="G1066" i="2" s="1"/>
  <c r="K1066" i="2" s="1"/>
  <c r="I1065" i="2"/>
  <c r="D1065" i="2"/>
  <c r="G1065" i="2" s="1"/>
  <c r="K1065" i="2" s="1"/>
  <c r="D1064" i="2"/>
  <c r="D1063" i="2"/>
  <c r="G1063" i="2" s="1"/>
  <c r="K1063" i="2" s="1"/>
  <c r="D1062" i="2"/>
  <c r="G1062" i="2" s="1"/>
  <c r="K1062" i="2" s="1"/>
  <c r="D1061" i="2"/>
  <c r="D1060" i="2"/>
  <c r="G1060" i="2" s="1"/>
  <c r="K1060" i="2" s="1"/>
  <c r="D1059" i="2"/>
  <c r="G1059" i="2" s="1"/>
  <c r="K1059" i="2" s="1"/>
  <c r="D1058" i="2"/>
  <c r="D1057" i="2"/>
  <c r="C1063" i="2"/>
  <c r="C1064" i="2"/>
  <c r="C1065" i="2" s="1"/>
  <c r="C1066" i="2" s="1"/>
  <c r="C1067" i="2" s="1"/>
  <c r="C1068" i="2" s="1"/>
  <c r="C1069" i="2" s="1"/>
  <c r="G1057" i="2"/>
  <c r="C1058" i="2"/>
  <c r="C1059" i="2" s="1"/>
  <c r="C1060" i="2" s="1"/>
  <c r="C1061" i="2" s="1"/>
  <c r="C1062" i="2" s="1"/>
  <c r="G1058" i="2"/>
  <c r="K1058" i="2" s="1"/>
  <c r="G1061" i="2"/>
  <c r="K1061" i="2" s="1"/>
  <c r="G1064" i="2"/>
  <c r="K1064" i="2"/>
  <c r="I1100" i="2"/>
  <c r="G1069" i="2"/>
  <c r="K1069" i="2" s="1"/>
  <c r="G1070" i="2"/>
  <c r="K1070" i="2" s="1"/>
  <c r="G1071" i="2"/>
  <c r="K1071" i="2"/>
  <c r="G1072" i="2"/>
  <c r="K1072" i="2" s="1"/>
  <c r="G1073" i="2"/>
  <c r="K1073" i="2"/>
  <c r="G1074" i="2"/>
  <c r="K1074" i="2"/>
  <c r="G1075" i="2"/>
  <c r="K1075" i="2" s="1"/>
  <c r="G1076" i="2"/>
  <c r="K1076" i="2" s="1"/>
  <c r="G1077" i="2"/>
  <c r="K1077" i="2"/>
  <c r="G1078" i="2"/>
  <c r="K1078" i="2" s="1"/>
  <c r="G1079" i="2"/>
  <c r="K1079" i="2"/>
  <c r="G1080" i="2"/>
  <c r="K1080" i="2" s="1"/>
  <c r="G1081" i="2"/>
  <c r="K1081" i="2"/>
  <c r="G1082" i="2"/>
  <c r="K1082" i="2"/>
  <c r="G1083" i="2"/>
  <c r="K1083" i="2" s="1"/>
  <c r="G1084" i="2"/>
  <c r="K1084" i="2" s="1"/>
  <c r="G1085" i="2"/>
  <c r="K1085" i="2"/>
  <c r="G1086" i="2"/>
  <c r="K1086" i="2" s="1"/>
  <c r="G1087" i="2"/>
  <c r="K1087" i="2"/>
  <c r="G1088" i="2"/>
  <c r="K1088" i="2" s="1"/>
  <c r="G1089" i="2"/>
  <c r="K1089" i="2"/>
  <c r="G1090" i="2"/>
  <c r="K1090" i="2"/>
  <c r="G1097" i="2"/>
  <c r="K1097" i="2" s="1"/>
  <c r="E1100" i="2"/>
  <c r="F1100" i="2"/>
  <c r="J1100" i="2"/>
  <c r="K1155" i="2" l="1"/>
  <c r="G1155" i="2"/>
  <c r="AB1100" i="2"/>
  <c r="AE1057" i="2"/>
  <c r="W1060" i="2"/>
  <c r="W1057" i="2"/>
  <c r="S1100" i="2"/>
  <c r="P1100" i="2"/>
  <c r="D1100" i="2"/>
  <c r="K1057" i="2"/>
  <c r="K1100" i="2" s="1"/>
  <c r="G1100" i="2"/>
  <c r="P1027" i="2"/>
  <c r="P1026" i="2"/>
  <c r="S1026" i="2" s="1"/>
  <c r="W1026" i="2" s="1"/>
  <c r="P1025" i="2"/>
  <c r="S1025" i="2" s="1"/>
  <c r="W1025" i="2" s="1"/>
  <c r="P1024" i="2"/>
  <c r="S1024" i="2" s="1"/>
  <c r="W1024" i="2" s="1"/>
  <c r="P1023" i="2"/>
  <c r="S1023" i="2" s="1"/>
  <c r="W1023" i="2" s="1"/>
  <c r="P1022" i="2"/>
  <c r="S1022" i="2" s="1"/>
  <c r="W1022" i="2" s="1"/>
  <c r="P1021" i="2"/>
  <c r="S1021" i="2" s="1"/>
  <c r="W1021" i="2" s="1"/>
  <c r="P1020" i="2"/>
  <c r="S1020" i="2" s="1"/>
  <c r="W1020" i="2" s="1"/>
  <c r="P1019" i="2"/>
  <c r="S1019" i="2" s="1"/>
  <c r="W1019" i="2" s="1"/>
  <c r="P1018" i="2"/>
  <c r="P1017" i="2"/>
  <c r="P1016" i="2"/>
  <c r="S1016" i="2" s="1"/>
  <c r="W1016" i="2" s="1"/>
  <c r="P1015" i="2"/>
  <c r="S1015" i="2" s="1"/>
  <c r="W1015" i="2" s="1"/>
  <c r="P1014" i="2"/>
  <c r="S1014" i="2" s="1"/>
  <c r="W1014" i="2" s="1"/>
  <c r="P1013" i="2"/>
  <c r="S1013" i="2" s="1"/>
  <c r="W1013" i="2" s="1"/>
  <c r="P1012" i="2"/>
  <c r="S1012" i="2" s="1"/>
  <c r="W1012" i="2" s="1"/>
  <c r="P1011" i="2"/>
  <c r="S1011" i="2" s="1"/>
  <c r="W1011" i="2" s="1"/>
  <c r="P1010" i="2"/>
  <c r="S1010" i="2" s="1"/>
  <c r="W1010" i="2" s="1"/>
  <c r="P1009" i="2"/>
  <c r="S1009" i="2" s="1"/>
  <c r="W1009" i="2" s="1"/>
  <c r="P1008" i="2"/>
  <c r="S1008" i="2" s="1"/>
  <c r="W1008" i="2" s="1"/>
  <c r="P1007" i="2"/>
  <c r="P1006" i="2"/>
  <c r="P1005" i="2"/>
  <c r="S1005" i="2" s="1"/>
  <c r="W1005" i="2" s="1"/>
  <c r="P1004" i="2"/>
  <c r="S1004" i="2" s="1"/>
  <c r="W1004" i="2" s="1"/>
  <c r="P1003" i="2"/>
  <c r="S1003" i="2" s="1"/>
  <c r="W1003" i="2" s="1"/>
  <c r="P1002" i="2"/>
  <c r="O1003" i="2"/>
  <c r="O1004" i="2" s="1"/>
  <c r="O1005" i="2" s="1"/>
  <c r="O1006" i="2" s="1"/>
  <c r="O1007" i="2" s="1"/>
  <c r="O1008" i="2" s="1"/>
  <c r="O1009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S1006" i="2"/>
  <c r="W1006" i="2" s="1"/>
  <c r="S1007" i="2"/>
  <c r="W1007" i="2" s="1"/>
  <c r="S1017" i="2"/>
  <c r="W1017" i="2"/>
  <c r="S1018" i="2"/>
  <c r="W1018" i="2" s="1"/>
  <c r="S1027" i="2"/>
  <c r="W1027" i="2"/>
  <c r="S1028" i="2"/>
  <c r="W1028" i="2"/>
  <c r="S1029" i="2"/>
  <c r="W1029" i="2"/>
  <c r="S1030" i="2"/>
  <c r="W1030" i="2"/>
  <c r="S1031" i="2"/>
  <c r="W1031" i="2"/>
  <c r="S1032" i="2"/>
  <c r="W1032" i="2"/>
  <c r="S1033" i="2"/>
  <c r="W1033" i="2"/>
  <c r="S1034" i="2"/>
  <c r="W1034" i="2"/>
  <c r="S1035" i="2"/>
  <c r="W1035" i="2"/>
  <c r="S1036" i="2"/>
  <c r="W1036" i="2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Q1045" i="2"/>
  <c r="R1045" i="2"/>
  <c r="U1045" i="2"/>
  <c r="V1045" i="2"/>
  <c r="D1015" i="2"/>
  <c r="G1015" i="2" s="1"/>
  <c r="K1015" i="2" s="1"/>
  <c r="D1014" i="2"/>
  <c r="G1014" i="2" s="1"/>
  <c r="K1014" i="2" s="1"/>
  <c r="I1013" i="2"/>
  <c r="I1045" i="2" s="1"/>
  <c r="D1013" i="2"/>
  <c r="D1012" i="2"/>
  <c r="G1012" i="2" s="1"/>
  <c r="K1012" i="2" s="1"/>
  <c r="D1011" i="2"/>
  <c r="D1010" i="2"/>
  <c r="D1009" i="2"/>
  <c r="D1008" i="2"/>
  <c r="D1007" i="2"/>
  <c r="G1007" i="2" s="1"/>
  <c r="K1007" i="2" s="1"/>
  <c r="D1006" i="2"/>
  <c r="G1006" i="2" s="1"/>
  <c r="K1006" i="2" s="1"/>
  <c r="D1005" i="2"/>
  <c r="G1005" i="2"/>
  <c r="K1005" i="2" s="1"/>
  <c r="D1004" i="2"/>
  <c r="D1003" i="2"/>
  <c r="D1002" i="2"/>
  <c r="C1003" i="2"/>
  <c r="C1004" i="2" s="1"/>
  <c r="C1005" i="2" s="1"/>
  <c r="C1006" i="2" s="1"/>
  <c r="C1007" i="2" s="1"/>
  <c r="C1009" i="2" s="1"/>
  <c r="C1010" i="2" s="1"/>
  <c r="C1011" i="2" s="1"/>
  <c r="C1012" i="2" s="1"/>
  <c r="C1013" i="2" s="1"/>
  <c r="C1014" i="2" s="1"/>
  <c r="C1015" i="2" s="1"/>
  <c r="G1003" i="2"/>
  <c r="K1003" i="2" s="1"/>
  <c r="G1004" i="2"/>
  <c r="K1004" i="2" s="1"/>
  <c r="G1008" i="2"/>
  <c r="K1008" i="2"/>
  <c r="G1009" i="2"/>
  <c r="K1009" i="2" s="1"/>
  <c r="G1010" i="2"/>
  <c r="K1010" i="2" s="1"/>
  <c r="G1011" i="2"/>
  <c r="K1011" i="2" s="1"/>
  <c r="G1013" i="2"/>
  <c r="G1016" i="2"/>
  <c r="K1016" i="2"/>
  <c r="G1017" i="2"/>
  <c r="K1017" i="2" s="1"/>
  <c r="G1018" i="2"/>
  <c r="K1018" i="2"/>
  <c r="G1019" i="2"/>
  <c r="K1019" i="2" s="1"/>
  <c r="G1020" i="2"/>
  <c r="K1020" i="2"/>
  <c r="G1021" i="2"/>
  <c r="K1021" i="2" s="1"/>
  <c r="G1022" i="2"/>
  <c r="K1022" i="2" s="1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/>
  <c r="G1029" i="2"/>
  <c r="K1029" i="2"/>
  <c r="G1030" i="2"/>
  <c r="K1030" i="2" s="1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/>
  <c r="E1045" i="2"/>
  <c r="F1045" i="2"/>
  <c r="J1045" i="2"/>
  <c r="AE1100" i="2" l="1"/>
  <c r="AI1057" i="2"/>
  <c r="AI1100" i="2" s="1"/>
  <c r="W1100" i="2"/>
  <c r="P1045" i="2"/>
  <c r="S1002" i="2"/>
  <c r="W1002" i="2" s="1"/>
  <c r="W1045" i="2" s="1"/>
  <c r="K1013" i="2"/>
  <c r="D1045" i="2"/>
  <c r="G1002" i="2"/>
  <c r="G1045" i="2" s="1"/>
  <c r="AB949" i="2"/>
  <c r="AE949" i="2" s="1"/>
  <c r="AI949" i="2" s="1"/>
  <c r="AB948" i="2"/>
  <c r="AB947" i="2"/>
  <c r="AE947" i="2"/>
  <c r="AA948" i="2"/>
  <c r="AA949" i="2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E958" i="2"/>
  <c r="AI958" i="2"/>
  <c r="AE959" i="2"/>
  <c r="AI959" i="2"/>
  <c r="AE960" i="2"/>
  <c r="AI960" i="2"/>
  <c r="AE961" i="2"/>
  <c r="AI961" i="2" s="1"/>
  <c r="AE962" i="2"/>
  <c r="AI962" i="2" s="1"/>
  <c r="AE963" i="2"/>
  <c r="AI963" i="2"/>
  <c r="AE964" i="2"/>
  <c r="AI964" i="2"/>
  <c r="AE965" i="2"/>
  <c r="AI965" i="2" s="1"/>
  <c r="AE966" i="2"/>
  <c r="AI966" i="2"/>
  <c r="AE967" i="2"/>
  <c r="AI967" i="2"/>
  <c r="AE968" i="2"/>
  <c r="AI968" i="2"/>
  <c r="AE969" i="2"/>
  <c r="AI969" i="2" s="1"/>
  <c r="AE970" i="2"/>
  <c r="AI970" i="2" s="1"/>
  <c r="AE971" i="2"/>
  <c r="AI971" i="2"/>
  <c r="AE972" i="2"/>
  <c r="AI972" i="2"/>
  <c r="AE973" i="2"/>
  <c r="AI973" i="2" s="1"/>
  <c r="AE974" i="2"/>
  <c r="AI974" i="2"/>
  <c r="AE975" i="2"/>
  <c r="AI975" i="2"/>
  <c r="AE976" i="2"/>
  <c r="AI976" i="2"/>
  <c r="AE977" i="2"/>
  <c r="AI977" i="2" s="1"/>
  <c r="AE978" i="2"/>
  <c r="AI978" i="2" s="1"/>
  <c r="AE979" i="2"/>
  <c r="AI979" i="2"/>
  <c r="AE980" i="2"/>
  <c r="AI980" i="2"/>
  <c r="AE981" i="2"/>
  <c r="AI981" i="2" s="1"/>
  <c r="AE982" i="2"/>
  <c r="AI982" i="2"/>
  <c r="AE983" i="2"/>
  <c r="AI983" i="2"/>
  <c r="AE984" i="2"/>
  <c r="AI984" i="2"/>
  <c r="AE985" i="2"/>
  <c r="AI985" i="2" s="1"/>
  <c r="AI986" i="2"/>
  <c r="AE987" i="2"/>
  <c r="AI987" i="2"/>
  <c r="AI988" i="2"/>
  <c r="AC990" i="2"/>
  <c r="AD990" i="2"/>
  <c r="AG990" i="2"/>
  <c r="AH990" i="2"/>
  <c r="V951" i="2"/>
  <c r="V990" i="2" s="1"/>
  <c r="P951" i="2"/>
  <c r="S951" i="2" s="1"/>
  <c r="W951" i="2" s="1"/>
  <c r="P950" i="2"/>
  <c r="P949" i="2"/>
  <c r="S949" i="2" s="1"/>
  <c r="W949" i="2" s="1"/>
  <c r="P948" i="2"/>
  <c r="P947" i="2"/>
  <c r="S947" i="2"/>
  <c r="W947" i="2" s="1"/>
  <c r="O948" i="2"/>
  <c r="O949" i="2" s="1"/>
  <c r="O950" i="2" s="1"/>
  <c r="O951" i="2" s="1"/>
  <c r="S948" i="2"/>
  <c r="W948" i="2"/>
  <c r="S950" i="2"/>
  <c r="S952" i="2"/>
  <c r="W952" i="2" s="1"/>
  <c r="S953" i="2"/>
  <c r="U990" i="2"/>
  <c r="W953" i="2"/>
  <c r="S954" i="2"/>
  <c r="W954" i="2" s="1"/>
  <c r="S955" i="2"/>
  <c r="W955" i="2"/>
  <c r="S956" i="2"/>
  <c r="W956" i="2" s="1"/>
  <c r="S957" i="2"/>
  <c r="W957" i="2"/>
  <c r="S958" i="2"/>
  <c r="W958" i="2"/>
  <c r="S959" i="2"/>
  <c r="W959" i="2"/>
  <c r="S960" i="2"/>
  <c r="W960" i="2" s="1"/>
  <c r="S961" i="2"/>
  <c r="W961" i="2" s="1"/>
  <c r="S962" i="2"/>
  <c r="W962" i="2"/>
  <c r="S963" i="2"/>
  <c r="W963" i="2"/>
  <c r="S964" i="2"/>
  <c r="W964" i="2" s="1"/>
  <c r="S965" i="2"/>
  <c r="W965" i="2"/>
  <c r="S966" i="2"/>
  <c r="W966" i="2"/>
  <c r="S967" i="2"/>
  <c r="W967" i="2"/>
  <c r="S968" i="2"/>
  <c r="W968" i="2"/>
  <c r="S969" i="2"/>
  <c r="W969" i="2" s="1"/>
  <c r="S970" i="2"/>
  <c r="W970" i="2"/>
  <c r="S971" i="2"/>
  <c r="W971" i="2"/>
  <c r="S972" i="2"/>
  <c r="W972" i="2" s="1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 s="1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D949" i="2"/>
  <c r="D948" i="2"/>
  <c r="G948" i="2" s="1"/>
  <c r="J947" i="2"/>
  <c r="J990" i="2" s="1"/>
  <c r="I947" i="2"/>
  <c r="I990" i="2" s="1"/>
  <c r="D947" i="2"/>
  <c r="C948" i="2"/>
  <c r="C949" i="2" s="1"/>
  <c r="G949" i="2"/>
  <c r="K949" i="2" s="1"/>
  <c r="G950" i="2"/>
  <c r="K950" i="2" s="1"/>
  <c r="G951" i="2"/>
  <c r="K951" i="2"/>
  <c r="G952" i="2"/>
  <c r="K952" i="2"/>
  <c r="G953" i="2"/>
  <c r="K953" i="2"/>
  <c r="G954" i="2"/>
  <c r="K954" i="2" s="1"/>
  <c r="G955" i="2"/>
  <c r="K955" i="2"/>
  <c r="G956" i="2"/>
  <c r="K956" i="2"/>
  <c r="G957" i="2"/>
  <c r="K957" i="2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S1045" i="2" l="1"/>
  <c r="K1002" i="2"/>
  <c r="K1045" i="2" s="1"/>
  <c r="AB990" i="2"/>
  <c r="AE948" i="2"/>
  <c r="AI948" i="2" s="1"/>
  <c r="AI947" i="2"/>
  <c r="P990" i="2"/>
  <c r="S990" i="2"/>
  <c r="W950" i="2"/>
  <c r="W990" i="2" s="1"/>
  <c r="D990" i="2"/>
  <c r="G947" i="2"/>
  <c r="K947" i="2" s="1"/>
  <c r="G990" i="2"/>
  <c r="K948" i="2"/>
  <c r="U898" i="2"/>
  <c r="AE990" i="2" l="1"/>
  <c r="AI990" i="2"/>
  <c r="K990" i="2"/>
  <c r="AB901" i="2"/>
  <c r="AB900" i="2"/>
  <c r="AE900" i="2" s="1"/>
  <c r="AI900" i="2" s="1"/>
  <c r="AB899" i="2"/>
  <c r="AE899" i="2" s="1"/>
  <c r="AI899" i="2" s="1"/>
  <c r="AB898" i="2"/>
  <c r="AB897" i="2"/>
  <c r="AE897" i="2" s="1"/>
  <c r="AI897" i="2" s="1"/>
  <c r="AB896" i="2"/>
  <c r="AB895" i="2"/>
  <c r="AE895" i="2" s="1"/>
  <c r="AI895" i="2" s="1"/>
  <c r="AG894" i="2"/>
  <c r="AG935" i="2" s="1"/>
  <c r="AB894" i="2"/>
  <c r="AB893" i="2"/>
  <c r="AE893" i="2" s="1"/>
  <c r="AI893" i="2" s="1"/>
  <c r="AB892" i="2"/>
  <c r="AE892" i="2"/>
  <c r="AI892" i="2" s="1"/>
  <c r="AA893" i="2"/>
  <c r="AA894" i="2" s="1"/>
  <c r="AA895" i="2" s="1"/>
  <c r="AA896" i="2" s="1"/>
  <c r="AA897" i="2" s="1"/>
  <c r="AA898" i="2" s="1"/>
  <c r="AA899" i="2" s="1"/>
  <c r="AA900" i="2" s="1"/>
  <c r="AA901" i="2" s="1"/>
  <c r="AE894" i="2"/>
  <c r="AE896" i="2"/>
  <c r="AI896" i="2" s="1"/>
  <c r="AE898" i="2"/>
  <c r="AI898" i="2"/>
  <c r="AE901" i="2"/>
  <c r="AI901" i="2" s="1"/>
  <c r="AE902" i="2"/>
  <c r="AI902" i="2"/>
  <c r="AE903" i="2"/>
  <c r="AI903" i="2" s="1"/>
  <c r="AE904" i="2"/>
  <c r="AI904" i="2" s="1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 s="1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 s="1"/>
  <c r="AE928" i="2"/>
  <c r="AI928" i="2"/>
  <c r="AE929" i="2"/>
  <c r="AI929" i="2"/>
  <c r="AE930" i="2"/>
  <c r="AI930" i="2"/>
  <c r="AI931" i="2"/>
  <c r="AE932" i="2"/>
  <c r="AI932" i="2"/>
  <c r="AI933" i="2"/>
  <c r="AC935" i="2"/>
  <c r="AD935" i="2"/>
  <c r="AH935" i="2"/>
  <c r="V898" i="2"/>
  <c r="P898" i="2"/>
  <c r="S898" i="2" s="1"/>
  <c r="P900" i="2"/>
  <c r="S900" i="2" s="1"/>
  <c r="W900" i="2" s="1"/>
  <c r="P899" i="2"/>
  <c r="V935" i="2"/>
  <c r="U897" i="2"/>
  <c r="P897" i="2"/>
  <c r="P896" i="2"/>
  <c r="P895" i="2"/>
  <c r="P894" i="2"/>
  <c r="P893" i="2"/>
  <c r="P892" i="2"/>
  <c r="S892" i="2"/>
  <c r="W892" i="2" s="1"/>
  <c r="O893" i="2"/>
  <c r="O894" i="2" s="1"/>
  <c r="O895" i="2" s="1"/>
  <c r="O896" i="2" s="1"/>
  <c r="O897" i="2" s="1"/>
  <c r="O898" i="2" s="1"/>
  <c r="O899" i="2" s="1"/>
  <c r="O900" i="2" s="1"/>
  <c r="S893" i="2"/>
  <c r="S894" i="2"/>
  <c r="W894" i="2" s="1"/>
  <c r="S895" i="2"/>
  <c r="W895" i="2" s="1"/>
  <c r="S896" i="2"/>
  <c r="W896" i="2" s="1"/>
  <c r="S899" i="2"/>
  <c r="W899" i="2"/>
  <c r="S901" i="2"/>
  <c r="W901" i="2" s="1"/>
  <c r="S902" i="2"/>
  <c r="W902" i="2" s="1"/>
  <c r="S903" i="2"/>
  <c r="W903" i="2"/>
  <c r="S904" i="2"/>
  <c r="W904" i="2"/>
  <c r="S905" i="2"/>
  <c r="W905" i="2" s="1"/>
  <c r="S906" i="2"/>
  <c r="W906" i="2"/>
  <c r="S907" i="2"/>
  <c r="W907" i="2"/>
  <c r="S908" i="2"/>
  <c r="W908" i="2"/>
  <c r="S909" i="2"/>
  <c r="W909" i="2"/>
  <c r="S910" i="2"/>
  <c r="W910" i="2" s="1"/>
  <c r="S911" i="2"/>
  <c r="W911" i="2" s="1"/>
  <c r="S912" i="2"/>
  <c r="W912" i="2"/>
  <c r="S913" i="2"/>
  <c r="W913" i="2" s="1"/>
  <c r="S914" i="2"/>
  <c r="W914" i="2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 s="1"/>
  <c r="S922" i="2"/>
  <c r="W922" i="2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 s="1"/>
  <c r="S930" i="2"/>
  <c r="W930" i="2"/>
  <c r="W931" i="2"/>
  <c r="S932" i="2"/>
  <c r="W932" i="2"/>
  <c r="W933" i="2"/>
  <c r="Q935" i="2"/>
  <c r="R935" i="2"/>
  <c r="D894" i="2"/>
  <c r="J893" i="2"/>
  <c r="J935" i="2" s="1"/>
  <c r="D893" i="2"/>
  <c r="D892" i="2"/>
  <c r="G892" i="2" s="1"/>
  <c r="K892" i="2" s="1"/>
  <c r="C893" i="2"/>
  <c r="C894" i="2" s="1"/>
  <c r="G893" i="2"/>
  <c r="G894" i="2"/>
  <c r="G895" i="2"/>
  <c r="K895" i="2" s="1"/>
  <c r="G896" i="2"/>
  <c r="K896" i="2" s="1"/>
  <c r="G897" i="2"/>
  <c r="K897" i="2" s="1"/>
  <c r="G898" i="2"/>
  <c r="K898" i="2" s="1"/>
  <c r="G899" i="2"/>
  <c r="K899" i="2"/>
  <c r="G900" i="2"/>
  <c r="K900" i="2"/>
  <c r="G901" i="2"/>
  <c r="K901" i="2"/>
  <c r="G902" i="2"/>
  <c r="K902" i="2"/>
  <c r="G903" i="2"/>
  <c r="K903" i="2" s="1"/>
  <c r="G904" i="2"/>
  <c r="K904" i="2"/>
  <c r="G905" i="2"/>
  <c r="K905" i="2" s="1"/>
  <c r="G906" i="2"/>
  <c r="K906" i="2" s="1"/>
  <c r="G907" i="2"/>
  <c r="K907" i="2"/>
  <c r="G908" i="2"/>
  <c r="K908" i="2"/>
  <c r="G909" i="2"/>
  <c r="K909" i="2"/>
  <c r="G910" i="2"/>
  <c r="K910" i="2" s="1"/>
  <c r="G911" i="2"/>
  <c r="K911" i="2" s="1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 s="1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I935" i="2"/>
  <c r="AB935" i="2" l="1"/>
  <c r="AE935" i="2"/>
  <c r="AI894" i="2"/>
  <c r="AI935" i="2" s="1"/>
  <c r="U935" i="2"/>
  <c r="W898" i="2"/>
  <c r="P935" i="2"/>
  <c r="S897" i="2"/>
  <c r="W897" i="2" s="1"/>
  <c r="W893" i="2"/>
  <c r="W935" i="2" s="1"/>
  <c r="D935" i="2"/>
  <c r="G935" i="2"/>
  <c r="K893" i="2"/>
  <c r="K894" i="2"/>
  <c r="AB841" i="2"/>
  <c r="AE841" i="2" s="1"/>
  <c r="AI841" i="2" s="1"/>
  <c r="AG840" i="2"/>
  <c r="AB840" i="2"/>
  <c r="AE840" i="2" s="1"/>
  <c r="AI840" i="2" s="1"/>
  <c r="AB839" i="2"/>
  <c r="AE839" i="2" s="1"/>
  <c r="AB838" i="2"/>
  <c r="AB837" i="2"/>
  <c r="AE837" i="2"/>
  <c r="AA838" i="2"/>
  <c r="AE838" i="2"/>
  <c r="AI838" i="2" s="1"/>
  <c r="AA839" i="2"/>
  <c r="AA840" i="2" s="1"/>
  <c r="AA841" i="2" s="1"/>
  <c r="AH880" i="2"/>
  <c r="AE842" i="2"/>
  <c r="AI842" i="2" s="1"/>
  <c r="AE843" i="2"/>
  <c r="AI843" i="2" s="1"/>
  <c r="AE844" i="2"/>
  <c r="AI844" i="2"/>
  <c r="AE845" i="2"/>
  <c r="AI845" i="2"/>
  <c r="AE846" i="2"/>
  <c r="AI846" i="2"/>
  <c r="AE847" i="2"/>
  <c r="AI847" i="2" s="1"/>
  <c r="AE848" i="2"/>
  <c r="AI848" i="2" s="1"/>
  <c r="AE849" i="2"/>
  <c r="AI849" i="2"/>
  <c r="AE850" i="2"/>
  <c r="AI850" i="2" s="1"/>
  <c r="AE851" i="2"/>
  <c r="AI851" i="2" s="1"/>
  <c r="AE852" i="2"/>
  <c r="AI852" i="2"/>
  <c r="AE853" i="2"/>
  <c r="AI853" i="2"/>
  <c r="AE854" i="2"/>
  <c r="AI854" i="2"/>
  <c r="AE855" i="2"/>
  <c r="AI855" i="2" s="1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 s="1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 s="1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C880" i="2"/>
  <c r="AD880" i="2"/>
  <c r="AG880" i="2"/>
  <c r="U841" i="2"/>
  <c r="U880" i="2" s="1"/>
  <c r="P841" i="2"/>
  <c r="S841" i="2" s="1"/>
  <c r="W841" i="2" s="1"/>
  <c r="P840" i="2"/>
  <c r="S840" i="2" s="1"/>
  <c r="W840" i="2" s="1"/>
  <c r="P839" i="2"/>
  <c r="P838" i="2"/>
  <c r="U837" i="2"/>
  <c r="P837" i="2"/>
  <c r="S837" i="2"/>
  <c r="W837" i="2" s="1"/>
  <c r="O838" i="2"/>
  <c r="O839" i="2" s="1"/>
  <c r="O840" i="2" s="1"/>
  <c r="O841" i="2" s="1"/>
  <c r="S838" i="2"/>
  <c r="S839" i="2"/>
  <c r="W839" i="2" s="1"/>
  <c r="S842" i="2"/>
  <c r="W842" i="2" s="1"/>
  <c r="S843" i="2"/>
  <c r="W843" i="2"/>
  <c r="S844" i="2"/>
  <c r="W844" i="2"/>
  <c r="S845" i="2"/>
  <c r="W845" i="2"/>
  <c r="S846" i="2"/>
  <c r="W846" i="2"/>
  <c r="S847" i="2"/>
  <c r="W847" i="2" s="1"/>
  <c r="S848" i="2"/>
  <c r="W848" i="2"/>
  <c r="S849" i="2"/>
  <c r="W849" i="2"/>
  <c r="S850" i="2"/>
  <c r="W850" i="2"/>
  <c r="S851" i="2"/>
  <c r="W851" i="2"/>
  <c r="S852" i="2"/>
  <c r="W852" i="2"/>
  <c r="S853" i="2"/>
  <c r="W853" i="2"/>
  <c r="S854" i="2"/>
  <c r="W854" i="2" s="1"/>
  <c r="S855" i="2"/>
  <c r="W855" i="2" s="1"/>
  <c r="S856" i="2"/>
  <c r="W856" i="2"/>
  <c r="S857" i="2"/>
  <c r="W857" i="2"/>
  <c r="S858" i="2"/>
  <c r="W858" i="2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/>
  <c r="W878" i="2"/>
  <c r="Q880" i="2"/>
  <c r="R880" i="2"/>
  <c r="V880" i="2"/>
  <c r="I839" i="2"/>
  <c r="J839" i="2"/>
  <c r="J880" i="2" s="1"/>
  <c r="D839" i="2"/>
  <c r="D880" i="2" s="1"/>
  <c r="J838" i="2"/>
  <c r="I838" i="2"/>
  <c r="D838" i="2"/>
  <c r="D837" i="2"/>
  <c r="G837" i="2"/>
  <c r="C838" i="2"/>
  <c r="C839" i="2" s="1"/>
  <c r="G838" i="2"/>
  <c r="G839" i="2"/>
  <c r="G840" i="2"/>
  <c r="K840" i="2" s="1"/>
  <c r="G841" i="2"/>
  <c r="K841" i="2" s="1"/>
  <c r="G842" i="2"/>
  <c r="K842" i="2" s="1"/>
  <c r="G843" i="2"/>
  <c r="K843" i="2" s="1"/>
  <c r="G844" i="2"/>
  <c r="K844" i="2" s="1"/>
  <c r="G845" i="2"/>
  <c r="K845" i="2" s="1"/>
  <c r="G846" i="2"/>
  <c r="K846" i="2" s="1"/>
  <c r="G847" i="2"/>
  <c r="K847" i="2" s="1"/>
  <c r="G848" i="2"/>
  <c r="K848" i="2" s="1"/>
  <c r="G849" i="2"/>
  <c r="K849" i="2" s="1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 s="1"/>
  <c r="G857" i="2"/>
  <c r="K857" i="2" s="1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 s="1"/>
  <c r="G865" i="2"/>
  <c r="K865" i="2" s="1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S935" i="2" l="1"/>
  <c r="K935" i="2"/>
  <c r="AB880" i="2"/>
  <c r="AE880" i="2"/>
  <c r="AI837" i="2"/>
  <c r="AI839" i="2"/>
  <c r="P880" i="2"/>
  <c r="S880" i="2"/>
  <c r="W838" i="2"/>
  <c r="W880" i="2" s="1"/>
  <c r="K839" i="2"/>
  <c r="I880" i="2"/>
  <c r="K838" i="2"/>
  <c r="K837" i="2"/>
  <c r="G880" i="2"/>
  <c r="AB786" i="2"/>
  <c r="AE786" i="2" s="1"/>
  <c r="AH786" i="2"/>
  <c r="AB785" i="2"/>
  <c r="AH784" i="2"/>
  <c r="AH825" i="2" s="1"/>
  <c r="AB784" i="2"/>
  <c r="AB783" i="2"/>
  <c r="AB782" i="2"/>
  <c r="AE782" i="2" s="1"/>
  <c r="AI782" i="2" s="1"/>
  <c r="AA783" i="2"/>
  <c r="AA784" i="2" s="1"/>
  <c r="AA785" i="2" s="1"/>
  <c r="AA786" i="2" s="1"/>
  <c r="AE783" i="2"/>
  <c r="AE784" i="2"/>
  <c r="AE785" i="2"/>
  <c r="AI785" i="2" s="1"/>
  <c r="AE787" i="2"/>
  <c r="AI787" i="2"/>
  <c r="AE788" i="2"/>
  <c r="AI788" i="2" s="1"/>
  <c r="AE789" i="2"/>
  <c r="AI789" i="2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/>
  <c r="AE796" i="2"/>
  <c r="AI796" i="2" s="1"/>
  <c r="AE797" i="2"/>
  <c r="AI797" i="2"/>
  <c r="AE798" i="2"/>
  <c r="AI798" i="2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AG825" i="2"/>
  <c r="P787" i="2"/>
  <c r="S787" i="2" s="1"/>
  <c r="W787" i="2" s="1"/>
  <c r="P786" i="2"/>
  <c r="S786" i="2" s="1"/>
  <c r="W786" i="2" s="1"/>
  <c r="P785" i="2"/>
  <c r="U784" i="2"/>
  <c r="P784" i="2"/>
  <c r="S784" i="2" s="1"/>
  <c r="W784" i="2" s="1"/>
  <c r="P783" i="2"/>
  <c r="P782" i="2"/>
  <c r="S782" i="2"/>
  <c r="O783" i="2"/>
  <c r="O784" i="2" s="1"/>
  <c r="O785" i="2" s="1"/>
  <c r="O786" i="2" s="1"/>
  <c r="O787" i="2" s="1"/>
  <c r="S783" i="2"/>
  <c r="W783" i="2" s="1"/>
  <c r="S785" i="2"/>
  <c r="W785" i="2" s="1"/>
  <c r="S788" i="2"/>
  <c r="W788" i="2" s="1"/>
  <c r="S789" i="2"/>
  <c r="W789" i="2"/>
  <c r="S790" i="2"/>
  <c r="W790" i="2" s="1"/>
  <c r="S791" i="2"/>
  <c r="W791" i="2"/>
  <c r="S792" i="2"/>
  <c r="W792" i="2"/>
  <c r="S793" i="2"/>
  <c r="W793" i="2"/>
  <c r="S794" i="2"/>
  <c r="W794" i="2" s="1"/>
  <c r="S795" i="2"/>
  <c r="W795" i="2"/>
  <c r="S796" i="2"/>
  <c r="W796" i="2"/>
  <c r="S797" i="2"/>
  <c r="W797" i="2"/>
  <c r="S798" i="2"/>
  <c r="W798" i="2" s="1"/>
  <c r="S799" i="2"/>
  <c r="W799" i="2"/>
  <c r="S800" i="2"/>
  <c r="W800" i="2"/>
  <c r="S801" i="2"/>
  <c r="W801" i="2"/>
  <c r="S802" i="2"/>
  <c r="W802" i="2" s="1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/>
  <c r="S810" i="2"/>
  <c r="W810" i="2" s="1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Q825" i="2"/>
  <c r="R825" i="2"/>
  <c r="U825" i="2"/>
  <c r="V825" i="2"/>
  <c r="D792" i="2"/>
  <c r="G792" i="2" s="1"/>
  <c r="K792" i="2" s="1"/>
  <c r="I791" i="2"/>
  <c r="D791" i="2"/>
  <c r="G791" i="2" s="1"/>
  <c r="K791" i="2" s="1"/>
  <c r="D790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J783" i="2"/>
  <c r="J825" i="2"/>
  <c r="I783" i="2"/>
  <c r="D783" i="2"/>
  <c r="G783" i="2" s="1"/>
  <c r="D782" i="2"/>
  <c r="G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G785" i="2"/>
  <c r="K785" i="2" s="1"/>
  <c r="G788" i="2"/>
  <c r="K788" i="2" s="1"/>
  <c r="G789" i="2"/>
  <c r="K789" i="2" s="1"/>
  <c r="G790" i="2"/>
  <c r="K790" i="2" s="1"/>
  <c r="G793" i="2"/>
  <c r="K793" i="2" s="1"/>
  <c r="G794" i="2"/>
  <c r="K794" i="2" s="1"/>
  <c r="G795" i="2"/>
  <c r="K795" i="2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/>
  <c r="E825" i="2"/>
  <c r="F825" i="2"/>
  <c r="AI880" i="2" l="1"/>
  <c r="K880" i="2"/>
  <c r="AI786" i="2"/>
  <c r="AI784" i="2"/>
  <c r="AE825" i="2"/>
  <c r="AI783" i="2"/>
  <c r="AB825" i="2"/>
  <c r="W782" i="2"/>
  <c r="W825" i="2" s="1"/>
  <c r="S825" i="2"/>
  <c r="P825" i="2"/>
  <c r="K786" i="2"/>
  <c r="K783" i="2"/>
  <c r="K782" i="2"/>
  <c r="G825" i="2"/>
  <c r="D825" i="2"/>
  <c r="AB731" i="2"/>
  <c r="AE731" i="2" s="1"/>
  <c r="AB730" i="2"/>
  <c r="AE730" i="2" s="1"/>
  <c r="AI730" i="2" s="1"/>
  <c r="AB729" i="2"/>
  <c r="AE729" i="2" s="1"/>
  <c r="AI729" i="2" s="1"/>
  <c r="AH728" i="2"/>
  <c r="AH770" i="2" s="1"/>
  <c r="AB728" i="2"/>
  <c r="AC728" i="2"/>
  <c r="AE728" i="2"/>
  <c r="AC727" i="2"/>
  <c r="AB727" i="2"/>
  <c r="AA731" i="2"/>
  <c r="AE727" i="2"/>
  <c r="AI727" i="2" s="1"/>
  <c r="AA728" i="2"/>
  <c r="AA729" i="2"/>
  <c r="AA730" i="2" s="1"/>
  <c r="AE732" i="2"/>
  <c r="AI732" i="2" s="1"/>
  <c r="AE733" i="2"/>
  <c r="AI733" i="2"/>
  <c r="AE734" i="2"/>
  <c r="AI734" i="2"/>
  <c r="AE735" i="2"/>
  <c r="AI735" i="2"/>
  <c r="AE736" i="2"/>
  <c r="AI736" i="2" s="1"/>
  <c r="AE737" i="2"/>
  <c r="AI737" i="2" s="1"/>
  <c r="AE738" i="2"/>
  <c r="AI738" i="2"/>
  <c r="AE739" i="2"/>
  <c r="AI739" i="2" s="1"/>
  <c r="AE740" i="2"/>
  <c r="AI740" i="2" s="1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/>
  <c r="AE747" i="2"/>
  <c r="AI747" i="2" s="1"/>
  <c r="AE748" i="2"/>
  <c r="AI748" i="2" s="1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/>
  <c r="AE755" i="2"/>
  <c r="AI755" i="2" s="1"/>
  <c r="AE756" i="2"/>
  <c r="AI756" i="2" s="1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/>
  <c r="AE763" i="2"/>
  <c r="AI763" i="2" s="1"/>
  <c r="AE764" i="2"/>
  <c r="AI764" i="2" s="1"/>
  <c r="AE765" i="2"/>
  <c r="AI765" i="2"/>
  <c r="AI766" i="2"/>
  <c r="AE767" i="2"/>
  <c r="AI767" i="2" s="1"/>
  <c r="AI768" i="2"/>
  <c r="AC770" i="2"/>
  <c r="AD770" i="2"/>
  <c r="AG770" i="2"/>
  <c r="P738" i="2"/>
  <c r="S738" i="2"/>
  <c r="W738" i="2" s="1"/>
  <c r="P737" i="2"/>
  <c r="P736" i="2"/>
  <c r="S736" i="2" s="1"/>
  <c r="W736" i="2" s="1"/>
  <c r="P735" i="2"/>
  <c r="S735" i="2" s="1"/>
  <c r="W735" i="2" s="1"/>
  <c r="P734" i="2"/>
  <c r="S734" i="2" s="1"/>
  <c r="W734" i="2" s="1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S729" i="2" s="1"/>
  <c r="W729" i="2" s="1"/>
  <c r="P728" i="2"/>
  <c r="P727" i="2"/>
  <c r="S727" i="2"/>
  <c r="W727" i="2" s="1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U770" i="2"/>
  <c r="S737" i="2"/>
  <c r="W737" i="2" s="1"/>
  <c r="S739" i="2"/>
  <c r="W739" i="2" s="1"/>
  <c r="S740" i="2"/>
  <c r="W740" i="2"/>
  <c r="S741" i="2"/>
  <c r="W741" i="2"/>
  <c r="S742" i="2"/>
  <c r="W742" i="2" s="1"/>
  <c r="S743" i="2"/>
  <c r="W743" i="2" s="1"/>
  <c r="S744" i="2"/>
  <c r="W744" i="2" s="1"/>
  <c r="S745" i="2"/>
  <c r="W745" i="2"/>
  <c r="S746" i="2"/>
  <c r="W746" i="2"/>
  <c r="S747" i="2"/>
  <c r="W747" i="2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 s="1"/>
  <c r="S758" i="2"/>
  <c r="W758" i="2" s="1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V770" i="2"/>
  <c r="D748" i="2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D740" i="2"/>
  <c r="D739" i="2"/>
  <c r="D738" i="2"/>
  <c r="G738" i="2" s="1"/>
  <c r="K738" i="2" s="1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 s="1"/>
  <c r="K732" i="2" s="1"/>
  <c r="D731" i="2"/>
  <c r="D730" i="2"/>
  <c r="D729" i="2"/>
  <c r="D728" i="2"/>
  <c r="G728" i="2" s="1"/>
  <c r="K728" i="2" s="1"/>
  <c r="D727" i="2"/>
  <c r="G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I770" i="2"/>
  <c r="G729" i="2"/>
  <c r="K729" i="2" s="1"/>
  <c r="G730" i="2"/>
  <c r="K730" i="2" s="1"/>
  <c r="G731" i="2"/>
  <c r="K731" i="2" s="1"/>
  <c r="G736" i="2"/>
  <c r="K736" i="2" s="1"/>
  <c r="G739" i="2"/>
  <c r="K739" i="2"/>
  <c r="G740" i="2"/>
  <c r="K740" i="2" s="1"/>
  <c r="G741" i="2"/>
  <c r="K741" i="2"/>
  <c r="G745" i="2"/>
  <c r="K745" i="2" s="1"/>
  <c r="G746" i="2"/>
  <c r="K746" i="2" s="1"/>
  <c r="G748" i="2"/>
  <c r="K748" i="2"/>
  <c r="G749" i="2"/>
  <c r="K749" i="2"/>
  <c r="G750" i="2"/>
  <c r="K750" i="2" s="1"/>
  <c r="G751" i="2"/>
  <c r="K751" i="2" s="1"/>
  <c r="G752" i="2"/>
  <c r="K752" i="2"/>
  <c r="G753" i="2"/>
  <c r="K753" i="2" s="1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 s="1"/>
  <c r="E770" i="2"/>
  <c r="F770" i="2"/>
  <c r="J770" i="2"/>
  <c r="AI825" i="2" l="1"/>
  <c r="K825" i="2"/>
  <c r="AB770" i="2"/>
  <c r="AI731" i="2"/>
  <c r="AI728" i="2"/>
  <c r="AE770" i="2"/>
  <c r="P770" i="2"/>
  <c r="W728" i="2"/>
  <c r="W770" i="2" s="1"/>
  <c r="S770" i="2"/>
  <c r="K727" i="2"/>
  <c r="K770" i="2" s="1"/>
  <c r="G770" i="2"/>
  <c r="D770" i="2"/>
  <c r="AB676" i="2"/>
  <c r="AE676" i="2" s="1"/>
  <c r="AI676" i="2" s="1"/>
  <c r="AB675" i="2"/>
  <c r="AB674" i="2"/>
  <c r="AH673" i="2"/>
  <c r="AG673" i="2"/>
  <c r="AB673" i="2"/>
  <c r="AH672" i="2"/>
  <c r="AH715" i="2" s="1"/>
  <c r="AG672" i="2"/>
  <c r="AG715" i="2" s="1"/>
  <c r="AB672" i="2"/>
  <c r="AE672" i="2" s="1"/>
  <c r="AA675" i="2"/>
  <c r="AA673" i="2"/>
  <c r="AA674" i="2" s="1"/>
  <c r="AC715" i="2"/>
  <c r="AE673" i="2"/>
  <c r="AI673" i="2" s="1"/>
  <c r="AE674" i="2"/>
  <c r="AI674" i="2" s="1"/>
  <c r="AE675" i="2"/>
  <c r="AI675" i="2" s="1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 s="1"/>
  <c r="AE690" i="2"/>
  <c r="AI690" i="2" s="1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 s="1"/>
  <c r="AE698" i="2"/>
  <c r="AI698" i="2" s="1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 s="1"/>
  <c r="AE706" i="2"/>
  <c r="AI706" i="2" s="1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90" i="2"/>
  <c r="P689" i="2"/>
  <c r="S689" i="2" s="1"/>
  <c r="W689" i="2" s="1"/>
  <c r="P688" i="2"/>
  <c r="S688" i="2" s="1"/>
  <c r="W688" i="2" s="1"/>
  <c r="P687" i="2"/>
  <c r="S687" i="2" s="1"/>
  <c r="W687" i="2" s="1"/>
  <c r="P686" i="2"/>
  <c r="P685" i="2"/>
  <c r="P684" i="2"/>
  <c r="P683" i="2"/>
  <c r="P682" i="2"/>
  <c r="S682" i="2" s="1"/>
  <c r="W682" i="2" s="1"/>
  <c r="P681" i="2"/>
  <c r="S681" i="2" s="1"/>
  <c r="W681" i="2" s="1"/>
  <c r="U680" i="2"/>
  <c r="P680" i="2"/>
  <c r="S680" i="2" s="1"/>
  <c r="W680" i="2" s="1"/>
  <c r="P679" i="2"/>
  <c r="S679" i="2" s="1"/>
  <c r="W679" i="2" s="1"/>
  <c r="P678" i="2"/>
  <c r="P677" i="2"/>
  <c r="S677" i="2" s="1"/>
  <c r="W677" i="2" s="1"/>
  <c r="P676" i="2"/>
  <c r="S676" i="2" s="1"/>
  <c r="W676" i="2" s="1"/>
  <c r="P675" i="2"/>
  <c r="U674" i="2"/>
  <c r="U715" i="2" s="1"/>
  <c r="P674" i="2"/>
  <c r="P673" i="2"/>
  <c r="P672" i="2"/>
  <c r="O673" i="2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5" i="2" s="1"/>
  <c r="O686" i="2" s="1"/>
  <c r="O687" i="2" s="1"/>
  <c r="O688" i="2" s="1"/>
  <c r="O689" i="2" s="1"/>
  <c r="O690" i="2" s="1"/>
  <c r="S673" i="2"/>
  <c r="W673" i="2"/>
  <c r="S674" i="2"/>
  <c r="S675" i="2"/>
  <c r="W675" i="2" s="1"/>
  <c r="S678" i="2"/>
  <c r="W678" i="2" s="1"/>
  <c r="S683" i="2"/>
  <c r="W683" i="2" s="1"/>
  <c r="S684" i="2"/>
  <c r="W684" i="2" s="1"/>
  <c r="S685" i="2"/>
  <c r="W685" i="2" s="1"/>
  <c r="S686" i="2"/>
  <c r="W686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 s="1"/>
  <c r="S697" i="2"/>
  <c r="W697" i="2" s="1"/>
  <c r="S698" i="2"/>
  <c r="W698" i="2"/>
  <c r="S699" i="2"/>
  <c r="W699" i="2"/>
  <c r="S700" i="2"/>
  <c r="W700" i="2"/>
  <c r="S701" i="2"/>
  <c r="W701" i="2"/>
  <c r="S702" i="2"/>
  <c r="W702" i="2"/>
  <c r="S703" i="2"/>
  <c r="W703" i="2" s="1"/>
  <c r="S704" i="2"/>
  <c r="W704" i="2"/>
  <c r="S705" i="2"/>
  <c r="W705" i="2" s="1"/>
  <c r="S706" i="2"/>
  <c r="W706" i="2"/>
  <c r="S707" i="2"/>
  <c r="W707" i="2"/>
  <c r="S708" i="2"/>
  <c r="W708" i="2"/>
  <c r="S709" i="2"/>
  <c r="W709" i="2"/>
  <c r="S710" i="2"/>
  <c r="W710" i="2"/>
  <c r="W711" i="2"/>
  <c r="S712" i="2"/>
  <c r="W712" i="2"/>
  <c r="W713" i="2"/>
  <c r="Q715" i="2"/>
  <c r="R715" i="2"/>
  <c r="V715" i="2"/>
  <c r="D688" i="2"/>
  <c r="D687" i="2"/>
  <c r="D686" i="2"/>
  <c r="D685" i="2"/>
  <c r="D684" i="2"/>
  <c r="D683" i="2"/>
  <c r="D682" i="2"/>
  <c r="D681" i="2"/>
  <c r="D680" i="2"/>
  <c r="G680" i="2" s="1"/>
  <c r="K680" i="2" s="1"/>
  <c r="D679" i="2"/>
  <c r="D678" i="2"/>
  <c r="D677" i="2"/>
  <c r="D676" i="2"/>
  <c r="D675" i="2"/>
  <c r="D674" i="2"/>
  <c r="I673" i="2"/>
  <c r="D673" i="2"/>
  <c r="D672" i="2"/>
  <c r="G672" i="2" s="1"/>
  <c r="K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G673" i="2"/>
  <c r="K673" i="2" s="1"/>
  <c r="G675" i="2"/>
  <c r="K675" i="2" s="1"/>
  <c r="G676" i="2"/>
  <c r="K676" i="2" s="1"/>
  <c r="G677" i="2"/>
  <c r="K677" i="2"/>
  <c r="G678" i="2"/>
  <c r="K678" i="2" s="1"/>
  <c r="G679" i="2"/>
  <c r="K679" i="2"/>
  <c r="G681" i="2"/>
  <c r="K681" i="2" s="1"/>
  <c r="G682" i="2"/>
  <c r="K682" i="2" s="1"/>
  <c r="G683" i="2"/>
  <c r="K683" i="2" s="1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 s="1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 s="1"/>
  <c r="G703" i="2"/>
  <c r="K703" i="2"/>
  <c r="G704" i="2"/>
  <c r="K704" i="2"/>
  <c r="G705" i="2"/>
  <c r="K705" i="2" s="1"/>
  <c r="G712" i="2"/>
  <c r="K712" i="2"/>
  <c r="E715" i="2"/>
  <c r="F715" i="2"/>
  <c r="I715" i="2"/>
  <c r="J715" i="2"/>
  <c r="AI770" i="2" l="1"/>
  <c r="AI672" i="2"/>
  <c r="AI715" i="2" s="1"/>
  <c r="AB715" i="2"/>
  <c r="AE715" i="2"/>
  <c r="P715" i="2"/>
  <c r="W674" i="2"/>
  <c r="W715" i="2" s="1"/>
  <c r="S672" i="2"/>
  <c r="W672" i="2" s="1"/>
  <c r="D715" i="2"/>
  <c r="G674" i="2"/>
  <c r="AB619" i="2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S715" i="2" l="1"/>
  <c r="G715" i="2"/>
  <c r="K674" i="2"/>
  <c r="K715" i="2" s="1"/>
  <c r="AC660" i="2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D38" i="1" s="1"/>
  <c r="J39" i="1"/>
  <c r="D39" i="1" s="1"/>
  <c r="J40" i="1"/>
  <c r="J30" i="1"/>
  <c r="D30" i="1" s="1"/>
  <c r="J31" i="1"/>
  <c r="D31" i="1" s="1"/>
  <c r="J32" i="1"/>
  <c r="D32" i="1" s="1"/>
  <c r="J22" i="1"/>
  <c r="J23" i="1"/>
  <c r="D23" i="1" s="1"/>
  <c r="J24" i="1"/>
  <c r="D24" i="1" s="1"/>
  <c r="J25" i="1"/>
  <c r="D25" i="1" s="1"/>
  <c r="J15" i="1"/>
  <c r="D15" i="1" s="1"/>
  <c r="J16" i="1"/>
  <c r="D16" i="1" s="1"/>
  <c r="J17" i="1"/>
  <c r="D17" i="1" s="1"/>
  <c r="J18" i="1"/>
  <c r="D18" i="1" s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D36" i="1" s="1"/>
  <c r="J37" i="1"/>
  <c r="D37" i="1" s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family val="2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GARCIA STORE
GOLEO, SINDANGAN</t>
        </r>
      </text>
    </comment>
    <comment ref="C672" authorId="0" shapeId="0" xr:uid="{7087C951-0EC0-4EC0-9429-EDD593B54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672" authorId="0" shapeId="0" xr:uid="{42032BBC-51F3-4050-9F8B-79BC2D2280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672" authorId="0" shapeId="0" xr:uid="{E57E564E-B9F0-45B5-B746-03898EEAFA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SHIELLA GUIBANG-GUIBANG
KAYOK, LILOY</t>
        </r>
      </text>
    </comment>
    <comment ref="C673" authorId="0" shapeId="0" xr:uid="{C9F9335E-19B2-4A8A-8E46-9853F73D6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673" authorId="0" shapeId="0" xr:uid="{173AF246-A737-4C1E-8A62-4C24268A5A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FE STORE
RM, SALUG</t>
        </r>
      </text>
    </comment>
    <comment ref="AA673" authorId="0" shapeId="0" xr:uid="{C89AB333-862D-4B8B-9161-758FA4E13C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4" authorId="0" shapeId="0" xr:uid="{8D31BBDE-3261-4A53-A258-9B76E5F922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674" authorId="0" shapeId="0" xr:uid="{2FAB0CD1-D979-4741-9C78-9BC81DDB8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674" authorId="0" shapeId="0" xr:uid="{14E22241-C376-46E1-A153-46886EEA7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5" authorId="0" shapeId="0" xr:uid="{6FD0437C-D944-4763-BAE3-73980193BE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STORE
DAPAON, SINDANGAN</t>
        </r>
      </text>
    </comment>
    <comment ref="O675" authorId="0" shapeId="0" xr:uid="{3A406F36-5C88-48B9-A409-419F8989C0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POB, BACUNGAN</t>
        </r>
      </text>
    </comment>
    <comment ref="AA675" authorId="0" shapeId="0" xr:uid="{943B6C5D-0B54-4E4C-A602-7C662FCF72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6" authorId="0" shapeId="0" xr:uid="{5CE63432-0CC5-4BEC-9CD7-F373990012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O676" authorId="0" shapeId="0" xr:uid="{C41CE190-7FDD-4D7D-96FB-B8D422525F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REVINA ALEMAN
PALANDOK, BACUNGAN</t>
        </r>
      </text>
    </comment>
    <comment ref="AA676" authorId="0" shapeId="0" xr:uid="{8B2EB018-2D34-4DD2-B741-5BE6ED19FF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TIMAGOS EATERY
BAYBAY, LILOY</t>
        </r>
      </text>
    </comment>
    <comment ref="C677" authorId="0" shapeId="0" xr:uid="{A27956C8-F8B1-475C-B2A9-A8A1DF3560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677" authorId="0" shapeId="0" xr:uid="{4116DFFB-44C2-4D3B-8CA1-3F3BD3636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C678" authorId="0" shapeId="0" xr:uid="{C26BEED8-9435-4BFE-BB1C-5AE983E1F4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678" authorId="0" shapeId="0" xr:uid="{FCEDA9A9-A2E6-4772-BA94-00EE5C9B77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BAEL
BOGABONGAN, BACUNGAN</t>
        </r>
      </text>
    </comment>
    <comment ref="C679" authorId="0" shapeId="0" xr:uid="{DF7F361A-B60F-4ED9-A033-0E361555E7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FIVE WILL'S STIORE
DISUD, SINDANGAN</t>
        </r>
      </text>
    </comment>
    <comment ref="O679" authorId="0" shapeId="0" xr:uid="{C0B2EF85-6F4F-4FEB-A597-609FC18E1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680" authorId="0" shapeId="0" xr:uid="{F3A6A94C-BD3C-4A7D-B4E3-360402BE4B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680" authorId="0" shapeId="0" xr:uid="{936155CC-5FC1-47DD-AA96-B0A9CB6A8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C681" authorId="0" shapeId="0" xr:uid="{EF819DC1-CA7C-49F9-A27D-21DFA2432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681" authorId="0" shapeId="0" xr:uid="{A3292003-E56B-404C-B661-B38513602F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C682" authorId="0" shapeId="0" xr:uid="{4E618DAE-BB9D-4670-8BDC-F60C7534E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682" authorId="0" shapeId="0" xr:uid="{C1922872-FD9A-4D26-B03E-EADFDEB0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MARILOU GUANSING
BOGABONGAN, BACUNGAN</t>
        </r>
      </text>
    </comment>
    <comment ref="C683" authorId="0" shapeId="0" xr:uid="{7597D28B-9D7C-4C69-A5A7-9B4B051049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AZERO STORE
PIAO, SINDANGAN</t>
        </r>
      </text>
    </comment>
    <comment ref="O683" authorId="0" shapeId="0" xr:uid="{83A2F2B2-611B-461B-A60A-3EA606590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JEANIAS MINI GROCERY
BOGABONGAN, BACUNGAN</t>
        </r>
      </text>
    </comment>
    <comment ref="C684" authorId="0" shapeId="0" xr:uid="{3242AFD7-297A-49BC-A45E-02E2024890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684" authorId="0" shapeId="0" xr:uid="{BA97EBAB-4531-44F2-AF73-EFDC50B1E8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JEL STORE
POB, BACUNGAN</t>
        </r>
      </text>
    </comment>
    <comment ref="C685" authorId="0" shapeId="0" xr:uid="{CB6E8A75-2F5F-4986-9031-DF3E790F7E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685" authorId="0" shapeId="0" xr:uid="{02CEB741-E555-4B23-82C4-A86B88FEC6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C686" authorId="0" shapeId="0" xr:uid="{D9A3F4EF-C504-438C-8F14-FE83295F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VILLALON
LABAKID, SINDANGAN</t>
        </r>
      </text>
    </comment>
    <comment ref="O686" authorId="0" shapeId="0" xr:uid="{CB179B6F-4523-4C1D-BE03-124F81CFE8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PAQUITO STORE
TALINGA, SINDANGAN</t>
        </r>
      </text>
    </comment>
    <comment ref="C687" authorId="0" shapeId="0" xr:uid="{D46ADB76-7568-45B0-ACE4-BD72A0DD70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SINDANGAN FACOMA
POB, SINDANGAN</t>
        </r>
      </text>
    </comment>
    <comment ref="O687" authorId="0" shapeId="0" xr:uid="{460AA3C3-7FB8-487A-9139-FD304A3B8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LOWER INUMAN, SINDANGAN</t>
        </r>
      </text>
    </comment>
    <comment ref="C688" authorId="0" shapeId="0" xr:uid="{41B3E447-8D94-4563-A48D-9D60955180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RAMON STORE
DAPAON, SINDANGAN</t>
        </r>
      </text>
    </comment>
    <comment ref="O688" authorId="0" shapeId="0" xr:uid="{8E50F470-08BE-4A04-992A-CEB67B84CD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 STORE
MARAS, SINDANGAN</t>
        </r>
      </text>
    </comment>
    <comment ref="O689" authorId="0" shapeId="0" xr:uid="{B1E7DDBC-9C00-4D68-924E-56CA336A8A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690" authorId="0" shapeId="0" xr:uid="{3A278606-00F7-471A-B992-9080B4CB4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C727" authorId="0" shapeId="0" xr:uid="{3CBE64E3-31D8-4A87-A43C-3CDA80E42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727" authorId="0" shapeId="0" xr:uid="{FAC02AC1-E37D-4A76-80FF-D35D0F221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727" authorId="0" shapeId="0" xr:uid="{505ED952-6F5C-4500-9223-5A07B6C927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28" authorId="0" shapeId="0" xr:uid="{AA3BCC83-BDA1-424B-B41C-67DC6B4EB0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728" authorId="0" shapeId="0" xr:uid="{296993D6-4362-4B5B-9C6E-754D5706C3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JHONA BELARMINO
DATU TANGKILAN, SINDANGAN</t>
        </r>
      </text>
    </comment>
    <comment ref="AA728" authorId="0" shapeId="0" xr:uid="{393534F6-C09B-4A32-8DD9-A776A2BC9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29" authorId="0" shapeId="0" xr:uid="{B172BB0F-55D6-43DA-97B4-B904D1191D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729" authorId="0" shapeId="0" xr:uid="{E72A1D8C-3CF1-47ED-AE5B-D24274368B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 ALESNA
MANDIH, SINDANGAN</t>
        </r>
      </text>
    </comment>
    <comment ref="AA729" authorId="0" shapeId="0" xr:uid="{B16B9971-C8AC-4F59-B7BC-4649945CC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 NAMIT
KAYOK, LILOY</t>
        </r>
      </text>
    </comment>
    <comment ref="C730" authorId="0" shapeId="0" xr:uid="{95E4DD4E-A540-4E14-8733-70284CFB3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30" authorId="0" shapeId="0" xr:uid="{281E682D-58C6-4BAB-B2B4-63FC1CCDFC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ALWALYN STORE
MANDIH, SINDANGAN</t>
        </r>
      </text>
    </comment>
    <comment ref="AA730" authorId="0" shapeId="0" xr:uid="{EBFE2596-14C9-42F1-BDCC-367CD1F41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731" authorId="0" shapeId="0" xr:uid="{15680E23-9ED3-4BE8-B478-3D7C8CE7D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O731" authorId="0" shapeId="0" xr:uid="{C2FCF8CA-8DEB-4425-B4CA-25C365560E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731" authorId="0" shapeId="0" xr:uid="{8100ABDE-9485-41E3-A6DC-CEC5C84029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32" authorId="0" shapeId="0" xr:uid="{4661306A-3444-49AC-9B36-179C99758B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732" authorId="0" shapeId="0" xr:uid="{61DB9F77-942A-40E2-A82C-FDE468D20D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BOGABONGAN
LOWER INUMAN, SINDANGAN</t>
        </r>
      </text>
    </comment>
    <comment ref="C733" authorId="0" shapeId="0" xr:uid="{F6D11739-C9F6-47AA-84B5-77AAC6AFDF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3" authorId="0" shapeId="0" xr:uid="{B21A25D5-545C-493F-B5AE-19F7250558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EROJO STORE
TALINGA, BACUNGAN</t>
        </r>
      </text>
    </comment>
    <comment ref="C734" authorId="0" shapeId="0" xr:uid="{9197DF44-CC7E-4D2A-A96A-D16102E030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734" authorId="0" shapeId="0" xr:uid="{5F765E37-DAA9-433C-8563-3A540F3651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5" authorId="0" shapeId="0" xr:uid="{6C133F88-0708-46CF-B95C-13492F979C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735" authorId="0" shapeId="0" xr:uid="{E805B987-6B4E-4F08-BC45-B6BB5B2DAA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C736" authorId="0" shapeId="0" xr:uid="{C5426D86-CBC5-4BE1-8D29-88B44C986B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O736" authorId="0" shapeId="0" xr:uid="{07098F85-D594-408F-9B20-857CBB7ADA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737" authorId="0" shapeId="0" xr:uid="{F489735F-154D-4355-966A-C6DD2A02C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EDMUNDO MADULA
CALACAS, SIAYAN</t>
        </r>
      </text>
    </comment>
    <comment ref="O737" authorId="0" shapeId="0" xr:uid="{6F1E729D-1450-4E50-9B4A-FE20782B8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GOZANES
GOLEO, SINDANGAN</t>
        </r>
      </text>
    </comment>
    <comment ref="C738" authorId="0" shapeId="0" xr:uid="{6B781047-278F-415E-B5B4-32D35D8AC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</t>
        </r>
      </text>
    </comment>
    <comment ref="O738" authorId="0" shapeId="0" xr:uid="{409C737A-53B3-4ADF-8337-8D341CC110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739" authorId="0" shapeId="0" xr:uid="{F1920D54-CF50-41A1-8601-78CE8561E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GABATO STORE
POB, SIAYAN</t>
        </r>
      </text>
    </comment>
    <comment ref="C740" authorId="0" shapeId="0" xr:uid="{FDEA4436-067C-4BAA-AA31-DA9132DEE5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741" authorId="0" shapeId="0" xr:uid="{74CE77A2-AD87-44E7-B420-318DDDD854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C742" authorId="0" shapeId="0" xr:uid="{1155D14F-0B6E-4B17-ABDF-6BD07BCDB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LUCKY-I STORE
POB, SIAYAN</t>
        </r>
      </text>
    </comment>
    <comment ref="C743" authorId="0" shapeId="0" xr:uid="{0B2C2753-7715-4EF2-B6F5-1251BE3321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MARELYN DEGURO
BALOK, SINDANGAN</t>
        </r>
      </text>
    </comment>
    <comment ref="C744" authorId="0" shapeId="0" xr:uid="{CBEA7776-167B-4669-B957-19034E83B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C745" authorId="0" shapeId="0" xr:uid="{18F7C2C7-AAB7-4624-AD14-7AA8C7C161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46" authorId="0" shapeId="0" xr:uid="{80811975-5BEE-4A71-B802-CDAD5A3D8F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C747" authorId="0" shapeId="0" xr:uid="{43C0596B-D0A5-4097-9C11-17398FCC83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748" authorId="0" shapeId="0" xr:uid="{EBE8BA2F-4F1F-4507-8BD8-D7A1287632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SIR NEIL BAGUIO
GOLEO, SINDANGAN</t>
        </r>
      </text>
    </comment>
    <comment ref="C782" authorId="0" shapeId="0" xr:uid="{1EE867EE-FCE1-4320-9A99-65F5B90FB7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2" authorId="0" shapeId="0" xr:uid="{60174420-C746-4EC8-AA60-E356BAAB7A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LAIZA STORE
DATU TANGKILAN, SINDANGAN</t>
        </r>
      </text>
    </comment>
    <comment ref="AA782" authorId="0" shapeId="0" xr:uid="{F93FB0AA-674B-4844-955D-11A75E7ECF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783" authorId="0" shapeId="0" xr:uid="{09C9EE9F-CEBE-4FAB-A697-8B4D0B319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3" authorId="0" shapeId="0" xr:uid="{FBCF79D3-6D49-4591-9E16-16A82A6974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DATU TANGKILAN, SINDANGAN</t>
        </r>
      </text>
    </comment>
    <comment ref="AA783" authorId="0" shapeId="0" xr:uid="{EAAD960A-3C1B-4185-88B7-393DD5651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784" authorId="0" shapeId="0" xr:uid="{CCB083D3-7F9D-4253-AFC5-8942FD050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784" authorId="0" shapeId="0" xr:uid="{EEFF1E72-AB5D-4EB5-B7E6-36420AFD2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ELUMBA STORE
POB, BACUNGAN</t>
        </r>
      </text>
    </comment>
    <comment ref="AA784" authorId="0" shapeId="0" xr:uid="{4DB3B951-8015-40E0-B528-B78F26AE2D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C785" authorId="0" shapeId="0" xr:uid="{64D86AB1-8E1F-4D57-A506-5BECD8EFFC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785" authorId="0" shapeId="0" xr:uid="{EFB52805-AF60-482D-AEC2-0B4A983AC4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
LAGAG, SINDANGAN</t>
        </r>
      </text>
    </comment>
    <comment ref="AA785" authorId="0" shapeId="0" xr:uid="{40F56A22-FF18-4FC8-932F-5B0752B1DA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86" authorId="0" shapeId="0" xr:uid="{9262D8B3-4A42-4D55-9D60-9DBC733026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786" authorId="0" shapeId="0" xr:uid="{F49EA94B-17E3-4D6F-BD90-ED12308A40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EDWARDO CAÑETE
GOLEO, SINDANGAN</t>
        </r>
      </text>
    </comment>
    <comment ref="AA786" authorId="0" shapeId="0" xr:uid="{EF29FDC8-477E-48BE-841E-FEE46D219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787" authorId="0" shapeId="0" xr:uid="{946F684B-EB69-499B-9416-5BAC50E0A6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787" authorId="0" shapeId="0" xr:uid="{D9ACA4C1-A98F-462F-8F1B-F1458F309F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C788" authorId="0" shapeId="0" xr:uid="{5064083C-30B1-48C4-97AA-9D52252959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C789" authorId="0" shapeId="0" xr:uid="{ECFD16AF-07D1-490E-A75D-14D516075C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THREE-M STORE
DISUD, SINDANGAN</t>
        </r>
      </text>
    </comment>
    <comment ref="C790" authorId="0" shapeId="0" xr:uid="{4A06E3CE-A5F4-4E9E-8A24-C7A76F496A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C791" authorId="0" shapeId="0" xr:uid="{A1AE2552-DB7E-4E6F-8159-532318E7BD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C792" authorId="0" shapeId="0" xr:uid="{762307E3-5BF7-430C-BF2C-6AD60790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837" authorId="0" shapeId="0" xr:uid="{DFFB8EE6-63AD-4C29-9BB5-38A03DDFCB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837" authorId="0" shapeId="0" xr:uid="{6BA3A827-BEAE-4C8C-9BE1-0D0396D6CB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MARTY STORE
POB, SINDANGAN</t>
        </r>
      </text>
    </comment>
    <comment ref="AA837" authorId="0" shapeId="0" xr:uid="{88342DAC-5E23-4318-901E-2A009E1EE7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838" authorId="0" shapeId="0" xr:uid="{42F9E9C7-8985-49C2-9BF1-2BC7EC3738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838" authorId="0" shapeId="0" xr:uid="{3E3D7E35-2DFF-45D2-9D89-C2624373DC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STORE
GOLEO, SINDANGAN</t>
        </r>
      </text>
    </comment>
    <comment ref="AA838" authorId="0" shapeId="0" xr:uid="{7FEB433F-E855-4B34-9429-531E9F4C31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
SLPA 2
BACONG, SALUG</t>
        </r>
      </text>
    </comment>
    <comment ref="C839" authorId="0" shapeId="0" xr:uid="{A588CA6F-5D48-4C95-8D96-4D80E3320A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</t>
        </r>
      </text>
    </comment>
    <comment ref="O839" authorId="0" shapeId="0" xr:uid="{B081E353-85EC-45B8-8988-66A97D5C69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TOBIAS STORE
DATU TANGKILAN, SINDANGAN</t>
        </r>
      </text>
    </comment>
    <comment ref="AA839" authorId="0" shapeId="0" xr:uid="{E28CF90F-98F8-4FCC-9366-7338D8DE3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840" authorId="0" shapeId="0" xr:uid="{C8491011-C731-4DF1-B8CF-9C26A43E77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BANDICO
GOLEO, SINDANGAN</t>
        </r>
      </text>
    </comment>
    <comment ref="AA840" authorId="0" shapeId="0" xr:uid="{5EB44E45-242E-4894-BCE3-AA2D6F2F5A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O841" authorId="0" shapeId="0" xr:uid="{BE82F6BF-1EE1-47F5-8F2A-710041F791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841" authorId="0" shapeId="0" xr:uid="{88B8C853-DBAA-4A23-9F7D-6FCB5860DD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ANTONIO BALASUELA
BAYBAY, LILOY</t>
        </r>
      </text>
    </comment>
    <comment ref="C892" authorId="0" shapeId="0" xr:uid="{906CA8B3-6F3F-45F5-B825-65BE3C998D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892" authorId="0" shapeId="0" xr:uid="{9B1486A6-2AA1-46A1-8719-57DAAA22D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CRYSTAL STORE
MARAS, SINDANGAN</t>
        </r>
      </text>
    </comment>
    <comment ref="AA892" authorId="0" shapeId="0" xr:uid="{39F18268-1080-4B5D-9E65-E7FE6B8DC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893" authorId="0" shapeId="0" xr:uid="{A51FBB01-A6CB-4185-8D1C-EC78F19F8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893" authorId="0" shapeId="0" xr:uid="{1CEFD5C7-D9ED-4F7D-B3BB-A9B21F5DF7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MITCHEL STORE
MARAS, SINDANGAN</t>
        </r>
      </text>
    </comment>
    <comment ref="AA893" authorId="0" shapeId="0" xr:uid="{3ADBEB63-EE96-4887-9257-2882D7F24A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C894" authorId="0" shapeId="0" xr:uid="{C09C7613-36CA-4E89-9293-F8050A378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894" authorId="0" shapeId="0" xr:uid="{3314EE7D-57C0-4D41-B896-801A162A21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DON STORE
</t>
        </r>
      </text>
    </comment>
    <comment ref="AA894" authorId="0" shapeId="0" xr:uid="{8D17EF3C-53F2-4B36-BE00-B1970AE1BB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895" authorId="0" shapeId="0" xr:uid="{792FEA43-EB5A-4D7D-8B83-869616A753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LEIZEL STORE
MARAS, SINDANGAN</t>
        </r>
      </text>
    </comment>
    <comment ref="AA895" authorId="0" shapeId="0" xr:uid="{DF6BD878-5C1D-4C3D-A241-967AC878BE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O896" authorId="0" shapeId="0" xr:uid="{BA2F78B4-38EA-479D-838F-7635117838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896" authorId="0" shapeId="0" xr:uid="{F55FAB53-EAE8-4E5C-9AC1-20EA5DA3B4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MIRACLE BEB'S
POB, SALUG</t>
        </r>
      </text>
    </comment>
    <comment ref="O897" authorId="0" shapeId="0" xr:uid="{2E09C10E-42B8-43A9-A2FE-9EB48A95CC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897" authorId="0" shapeId="0" xr:uid="{408E68AD-41B0-406D-AB6A-C06829FEB2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898" authorId="0" shapeId="0" xr:uid="{0CDC604B-84D4-49E2-A9B7-BF65E52D27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898" authorId="0" shapeId="0" xr:uid="{4F27C8D3-98D7-4D10-A1A7-A751E8DA42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899" authorId="0" shapeId="0" xr:uid="{CC41ACE8-867E-455C-9D69-0307644FB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 STORE
TALINGA, SINDANGAN</t>
        </r>
      </text>
    </comment>
    <comment ref="AA899" authorId="0" shapeId="0" xr:uid="{63FCB8BC-6082-4B4E-A04E-000E3C253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900" authorId="0" shapeId="0" xr:uid="{8F0900AA-47DD-4DD4-AF97-61255F82B0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900" authorId="0" shapeId="0" xr:uid="{57D4EC3C-B9D1-4B9D-817D-2A871779C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SALUG NATIONAL HIGH SCHOOL
POB, SALUG</t>
        </r>
      </text>
    </comment>
    <comment ref="AA901" authorId="0" shapeId="0" xr:uid="{9B31684D-E5DC-4AA9-956C-87E48EDCD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DIVINO
LIPAKAN, SALUG</t>
        </r>
      </text>
    </comment>
    <comment ref="C947" authorId="0" shapeId="0" xr:uid="{0BCCE6E3-B33F-4E83-96DB-8D115F0B7E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STORE
GUNYAN, SIAYAN</t>
        </r>
      </text>
    </comment>
    <comment ref="O947" authorId="0" shapeId="0" xr:uid="{BDF2086E-22F9-4770-8724-0C92A98B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GOLEO, SINDANGAN</t>
        </r>
      </text>
    </comment>
    <comment ref="AA947" authorId="0" shapeId="0" xr:uid="{B303F80F-A89E-4FC7-90B6-091A9F8F81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948" authorId="0" shapeId="0" xr:uid="{9E4E28A5-63D8-4089-8FF4-23E4FB6E5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O948" authorId="0" shapeId="0" xr:uid="{43A238E8-2553-47F1-95E1-872CB757E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948" authorId="0" shapeId="0" xr:uid="{BF617E63-898F-4AD9-903D-F69A4D64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949" authorId="0" shapeId="0" xr:uid="{5737C87A-C45A-47C6-B2E1-0B1D745916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949" authorId="0" shapeId="0" xr:uid="{A9BAF84A-F1CA-46BA-B3BB-379D0B279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KAN-ANAN SA HIGHWAY
TALINGA, BACUNGAN</t>
        </r>
      </text>
    </comment>
    <comment ref="AA949" authorId="0" shapeId="0" xr:uid="{108DFCFB-F414-4B9E-9AE3-E44DBF720F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0" authorId="0" shapeId="0" xr:uid="{56522C6D-B59C-4CAF-AA36-DB57A5BE9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POB, BACUNGAN</t>
        </r>
      </text>
    </comment>
    <comment ref="O951" authorId="0" shapeId="0" xr:uid="{CB6D16E8-5DCB-41B7-852F-996CD12AC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C1002" authorId="0" shapeId="0" xr:uid="{4782F7FC-C384-4506-A5DB-D9541D8A2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O1002" authorId="0" shapeId="0" xr:uid="{B16603E3-2C18-4336-A7D0-335E022A9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1003" authorId="0" shapeId="0" xr:uid="{64F35F23-F719-4FA2-B6B1-C49705413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KOKOY STORE
POB, SINDANGAN</t>
        </r>
      </text>
    </comment>
    <comment ref="O1003" authorId="0" shapeId="0" xr:uid="{F0078EAA-2BBB-413C-9866-39D0B13E8B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ELLEN MANOS
TALINGA, BACUNGAN</t>
        </r>
      </text>
    </comment>
    <comment ref="C1004" authorId="0" shapeId="0" xr:uid="{A0BCF551-2BE6-4922-AE72-04BD4A9D9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POB, SINDANGAN</t>
        </r>
      </text>
    </comment>
    <comment ref="O1004" authorId="0" shapeId="0" xr:uid="{245E9C72-0BA4-4445-946B-CDD9BE8E1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1005" authorId="0" shapeId="0" xr:uid="{73E8308A-90BB-4D00-9F72-46AE7FFE5C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ORAIZ STORE
DAPAON, SINDANGAN</t>
        </r>
      </text>
    </comment>
    <comment ref="O1005" authorId="0" shapeId="0" xr:uid="{E93632A5-17F5-4E35-AA54-F7C0D81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QUIMNO
RM, SALUG</t>
        </r>
      </text>
    </comment>
    <comment ref="C1006" authorId="0" shapeId="0" xr:uid="{3AC8FC6F-3004-4B20-A682-1B5F3724F9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PROCOPIO STORE
DAPAON, SINDANGAN</t>
        </r>
      </text>
    </comment>
    <comment ref="O1006" authorId="0" shapeId="0" xr:uid="{87534150-794E-4456-87D9-1E4E5C0D0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1007" authorId="0" shapeId="0" xr:uid="{565F1A90-1A2E-4425-A5D8-D27FA37869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PBC STORE
DISUD, SINDANGAN</t>
        </r>
      </text>
    </comment>
    <comment ref="O1007" authorId="0" shapeId="0" xr:uid="{032D878B-1F22-4083-8F24-82F1A382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MOSQUEDA STORE
PALANDOK, BACUNGAN</t>
        </r>
      </text>
    </comment>
    <comment ref="C1008" authorId="0" shapeId="0" xr:uid="{30C5161C-448B-41EF-B443-DF0AD993AE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08" authorId="0" shapeId="0" xr:uid="{470800BA-B1DF-4F31-82A9-CD6F33D626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TRIPLE-Z STORE
PALANDOK, BACUNGAN</t>
        </r>
      </text>
    </comment>
    <comment ref="C1009" authorId="0" shapeId="0" xr:uid="{C109B3EE-344E-4ED8-A554-C24F233CC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09" authorId="0" shapeId="0" xr:uid="{D3548261-2A2B-45B3-B374-C19245DB3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C1010" authorId="0" shapeId="0" xr:uid="{8FB1A8D8-4A5D-4CFD-A66D-DDB9FE029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MORANOS STORE
DISUD, SINDANGAN</t>
        </r>
      </text>
    </comment>
    <comment ref="O1010" authorId="0" shapeId="0" xr:uid="{4765D5BA-B34E-4AE0-92F9-AED7420C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ARLENE LAMPAWOG
MANGOP, BACUNGAN</t>
        </r>
      </text>
    </comment>
    <comment ref="C1011" authorId="0" shapeId="0" xr:uid="{A41CC199-B87D-4A31-B4E1-C70E322991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 STORE
LABAKID, SINDANGAN</t>
        </r>
      </text>
    </comment>
    <comment ref="O1011" authorId="0" shapeId="0" xr:uid="{1AACFB12-3BE0-43F5-A40C-0CF7F71D1E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TEVES STORE
MANGOP, BACUNGAN</t>
        </r>
      </text>
    </comment>
    <comment ref="C1012" authorId="0" shapeId="0" xr:uid="{1727DB97-2866-4642-95CD-B1F638109A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012" authorId="0" shapeId="0" xr:uid="{55A42061-573F-4582-B13C-F76B563A4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1013" authorId="0" shapeId="0" xr:uid="{4FB83D81-1484-46F2-AA55-EFE8FAC541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 STORE
LABAKID, SINDANGAN</t>
        </r>
      </text>
    </comment>
    <comment ref="O1013" authorId="0" shapeId="0" xr:uid="{31B05730-3830-4C85-B145-A8A14D407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ELVE BAEL
BOGABONGAN, BACUNGAN</t>
        </r>
      </text>
    </comment>
    <comment ref="C1014" authorId="0" shapeId="0" xr:uid="{769828CA-2F40-439D-B065-F1A3F43872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ISTONG STORE
PIAO, SINDANGAN</t>
        </r>
      </text>
    </comment>
    <comment ref="O1014" authorId="0" shapeId="0" xr:uid="{C30BFCC0-5CD0-48F9-B1D8-7E38028A92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RAFLES
BOGABONGAN, BACUNGAN</t>
        </r>
      </text>
    </comment>
    <comment ref="C1015" authorId="0" shapeId="0" xr:uid="{5AFD3E97-6056-4E17-8624-9145D65A23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TORRES STORE
PIAO, SINDANGAN</t>
        </r>
      </text>
    </comment>
    <comment ref="O1015" authorId="0" shapeId="0" xr:uid="{57AF3457-D788-432D-A560-1E23B5108F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DURAN STORE
BOGABONGAN, BACUNGAN</t>
        </r>
      </text>
    </comment>
    <comment ref="O1016" authorId="0" shapeId="0" xr:uid="{3F690A3A-4EE3-4CE8-B876-85C21AE9C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GOMEZ
BOGABONGAN, BACUNGAN</t>
        </r>
      </text>
    </comment>
    <comment ref="O1017" authorId="0" shapeId="0" xr:uid="{0FFAADE0-18A8-4604-B4AA-9B9F174BD4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1018" authorId="0" shapeId="0" xr:uid="{A2ABA841-9F35-468F-A527-F3A9654B2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JEANIA'S STORE
BOGABONGAN, BACUNGAN</t>
        </r>
      </text>
    </comment>
    <comment ref="O1019" authorId="0" shapeId="0" xr:uid="{F5DCCAA3-8F6E-44BB-8D72-B7401016F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TITA BELANDRES
TALINGA, BACUNGAN</t>
        </r>
      </text>
    </comment>
    <comment ref="O1020" authorId="0" shapeId="0" xr:uid="{BC40B8A6-40A2-493C-BCED-9990595CEB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021" authorId="0" shapeId="0" xr:uid="{5397128B-F9B0-491E-9F2A-E3D8D6E3B7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022" authorId="0" shapeId="0" xr:uid="{03EADC7B-F8F8-4F72-97C8-65F72A069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023" authorId="0" shapeId="0" xr:uid="{821C10C7-7831-45CB-B380-4396A20008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024" authorId="0" shapeId="0" xr:uid="{1DDDEA21-51DB-4494-948A-FA04E5E962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O1025" authorId="0" shapeId="0" xr:uid="{129293D8-D590-42C9-BBF8-673A95261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1026" authorId="0" shapeId="0" xr:uid="{32CB6FB1-A643-417B-A146-D2832B5167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REDERA
TALINGA, SINDANGAN</t>
        </r>
      </text>
    </comment>
    <comment ref="O1027" authorId="0" shapeId="0" xr:uid="{B800E550-F35C-4DE3-B6E1-683335ADF9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C1057" authorId="0" shapeId="0" xr:uid="{A1DA104A-9F66-4ABA-9813-2EEBF1911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1057" authorId="0" shapeId="0" xr:uid="{41AD9234-192F-417B-849B-F61549D0C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MANGAN
MANGAN STORE
MANDIH, SINDANGAN</t>
        </r>
      </text>
    </comment>
    <comment ref="AA1057" authorId="0" shapeId="0" xr:uid="{182F4315-5A29-4E28-8972-624E59C88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8" authorId="0" shapeId="0" xr:uid="{020B2965-3277-412C-8D2B-032E9996C5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PIALA, EVIA
PIAO, SINDANGAN</t>
        </r>
      </text>
    </comment>
    <comment ref="O1058" authorId="0" shapeId="0" xr:uid="{83363C87-D56D-4116-845D-1794EF735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1058" authorId="0" shapeId="0" xr:uid="{A1AE3C2A-F2D8-49B9-93A4-C2BCEEE8D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WINDYL STORE
CARACOL, SALUG</t>
        </r>
      </text>
    </comment>
    <comment ref="C1059" authorId="0" shapeId="0" xr:uid="{B2744232-7A18-430A-8DFD-8301B59C4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GOLDIE ZIGA
PIAO, SINDANGAN</t>
        </r>
      </text>
    </comment>
    <comment ref="O1059" authorId="0" shapeId="0" xr:uid="{8654DF95-75E3-4FA0-9980-4880ED5F20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059" authorId="0" shapeId="0" xr:uid="{FF6AFBAA-55DD-44F4-BAA5-B35B4A7CAA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JING JING STORE
CARACOL, SALUG</t>
        </r>
      </text>
    </comment>
    <comment ref="C1060" authorId="0" shapeId="0" xr:uid="{425E5DED-9B93-4A6D-8673-965FEA8CD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ALEJANDRA, MAQUILING
BALOK, SINDANGAN</t>
        </r>
      </text>
    </comment>
    <comment ref="O1060" authorId="0" shapeId="0" xr:uid="{866E5BA9-AA9F-44D5-9013-4A59618CE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060" authorId="0" shapeId="0" xr:uid="{901F3E80-2702-4915-8462-5075BE1024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1061" authorId="0" shapeId="0" xr:uid="{84BF57DB-52B9-4BCA-887A-4B077F08A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1061" authorId="0" shapeId="0" xr:uid="{39338ECE-CC30-4A19-9852-CDFAB95A1F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061" authorId="0" shapeId="0" xr:uid="{E9849B1D-693D-40CA-8C40-D65F68C576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CHUCK STORE
BAYBAY, LILOY</t>
        </r>
      </text>
    </comment>
    <comment ref="C1062" authorId="0" shapeId="0" xr:uid="{5015676C-BE12-4368-8C60-C3871B4BB9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1062" authorId="0" shapeId="0" xr:uid="{FF8BE8AC-1DA5-4F9A-85C2-C25B53A703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LAN-LYN STORE
LAGAG, SINDANGAN</t>
        </r>
      </text>
    </comment>
    <comment ref="AA1062" authorId="0" shapeId="0" xr:uid="{47481A61-16B5-461D-B3F7-B06FDE0EE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63" authorId="0" shapeId="0" xr:uid="{E7D6B585-7E83-4EA8-99C1-DD5DE95B5D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063" authorId="0" shapeId="0" xr:uid="{584C2840-F1DD-4A49-AEF3-D11D05976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AA1063" authorId="0" shapeId="0" xr:uid="{3B7316F1-B15E-4415-BB8A-DB89848FA6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STORE
BAYBAY, LILOY</t>
        </r>
      </text>
    </comment>
    <comment ref="C1064" authorId="0" shapeId="0" xr:uid="{B5822DA4-5E08-4F74-9551-DA2FEB4AFA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SALUG</t>
        </r>
      </text>
    </comment>
    <comment ref="AA1064" authorId="0" shapeId="0" xr:uid="{53003C9F-0D5D-4E48-9DDC-0A9E02224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HADJAN
BAYBAY, LILOY</t>
        </r>
      </text>
    </comment>
    <comment ref="C1065" authorId="0" shapeId="0" xr:uid="{6AA0C799-761C-4058-8A6A-E1A457C6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AA1065" authorId="0" shapeId="0" xr:uid="{B27A39EB-ED9E-4B9E-8C12-3258B942AD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 STORE
BAYBAY, LILOY</t>
        </r>
      </text>
    </comment>
    <comment ref="C1066" authorId="0" shapeId="0" xr:uid="{D7A17E7A-0B84-4D38-8EEC-5D50E20E01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ROMEO, OMAO
RIVERSIDE, SIAYAN</t>
        </r>
      </text>
    </comment>
    <comment ref="AA1066" authorId="0" shapeId="0" xr:uid="{50EA01D6-0FA4-41F7-8749-E2E4C00D16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1067" authorId="0" shapeId="0" xr:uid="{2BB7BAFB-D9D5-4327-A999-A38F5C1873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ALEJANDRO PIZON
POB, SIAYAN</t>
        </r>
      </text>
    </comment>
    <comment ref="AA1067" authorId="0" shapeId="0" xr:uid="{53E376ED-8A06-46CD-AECB-6B8D5AFCB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1068" authorId="0" shapeId="0" xr:uid="{A9B4EBDD-38F9-4E62-8C28-E67134849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069" authorId="0" shapeId="0" xr:uid="{11AE482A-AAD9-4D15-8F14-6E1E24045D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C1112" authorId="0" shapeId="0" xr:uid="{3C7AE163-0CFF-4B4E-A9B7-25F26306B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 YEN STORE
POB, SINDANGAN</t>
        </r>
      </text>
    </comment>
    <comment ref="O1112" authorId="0" shapeId="0" xr:uid="{D108139C-02F7-46B1-B49F-0686D8A71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NICTES
GOLEO, SINDANGAN</t>
        </r>
      </text>
    </comment>
    <comment ref="AA1112" authorId="0" shapeId="0" xr:uid="{203725DF-1159-4F23-86B1-C1EC3CE335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1113" authorId="0" shapeId="0" xr:uid="{2398C5D4-4EA5-4D05-901E-5CC6D0AA5C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JOVIN BATION
PIAO, SINDANGAN</t>
        </r>
      </text>
    </comment>
    <comment ref="O1113" authorId="0" shapeId="0" xr:uid="{313A919A-0826-49B6-B069-11D6375D2F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113" authorId="0" shapeId="0" xr:uid="{A5B34573-9B90-4426-B56E-931C826155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1114" authorId="0" shapeId="0" xr:uid="{F72B6281-3964-495D-BFD6-E77923C5A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1114" authorId="0" shapeId="0" xr:uid="{3573CFBB-1D9A-4D48-8E9C-4B1F2A06A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
ELUMBA STORE
POB, BACUNGAN</t>
        </r>
      </text>
    </comment>
    <comment ref="AA1114" authorId="0" shapeId="0" xr:uid="{6EB905ED-670A-4629-8A9D-66D97EEC2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
POB, SALUG</t>
        </r>
      </text>
    </comment>
    <comment ref="C1115" authorId="0" shapeId="0" xr:uid="{44EA239D-B768-463D-AB99-C57637FE2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1115" authorId="0" shapeId="0" xr:uid="{7ABC243B-0872-45AE-8F78-B549AB8A3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1116" authorId="0" shapeId="0" xr:uid="{A73E51C3-49C6-4DC2-BD2A-E5311D153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SUMALINOG, CONCHITA
DAPAON, SINDANGAN</t>
        </r>
      </text>
    </comment>
    <comment ref="AA1116" authorId="0" shapeId="0" xr:uid="{006E4338-224B-42A3-AF46-8FAB345BE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1117" authorId="0" shapeId="0" xr:uid="{C31DC4C0-87B9-4CBF-9586-BD90836F41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STEVES ARTHUR
DAPAON, SINDANGAN</t>
        </r>
      </text>
    </comment>
    <comment ref="C1118" authorId="0" shapeId="0" xr:uid="{97508307-A125-420A-B5A8-B22A14F02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GOOBLIE
POB, SINDANGAN</t>
        </r>
      </text>
    </comment>
    <comment ref="C1119" authorId="0" shapeId="0" xr:uid="{52F3F067-989D-4A33-89EE-96225FBC8F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1120" authorId="0" shapeId="0" xr:uid="{1E308876-9838-4F1B-BA60-A48D1489D6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C1167" authorId="0" shapeId="0" xr:uid="{A4D6B836-A2BE-4609-85F3-E372C1D1F0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RONNEL ABUSADO</t>
        </r>
      </text>
    </comment>
    <comment ref="O1167" authorId="0" shapeId="0" xr:uid="{6EA54CDB-3429-4B8D-AAEF-3BB8A0706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ANCELITO BOGANOTAN
UPPER INUMAN, SINDANGAN</t>
        </r>
      </text>
    </comment>
    <comment ref="AA1167" authorId="0" shapeId="0" xr:uid="{FB74C310-3DA7-4032-9648-A190FA99B2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68" authorId="0" shapeId="0" xr:uid="{072D9F89-599A-4B65-82D7-A36C6BF00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1168" authorId="0" shapeId="0" xr:uid="{62F3FCC6-55A1-4648-80DD-49B1B30BEC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1168" authorId="0" shapeId="0" xr:uid="{CD6151BA-5E43-4298-926A-E6D66CD80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169" authorId="0" shapeId="0" xr:uid="{4E424FF7-B49E-406B-98B2-0C8DD5521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169" authorId="0" shapeId="0" xr:uid="{3DE50791-9345-4209-8E0C-6FC5FB04BC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ROMAR ASENTESTA
YASSI STORE
TALINGA, BACUNGAN</t>
        </r>
      </text>
    </comment>
    <comment ref="AA1169" authorId="0" shapeId="0" xr:uid="{C3F38C83-5E45-4080-9636-C42EE366B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1170" authorId="0" shapeId="0" xr:uid="{52DB415A-B39C-410D-9BED-9B2CB5916E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170" authorId="0" shapeId="0" xr:uid="{932B0BE4-66AE-4B4F-BD98-1CAC6B9F19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DADAN
TALINGA, BACUNGAN</t>
        </r>
      </text>
    </comment>
    <comment ref="AA1170" authorId="0" shapeId="0" xr:uid="{4A5089B6-25E7-44E5-965F-AA7C4B0E8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KAYOK, LILOY</t>
        </r>
      </text>
    </comment>
    <comment ref="C1171" authorId="0" shapeId="0" xr:uid="{FC96E0D1-DDE3-4B73-A3EC-92BFEF6FDD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WENELYN MERCULLIO
POB, SIAYAN</t>
        </r>
      </text>
    </comment>
    <comment ref="O1171" authorId="0" shapeId="0" xr:uid="{925A1BA5-D325-42A5-8D42-CAAAA4A136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171" authorId="0" shapeId="0" xr:uid="{BAD48199-3209-48E3-876B-3D35EC49F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1172" authorId="0" shapeId="0" xr:uid="{BEF71B2B-9E47-4E11-9A83-D8E11FC19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1172" authorId="0" shapeId="0" xr:uid="{348DA4CC-0211-4332-8ABD-C5F3F6D838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PAJ
POB, BACUNGAN</t>
        </r>
      </text>
    </comment>
    <comment ref="C1173" authorId="0" shapeId="0" xr:uid="{E4F21EFB-6529-490D-B04A-4F57A4FFD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1173" authorId="0" shapeId="0" xr:uid="{F14EC976-7B08-472F-9C12-7F2F889EE8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C1174" authorId="0" shapeId="0" xr:uid="{5C03B089-9B2C-43F0-888F-778832554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174" authorId="0" shapeId="0" xr:uid="{BF98854F-A053-40E1-9360-6AD12A01EE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C1175" authorId="0" shapeId="0" xr:uid="{0CCF8890-FC71-4B9B-8C4B-BF4465ABD4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ADOZA DEY
POB, SIAYAN</t>
        </r>
      </text>
    </comment>
    <comment ref="O1175" authorId="0" shapeId="0" xr:uid="{C0E05851-0DBD-4E4C-AB6F-F43F06F00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C1176" authorId="0" shapeId="0" xr:uid="{996E61FF-0D97-47DD-A8E9-4C14B7C48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176" authorId="0" shapeId="0" xr:uid="{44E76190-98C2-47E3-8F26-B477E80E5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MELIANA ANSELING
CALUAN, SINDANGAN</t>
        </r>
      </text>
    </comment>
    <comment ref="C1177" authorId="0" shapeId="0" xr:uid="{83A8E858-4A31-4D9F-B393-ECACD7C82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1177" authorId="0" shapeId="0" xr:uid="{442EBF80-FEA1-44E8-96BF-7235E58E51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INUMAN, SINDANGAN</t>
        </r>
      </text>
    </comment>
    <comment ref="C1178" authorId="0" shapeId="0" xr:uid="{6B8BB996-1269-4CEE-A638-8104467E09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1178" authorId="0" shapeId="0" xr:uid="{C98E0F33-DB2D-4834-9C42-77F27463B8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JOEL HANDA
UPPER INUMAN, SINDANGAN</t>
        </r>
      </text>
    </comment>
    <comment ref="O1179" authorId="0" shapeId="0" xr:uid="{92C8D712-72A5-4EAA-AF57-A1EEE10F9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180" authorId="0" shapeId="0" xr:uid="{31363273-572A-42BF-BE52-37CE893E7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181" authorId="0" shapeId="0" xr:uid="{43B54674-1A3C-4D7E-84BD-421A932B14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222" authorId="0" shapeId="0" xr:uid="{39D2F2DA-AD07-446C-A200-1D282A5D5A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VILLAESPIN
DAPAON, SINDANGAN</t>
        </r>
      </text>
    </comment>
    <comment ref="O1222" authorId="0" shapeId="0" xr:uid="{9F807144-48B4-4CDC-A0F1-D582D1C41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 ALIB
GOLEO, SINDANGAN</t>
        </r>
      </text>
    </comment>
    <comment ref="AA1222" authorId="0" shapeId="0" xr:uid="{62FF99AD-5E10-4696-89B3-98899958FA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INOCENSIO
POB, SALUG</t>
        </r>
      </text>
    </comment>
    <comment ref="C1223" authorId="0" shapeId="0" xr:uid="{03966FBC-4323-40D6-BB9A-C122DC94D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
DAPAON, SINDANGAN</t>
        </r>
      </text>
    </comment>
    <comment ref="O1223" authorId="0" shapeId="0" xr:uid="{B8F2E91B-E912-4EE5-9616-3B1DB46CAA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223" authorId="0" shapeId="0" xr:uid="{7B347A5F-90C3-4A25-BF5E-533FDDFFC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224" authorId="0" shapeId="0" xr:uid="{49BA5E2E-33C0-441B-A983-B73C74843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MANGGO LODGE
DAPAON, SINDANGAN</t>
        </r>
      </text>
    </comment>
    <comment ref="O1224" authorId="0" shapeId="0" xr:uid="{65F0C9F9-4F9B-40C3-ABF3-DFC529620C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HARANAY
POB, BACUNGAN</t>
        </r>
      </text>
    </comment>
    <comment ref="AA1224" authorId="0" shapeId="0" xr:uid="{68D44CFA-915B-47B1-B0BB-DED8D83EF5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1225" authorId="0" shapeId="0" xr:uid="{4C05CB33-3769-4AE3-B34C-AC0C90480B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O1225" authorId="0" shapeId="0" xr:uid="{8D7CD6D3-BB48-48AD-BF5A-3AAFA690F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1226" authorId="0" shapeId="0" xr:uid="{A876CC7C-CCCA-49BC-B69C-8DAAC94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DIONISIA MORANO
DISUD, SINDANGAN</t>
        </r>
      </text>
    </comment>
    <comment ref="O1226" authorId="0" shapeId="0" xr:uid="{FFE5D708-FFB2-406E-A950-5B71DB1A3A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JAY-AR PADILLA
MANDIH, SINDANGAN</t>
        </r>
      </text>
    </comment>
    <comment ref="C1227" authorId="0" shapeId="0" xr:uid="{E3A3D14A-D6B5-4540-961D-6C9164B772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227" authorId="0" shapeId="0" xr:uid="{EE9C90AA-9522-4558-AA4F-8CF10B243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MANDIH, SINDANGAN</t>
        </r>
      </text>
    </comment>
    <comment ref="C1228" authorId="0" shapeId="0" xr:uid="{D6AB0CE9-4BED-463B-A268-90CD77CE4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CALING RAZIEL
DAPAON, SINDANGAN</t>
        </r>
      </text>
    </comment>
    <comment ref="O1228" authorId="0" shapeId="0" xr:uid="{5A508A52-E05F-4B5B-9068-373C4C9FDB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1229" authorId="0" shapeId="0" xr:uid="{0E1203EB-7627-41B8-9C80-DE445E3487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RONA DENIEGA
DAPAON, SINDANGAN</t>
        </r>
      </text>
    </comment>
    <comment ref="C1230" authorId="0" shapeId="0" xr:uid="{CB289E0A-4605-465A-8017-6C2C07383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C1231" authorId="0" shapeId="0" xr:uid="{E8FCD05E-C2E9-45CB-B646-A3EE196654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C1232" authorId="0" shapeId="0" xr:uid="{98F63B47-6072-4135-A53A-DF02891161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
LABAKID, SINDANGAN</t>
        </r>
      </text>
    </comment>
    <comment ref="C1233" authorId="0" shapeId="0" xr:uid="{9900BFC7-FBAF-44DF-9AE5-308C18D9F2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CLAIRE SAAVEDRA
LABAKID, SINDANGAN</t>
        </r>
      </text>
    </comment>
    <comment ref="C1234" authorId="0" shapeId="0" xr:uid="{DF31F5D2-4BEC-4D7E-8B76-C3F8EF066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C1235" authorId="0" shapeId="0" xr:uid="{DC1E8073-D52D-45E8-8B1E-08273C3CA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C1236" authorId="0" shapeId="0" xr:uid="{EB9FA1FC-9F35-4EAE-9720-2D2187BB85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
DICOYONG, SINDANGAN</t>
        </r>
      </text>
    </comment>
    <comment ref="C1237" authorId="0" shapeId="0" xr:uid="{0CFB6955-F336-49B2-95E2-0931E03CC6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GRANTON STORE
DICOYONG, SINDANGAN</t>
        </r>
      </text>
    </comment>
    <comment ref="C1238" authorId="0" shapeId="0" xr:uid="{8B5E1E52-F5CA-47D2-89C6-26A3F95C6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C1239" authorId="0" shapeId="0" xr:uid="{CCCCBF92-6844-4190-84AE-5D97B752F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1240" authorId="0" shapeId="0" xr:uid="{AA43B459-9B3E-40D2-866C-912B5EE333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C1241" authorId="0" shapeId="0" xr:uid="{1D7542BB-56EA-4C94-ABEE-DE54382AD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POB, SINDANGAN</t>
        </r>
      </text>
    </comment>
    <comment ref="C1277" authorId="0" shapeId="0" xr:uid="{341D715E-64AF-40BC-A479-60BC94C6CC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 COLLEGE
RM, SINDANGAN</t>
        </r>
      </text>
    </comment>
    <comment ref="O1277" authorId="0" shapeId="0" xr:uid="{56A4FB9F-3E94-4B4E-BD33-FCE940366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1277" authorId="0" shapeId="0" xr:uid="{A012BEF6-0E27-47C5-B42E-5630593E0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RBJ
BACONG, SALUG</t>
        </r>
      </text>
    </comment>
    <comment ref="C1278" authorId="0" shapeId="0" xr:uid="{655E29C4-8E3C-45AF-B38B-F0D4F2F76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O1278" authorId="0" shapeId="0" xr:uid="{CB1193CD-9B44-4752-9293-F98557655B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278" authorId="0" shapeId="0" xr:uid="{731EC2EB-F215-408E-9892-26E406C43B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1279" authorId="0" shapeId="0" xr:uid="{D591545B-FBEE-4AD0-A76D-8F2E25EF0A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279" authorId="0" shapeId="0" xr:uid="{7223F0C4-7DD6-48F7-8F71-361D12D3E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AA1279" authorId="0" shapeId="0" xr:uid="{AB54836B-2A11-438B-B974-045B7864E8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MIRACLE STORE
POB, SALUG</t>
        </r>
      </text>
    </comment>
    <comment ref="C1280" authorId="0" shapeId="0" xr:uid="{DF6CE9D8-3801-4305-92D0-6D2458D218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AA1280" authorId="0" shapeId="0" xr:uid="{33730BA9-9D23-42A4-942D-82B51A9EB4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281" authorId="0" shapeId="0" xr:uid="{C5114399-C967-405D-AB33-D9FD6FB75E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SINDANGAN</t>
        </r>
      </text>
    </comment>
    <comment ref="AA1281" authorId="0" shapeId="0" xr:uid="{F611A4EC-B425-43F2-BFD1-CADEF8ECC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PAPART
GOLEO, SINDANGAN</t>
        </r>
      </text>
    </comment>
    <comment ref="C1282" authorId="0" shapeId="0" xr:uid="{AA6A7509-1C13-4348-B6A5-55F7997326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</t>
        </r>
      </text>
    </comment>
    <comment ref="AA1282" authorId="0" shapeId="0" xr:uid="{6EFAB9CA-6081-4AB2-84B3-537244FA64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AA1332" authorId="0" shapeId="0" xr:uid="{1A11FDC6-3ECE-41FB-AA1F-61784DE058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1333" authorId="0" shapeId="0" xr:uid="{317A46BC-5311-4AB7-B3FF-7289DFD3AB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1334" authorId="0" shapeId="0" xr:uid="{4E4554F2-1519-4054-84CC-DE3035FE20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SIR NEIL
GOLEO, SINDANGAN</t>
        </r>
      </text>
    </comment>
    <comment ref="AA1335" authorId="0" shapeId="0" xr:uid="{0C5B28A4-2E75-4C3B-9D94-A55AC31E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1387" authorId="0" shapeId="0" xr:uid="{16C2E099-1E98-4F9A-B6A6-1F06CA0473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387" authorId="0" shapeId="0" xr:uid="{33A6F482-434C-42EF-9C27-4ED2A780A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POLANDOK, BACUNGAN</t>
        </r>
      </text>
    </comment>
    <comment ref="AA1387" authorId="0" shapeId="0" xr:uid="{665D4453-BF30-4CFB-A3E1-10B809E27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1388" authorId="0" shapeId="0" xr:uid="{80C43035-3D10-423F-9CDC-6524B4FC0F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1388" authorId="0" shapeId="0" xr:uid="{6E742CFD-5B0F-4C27-96BA-BE58ADDB0B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C1389" authorId="0" shapeId="0" xr:uid="{F9C09AD4-AAE0-4270-88D3-76E33B3D13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VARIETY STORE
POB, SIAYAN</t>
        </r>
      </text>
    </comment>
    <comment ref="O1389" authorId="0" shapeId="0" xr:uid="{B2AB3A68-E263-4557-9546-B1BD06A813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389" authorId="0" shapeId="0" xr:uid="{EB42BC34-85CA-4D20-AD38-B7785013C7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390" authorId="0" shapeId="0" xr:uid="{8E0973E3-5C3C-4907-8229-4342EDFEDA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390" authorId="0" shapeId="0" xr:uid="{08BF058C-079C-4A1A-802F-938EAAF09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BORACOOL BEACH
POB, SAIAYAN</t>
        </r>
      </text>
    </comment>
    <comment ref="AA1390" authorId="0" shapeId="0" xr:uid="{4474A0F2-8191-4412-A6DD-81CC8D0635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391" authorId="0" shapeId="0" xr:uid="{64FD2C5E-C74A-4A24-890F-312D4C88A1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DODONG
POB, SINDANGAN</t>
        </r>
      </text>
    </comment>
    <comment ref="O1391" authorId="0" shapeId="0" xr:uid="{5A2804BC-1953-4159-AB69-B405E13BCE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1392" authorId="0" shapeId="0" xr:uid="{64E21B1A-3ED8-4426-9385-4504E5E4F9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392" authorId="0" shapeId="0" xr:uid="{C4810611-5EEB-421C-975D-C8F36E185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1393" authorId="0" shapeId="0" xr:uid="{A8FD2186-2C68-44AC-A73B-E9F98FAB79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DODONG STORE
POB, SINDANGAN</t>
        </r>
      </text>
    </comment>
    <comment ref="C1394" authorId="0" shapeId="0" xr:uid="{7DEE41E9-4B47-4DB3-9085-F609CBA92D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</commentList>
</comments>
</file>

<file path=xl/sharedStrings.xml><?xml version="1.0" encoding="utf-8"?>
<sst xmlns="http://schemas.openxmlformats.org/spreadsheetml/2006/main" count="1929" uniqueCount="118">
  <si>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</si>
  <si>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</si>
  <si>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</si>
  <si>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</si>
  <si>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</si>
  <si>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</si>
  <si>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</si>
  <si>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</si>
  <si>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</si>
  <si>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</si>
  <si>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</si>
  <si>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</si>
  <si>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</si>
  <si>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</si>
  <si>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</si>
  <si>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</si>
  <si>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</si>
  <si>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</si>
  <si>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</si>
  <si>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</si>
  <si>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</si>
  <si>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</si>
  <si>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</si>
  <si>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</si>
  <si>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</si>
  <si>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</si>
  <si>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</si>
  <si>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</si>
  <si>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</si>
  <si>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</si>
  <si>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</si>
  <si>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</si>
  <si>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</si>
  <si>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</si>
  <si>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</si>
  <si>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</si>
  <si>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</si>
  <si>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</si>
  <si>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</si>
  <si>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</si>
  <si>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</si>
  <si>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</si>
  <si>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</si>
  <si>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</si>
  <si>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</si>
  <si>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</si>
  <si>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</si>
  <si>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</si>
  <si>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</si>
  <si>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</si>
  <si>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</si>
  <si>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</si>
  <si>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</si>
  <si>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</si>
  <si>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</si>
  <si>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</si>
  <si>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</si>
  <si>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</si>
  <si>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</si>
  <si>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</si>
  <si>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</si>
  <si>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</si>
  <si>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</si>
  <si>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</si>
  <si>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</si>
  <si>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</si>
  <si>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</si>
  <si>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</si>
  <si>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</si>
  <si>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</si>
  <si>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</si>
  <si>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</si>
  <si>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</si>
  <si>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</si>
  <si>
    <t>JANUARY 16, 2026</t>
  </si>
  <si>
    <t>01/16/2026</t>
  </si>
  <si>
    <t>8434-8450/8489-8500,8551-8557/8397-8400,8501</t>
  </si>
  <si>
    <t>JANUARY 17, 2026</t>
  </si>
  <si>
    <t>01/17/2026</t>
  </si>
  <si>
    <t>8601-8622/8558-8569/8502-8506</t>
  </si>
  <si>
    <t>JANUARY 19, 2026</t>
  </si>
  <si>
    <t>01/19/2026</t>
  </si>
  <si>
    <t>LOPEZ, GINA GRACE</t>
  </si>
  <si>
    <t>8623-8633/8570-8575/8507-8511</t>
  </si>
  <si>
    <t>JANUARY 20, 2026</t>
  </si>
  <si>
    <t>01/20/2026</t>
  </si>
  <si>
    <t>8634-8636/8576-8580/8512-8516</t>
  </si>
  <si>
    <t>JANUARY 21, 2026</t>
  </si>
  <si>
    <t>01/21/2026</t>
  </si>
  <si>
    <t>8637-8639/8581-8589/8517-8526</t>
  </si>
  <si>
    <t>JANUARY 22, 2026</t>
  </si>
  <si>
    <t>01/22/2026</t>
  </si>
  <si>
    <t>8640-8642/8590-8594/8527-8529</t>
  </si>
  <si>
    <t>JANUARY 23, 2026</t>
  </si>
  <si>
    <t>01/23/2026</t>
  </si>
  <si>
    <t>8595-8599,8600,8651-8658/8643-8650,8701-8718/</t>
  </si>
  <si>
    <t>JANUARY 24, 2026</t>
  </si>
  <si>
    <t>01/24/2026</t>
  </si>
  <si>
    <t>ESTEMARK, PORMENTO</t>
  </si>
  <si>
    <t>8530-8542/8719-8725/8659-8669</t>
  </si>
  <si>
    <t>JANUARY 26, 2026</t>
  </si>
  <si>
    <t>01/26/2026</t>
  </si>
  <si>
    <t>8543-8550,8751/8726-8728/8670-8674</t>
  </si>
  <si>
    <t>JANUARY 27, 2026</t>
  </si>
  <si>
    <t>01/27/2026</t>
  </si>
  <si>
    <t>8752-8763/8729-8743/8675-8679</t>
  </si>
  <si>
    <t>JANUARY 28, 2026</t>
  </si>
  <si>
    <t>01/28/2026</t>
  </si>
  <si>
    <t>8764-8783/8744-8750/8680-8682</t>
  </si>
  <si>
    <t>JANUARY 29, 2026</t>
  </si>
  <si>
    <t>01/29/2026</t>
  </si>
  <si>
    <t>8784-8789/8801-8803/8684-8689</t>
  </si>
  <si>
    <t>JANUARY 30, 2026</t>
  </si>
  <si>
    <t>01/30/2026</t>
  </si>
  <si>
    <t>//8690-8693</t>
  </si>
  <si>
    <t>JANUARY 31, 2026</t>
  </si>
  <si>
    <t>01/31/2026</t>
  </si>
  <si>
    <t>8790-8797/8804-8809/8694-8697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</si>
</sst>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H40" sqref="H4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8" t="s">
        <v>37</v>
      </c>
      <c r="B6" s="11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 t="s">
        <v>76</v>
      </c>
      <c r="D25" s="16">
        <f t="shared" si="1"/>
        <v>761406.5</v>
      </c>
      <c r="F25" s="14">
        <v>182126</v>
      </c>
      <c r="G25" s="14">
        <v>239937.5</v>
      </c>
      <c r="H25" s="14">
        <v>339343</v>
      </c>
      <c r="I25" s="14"/>
      <c r="J25" s="17">
        <f t="shared" si="0"/>
        <v>761406.5</v>
      </c>
    </row>
    <row r="26" spans="1:10" x14ac:dyDescent="0.25">
      <c r="A26" s="10">
        <f t="shared" si="2"/>
        <v>17</v>
      </c>
      <c r="B26" s="56" t="s">
        <v>5</v>
      </c>
      <c r="C26" s="12" t="s">
        <v>79</v>
      </c>
      <c r="D26" s="16">
        <f t="shared" ref="D26:D28" si="3">J26</f>
        <v>606175.5</v>
      </c>
      <c r="F26" s="14">
        <v>306506</v>
      </c>
      <c r="G26" s="14">
        <v>126045.5</v>
      </c>
      <c r="H26" s="14">
        <v>173624</v>
      </c>
      <c r="I26" s="14"/>
      <c r="J26" s="17">
        <f t="shared" si="0"/>
        <v>606175.5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 t="s">
        <v>83</v>
      </c>
      <c r="D28" s="16">
        <f t="shared" si="3"/>
        <v>874548</v>
      </c>
      <c r="F28" s="14">
        <v>300637.5</v>
      </c>
      <c r="G28" s="14">
        <v>195325.5</v>
      </c>
      <c r="H28" s="14">
        <v>378585</v>
      </c>
      <c r="I28" s="14"/>
      <c r="J28" s="17">
        <f t="shared" si="0"/>
        <v>874548</v>
      </c>
    </row>
    <row r="29" spans="1:10" x14ac:dyDescent="0.25">
      <c r="A29" s="10">
        <f t="shared" si="2"/>
        <v>20</v>
      </c>
      <c r="B29" s="43" t="s">
        <v>8</v>
      </c>
      <c r="C29" s="12" t="s">
        <v>86</v>
      </c>
      <c r="D29" s="16">
        <f t="shared" ref="D29:D39" si="4">J29</f>
        <v>995759</v>
      </c>
      <c r="F29" s="14">
        <v>578178</v>
      </c>
      <c r="G29" s="14">
        <v>284738</v>
      </c>
      <c r="H29" s="14">
        <v>132843</v>
      </c>
      <c r="I29" s="14"/>
      <c r="J29" s="17">
        <f t="shared" si="0"/>
        <v>995759</v>
      </c>
    </row>
    <row r="30" spans="1:10" x14ac:dyDescent="0.25">
      <c r="A30" s="10">
        <f t="shared" si="2"/>
        <v>21</v>
      </c>
      <c r="B30" s="56" t="s">
        <v>9</v>
      </c>
      <c r="C30" s="12" t="s">
        <v>89</v>
      </c>
      <c r="D30" s="16">
        <f t="shared" si="4"/>
        <v>1013011.5</v>
      </c>
      <c r="F30" s="14">
        <v>422426</v>
      </c>
      <c r="G30" s="14">
        <v>239421.5</v>
      </c>
      <c r="H30" s="14">
        <v>351164</v>
      </c>
      <c r="I30" s="14"/>
      <c r="J30" s="17">
        <f t="shared" si="0"/>
        <v>1013011.5</v>
      </c>
    </row>
    <row r="31" spans="1:10" x14ac:dyDescent="0.25">
      <c r="A31" s="10">
        <f t="shared" si="2"/>
        <v>22</v>
      </c>
      <c r="B31" s="11" t="s">
        <v>30</v>
      </c>
      <c r="C31" s="12" t="s">
        <v>92</v>
      </c>
      <c r="D31" s="16">
        <f t="shared" si="4"/>
        <v>1149543</v>
      </c>
      <c r="E31" s="14"/>
      <c r="F31" s="14">
        <v>465043.5</v>
      </c>
      <c r="G31" s="14">
        <v>247375.5</v>
      </c>
      <c r="H31" s="14">
        <v>437124</v>
      </c>
      <c r="I31" s="14"/>
      <c r="J31" s="17">
        <f t="shared" si="0"/>
        <v>1149543</v>
      </c>
    </row>
    <row r="32" spans="1:10" x14ac:dyDescent="0.25">
      <c r="A32" s="10">
        <f t="shared" si="2"/>
        <v>23</v>
      </c>
      <c r="B32" s="43" t="s">
        <v>4</v>
      </c>
      <c r="C32" s="12" t="s">
        <v>95</v>
      </c>
      <c r="D32" s="16">
        <f t="shared" si="4"/>
        <v>249034.5</v>
      </c>
      <c r="E32" s="15"/>
      <c r="F32" s="15">
        <v>105259.5</v>
      </c>
      <c r="G32" s="14">
        <v>143775</v>
      </c>
      <c r="H32" s="54"/>
      <c r="I32" s="54"/>
      <c r="J32" s="17">
        <f t="shared" si="0"/>
        <v>249034.5</v>
      </c>
    </row>
    <row r="33" spans="1:10" x14ac:dyDescent="0.25">
      <c r="A33" s="10">
        <f t="shared" si="2"/>
        <v>24</v>
      </c>
      <c r="B33" s="56" t="s">
        <v>5</v>
      </c>
      <c r="C33" s="12" t="s">
        <v>99</v>
      </c>
      <c r="D33" s="16">
        <f t="shared" si="4"/>
        <v>756841.5</v>
      </c>
      <c r="E33" s="15"/>
      <c r="F33" s="15">
        <v>290088.5</v>
      </c>
      <c r="G33" s="14">
        <v>142539.5</v>
      </c>
      <c r="H33" s="14">
        <v>324213.5</v>
      </c>
      <c r="I33" s="14"/>
      <c r="J33" s="17">
        <f t="shared" si="0"/>
        <v>756841.5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 t="s">
        <v>102</v>
      </c>
      <c r="D35" s="16">
        <f t="shared" si="4"/>
        <v>778692.5</v>
      </c>
      <c r="E35" s="14"/>
      <c r="F35" s="14">
        <v>276879</v>
      </c>
      <c r="G35" s="14">
        <v>248808.5</v>
      </c>
      <c r="H35" s="14">
        <v>253005</v>
      </c>
      <c r="I35" s="14"/>
      <c r="J35" s="17">
        <f t="shared" si="0"/>
        <v>778692.5</v>
      </c>
    </row>
    <row r="36" spans="1:10" x14ac:dyDescent="0.25">
      <c r="A36" s="10">
        <f t="shared" si="2"/>
        <v>27</v>
      </c>
      <c r="B36" s="43" t="s">
        <v>8</v>
      </c>
      <c r="C36" s="12" t="s">
        <v>105</v>
      </c>
      <c r="D36" s="16">
        <f t="shared" si="4"/>
        <v>694883.5</v>
      </c>
      <c r="E36" s="14"/>
      <c r="F36" s="14">
        <v>201575</v>
      </c>
      <c r="G36" s="14">
        <v>170283.5</v>
      </c>
      <c r="H36" s="14">
        <v>323025</v>
      </c>
      <c r="I36" s="14"/>
      <c r="J36" s="17">
        <f t="shared" si="0"/>
        <v>694883.5</v>
      </c>
    </row>
    <row r="37" spans="1:10" x14ac:dyDescent="0.25">
      <c r="A37" s="10">
        <f t="shared" si="2"/>
        <v>28</v>
      </c>
      <c r="B37" s="56" t="s">
        <v>9</v>
      </c>
      <c r="C37" s="12" t="s">
        <v>108</v>
      </c>
      <c r="D37" s="16">
        <f t="shared" si="4"/>
        <v>479494.5</v>
      </c>
      <c r="E37" s="14"/>
      <c r="F37" s="14">
        <v>135519</v>
      </c>
      <c r="G37" s="14">
        <v>149813</v>
      </c>
      <c r="H37" s="14">
        <v>194162.5</v>
      </c>
      <c r="I37" s="14"/>
      <c r="J37" s="17">
        <f t="shared" si="0"/>
        <v>479494.5</v>
      </c>
    </row>
    <row r="38" spans="1:10" x14ac:dyDescent="0.25">
      <c r="A38" s="10">
        <f t="shared" si="2"/>
        <v>29</v>
      </c>
      <c r="B38" s="11" t="s">
        <v>30</v>
      </c>
      <c r="C38" s="12" t="s">
        <v>111</v>
      </c>
      <c r="D38" s="16">
        <f t="shared" si="4"/>
        <v>525099.5</v>
      </c>
      <c r="E38" s="14"/>
      <c r="F38" s="14">
        <v>208152</v>
      </c>
      <c r="G38" s="14">
        <v>137073.5</v>
      </c>
      <c r="H38" s="14">
        <v>179874</v>
      </c>
      <c r="I38" s="14"/>
      <c r="J38" s="17">
        <f t="shared" si="0"/>
        <v>525099.5</v>
      </c>
    </row>
    <row r="39" spans="1:10" x14ac:dyDescent="0.25">
      <c r="A39" s="10">
        <f t="shared" si="2"/>
        <v>30</v>
      </c>
      <c r="B39" s="43" t="s">
        <v>4</v>
      </c>
      <c r="C39" s="12" t="s">
        <v>114</v>
      </c>
      <c r="D39" s="16">
        <f t="shared" si="4"/>
        <v>195486</v>
      </c>
      <c r="E39" s="14"/>
      <c r="F39" s="14"/>
      <c r="G39" s="14"/>
      <c r="H39" s="14">
        <v>195486</v>
      </c>
      <c r="I39" s="14"/>
      <c r="J39" s="17">
        <f t="shared" si="0"/>
        <v>195486</v>
      </c>
    </row>
    <row r="40" spans="1:10" x14ac:dyDescent="0.25">
      <c r="A40" s="10">
        <f t="shared" si="2"/>
        <v>31</v>
      </c>
      <c r="B40" s="56" t="s">
        <v>5</v>
      </c>
      <c r="C40" s="12" t="s">
        <v>117</v>
      </c>
      <c r="D40" s="16">
        <f t="shared" ref="D40" si="5">J40</f>
        <v>1312586</v>
      </c>
      <c r="E40" s="14"/>
      <c r="F40" s="14">
        <v>554282</v>
      </c>
      <c r="G40" s="14">
        <v>459452</v>
      </c>
      <c r="H40" s="14">
        <v>298852</v>
      </c>
      <c r="I40" s="14"/>
      <c r="J40" s="17">
        <f t="shared" si="0"/>
        <v>1312586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9" t="s">
        <v>10</v>
      </c>
      <c r="B42" s="120"/>
      <c r="C42" s="121"/>
      <c r="D42" s="48">
        <f>SUM(D2:D41)</f>
        <v>20932630.060000002</v>
      </c>
      <c r="J42" s="49">
        <f>SUM(J10:J41)</f>
        <v>20932630.060000002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431"/>
  <sheetViews>
    <sheetView tabSelected="1" topLeftCell="A1401" zoomScaleNormal="100" workbookViewId="0">
      <selection activeCell="D1433" sqref="D1433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6" t="s">
        <v>17</v>
      </c>
      <c r="E10" s="126"/>
      <c r="F10" s="76"/>
      <c r="G10" s="27"/>
      <c r="I10" s="122" t="s">
        <v>18</v>
      </c>
      <c r="J10" s="123"/>
      <c r="K10" s="124" t="s">
        <v>19</v>
      </c>
      <c r="N10" s="25"/>
      <c r="O10" s="26"/>
      <c r="P10" s="126" t="s">
        <v>17</v>
      </c>
      <c r="Q10" s="126"/>
      <c r="R10" s="76"/>
      <c r="S10" s="27"/>
      <c r="U10" s="122" t="s">
        <v>18</v>
      </c>
      <c r="V10" s="123"/>
      <c r="W10" s="124" t="s">
        <v>19</v>
      </c>
      <c r="Z10" s="25"/>
      <c r="AA10" s="26"/>
      <c r="AB10" s="126" t="s">
        <v>17</v>
      </c>
      <c r="AC10" s="126"/>
      <c r="AD10" s="76"/>
      <c r="AE10" s="27"/>
      <c r="AG10" s="122" t="s">
        <v>18</v>
      </c>
      <c r="AH10" s="123"/>
      <c r="AI10" s="124" t="s">
        <v>19</v>
      </c>
    </row>
    <row r="11" spans="1:35" ht="30" x14ac:dyDescent="0.25">
      <c r="B11" s="28" t="s">
        <v>20</v>
      </c>
      <c r="C11" s="28" t="s">
        <v>21</v>
      </c>
      <c r="D11" s="78" t="s">
        <v>22</v>
      </c>
      <c r="E11" s="77" t="s">
        <v>23</v>
      </c>
      <c r="F11" s="79" t="s">
        <v>32</v>
      </c>
      <c r="G11" s="79" t="s">
        <v>24</v>
      </c>
      <c r="I11" s="29" t="s">
        <v>25</v>
      </c>
      <c r="J11" s="29" t="s">
        <v>26</v>
      </c>
      <c r="K11" s="125"/>
      <c r="N11" s="28" t="s">
        <v>20</v>
      </c>
      <c r="O11" s="28" t="s">
        <v>21</v>
      </c>
      <c r="P11" s="78" t="s">
        <v>22</v>
      </c>
      <c r="Q11" s="79" t="s">
        <v>23</v>
      </c>
      <c r="R11" s="79" t="s">
        <v>32</v>
      </c>
      <c r="S11" s="79" t="s">
        <v>24</v>
      </c>
      <c r="U11" s="29" t="s">
        <v>25</v>
      </c>
      <c r="V11" s="29" t="s">
        <v>26</v>
      </c>
      <c r="W11" s="125"/>
      <c r="Z11" s="28" t="s">
        <v>20</v>
      </c>
      <c r="AA11" s="28" t="s">
        <v>21</v>
      </c>
      <c r="AB11" s="78" t="s">
        <v>22</v>
      </c>
      <c r="AC11" s="79" t="s">
        <v>23</v>
      </c>
      <c r="AD11" s="79" t="s">
        <v>32</v>
      </c>
      <c r="AE11" s="79" t="s">
        <v>24</v>
      </c>
      <c r="AG11" s="29" t="s">
        <v>25</v>
      </c>
      <c r="AH11" s="29" t="s">
        <v>26</v>
      </c>
      <c r="AI11" s="125"/>
    </row>
    <row r="12" spans="1:35" x14ac:dyDescent="0.25">
      <c r="A12" s="10">
        <v>1</v>
      </c>
      <c r="B12" s="30">
        <v>46054</v>
      </c>
      <c r="C12" s="87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87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87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87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87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87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87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87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7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7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7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7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7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7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7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7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7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7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7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7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7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7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7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7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7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7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7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7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7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7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7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7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7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7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3"/>
      <c r="O57" s="93"/>
      <c r="P57" s="93"/>
      <c r="Q57" s="93"/>
      <c r="R57" s="93"/>
      <c r="S57" s="93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3"/>
      <c r="O58" s="93"/>
      <c r="P58" s="93"/>
      <c r="Q58" s="93"/>
      <c r="R58" s="93"/>
      <c r="S58" s="93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3"/>
      <c r="O59" s="93"/>
      <c r="P59" s="93"/>
      <c r="Q59" s="93"/>
      <c r="R59" s="93"/>
      <c r="S59" s="93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3"/>
      <c r="O60" s="93"/>
      <c r="P60" s="93"/>
      <c r="Q60" s="93"/>
      <c r="R60" s="93"/>
      <c r="S60" s="93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3"/>
      <c r="O61" s="93"/>
      <c r="P61" s="93"/>
      <c r="Q61" s="93"/>
      <c r="R61" s="93"/>
      <c r="S61" s="93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3"/>
      <c r="O62" s="93"/>
      <c r="P62" s="93"/>
      <c r="Q62" s="93"/>
      <c r="R62" s="93"/>
      <c r="S62" s="93"/>
      <c r="T62" s="62"/>
      <c r="U62" s="93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3"/>
      <c r="O63" s="93"/>
      <c r="P63" s="93"/>
      <c r="Q63" s="93"/>
      <c r="R63" s="93"/>
      <c r="S63" s="93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3"/>
      <c r="O64" s="93"/>
      <c r="P64" s="93"/>
      <c r="Q64" s="93"/>
      <c r="R64" s="93"/>
      <c r="S64" s="93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3"/>
      <c r="AS64" s="83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6" t="s">
        <v>17</v>
      </c>
      <c r="E65" s="126"/>
      <c r="F65" s="91"/>
      <c r="G65" s="27"/>
      <c r="I65" s="122" t="s">
        <v>18</v>
      </c>
      <c r="J65" s="123"/>
      <c r="K65" s="124" t="s">
        <v>19</v>
      </c>
      <c r="M65" s="62"/>
      <c r="N65" s="65"/>
      <c r="O65" s="93"/>
      <c r="P65" s="128"/>
      <c r="Q65" s="128"/>
      <c r="R65" s="93"/>
      <c r="S65" s="93"/>
      <c r="T65" s="62"/>
      <c r="U65" s="128"/>
      <c r="V65" s="128"/>
      <c r="W65" s="127"/>
      <c r="Z65" s="25"/>
      <c r="AA65" s="26"/>
      <c r="AB65" s="126" t="s">
        <v>17</v>
      </c>
      <c r="AC65" s="126"/>
      <c r="AD65" s="91"/>
      <c r="AE65" s="27"/>
      <c r="AG65" s="122" t="s">
        <v>18</v>
      </c>
      <c r="AH65" s="123"/>
      <c r="AI65" s="124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8" t="s">
        <v>22</v>
      </c>
      <c r="E66" s="77" t="s">
        <v>23</v>
      </c>
      <c r="F66" s="79" t="s">
        <v>32</v>
      </c>
      <c r="G66" s="79" t="s">
        <v>24</v>
      </c>
      <c r="I66" s="29" t="s">
        <v>25</v>
      </c>
      <c r="J66" s="29" t="s">
        <v>26</v>
      </c>
      <c r="K66" s="125"/>
      <c r="M66" s="62"/>
      <c r="N66" s="93"/>
      <c r="O66" s="93"/>
      <c r="P66" s="80"/>
      <c r="Q66" s="82"/>
      <c r="R66" s="82"/>
      <c r="S66" s="82"/>
      <c r="T66" s="62"/>
      <c r="U66" s="92"/>
      <c r="V66" s="92"/>
      <c r="W66" s="127"/>
      <c r="Z66" s="28" t="s">
        <v>20</v>
      </c>
      <c r="AA66" s="28" t="s">
        <v>21</v>
      </c>
      <c r="AB66" s="78" t="s">
        <v>22</v>
      </c>
      <c r="AC66" s="79" t="s">
        <v>23</v>
      </c>
      <c r="AD66" s="79" t="s">
        <v>32</v>
      </c>
      <c r="AE66" s="79" t="s">
        <v>24</v>
      </c>
      <c r="AG66" s="29" t="s">
        <v>25</v>
      </c>
      <c r="AH66" s="29" t="s">
        <v>26</v>
      </c>
      <c r="AI66" s="125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87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3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6"/>
      <c r="AN67" s="128"/>
      <c r="AO67" s="128"/>
      <c r="AP67" s="86"/>
      <c r="AQ67" s="62"/>
      <c r="AR67" s="128"/>
      <c r="AS67" s="128"/>
      <c r="AT67" s="12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87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3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6"/>
      <c r="AM68" s="86"/>
      <c r="AN68" s="86"/>
      <c r="AO68" s="85"/>
      <c r="AP68" s="85"/>
      <c r="AQ68" s="62"/>
      <c r="AR68" s="84"/>
      <c r="AS68" s="84"/>
      <c r="AT68" s="12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87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3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87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3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87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87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3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87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3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87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3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87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3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87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3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87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3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3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7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3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7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3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7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3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7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3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3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3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7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3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3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3"/>
      <c r="R87" s="93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7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3"/>
      <c r="R88" s="93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3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7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3"/>
      <c r="R90" s="93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7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3"/>
      <c r="P91" s="69"/>
      <c r="Q91" s="93"/>
      <c r="R91" s="93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7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3"/>
      <c r="P92" s="69"/>
      <c r="Q92" s="93"/>
      <c r="R92" s="93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3"/>
      <c r="P93" s="69"/>
      <c r="Q93" s="93"/>
      <c r="R93" s="93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7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3"/>
      <c r="P94" s="69"/>
      <c r="Q94" s="93"/>
      <c r="R94" s="93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7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3"/>
      <c r="R95" s="93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3"/>
      <c r="R96" s="93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3"/>
      <c r="P97" s="69"/>
      <c r="Q97" s="93"/>
      <c r="R97" s="93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7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3"/>
      <c r="R98" s="93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3"/>
      <c r="P99" s="69"/>
      <c r="Q99" s="93"/>
      <c r="R99" s="93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3"/>
      <c r="P100" s="69"/>
      <c r="Q100" s="93"/>
      <c r="R100" s="93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7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3"/>
      <c r="P101" s="69"/>
      <c r="Q101" s="93"/>
      <c r="R101" s="93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7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3"/>
      <c r="P102" s="69"/>
      <c r="Q102" s="93"/>
      <c r="R102" s="93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3"/>
      <c r="R103" s="93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3"/>
      <c r="P104" s="69"/>
      <c r="Q104" s="93"/>
      <c r="R104" s="93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3"/>
      <c r="P105" s="69"/>
      <c r="Q105" s="93"/>
      <c r="R105" s="93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3"/>
      <c r="R106" s="93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3"/>
      <c r="P107" s="69"/>
      <c r="Q107" s="93"/>
      <c r="R107" s="93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3"/>
      <c r="O108" s="93"/>
      <c r="P108" s="93"/>
      <c r="Q108" s="93"/>
      <c r="R108" s="93"/>
      <c r="S108" s="93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3"/>
      <c r="O109" s="93"/>
      <c r="P109" s="93"/>
      <c r="Q109" s="93"/>
      <c r="R109" s="93"/>
      <c r="S109" s="93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3"/>
      <c r="O110" s="93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6" t="s">
        <v>17</v>
      </c>
      <c r="E120" s="126"/>
      <c r="F120" s="94"/>
      <c r="G120" s="27"/>
      <c r="I120" s="122" t="s">
        <v>18</v>
      </c>
      <c r="J120" s="123"/>
      <c r="K120" s="124" t="s">
        <v>19</v>
      </c>
      <c r="N120" s="25"/>
      <c r="O120" s="26"/>
      <c r="P120" s="126" t="s">
        <v>17</v>
      </c>
      <c r="Q120" s="126"/>
      <c r="R120" s="94"/>
      <c r="S120" s="27"/>
      <c r="U120" s="122" t="s">
        <v>18</v>
      </c>
      <c r="V120" s="123"/>
      <c r="W120" s="124" t="s">
        <v>19</v>
      </c>
      <c r="Z120" s="25"/>
      <c r="AA120" s="26"/>
      <c r="AB120" s="126" t="s">
        <v>17</v>
      </c>
      <c r="AC120" s="126"/>
      <c r="AD120" s="94"/>
      <c r="AE120" s="27"/>
      <c r="AG120" s="122" t="s">
        <v>18</v>
      </c>
      <c r="AH120" s="123"/>
      <c r="AI120" s="12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8" t="s">
        <v>22</v>
      </c>
      <c r="E121" s="77" t="s">
        <v>23</v>
      </c>
      <c r="F121" s="79" t="s">
        <v>32</v>
      </c>
      <c r="G121" s="79" t="s">
        <v>24</v>
      </c>
      <c r="I121" s="29" t="s">
        <v>25</v>
      </c>
      <c r="J121" s="29" t="s">
        <v>26</v>
      </c>
      <c r="K121" s="125"/>
      <c r="N121" s="28" t="s">
        <v>20</v>
      </c>
      <c r="O121" s="28" t="s">
        <v>21</v>
      </c>
      <c r="P121" s="78" t="s">
        <v>22</v>
      </c>
      <c r="Q121" s="79" t="s">
        <v>23</v>
      </c>
      <c r="R121" s="79" t="s">
        <v>32</v>
      </c>
      <c r="S121" s="79" t="s">
        <v>24</v>
      </c>
      <c r="U121" s="29" t="s">
        <v>25</v>
      </c>
      <c r="V121" s="29" t="s">
        <v>26</v>
      </c>
      <c r="W121" s="125"/>
      <c r="Z121" s="28" t="s">
        <v>20</v>
      </c>
      <c r="AA121" s="28" t="s">
        <v>21</v>
      </c>
      <c r="AB121" s="78" t="s">
        <v>22</v>
      </c>
      <c r="AC121" s="79" t="s">
        <v>23</v>
      </c>
      <c r="AD121" s="79" t="s">
        <v>32</v>
      </c>
      <c r="AE121" s="79" t="s">
        <v>24</v>
      </c>
      <c r="AG121" s="29" t="s">
        <v>25</v>
      </c>
      <c r="AH121" s="29" t="s">
        <v>26</v>
      </c>
      <c r="AI121" s="12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87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87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87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87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87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7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7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7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7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7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7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7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7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7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7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7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7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7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7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7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7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7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7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7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7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7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7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7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7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7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7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7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7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6" t="s">
        <v>17</v>
      </c>
      <c r="E175" s="126"/>
      <c r="F175" s="95"/>
      <c r="G175" s="27"/>
      <c r="I175" s="122" t="s">
        <v>18</v>
      </c>
      <c r="J175" s="123"/>
      <c r="K175" s="124" t="s">
        <v>19</v>
      </c>
      <c r="N175" s="25"/>
      <c r="O175" s="26"/>
      <c r="P175" s="126" t="s">
        <v>17</v>
      </c>
      <c r="Q175" s="126"/>
      <c r="R175" s="95"/>
      <c r="S175" s="27"/>
      <c r="U175" s="122" t="s">
        <v>18</v>
      </c>
      <c r="V175" s="123"/>
      <c r="W175" s="124" t="s">
        <v>19</v>
      </c>
      <c r="Z175" s="25"/>
      <c r="AA175" s="26"/>
      <c r="AB175" s="126" t="s">
        <v>17</v>
      </c>
      <c r="AC175" s="126"/>
      <c r="AD175" s="95"/>
      <c r="AE175" s="27"/>
      <c r="AG175" s="122" t="s">
        <v>18</v>
      </c>
      <c r="AH175" s="123"/>
      <c r="AI175" s="124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8" t="s">
        <v>22</v>
      </c>
      <c r="E176" s="77" t="s">
        <v>23</v>
      </c>
      <c r="F176" s="79" t="s">
        <v>32</v>
      </c>
      <c r="G176" s="79" t="s">
        <v>24</v>
      </c>
      <c r="I176" s="29" t="s">
        <v>25</v>
      </c>
      <c r="J176" s="29" t="s">
        <v>26</v>
      </c>
      <c r="K176" s="125"/>
      <c r="N176" s="28" t="s">
        <v>20</v>
      </c>
      <c r="O176" s="28" t="s">
        <v>21</v>
      </c>
      <c r="P176" s="78" t="s">
        <v>22</v>
      </c>
      <c r="Q176" s="79" t="s">
        <v>23</v>
      </c>
      <c r="R176" s="79" t="s">
        <v>32</v>
      </c>
      <c r="S176" s="79" t="s">
        <v>24</v>
      </c>
      <c r="U176" s="29" t="s">
        <v>25</v>
      </c>
      <c r="V176" s="29" t="s">
        <v>26</v>
      </c>
      <c r="W176" s="125"/>
      <c r="Z176" s="28" t="s">
        <v>20</v>
      </c>
      <c r="AA176" s="28" t="s">
        <v>21</v>
      </c>
      <c r="AB176" s="78" t="s">
        <v>22</v>
      </c>
      <c r="AC176" s="79" t="s">
        <v>23</v>
      </c>
      <c r="AD176" s="79" t="s">
        <v>32</v>
      </c>
      <c r="AE176" s="79" t="s">
        <v>24</v>
      </c>
      <c r="AG176" s="29" t="s">
        <v>25</v>
      </c>
      <c r="AH176" s="29" t="s">
        <v>26</v>
      </c>
      <c r="AI176" s="125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87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87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6"/>
      <c r="AM178" s="86"/>
      <c r="AN178" s="86"/>
      <c r="AO178" s="86"/>
      <c r="AP178" s="86"/>
      <c r="AQ178" s="62"/>
      <c r="AR178" s="83"/>
      <c r="AS178" s="83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87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87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87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6"/>
      <c r="AN181" s="128"/>
      <c r="AO181" s="128"/>
      <c r="AP181" s="86"/>
      <c r="AQ181" s="62"/>
      <c r="AR181" s="128"/>
      <c r="AS181" s="128"/>
      <c r="AT181" s="12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87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6"/>
      <c r="AM182" s="86"/>
      <c r="AN182" s="86"/>
      <c r="AO182" s="85"/>
      <c r="AP182" s="85"/>
      <c r="AQ182" s="62"/>
      <c r="AR182" s="84"/>
      <c r="AS182" s="84"/>
      <c r="AT182" s="12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87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87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7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7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7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7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7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7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7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7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7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7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7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7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7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7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7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7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7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7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7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7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7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7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7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7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7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7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6" t="s">
        <v>17</v>
      </c>
      <c r="E230" s="126"/>
      <c r="F230" s="96"/>
      <c r="G230" s="27"/>
      <c r="I230" s="122" t="s">
        <v>18</v>
      </c>
      <c r="J230" s="123"/>
      <c r="K230" s="124" t="s">
        <v>19</v>
      </c>
      <c r="N230" s="25"/>
      <c r="O230" s="26"/>
      <c r="P230" s="126" t="s">
        <v>17</v>
      </c>
      <c r="Q230" s="126"/>
      <c r="R230" s="96"/>
      <c r="S230" s="27"/>
      <c r="U230" s="122" t="s">
        <v>18</v>
      </c>
      <c r="V230" s="123"/>
      <c r="W230" s="124" t="s">
        <v>19</v>
      </c>
      <c r="Z230" s="25"/>
      <c r="AA230" s="26"/>
      <c r="AB230" s="126" t="s">
        <v>17</v>
      </c>
      <c r="AC230" s="126"/>
      <c r="AD230" s="96"/>
      <c r="AE230" s="27"/>
      <c r="AG230" s="122" t="s">
        <v>18</v>
      </c>
      <c r="AH230" s="123"/>
      <c r="AI230" s="12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8" t="s">
        <v>22</v>
      </c>
      <c r="E231" s="77" t="s">
        <v>23</v>
      </c>
      <c r="F231" s="79" t="s">
        <v>32</v>
      </c>
      <c r="G231" s="79" t="s">
        <v>24</v>
      </c>
      <c r="I231" s="29" t="s">
        <v>25</v>
      </c>
      <c r="J231" s="29" t="s">
        <v>26</v>
      </c>
      <c r="K231" s="125"/>
      <c r="N231" s="28" t="s">
        <v>20</v>
      </c>
      <c r="O231" s="28" t="s">
        <v>21</v>
      </c>
      <c r="P231" s="78" t="s">
        <v>22</v>
      </c>
      <c r="Q231" s="79" t="s">
        <v>23</v>
      </c>
      <c r="R231" s="79" t="s">
        <v>32</v>
      </c>
      <c r="S231" s="79" t="s">
        <v>24</v>
      </c>
      <c r="U231" s="29" t="s">
        <v>25</v>
      </c>
      <c r="V231" s="29" t="s">
        <v>26</v>
      </c>
      <c r="W231" s="125"/>
      <c r="Z231" s="28" t="s">
        <v>20</v>
      </c>
      <c r="AA231" s="28" t="s">
        <v>21</v>
      </c>
      <c r="AB231" s="78" t="s">
        <v>22</v>
      </c>
      <c r="AC231" s="79" t="s">
        <v>23</v>
      </c>
      <c r="AD231" s="79" t="s">
        <v>32</v>
      </c>
      <c r="AE231" s="79" t="s">
        <v>24</v>
      </c>
      <c r="AG231" s="29" t="s">
        <v>25</v>
      </c>
      <c r="AH231" s="29" t="s">
        <v>26</v>
      </c>
      <c r="AI231" s="125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87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87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87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87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87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87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87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87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7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7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7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7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7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7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7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7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7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7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7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7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7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7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7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7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7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7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7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7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7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7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7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7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7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6" t="s">
        <v>17</v>
      </c>
      <c r="E285" s="126"/>
      <c r="F285" s="97"/>
      <c r="G285" s="27"/>
      <c r="I285" s="122" t="s">
        <v>18</v>
      </c>
      <c r="J285" s="123"/>
      <c r="K285" s="124" t="s">
        <v>19</v>
      </c>
      <c r="N285" s="25"/>
      <c r="O285" s="26"/>
      <c r="P285" s="126" t="s">
        <v>17</v>
      </c>
      <c r="Q285" s="126"/>
      <c r="R285" s="97"/>
      <c r="S285" s="27"/>
      <c r="U285" s="122" t="s">
        <v>18</v>
      </c>
      <c r="V285" s="123"/>
      <c r="W285" s="124" t="s">
        <v>19</v>
      </c>
      <c r="Z285" s="25"/>
      <c r="AA285" s="26"/>
      <c r="AB285" s="126" t="s">
        <v>17</v>
      </c>
      <c r="AC285" s="126"/>
      <c r="AD285" s="97"/>
      <c r="AE285" s="27"/>
      <c r="AG285" s="122" t="s">
        <v>18</v>
      </c>
      <c r="AH285" s="123"/>
      <c r="AI285" s="12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8" t="s">
        <v>22</v>
      </c>
      <c r="E286" s="77" t="s">
        <v>23</v>
      </c>
      <c r="F286" s="79" t="s">
        <v>32</v>
      </c>
      <c r="G286" s="79" t="s">
        <v>24</v>
      </c>
      <c r="I286" s="29" t="s">
        <v>25</v>
      </c>
      <c r="J286" s="29" t="s">
        <v>26</v>
      </c>
      <c r="K286" s="125"/>
      <c r="N286" s="28" t="s">
        <v>20</v>
      </c>
      <c r="O286" s="28" t="s">
        <v>21</v>
      </c>
      <c r="P286" s="78" t="s">
        <v>22</v>
      </c>
      <c r="Q286" s="79" t="s">
        <v>23</v>
      </c>
      <c r="R286" s="79" t="s">
        <v>32</v>
      </c>
      <c r="S286" s="79" t="s">
        <v>24</v>
      </c>
      <c r="U286" s="29" t="s">
        <v>25</v>
      </c>
      <c r="V286" s="29" t="s">
        <v>26</v>
      </c>
      <c r="W286" s="125"/>
      <c r="Z286" s="28" t="s">
        <v>20</v>
      </c>
      <c r="AA286" s="28" t="s">
        <v>21</v>
      </c>
      <c r="AB286" s="78" t="s">
        <v>22</v>
      </c>
      <c r="AC286" s="79" t="s">
        <v>23</v>
      </c>
      <c r="AD286" s="79" t="s">
        <v>32</v>
      </c>
      <c r="AE286" s="79" t="s">
        <v>24</v>
      </c>
      <c r="AG286" s="29" t="s">
        <v>25</v>
      </c>
      <c r="AH286" s="29" t="s">
        <v>26</v>
      </c>
      <c r="AI286" s="12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87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87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87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87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87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7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7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7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7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7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7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7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7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7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7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7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7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7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7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7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7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7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7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7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7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7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7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7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7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7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6" t="s">
        <v>17</v>
      </c>
      <c r="E340" s="126"/>
      <c r="F340" s="98"/>
      <c r="G340" s="27"/>
      <c r="I340" s="122" t="s">
        <v>18</v>
      </c>
      <c r="J340" s="123"/>
      <c r="K340" s="124" t="s">
        <v>19</v>
      </c>
      <c r="N340" s="25"/>
      <c r="O340" s="26"/>
      <c r="P340" s="126" t="s">
        <v>17</v>
      </c>
      <c r="Q340" s="126"/>
      <c r="R340" s="98"/>
      <c r="S340" s="27"/>
      <c r="U340" s="122" t="s">
        <v>18</v>
      </c>
      <c r="V340" s="123"/>
      <c r="W340" s="124" t="s">
        <v>19</v>
      </c>
      <c r="Z340" s="25"/>
      <c r="AA340" s="26"/>
      <c r="AB340" s="126" t="s">
        <v>17</v>
      </c>
      <c r="AC340" s="126"/>
      <c r="AD340" s="98"/>
      <c r="AE340" s="27"/>
      <c r="AG340" s="122" t="s">
        <v>18</v>
      </c>
      <c r="AH340" s="123"/>
      <c r="AI340" s="12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8" t="s">
        <v>22</v>
      </c>
      <c r="E341" s="77" t="s">
        <v>23</v>
      </c>
      <c r="F341" s="79" t="s">
        <v>32</v>
      </c>
      <c r="G341" s="79" t="s">
        <v>24</v>
      </c>
      <c r="I341" s="29" t="s">
        <v>25</v>
      </c>
      <c r="J341" s="29" t="s">
        <v>26</v>
      </c>
      <c r="K341" s="125"/>
      <c r="N341" s="28" t="s">
        <v>20</v>
      </c>
      <c r="O341" s="28" t="s">
        <v>21</v>
      </c>
      <c r="P341" s="78" t="s">
        <v>22</v>
      </c>
      <c r="Q341" s="79" t="s">
        <v>23</v>
      </c>
      <c r="R341" s="79" t="s">
        <v>32</v>
      </c>
      <c r="S341" s="79" t="s">
        <v>24</v>
      </c>
      <c r="U341" s="29" t="s">
        <v>25</v>
      </c>
      <c r="V341" s="29" t="s">
        <v>26</v>
      </c>
      <c r="W341" s="125"/>
      <c r="Z341" s="28" t="s">
        <v>20</v>
      </c>
      <c r="AA341" s="28" t="s">
        <v>21</v>
      </c>
      <c r="AB341" s="78" t="s">
        <v>22</v>
      </c>
      <c r="AC341" s="79" t="s">
        <v>23</v>
      </c>
      <c r="AD341" s="79" t="s">
        <v>32</v>
      </c>
      <c r="AE341" s="79" t="s">
        <v>24</v>
      </c>
      <c r="AG341" s="29" t="s">
        <v>25</v>
      </c>
      <c r="AH341" s="29" t="s">
        <v>26</v>
      </c>
      <c r="AI341" s="12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87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87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87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87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87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7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7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7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7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7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7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7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7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7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7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7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7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7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7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7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7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7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7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7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7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7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7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7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7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7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7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7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6" t="s">
        <v>17</v>
      </c>
      <c r="E395" s="126"/>
      <c r="F395" s="99"/>
      <c r="G395" s="27"/>
      <c r="I395" s="122" t="s">
        <v>18</v>
      </c>
      <c r="J395" s="123"/>
      <c r="K395" s="124" t="s">
        <v>19</v>
      </c>
      <c r="N395" s="25"/>
      <c r="O395" s="26"/>
      <c r="P395" s="126" t="s">
        <v>17</v>
      </c>
      <c r="Q395" s="126"/>
      <c r="R395" s="99"/>
      <c r="S395" s="27"/>
      <c r="U395" s="122" t="s">
        <v>18</v>
      </c>
      <c r="V395" s="123"/>
      <c r="W395" s="124" t="s">
        <v>19</v>
      </c>
      <c r="Z395" s="25"/>
      <c r="AA395" s="26"/>
      <c r="AB395" s="126" t="s">
        <v>17</v>
      </c>
      <c r="AC395" s="126"/>
      <c r="AD395" s="99"/>
      <c r="AE395" s="27"/>
      <c r="AG395" s="122" t="s">
        <v>18</v>
      </c>
      <c r="AH395" s="123"/>
      <c r="AI395" s="12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8" t="s">
        <v>22</v>
      </c>
      <c r="E396" s="77" t="s">
        <v>23</v>
      </c>
      <c r="F396" s="79" t="s">
        <v>32</v>
      </c>
      <c r="G396" s="79" t="s">
        <v>24</v>
      </c>
      <c r="I396" s="29" t="s">
        <v>25</v>
      </c>
      <c r="J396" s="29" t="s">
        <v>26</v>
      </c>
      <c r="K396" s="125"/>
      <c r="N396" s="28" t="s">
        <v>20</v>
      </c>
      <c r="O396" s="28" t="s">
        <v>21</v>
      </c>
      <c r="P396" s="78" t="s">
        <v>22</v>
      </c>
      <c r="Q396" s="79" t="s">
        <v>23</v>
      </c>
      <c r="R396" s="79" t="s">
        <v>32</v>
      </c>
      <c r="S396" s="79" t="s">
        <v>24</v>
      </c>
      <c r="U396" s="29" t="s">
        <v>25</v>
      </c>
      <c r="V396" s="29" t="s">
        <v>26</v>
      </c>
      <c r="W396" s="125"/>
      <c r="Z396" s="28" t="s">
        <v>20</v>
      </c>
      <c r="AA396" s="28" t="s">
        <v>21</v>
      </c>
      <c r="AB396" s="78" t="s">
        <v>22</v>
      </c>
      <c r="AC396" s="79" t="s">
        <v>23</v>
      </c>
      <c r="AD396" s="79" t="s">
        <v>32</v>
      </c>
      <c r="AE396" s="79" t="s">
        <v>24</v>
      </c>
      <c r="AG396" s="29" t="s">
        <v>25</v>
      </c>
      <c r="AH396" s="29" t="s">
        <v>26</v>
      </c>
      <c r="AI396" s="12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87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7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7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7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6" t="s">
        <v>17</v>
      </c>
      <c r="E450" s="126"/>
      <c r="F450" s="100"/>
      <c r="G450" s="27"/>
      <c r="I450" s="122" t="s">
        <v>18</v>
      </c>
      <c r="J450" s="123"/>
      <c r="K450" s="124" t="s">
        <v>19</v>
      </c>
      <c r="N450" s="25"/>
      <c r="O450" s="26"/>
      <c r="P450" s="126" t="s">
        <v>17</v>
      </c>
      <c r="Q450" s="126"/>
      <c r="R450" s="100"/>
      <c r="S450" s="27"/>
      <c r="U450" s="122" t="s">
        <v>18</v>
      </c>
      <c r="V450" s="123"/>
      <c r="W450" s="124" t="s">
        <v>19</v>
      </c>
      <c r="Z450" s="25"/>
      <c r="AA450" s="26"/>
      <c r="AB450" s="126" t="s">
        <v>17</v>
      </c>
      <c r="AC450" s="126"/>
      <c r="AD450" s="100"/>
      <c r="AE450" s="27"/>
      <c r="AG450" s="122" t="s">
        <v>18</v>
      </c>
      <c r="AH450" s="123"/>
      <c r="AI450" s="12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8" t="s">
        <v>22</v>
      </c>
      <c r="E451" s="77" t="s">
        <v>23</v>
      </c>
      <c r="F451" s="79" t="s">
        <v>32</v>
      </c>
      <c r="G451" s="79" t="s">
        <v>24</v>
      </c>
      <c r="I451" s="29" t="s">
        <v>25</v>
      </c>
      <c r="J451" s="29" t="s">
        <v>26</v>
      </c>
      <c r="K451" s="125"/>
      <c r="N451" s="28" t="s">
        <v>20</v>
      </c>
      <c r="O451" s="28" t="s">
        <v>21</v>
      </c>
      <c r="P451" s="78" t="s">
        <v>22</v>
      </c>
      <c r="Q451" s="79" t="s">
        <v>23</v>
      </c>
      <c r="R451" s="79" t="s">
        <v>32</v>
      </c>
      <c r="S451" s="79" t="s">
        <v>24</v>
      </c>
      <c r="U451" s="29" t="s">
        <v>25</v>
      </c>
      <c r="V451" s="29" t="s">
        <v>26</v>
      </c>
      <c r="W451" s="125"/>
      <c r="Z451" s="28" t="s">
        <v>20</v>
      </c>
      <c r="AA451" s="28" t="s">
        <v>21</v>
      </c>
      <c r="AB451" s="78" t="s">
        <v>22</v>
      </c>
      <c r="AC451" s="79" t="s">
        <v>23</v>
      </c>
      <c r="AD451" s="79" t="s">
        <v>32</v>
      </c>
      <c r="AE451" s="79" t="s">
        <v>24</v>
      </c>
      <c r="AG451" s="29" t="s">
        <v>25</v>
      </c>
      <c r="AH451" s="29" t="s">
        <v>26</v>
      </c>
      <c r="AI451" s="12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87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7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7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7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7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7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7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7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6" t="s">
        <v>17</v>
      </c>
      <c r="E505" s="126"/>
      <c r="F505" s="101"/>
      <c r="G505" s="27"/>
      <c r="I505" s="122" t="s">
        <v>18</v>
      </c>
      <c r="J505" s="123"/>
      <c r="K505" s="124" t="s">
        <v>19</v>
      </c>
      <c r="N505" s="25"/>
      <c r="O505" s="26"/>
      <c r="P505" s="126" t="s">
        <v>17</v>
      </c>
      <c r="Q505" s="126"/>
      <c r="R505" s="101"/>
      <c r="S505" s="27"/>
      <c r="U505" s="122" t="s">
        <v>18</v>
      </c>
      <c r="V505" s="123"/>
      <c r="W505" s="124" t="s">
        <v>19</v>
      </c>
      <c r="Z505" s="25"/>
      <c r="AA505" s="26"/>
      <c r="AB505" s="126" t="s">
        <v>17</v>
      </c>
      <c r="AC505" s="126"/>
      <c r="AD505" s="101"/>
      <c r="AE505" s="27"/>
      <c r="AG505" s="122" t="s">
        <v>18</v>
      </c>
      <c r="AH505" s="123"/>
      <c r="AI505" s="124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8" t="s">
        <v>22</v>
      </c>
      <c r="E506" s="77" t="s">
        <v>23</v>
      </c>
      <c r="F506" s="79" t="s">
        <v>32</v>
      </c>
      <c r="G506" s="79" t="s">
        <v>24</v>
      </c>
      <c r="I506" s="29" t="s">
        <v>25</v>
      </c>
      <c r="J506" s="29" t="s">
        <v>26</v>
      </c>
      <c r="K506" s="125"/>
      <c r="N506" s="28" t="s">
        <v>20</v>
      </c>
      <c r="O506" s="28" t="s">
        <v>21</v>
      </c>
      <c r="P506" s="78" t="s">
        <v>22</v>
      </c>
      <c r="Q506" s="79" t="s">
        <v>23</v>
      </c>
      <c r="R506" s="79" t="s">
        <v>32</v>
      </c>
      <c r="S506" s="79" t="s">
        <v>24</v>
      </c>
      <c r="U506" s="29" t="s">
        <v>25</v>
      </c>
      <c r="V506" s="29" t="s">
        <v>26</v>
      </c>
      <c r="W506" s="125"/>
      <c r="Z506" s="28" t="s">
        <v>20</v>
      </c>
      <c r="AA506" s="28" t="s">
        <v>21</v>
      </c>
      <c r="AB506" s="78" t="s">
        <v>22</v>
      </c>
      <c r="AC506" s="79" t="s">
        <v>23</v>
      </c>
      <c r="AD506" s="79" t="s">
        <v>32</v>
      </c>
      <c r="AE506" s="79" t="s">
        <v>24</v>
      </c>
      <c r="AG506" s="29" t="s">
        <v>25</v>
      </c>
      <c r="AH506" s="29" t="s">
        <v>26</v>
      </c>
      <c r="AI506" s="125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7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7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7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7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7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7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7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7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0"/>
      <c r="C552" s="90"/>
      <c r="D552" s="90"/>
      <c r="E552" s="90"/>
      <c r="F552" s="90"/>
      <c r="G552" s="90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0"/>
      <c r="C553" s="90"/>
      <c r="D553" s="90"/>
      <c r="E553" s="90"/>
      <c r="F553" s="90"/>
      <c r="G553" s="90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0"/>
      <c r="C554" s="90"/>
      <c r="D554" s="90"/>
      <c r="E554" s="90"/>
      <c r="F554" s="90"/>
      <c r="G554" s="90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0"/>
      <c r="C555" s="90"/>
      <c r="D555" s="90"/>
      <c r="E555" s="90"/>
      <c r="F555" s="90"/>
      <c r="G555" s="90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0"/>
      <c r="C556" s="90"/>
      <c r="D556" s="90"/>
      <c r="E556" s="90"/>
      <c r="F556" s="90"/>
      <c r="G556" s="90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0"/>
      <c r="C557" s="90"/>
      <c r="D557" s="90"/>
      <c r="E557" s="90"/>
      <c r="F557" s="90"/>
      <c r="G557" s="90"/>
      <c r="H557" s="62"/>
      <c r="I557" s="90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0"/>
      <c r="C558" s="90"/>
      <c r="D558" s="90"/>
      <c r="E558" s="90"/>
      <c r="F558" s="90"/>
      <c r="G558" s="90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0"/>
      <c r="C559" s="90"/>
      <c r="D559" s="90"/>
      <c r="E559" s="90"/>
      <c r="F559" s="90"/>
      <c r="G559" s="90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0"/>
      <c r="D560" s="128"/>
      <c r="E560" s="128"/>
      <c r="F560" s="90"/>
      <c r="G560" s="90"/>
      <c r="H560" s="62"/>
      <c r="I560" s="128"/>
      <c r="J560" s="128"/>
      <c r="K560" s="127"/>
      <c r="N560" s="25"/>
      <c r="O560" s="26"/>
      <c r="P560" s="126" t="s">
        <v>17</v>
      </c>
      <c r="Q560" s="126"/>
      <c r="R560" s="102"/>
      <c r="S560" s="27"/>
      <c r="U560" s="122" t="s">
        <v>18</v>
      </c>
      <c r="V560" s="123"/>
      <c r="W560" s="124" t="s">
        <v>19</v>
      </c>
      <c r="Z560" s="25"/>
      <c r="AA560" s="26"/>
      <c r="AB560" s="126" t="s">
        <v>17</v>
      </c>
      <c r="AC560" s="126"/>
      <c r="AD560" s="102"/>
      <c r="AE560" s="27"/>
      <c r="AG560" s="122" t="s">
        <v>18</v>
      </c>
      <c r="AH560" s="123"/>
      <c r="AI560" s="124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0"/>
      <c r="C561" s="90"/>
      <c r="D561" s="80"/>
      <c r="E561" s="81"/>
      <c r="F561" s="82"/>
      <c r="G561" s="82"/>
      <c r="H561" s="62"/>
      <c r="I561" s="89"/>
      <c r="J561" s="89"/>
      <c r="K561" s="127"/>
      <c r="N561" s="28" t="s">
        <v>20</v>
      </c>
      <c r="O561" s="28" t="s">
        <v>21</v>
      </c>
      <c r="P561" s="78" t="s">
        <v>22</v>
      </c>
      <c r="Q561" s="79" t="s">
        <v>23</v>
      </c>
      <c r="R561" s="79" t="s">
        <v>32</v>
      </c>
      <c r="S561" s="79" t="s">
        <v>24</v>
      </c>
      <c r="U561" s="29" t="s">
        <v>25</v>
      </c>
      <c r="V561" s="29" t="s">
        <v>26</v>
      </c>
      <c r="W561" s="125"/>
      <c r="Z561" s="28" t="s">
        <v>20</v>
      </c>
      <c r="AA561" s="28" t="s">
        <v>21</v>
      </c>
      <c r="AB561" s="78" t="s">
        <v>22</v>
      </c>
      <c r="AC561" s="79" t="s">
        <v>23</v>
      </c>
      <c r="AD561" s="79" t="s">
        <v>32</v>
      </c>
      <c r="AE561" s="79" t="s">
        <v>24</v>
      </c>
      <c r="AG561" s="29" t="s">
        <v>25</v>
      </c>
      <c r="AH561" s="29" t="s">
        <v>26</v>
      </c>
      <c r="AI561" s="125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8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8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8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0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8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8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8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8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8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0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8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8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8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8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0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8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0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0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8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8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8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0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0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0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0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0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0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0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0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0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0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0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0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0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0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0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0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0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0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0"/>
      <c r="C604" s="90"/>
      <c r="D604" s="90"/>
      <c r="E604" s="90"/>
      <c r="F604" s="90"/>
      <c r="G604" s="90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0"/>
      <c r="C605" s="90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6" t="s">
        <v>17</v>
      </c>
      <c r="E615" s="126"/>
      <c r="F615" s="103"/>
      <c r="G615" s="27"/>
      <c r="I615" s="122" t="s">
        <v>18</v>
      </c>
      <c r="J615" s="123"/>
      <c r="K615" s="124" t="s">
        <v>19</v>
      </c>
      <c r="N615" s="25"/>
      <c r="O615" s="26"/>
      <c r="P615" s="126" t="s">
        <v>17</v>
      </c>
      <c r="Q615" s="126"/>
      <c r="R615" s="103"/>
      <c r="S615" s="27"/>
      <c r="U615" s="122" t="s">
        <v>18</v>
      </c>
      <c r="V615" s="123"/>
      <c r="W615" s="124" t="s">
        <v>19</v>
      </c>
      <c r="Z615" s="25"/>
      <c r="AA615" s="26"/>
      <c r="AB615" s="126" t="s">
        <v>17</v>
      </c>
      <c r="AC615" s="126"/>
      <c r="AD615" s="103"/>
      <c r="AE615" s="27"/>
      <c r="AG615" s="122" t="s">
        <v>18</v>
      </c>
      <c r="AH615" s="123"/>
      <c r="AI615" s="124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8" t="s">
        <v>22</v>
      </c>
      <c r="E616" s="77" t="s">
        <v>23</v>
      </c>
      <c r="F616" s="79" t="s">
        <v>32</v>
      </c>
      <c r="G616" s="79" t="s">
        <v>24</v>
      </c>
      <c r="I616" s="29" t="s">
        <v>25</v>
      </c>
      <c r="J616" s="29" t="s">
        <v>26</v>
      </c>
      <c r="K616" s="125"/>
      <c r="N616" s="28" t="s">
        <v>20</v>
      </c>
      <c r="O616" s="28" t="s">
        <v>21</v>
      </c>
      <c r="P616" s="78" t="s">
        <v>22</v>
      </c>
      <c r="Q616" s="79" t="s">
        <v>23</v>
      </c>
      <c r="R616" s="79" t="s">
        <v>32</v>
      </c>
      <c r="S616" s="79" t="s">
        <v>24</v>
      </c>
      <c r="U616" s="29" t="s">
        <v>25</v>
      </c>
      <c r="V616" s="29" t="s">
        <v>26</v>
      </c>
      <c r="W616" s="125"/>
      <c r="Z616" s="28" t="s">
        <v>20</v>
      </c>
      <c r="AA616" s="28" t="s">
        <v>21</v>
      </c>
      <c r="AB616" s="78" t="s">
        <v>22</v>
      </c>
      <c r="AC616" s="79" t="s">
        <v>23</v>
      </c>
      <c r="AD616" s="79" t="s">
        <v>32</v>
      </c>
      <c r="AE616" s="79" t="s">
        <v>24</v>
      </c>
      <c r="AG616" s="29" t="s">
        <v>25</v>
      </c>
      <c r="AH616" s="29" t="s">
        <v>26</v>
      </c>
      <c r="AI616" s="125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87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55" si="186">SUM(P618:Q618)</f>
        <v>6595</v>
      </c>
      <c r="T618" s="12"/>
      <c r="U618" s="12">
        <v>12</v>
      </c>
      <c r="V618" s="12"/>
      <c r="W618" s="12">
        <f t="shared" ref="W618:W658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49" si="188">SUM(AB618:AC618)</f>
        <v>36324</v>
      </c>
      <c r="AF618" s="12"/>
      <c r="AG618" s="12"/>
      <c r="AH618" s="12"/>
      <c r="AI618" s="12">
        <f t="shared" ref="AI618:AI649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36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7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7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7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7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7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93">SUM(AB650:AC650)</f>
        <v>0</v>
      </c>
      <c r="AF650" s="10"/>
      <c r="AG650" s="10"/>
      <c r="AH650" s="10"/>
      <c r="AI650" s="12">
        <f t="shared" ref="AI650:AI658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7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7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40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40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40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54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6" t="s">
        <v>17</v>
      </c>
      <c r="E670" s="126"/>
      <c r="F670" s="104"/>
      <c r="G670" s="27"/>
      <c r="I670" s="122" t="s">
        <v>18</v>
      </c>
      <c r="J670" s="123"/>
      <c r="K670" s="124" t="s">
        <v>19</v>
      </c>
      <c r="N670" s="25"/>
      <c r="O670" s="26"/>
      <c r="P670" s="126" t="s">
        <v>17</v>
      </c>
      <c r="Q670" s="126"/>
      <c r="R670" s="104"/>
      <c r="S670" s="27"/>
      <c r="U670" s="122" t="s">
        <v>18</v>
      </c>
      <c r="V670" s="123"/>
      <c r="W670" s="124" t="s">
        <v>19</v>
      </c>
      <c r="Z670" s="25"/>
      <c r="AA670" s="26"/>
      <c r="AB670" s="126" t="s">
        <v>17</v>
      </c>
      <c r="AC670" s="126"/>
      <c r="AD670" s="104"/>
      <c r="AE670" s="27"/>
      <c r="AG670" s="122" t="s">
        <v>18</v>
      </c>
      <c r="AH670" s="123"/>
      <c r="AI670" s="124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8" t="s">
        <v>22</v>
      </c>
      <c r="E671" s="77" t="s">
        <v>23</v>
      </c>
      <c r="F671" s="79" t="s">
        <v>32</v>
      </c>
      <c r="G671" s="79" t="s">
        <v>24</v>
      </c>
      <c r="I671" s="29" t="s">
        <v>25</v>
      </c>
      <c r="J671" s="29" t="s">
        <v>26</v>
      </c>
      <c r="K671" s="125"/>
      <c r="N671" s="28" t="s">
        <v>20</v>
      </c>
      <c r="O671" s="28" t="s">
        <v>21</v>
      </c>
      <c r="P671" s="78" t="s">
        <v>22</v>
      </c>
      <c r="Q671" s="79" t="s">
        <v>23</v>
      </c>
      <c r="R671" s="79" t="s">
        <v>32</v>
      </c>
      <c r="S671" s="79" t="s">
        <v>24</v>
      </c>
      <c r="U671" s="29" t="s">
        <v>25</v>
      </c>
      <c r="V671" s="29" t="s">
        <v>26</v>
      </c>
      <c r="W671" s="125"/>
      <c r="Z671" s="28" t="s">
        <v>20</v>
      </c>
      <c r="AA671" s="28" t="s">
        <v>21</v>
      </c>
      <c r="AB671" s="78" t="s">
        <v>22</v>
      </c>
      <c r="AC671" s="79" t="s">
        <v>23</v>
      </c>
      <c r="AD671" s="79" t="s">
        <v>32</v>
      </c>
      <c r="AE671" s="79" t="s">
        <v>24</v>
      </c>
      <c r="AG671" s="29" t="s">
        <v>25</v>
      </c>
      <c r="AH671" s="29" t="s">
        <v>26</v>
      </c>
      <c r="AI671" s="125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7">
        <v>8434</v>
      </c>
      <c r="D672" s="32">
        <f>650*17+622*3</f>
        <v>12916</v>
      </c>
      <c r="E672" s="32"/>
      <c r="F672" s="32"/>
      <c r="G672" s="32">
        <f t="shared" ref="G672:G705" si="200">SUM(D672:E672)</f>
        <v>12916</v>
      </c>
      <c r="H672" s="12"/>
      <c r="I672" s="12"/>
      <c r="J672" s="12"/>
      <c r="K672" s="12">
        <f t="shared" ref="K672:K705" si="201">SUM(G672:J672)</f>
        <v>12916</v>
      </c>
      <c r="M672" s="10">
        <v>1</v>
      </c>
      <c r="N672" s="30" t="s">
        <v>75</v>
      </c>
      <c r="O672" s="31">
        <v>8489</v>
      </c>
      <c r="P672" s="32">
        <f>650*216+229*9</f>
        <v>142461</v>
      </c>
      <c r="Q672" s="32">
        <v>-1296</v>
      </c>
      <c r="R672" s="32"/>
      <c r="S672" s="32">
        <f>SUM(P672:Q672)</f>
        <v>141165</v>
      </c>
      <c r="T672" s="12"/>
      <c r="U672" s="12">
        <v>180</v>
      </c>
      <c r="V672" s="12"/>
      <c r="W672" s="12">
        <f>SUM(S672:V672)</f>
        <v>141345</v>
      </c>
      <c r="Y672" s="10">
        <v>1</v>
      </c>
      <c r="Z672" s="30" t="s">
        <v>75</v>
      </c>
      <c r="AA672" s="31">
        <v>8397</v>
      </c>
      <c r="AB672" s="32">
        <f>650*24+670+622*5+229*2+500</f>
        <v>20338</v>
      </c>
      <c r="AC672" s="32"/>
      <c r="AD672" s="32"/>
      <c r="AE672" s="32">
        <f>SUM(AB672:AC672)</f>
        <v>20338</v>
      </c>
      <c r="AF672" s="12"/>
      <c r="AG672" s="12">
        <f>120+78</f>
        <v>198</v>
      </c>
      <c r="AH672" s="12">
        <f>-57*111+-1512</f>
        <v>-7839</v>
      </c>
      <c r="AI672" s="12">
        <f>SUM(AE672:AH672)</f>
        <v>12697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31">
        <f>C672+1</f>
        <v>8435</v>
      </c>
      <c r="D673" s="32">
        <f>650*50+670*5+622*15+872+229</f>
        <v>46281</v>
      </c>
      <c r="E673" s="32"/>
      <c r="F673" s="32"/>
      <c r="G673" s="32">
        <f t="shared" si="200"/>
        <v>46281</v>
      </c>
      <c r="H673" s="12"/>
      <c r="I673" s="12">
        <f>36+270</f>
        <v>306</v>
      </c>
      <c r="J673" s="12"/>
      <c r="K673" s="12">
        <f t="shared" si="201"/>
        <v>46587</v>
      </c>
      <c r="M673" s="10">
        <v>2</v>
      </c>
      <c r="N673" s="30" t="s">
        <v>75</v>
      </c>
      <c r="O673" s="31">
        <f>O672+1</f>
        <v>8490</v>
      </c>
      <c r="P673" s="32">
        <f>650*4+229</f>
        <v>2829</v>
      </c>
      <c r="Q673" s="32"/>
      <c r="R673" s="32"/>
      <c r="S673" s="32">
        <f t="shared" ref="S673:S710" si="202">SUM(P673:Q673)</f>
        <v>2829</v>
      </c>
      <c r="T673" s="12"/>
      <c r="U673" s="12"/>
      <c r="V673" s="12"/>
      <c r="W673" s="12">
        <f t="shared" ref="W673:W713" si="203">SUM(S673:V673)</f>
        <v>2829</v>
      </c>
      <c r="Y673" s="10">
        <v>2</v>
      </c>
      <c r="Z673" s="30" t="s">
        <v>75</v>
      </c>
      <c r="AA673" s="31">
        <f>AA672+1</f>
        <v>8398</v>
      </c>
      <c r="AB673" s="32">
        <f>650*200+700*10+973*10+622*100+912*10+1050*20+872*21+872*3+500*10</f>
        <v>264978</v>
      </c>
      <c r="AC673" s="32"/>
      <c r="AD673" s="32"/>
      <c r="AE673" s="32">
        <f t="shared" ref="AE673:AE704" si="204">SUM(AB673:AC673)</f>
        <v>264978</v>
      </c>
      <c r="AF673" s="12"/>
      <c r="AG673" s="12">
        <f>120*94+111*310</f>
        <v>45690</v>
      </c>
      <c r="AH673" s="12">
        <f>-118*111+-420*84+-185*84</f>
        <v>-63918</v>
      </c>
      <c r="AI673" s="12">
        <f t="shared" ref="AI673:AI704" si="205">SUM(AE673:AH673)</f>
        <v>246750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31">
        <f t="shared" ref="C674:C688" si="206">C673+1</f>
        <v>8436</v>
      </c>
      <c r="D674" s="33">
        <f>1300+19</f>
        <v>1319</v>
      </c>
      <c r="E674" s="33"/>
      <c r="F674" s="33"/>
      <c r="G674" s="33">
        <f t="shared" si="200"/>
        <v>1319</v>
      </c>
      <c r="H674" s="34"/>
      <c r="I674" s="34"/>
      <c r="J674" s="34"/>
      <c r="K674" s="34">
        <f t="shared" si="201"/>
        <v>1319</v>
      </c>
      <c r="M674" s="10">
        <v>3</v>
      </c>
      <c r="N674" s="30" t="s">
        <v>75</v>
      </c>
      <c r="O674" s="31">
        <f t="shared" ref="O674:O690" si="207">O673+1</f>
        <v>8491</v>
      </c>
      <c r="P674" s="32">
        <f>650*30+229*1+9.5*6</f>
        <v>19786</v>
      </c>
      <c r="Q674" s="32"/>
      <c r="R674" s="32"/>
      <c r="S674" s="32">
        <f t="shared" si="202"/>
        <v>19786</v>
      </c>
      <c r="T674" s="12"/>
      <c r="U674" s="12">
        <f>78+1.5*6</f>
        <v>87</v>
      </c>
      <c r="V674" s="12"/>
      <c r="W674" s="12">
        <f t="shared" si="203"/>
        <v>19873</v>
      </c>
      <c r="Y674" s="10">
        <v>3</v>
      </c>
      <c r="Z674" s="30" t="s">
        <v>75</v>
      </c>
      <c r="AA674" s="31">
        <f t="shared" ref="AA674:AA675" si="208">AA673+1</f>
        <v>8399</v>
      </c>
      <c r="AB674" s="33">
        <f>1175*10+1175*10+1102*4+650*3+1122+1157+872*3+1582+500*15</f>
        <v>43835</v>
      </c>
      <c r="AC674" s="33"/>
      <c r="AD674" s="32"/>
      <c r="AE674" s="32">
        <f t="shared" si="204"/>
        <v>43835</v>
      </c>
      <c r="AF674" s="12"/>
      <c r="AG674" s="12"/>
      <c r="AH674" s="12"/>
      <c r="AI674" s="12">
        <f t="shared" si="205"/>
        <v>43835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31">
        <f t="shared" si="206"/>
        <v>8437</v>
      </c>
      <c r="D675" s="32">
        <f>650+670+9.5</f>
        <v>1329.5</v>
      </c>
      <c r="E675" s="32"/>
      <c r="F675" s="32"/>
      <c r="G675" s="32">
        <f t="shared" si="200"/>
        <v>1329.5</v>
      </c>
      <c r="H675" s="12"/>
      <c r="I675" s="12"/>
      <c r="J675" s="12"/>
      <c r="K675" s="12">
        <f t="shared" si="201"/>
        <v>1329.5</v>
      </c>
      <c r="M675" s="10">
        <v>4</v>
      </c>
      <c r="N675" s="30" t="s">
        <v>75</v>
      </c>
      <c r="O675" s="31">
        <f t="shared" si="207"/>
        <v>8492</v>
      </c>
      <c r="P675" s="32">
        <f>650*4+670+9.5*4</f>
        <v>3308</v>
      </c>
      <c r="Q675" s="32"/>
      <c r="R675" s="32"/>
      <c r="S675" s="32">
        <f t="shared" si="202"/>
        <v>3308</v>
      </c>
      <c r="T675" s="12"/>
      <c r="U675" s="12"/>
      <c r="V675" s="12"/>
      <c r="W675" s="12">
        <f t="shared" si="203"/>
        <v>3308</v>
      </c>
      <c r="Y675" s="10">
        <v>4</v>
      </c>
      <c r="Z675" s="30" t="s">
        <v>75</v>
      </c>
      <c r="AA675" s="31">
        <f t="shared" si="208"/>
        <v>8400</v>
      </c>
      <c r="AB675" s="32">
        <f>1582+1582+1582+1582</f>
        <v>6328</v>
      </c>
      <c r="AC675" s="32"/>
      <c r="AD675" s="32"/>
      <c r="AE675" s="32">
        <f t="shared" si="204"/>
        <v>6328</v>
      </c>
      <c r="AF675" s="12"/>
      <c r="AH675" s="12"/>
      <c r="AI675" s="12">
        <f t="shared" si="205"/>
        <v>6328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31">
        <f t="shared" si="206"/>
        <v>8438</v>
      </c>
      <c r="D676" s="32">
        <f>1300+19</f>
        <v>1319</v>
      </c>
      <c r="E676" s="32"/>
      <c r="F676" s="32"/>
      <c r="G676" s="32">
        <f t="shared" si="200"/>
        <v>1319</v>
      </c>
      <c r="H676" s="12"/>
      <c r="I676" s="12"/>
      <c r="J676" s="12"/>
      <c r="K676" s="12">
        <f t="shared" si="201"/>
        <v>1319</v>
      </c>
      <c r="M676" s="10">
        <v>5</v>
      </c>
      <c r="N676" s="30" t="s">
        <v>75</v>
      </c>
      <c r="O676" s="31">
        <f t="shared" si="207"/>
        <v>8493</v>
      </c>
      <c r="P676" s="32">
        <f>650*4+9.5*4</f>
        <v>2638</v>
      </c>
      <c r="Q676" s="32"/>
      <c r="R676" s="32"/>
      <c r="S676" s="32">
        <f t="shared" si="202"/>
        <v>2638</v>
      </c>
      <c r="T676" s="12"/>
      <c r="U676" s="12"/>
      <c r="V676" s="12"/>
      <c r="W676" s="12">
        <f t="shared" si="203"/>
        <v>2638</v>
      </c>
      <c r="Y676" s="10">
        <v>5</v>
      </c>
      <c r="Z676" s="30" t="s">
        <v>75</v>
      </c>
      <c r="AA676" s="31">
        <v>8501</v>
      </c>
      <c r="AB676" s="32">
        <f>650*3+670+622*2</f>
        <v>3864</v>
      </c>
      <c r="AC676" s="32"/>
      <c r="AD676" s="32"/>
      <c r="AE676" s="32">
        <f t="shared" si="204"/>
        <v>3864</v>
      </c>
      <c r="AF676" s="12"/>
      <c r="AG676" s="12"/>
      <c r="AH676" s="12"/>
      <c r="AI676" s="12">
        <f t="shared" si="205"/>
        <v>3864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31">
        <f t="shared" si="206"/>
        <v>8439</v>
      </c>
      <c r="D677" s="32">
        <f>5850+1340+1244</f>
        <v>8434</v>
      </c>
      <c r="E677" s="32"/>
      <c r="F677" s="32"/>
      <c r="G677" s="32">
        <f t="shared" si="200"/>
        <v>8434</v>
      </c>
      <c r="H677" s="12"/>
      <c r="I677" s="12"/>
      <c r="J677" s="12"/>
      <c r="K677" s="12">
        <f t="shared" si="201"/>
        <v>8434</v>
      </c>
      <c r="M677" s="10">
        <v>6</v>
      </c>
      <c r="N677" s="30" t="s">
        <v>75</v>
      </c>
      <c r="O677" s="31">
        <f t="shared" si="207"/>
        <v>8494</v>
      </c>
      <c r="P677" s="32">
        <f>4550+66.5</f>
        <v>4616.5</v>
      </c>
      <c r="Q677" s="32"/>
      <c r="R677" s="32"/>
      <c r="S677" s="32">
        <f t="shared" si="202"/>
        <v>4616.5</v>
      </c>
      <c r="T677" s="12"/>
      <c r="U677" s="12"/>
      <c r="V677" s="10"/>
      <c r="W677" s="12">
        <f t="shared" si="203"/>
        <v>4616.5</v>
      </c>
      <c r="Y677" s="10">
        <v>6</v>
      </c>
      <c r="Z677" s="30"/>
      <c r="AA677" s="11" t="s">
        <v>27</v>
      </c>
      <c r="AB677" s="32"/>
      <c r="AC677" s="32"/>
      <c r="AD677" s="32"/>
      <c r="AE677" s="32">
        <f t="shared" si="204"/>
        <v>0</v>
      </c>
      <c r="AF677" s="12"/>
      <c r="AG677" s="12"/>
      <c r="AH677" s="10"/>
      <c r="AI677" s="12">
        <f t="shared" si="205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31">
        <f t="shared" si="206"/>
        <v>8440</v>
      </c>
      <c r="D678" s="32">
        <f>1300+670+19</f>
        <v>1989</v>
      </c>
      <c r="E678" s="32"/>
      <c r="F678" s="32"/>
      <c r="G678" s="32">
        <f t="shared" si="200"/>
        <v>1989</v>
      </c>
      <c r="H678" s="12"/>
      <c r="I678" s="12"/>
      <c r="J678" s="12"/>
      <c r="K678" s="12">
        <f t="shared" si="201"/>
        <v>1989</v>
      </c>
      <c r="M678" s="10">
        <v>7</v>
      </c>
      <c r="N678" s="30" t="s">
        <v>75</v>
      </c>
      <c r="O678" s="31">
        <f t="shared" si="207"/>
        <v>8495</v>
      </c>
      <c r="P678" s="32">
        <f>650*2+9.5*2</f>
        <v>1319</v>
      </c>
      <c r="Q678" s="32"/>
      <c r="R678" s="32"/>
      <c r="S678" s="32">
        <f t="shared" si="202"/>
        <v>1319</v>
      </c>
      <c r="T678" s="12"/>
      <c r="U678" s="12"/>
      <c r="V678" s="12"/>
      <c r="W678" s="12">
        <f t="shared" si="203"/>
        <v>1319</v>
      </c>
      <c r="Y678" s="10">
        <v>7</v>
      </c>
      <c r="Z678" s="30"/>
      <c r="AB678" s="32"/>
      <c r="AC678" s="32"/>
      <c r="AD678" s="32"/>
      <c r="AE678" s="32">
        <f t="shared" si="204"/>
        <v>0</v>
      </c>
      <c r="AF678" s="12"/>
      <c r="AG678" s="58"/>
      <c r="AH678" s="12"/>
      <c r="AI678" s="12">
        <f t="shared" si="205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31">
        <f t="shared" si="206"/>
        <v>8441</v>
      </c>
      <c r="D679" s="32">
        <f>3250+47.5</f>
        <v>3297.5</v>
      </c>
      <c r="E679" s="32"/>
      <c r="F679" s="32"/>
      <c r="G679" s="32">
        <f t="shared" si="200"/>
        <v>3297.5</v>
      </c>
      <c r="H679" s="12"/>
      <c r="I679" s="12"/>
      <c r="J679" s="12"/>
      <c r="K679" s="12">
        <f t="shared" si="201"/>
        <v>3297.5</v>
      </c>
      <c r="M679" s="10">
        <v>8</v>
      </c>
      <c r="N679" s="30" t="s">
        <v>75</v>
      </c>
      <c r="O679" s="31">
        <f t="shared" si="207"/>
        <v>8496</v>
      </c>
      <c r="P679" s="32">
        <f>650+9.5</f>
        <v>659.5</v>
      </c>
      <c r="Q679" s="32"/>
      <c r="R679" s="32"/>
      <c r="S679" s="32">
        <f t="shared" si="202"/>
        <v>659.5</v>
      </c>
      <c r="T679" s="12"/>
      <c r="U679" s="12"/>
      <c r="V679" s="12"/>
      <c r="W679" s="12">
        <f t="shared" si="203"/>
        <v>659.5</v>
      </c>
      <c r="Y679" s="10">
        <v>8</v>
      </c>
      <c r="Z679" s="30"/>
      <c r="AA679" s="31"/>
      <c r="AB679" s="32"/>
      <c r="AC679" s="32"/>
      <c r="AE679" s="32">
        <f t="shared" si="204"/>
        <v>0</v>
      </c>
      <c r="AF679" s="12"/>
      <c r="AG679" s="12"/>
      <c r="AH679" s="12"/>
      <c r="AI679" s="12">
        <f t="shared" si="205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31">
        <f t="shared" si="206"/>
        <v>8442</v>
      </c>
      <c r="D680" s="32">
        <f>9750+872+142.5</f>
        <v>10764.5</v>
      </c>
      <c r="E680" s="32"/>
      <c r="F680" s="32"/>
      <c r="G680" s="32">
        <f t="shared" si="200"/>
        <v>10764.5</v>
      </c>
      <c r="H680" s="12"/>
      <c r="I680" s="12">
        <v>840</v>
      </c>
      <c r="J680" s="12"/>
      <c r="K680" s="12">
        <f t="shared" si="201"/>
        <v>11604.5</v>
      </c>
      <c r="M680" s="10">
        <v>9</v>
      </c>
      <c r="N680" s="30" t="s">
        <v>75</v>
      </c>
      <c r="O680" s="31">
        <f t="shared" si="207"/>
        <v>8497</v>
      </c>
      <c r="P680" s="32">
        <f>5200+912+76</f>
        <v>6188</v>
      </c>
      <c r="Q680" s="32"/>
      <c r="R680" s="32"/>
      <c r="S680" s="32">
        <f t="shared" si="202"/>
        <v>6188</v>
      </c>
      <c r="T680" s="12"/>
      <c r="U680" s="12">
        <f>120+27+4.5</f>
        <v>151.5</v>
      </c>
      <c r="V680" s="12"/>
      <c r="W680" s="12">
        <f t="shared" si="203"/>
        <v>6339.5</v>
      </c>
      <c r="Y680" s="10">
        <v>9</v>
      </c>
      <c r="Z680" s="30"/>
      <c r="AA680" s="31"/>
      <c r="AB680" s="32"/>
      <c r="AC680" s="32"/>
      <c r="AD680" s="32"/>
      <c r="AE680" s="32">
        <f t="shared" si="204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31">
        <f t="shared" si="206"/>
        <v>8443</v>
      </c>
      <c r="D681" s="32">
        <f>2600+670+229</f>
        <v>3499</v>
      </c>
      <c r="E681" s="32"/>
      <c r="F681" s="32"/>
      <c r="G681" s="32">
        <f t="shared" si="200"/>
        <v>3499</v>
      </c>
      <c r="H681" s="12"/>
      <c r="I681" s="12"/>
      <c r="J681" s="12"/>
      <c r="K681" s="12">
        <f t="shared" si="201"/>
        <v>3499</v>
      </c>
      <c r="M681" s="10">
        <v>10</v>
      </c>
      <c r="N681" s="30" t="s">
        <v>75</v>
      </c>
      <c r="O681" s="31">
        <f t="shared" si="207"/>
        <v>8498</v>
      </c>
      <c r="P681" s="32">
        <f>2600+622+9.5*5</f>
        <v>3269.5</v>
      </c>
      <c r="Q681" s="32"/>
      <c r="R681" s="32"/>
      <c r="S681" s="32">
        <f t="shared" si="202"/>
        <v>3269.5</v>
      </c>
      <c r="T681" s="12"/>
      <c r="U681" s="12"/>
      <c r="V681" s="12"/>
      <c r="W681" s="12">
        <f t="shared" si="203"/>
        <v>3269.5</v>
      </c>
      <c r="Y681" s="10">
        <v>10</v>
      </c>
      <c r="Z681" s="30"/>
      <c r="AA681" s="31"/>
      <c r="AB681" s="32"/>
      <c r="AC681" s="32"/>
      <c r="AD681" s="32"/>
      <c r="AE681" s="32">
        <f t="shared" si="204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31">
        <f t="shared" si="206"/>
        <v>8444</v>
      </c>
      <c r="D682" s="32">
        <f>3900+670+1244</f>
        <v>5814</v>
      </c>
      <c r="E682" s="32"/>
      <c r="F682" s="32"/>
      <c r="G682" s="32">
        <f t="shared" si="200"/>
        <v>5814</v>
      </c>
      <c r="H682" s="12"/>
      <c r="I682" s="12"/>
      <c r="J682" s="12"/>
      <c r="K682" s="12">
        <f t="shared" si="201"/>
        <v>5814</v>
      </c>
      <c r="M682" s="10">
        <v>11</v>
      </c>
      <c r="N682" s="30" t="s">
        <v>75</v>
      </c>
      <c r="O682" s="31">
        <f t="shared" si="207"/>
        <v>8499</v>
      </c>
      <c r="P682" s="32">
        <f>650*6+9.5*6</f>
        <v>3957</v>
      </c>
      <c r="Q682" s="32"/>
      <c r="R682" s="32"/>
      <c r="S682" s="32">
        <f t="shared" si="202"/>
        <v>3957</v>
      </c>
      <c r="T682" s="12"/>
      <c r="U682" s="12"/>
      <c r="V682" s="12"/>
      <c r="W682" s="12">
        <f t="shared" si="203"/>
        <v>3957</v>
      </c>
      <c r="Y682" s="10">
        <v>11</v>
      </c>
      <c r="Z682" s="30"/>
      <c r="AA682" s="31"/>
      <c r="AB682" s="32"/>
      <c r="AC682" s="32"/>
      <c r="AD682" s="32"/>
      <c r="AE682" s="32">
        <f t="shared" si="204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31">
        <f t="shared" si="206"/>
        <v>8445</v>
      </c>
      <c r="D683" s="32">
        <f>2600</f>
        <v>2600</v>
      </c>
      <c r="E683" s="32"/>
      <c r="F683" s="32"/>
      <c r="G683" s="32">
        <f t="shared" si="200"/>
        <v>2600</v>
      </c>
      <c r="H683" s="12"/>
      <c r="I683" s="12"/>
      <c r="J683" s="10"/>
      <c r="K683" s="12">
        <f t="shared" si="201"/>
        <v>2600</v>
      </c>
      <c r="M683" s="10">
        <v>12</v>
      </c>
      <c r="N683" s="30" t="s">
        <v>75</v>
      </c>
      <c r="O683" s="31">
        <f t="shared" si="207"/>
        <v>8500</v>
      </c>
      <c r="P683" s="32">
        <f>650*6+622+66.5</f>
        <v>4588.5</v>
      </c>
      <c r="Q683" s="32"/>
      <c r="R683" s="32"/>
      <c r="S683" s="32">
        <f t="shared" si="202"/>
        <v>4588.5</v>
      </c>
      <c r="T683" s="12"/>
      <c r="U683" s="12"/>
      <c r="V683" s="12"/>
      <c r="W683" s="12">
        <f t="shared" si="203"/>
        <v>4588.5</v>
      </c>
      <c r="Y683" s="10">
        <v>12</v>
      </c>
      <c r="Z683" s="30"/>
      <c r="AA683" s="31"/>
      <c r="AB683" s="32"/>
      <c r="AC683" s="32"/>
      <c r="AD683" s="32"/>
      <c r="AE683" s="32">
        <f t="shared" si="204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31">
        <f t="shared" si="206"/>
        <v>8446</v>
      </c>
      <c r="D684" s="32">
        <f>19500+3110</f>
        <v>22610</v>
      </c>
      <c r="E684" s="32"/>
      <c r="F684" s="32"/>
      <c r="G684" s="32">
        <f t="shared" si="200"/>
        <v>22610</v>
      </c>
      <c r="H684" s="12"/>
      <c r="I684" s="12"/>
      <c r="J684" s="12"/>
      <c r="K684" s="12">
        <f t="shared" si="201"/>
        <v>22610</v>
      </c>
      <c r="M684" s="10">
        <v>13</v>
      </c>
      <c r="N684" s="30" t="s">
        <v>75</v>
      </c>
      <c r="O684" s="31">
        <v>8551</v>
      </c>
      <c r="P684" s="32">
        <f>4550+66.5</f>
        <v>4616.5</v>
      </c>
      <c r="Q684" s="32"/>
      <c r="R684" s="32"/>
      <c r="S684" s="32">
        <f t="shared" si="202"/>
        <v>4616.5</v>
      </c>
      <c r="T684" s="12"/>
      <c r="U684" s="12">
        <v>10.5</v>
      </c>
      <c r="V684" s="12"/>
      <c r="W684" s="12">
        <f t="shared" si="203"/>
        <v>4627</v>
      </c>
      <c r="Y684" s="10">
        <v>13</v>
      </c>
      <c r="Z684" s="30"/>
      <c r="AA684" s="31"/>
      <c r="AB684" s="32"/>
      <c r="AC684" s="32"/>
      <c r="AD684" s="32"/>
      <c r="AE684" s="32">
        <f t="shared" si="204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31">
        <f t="shared" si="206"/>
        <v>8447</v>
      </c>
      <c r="D685" s="32">
        <f>5200+3732+133+650</f>
        <v>9715</v>
      </c>
      <c r="E685" s="32"/>
      <c r="F685" s="32"/>
      <c r="G685" s="32">
        <f t="shared" si="200"/>
        <v>9715</v>
      </c>
      <c r="H685" s="12"/>
      <c r="I685" s="12">
        <v>63</v>
      </c>
      <c r="J685" s="12"/>
      <c r="K685" s="12">
        <f t="shared" si="201"/>
        <v>9778</v>
      </c>
      <c r="M685" s="10">
        <v>14</v>
      </c>
      <c r="N685" s="30" t="s">
        <v>75</v>
      </c>
      <c r="O685" s="31">
        <f t="shared" si="207"/>
        <v>8552</v>
      </c>
      <c r="P685" s="32">
        <f>650*9+9.5*9</f>
        <v>5935.5</v>
      </c>
      <c r="Q685" s="32"/>
      <c r="R685" s="32"/>
      <c r="S685" s="32">
        <f t="shared" si="202"/>
        <v>5935.5</v>
      </c>
      <c r="T685" s="12"/>
      <c r="U685" s="12"/>
      <c r="V685" s="12"/>
      <c r="W685" s="12">
        <f t="shared" si="203"/>
        <v>5935.5</v>
      </c>
      <c r="Y685" s="10">
        <v>14</v>
      </c>
      <c r="Z685" s="30"/>
      <c r="AA685" s="31"/>
      <c r="AB685" s="32"/>
      <c r="AC685" s="32"/>
      <c r="AD685" s="32"/>
      <c r="AE685" s="32">
        <f t="shared" si="204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31">
        <f t="shared" si="206"/>
        <v>8448</v>
      </c>
      <c r="D686" s="32">
        <f>11050+1866+190</f>
        <v>13106</v>
      </c>
      <c r="E686" s="32"/>
      <c r="F686" s="32"/>
      <c r="G686" s="32">
        <f t="shared" si="200"/>
        <v>13106</v>
      </c>
      <c r="H686" s="12"/>
      <c r="I686" s="12"/>
      <c r="J686" s="12"/>
      <c r="K686" s="12">
        <f t="shared" si="201"/>
        <v>13106</v>
      </c>
      <c r="M686" s="10">
        <v>15</v>
      </c>
      <c r="N686" s="30" t="s">
        <v>75</v>
      </c>
      <c r="O686" s="31">
        <f t="shared" si="207"/>
        <v>8553</v>
      </c>
      <c r="P686" s="32">
        <f>650+9.5</f>
        <v>659.5</v>
      </c>
      <c r="Q686" s="32"/>
      <c r="R686" s="32"/>
      <c r="S686" s="32">
        <f t="shared" si="202"/>
        <v>659.5</v>
      </c>
      <c r="T686" s="12"/>
      <c r="U686" s="12"/>
      <c r="V686" s="12"/>
      <c r="W686" s="12">
        <f t="shared" si="203"/>
        <v>659.5</v>
      </c>
      <c r="Y686" s="10">
        <v>15</v>
      </c>
      <c r="Z686" s="30"/>
      <c r="AA686" s="31"/>
      <c r="AB686" s="32"/>
      <c r="AC686" s="32"/>
      <c r="AD686" s="32"/>
      <c r="AE686" s="32">
        <f t="shared" si="204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31">
        <f t="shared" si="206"/>
        <v>8449</v>
      </c>
      <c r="D687" s="32">
        <f>22750+9330+2616+458</f>
        <v>35154</v>
      </c>
      <c r="E687" s="32"/>
      <c r="F687" s="32"/>
      <c r="G687" s="32">
        <f t="shared" si="200"/>
        <v>35154</v>
      </c>
      <c r="H687" s="12"/>
      <c r="I687" s="12"/>
      <c r="J687" s="12"/>
      <c r="K687" s="12">
        <f t="shared" si="201"/>
        <v>35154</v>
      </c>
      <c r="M687" s="10">
        <v>16</v>
      </c>
      <c r="N687" s="30" t="s">
        <v>75</v>
      </c>
      <c r="O687" s="31">
        <f t="shared" si="207"/>
        <v>8554</v>
      </c>
      <c r="P687" s="32">
        <f>650*10+9.5*10</f>
        <v>6595</v>
      </c>
      <c r="Q687" s="32"/>
      <c r="R687" s="32"/>
      <c r="S687" s="32">
        <f t="shared" si="202"/>
        <v>6595</v>
      </c>
      <c r="T687" s="12"/>
      <c r="U687" s="12">
        <v>31.5</v>
      </c>
      <c r="V687" s="12"/>
      <c r="W687" s="12">
        <f t="shared" si="203"/>
        <v>6626.5</v>
      </c>
      <c r="Y687" s="10">
        <v>16</v>
      </c>
      <c r="Z687" s="30"/>
      <c r="AA687" s="31"/>
      <c r="AB687" s="32"/>
      <c r="AC687" s="32"/>
      <c r="AD687" s="32"/>
      <c r="AE687" s="32">
        <f t="shared" si="204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 t="s">
        <v>75</v>
      </c>
      <c r="C688" s="31">
        <f t="shared" si="206"/>
        <v>8450</v>
      </c>
      <c r="D688" s="32">
        <f>1950+28.5</f>
        <v>1978.5</v>
      </c>
      <c r="E688" s="32"/>
      <c r="F688" s="32"/>
      <c r="G688" s="32">
        <f t="shared" si="200"/>
        <v>1978.5</v>
      </c>
      <c r="H688" s="12"/>
      <c r="I688" s="12"/>
      <c r="J688" s="12"/>
      <c r="K688" s="12">
        <f t="shared" si="201"/>
        <v>1978.5</v>
      </c>
      <c r="M688" s="10">
        <v>17</v>
      </c>
      <c r="N688" s="30" t="s">
        <v>75</v>
      </c>
      <c r="O688" s="31">
        <f t="shared" si="207"/>
        <v>8555</v>
      </c>
      <c r="P688" s="35">
        <f>650*6+622+9.5*7</f>
        <v>4588.5</v>
      </c>
      <c r="Q688" s="32"/>
      <c r="R688" s="32"/>
      <c r="S688" s="32">
        <f t="shared" si="202"/>
        <v>4588.5</v>
      </c>
      <c r="T688" s="12"/>
      <c r="U688" s="12"/>
      <c r="V688" s="12"/>
      <c r="W688" s="12">
        <f t="shared" si="203"/>
        <v>4588.5</v>
      </c>
      <c r="Y688" s="10">
        <v>17</v>
      </c>
      <c r="Z688" s="30"/>
      <c r="AA688" s="31"/>
      <c r="AB688" s="35"/>
      <c r="AC688" s="32"/>
      <c r="AD688" s="32"/>
      <c r="AE688" s="32">
        <f t="shared" si="204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11" t="s">
        <v>27</v>
      </c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 t="s">
        <v>75</v>
      </c>
      <c r="O689" s="31">
        <f t="shared" si="207"/>
        <v>8556</v>
      </c>
      <c r="P689" s="32">
        <f>650*20+622*15+229</f>
        <v>22559</v>
      </c>
      <c r="Q689" s="32"/>
      <c r="R689" s="32"/>
      <c r="S689" s="32">
        <f t="shared" si="202"/>
        <v>22559</v>
      </c>
      <c r="T689" s="12"/>
      <c r="U689" s="12">
        <v>36</v>
      </c>
      <c r="V689" s="12"/>
      <c r="W689" s="12">
        <f t="shared" si="203"/>
        <v>22595</v>
      </c>
      <c r="Y689" s="10">
        <v>18</v>
      </c>
      <c r="Z689" s="30"/>
      <c r="AA689" s="31"/>
      <c r="AB689" s="32"/>
      <c r="AC689" s="32"/>
      <c r="AD689" s="32"/>
      <c r="AE689" s="32">
        <f t="shared" si="204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 t="s">
        <v>75</v>
      </c>
      <c r="O690" s="31">
        <f t="shared" si="207"/>
        <v>8557</v>
      </c>
      <c r="P690" s="32">
        <f>650+9.5</f>
        <v>659.5</v>
      </c>
      <c r="Q690" s="32"/>
      <c r="R690" s="32"/>
      <c r="S690" s="32">
        <f t="shared" si="202"/>
        <v>659.5</v>
      </c>
      <c r="T690" s="12"/>
      <c r="U690" s="12"/>
      <c r="V690" s="12">
        <v>-444</v>
      </c>
      <c r="W690" s="12">
        <f t="shared" si="203"/>
        <v>215.5</v>
      </c>
      <c r="Y690" s="10">
        <v>19</v>
      </c>
      <c r="Z690" s="30"/>
      <c r="AA690" s="31"/>
      <c r="AB690" s="32"/>
      <c r="AC690" s="32"/>
      <c r="AD690" s="32"/>
      <c r="AE690" s="32">
        <f t="shared" si="204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11" t="s">
        <v>27</v>
      </c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04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31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B692" s="46"/>
      <c r="AC692" s="31"/>
      <c r="AD692" s="31"/>
      <c r="AE692" s="32">
        <f t="shared" si="204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4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Q694" s="31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04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4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4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3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4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31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4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4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7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4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7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4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7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4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57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4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7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4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7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209">SUM(AB705:AC705)</f>
        <v>0</v>
      </c>
      <c r="AF705" s="10"/>
      <c r="AG705" s="10"/>
      <c r="AH705" s="10"/>
      <c r="AI705" s="12">
        <f t="shared" ref="AI705:AI713" si="210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7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1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7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1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1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1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1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1">SUM(D712:E712)</f>
        <v>0</v>
      </c>
      <c r="H712" s="10"/>
      <c r="I712" s="10"/>
      <c r="J712" s="10"/>
      <c r="K712" s="12">
        <f t="shared" ref="K712" si="212">SUM(G712:J712)</f>
        <v>0</v>
      </c>
      <c r="M712" s="10"/>
      <c r="N712" s="30"/>
      <c r="O712" s="31"/>
      <c r="P712" s="47"/>
      <c r="Q712" s="31"/>
      <c r="R712" s="31"/>
      <c r="S712" s="32">
        <f t="shared" ref="S712" si="213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4">SUM(AB712:AC712)</f>
        <v>0</v>
      </c>
      <c r="AF712" s="10"/>
      <c r="AG712" s="10"/>
      <c r="AH712" s="10"/>
      <c r="AI712" s="12">
        <f t="shared" si="21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182126</v>
      </c>
      <c r="E715" s="38">
        <f t="shared" ref="E715:F715" si="215">SUM(E672:E712)</f>
        <v>0</v>
      </c>
      <c r="F715" s="38">
        <f t="shared" si="215"/>
        <v>0</v>
      </c>
      <c r="G715" s="38">
        <f>SUM(G672:G714)</f>
        <v>182126</v>
      </c>
      <c r="H715" s="4"/>
      <c r="I715" s="39">
        <f>SUM(I672:I714)</f>
        <v>1209</v>
      </c>
      <c r="J715" s="39">
        <f>SUM(J672:J714)</f>
        <v>0</v>
      </c>
      <c r="K715" s="40">
        <f>SUM(K672:K714)</f>
        <v>183335</v>
      </c>
      <c r="N715" s="57"/>
      <c r="O715" s="57"/>
      <c r="P715" s="38">
        <f>SUM(P672:P714)</f>
        <v>241233.5</v>
      </c>
      <c r="Q715" s="38">
        <f>SUM(Q672:Q696)</f>
        <v>-1296</v>
      </c>
      <c r="R715" s="38">
        <f>SUM(R672:R696)</f>
        <v>0</v>
      </c>
      <c r="S715" s="38">
        <f>SUM(S672:S714)</f>
        <v>239937.5</v>
      </c>
      <c r="T715" s="4"/>
      <c r="U715" s="41">
        <f>SUM(U672:U714)</f>
        <v>496.5</v>
      </c>
      <c r="V715" s="41">
        <f>SUM(V672:V696)</f>
        <v>-444</v>
      </c>
      <c r="W715" s="42">
        <f>SUM(W672:W714)</f>
        <v>239990</v>
      </c>
      <c r="Z715" s="57"/>
      <c r="AA715" s="57"/>
      <c r="AB715" s="38">
        <f>SUM(AB672:AB714)</f>
        <v>339343</v>
      </c>
      <c r="AC715" s="38">
        <f>SUM(AC672:AC696)</f>
        <v>0</v>
      </c>
      <c r="AD715" s="38">
        <f>SUM(AD672:AD696)</f>
        <v>0</v>
      </c>
      <c r="AE715" s="38">
        <f>SUM(AE672:AE714)</f>
        <v>339343</v>
      </c>
      <c r="AF715" s="4"/>
      <c r="AG715" s="41">
        <f>SUM(AG672:AG714)</f>
        <v>45888</v>
      </c>
      <c r="AH715" s="41">
        <f>SUM(AH672:AH696)</f>
        <v>-71757</v>
      </c>
      <c r="AI715" s="42">
        <f>SUM(AI672:AI714)</f>
        <v>313474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54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6" t="s">
        <v>17</v>
      </c>
      <c r="E725" s="126"/>
      <c r="F725" s="105"/>
      <c r="G725" s="27"/>
      <c r="I725" s="122" t="s">
        <v>18</v>
      </c>
      <c r="J725" s="123"/>
      <c r="K725" s="124" t="s">
        <v>19</v>
      </c>
      <c r="N725" s="25"/>
      <c r="O725" s="26"/>
      <c r="P725" s="126" t="s">
        <v>17</v>
      </c>
      <c r="Q725" s="126"/>
      <c r="R725" s="105"/>
      <c r="S725" s="27"/>
      <c r="U725" s="122" t="s">
        <v>18</v>
      </c>
      <c r="V725" s="123"/>
      <c r="W725" s="124" t="s">
        <v>19</v>
      </c>
      <c r="Z725" s="25"/>
      <c r="AA725" s="26"/>
      <c r="AB725" s="126" t="s">
        <v>17</v>
      </c>
      <c r="AC725" s="126"/>
      <c r="AD725" s="105"/>
      <c r="AE725" s="27"/>
      <c r="AG725" s="122" t="s">
        <v>18</v>
      </c>
      <c r="AH725" s="123"/>
      <c r="AI725" s="124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8" t="s">
        <v>22</v>
      </c>
      <c r="E726" s="77" t="s">
        <v>23</v>
      </c>
      <c r="F726" s="79" t="s">
        <v>32</v>
      </c>
      <c r="G726" s="79" t="s">
        <v>24</v>
      </c>
      <c r="I726" s="29" t="s">
        <v>25</v>
      </c>
      <c r="J726" s="29" t="s">
        <v>26</v>
      </c>
      <c r="K726" s="125"/>
      <c r="N726" s="28" t="s">
        <v>20</v>
      </c>
      <c r="O726" s="28" t="s">
        <v>21</v>
      </c>
      <c r="P726" s="78" t="s">
        <v>22</v>
      </c>
      <c r="Q726" s="79" t="s">
        <v>23</v>
      </c>
      <c r="R726" s="79" t="s">
        <v>32</v>
      </c>
      <c r="S726" s="79" t="s">
        <v>24</v>
      </c>
      <c r="U726" s="29" t="s">
        <v>25</v>
      </c>
      <c r="V726" s="29" t="s">
        <v>26</v>
      </c>
      <c r="W726" s="125"/>
      <c r="Z726" s="28" t="s">
        <v>20</v>
      </c>
      <c r="AA726" s="28" t="s">
        <v>21</v>
      </c>
      <c r="AB726" s="78" t="s">
        <v>22</v>
      </c>
      <c r="AC726" s="79" t="s">
        <v>23</v>
      </c>
      <c r="AD726" s="79" t="s">
        <v>32</v>
      </c>
      <c r="AE726" s="79" t="s">
        <v>24</v>
      </c>
      <c r="AG726" s="29" t="s">
        <v>25</v>
      </c>
      <c r="AH726" s="29" t="s">
        <v>26</v>
      </c>
      <c r="AI726" s="125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7">
        <v>8601</v>
      </c>
      <c r="D727" s="32">
        <f>8450+1244</f>
        <v>9694</v>
      </c>
      <c r="E727" s="32"/>
      <c r="F727" s="32"/>
      <c r="G727" s="32">
        <f t="shared" ref="G727:G760" si="216">SUM(D727:E727)</f>
        <v>9694</v>
      </c>
      <c r="H727" s="12"/>
      <c r="I727" s="12"/>
      <c r="J727" s="12"/>
      <c r="K727" s="12">
        <f t="shared" ref="K727:K760" si="217">SUM(G727:J727)</f>
        <v>9694</v>
      </c>
      <c r="M727" s="10">
        <v>1</v>
      </c>
      <c r="N727" s="30" t="s">
        <v>78</v>
      </c>
      <c r="O727" s="31">
        <v>8558</v>
      </c>
      <c r="P727" s="32">
        <f>650*2+670+19</f>
        <v>1989</v>
      </c>
      <c r="Q727" s="32"/>
      <c r="R727" s="32"/>
      <c r="S727" s="32">
        <f>SUM(P727:Q727)</f>
        <v>1989</v>
      </c>
      <c r="T727" s="12"/>
      <c r="U727" s="12"/>
      <c r="V727" s="12"/>
      <c r="W727" s="12">
        <f>SUM(S727:V727)</f>
        <v>1989</v>
      </c>
      <c r="Y727" s="10">
        <v>1</v>
      </c>
      <c r="Z727" s="30" t="s">
        <v>78</v>
      </c>
      <c r="AA727" s="31">
        <v>8502</v>
      </c>
      <c r="AB727" s="32">
        <f>650*65+670*3+622*10+229*2</f>
        <v>50938</v>
      </c>
      <c r="AC727" s="32">
        <f>-78*6</f>
        <v>-468</v>
      </c>
      <c r="AD727" s="32"/>
      <c r="AE727" s="32">
        <f>SUM(AB727:AC727)</f>
        <v>50470</v>
      </c>
      <c r="AF727" s="12"/>
      <c r="AG727" s="12"/>
      <c r="AH727" s="12"/>
      <c r="AI727" s="12">
        <f>SUM(AE727:AH727)</f>
        <v>50470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31">
        <f>C727+1</f>
        <v>8602</v>
      </c>
      <c r="D728" s="32">
        <f>3250+622</f>
        <v>3872</v>
      </c>
      <c r="E728" s="32"/>
      <c r="F728" s="32"/>
      <c r="G728" s="32">
        <f t="shared" si="216"/>
        <v>3872</v>
      </c>
      <c r="H728" s="12"/>
      <c r="I728" s="12"/>
      <c r="J728" s="12"/>
      <c r="K728" s="12">
        <f t="shared" si="217"/>
        <v>3872</v>
      </c>
      <c r="M728" s="10">
        <v>2</v>
      </c>
      <c r="N728" s="30" t="s">
        <v>78</v>
      </c>
      <c r="O728" s="31">
        <f>O727+1</f>
        <v>8559</v>
      </c>
      <c r="P728" s="32">
        <f>650+670+622+9.5*2</f>
        <v>1961</v>
      </c>
      <c r="Q728" s="32"/>
      <c r="R728" s="32"/>
      <c r="S728" s="32">
        <f t="shared" ref="S728:S765" si="218">SUM(P728:Q728)</f>
        <v>1961</v>
      </c>
      <c r="T728" s="12"/>
      <c r="U728" s="12"/>
      <c r="V728" s="12"/>
      <c r="W728" s="12">
        <f t="shared" ref="W728:W768" si="219">SUM(S728:V728)</f>
        <v>1961</v>
      </c>
      <c r="Y728" s="10">
        <v>2</v>
      </c>
      <c r="Z728" s="30" t="s">
        <v>78</v>
      </c>
      <c r="AA728" s="31">
        <f>AA727+1</f>
        <v>8503</v>
      </c>
      <c r="AB728" s="32">
        <f>650*108+229*4</f>
        <v>71116</v>
      </c>
      <c r="AC728" s="32">
        <f>-108*6</f>
        <v>-648</v>
      </c>
      <c r="AD728" s="32"/>
      <c r="AE728" s="32">
        <f t="shared" ref="AE728:AE759" si="220">SUM(AB728:AC728)</f>
        <v>70468</v>
      </c>
      <c r="AF728" s="12"/>
      <c r="AG728" s="12"/>
      <c r="AH728" s="12">
        <f>-120*10+-453*111+-84*14</f>
        <v>-52659</v>
      </c>
      <c r="AI728" s="12">
        <f t="shared" ref="AI728:AI768" si="221">SUM(AE728:AH728)</f>
        <v>17809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31">
        <f t="shared" ref="C729:C748" si="222">C728+1</f>
        <v>8603</v>
      </c>
      <c r="D729" s="33">
        <f>10400+1340+912</f>
        <v>12652</v>
      </c>
      <c r="E729" s="33"/>
      <c r="F729" s="33"/>
      <c r="G729" s="33">
        <f t="shared" si="216"/>
        <v>12652</v>
      </c>
      <c r="H729" s="34"/>
      <c r="I729" s="34"/>
      <c r="J729" s="34"/>
      <c r="K729" s="34">
        <f t="shared" si="217"/>
        <v>12652</v>
      </c>
      <c r="M729" s="10">
        <v>3</v>
      </c>
      <c r="N729" s="30" t="s">
        <v>78</v>
      </c>
      <c r="O729" s="31">
        <f t="shared" ref="O729:O738" si="223">O728+1</f>
        <v>8560</v>
      </c>
      <c r="P729" s="32">
        <f>650*70+622*20+229*2</f>
        <v>58398</v>
      </c>
      <c r="Q729" s="32"/>
      <c r="R729" s="32"/>
      <c r="S729" s="32">
        <f t="shared" si="218"/>
        <v>58398</v>
      </c>
      <c r="T729" s="12"/>
      <c r="U729" s="12"/>
      <c r="V729" s="12"/>
      <c r="W729" s="12">
        <f t="shared" si="219"/>
        <v>58398</v>
      </c>
      <c r="Y729" s="10">
        <v>3</v>
      </c>
      <c r="Z729" s="30" t="s">
        <v>78</v>
      </c>
      <c r="AA729" s="31">
        <f t="shared" ref="AA729:AA731" si="224">AA728+1</f>
        <v>8504</v>
      </c>
      <c r="AB729" s="33">
        <f>650*4+622</f>
        <v>3222</v>
      </c>
      <c r="AC729" s="33"/>
      <c r="AD729" s="32"/>
      <c r="AE729" s="32">
        <f t="shared" si="220"/>
        <v>3222</v>
      </c>
      <c r="AF729" s="12"/>
      <c r="AG729" s="12"/>
      <c r="AH729" s="12"/>
      <c r="AI729" s="12">
        <f t="shared" si="221"/>
        <v>3222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31">
        <f t="shared" si="222"/>
        <v>8604</v>
      </c>
      <c r="D730" s="32">
        <f>7800+1340+1866+142.5</f>
        <v>11148.5</v>
      </c>
      <c r="E730" s="32"/>
      <c r="F730" s="32"/>
      <c r="G730" s="32">
        <f t="shared" si="216"/>
        <v>11148.5</v>
      </c>
      <c r="H730" s="12"/>
      <c r="I730" s="12"/>
      <c r="J730" s="12"/>
      <c r="K730" s="12">
        <f t="shared" si="217"/>
        <v>11148.5</v>
      </c>
      <c r="M730" s="10">
        <v>4</v>
      </c>
      <c r="N730" s="30" t="s">
        <v>78</v>
      </c>
      <c r="O730" s="31">
        <f t="shared" si="223"/>
        <v>8561</v>
      </c>
      <c r="P730" s="32">
        <f>458</f>
        <v>458</v>
      </c>
      <c r="Q730" s="32"/>
      <c r="R730" s="32"/>
      <c r="S730" s="32">
        <f t="shared" si="218"/>
        <v>458</v>
      </c>
      <c r="T730" s="12"/>
      <c r="U730" s="12"/>
      <c r="V730" s="12"/>
      <c r="W730" s="12">
        <f t="shared" si="219"/>
        <v>458</v>
      </c>
      <c r="Y730" s="10">
        <v>4</v>
      </c>
      <c r="Z730" s="30" t="s">
        <v>78</v>
      </c>
      <c r="AA730" s="31">
        <f t="shared" si="224"/>
        <v>8505</v>
      </c>
      <c r="AB730" s="32">
        <f>650*48+622*17+872+229*2</f>
        <v>43104</v>
      </c>
      <c r="AC730" s="32"/>
      <c r="AD730" s="32"/>
      <c r="AE730" s="32">
        <f t="shared" si="220"/>
        <v>43104</v>
      </c>
      <c r="AF730" s="12"/>
      <c r="AH730" s="12"/>
      <c r="AI730" s="12">
        <f t="shared" si="221"/>
        <v>43104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31">
        <f t="shared" si="222"/>
        <v>8605</v>
      </c>
      <c r="D731" s="32">
        <f>1300+622+28.5</f>
        <v>1950.5</v>
      </c>
      <c r="E731" s="32"/>
      <c r="F731" s="32"/>
      <c r="G731" s="32">
        <f t="shared" si="216"/>
        <v>1950.5</v>
      </c>
      <c r="H731" s="12"/>
      <c r="I731" s="12"/>
      <c r="J731" s="12"/>
      <c r="K731" s="12">
        <f t="shared" si="217"/>
        <v>1950.5</v>
      </c>
      <c r="M731" s="10">
        <v>5</v>
      </c>
      <c r="N731" s="30" t="s">
        <v>78</v>
      </c>
      <c r="O731" s="31">
        <f t="shared" si="223"/>
        <v>8562</v>
      </c>
      <c r="P731" s="32">
        <f>16250+229</f>
        <v>16479</v>
      </c>
      <c r="Q731" s="32"/>
      <c r="R731" s="32"/>
      <c r="S731" s="32">
        <f t="shared" si="218"/>
        <v>16479</v>
      </c>
      <c r="T731" s="12"/>
      <c r="U731" s="12">
        <v>18</v>
      </c>
      <c r="V731" s="12"/>
      <c r="W731" s="12">
        <f t="shared" si="219"/>
        <v>16497</v>
      </c>
      <c r="Y731" s="10">
        <v>5</v>
      </c>
      <c r="Z731" s="30" t="s">
        <v>78</v>
      </c>
      <c r="AA731" s="31">
        <f t="shared" si="224"/>
        <v>8506</v>
      </c>
      <c r="AB731" s="32">
        <f>650*5+622*5</f>
        <v>6360</v>
      </c>
      <c r="AC731" s="32"/>
      <c r="AD731" s="32"/>
      <c r="AE731" s="32">
        <f t="shared" si="220"/>
        <v>6360</v>
      </c>
      <c r="AF731" s="12"/>
      <c r="AG731" s="12"/>
      <c r="AH731" s="12"/>
      <c r="AI731" s="12">
        <f t="shared" si="221"/>
        <v>6360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31">
        <f t="shared" si="222"/>
        <v>8606</v>
      </c>
      <c r="D732" s="32">
        <f>7800+4354+9.5*19</f>
        <v>12334.5</v>
      </c>
      <c r="E732" s="32"/>
      <c r="F732" s="32"/>
      <c r="G732" s="32">
        <f t="shared" si="216"/>
        <v>12334.5</v>
      </c>
      <c r="H732" s="12"/>
      <c r="I732" s="12">
        <v>888</v>
      </c>
      <c r="J732" s="12"/>
      <c r="K732" s="12">
        <f t="shared" si="217"/>
        <v>13222.5</v>
      </c>
      <c r="M732" s="10">
        <v>6</v>
      </c>
      <c r="N732" s="30" t="s">
        <v>78</v>
      </c>
      <c r="O732" s="31">
        <f t="shared" si="223"/>
        <v>8563</v>
      </c>
      <c r="P732" s="32">
        <f>650*8+76</f>
        <v>5276</v>
      </c>
      <c r="Q732" s="32"/>
      <c r="R732" s="32"/>
      <c r="S732" s="32">
        <f t="shared" si="218"/>
        <v>5276</v>
      </c>
      <c r="T732" s="12"/>
      <c r="U732" s="12"/>
      <c r="V732" s="10"/>
      <c r="W732" s="12">
        <f t="shared" si="219"/>
        <v>5276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0"/>
        <v>0</v>
      </c>
      <c r="AF732" s="12"/>
      <c r="AG732" s="12"/>
      <c r="AH732" s="10"/>
      <c r="AI732" s="12">
        <f t="shared" si="221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31">
        <f t="shared" si="222"/>
        <v>8607</v>
      </c>
      <c r="D733" s="32">
        <f>5200+1340+76+500</f>
        <v>7116</v>
      </c>
      <c r="E733" s="32"/>
      <c r="F733" s="32"/>
      <c r="G733" s="32">
        <f t="shared" si="216"/>
        <v>7116</v>
      </c>
      <c r="H733" s="12"/>
      <c r="I733" s="12"/>
      <c r="J733" s="12"/>
      <c r="K733" s="12">
        <f t="shared" si="217"/>
        <v>7116</v>
      </c>
      <c r="M733" s="10">
        <v>7</v>
      </c>
      <c r="N733" s="30" t="s">
        <v>78</v>
      </c>
      <c r="O733" s="31">
        <f t="shared" si="223"/>
        <v>8564</v>
      </c>
      <c r="P733" s="32">
        <f>1950+28.5</f>
        <v>1978.5</v>
      </c>
      <c r="Q733" s="32"/>
      <c r="R733" s="32"/>
      <c r="S733" s="32">
        <f t="shared" si="218"/>
        <v>1978.5</v>
      </c>
      <c r="T733" s="12"/>
      <c r="U733" s="12"/>
      <c r="V733" s="12"/>
      <c r="W733" s="12">
        <f t="shared" si="219"/>
        <v>1978.5</v>
      </c>
      <c r="Y733" s="10">
        <v>7</v>
      </c>
      <c r="Z733" s="30"/>
      <c r="AA733" s="31"/>
      <c r="AB733" s="32"/>
      <c r="AC733" s="32"/>
      <c r="AD733" s="32"/>
      <c r="AE733" s="32">
        <f t="shared" si="220"/>
        <v>0</v>
      </c>
      <c r="AF733" s="12"/>
      <c r="AG733" s="58"/>
      <c r="AH733" s="12"/>
      <c r="AI733" s="12">
        <f t="shared" si="221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31">
        <f t="shared" si="222"/>
        <v>8608</v>
      </c>
      <c r="D734" s="32">
        <f>650*32+622*5+229</f>
        <v>24139</v>
      </c>
      <c r="E734" s="32"/>
      <c r="F734" s="32"/>
      <c r="G734" s="32">
        <f t="shared" si="216"/>
        <v>24139</v>
      </c>
      <c r="H734" s="12"/>
      <c r="I734" s="12"/>
      <c r="J734" s="12"/>
      <c r="K734" s="12">
        <f t="shared" si="217"/>
        <v>24139</v>
      </c>
      <c r="M734" s="10">
        <v>8</v>
      </c>
      <c r="N734" s="30" t="s">
        <v>78</v>
      </c>
      <c r="O734" s="31">
        <f t="shared" si="223"/>
        <v>8565</v>
      </c>
      <c r="P734" s="32">
        <f>650*13+9.5*5</f>
        <v>8497.5</v>
      </c>
      <c r="Q734" s="32"/>
      <c r="R734" s="32"/>
      <c r="S734" s="32">
        <f t="shared" si="218"/>
        <v>8497.5</v>
      </c>
      <c r="T734" s="12"/>
      <c r="U734" s="12"/>
      <c r="V734" s="12"/>
      <c r="W734" s="12">
        <f t="shared" si="219"/>
        <v>8497.5</v>
      </c>
      <c r="Y734" s="10">
        <v>8</v>
      </c>
      <c r="Z734" s="30"/>
      <c r="AA734" s="31"/>
      <c r="AB734" s="32"/>
      <c r="AC734" s="32"/>
      <c r="AE734" s="32">
        <f t="shared" si="220"/>
        <v>0</v>
      </c>
      <c r="AF734" s="12"/>
      <c r="AG734" s="12"/>
      <c r="AH734" s="12"/>
      <c r="AI734" s="12">
        <f t="shared" si="221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31">
        <f t="shared" si="222"/>
        <v>8609</v>
      </c>
      <c r="D735" s="32">
        <f>10400+622</f>
        <v>11022</v>
      </c>
      <c r="E735" s="32"/>
      <c r="F735" s="32"/>
      <c r="G735" s="32">
        <f t="shared" si="216"/>
        <v>11022</v>
      </c>
      <c r="H735" s="12"/>
      <c r="I735" s="12"/>
      <c r="J735" s="12"/>
      <c r="K735" s="12">
        <f t="shared" si="217"/>
        <v>11022</v>
      </c>
      <c r="M735" s="10">
        <v>9</v>
      </c>
      <c r="N735" s="30" t="s">
        <v>78</v>
      </c>
      <c r="O735" s="31">
        <f t="shared" si="223"/>
        <v>8566</v>
      </c>
      <c r="P735" s="32">
        <f>650*21+622*15+9.5*12</f>
        <v>23094</v>
      </c>
      <c r="Q735" s="32"/>
      <c r="R735" s="32"/>
      <c r="S735" s="32">
        <f t="shared" si="218"/>
        <v>23094</v>
      </c>
      <c r="T735" s="12"/>
      <c r="U735" s="12">
        <v>184.5</v>
      </c>
      <c r="V735" s="12"/>
      <c r="W735" s="12">
        <f t="shared" si="219"/>
        <v>23278.5</v>
      </c>
      <c r="Y735" s="10">
        <v>9</v>
      </c>
      <c r="Z735" s="30"/>
      <c r="AA735" s="31"/>
      <c r="AB735" s="32"/>
      <c r="AC735" s="32"/>
      <c r="AD735" s="32"/>
      <c r="AE735" s="32">
        <f t="shared" si="220"/>
        <v>0</v>
      </c>
      <c r="AF735" s="12"/>
      <c r="AH735" s="12"/>
      <c r="AI735" s="12">
        <f t="shared" si="221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31">
        <f t="shared" si="222"/>
        <v>8610</v>
      </c>
      <c r="D736" s="32">
        <f>11050+229</f>
        <v>11279</v>
      </c>
      <c r="E736" s="32"/>
      <c r="F736" s="32"/>
      <c r="G736" s="32">
        <f t="shared" si="216"/>
        <v>11279</v>
      </c>
      <c r="H736" s="12"/>
      <c r="I736" s="12"/>
      <c r="J736" s="12"/>
      <c r="K736" s="12">
        <f t="shared" si="217"/>
        <v>11279</v>
      </c>
      <c r="M736" s="10">
        <v>10</v>
      </c>
      <c r="N736" s="30" t="s">
        <v>78</v>
      </c>
      <c r="O736" s="31">
        <f t="shared" si="223"/>
        <v>8567</v>
      </c>
      <c r="P736" s="32">
        <f>650*8+622+9.5*12</f>
        <v>5936</v>
      </c>
      <c r="Q736" s="32"/>
      <c r="R736" s="32"/>
      <c r="S736" s="32">
        <f t="shared" si="218"/>
        <v>5936</v>
      </c>
      <c r="T736" s="12"/>
      <c r="U736" s="12"/>
      <c r="V736" s="12">
        <v>-999</v>
      </c>
      <c r="W736" s="12">
        <f t="shared" si="219"/>
        <v>4937</v>
      </c>
      <c r="Y736" s="10">
        <v>10</v>
      </c>
      <c r="Z736" s="30"/>
      <c r="AA736" s="31"/>
      <c r="AB736" s="32"/>
      <c r="AC736" s="32"/>
      <c r="AD736" s="32"/>
      <c r="AE736" s="32">
        <f t="shared" si="220"/>
        <v>0</v>
      </c>
      <c r="AF736" s="12"/>
      <c r="AG736" s="12"/>
      <c r="AH736" s="12"/>
      <c r="AI736" s="12">
        <f t="shared" si="221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31">
        <f t="shared" si="222"/>
        <v>8611</v>
      </c>
      <c r="D737" s="32">
        <f>26000+229</f>
        <v>26229</v>
      </c>
      <c r="E737" s="32"/>
      <c r="F737" s="32"/>
      <c r="G737" s="32">
        <f t="shared" si="216"/>
        <v>26229</v>
      </c>
      <c r="H737" s="12"/>
      <c r="I737" s="12"/>
      <c r="J737" s="12"/>
      <c r="K737" s="12">
        <f t="shared" si="217"/>
        <v>26229</v>
      </c>
      <c r="M737" s="10">
        <v>11</v>
      </c>
      <c r="N737" s="30" t="s">
        <v>78</v>
      </c>
      <c r="O737" s="31">
        <f t="shared" si="223"/>
        <v>8568</v>
      </c>
      <c r="P737" s="32">
        <f>650+9.5</f>
        <v>659.5</v>
      </c>
      <c r="Q737" s="32"/>
      <c r="R737" s="32"/>
      <c r="S737" s="32">
        <f t="shared" si="218"/>
        <v>659.5</v>
      </c>
      <c r="T737" s="12"/>
      <c r="U737" s="12"/>
      <c r="V737" s="12"/>
      <c r="W737" s="12">
        <f t="shared" si="219"/>
        <v>659.5</v>
      </c>
      <c r="Y737" s="10">
        <v>11</v>
      </c>
      <c r="Z737" s="30"/>
      <c r="AA737" s="31"/>
      <c r="AB737" s="32"/>
      <c r="AC737" s="32"/>
      <c r="AD737" s="32"/>
      <c r="AE737" s="32">
        <f t="shared" si="220"/>
        <v>0</v>
      </c>
      <c r="AF737" s="12"/>
      <c r="AG737" s="12"/>
      <c r="AH737" s="12"/>
      <c r="AI737" s="12">
        <f t="shared" si="221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31">
        <f t="shared" si="222"/>
        <v>8612</v>
      </c>
      <c r="D738" s="32">
        <f>2600+38</f>
        <v>2638</v>
      </c>
      <c r="E738" s="32"/>
      <c r="F738" s="32"/>
      <c r="G738" s="32">
        <f t="shared" si="216"/>
        <v>2638</v>
      </c>
      <c r="H738" s="12"/>
      <c r="I738" s="12"/>
      <c r="J738" s="10"/>
      <c r="K738" s="12">
        <f t="shared" si="217"/>
        <v>2638</v>
      </c>
      <c r="M738" s="10">
        <v>12</v>
      </c>
      <c r="N738" s="30" t="s">
        <v>78</v>
      </c>
      <c r="O738" s="31">
        <f t="shared" si="223"/>
        <v>8569</v>
      </c>
      <c r="P738" s="32">
        <f>650*2+9.5*2</f>
        <v>1319</v>
      </c>
      <c r="Q738" s="32"/>
      <c r="R738" s="32"/>
      <c r="S738" s="32">
        <f t="shared" si="218"/>
        <v>1319</v>
      </c>
      <c r="T738" s="12"/>
      <c r="U738" s="12"/>
      <c r="V738" s="12"/>
      <c r="W738" s="12">
        <f t="shared" si="219"/>
        <v>1319</v>
      </c>
      <c r="Y738" s="10">
        <v>12</v>
      </c>
      <c r="Z738" s="30"/>
      <c r="AA738" s="31"/>
      <c r="AB738" s="32"/>
      <c r="AC738" s="32"/>
      <c r="AD738" s="32"/>
      <c r="AE738" s="32">
        <f t="shared" si="220"/>
        <v>0</v>
      </c>
      <c r="AF738" s="12"/>
      <c r="AG738" s="12"/>
      <c r="AH738" s="12"/>
      <c r="AI738" s="12">
        <f t="shared" si="221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31">
        <f t="shared" si="222"/>
        <v>8613</v>
      </c>
      <c r="D739" s="32">
        <f>10400+152</f>
        <v>10552</v>
      </c>
      <c r="E739" s="32"/>
      <c r="F739" s="32"/>
      <c r="G739" s="32">
        <f t="shared" si="216"/>
        <v>10552</v>
      </c>
      <c r="H739" s="12"/>
      <c r="I739" s="12">
        <v>162</v>
      </c>
      <c r="J739" s="12"/>
      <c r="K739" s="12">
        <f t="shared" si="217"/>
        <v>10714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8"/>
        <v>0</v>
      </c>
      <c r="T739" s="12"/>
      <c r="U739" s="12"/>
      <c r="V739" s="12"/>
      <c r="W739" s="12">
        <f t="shared" si="219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0"/>
        <v>0</v>
      </c>
      <c r="AF739" s="12"/>
      <c r="AG739" s="12"/>
      <c r="AH739" s="12"/>
      <c r="AI739" s="12">
        <f t="shared" si="221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31">
        <f t="shared" si="222"/>
        <v>8614</v>
      </c>
      <c r="D740" s="32">
        <f>9750+9.5*15</f>
        <v>9892.5</v>
      </c>
      <c r="E740" s="32"/>
      <c r="F740" s="32"/>
      <c r="G740" s="32">
        <f t="shared" si="216"/>
        <v>9892.5</v>
      </c>
      <c r="H740" s="12"/>
      <c r="I740" s="12"/>
      <c r="J740" s="12"/>
      <c r="K740" s="12">
        <f t="shared" si="217"/>
        <v>9892.5</v>
      </c>
      <c r="M740" s="10">
        <v>14</v>
      </c>
      <c r="N740" s="30"/>
      <c r="O740" s="31"/>
      <c r="P740" s="32"/>
      <c r="Q740" s="32"/>
      <c r="R740" s="32"/>
      <c r="S740" s="32">
        <f t="shared" si="218"/>
        <v>0</v>
      </c>
      <c r="T740" s="12"/>
      <c r="U740" s="12"/>
      <c r="V740" s="12"/>
      <c r="W740" s="12">
        <f t="shared" si="219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0"/>
        <v>0</v>
      </c>
      <c r="AF740" s="12"/>
      <c r="AG740" s="12"/>
      <c r="AH740" s="12"/>
      <c r="AI740" s="12">
        <f t="shared" si="221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31">
        <f t="shared" si="222"/>
        <v>8615</v>
      </c>
      <c r="D741" s="32">
        <f>650*5+9.5*5</f>
        <v>3297.5</v>
      </c>
      <c r="E741" s="32"/>
      <c r="F741" s="32"/>
      <c r="G741" s="32">
        <f t="shared" si="216"/>
        <v>3297.5</v>
      </c>
      <c r="H741" s="12"/>
      <c r="I741" s="12"/>
      <c r="J741" s="12"/>
      <c r="K741" s="12">
        <f t="shared" si="217"/>
        <v>3297.5</v>
      </c>
      <c r="M741" s="10">
        <v>15</v>
      </c>
      <c r="N741" s="30"/>
      <c r="O741" s="31"/>
      <c r="P741" s="32"/>
      <c r="Q741" s="32"/>
      <c r="R741" s="32"/>
      <c r="S741" s="32">
        <f t="shared" si="218"/>
        <v>0</v>
      </c>
      <c r="T741" s="12"/>
      <c r="U741" s="12"/>
      <c r="V741" s="12"/>
      <c r="W741" s="12">
        <f t="shared" si="219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0"/>
        <v>0</v>
      </c>
      <c r="AF741" s="12"/>
      <c r="AG741" s="12"/>
      <c r="AH741" s="12"/>
      <c r="AI741" s="12">
        <f t="shared" si="221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31">
        <f t="shared" si="222"/>
        <v>8616</v>
      </c>
      <c r="D742" s="32">
        <f>650*5</f>
        <v>3250</v>
      </c>
      <c r="E742" s="32"/>
      <c r="F742" s="32"/>
      <c r="G742" s="32">
        <f t="shared" si="216"/>
        <v>3250</v>
      </c>
      <c r="H742" s="12"/>
      <c r="I742" s="12"/>
      <c r="J742" s="12"/>
      <c r="K742" s="12">
        <f t="shared" si="217"/>
        <v>3250</v>
      </c>
      <c r="M742" s="10">
        <v>16</v>
      </c>
      <c r="N742" s="30"/>
      <c r="O742" s="31"/>
      <c r="P742" s="32"/>
      <c r="Q742" s="32"/>
      <c r="R742" s="32"/>
      <c r="S742" s="32">
        <f t="shared" si="218"/>
        <v>0</v>
      </c>
      <c r="T742" s="12"/>
      <c r="U742" s="12"/>
      <c r="V742" s="12"/>
      <c r="W742" s="12">
        <f t="shared" si="219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0"/>
        <v>0</v>
      </c>
      <c r="AF742" s="12"/>
      <c r="AG742" s="12"/>
      <c r="AH742" s="12"/>
      <c r="AI742" s="12">
        <f t="shared" si="221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31">
        <f t="shared" si="222"/>
        <v>8617</v>
      </c>
      <c r="D743" s="32">
        <f>650*17+9.5*17</f>
        <v>11211.5</v>
      </c>
      <c r="E743" s="32"/>
      <c r="F743" s="32"/>
      <c r="G743" s="32">
        <f t="shared" si="216"/>
        <v>11211.5</v>
      </c>
      <c r="H743" s="12"/>
      <c r="I743" s="12">
        <v>58.5</v>
      </c>
      <c r="J743" s="12"/>
      <c r="K743" s="12">
        <f t="shared" si="217"/>
        <v>11270</v>
      </c>
      <c r="M743" s="10">
        <v>17</v>
      </c>
      <c r="N743" s="30"/>
      <c r="O743" s="31"/>
      <c r="P743" s="35"/>
      <c r="Q743" s="32"/>
      <c r="R743" s="32"/>
      <c r="S743" s="32">
        <f t="shared" si="218"/>
        <v>0</v>
      </c>
      <c r="T743" s="12"/>
      <c r="U743" s="12"/>
      <c r="V743" s="12"/>
      <c r="W743" s="12">
        <f t="shared" si="219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0"/>
        <v>0</v>
      </c>
      <c r="AF743" s="12"/>
      <c r="AG743" s="12"/>
      <c r="AH743" s="12"/>
      <c r="AI743" s="12">
        <f t="shared" si="221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31">
        <f t="shared" si="222"/>
        <v>8618</v>
      </c>
      <c r="D744" s="32">
        <f>650*3</f>
        <v>1950</v>
      </c>
      <c r="E744" s="32"/>
      <c r="F744" s="32"/>
      <c r="G744" s="32">
        <f t="shared" si="216"/>
        <v>1950</v>
      </c>
      <c r="H744" s="12"/>
      <c r="I744" s="12">
        <v>333</v>
      </c>
      <c r="J744" s="12"/>
      <c r="K744" s="12">
        <f t="shared" si="217"/>
        <v>2283</v>
      </c>
      <c r="M744" s="10">
        <v>18</v>
      </c>
      <c r="N744" s="30"/>
      <c r="O744" s="31"/>
      <c r="P744" s="32"/>
      <c r="Q744" s="32"/>
      <c r="R744" s="32"/>
      <c r="S744" s="32">
        <f t="shared" si="218"/>
        <v>0</v>
      </c>
      <c r="T744" s="12"/>
      <c r="U744" s="12"/>
      <c r="V744" s="12"/>
      <c r="W744" s="12">
        <f t="shared" si="219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0"/>
        <v>0</v>
      </c>
      <c r="AF744" s="12"/>
      <c r="AG744" s="12"/>
      <c r="AH744" s="12"/>
      <c r="AI744" s="12">
        <f t="shared" si="221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31">
        <f t="shared" si="222"/>
        <v>8619</v>
      </c>
      <c r="D745" s="32">
        <f>650*4</f>
        <v>2600</v>
      </c>
      <c r="E745" s="32"/>
      <c r="F745" s="32"/>
      <c r="G745" s="32">
        <f t="shared" si="216"/>
        <v>2600</v>
      </c>
      <c r="H745" s="12"/>
      <c r="I745" s="12"/>
      <c r="J745" s="12"/>
      <c r="K745" s="12">
        <f t="shared" si="217"/>
        <v>2600</v>
      </c>
      <c r="M745" s="10">
        <v>19</v>
      </c>
      <c r="N745" s="30"/>
      <c r="O745" s="31"/>
      <c r="P745" s="32"/>
      <c r="Q745" s="32"/>
      <c r="R745" s="32"/>
      <c r="S745" s="32">
        <f t="shared" si="218"/>
        <v>0</v>
      </c>
      <c r="T745" s="12"/>
      <c r="U745" s="12"/>
      <c r="V745" s="12"/>
      <c r="W745" s="12">
        <f t="shared" si="219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0"/>
        <v>0</v>
      </c>
      <c r="AF745" s="12"/>
      <c r="AG745" s="12"/>
      <c r="AH745" s="12"/>
      <c r="AI745" s="12">
        <f t="shared" si="221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31">
        <f t="shared" si="222"/>
        <v>8620</v>
      </c>
      <c r="D746" s="32">
        <f>650*100+700*2</f>
        <v>66400</v>
      </c>
      <c r="E746" s="32"/>
      <c r="F746" s="32"/>
      <c r="G746" s="32">
        <f t="shared" si="216"/>
        <v>66400</v>
      </c>
      <c r="H746" s="12"/>
      <c r="I746" s="12">
        <v>1998</v>
      </c>
      <c r="J746" s="12"/>
      <c r="K746" s="12">
        <f t="shared" si="217"/>
        <v>68398</v>
      </c>
      <c r="M746" s="10">
        <v>20</v>
      </c>
      <c r="N746" s="30"/>
      <c r="O746" s="31"/>
      <c r="P746" s="32"/>
      <c r="Q746" s="32"/>
      <c r="R746" s="32"/>
      <c r="S746" s="32">
        <f t="shared" si="218"/>
        <v>0</v>
      </c>
      <c r="T746" s="12"/>
      <c r="U746" s="12"/>
      <c r="V746" s="12"/>
      <c r="W746" s="12">
        <f t="shared" si="219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20"/>
        <v>0</v>
      </c>
      <c r="AF746" s="12"/>
      <c r="AG746" s="12"/>
      <c r="AH746" s="12"/>
      <c r="AI746" s="12">
        <f t="shared" si="221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31">
        <f t="shared" si="222"/>
        <v>8621</v>
      </c>
      <c r="D747" s="32">
        <f>973*60+912*2+872*3</f>
        <v>62820</v>
      </c>
      <c r="E747" s="32"/>
      <c r="F747" s="32"/>
      <c r="G747" s="32">
        <f t="shared" si="216"/>
        <v>62820</v>
      </c>
      <c r="H747" s="10"/>
      <c r="I747" s="10"/>
      <c r="J747" s="10"/>
      <c r="K747" s="12">
        <f t="shared" si="217"/>
        <v>62820</v>
      </c>
      <c r="M747" s="10">
        <v>21</v>
      </c>
      <c r="N747" s="30"/>
      <c r="O747" s="31"/>
      <c r="P747" s="46"/>
      <c r="Q747" s="31"/>
      <c r="R747" s="31"/>
      <c r="S747" s="32">
        <f t="shared" si="218"/>
        <v>0</v>
      </c>
      <c r="T747" s="10"/>
      <c r="U747" s="10"/>
      <c r="V747" s="10"/>
      <c r="W747" s="12">
        <f t="shared" si="219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20"/>
        <v>0</v>
      </c>
      <c r="AF747" s="10"/>
      <c r="AG747" s="10"/>
      <c r="AH747" s="10"/>
      <c r="AI747" s="12">
        <f t="shared" si="221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31">
        <f t="shared" si="222"/>
        <v>8622</v>
      </c>
      <c r="D748" s="32">
        <f>458</f>
        <v>458</v>
      </c>
      <c r="E748" s="32"/>
      <c r="F748" s="32"/>
      <c r="G748" s="32">
        <f t="shared" si="216"/>
        <v>458</v>
      </c>
      <c r="H748" s="10"/>
      <c r="I748" s="10"/>
      <c r="J748" s="10"/>
      <c r="K748" s="12">
        <f t="shared" si="217"/>
        <v>458</v>
      </c>
      <c r="M748" s="10">
        <v>22</v>
      </c>
      <c r="N748" s="30"/>
      <c r="O748" s="31"/>
      <c r="P748" s="45"/>
      <c r="Q748" s="31"/>
      <c r="R748" s="31"/>
      <c r="S748" s="32">
        <f t="shared" si="218"/>
        <v>0</v>
      </c>
      <c r="T748" s="10"/>
      <c r="U748" s="10"/>
      <c r="V748" s="10"/>
      <c r="W748" s="12">
        <f t="shared" si="219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0"/>
        <v>0</v>
      </c>
      <c r="AF748" s="10"/>
      <c r="AG748" s="10"/>
      <c r="AH748" s="10"/>
      <c r="AI748" s="12">
        <f t="shared" si="221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16"/>
        <v>0</v>
      </c>
      <c r="H749" s="10"/>
      <c r="I749" s="10"/>
      <c r="J749" s="12"/>
      <c r="K749" s="12">
        <f t="shared" si="217"/>
        <v>0</v>
      </c>
      <c r="M749" s="10">
        <v>23</v>
      </c>
      <c r="N749" s="30"/>
      <c r="O749" s="31"/>
      <c r="P749" s="47"/>
      <c r="Q749" s="31"/>
      <c r="S749" s="32">
        <f t="shared" si="218"/>
        <v>0</v>
      </c>
      <c r="T749" s="10"/>
      <c r="U749" s="10"/>
      <c r="V749" s="10"/>
      <c r="W749" s="12">
        <f t="shared" si="219"/>
        <v>0</v>
      </c>
      <c r="Y749" s="10">
        <v>23</v>
      </c>
      <c r="Z749" s="30"/>
      <c r="AA749" s="31"/>
      <c r="AB749" s="47"/>
      <c r="AC749" s="31"/>
      <c r="AE749" s="32">
        <f t="shared" si="220"/>
        <v>0</v>
      </c>
      <c r="AF749" s="10"/>
      <c r="AG749" s="10"/>
      <c r="AH749" s="10"/>
      <c r="AI749" s="12">
        <f t="shared" si="221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216"/>
        <v>0</v>
      </c>
      <c r="H750" s="10"/>
      <c r="I750" s="10"/>
      <c r="J750" s="10"/>
      <c r="K750" s="12">
        <f t="shared" si="217"/>
        <v>0</v>
      </c>
      <c r="M750" s="10">
        <v>24</v>
      </c>
      <c r="N750" s="30"/>
      <c r="O750" s="31"/>
      <c r="P750" s="47"/>
      <c r="Q750" s="31"/>
      <c r="R750" s="31"/>
      <c r="S750" s="32">
        <f t="shared" si="218"/>
        <v>0</v>
      </c>
      <c r="T750" s="10"/>
      <c r="U750" s="10"/>
      <c r="V750" s="10"/>
      <c r="W750" s="12">
        <f t="shared" si="219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0"/>
        <v>0</v>
      </c>
      <c r="AF750" s="10"/>
      <c r="AG750" s="10"/>
      <c r="AH750" s="10"/>
      <c r="AI750" s="12">
        <f t="shared" si="221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6"/>
        <v>0</v>
      </c>
      <c r="H751" s="10"/>
      <c r="I751" s="10"/>
      <c r="J751" s="10"/>
      <c r="K751" s="12">
        <f t="shared" si="217"/>
        <v>0</v>
      </c>
      <c r="M751" s="10">
        <v>25</v>
      </c>
      <c r="N751" s="30"/>
      <c r="O751" s="31"/>
      <c r="P751" s="47"/>
      <c r="Q751" s="31"/>
      <c r="R751" s="31"/>
      <c r="S751" s="32">
        <f t="shared" si="218"/>
        <v>0</v>
      </c>
      <c r="T751" s="10"/>
      <c r="U751" s="10"/>
      <c r="V751" s="10"/>
      <c r="W751" s="12">
        <f t="shared" si="219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0"/>
        <v>0</v>
      </c>
      <c r="AF751" s="10"/>
      <c r="AG751" s="10"/>
      <c r="AH751" s="10"/>
      <c r="AI751" s="12">
        <f t="shared" si="221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216"/>
        <v>0</v>
      </c>
      <c r="H752" s="10"/>
      <c r="I752" s="10"/>
      <c r="J752" s="10"/>
      <c r="K752" s="12">
        <f t="shared" si="217"/>
        <v>0</v>
      </c>
      <c r="M752" s="10">
        <v>26</v>
      </c>
      <c r="N752" s="30"/>
      <c r="O752" s="31"/>
      <c r="P752" s="47"/>
      <c r="Q752" s="31"/>
      <c r="R752" s="31"/>
      <c r="S752" s="32">
        <f t="shared" si="218"/>
        <v>0</v>
      </c>
      <c r="T752" s="10"/>
      <c r="U752" s="10"/>
      <c r="V752" s="10"/>
      <c r="W752" s="12">
        <f t="shared" si="219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0"/>
        <v>0</v>
      </c>
      <c r="AF752" s="10"/>
      <c r="AG752" s="10"/>
      <c r="AH752" s="10"/>
      <c r="AI752" s="12">
        <f t="shared" si="221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216"/>
        <v>0</v>
      </c>
      <c r="H753" s="10"/>
      <c r="I753" s="10"/>
      <c r="J753" s="10"/>
      <c r="K753" s="12">
        <f t="shared" si="217"/>
        <v>0</v>
      </c>
      <c r="M753" s="10">
        <v>27</v>
      </c>
      <c r="N753" s="30"/>
      <c r="O753" s="31"/>
      <c r="P753" s="47"/>
      <c r="Q753" s="31"/>
      <c r="R753" s="31"/>
      <c r="S753" s="32">
        <f t="shared" si="218"/>
        <v>0</v>
      </c>
      <c r="T753" s="10"/>
      <c r="U753" s="10"/>
      <c r="V753" s="10"/>
      <c r="W753" s="12">
        <f t="shared" si="219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0"/>
        <v>0</v>
      </c>
      <c r="AF753" s="10"/>
      <c r="AG753" s="10"/>
      <c r="AH753" s="10"/>
      <c r="AI753" s="12">
        <f t="shared" si="221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6"/>
        <v>0</v>
      </c>
      <c r="H754" s="10"/>
      <c r="I754" s="10"/>
      <c r="J754" s="10"/>
      <c r="K754" s="12">
        <f t="shared" si="217"/>
        <v>0</v>
      </c>
      <c r="M754" s="10">
        <v>28</v>
      </c>
      <c r="N754" s="30"/>
      <c r="O754" s="31"/>
      <c r="P754" s="47"/>
      <c r="Q754" s="31"/>
      <c r="R754" s="31"/>
      <c r="S754" s="32">
        <f t="shared" si="218"/>
        <v>0</v>
      </c>
      <c r="T754" s="10"/>
      <c r="U754" s="10"/>
      <c r="V754" s="10"/>
      <c r="W754" s="12">
        <f t="shared" si="219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0"/>
        <v>0</v>
      </c>
      <c r="AF754" s="10"/>
      <c r="AG754" s="10"/>
      <c r="AH754" s="10"/>
      <c r="AI754" s="12">
        <f t="shared" si="221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6"/>
        <v>0</v>
      </c>
      <c r="H755" s="10"/>
      <c r="I755" s="10"/>
      <c r="J755" s="10"/>
      <c r="K755" s="12">
        <f t="shared" si="217"/>
        <v>0</v>
      </c>
      <c r="M755" s="10">
        <v>29</v>
      </c>
      <c r="N755" s="30"/>
      <c r="P755" s="47"/>
      <c r="Q755" s="31"/>
      <c r="R755" s="31"/>
      <c r="S755" s="32">
        <f t="shared" si="218"/>
        <v>0</v>
      </c>
      <c r="T755" s="10"/>
      <c r="U755" s="10"/>
      <c r="V755" s="10"/>
      <c r="W755" s="12">
        <f t="shared" si="219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0"/>
        <v>0</v>
      </c>
      <c r="AF755" s="10"/>
      <c r="AG755" s="10"/>
      <c r="AH755" s="10"/>
      <c r="AI755" s="12">
        <f t="shared" si="221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16"/>
        <v>0</v>
      </c>
      <c r="H756" s="10"/>
      <c r="I756" s="10"/>
      <c r="J756" s="10"/>
      <c r="K756" s="12">
        <f t="shared" si="217"/>
        <v>0</v>
      </c>
      <c r="M756" s="10">
        <v>30</v>
      </c>
      <c r="N756" s="30"/>
      <c r="O756" s="31"/>
      <c r="P756" s="47"/>
      <c r="Q756" s="31"/>
      <c r="R756" s="31"/>
      <c r="S756" s="32">
        <f t="shared" si="218"/>
        <v>0</v>
      </c>
      <c r="T756" s="10"/>
      <c r="U756" s="10"/>
      <c r="V756" s="10"/>
      <c r="W756" s="12">
        <f t="shared" si="219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0"/>
        <v>0</v>
      </c>
      <c r="AF756" s="10"/>
      <c r="AG756" s="10"/>
      <c r="AH756" s="10"/>
      <c r="AI756" s="12">
        <f t="shared" si="221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7"/>
      <c r="D757" s="32"/>
      <c r="E757" s="32"/>
      <c r="F757" s="32"/>
      <c r="G757" s="32">
        <f t="shared" si="216"/>
        <v>0</v>
      </c>
      <c r="H757" s="10"/>
      <c r="I757" s="10"/>
      <c r="J757" s="10"/>
      <c r="K757" s="12">
        <f t="shared" si="217"/>
        <v>0</v>
      </c>
      <c r="M757" s="10">
        <v>31</v>
      </c>
      <c r="N757" s="30"/>
      <c r="O757" s="31"/>
      <c r="P757" s="47"/>
      <c r="Q757" s="31"/>
      <c r="R757" s="31"/>
      <c r="S757" s="32">
        <f t="shared" si="218"/>
        <v>0</v>
      </c>
      <c r="T757" s="10"/>
      <c r="U757" s="10"/>
      <c r="V757" s="10"/>
      <c r="W757" s="12">
        <f t="shared" si="219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0"/>
        <v>0</v>
      </c>
      <c r="AF757" s="10"/>
      <c r="AG757" s="10"/>
      <c r="AH757" s="10"/>
      <c r="AI757" s="12">
        <f t="shared" si="221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57"/>
      <c r="D758" s="32"/>
      <c r="E758" s="32"/>
      <c r="F758" s="32"/>
      <c r="G758" s="32">
        <f t="shared" si="216"/>
        <v>0</v>
      </c>
      <c r="H758" s="10"/>
      <c r="I758" s="10"/>
      <c r="J758" s="10"/>
      <c r="K758" s="12">
        <f t="shared" si="217"/>
        <v>0</v>
      </c>
      <c r="M758" s="10">
        <v>32</v>
      </c>
      <c r="N758" s="30"/>
      <c r="O758" s="31"/>
      <c r="P758" s="47"/>
      <c r="Q758" s="31"/>
      <c r="R758" s="31"/>
      <c r="S758" s="32">
        <f t="shared" si="218"/>
        <v>0</v>
      </c>
      <c r="T758" s="10"/>
      <c r="U758" s="10"/>
      <c r="V758" s="10"/>
      <c r="W758" s="12">
        <f t="shared" si="219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0"/>
        <v>0</v>
      </c>
      <c r="AF758" s="10"/>
      <c r="AG758" s="10"/>
      <c r="AH758" s="10"/>
      <c r="AI758" s="12">
        <f t="shared" si="221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7"/>
      <c r="D759" s="32"/>
      <c r="E759" s="32"/>
      <c r="F759" s="32"/>
      <c r="G759" s="32">
        <f t="shared" si="216"/>
        <v>0</v>
      </c>
      <c r="H759" s="10"/>
      <c r="I759" s="10"/>
      <c r="J759" s="10"/>
      <c r="K759" s="12">
        <f t="shared" si="217"/>
        <v>0</v>
      </c>
      <c r="M759" s="10">
        <v>33</v>
      </c>
      <c r="N759" s="30"/>
      <c r="O759" s="31"/>
      <c r="P759" s="47"/>
      <c r="Q759" s="31"/>
      <c r="R759" s="31"/>
      <c r="S759" s="32">
        <f t="shared" si="218"/>
        <v>0</v>
      </c>
      <c r="T759" s="10"/>
      <c r="U759" s="10"/>
      <c r="V759" s="10"/>
      <c r="W759" s="12">
        <f t="shared" si="219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0"/>
        <v>0</v>
      </c>
      <c r="AF759" s="10"/>
      <c r="AG759" s="10"/>
      <c r="AH759" s="10"/>
      <c r="AI759" s="12">
        <f t="shared" si="221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7"/>
      <c r="D760" s="32"/>
      <c r="E760" s="32"/>
      <c r="F760" s="32"/>
      <c r="G760" s="32">
        <f t="shared" si="216"/>
        <v>0</v>
      </c>
      <c r="H760" s="10"/>
      <c r="I760" s="10"/>
      <c r="J760" s="10"/>
      <c r="K760" s="12">
        <f t="shared" si="217"/>
        <v>0</v>
      </c>
      <c r="M760" s="10">
        <v>34</v>
      </c>
      <c r="N760" s="30"/>
      <c r="O760" s="31"/>
      <c r="P760" s="47"/>
      <c r="Q760" s="31"/>
      <c r="R760" s="31"/>
      <c r="S760" s="32">
        <f t="shared" si="218"/>
        <v>0</v>
      </c>
      <c r="T760" s="10"/>
      <c r="U760" s="10"/>
      <c r="V760" s="10"/>
      <c r="W760" s="12">
        <f t="shared" si="219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225">SUM(AB760:AC760)</f>
        <v>0</v>
      </c>
      <c r="AF760" s="10"/>
      <c r="AG760" s="10"/>
      <c r="AH760" s="10"/>
      <c r="AI760" s="12">
        <f t="shared" si="221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7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8"/>
        <v>0</v>
      </c>
      <c r="T761" s="10"/>
      <c r="U761" s="10"/>
      <c r="V761" s="10"/>
      <c r="W761" s="12">
        <f t="shared" si="219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5"/>
        <v>0</v>
      </c>
      <c r="AF761" s="10"/>
      <c r="AG761" s="10"/>
      <c r="AH761" s="10"/>
      <c r="AI761" s="12">
        <f t="shared" si="221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7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8"/>
        <v>0</v>
      </c>
      <c r="T762" s="10"/>
      <c r="U762" s="10"/>
      <c r="V762" s="10"/>
      <c r="W762" s="12">
        <f t="shared" si="219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5"/>
        <v>0</v>
      </c>
      <c r="AF762" s="10"/>
      <c r="AG762" s="10"/>
      <c r="AH762" s="10"/>
      <c r="AI762" s="12">
        <f t="shared" si="221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8"/>
        <v>0</v>
      </c>
      <c r="T763" s="10"/>
      <c r="U763" s="10"/>
      <c r="V763" s="10"/>
      <c r="W763" s="12">
        <f t="shared" si="219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5"/>
        <v>0</v>
      </c>
      <c r="AF763" s="10"/>
      <c r="AG763" s="10"/>
      <c r="AH763" s="10"/>
      <c r="AI763" s="12">
        <f t="shared" si="221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8"/>
        <v>0</v>
      </c>
      <c r="T764" s="10"/>
      <c r="U764" s="10"/>
      <c r="V764" s="10"/>
      <c r="W764" s="12">
        <f t="shared" si="219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5"/>
        <v>0</v>
      </c>
      <c r="AF764" s="10"/>
      <c r="AG764" s="10"/>
      <c r="AH764" s="10"/>
      <c r="AI764" s="12">
        <f t="shared" si="221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8"/>
        <v>0</v>
      </c>
      <c r="T765" s="10"/>
      <c r="U765" s="10"/>
      <c r="V765" s="10"/>
      <c r="W765" s="12">
        <f t="shared" si="219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5"/>
        <v>0</v>
      </c>
      <c r="AF765" s="10"/>
      <c r="AG765" s="10"/>
      <c r="AH765" s="10"/>
      <c r="AI765" s="12">
        <f t="shared" si="221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9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1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9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1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9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1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306506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306506</v>
      </c>
      <c r="H770" s="4"/>
      <c r="I770" s="39">
        <f>SUM(I727:I769)</f>
        <v>3439.5</v>
      </c>
      <c r="J770" s="39">
        <f>SUM(J727:J769)</f>
        <v>0</v>
      </c>
      <c r="K770" s="40">
        <f>SUM(K727:K769)</f>
        <v>309945.5</v>
      </c>
      <c r="N770" s="57"/>
      <c r="O770" s="57"/>
      <c r="P770" s="38">
        <f>SUM(P727:P769)</f>
        <v>126045.5</v>
      </c>
      <c r="Q770" s="38">
        <f>SUM(Q727:Q751)</f>
        <v>0</v>
      </c>
      <c r="R770" s="38">
        <f>SUM(R727:R751)</f>
        <v>0</v>
      </c>
      <c r="S770" s="38">
        <f>SUM(S727:S769)</f>
        <v>126045.5</v>
      </c>
      <c r="T770" s="4"/>
      <c r="U770" s="41">
        <f>SUM(U727:U769)</f>
        <v>202.5</v>
      </c>
      <c r="V770" s="41">
        <f>SUM(V727:V751)</f>
        <v>-999</v>
      </c>
      <c r="W770" s="42">
        <f>SUM(W727:W769)</f>
        <v>125249</v>
      </c>
      <c r="Z770" s="57"/>
      <c r="AA770" s="57"/>
      <c r="AB770" s="38">
        <f>SUM(AB727:AB769)</f>
        <v>174740</v>
      </c>
      <c r="AC770" s="38">
        <f>SUM(AC727:AC751)</f>
        <v>-1116</v>
      </c>
      <c r="AD770" s="38">
        <f>SUM(AD727:AD751)</f>
        <v>0</v>
      </c>
      <c r="AE770" s="38">
        <f>SUM(AE727:AE769)</f>
        <v>173624</v>
      </c>
      <c r="AF770" s="4"/>
      <c r="AG770" s="41">
        <f>SUM(AG727:AG769)</f>
        <v>0</v>
      </c>
      <c r="AH770" s="41">
        <f>SUM(AH727:AH751)</f>
        <v>-52659</v>
      </c>
      <c r="AI770" s="42">
        <f>SUM(AI727:AI769)</f>
        <v>120965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82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6" t="s">
        <v>17</v>
      </c>
      <c r="E780" s="126"/>
      <c r="F780" s="106"/>
      <c r="G780" s="27"/>
      <c r="I780" s="122" t="s">
        <v>18</v>
      </c>
      <c r="J780" s="123"/>
      <c r="K780" s="124" t="s">
        <v>19</v>
      </c>
      <c r="N780" s="25"/>
      <c r="O780" s="26"/>
      <c r="P780" s="126" t="s">
        <v>17</v>
      </c>
      <c r="Q780" s="126"/>
      <c r="R780" s="106"/>
      <c r="S780" s="27"/>
      <c r="U780" s="122" t="s">
        <v>18</v>
      </c>
      <c r="V780" s="123"/>
      <c r="W780" s="124" t="s">
        <v>19</v>
      </c>
      <c r="Z780" s="25"/>
      <c r="AA780" s="26"/>
      <c r="AB780" s="126" t="s">
        <v>17</v>
      </c>
      <c r="AC780" s="126"/>
      <c r="AD780" s="106"/>
      <c r="AE780" s="27"/>
      <c r="AG780" s="122" t="s">
        <v>18</v>
      </c>
      <c r="AH780" s="123"/>
      <c r="AI780" s="124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8" t="s">
        <v>22</v>
      </c>
      <c r="E781" s="77" t="s">
        <v>23</v>
      </c>
      <c r="F781" s="79" t="s">
        <v>32</v>
      </c>
      <c r="G781" s="79" t="s">
        <v>24</v>
      </c>
      <c r="I781" s="29" t="s">
        <v>25</v>
      </c>
      <c r="J781" s="29" t="s">
        <v>26</v>
      </c>
      <c r="K781" s="125"/>
      <c r="N781" s="28" t="s">
        <v>20</v>
      </c>
      <c r="O781" s="28" t="s">
        <v>21</v>
      </c>
      <c r="P781" s="78" t="s">
        <v>22</v>
      </c>
      <c r="Q781" s="79" t="s">
        <v>23</v>
      </c>
      <c r="R781" s="79" t="s">
        <v>32</v>
      </c>
      <c r="S781" s="79" t="s">
        <v>24</v>
      </c>
      <c r="U781" s="29" t="s">
        <v>25</v>
      </c>
      <c r="V781" s="29" t="s">
        <v>26</v>
      </c>
      <c r="W781" s="125"/>
      <c r="Z781" s="28" t="s">
        <v>20</v>
      </c>
      <c r="AA781" s="28" t="s">
        <v>21</v>
      </c>
      <c r="AB781" s="78" t="s">
        <v>22</v>
      </c>
      <c r="AC781" s="79" t="s">
        <v>23</v>
      </c>
      <c r="AD781" s="79" t="s">
        <v>32</v>
      </c>
      <c r="AE781" s="79" t="s">
        <v>24</v>
      </c>
      <c r="AG781" s="29" t="s">
        <v>25</v>
      </c>
      <c r="AH781" s="29" t="s">
        <v>26</v>
      </c>
      <c r="AI781" s="125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87">
        <v>8623</v>
      </c>
      <c r="D782" s="32">
        <f>700*5+670*5+973*10+622*100+912*20+29*1050+872*15+872*5+500*15+500*5</f>
        <v>154910</v>
      </c>
      <c r="E782" s="32"/>
      <c r="F782" s="32"/>
      <c r="G782" s="32">
        <f t="shared" ref="G782:G815" si="231">SUM(D782:E782)</f>
        <v>154910</v>
      </c>
      <c r="H782" s="12"/>
      <c r="I782" s="12"/>
      <c r="J782" s="12"/>
      <c r="K782" s="12">
        <f t="shared" ref="K782:K815" si="232">SUM(G782:J782)</f>
        <v>154910</v>
      </c>
      <c r="M782" s="10">
        <v>1</v>
      </c>
      <c r="N782" s="30" t="s">
        <v>81</v>
      </c>
      <c r="O782" s="31">
        <v>8570</v>
      </c>
      <c r="P782" s="32">
        <f>650*5+9.5*5</f>
        <v>3297.5</v>
      </c>
      <c r="Q782" s="32"/>
      <c r="R782" s="32"/>
      <c r="S782" s="32">
        <f>SUM(P782:Q782)</f>
        <v>3297.5</v>
      </c>
      <c r="T782" s="12"/>
      <c r="U782" s="12"/>
      <c r="V782" s="12"/>
      <c r="W782" s="12">
        <f>SUM(S782:V782)</f>
        <v>3297.5</v>
      </c>
      <c r="Y782" s="10">
        <v>1</v>
      </c>
      <c r="Z782" s="30" t="s">
        <v>81</v>
      </c>
      <c r="AA782" s="31">
        <v>8507</v>
      </c>
      <c r="AB782" s="32">
        <f>650*268+622*50</f>
        <v>205300</v>
      </c>
      <c r="AC782" s="32">
        <v>-1908</v>
      </c>
      <c r="AD782" s="32"/>
      <c r="AE782" s="32">
        <f>SUM(AB782:AC782)</f>
        <v>203392</v>
      </c>
      <c r="AF782" s="12"/>
      <c r="AG782" s="12"/>
      <c r="AH782" s="12"/>
      <c r="AI782" s="12">
        <f>SUM(AE782:AH782)</f>
        <v>203392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31">
        <f>C782+1</f>
        <v>8624</v>
      </c>
      <c r="D783" s="32">
        <f>1582+1728+2350+1102+2350+1582+1300+6500</f>
        <v>18494</v>
      </c>
      <c r="E783" s="32"/>
      <c r="F783" s="32"/>
      <c r="G783" s="32">
        <f t="shared" si="231"/>
        <v>18494</v>
      </c>
      <c r="H783" s="12"/>
      <c r="I783" s="12">
        <f>12000+11655+555</f>
        <v>24210</v>
      </c>
      <c r="J783" s="12">
        <f>-600+-8991+-111+-84*104+-84*140+-84*31</f>
        <v>-32802</v>
      </c>
      <c r="K783" s="12">
        <f t="shared" si="232"/>
        <v>9902</v>
      </c>
      <c r="M783" s="10">
        <v>2</v>
      </c>
      <c r="N783" s="30" t="s">
        <v>81</v>
      </c>
      <c r="O783" s="31">
        <f>O782+1</f>
        <v>8571</v>
      </c>
      <c r="P783" s="32">
        <f>650*10+9.5*10</f>
        <v>6595</v>
      </c>
      <c r="Q783" s="32"/>
      <c r="R783" s="32"/>
      <c r="S783" s="32">
        <f t="shared" ref="S783:S820" si="233">SUM(P783:Q783)</f>
        <v>6595</v>
      </c>
      <c r="T783" s="12"/>
      <c r="U783" s="12"/>
      <c r="V783" s="12"/>
      <c r="W783" s="12">
        <f t="shared" ref="W783:W823" si="234">SUM(S783:V783)</f>
        <v>6595</v>
      </c>
      <c r="Y783" s="10">
        <v>2</v>
      </c>
      <c r="Z783" s="30" t="s">
        <v>81</v>
      </c>
      <c r="AA783" s="31">
        <f>AA782+1</f>
        <v>8508</v>
      </c>
      <c r="AB783" s="32">
        <f>650*30+486+456</f>
        <v>20442</v>
      </c>
      <c r="AC783" s="32"/>
      <c r="AD783" s="32"/>
      <c r="AE783" s="32">
        <f t="shared" ref="AE783:AE814" si="235">SUM(AB783:AC783)</f>
        <v>20442</v>
      </c>
      <c r="AF783" s="12"/>
      <c r="AG783" s="12"/>
      <c r="AH783" s="12"/>
      <c r="AI783" s="12">
        <f t="shared" ref="AI783:AI823" si="236">SUM(AE783:AH783)</f>
        <v>20442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31">
        <f t="shared" ref="C784:C792" si="237">C783+1</f>
        <v>8625</v>
      </c>
      <c r="D784" s="33">
        <f>650*50+670*2+622*5</f>
        <v>36950</v>
      </c>
      <c r="E784" s="33"/>
      <c r="F784" s="33"/>
      <c r="G784" s="33">
        <f t="shared" si="231"/>
        <v>36950</v>
      </c>
      <c r="H784" s="34"/>
      <c r="I784" s="34">
        <v>216</v>
      </c>
      <c r="J784" s="34">
        <v>-2220</v>
      </c>
      <c r="K784" s="34">
        <f t="shared" si="232"/>
        <v>34946</v>
      </c>
      <c r="M784" s="10">
        <v>3</v>
      </c>
      <c r="N784" s="30" t="s">
        <v>81</v>
      </c>
      <c r="O784" s="31">
        <f t="shared" ref="O784:O787" si="238">O783+1</f>
        <v>8572</v>
      </c>
      <c r="P784" s="32">
        <f>650*216+622*50+229*11</f>
        <v>174019</v>
      </c>
      <c r="Q784" s="32">
        <v>-1596</v>
      </c>
      <c r="R784" s="32"/>
      <c r="S784" s="32">
        <f t="shared" si="233"/>
        <v>172423</v>
      </c>
      <c r="T784" s="12"/>
      <c r="U784" s="12">
        <f>1.5*240</f>
        <v>360</v>
      </c>
      <c r="V784" s="12">
        <v>-378</v>
      </c>
      <c r="W784" s="12">
        <f t="shared" si="234"/>
        <v>172405</v>
      </c>
      <c r="Y784" s="10">
        <v>3</v>
      </c>
      <c r="Z784" s="30" t="s">
        <v>81</v>
      </c>
      <c r="AA784" s="31">
        <f t="shared" ref="AA784:AA786" si="239">AA783+1</f>
        <v>8509</v>
      </c>
      <c r="AB784" s="33">
        <f>650*5+670*2</f>
        <v>4590</v>
      </c>
      <c r="AC784" s="33"/>
      <c r="AD784" s="32"/>
      <c r="AE784" s="32">
        <f t="shared" si="235"/>
        <v>4590</v>
      </c>
      <c r="AF784" s="12"/>
      <c r="AG784" s="12"/>
      <c r="AH784" s="12">
        <f>-111*19</f>
        <v>-2109</v>
      </c>
      <c r="AI784" s="12">
        <f t="shared" si="236"/>
        <v>2481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31">
        <f t="shared" si="237"/>
        <v>8626</v>
      </c>
      <c r="D785" s="32">
        <f>650*40</f>
        <v>26000</v>
      </c>
      <c r="E785" s="32"/>
      <c r="F785" s="32"/>
      <c r="G785" s="32">
        <f t="shared" si="231"/>
        <v>26000</v>
      </c>
      <c r="H785" s="12"/>
      <c r="I785" s="12"/>
      <c r="J785" s="12"/>
      <c r="K785" s="12">
        <f t="shared" si="232"/>
        <v>26000</v>
      </c>
      <c r="M785" s="10">
        <v>4</v>
      </c>
      <c r="N785" s="30" t="s">
        <v>81</v>
      </c>
      <c r="O785" s="31">
        <f t="shared" si="238"/>
        <v>8573</v>
      </c>
      <c r="P785" s="32">
        <f>650*12</f>
        <v>7800</v>
      </c>
      <c r="Q785" s="32"/>
      <c r="R785" s="32"/>
      <c r="S785" s="32">
        <f t="shared" si="233"/>
        <v>7800</v>
      </c>
      <c r="T785" s="12"/>
      <c r="U785" s="12"/>
      <c r="V785" s="12"/>
      <c r="W785" s="12">
        <f t="shared" si="234"/>
        <v>7800</v>
      </c>
      <c r="Y785" s="10">
        <v>4</v>
      </c>
      <c r="Z785" s="30" t="s">
        <v>81</v>
      </c>
      <c r="AA785" s="31">
        <f t="shared" si="239"/>
        <v>8510</v>
      </c>
      <c r="AB785" s="32">
        <f>650*20</f>
        <v>13000</v>
      </c>
      <c r="AC785" s="32"/>
      <c r="AD785" s="32"/>
      <c r="AE785" s="32">
        <f t="shared" si="235"/>
        <v>13000</v>
      </c>
      <c r="AF785" s="12"/>
      <c r="AH785" s="12"/>
      <c r="AI785" s="12">
        <f t="shared" si="236"/>
        <v>13000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31">
        <f t="shared" si="237"/>
        <v>8627</v>
      </c>
      <c r="D786" s="32">
        <f>650*30+229</f>
        <v>19729</v>
      </c>
      <c r="E786" s="32"/>
      <c r="F786" s="32"/>
      <c r="G786" s="32">
        <f t="shared" si="231"/>
        <v>19729</v>
      </c>
      <c r="H786" s="12"/>
      <c r="I786" s="12">
        <f>540+36</f>
        <v>576</v>
      </c>
      <c r="J786" s="12"/>
      <c r="K786" s="12">
        <f t="shared" si="232"/>
        <v>20305</v>
      </c>
      <c r="M786" s="10">
        <v>5</v>
      </c>
      <c r="N786" s="30" t="s">
        <v>81</v>
      </c>
      <c r="O786" s="31">
        <f t="shared" si="238"/>
        <v>8574</v>
      </c>
      <c r="P786" s="32">
        <f>650*4+9.5*4</f>
        <v>2638</v>
      </c>
      <c r="Q786" s="32"/>
      <c r="R786" s="32"/>
      <c r="S786" s="32">
        <f t="shared" si="233"/>
        <v>2638</v>
      </c>
      <c r="T786" s="12"/>
      <c r="U786" s="12"/>
      <c r="V786" s="12"/>
      <c r="W786" s="12">
        <f t="shared" si="234"/>
        <v>2638</v>
      </c>
      <c r="Y786" s="10">
        <v>5</v>
      </c>
      <c r="Z786" s="30" t="s">
        <v>81</v>
      </c>
      <c r="AA786" s="31">
        <f t="shared" si="239"/>
        <v>8511</v>
      </c>
      <c r="AB786" s="32">
        <f>160*650+622*50+229*9</f>
        <v>137161</v>
      </c>
      <c r="AC786" s="32"/>
      <c r="AD786" s="32"/>
      <c r="AE786" s="32">
        <f t="shared" si="235"/>
        <v>137161</v>
      </c>
      <c r="AF786" s="12"/>
      <c r="AG786" s="12"/>
      <c r="AH786" s="12">
        <f>-111*71+-84*10+-16*42</f>
        <v>-9393</v>
      </c>
      <c r="AI786" s="12">
        <f t="shared" si="236"/>
        <v>127768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31">
        <f t="shared" si="237"/>
        <v>8628</v>
      </c>
      <c r="D787" s="32">
        <f>650*2+9.5*2</f>
        <v>1319</v>
      </c>
      <c r="E787" s="32"/>
      <c r="F787" s="32"/>
      <c r="G787" s="32">
        <f t="shared" si="231"/>
        <v>1319</v>
      </c>
      <c r="H787" s="12"/>
      <c r="I787" s="12"/>
      <c r="J787" s="12">
        <v>-504</v>
      </c>
      <c r="K787" s="12">
        <f t="shared" si="232"/>
        <v>815</v>
      </c>
      <c r="M787" s="10">
        <v>6</v>
      </c>
      <c r="N787" s="30" t="s">
        <v>81</v>
      </c>
      <c r="O787" s="31">
        <f t="shared" si="238"/>
        <v>8575</v>
      </c>
      <c r="P787" s="32">
        <f>650*3+622</f>
        <v>2572</v>
      </c>
      <c r="Q787" s="32"/>
      <c r="R787" s="32"/>
      <c r="S787" s="32">
        <f t="shared" si="233"/>
        <v>2572</v>
      </c>
      <c r="T787" s="12"/>
      <c r="U787" s="12"/>
      <c r="V787" s="10"/>
      <c r="W787" s="12">
        <f t="shared" si="234"/>
        <v>2572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35"/>
        <v>0</v>
      </c>
      <c r="AF787" s="12"/>
      <c r="AG787" s="12"/>
      <c r="AH787" s="10"/>
      <c r="AI787" s="12">
        <f t="shared" si="236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31">
        <f t="shared" si="237"/>
        <v>8629</v>
      </c>
      <c r="D788" s="32">
        <f>650*3+9.5*3</f>
        <v>1978.5</v>
      </c>
      <c r="E788" s="32"/>
      <c r="F788" s="32"/>
      <c r="G788" s="32">
        <f t="shared" si="231"/>
        <v>1978.5</v>
      </c>
      <c r="H788" s="12"/>
      <c r="I788" s="12">
        <v>4.5</v>
      </c>
      <c r="J788" s="12"/>
      <c r="K788" s="12">
        <f t="shared" si="232"/>
        <v>1983</v>
      </c>
      <c r="M788" s="10">
        <v>7</v>
      </c>
      <c r="N788" s="30"/>
      <c r="O788" s="11" t="s">
        <v>27</v>
      </c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/>
      <c r="AA788" s="31"/>
      <c r="AB788" s="32"/>
      <c r="AC788" s="32"/>
      <c r="AD788" s="32"/>
      <c r="AE788" s="32">
        <f t="shared" si="235"/>
        <v>0</v>
      </c>
      <c r="AF788" s="12"/>
      <c r="AG788" s="58"/>
      <c r="AH788" s="12"/>
      <c r="AI788" s="12">
        <f t="shared" si="236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31">
        <f t="shared" si="237"/>
        <v>8630</v>
      </c>
      <c r="D789" s="32">
        <f>650*5+670+622*3+9.5*8</f>
        <v>5862</v>
      </c>
      <c r="E789" s="32"/>
      <c r="F789" s="32"/>
      <c r="G789" s="32">
        <f t="shared" si="231"/>
        <v>5862</v>
      </c>
      <c r="H789" s="12"/>
      <c r="I789" s="12"/>
      <c r="J789" s="12">
        <v>-840</v>
      </c>
      <c r="K789" s="12">
        <f t="shared" si="232"/>
        <v>5022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/>
      <c r="AA789" s="31"/>
      <c r="AB789" s="32"/>
      <c r="AC789" s="32"/>
      <c r="AE789" s="32">
        <f t="shared" si="235"/>
        <v>0</v>
      </c>
      <c r="AF789" s="12"/>
      <c r="AG789" s="12"/>
      <c r="AH789" s="12"/>
      <c r="AI789" s="12">
        <f t="shared" si="236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31">
        <f t="shared" si="237"/>
        <v>8631</v>
      </c>
      <c r="D790" s="32">
        <f>650*16+622*5</f>
        <v>13510</v>
      </c>
      <c r="E790" s="32"/>
      <c r="F790" s="32"/>
      <c r="G790" s="32">
        <f t="shared" si="231"/>
        <v>13510</v>
      </c>
      <c r="H790" s="12"/>
      <c r="I790" s="12"/>
      <c r="J790" s="12">
        <v>-2100</v>
      </c>
      <c r="K790" s="12">
        <f t="shared" si="232"/>
        <v>11410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/>
      <c r="AA790" s="31"/>
      <c r="AB790" s="32"/>
      <c r="AC790" s="32"/>
      <c r="AD790" s="32"/>
      <c r="AE790" s="32">
        <f t="shared" si="235"/>
        <v>0</v>
      </c>
      <c r="AF790" s="12"/>
      <c r="AH790" s="12"/>
      <c r="AI790" s="12">
        <f t="shared" si="236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31">
        <f t="shared" si="237"/>
        <v>8632</v>
      </c>
      <c r="D791" s="32">
        <f>650*20+670*2+973+622*3+912+872+500*2</f>
        <v>19963</v>
      </c>
      <c r="E791" s="32"/>
      <c r="F791" s="32"/>
      <c r="G791" s="32">
        <f t="shared" si="231"/>
        <v>19963</v>
      </c>
      <c r="H791" s="12"/>
      <c r="I791" s="12">
        <f>48*2.25+72*1.5</f>
        <v>216</v>
      </c>
      <c r="J791" s="12"/>
      <c r="K791" s="12">
        <f t="shared" si="232"/>
        <v>20179</v>
      </c>
      <c r="M791" s="10">
        <v>10</v>
      </c>
      <c r="N791" s="30"/>
      <c r="O791" s="31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/>
      <c r="AA791" s="31"/>
      <c r="AB791" s="32"/>
      <c r="AC791" s="32"/>
      <c r="AD791" s="32"/>
      <c r="AE791" s="32">
        <f t="shared" si="235"/>
        <v>0</v>
      </c>
      <c r="AF791" s="12"/>
      <c r="AG791" s="12"/>
      <c r="AH791" s="12"/>
      <c r="AI791" s="12">
        <f t="shared" si="236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31">
        <f t="shared" si="237"/>
        <v>8633</v>
      </c>
      <c r="D792" s="32">
        <f>650*2+622</f>
        <v>1922</v>
      </c>
      <c r="E792" s="32"/>
      <c r="F792" s="32"/>
      <c r="G792" s="32">
        <f t="shared" si="231"/>
        <v>1922</v>
      </c>
      <c r="H792" s="12"/>
      <c r="I792" s="12"/>
      <c r="J792" s="12">
        <v>-924</v>
      </c>
      <c r="K792" s="12">
        <f t="shared" si="232"/>
        <v>998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3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O797" s="31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3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O800" s="31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Q804" s="31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C804" s="31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O806" s="31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O807" s="31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O811" s="31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7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57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O813" s="31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7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7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si="233"/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40">SUM(AB815:AC815)</f>
        <v>0</v>
      </c>
      <c r="AF815" s="10"/>
      <c r="AG815" s="10"/>
      <c r="AH815" s="10"/>
      <c r="AI815" s="12">
        <f t="shared" si="236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7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3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0"/>
        <v>0</v>
      </c>
      <c r="AF816" s="10"/>
      <c r="AG816" s="10"/>
      <c r="AH816" s="10"/>
      <c r="AI816" s="12">
        <f t="shared" si="236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7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3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0"/>
        <v>0</v>
      </c>
      <c r="AF817" s="10"/>
      <c r="AG817" s="10"/>
      <c r="AH817" s="10"/>
      <c r="AI817" s="12">
        <f t="shared" si="236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3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0"/>
        <v>0</v>
      </c>
      <c r="AF818" s="10"/>
      <c r="AG818" s="10"/>
      <c r="AH818" s="10"/>
      <c r="AI818" s="12">
        <f t="shared" si="236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3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0"/>
        <v>0</v>
      </c>
      <c r="AF819" s="10"/>
      <c r="AG819" s="10"/>
      <c r="AH819" s="10"/>
      <c r="AI819" s="12">
        <f t="shared" si="236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3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0"/>
        <v>0</v>
      </c>
      <c r="AF820" s="10"/>
      <c r="AG820" s="10"/>
      <c r="AH820" s="10"/>
      <c r="AI820" s="12">
        <f t="shared" si="236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6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36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6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300637.5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300637.5</v>
      </c>
      <c r="H825" s="4"/>
      <c r="I825" s="39">
        <f>SUM(I782:I824)</f>
        <v>25222.5</v>
      </c>
      <c r="J825" s="39">
        <f>SUM(J782:J824)</f>
        <v>-39390</v>
      </c>
      <c r="K825" s="40">
        <f>SUM(K782:K824)</f>
        <v>286470</v>
      </c>
      <c r="N825" s="57"/>
      <c r="O825" s="57"/>
      <c r="P825" s="38">
        <f>SUM(P782:P824)</f>
        <v>196921.5</v>
      </c>
      <c r="Q825" s="38">
        <f>SUM(Q782:Q806)</f>
        <v>-1596</v>
      </c>
      <c r="R825" s="38">
        <f>SUM(R782:R806)</f>
        <v>0</v>
      </c>
      <c r="S825" s="38">
        <f>SUM(S782:S824)</f>
        <v>195325.5</v>
      </c>
      <c r="T825" s="4"/>
      <c r="U825" s="41">
        <f>SUM(U782:U824)</f>
        <v>360</v>
      </c>
      <c r="V825" s="41">
        <f>SUM(V782:V806)</f>
        <v>-378</v>
      </c>
      <c r="W825" s="42">
        <f>SUM(W782:W824)</f>
        <v>195307.5</v>
      </c>
      <c r="Z825" s="57"/>
      <c r="AA825" s="57"/>
      <c r="AB825" s="38">
        <f>SUM(AB782:AB824)</f>
        <v>380493</v>
      </c>
      <c r="AC825" s="38">
        <f>SUM(AC782:AC806)</f>
        <v>-1908</v>
      </c>
      <c r="AD825" s="38">
        <f>SUM(AD782:AD806)</f>
        <v>0</v>
      </c>
      <c r="AE825" s="38">
        <f>SUM(AE782:AE824)</f>
        <v>378585</v>
      </c>
      <c r="AF825" s="4"/>
      <c r="AG825" s="41">
        <f>SUM(AG782:AG824)</f>
        <v>0</v>
      </c>
      <c r="AH825" s="41">
        <f>SUM(AH782:AH806)</f>
        <v>-11502</v>
      </c>
      <c r="AI825" s="42">
        <f>SUM(AI782:AI824)</f>
        <v>367083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49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49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49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82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6" t="s">
        <v>17</v>
      </c>
      <c r="E835" s="126"/>
      <c r="F835" s="107"/>
      <c r="G835" s="27"/>
      <c r="I835" s="122" t="s">
        <v>18</v>
      </c>
      <c r="J835" s="123"/>
      <c r="K835" s="124" t="s">
        <v>19</v>
      </c>
      <c r="N835" s="25"/>
      <c r="O835" s="26"/>
      <c r="P835" s="126" t="s">
        <v>17</v>
      </c>
      <c r="Q835" s="126"/>
      <c r="R835" s="107"/>
      <c r="S835" s="27"/>
      <c r="U835" s="122" t="s">
        <v>18</v>
      </c>
      <c r="V835" s="123"/>
      <c r="W835" s="124" t="s">
        <v>19</v>
      </c>
      <c r="Z835" s="25"/>
      <c r="AA835" s="26"/>
      <c r="AB835" s="126" t="s">
        <v>17</v>
      </c>
      <c r="AC835" s="126"/>
      <c r="AD835" s="107"/>
      <c r="AE835" s="27"/>
      <c r="AG835" s="122" t="s">
        <v>18</v>
      </c>
      <c r="AH835" s="123"/>
      <c r="AI835" s="124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8" t="s">
        <v>22</v>
      </c>
      <c r="E836" s="77" t="s">
        <v>23</v>
      </c>
      <c r="F836" s="79" t="s">
        <v>32</v>
      </c>
      <c r="G836" s="79" t="s">
        <v>24</v>
      </c>
      <c r="I836" s="29" t="s">
        <v>25</v>
      </c>
      <c r="J836" s="29" t="s">
        <v>26</v>
      </c>
      <c r="K836" s="125"/>
      <c r="N836" s="28" t="s">
        <v>20</v>
      </c>
      <c r="O836" s="28" t="s">
        <v>21</v>
      </c>
      <c r="P836" s="78" t="s">
        <v>22</v>
      </c>
      <c r="Q836" s="79" t="s">
        <v>23</v>
      </c>
      <c r="R836" s="79" t="s">
        <v>32</v>
      </c>
      <c r="S836" s="79" t="s">
        <v>24</v>
      </c>
      <c r="U836" s="29" t="s">
        <v>25</v>
      </c>
      <c r="V836" s="29" t="s">
        <v>26</v>
      </c>
      <c r="W836" s="125"/>
      <c r="Z836" s="28" t="s">
        <v>20</v>
      </c>
      <c r="AA836" s="28" t="s">
        <v>21</v>
      </c>
      <c r="AB836" s="78" t="s">
        <v>22</v>
      </c>
      <c r="AC836" s="79" t="s">
        <v>23</v>
      </c>
      <c r="AD836" s="79" t="s">
        <v>32</v>
      </c>
      <c r="AE836" s="79" t="s">
        <v>24</v>
      </c>
      <c r="AG836" s="29" t="s">
        <v>25</v>
      </c>
      <c r="AH836" s="29" t="s">
        <v>26</v>
      </c>
      <c r="AI836" s="125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87">
        <v>8634</v>
      </c>
      <c r="D837" s="32">
        <f>650*17+622*3</f>
        <v>12916</v>
      </c>
      <c r="E837" s="32"/>
      <c r="F837" s="32"/>
      <c r="G837" s="32">
        <f t="shared" ref="G837:G870" si="246">SUM(D837:E837)</f>
        <v>12916</v>
      </c>
      <c r="H837" s="12"/>
      <c r="I837" s="12"/>
      <c r="J837" s="12">
        <v>-2664</v>
      </c>
      <c r="K837" s="12">
        <f t="shared" ref="K837:K870" si="247">SUM(G837:J837)</f>
        <v>10252</v>
      </c>
      <c r="M837" s="10">
        <v>1</v>
      </c>
      <c r="N837" s="30" t="s">
        <v>85</v>
      </c>
      <c r="O837" s="31">
        <v>8576</v>
      </c>
      <c r="P837" s="32">
        <f>650*10</f>
        <v>6500</v>
      </c>
      <c r="Q837" s="32"/>
      <c r="R837" s="32"/>
      <c r="S837" s="32">
        <f>SUM(P837:Q837)</f>
        <v>6500</v>
      </c>
      <c r="T837" s="12"/>
      <c r="U837" s="12">
        <f>10*111</f>
        <v>1110</v>
      </c>
      <c r="V837" s="12"/>
      <c r="W837" s="12">
        <f>SUM(S837:V837)</f>
        <v>7610</v>
      </c>
      <c r="Y837" s="10">
        <v>1</v>
      </c>
      <c r="Z837" s="30" t="s">
        <v>85</v>
      </c>
      <c r="AA837" s="31">
        <v>8512</v>
      </c>
      <c r="AB837" s="32">
        <f>650*27+670+622*10+229</f>
        <v>24669</v>
      </c>
      <c r="AC837" s="32"/>
      <c r="AD837" s="32"/>
      <c r="AE837" s="32">
        <f>SUM(AB837:AC837)</f>
        <v>24669</v>
      </c>
      <c r="AF837" s="12"/>
      <c r="AG837" s="12"/>
      <c r="AH837" s="12"/>
      <c r="AI837" s="12">
        <f>SUM(AE837:AH837)</f>
        <v>24669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31">
        <f>C837+1</f>
        <v>8635</v>
      </c>
      <c r="D838" s="32">
        <f>650*431+622*10+229*15</f>
        <v>289805</v>
      </c>
      <c r="E838" s="32">
        <v>-2646</v>
      </c>
      <c r="F838" s="32"/>
      <c r="G838" s="32">
        <f t="shared" si="246"/>
        <v>287159</v>
      </c>
      <c r="H838" s="12"/>
      <c r="I838" s="12">
        <f>7770+624</f>
        <v>8394</v>
      </c>
      <c r="J838" s="12">
        <f>-777+-672+-2352+-3150+-480</f>
        <v>-7431</v>
      </c>
      <c r="K838" s="12">
        <f t="shared" si="247"/>
        <v>288122</v>
      </c>
      <c r="M838" s="10">
        <v>2</v>
      </c>
      <c r="N838" s="30" t="s">
        <v>85</v>
      </c>
      <c r="O838" s="31">
        <f>O837+1</f>
        <v>8577</v>
      </c>
      <c r="P838" s="32">
        <f>1989</f>
        <v>1989</v>
      </c>
      <c r="Q838" s="32"/>
      <c r="R838" s="32"/>
      <c r="S838" s="32">
        <f t="shared" ref="S838:S875" si="248">SUM(P838:Q838)</f>
        <v>1989</v>
      </c>
      <c r="T838" s="12"/>
      <c r="U838" s="12"/>
      <c r="V838" s="12"/>
      <c r="W838" s="12">
        <f t="shared" ref="W838:W878" si="249">SUM(S838:V838)</f>
        <v>1989</v>
      </c>
      <c r="Y838" s="10">
        <v>2</v>
      </c>
      <c r="Z838" s="30" t="s">
        <v>85</v>
      </c>
      <c r="AA838" s="31">
        <f>AA837+1</f>
        <v>8513</v>
      </c>
      <c r="AB838" s="32">
        <f>650*35+670*4+622*12+229*2</f>
        <v>33352</v>
      </c>
      <c r="AC838" s="32"/>
      <c r="AD838" s="32"/>
      <c r="AE838" s="32">
        <f t="shared" ref="AE838:AE869" si="250">SUM(AB838:AC838)</f>
        <v>33352</v>
      </c>
      <c r="AF838" s="12"/>
      <c r="AG838" s="12">
        <v>117</v>
      </c>
      <c r="AH838" s="12"/>
      <c r="AI838" s="12">
        <f t="shared" ref="AI838:AI878" si="251">SUM(AE838:AH838)</f>
        <v>33469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31">
        <f t="shared" ref="C839" si="252">C838+1</f>
        <v>8636</v>
      </c>
      <c r="D839" s="33">
        <f>650*324+670*50+622*50+229*13+500*5</f>
        <v>280677</v>
      </c>
      <c r="E839" s="33">
        <v>-2574</v>
      </c>
      <c r="F839" s="33"/>
      <c r="G839" s="33">
        <f t="shared" si="246"/>
        <v>278103</v>
      </c>
      <c r="H839" s="34"/>
      <c r="I839" s="34">
        <f>780+5550</f>
        <v>6330</v>
      </c>
      <c r="J839" s="34">
        <f>-720+-60717+-120</f>
        <v>-61557</v>
      </c>
      <c r="K839" s="34">
        <f t="shared" si="247"/>
        <v>222876</v>
      </c>
      <c r="M839" s="10">
        <v>3</v>
      </c>
      <c r="N839" s="30" t="s">
        <v>85</v>
      </c>
      <c r="O839" s="31">
        <f t="shared" ref="O839:O841" si="253">O838+1</f>
        <v>8578</v>
      </c>
      <c r="P839" s="32">
        <f>650*216+229*9</f>
        <v>142461</v>
      </c>
      <c r="Q839" s="32">
        <v>-1296</v>
      </c>
      <c r="R839" s="32"/>
      <c r="S839" s="32">
        <f t="shared" si="248"/>
        <v>141165</v>
      </c>
      <c r="T839" s="12"/>
      <c r="U839" s="12">
        <v>324</v>
      </c>
      <c r="V839" s="12">
        <v>-23976</v>
      </c>
      <c r="W839" s="12">
        <f t="shared" si="249"/>
        <v>117513</v>
      </c>
      <c r="Y839" s="10">
        <v>3</v>
      </c>
      <c r="Z839" s="30" t="s">
        <v>85</v>
      </c>
      <c r="AA839" s="31">
        <f t="shared" ref="AA839:AA841" si="254">AA838+1</f>
        <v>8514</v>
      </c>
      <c r="AB839" s="33">
        <f>35750+2680+1866</f>
        <v>40296</v>
      </c>
      <c r="AC839" s="33">
        <v>-372</v>
      </c>
      <c r="AD839" s="32"/>
      <c r="AE839" s="32">
        <f t="shared" si="250"/>
        <v>39924</v>
      </c>
      <c r="AF839" s="12"/>
      <c r="AG839" s="12"/>
      <c r="AH839" s="12"/>
      <c r="AI839" s="12">
        <f t="shared" si="251"/>
        <v>39924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85</v>
      </c>
      <c r="O840" s="31">
        <f t="shared" si="253"/>
        <v>8579</v>
      </c>
      <c r="P840" s="32">
        <f>1300+670+22</f>
        <v>1992</v>
      </c>
      <c r="Q840" s="32"/>
      <c r="R840" s="32"/>
      <c r="S840" s="32">
        <f t="shared" si="248"/>
        <v>1992</v>
      </c>
      <c r="T840" s="12"/>
      <c r="U840" s="12">
        <v>222</v>
      </c>
      <c r="V840" s="12"/>
      <c r="W840" s="12">
        <f t="shared" si="249"/>
        <v>2214</v>
      </c>
      <c r="Y840" s="10">
        <v>4</v>
      </c>
      <c r="Z840" s="30" t="s">
        <v>85</v>
      </c>
      <c r="AA840" s="31">
        <f t="shared" si="254"/>
        <v>8515</v>
      </c>
      <c r="AB840" s="32">
        <f>650*45+229+650</f>
        <v>30129</v>
      </c>
      <c r="AC840" s="32"/>
      <c r="AD840" s="32"/>
      <c r="AE840" s="32">
        <f t="shared" si="250"/>
        <v>30129</v>
      </c>
      <c r="AF840" s="12"/>
      <c r="AG840">
        <f>1221+121.5</f>
        <v>1342.5</v>
      </c>
      <c r="AH840" s="12"/>
      <c r="AI840" s="12">
        <f t="shared" si="251"/>
        <v>31471.5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3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85</v>
      </c>
      <c r="O841" s="31">
        <f t="shared" si="253"/>
        <v>8580</v>
      </c>
      <c r="P841" s="32">
        <f>650*180+622*20+872*2+229*8+650*2</f>
        <v>134316</v>
      </c>
      <c r="Q841" s="32">
        <v>-1224</v>
      </c>
      <c r="R841" s="32"/>
      <c r="S841" s="32">
        <f t="shared" si="248"/>
        <v>133092</v>
      </c>
      <c r="T841" s="12"/>
      <c r="U841" s="12">
        <f>252+36</f>
        <v>288</v>
      </c>
      <c r="V841" s="12">
        <v>-1776</v>
      </c>
      <c r="W841" s="12">
        <f t="shared" si="249"/>
        <v>131604</v>
      </c>
      <c r="Y841" s="10">
        <v>5</v>
      </c>
      <c r="Z841" s="30" t="s">
        <v>85</v>
      </c>
      <c r="AA841" s="31">
        <f t="shared" si="254"/>
        <v>8516</v>
      </c>
      <c r="AB841" s="32">
        <f>972+3110+687</f>
        <v>4769</v>
      </c>
      <c r="AC841" s="32"/>
      <c r="AD841" s="32"/>
      <c r="AE841" s="32">
        <f t="shared" si="250"/>
        <v>4769</v>
      </c>
      <c r="AF841" s="12"/>
      <c r="AG841" s="12"/>
      <c r="AH841" s="12">
        <v>-555</v>
      </c>
      <c r="AI841" s="12">
        <f t="shared" si="251"/>
        <v>4214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3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48"/>
        <v>0</v>
      </c>
      <c r="T842" s="12"/>
      <c r="U842" s="12"/>
      <c r="V842" s="10"/>
      <c r="W842" s="12">
        <f t="shared" si="249"/>
        <v>0</v>
      </c>
      <c r="Y842" s="10">
        <v>6</v>
      </c>
      <c r="Z842" s="30"/>
      <c r="AA842" s="11" t="s">
        <v>27</v>
      </c>
      <c r="AB842" s="32"/>
      <c r="AC842" s="32"/>
      <c r="AD842" s="32"/>
      <c r="AE842" s="32">
        <f t="shared" si="250"/>
        <v>0</v>
      </c>
      <c r="AF842" s="12"/>
      <c r="AG842" s="12"/>
      <c r="AH842" s="10"/>
      <c r="AI842" s="12">
        <f t="shared" si="251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3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/>
      <c r="P843" s="32"/>
      <c r="Q843" s="32"/>
      <c r="R843" s="32"/>
      <c r="S843" s="32">
        <f t="shared" si="248"/>
        <v>0</v>
      </c>
      <c r="T843" s="12"/>
      <c r="U843" s="12"/>
      <c r="V843" s="12"/>
      <c r="W843" s="12">
        <f t="shared" si="249"/>
        <v>0</v>
      </c>
      <c r="Y843" s="10">
        <v>7</v>
      </c>
      <c r="Z843" s="30"/>
      <c r="AA843" s="31"/>
      <c r="AB843" s="32"/>
      <c r="AC843" s="32"/>
      <c r="AD843" s="32"/>
      <c r="AE843" s="32">
        <f t="shared" si="250"/>
        <v>0</v>
      </c>
      <c r="AF843" s="12"/>
      <c r="AG843" s="58"/>
      <c r="AH843" s="12"/>
      <c r="AI843" s="12">
        <f t="shared" si="251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3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/>
      <c r="O844" s="31"/>
      <c r="P844" s="32"/>
      <c r="Q844" s="32"/>
      <c r="R844" s="32"/>
      <c r="S844" s="32">
        <f t="shared" si="248"/>
        <v>0</v>
      </c>
      <c r="T844" s="12"/>
      <c r="U844" s="12"/>
      <c r="V844" s="12"/>
      <c r="W844" s="12">
        <f t="shared" si="249"/>
        <v>0</v>
      </c>
      <c r="Y844" s="10">
        <v>8</v>
      </c>
      <c r="Z844" s="30"/>
      <c r="AA844" s="31"/>
      <c r="AB844" s="32"/>
      <c r="AC844" s="32"/>
      <c r="AE844" s="32">
        <f t="shared" si="250"/>
        <v>0</v>
      </c>
      <c r="AF844" s="12"/>
      <c r="AG844" s="12"/>
      <c r="AH844" s="12"/>
      <c r="AI844" s="12">
        <f t="shared" si="251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3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/>
      <c r="O845" s="31"/>
      <c r="P845" s="32"/>
      <c r="Q845" s="32"/>
      <c r="R845" s="32"/>
      <c r="S845" s="32">
        <f t="shared" si="248"/>
        <v>0</v>
      </c>
      <c r="T845" s="12"/>
      <c r="U845" s="12"/>
      <c r="V845" s="12"/>
      <c r="W845" s="12">
        <f t="shared" si="249"/>
        <v>0</v>
      </c>
      <c r="Y845" s="10">
        <v>9</v>
      </c>
      <c r="Z845" s="30"/>
      <c r="AA845" s="31"/>
      <c r="AB845" s="32"/>
      <c r="AC845" s="32"/>
      <c r="AD845" s="32"/>
      <c r="AE845" s="32">
        <f t="shared" si="250"/>
        <v>0</v>
      </c>
      <c r="AF845" s="12"/>
      <c r="AH845" s="12"/>
      <c r="AI845" s="12">
        <f t="shared" si="251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3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/>
      <c r="O846" s="31"/>
      <c r="P846" s="32"/>
      <c r="Q846" s="32"/>
      <c r="R846" s="32"/>
      <c r="S846" s="32">
        <f t="shared" si="248"/>
        <v>0</v>
      </c>
      <c r="T846" s="12"/>
      <c r="U846" s="12"/>
      <c r="V846" s="12"/>
      <c r="W846" s="12">
        <f t="shared" si="249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50"/>
        <v>0</v>
      </c>
      <c r="AF846" s="12"/>
      <c r="AG846" s="12"/>
      <c r="AH846" s="12"/>
      <c r="AI846" s="12">
        <f t="shared" si="251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31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/>
      <c r="O847" s="31"/>
      <c r="P847" s="32"/>
      <c r="Q847" s="32"/>
      <c r="R847" s="32"/>
      <c r="S847" s="32">
        <f t="shared" si="248"/>
        <v>0</v>
      </c>
      <c r="T847" s="12"/>
      <c r="U847" s="12"/>
      <c r="V847" s="12"/>
      <c r="W847" s="12">
        <f t="shared" si="249"/>
        <v>0</v>
      </c>
      <c r="Y847" s="10">
        <v>11</v>
      </c>
      <c r="Z847" s="30"/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1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/>
      <c r="O848" s="31"/>
      <c r="P848" s="32"/>
      <c r="Q848" s="32"/>
      <c r="R848" s="32"/>
      <c r="S848" s="32">
        <f t="shared" si="248"/>
        <v>0</v>
      </c>
      <c r="T848" s="12"/>
      <c r="U848" s="12"/>
      <c r="V848" s="12"/>
      <c r="W848" s="12">
        <f t="shared" si="249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3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/>
      <c r="P849" s="32"/>
      <c r="Q849" s="32"/>
      <c r="R849" s="32"/>
      <c r="S849" s="32">
        <f t="shared" si="248"/>
        <v>0</v>
      </c>
      <c r="T849" s="12"/>
      <c r="U849" s="12"/>
      <c r="V849" s="12"/>
      <c r="W849" s="12">
        <f t="shared" si="249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3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/>
      <c r="O850" s="31"/>
      <c r="P850" s="32"/>
      <c r="Q850" s="32"/>
      <c r="R850" s="32"/>
      <c r="S850" s="32">
        <f t="shared" si="248"/>
        <v>0</v>
      </c>
      <c r="T850" s="12"/>
      <c r="U850" s="12"/>
      <c r="V850" s="12"/>
      <c r="W850" s="12">
        <f t="shared" si="249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3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/>
      <c r="O851" s="31"/>
      <c r="P851" s="32"/>
      <c r="Q851" s="32"/>
      <c r="R851" s="32"/>
      <c r="S851" s="32">
        <f t="shared" si="248"/>
        <v>0</v>
      </c>
      <c r="T851" s="12"/>
      <c r="U851" s="12"/>
      <c r="V851" s="12"/>
      <c r="W851" s="12">
        <f t="shared" si="249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3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/>
      <c r="O852" s="31"/>
      <c r="P852" s="32"/>
      <c r="Q852" s="32"/>
      <c r="R852" s="32"/>
      <c r="S852" s="32">
        <f t="shared" si="248"/>
        <v>0</v>
      </c>
      <c r="T852" s="12"/>
      <c r="U852" s="12"/>
      <c r="V852" s="12"/>
      <c r="W852" s="12">
        <f t="shared" si="249"/>
        <v>0</v>
      </c>
      <c r="Y852" s="10">
        <v>16</v>
      </c>
      <c r="Z852" s="30"/>
      <c r="AA852" s="31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3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/>
      <c r="O853" s="31"/>
      <c r="P853" s="35"/>
      <c r="Q853" s="32"/>
      <c r="R853" s="32"/>
      <c r="S853" s="32">
        <f t="shared" si="248"/>
        <v>0</v>
      </c>
      <c r="T853" s="12"/>
      <c r="U853" s="12"/>
      <c r="V853" s="12"/>
      <c r="W853" s="12">
        <f t="shared" si="249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31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/>
      <c r="O854" s="31"/>
      <c r="P854" s="32"/>
      <c r="Q854" s="32"/>
      <c r="R854" s="32"/>
      <c r="S854" s="32">
        <f t="shared" si="248"/>
        <v>0</v>
      </c>
      <c r="T854" s="12"/>
      <c r="U854" s="12"/>
      <c r="V854" s="12"/>
      <c r="W854" s="12">
        <f t="shared" si="249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/>
      <c r="O855" s="31"/>
      <c r="P855" s="32"/>
      <c r="Q855" s="32"/>
      <c r="R855" s="32"/>
      <c r="S855" s="32">
        <f t="shared" si="248"/>
        <v>0</v>
      </c>
      <c r="T855" s="12"/>
      <c r="U855" s="12"/>
      <c r="V855" s="12"/>
      <c r="W855" s="12">
        <f t="shared" si="249"/>
        <v>0</v>
      </c>
      <c r="Y855" s="10">
        <v>19</v>
      </c>
      <c r="Z855" s="30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31"/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Q859" s="31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C859" s="31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O861" s="31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O862" s="31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O866" s="31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7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57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O868" s="31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7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7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si="248"/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55">SUM(AB870:AC870)</f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7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8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5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7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8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5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8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5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8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5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8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5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583398</v>
      </c>
      <c r="E880" s="38">
        <f t="shared" ref="E880:F880" si="260">SUM(E837:E877)</f>
        <v>-5220</v>
      </c>
      <c r="F880" s="38">
        <f t="shared" si="260"/>
        <v>0</v>
      </c>
      <c r="G880" s="38">
        <f>SUM(G837:G879)</f>
        <v>578178</v>
      </c>
      <c r="H880" s="4"/>
      <c r="I880" s="39">
        <f>SUM(I837:I879)</f>
        <v>14724</v>
      </c>
      <c r="J880" s="39">
        <f>SUM(J837:J879)</f>
        <v>-71652</v>
      </c>
      <c r="K880" s="40">
        <f>SUM(K837:K879)</f>
        <v>521250</v>
      </c>
      <c r="N880" s="57"/>
      <c r="O880" s="57"/>
      <c r="P880" s="38">
        <f>SUM(P837:P879)</f>
        <v>287258</v>
      </c>
      <c r="Q880" s="38">
        <f>SUM(Q837:Q861)</f>
        <v>-2520</v>
      </c>
      <c r="R880" s="38">
        <f>SUM(R837:R861)</f>
        <v>0</v>
      </c>
      <c r="S880" s="38">
        <f>SUM(S837:S879)</f>
        <v>284738</v>
      </c>
      <c r="T880" s="4"/>
      <c r="U880" s="41">
        <f>SUM(U837:U879)</f>
        <v>1944</v>
      </c>
      <c r="V880" s="41">
        <f>SUM(V837:V861)</f>
        <v>-25752</v>
      </c>
      <c r="W880" s="42">
        <f>SUM(W837:W879)</f>
        <v>260930</v>
      </c>
      <c r="Z880" s="57"/>
      <c r="AA880" s="57"/>
      <c r="AB880" s="38">
        <f>SUM(AB837:AB879)</f>
        <v>133215</v>
      </c>
      <c r="AC880" s="38">
        <f>SUM(AC837:AC861)</f>
        <v>-372</v>
      </c>
      <c r="AD880" s="38">
        <f>SUM(AD837:AD861)</f>
        <v>0</v>
      </c>
      <c r="AE880" s="38">
        <f>SUM(AE837:AE879)</f>
        <v>132843</v>
      </c>
      <c r="AF880" s="4"/>
      <c r="AG880" s="41">
        <f>SUM(AG837:AG879)</f>
        <v>1459.5</v>
      </c>
      <c r="AH880" s="41">
        <f>SUM(AH837:AH861)</f>
        <v>-555</v>
      </c>
      <c r="AI880" s="42">
        <f>SUM(AI837:AI879)</f>
        <v>133747.5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87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87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82</v>
      </c>
      <c r="W888" s="24"/>
      <c r="Y888" s="21" t="s">
        <v>87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6" t="s">
        <v>17</v>
      </c>
      <c r="E890" s="126"/>
      <c r="F890" s="108"/>
      <c r="G890" s="27"/>
      <c r="I890" s="122" t="s">
        <v>18</v>
      </c>
      <c r="J890" s="123"/>
      <c r="K890" s="124" t="s">
        <v>19</v>
      </c>
      <c r="N890" s="25"/>
      <c r="O890" s="26"/>
      <c r="P890" s="126" t="s">
        <v>17</v>
      </c>
      <c r="Q890" s="126"/>
      <c r="R890" s="108"/>
      <c r="S890" s="27"/>
      <c r="U890" s="122" t="s">
        <v>18</v>
      </c>
      <c r="V890" s="123"/>
      <c r="W890" s="124" t="s">
        <v>19</v>
      </c>
      <c r="Z890" s="25"/>
      <c r="AA890" s="26"/>
      <c r="AB890" s="126" t="s">
        <v>17</v>
      </c>
      <c r="AC890" s="126"/>
      <c r="AD890" s="108"/>
      <c r="AE890" s="27"/>
      <c r="AG890" s="122" t="s">
        <v>18</v>
      </c>
      <c r="AH890" s="123"/>
      <c r="AI890" s="124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8" t="s">
        <v>22</v>
      </c>
      <c r="E891" s="77" t="s">
        <v>23</v>
      </c>
      <c r="F891" s="79" t="s">
        <v>32</v>
      </c>
      <c r="G891" s="79" t="s">
        <v>24</v>
      </c>
      <c r="I891" s="29" t="s">
        <v>25</v>
      </c>
      <c r="J891" s="29" t="s">
        <v>26</v>
      </c>
      <c r="K891" s="125"/>
      <c r="N891" s="28" t="s">
        <v>20</v>
      </c>
      <c r="O891" s="28" t="s">
        <v>21</v>
      </c>
      <c r="P891" s="78" t="s">
        <v>22</v>
      </c>
      <c r="Q891" s="79" t="s">
        <v>23</v>
      </c>
      <c r="R891" s="79" t="s">
        <v>32</v>
      </c>
      <c r="S891" s="79" t="s">
        <v>24</v>
      </c>
      <c r="U891" s="29" t="s">
        <v>25</v>
      </c>
      <c r="V891" s="29" t="s">
        <v>26</v>
      </c>
      <c r="W891" s="125"/>
      <c r="Z891" s="28" t="s">
        <v>20</v>
      </c>
      <c r="AA891" s="28" t="s">
        <v>21</v>
      </c>
      <c r="AB891" s="78" t="s">
        <v>22</v>
      </c>
      <c r="AC891" s="79" t="s">
        <v>23</v>
      </c>
      <c r="AD891" s="79" t="s">
        <v>32</v>
      </c>
      <c r="AE891" s="79" t="s">
        <v>24</v>
      </c>
      <c r="AG891" s="29" t="s">
        <v>25</v>
      </c>
      <c r="AH891" s="29" t="s">
        <v>26</v>
      </c>
      <c r="AI891" s="125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88</v>
      </c>
      <c r="C892" s="87">
        <v>8637</v>
      </c>
      <c r="D892" s="32">
        <f>650*45+622*5+500</f>
        <v>32860</v>
      </c>
      <c r="E892" s="32"/>
      <c r="F892" s="32"/>
      <c r="G892" s="32">
        <f t="shared" ref="G892:G925" si="261">SUM(D892:E892)</f>
        <v>32860</v>
      </c>
      <c r="H892" s="12"/>
      <c r="I892" s="12"/>
      <c r="J892" s="12"/>
      <c r="K892" s="12">
        <f t="shared" ref="K892:K925" si="262">SUM(G892:J892)</f>
        <v>32860</v>
      </c>
      <c r="M892" s="10">
        <v>1</v>
      </c>
      <c r="N892" s="30" t="s">
        <v>88</v>
      </c>
      <c r="O892" s="31">
        <v>8581</v>
      </c>
      <c r="P892" s="32">
        <f>650*6+670+66.5</f>
        <v>4636.5</v>
      </c>
      <c r="Q892" s="32"/>
      <c r="R892" s="32"/>
      <c r="S892" s="32">
        <f>SUM(P892:Q892)</f>
        <v>4636.5</v>
      </c>
      <c r="T892" s="12"/>
      <c r="U892" s="12"/>
      <c r="V892" s="12"/>
      <c r="W892" s="12">
        <f>SUM(S892:V892)</f>
        <v>4636.5</v>
      </c>
      <c r="Y892" s="10">
        <v>1</v>
      </c>
      <c r="Z892" s="30" t="s">
        <v>88</v>
      </c>
      <c r="AA892" s="31">
        <v>8517</v>
      </c>
      <c r="AB892" s="32">
        <f>650*19+700</f>
        <v>13050</v>
      </c>
      <c r="AC892" s="32"/>
      <c r="AD892" s="32"/>
      <c r="AE892" s="32">
        <f>SUM(AB892:AC892)</f>
        <v>13050</v>
      </c>
      <c r="AF892" s="12"/>
      <c r="AG892" s="12"/>
      <c r="AH892" s="12"/>
      <c r="AI892" s="12">
        <f>SUM(AE892:AH892)</f>
        <v>13050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88</v>
      </c>
      <c r="C893" s="31">
        <f>C892+1</f>
        <v>8638</v>
      </c>
      <c r="D893" s="32">
        <f>431*650+622*36+229*16</f>
        <v>306206</v>
      </c>
      <c r="E893" s="32">
        <v>-2802</v>
      </c>
      <c r="F893" s="32"/>
      <c r="G893" s="32">
        <f t="shared" si="261"/>
        <v>303404</v>
      </c>
      <c r="H893" s="12"/>
      <c r="I893" s="12"/>
      <c r="J893" s="12">
        <f>-44067+-672</f>
        <v>-44739</v>
      </c>
      <c r="K893" s="12">
        <f t="shared" si="262"/>
        <v>258665</v>
      </c>
      <c r="M893" s="10">
        <v>2</v>
      </c>
      <c r="N893" s="30" t="s">
        <v>88</v>
      </c>
      <c r="O893" s="31">
        <f>O892+1</f>
        <v>8582</v>
      </c>
      <c r="P893" s="32">
        <f>650+9.5</f>
        <v>659.5</v>
      </c>
      <c r="Q893" s="32"/>
      <c r="R893" s="32"/>
      <c r="S893" s="32">
        <f t="shared" ref="S893:S930" si="263">SUM(P893:Q893)</f>
        <v>659.5</v>
      </c>
      <c r="T893" s="12"/>
      <c r="U893" s="12"/>
      <c r="V893" s="12"/>
      <c r="W893" s="12">
        <f t="shared" ref="W893:W933" si="264">SUM(S893:V893)</f>
        <v>659.5</v>
      </c>
      <c r="Y893" s="10">
        <v>2</v>
      </c>
      <c r="Z893" s="30" t="s">
        <v>88</v>
      </c>
      <c r="AA893" s="31">
        <f>AA892+1</f>
        <v>8518</v>
      </c>
      <c r="AB893" s="32">
        <f>650*10+670*5+700*2+622*5+9.5*15</f>
        <v>14502.5</v>
      </c>
      <c r="AC893" s="32"/>
      <c r="AD893" s="32"/>
      <c r="AE893" s="32">
        <f t="shared" ref="AE893:AE924" si="265">SUM(AB893:AC893)</f>
        <v>14502.5</v>
      </c>
      <c r="AF893" s="12"/>
      <c r="AG893" s="12"/>
      <c r="AH893" s="12"/>
      <c r="AI893" s="12">
        <f t="shared" ref="AI893:AI933" si="266">SUM(AE893:AH893)</f>
        <v>14502.5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88</v>
      </c>
      <c r="C894" s="31">
        <f t="shared" ref="C894" si="267">C893+1</f>
        <v>8639</v>
      </c>
      <c r="D894" s="33">
        <f>650*108+670*5+973+622*5+912+1175+872+229*5+500+650+1175+2100</f>
        <v>86162</v>
      </c>
      <c r="E894" s="33"/>
      <c r="F894" s="33"/>
      <c r="G894" s="33">
        <f t="shared" si="261"/>
        <v>86162</v>
      </c>
      <c r="H894" s="34"/>
      <c r="I894" s="34">
        <v>162</v>
      </c>
      <c r="J894" s="34"/>
      <c r="K894" s="34">
        <f t="shared" si="262"/>
        <v>86324</v>
      </c>
      <c r="M894" s="10">
        <v>3</v>
      </c>
      <c r="N894" s="30" t="s">
        <v>88</v>
      </c>
      <c r="O894" s="31">
        <f t="shared" ref="O894:O900" si="268">O893+1</f>
        <v>8583</v>
      </c>
      <c r="P894" s="32">
        <f>650+9.5</f>
        <v>659.5</v>
      </c>
      <c r="Q894" s="32"/>
      <c r="R894" s="32"/>
      <c r="S894" s="32">
        <f t="shared" si="263"/>
        <v>659.5</v>
      </c>
      <c r="T894" s="12"/>
      <c r="U894" s="12"/>
      <c r="V894" s="12"/>
      <c r="W894" s="12">
        <f t="shared" si="264"/>
        <v>659.5</v>
      </c>
      <c r="Y894" s="10">
        <v>3</v>
      </c>
      <c r="Z894" s="30" t="s">
        <v>88</v>
      </c>
      <c r="AA894" s="31">
        <f t="shared" ref="AA894:AA901" si="269">AA893+1</f>
        <v>8519</v>
      </c>
      <c r="AB894" s="33">
        <f>650*70+670*10+622*20+229*4</f>
        <v>65556</v>
      </c>
      <c r="AC894" s="33">
        <v>-600</v>
      </c>
      <c r="AD894" s="32"/>
      <c r="AE894" s="32">
        <f t="shared" si="265"/>
        <v>64956</v>
      </c>
      <c r="AF894" s="12"/>
      <c r="AG894" s="12">
        <f>1887+144</f>
        <v>2031</v>
      </c>
      <c r="AH894" s="12"/>
      <c r="AI894" s="12">
        <f t="shared" si="266"/>
        <v>66987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/>
      <c r="C895" s="11" t="s">
        <v>27</v>
      </c>
      <c r="D895" s="32"/>
      <c r="E895" s="32"/>
      <c r="F895" s="32"/>
      <c r="G895" s="32">
        <f t="shared" si="261"/>
        <v>0</v>
      </c>
      <c r="H895" s="12"/>
      <c r="I895" s="12"/>
      <c r="J895" s="12"/>
      <c r="K895" s="12">
        <f t="shared" si="262"/>
        <v>0</v>
      </c>
      <c r="M895" s="10">
        <v>4</v>
      </c>
      <c r="N895" s="30" t="s">
        <v>88</v>
      </c>
      <c r="O895" s="31">
        <f t="shared" si="268"/>
        <v>8584</v>
      </c>
      <c r="P895" s="32">
        <f>650+9.5</f>
        <v>659.5</v>
      </c>
      <c r="Q895" s="32"/>
      <c r="R895" s="32"/>
      <c r="S895" s="32">
        <f t="shared" si="263"/>
        <v>659.5</v>
      </c>
      <c r="T895" s="12"/>
      <c r="U895" s="12"/>
      <c r="V895" s="12"/>
      <c r="W895" s="12">
        <f t="shared" si="264"/>
        <v>659.5</v>
      </c>
      <c r="Y895" s="10">
        <v>4</v>
      </c>
      <c r="Z895" s="30" t="s">
        <v>88</v>
      </c>
      <c r="AA895" s="31">
        <f t="shared" si="269"/>
        <v>8520</v>
      </c>
      <c r="AB895" s="32">
        <f>650*5+9.5*5</f>
        <v>3297.5</v>
      </c>
      <c r="AC895" s="32"/>
      <c r="AD895" s="32"/>
      <c r="AE895" s="32">
        <f t="shared" si="265"/>
        <v>3297.5</v>
      </c>
      <c r="AF895" s="12"/>
      <c r="AH895" s="12"/>
      <c r="AI895" s="12">
        <f t="shared" si="266"/>
        <v>3297.5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/>
      <c r="C896" s="31"/>
      <c r="D896" s="32"/>
      <c r="E896" s="32"/>
      <c r="F896" s="32"/>
      <c r="G896" s="32">
        <f t="shared" si="261"/>
        <v>0</v>
      </c>
      <c r="H896" s="12"/>
      <c r="I896" s="12"/>
      <c r="J896" s="12"/>
      <c r="K896" s="12">
        <f t="shared" si="262"/>
        <v>0</v>
      </c>
      <c r="M896" s="10">
        <v>5</v>
      </c>
      <c r="N896" s="30" t="s">
        <v>88</v>
      </c>
      <c r="O896" s="31">
        <f t="shared" si="268"/>
        <v>8585</v>
      </c>
      <c r="P896" s="32">
        <f>181*650+622*27+229*8</f>
        <v>136276</v>
      </c>
      <c r="Q896" s="32">
        <v>-1248</v>
      </c>
      <c r="R896" s="32"/>
      <c r="S896" s="32">
        <f t="shared" si="263"/>
        <v>135028</v>
      </c>
      <c r="T896" s="12"/>
      <c r="U896" s="12">
        <v>252</v>
      </c>
      <c r="V896" s="12"/>
      <c r="W896" s="12">
        <f t="shared" si="264"/>
        <v>135280</v>
      </c>
      <c r="Y896" s="10">
        <v>5</v>
      </c>
      <c r="Z896" s="30" t="s">
        <v>88</v>
      </c>
      <c r="AA896" s="31">
        <f t="shared" si="269"/>
        <v>8521</v>
      </c>
      <c r="AB896" s="32">
        <f>650*100+670*5+229*4</f>
        <v>69266</v>
      </c>
      <c r="AC896" s="32">
        <v>-630</v>
      </c>
      <c r="AD896" s="32"/>
      <c r="AE896" s="32">
        <f t="shared" si="265"/>
        <v>68636</v>
      </c>
      <c r="AF896" s="12"/>
      <c r="AG896" s="12"/>
      <c r="AH896" s="12"/>
      <c r="AI896" s="12">
        <f t="shared" si="266"/>
        <v>68636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31"/>
      <c r="D897" s="32"/>
      <c r="E897" s="32"/>
      <c r="F897" s="32"/>
      <c r="G897" s="32">
        <f t="shared" si="261"/>
        <v>0</v>
      </c>
      <c r="H897" s="12"/>
      <c r="I897" s="12"/>
      <c r="J897" s="12"/>
      <c r="K897" s="12">
        <f t="shared" si="262"/>
        <v>0</v>
      </c>
      <c r="M897" s="10">
        <v>6</v>
      </c>
      <c r="N897" s="30" t="s">
        <v>88</v>
      </c>
      <c r="O897" s="31">
        <f t="shared" si="268"/>
        <v>8586</v>
      </c>
      <c r="P897" s="32">
        <f>650*68+700*2</f>
        <v>45600</v>
      </c>
      <c r="Q897" s="32"/>
      <c r="R897" s="32"/>
      <c r="S897" s="32">
        <f t="shared" si="263"/>
        <v>45600</v>
      </c>
      <c r="T897" s="12"/>
      <c r="U897" s="12">
        <f>4.5+222</f>
        <v>226.5</v>
      </c>
      <c r="V897" s="10"/>
      <c r="W897" s="12">
        <f t="shared" si="264"/>
        <v>45826.5</v>
      </c>
      <c r="Y897" s="10">
        <v>6</v>
      </c>
      <c r="Z897" s="30" t="s">
        <v>88</v>
      </c>
      <c r="AA897" s="31">
        <f t="shared" si="269"/>
        <v>8522</v>
      </c>
      <c r="AB897" s="32">
        <f>650*158+622*50</f>
        <v>133800</v>
      </c>
      <c r="AC897" s="32">
        <v>-1248</v>
      </c>
      <c r="AD897" s="32"/>
      <c r="AE897" s="32">
        <f t="shared" si="265"/>
        <v>132552</v>
      </c>
      <c r="AF897" s="12"/>
      <c r="AG897" s="12"/>
      <c r="AH897" s="10"/>
      <c r="AI897" s="12">
        <f t="shared" si="266"/>
        <v>132552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C898" s="31"/>
      <c r="D898" s="32"/>
      <c r="E898" s="32"/>
      <c r="F898" s="32"/>
      <c r="G898" s="32">
        <f t="shared" si="261"/>
        <v>0</v>
      </c>
      <c r="H898" s="12"/>
      <c r="I898" s="12"/>
      <c r="J898" s="12"/>
      <c r="K898" s="12">
        <f t="shared" si="262"/>
        <v>0</v>
      </c>
      <c r="M898" s="10">
        <v>7</v>
      </c>
      <c r="N898" s="30" t="s">
        <v>88</v>
      </c>
      <c r="O898" s="31">
        <f t="shared" si="268"/>
        <v>8587</v>
      </c>
      <c r="P898" s="32">
        <f>650*50+973+229</f>
        <v>33702</v>
      </c>
      <c r="Q898" s="32"/>
      <c r="R898" s="32"/>
      <c r="S898" s="32">
        <f t="shared" si="263"/>
        <v>33702</v>
      </c>
      <c r="T898" s="12"/>
      <c r="U898" s="12">
        <f>5550+40.5+15</f>
        <v>5605.5</v>
      </c>
      <c r="V898" s="12">
        <f>-1443</f>
        <v>-1443</v>
      </c>
      <c r="W898" s="12">
        <f t="shared" si="264"/>
        <v>37864.5</v>
      </c>
      <c r="Y898" s="10">
        <v>7</v>
      </c>
      <c r="Z898" s="30" t="s">
        <v>88</v>
      </c>
      <c r="AA898" s="31">
        <f t="shared" si="269"/>
        <v>8523</v>
      </c>
      <c r="AB898" s="32">
        <f>650*50</f>
        <v>32500</v>
      </c>
      <c r="AC898" s="32"/>
      <c r="AD898" s="32"/>
      <c r="AE898" s="32">
        <f t="shared" si="265"/>
        <v>32500</v>
      </c>
      <c r="AF898" s="12"/>
      <c r="AG898" s="58"/>
      <c r="AH898" s="12">
        <v>-7992</v>
      </c>
      <c r="AI898" s="12">
        <f t="shared" si="266"/>
        <v>24508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31"/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88</v>
      </c>
      <c r="O899" s="31">
        <f t="shared" si="268"/>
        <v>8588</v>
      </c>
      <c r="P899" s="32">
        <f>650*5+9.5*5</f>
        <v>3297.5</v>
      </c>
      <c r="Q899" s="32"/>
      <c r="R899" s="32"/>
      <c r="S899" s="32">
        <f t="shared" si="263"/>
        <v>3297.5</v>
      </c>
      <c r="T899" s="12"/>
      <c r="U899" s="12"/>
      <c r="V899" s="12"/>
      <c r="W899" s="12">
        <f t="shared" si="264"/>
        <v>3297.5</v>
      </c>
      <c r="Y899" s="10">
        <v>8</v>
      </c>
      <c r="Z899" s="30" t="s">
        <v>88</v>
      </c>
      <c r="AA899" s="31">
        <f t="shared" si="269"/>
        <v>8524</v>
      </c>
      <c r="AB899" s="32">
        <f>650*20+622*5</f>
        <v>16110</v>
      </c>
      <c r="AC899" s="32"/>
      <c r="AE899" s="32">
        <f t="shared" si="265"/>
        <v>16110</v>
      </c>
      <c r="AF899" s="12"/>
      <c r="AG899" s="12"/>
      <c r="AH899" s="12"/>
      <c r="AI899" s="12">
        <f t="shared" si="266"/>
        <v>16110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31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88</v>
      </c>
      <c r="O900" s="31">
        <f t="shared" si="268"/>
        <v>8589</v>
      </c>
      <c r="P900" s="32">
        <f>14950+229</f>
        <v>15179</v>
      </c>
      <c r="Q900" s="32"/>
      <c r="R900" s="32"/>
      <c r="S900" s="32">
        <f t="shared" si="263"/>
        <v>15179</v>
      </c>
      <c r="T900" s="12"/>
      <c r="U900" s="12">
        <v>78</v>
      </c>
      <c r="V900" s="12"/>
      <c r="W900" s="12">
        <f t="shared" si="264"/>
        <v>15257</v>
      </c>
      <c r="Y900" s="10">
        <v>9</v>
      </c>
      <c r="Z900" s="30" t="s">
        <v>88</v>
      </c>
      <c r="AA900" s="31">
        <f t="shared" si="269"/>
        <v>8525</v>
      </c>
      <c r="AB900" s="32">
        <f>650*3+500</f>
        <v>2450</v>
      </c>
      <c r="AC900" s="32"/>
      <c r="AD900" s="32"/>
      <c r="AE900" s="32">
        <f t="shared" si="265"/>
        <v>2450</v>
      </c>
      <c r="AF900" s="12"/>
      <c r="AH900" s="12"/>
      <c r="AI900" s="12">
        <f t="shared" si="266"/>
        <v>2450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31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/>
      <c r="O901" s="11" t="s">
        <v>27</v>
      </c>
      <c r="P901" s="32"/>
      <c r="Q901" s="32"/>
      <c r="R901" s="32"/>
      <c r="S901" s="32">
        <f t="shared" si="263"/>
        <v>0</v>
      </c>
      <c r="T901" s="12"/>
      <c r="U901" s="12"/>
      <c r="V901" s="12"/>
      <c r="W901" s="12">
        <f t="shared" si="264"/>
        <v>0</v>
      </c>
      <c r="Y901" s="10">
        <v>10</v>
      </c>
      <c r="Z901" s="30" t="s">
        <v>88</v>
      </c>
      <c r="AA901" s="31">
        <f t="shared" si="269"/>
        <v>8526</v>
      </c>
      <c r="AB901" s="32">
        <f>622*5</f>
        <v>3110</v>
      </c>
      <c r="AC901" s="32"/>
      <c r="AD901" s="32"/>
      <c r="AE901" s="32">
        <f t="shared" si="265"/>
        <v>3110</v>
      </c>
      <c r="AF901" s="12"/>
      <c r="AG901" s="12"/>
      <c r="AH901" s="12"/>
      <c r="AI901" s="12">
        <f t="shared" si="266"/>
        <v>3110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31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/>
      <c r="O902" s="31"/>
      <c r="P902" s="32"/>
      <c r="Q902" s="32"/>
      <c r="R902" s="32"/>
      <c r="S902" s="32">
        <f t="shared" si="263"/>
        <v>0</v>
      </c>
      <c r="T902" s="12"/>
      <c r="U902" s="12"/>
      <c r="V902" s="12"/>
      <c r="W902" s="12">
        <f t="shared" si="264"/>
        <v>0</v>
      </c>
      <c r="Y902" s="10">
        <v>11</v>
      </c>
      <c r="Z902" s="30"/>
      <c r="AA902" s="11" t="s">
        <v>27</v>
      </c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31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/>
      <c r="O903" s="31"/>
      <c r="P903" s="32"/>
      <c r="Q903" s="32"/>
      <c r="R903" s="32"/>
      <c r="S903" s="32">
        <f t="shared" si="263"/>
        <v>0</v>
      </c>
      <c r="T903" s="12"/>
      <c r="U903" s="12"/>
      <c r="V903" s="12"/>
      <c r="W903" s="12">
        <f t="shared" si="26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31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/>
      <c r="O904" s="31"/>
      <c r="P904" s="32"/>
      <c r="Q904" s="32"/>
      <c r="R904" s="32"/>
      <c r="S904" s="32">
        <f t="shared" si="263"/>
        <v>0</v>
      </c>
      <c r="T904" s="12"/>
      <c r="U904" s="12"/>
      <c r="V904" s="12"/>
      <c r="W904" s="12">
        <f t="shared" si="264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31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/>
      <c r="O905" s="31"/>
      <c r="P905" s="32"/>
      <c r="Q905" s="32"/>
      <c r="R905" s="32"/>
      <c r="S905" s="32">
        <f t="shared" si="263"/>
        <v>0</v>
      </c>
      <c r="T905" s="12"/>
      <c r="U905" s="12"/>
      <c r="V905" s="12"/>
      <c r="W905" s="12">
        <f t="shared" si="26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31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/>
      <c r="O906" s="31"/>
      <c r="P906" s="32"/>
      <c r="Q906" s="32"/>
      <c r="R906" s="32"/>
      <c r="S906" s="32">
        <f t="shared" si="263"/>
        <v>0</v>
      </c>
      <c r="T906" s="12"/>
      <c r="U906" s="12"/>
      <c r="V906" s="12"/>
      <c r="W906" s="12">
        <f t="shared" si="26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31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/>
      <c r="O907" s="31"/>
      <c r="P907" s="32"/>
      <c r="Q907" s="32"/>
      <c r="R907" s="32"/>
      <c r="S907" s="32">
        <f t="shared" si="263"/>
        <v>0</v>
      </c>
      <c r="T907" s="12"/>
      <c r="U907" s="12"/>
      <c r="V907" s="12"/>
      <c r="W907" s="12">
        <f t="shared" si="264"/>
        <v>0</v>
      </c>
      <c r="Y907" s="10">
        <v>16</v>
      </c>
      <c r="Z907" s="30"/>
      <c r="AA907" s="31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/>
      <c r="O908" s="31"/>
      <c r="P908" s="35"/>
      <c r="Q908" s="32"/>
      <c r="R908" s="32"/>
      <c r="S908" s="32">
        <f t="shared" si="263"/>
        <v>0</v>
      </c>
      <c r="T908" s="12"/>
      <c r="U908" s="12"/>
      <c r="V908" s="12"/>
      <c r="W908" s="12">
        <f t="shared" si="26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/>
      <c r="O909" s="31"/>
      <c r="P909" s="32"/>
      <c r="Q909" s="32"/>
      <c r="R909" s="32"/>
      <c r="S909" s="32">
        <f t="shared" si="263"/>
        <v>0</v>
      </c>
      <c r="T909" s="12"/>
      <c r="U909" s="12"/>
      <c r="V909" s="12"/>
      <c r="W909" s="12">
        <f t="shared" si="264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/>
      <c r="O910" s="31"/>
      <c r="P910" s="32"/>
      <c r="Q910" s="32"/>
      <c r="R910" s="32"/>
      <c r="S910" s="32">
        <f t="shared" si="263"/>
        <v>0</v>
      </c>
      <c r="T910" s="12"/>
      <c r="U910" s="12"/>
      <c r="V910" s="12"/>
      <c r="W910" s="12">
        <f t="shared" si="26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/>
      <c r="O911" s="31"/>
      <c r="P911" s="32"/>
      <c r="Q911" s="32"/>
      <c r="R911" s="32"/>
      <c r="S911" s="32">
        <f t="shared" si="263"/>
        <v>0</v>
      </c>
      <c r="T911" s="12"/>
      <c r="U911" s="12"/>
      <c r="V911" s="12"/>
      <c r="W911" s="12">
        <f t="shared" si="26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Q914" s="31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B914" s="47"/>
      <c r="AC914" s="31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O916" s="31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O917" s="31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O921" s="31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7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57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O923" s="31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7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7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si="263"/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70">SUM(AB925:AC925)</f>
        <v>0</v>
      </c>
      <c r="AF925" s="10"/>
      <c r="AG925" s="10"/>
      <c r="AH925" s="10"/>
      <c r="AI925" s="12">
        <f t="shared" si="26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7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3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0"/>
        <v>0</v>
      </c>
      <c r="AF926" s="10"/>
      <c r="AG926" s="10"/>
      <c r="AH926" s="10"/>
      <c r="AI926" s="12">
        <f t="shared" si="26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7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3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0"/>
        <v>0</v>
      </c>
      <c r="AF927" s="10"/>
      <c r="AG927" s="10"/>
      <c r="AH927" s="10"/>
      <c r="AI927" s="12">
        <f t="shared" si="26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3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0"/>
        <v>0</v>
      </c>
      <c r="AF928" s="10"/>
      <c r="AG928" s="10"/>
      <c r="AH928" s="10"/>
      <c r="AI928" s="12">
        <f t="shared" si="26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3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0"/>
        <v>0</v>
      </c>
      <c r="AF929" s="10"/>
      <c r="AG929" s="10"/>
      <c r="AH929" s="10"/>
      <c r="AI929" s="12">
        <f t="shared" si="26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3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0"/>
        <v>0</v>
      </c>
      <c r="AF930" s="10"/>
      <c r="AG930" s="10"/>
      <c r="AH930" s="10"/>
      <c r="AI930" s="12">
        <f t="shared" si="26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1">SUM(D932:E932)</f>
        <v>0</v>
      </c>
      <c r="H932" s="10"/>
      <c r="I932" s="10"/>
      <c r="J932" s="10"/>
      <c r="K932" s="12">
        <f t="shared" ref="K932" si="272">SUM(G932:J932)</f>
        <v>0</v>
      </c>
      <c r="M932" s="10"/>
      <c r="N932" s="30"/>
      <c r="O932" s="31"/>
      <c r="P932" s="47"/>
      <c r="Q932" s="31"/>
      <c r="R932" s="31"/>
      <c r="S932" s="32">
        <f t="shared" ref="S932" si="273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4">SUM(AB932:AC932)</f>
        <v>0</v>
      </c>
      <c r="AF932" s="10"/>
      <c r="AG932" s="10"/>
      <c r="AH932" s="10"/>
      <c r="AI932" s="12">
        <f t="shared" si="26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425228</v>
      </c>
      <c r="E935" s="38">
        <f t="shared" ref="E935:F935" si="275">SUM(E892:E932)</f>
        <v>-2802</v>
      </c>
      <c r="F935" s="38">
        <f t="shared" si="275"/>
        <v>0</v>
      </c>
      <c r="G935" s="38">
        <f>SUM(G892:G934)</f>
        <v>422426</v>
      </c>
      <c r="H935" s="4"/>
      <c r="I935" s="39">
        <f>SUM(I892:I934)</f>
        <v>162</v>
      </c>
      <c r="J935" s="39">
        <f>SUM(J892:J934)</f>
        <v>-44739</v>
      </c>
      <c r="K935" s="40">
        <f>SUM(K892:K934)</f>
        <v>377849</v>
      </c>
      <c r="N935" s="57"/>
      <c r="O935" s="57"/>
      <c r="P935" s="38">
        <f>SUM(P892:P934)</f>
        <v>240669.5</v>
      </c>
      <c r="Q935" s="38">
        <f>SUM(Q892:Q916)</f>
        <v>-1248</v>
      </c>
      <c r="R935" s="38">
        <f>SUM(R892:R916)</f>
        <v>0</v>
      </c>
      <c r="S935" s="38">
        <f>SUM(S892:S934)</f>
        <v>239421.5</v>
      </c>
      <c r="T935" s="4"/>
      <c r="U935" s="41">
        <f>SUM(U892:U934)</f>
        <v>6162</v>
      </c>
      <c r="V935" s="41">
        <f>SUM(V892:V916)</f>
        <v>-1443</v>
      </c>
      <c r="W935" s="42">
        <f>SUM(W892:W934)</f>
        <v>244140.5</v>
      </c>
      <c r="Z935" s="57"/>
      <c r="AA935" s="57"/>
      <c r="AB935" s="38">
        <f>SUM(AB892:AB934)</f>
        <v>353642</v>
      </c>
      <c r="AC935" s="38">
        <f>SUM(AC892:AC916)</f>
        <v>-2478</v>
      </c>
      <c r="AD935" s="38">
        <f>SUM(AD892:AD916)</f>
        <v>0</v>
      </c>
      <c r="AE935" s="38">
        <f>SUM(AE892:AE934)</f>
        <v>351164</v>
      </c>
      <c r="AF935" s="4"/>
      <c r="AG935" s="41">
        <f>SUM(AG892:AG934)</f>
        <v>2031</v>
      </c>
      <c r="AH935" s="41">
        <f>SUM(AH892:AH916)</f>
        <v>-7992</v>
      </c>
      <c r="AI935" s="42">
        <f>SUM(AI892:AI934)</f>
        <v>345203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3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3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3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3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3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56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56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56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3"/>
      <c r="AR942" s="62"/>
      <c r="AS942" s="83"/>
      <c r="AT942" s="83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90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90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82</v>
      </c>
      <c r="W943" s="24"/>
      <c r="Y943" s="21" t="s">
        <v>90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6"/>
      <c r="AM943" s="86"/>
      <c r="AN943" s="86"/>
      <c r="AO943" s="86"/>
      <c r="AP943" s="86"/>
      <c r="AQ943" s="83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3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6" t="s">
        <v>17</v>
      </c>
      <c r="E945" s="126"/>
      <c r="F945" s="109"/>
      <c r="G945" s="27"/>
      <c r="I945" s="122" t="s">
        <v>18</v>
      </c>
      <c r="J945" s="123"/>
      <c r="K945" s="124" t="s">
        <v>19</v>
      </c>
      <c r="N945" s="25"/>
      <c r="O945" s="26"/>
      <c r="P945" s="126" t="s">
        <v>17</v>
      </c>
      <c r="Q945" s="126"/>
      <c r="R945" s="109"/>
      <c r="S945" s="27"/>
      <c r="U945" s="122" t="s">
        <v>18</v>
      </c>
      <c r="V945" s="123"/>
      <c r="W945" s="124" t="s">
        <v>19</v>
      </c>
      <c r="Z945" s="25"/>
      <c r="AA945" s="26"/>
      <c r="AB945" s="126" t="s">
        <v>17</v>
      </c>
      <c r="AC945" s="126"/>
      <c r="AD945" s="109"/>
      <c r="AE945" s="27"/>
      <c r="AG945" s="122" t="s">
        <v>18</v>
      </c>
      <c r="AH945" s="123"/>
      <c r="AI945" s="124" t="s">
        <v>19</v>
      </c>
      <c r="AK945" s="62"/>
      <c r="AL945" s="65"/>
      <c r="AM945" s="86"/>
      <c r="AN945" s="128"/>
      <c r="AO945" s="128"/>
      <c r="AP945" s="86"/>
      <c r="AQ945" s="83"/>
      <c r="AR945" s="62"/>
      <c r="AS945" s="128"/>
      <c r="AT945" s="128"/>
      <c r="AU945" s="127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8" t="s">
        <v>22</v>
      </c>
      <c r="E946" s="77" t="s">
        <v>23</v>
      </c>
      <c r="F946" s="79" t="s">
        <v>32</v>
      </c>
      <c r="G946" s="79" t="s">
        <v>24</v>
      </c>
      <c r="I946" s="29" t="s">
        <v>25</v>
      </c>
      <c r="J946" s="29" t="s">
        <v>26</v>
      </c>
      <c r="K946" s="125"/>
      <c r="N946" s="28" t="s">
        <v>20</v>
      </c>
      <c r="O946" s="28" t="s">
        <v>21</v>
      </c>
      <c r="P946" s="78" t="s">
        <v>22</v>
      </c>
      <c r="Q946" s="79" t="s">
        <v>23</v>
      </c>
      <c r="R946" s="79" t="s">
        <v>32</v>
      </c>
      <c r="S946" s="79" t="s">
        <v>24</v>
      </c>
      <c r="U946" s="29" t="s">
        <v>25</v>
      </c>
      <c r="V946" s="29" t="s">
        <v>26</v>
      </c>
      <c r="W946" s="125"/>
      <c r="Z946" s="28" t="s">
        <v>20</v>
      </c>
      <c r="AA946" s="28" t="s">
        <v>21</v>
      </c>
      <c r="AB946" s="78" t="s">
        <v>22</v>
      </c>
      <c r="AC946" s="79" t="s">
        <v>23</v>
      </c>
      <c r="AD946" s="79" t="s">
        <v>32</v>
      </c>
      <c r="AE946" s="79" t="s">
        <v>24</v>
      </c>
      <c r="AG946" s="29" t="s">
        <v>25</v>
      </c>
      <c r="AH946" s="29" t="s">
        <v>26</v>
      </c>
      <c r="AI946" s="125"/>
      <c r="AK946" s="62"/>
      <c r="AL946" s="86"/>
      <c r="AM946" s="86"/>
      <c r="AN946" s="80"/>
      <c r="AO946" s="82"/>
      <c r="AP946" s="82"/>
      <c r="AQ946" s="82"/>
      <c r="AR946" s="62"/>
      <c r="AS946" s="84"/>
      <c r="AT946" s="84"/>
      <c r="AU946" s="127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91</v>
      </c>
      <c r="C947" s="87">
        <v>8640</v>
      </c>
      <c r="D947" s="32">
        <f>647*650+622*50+229*20</f>
        <v>456230</v>
      </c>
      <c r="E947" s="32">
        <v>-4182</v>
      </c>
      <c r="F947" s="32"/>
      <c r="G947" s="32">
        <f t="shared" ref="G947:G980" si="276">SUM(D947:E947)</f>
        <v>452048</v>
      </c>
      <c r="H947" s="12"/>
      <c r="I947" s="12">
        <f>1404</f>
        <v>1404</v>
      </c>
      <c r="J947" s="12">
        <f>-6771+-1008+-756</f>
        <v>-8535</v>
      </c>
      <c r="K947" s="12">
        <f t="shared" ref="K947:K980" si="277">SUM(G947:J947)</f>
        <v>444917</v>
      </c>
      <c r="M947" s="10">
        <v>1</v>
      </c>
      <c r="N947" s="30" t="s">
        <v>91</v>
      </c>
      <c r="O947" s="31">
        <v>8590</v>
      </c>
      <c r="P947" s="32">
        <f>650*4+670+9.5*4</f>
        <v>3308</v>
      </c>
      <c r="Q947" s="32"/>
      <c r="R947" s="32"/>
      <c r="S947" s="32">
        <f>SUM(P947:Q947)</f>
        <v>3308</v>
      </c>
      <c r="T947" s="12"/>
      <c r="U947" s="12"/>
      <c r="V947" s="12"/>
      <c r="W947" s="12">
        <f>SUM(S947:V947)</f>
        <v>3308</v>
      </c>
      <c r="Y947" s="10">
        <v>1</v>
      </c>
      <c r="Z947" s="30" t="s">
        <v>91</v>
      </c>
      <c r="AA947" s="31">
        <v>8527</v>
      </c>
      <c r="AB947" s="32">
        <f>650*324+622*80+229*17+500*3</f>
        <v>265753</v>
      </c>
      <c r="AC947" s="32">
        <v>-2424</v>
      </c>
      <c r="AD947" s="32"/>
      <c r="AE947" s="32">
        <f>SUM(AB947:AC947)</f>
        <v>263329</v>
      </c>
      <c r="AF947" s="12"/>
      <c r="AG947" s="12"/>
      <c r="AH947" s="12"/>
      <c r="AI947" s="12">
        <f>SUM(AE947:AH947)</f>
        <v>263329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91</v>
      </c>
      <c r="C948" s="31">
        <f>C947+1</f>
        <v>8641</v>
      </c>
      <c r="D948" s="32">
        <f>650*15+670*2+622*2+9.5*17</f>
        <v>12495.5</v>
      </c>
      <c r="E948" s="32"/>
      <c r="F948" s="32"/>
      <c r="G948" s="32">
        <f t="shared" si="276"/>
        <v>12495.5</v>
      </c>
      <c r="H948" s="12"/>
      <c r="I948" s="12"/>
      <c r="J948" s="12">
        <v>-1332</v>
      </c>
      <c r="K948" s="12">
        <f t="shared" si="277"/>
        <v>11163.5</v>
      </c>
      <c r="M948" s="10">
        <v>2</v>
      </c>
      <c r="N948" s="30" t="s">
        <v>91</v>
      </c>
      <c r="O948" s="31">
        <f>O947+1</f>
        <v>8591</v>
      </c>
      <c r="P948" s="32">
        <f>650*2+670+2*9.5</f>
        <v>1989</v>
      </c>
      <c r="Q948" s="32"/>
      <c r="R948" s="32"/>
      <c r="S948" s="32">
        <f t="shared" ref="S948:S985" si="278">SUM(P948:Q948)</f>
        <v>1989</v>
      </c>
      <c r="T948" s="12"/>
      <c r="U948" s="12"/>
      <c r="V948" s="12"/>
      <c r="W948" s="12">
        <f t="shared" ref="W948:W988" si="279">SUM(S948:V948)</f>
        <v>1989</v>
      </c>
      <c r="Y948" s="10">
        <v>2</v>
      </c>
      <c r="Z948" s="30" t="s">
        <v>91</v>
      </c>
      <c r="AA948" s="31">
        <f>AA947+1</f>
        <v>8528</v>
      </c>
      <c r="AB948" s="32">
        <f>650*216+229*9</f>
        <v>142461</v>
      </c>
      <c r="AC948" s="32">
        <v>-1296</v>
      </c>
      <c r="AD948" s="32"/>
      <c r="AE948" s="32">
        <f t="shared" ref="AE948:AE979" si="280">SUM(AB948:AC948)</f>
        <v>141165</v>
      </c>
      <c r="AF948" s="12"/>
      <c r="AG948" s="12"/>
      <c r="AH948" s="12"/>
      <c r="AI948" s="12">
        <f t="shared" ref="AI948:AI988" si="281">SUM(AE948:AH948)</f>
        <v>141165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91</v>
      </c>
      <c r="C949" s="31">
        <f t="shared" ref="C949" si="282">C948+1</f>
        <v>8642</v>
      </c>
      <c r="D949" s="33">
        <f>500</f>
        <v>500</v>
      </c>
      <c r="E949" s="33"/>
      <c r="F949" s="33"/>
      <c r="G949" s="33">
        <f t="shared" si="276"/>
        <v>500</v>
      </c>
      <c r="H949" s="34"/>
      <c r="I949" s="34"/>
      <c r="J949" s="34"/>
      <c r="K949" s="34">
        <f t="shared" si="277"/>
        <v>500</v>
      </c>
      <c r="M949" s="10">
        <v>3</v>
      </c>
      <c r="N949" s="30" t="s">
        <v>91</v>
      </c>
      <c r="O949" s="31">
        <f t="shared" ref="O949:O951" si="283">O948+1</f>
        <v>8592</v>
      </c>
      <c r="P949" s="32">
        <f>650+9.5</f>
        <v>659.5</v>
      </c>
      <c r="Q949" s="32"/>
      <c r="R949" s="32"/>
      <c r="S949" s="32">
        <f t="shared" si="278"/>
        <v>659.5</v>
      </c>
      <c r="T949" s="12"/>
      <c r="U949" s="12"/>
      <c r="V949" s="12"/>
      <c r="W949" s="12">
        <f t="shared" si="279"/>
        <v>659.5</v>
      </c>
      <c r="Y949" s="10">
        <v>3</v>
      </c>
      <c r="Z949" s="30" t="s">
        <v>91</v>
      </c>
      <c r="AA949" s="31">
        <f t="shared" ref="AA949" si="284">AA948+1</f>
        <v>8529</v>
      </c>
      <c r="AB949" s="33">
        <f>650*47+670*2+622+9.5*44</f>
        <v>32930</v>
      </c>
      <c r="AC949" s="33">
        <v>-300</v>
      </c>
      <c r="AD949" s="32"/>
      <c r="AE949" s="32">
        <f t="shared" si="280"/>
        <v>32630</v>
      </c>
      <c r="AF949" s="12"/>
      <c r="AG949" s="12"/>
      <c r="AH949" s="12">
        <v>-2220</v>
      </c>
      <c r="AI949" s="12">
        <f t="shared" si="281"/>
        <v>30410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/>
      <c r="C950" s="11" t="s">
        <v>27</v>
      </c>
      <c r="D950" s="32"/>
      <c r="E950" s="32"/>
      <c r="F950" s="32"/>
      <c r="G950" s="32">
        <f t="shared" si="276"/>
        <v>0</v>
      </c>
      <c r="H950" s="12"/>
      <c r="I950" s="12"/>
      <c r="J950" s="12"/>
      <c r="K950" s="12">
        <f t="shared" si="277"/>
        <v>0</v>
      </c>
      <c r="M950" s="10">
        <v>4</v>
      </c>
      <c r="N950" s="30" t="s">
        <v>91</v>
      </c>
      <c r="O950" s="31">
        <f t="shared" si="283"/>
        <v>8593</v>
      </c>
      <c r="P950" s="32">
        <f>650*324+229*11</f>
        <v>213119</v>
      </c>
      <c r="Q950" s="32">
        <v>-1944</v>
      </c>
      <c r="R950" s="32"/>
      <c r="S950" s="32">
        <f t="shared" si="278"/>
        <v>211175</v>
      </c>
      <c r="T950" s="12"/>
      <c r="U950" s="12">
        <v>396</v>
      </c>
      <c r="V950" s="12"/>
      <c r="W950" s="12">
        <f t="shared" si="279"/>
        <v>211571</v>
      </c>
      <c r="Y950" s="10">
        <v>4</v>
      </c>
      <c r="Z950" s="30"/>
      <c r="AA950" s="11" t="s">
        <v>27</v>
      </c>
      <c r="AB950" s="32"/>
      <c r="AC950" s="32"/>
      <c r="AD950" s="32"/>
      <c r="AE950" s="32">
        <f t="shared" si="280"/>
        <v>0</v>
      </c>
      <c r="AF950" s="12"/>
      <c r="AH950" s="12"/>
      <c r="AI950" s="12">
        <f t="shared" si="281"/>
        <v>0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31"/>
      <c r="D951" s="32"/>
      <c r="E951" s="32"/>
      <c r="F951" s="32"/>
      <c r="G951" s="32">
        <f t="shared" si="276"/>
        <v>0</v>
      </c>
      <c r="H951" s="12"/>
      <c r="I951" s="12"/>
      <c r="J951" s="12"/>
      <c r="K951" s="12">
        <f t="shared" si="277"/>
        <v>0</v>
      </c>
      <c r="M951" s="10">
        <v>5</v>
      </c>
      <c r="N951" s="30" t="s">
        <v>91</v>
      </c>
      <c r="O951" s="31">
        <f t="shared" si="283"/>
        <v>8594</v>
      </c>
      <c r="P951" s="32">
        <f>32*650+622*15+9.5*12</f>
        <v>30244</v>
      </c>
      <c r="Q951" s="32"/>
      <c r="R951" s="32"/>
      <c r="S951" s="32">
        <f t="shared" si="278"/>
        <v>30244</v>
      </c>
      <c r="T951" s="12"/>
      <c r="U951" s="12"/>
      <c r="V951" s="12">
        <f>-4.5+-1221</f>
        <v>-1225.5</v>
      </c>
      <c r="W951" s="12">
        <f t="shared" si="279"/>
        <v>29018.5</v>
      </c>
      <c r="Y951" s="10">
        <v>5</v>
      </c>
      <c r="Z951" s="30"/>
      <c r="AA951" s="31"/>
      <c r="AB951" s="32"/>
      <c r="AC951" s="32"/>
      <c r="AD951" s="32"/>
      <c r="AE951" s="32">
        <f t="shared" si="280"/>
        <v>0</v>
      </c>
      <c r="AF951" s="12"/>
      <c r="AG951" s="12"/>
      <c r="AH951" s="12"/>
      <c r="AI951" s="12">
        <f t="shared" si="281"/>
        <v>0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31"/>
      <c r="D952" s="32"/>
      <c r="E952" s="32"/>
      <c r="F952" s="32"/>
      <c r="G952" s="32">
        <f t="shared" si="276"/>
        <v>0</v>
      </c>
      <c r="H952" s="12"/>
      <c r="I952" s="12"/>
      <c r="J952" s="12"/>
      <c r="K952" s="12">
        <f t="shared" si="277"/>
        <v>0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8"/>
        <v>0</v>
      </c>
      <c r="T952" s="12"/>
      <c r="U952" s="12"/>
      <c r="V952" s="10"/>
      <c r="W952" s="12">
        <f t="shared" si="279"/>
        <v>0</v>
      </c>
      <c r="Y952" s="10">
        <v>6</v>
      </c>
      <c r="Z952" s="30"/>
      <c r="AA952" s="31"/>
      <c r="AB952" s="32"/>
      <c r="AC952" s="32"/>
      <c r="AD952" s="32"/>
      <c r="AE952" s="32">
        <f t="shared" si="280"/>
        <v>0</v>
      </c>
      <c r="AF952" s="12"/>
      <c r="AG952" s="12"/>
      <c r="AH952" s="10"/>
      <c r="AI952" s="12">
        <f t="shared" si="281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31"/>
      <c r="D953" s="32"/>
      <c r="E953" s="32"/>
      <c r="F953" s="32"/>
      <c r="G953" s="32">
        <f t="shared" si="276"/>
        <v>0</v>
      </c>
      <c r="H953" s="12"/>
      <c r="I953" s="12"/>
      <c r="J953" s="12"/>
      <c r="K953" s="12">
        <f t="shared" si="277"/>
        <v>0</v>
      </c>
      <c r="M953" s="10">
        <v>7</v>
      </c>
      <c r="N953" s="30"/>
      <c r="O953" s="31"/>
      <c r="P953" s="32"/>
      <c r="Q953" s="32"/>
      <c r="R953" s="32"/>
      <c r="S953" s="32">
        <f t="shared" si="278"/>
        <v>0</v>
      </c>
      <c r="T953" s="12"/>
      <c r="U953" s="12"/>
      <c r="V953" s="12"/>
      <c r="W953" s="12">
        <f t="shared" si="279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0"/>
        <v>0</v>
      </c>
      <c r="AF953" s="12"/>
      <c r="AG953" s="58"/>
      <c r="AH953" s="12"/>
      <c r="AI953" s="12">
        <f t="shared" si="281"/>
        <v>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31"/>
      <c r="D954" s="32"/>
      <c r="E954" s="32"/>
      <c r="F954" s="32"/>
      <c r="G954" s="32">
        <f t="shared" si="276"/>
        <v>0</v>
      </c>
      <c r="H954" s="12"/>
      <c r="I954" s="12"/>
      <c r="J954" s="12"/>
      <c r="K954" s="12">
        <f t="shared" si="277"/>
        <v>0</v>
      </c>
      <c r="M954" s="10">
        <v>8</v>
      </c>
      <c r="N954" s="30"/>
      <c r="O954" s="31"/>
      <c r="P954" s="32"/>
      <c r="Q954" s="32"/>
      <c r="R954" s="32"/>
      <c r="S954" s="32">
        <f t="shared" si="278"/>
        <v>0</v>
      </c>
      <c r="T954" s="12"/>
      <c r="U954" s="12"/>
      <c r="V954" s="12"/>
      <c r="W954" s="12">
        <f t="shared" si="279"/>
        <v>0</v>
      </c>
      <c r="Y954" s="10">
        <v>8</v>
      </c>
      <c r="Z954" s="30"/>
      <c r="AA954" s="31"/>
      <c r="AB954" s="32"/>
      <c r="AC954" s="32"/>
      <c r="AE954" s="32">
        <f t="shared" si="280"/>
        <v>0</v>
      </c>
      <c r="AF954" s="12"/>
      <c r="AG954" s="12"/>
      <c r="AH954" s="12"/>
      <c r="AI954" s="12">
        <f t="shared" si="281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31"/>
      <c r="D955" s="32"/>
      <c r="E955" s="32"/>
      <c r="F955" s="32"/>
      <c r="G955" s="32">
        <f t="shared" si="276"/>
        <v>0</v>
      </c>
      <c r="H955" s="12"/>
      <c r="I955" s="12"/>
      <c r="J955" s="12"/>
      <c r="K955" s="12">
        <f t="shared" si="277"/>
        <v>0</v>
      </c>
      <c r="M955" s="10">
        <v>9</v>
      </c>
      <c r="N955" s="30"/>
      <c r="O955" s="31"/>
      <c r="P955" s="32"/>
      <c r="Q955" s="32"/>
      <c r="R955" s="32"/>
      <c r="S955" s="32">
        <f t="shared" si="278"/>
        <v>0</v>
      </c>
      <c r="T955" s="12"/>
      <c r="U955" s="12"/>
      <c r="V955" s="12"/>
      <c r="W955" s="12">
        <f t="shared" si="279"/>
        <v>0</v>
      </c>
      <c r="Y955" s="10">
        <v>9</v>
      </c>
      <c r="Z955" s="30"/>
      <c r="AA955" s="31"/>
      <c r="AB955" s="32"/>
      <c r="AC955" s="32"/>
      <c r="AD955" s="32"/>
      <c r="AE955" s="32">
        <f t="shared" si="280"/>
        <v>0</v>
      </c>
      <c r="AF955" s="12"/>
      <c r="AH955" s="12"/>
      <c r="AI955" s="12">
        <f t="shared" si="281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31"/>
      <c r="D956" s="32"/>
      <c r="E956" s="32"/>
      <c r="F956" s="32"/>
      <c r="G956" s="32">
        <f t="shared" si="276"/>
        <v>0</v>
      </c>
      <c r="H956" s="12"/>
      <c r="I956" s="12"/>
      <c r="J956" s="12"/>
      <c r="K956" s="12">
        <f t="shared" si="277"/>
        <v>0</v>
      </c>
      <c r="M956" s="10">
        <v>10</v>
      </c>
      <c r="N956" s="30"/>
      <c r="P956" s="32"/>
      <c r="Q956" s="32"/>
      <c r="R956" s="32"/>
      <c r="S956" s="32">
        <f t="shared" si="278"/>
        <v>0</v>
      </c>
      <c r="T956" s="12"/>
      <c r="U956" s="12"/>
      <c r="V956" s="12"/>
      <c r="W956" s="12">
        <f t="shared" si="279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0"/>
        <v>0</v>
      </c>
      <c r="AF956" s="12"/>
      <c r="AG956" s="12"/>
      <c r="AH956" s="12"/>
      <c r="AI956" s="12">
        <f t="shared" si="281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D957" s="32"/>
      <c r="E957" s="32"/>
      <c r="F957" s="32"/>
      <c r="G957" s="32">
        <f t="shared" si="276"/>
        <v>0</v>
      </c>
      <c r="H957" s="12"/>
      <c r="I957" s="12"/>
      <c r="J957" s="12"/>
      <c r="K957" s="12">
        <f t="shared" si="277"/>
        <v>0</v>
      </c>
      <c r="M957" s="10">
        <v>11</v>
      </c>
      <c r="N957" s="30"/>
      <c r="O957" s="31"/>
      <c r="P957" s="32"/>
      <c r="Q957" s="32"/>
      <c r="R957" s="32"/>
      <c r="S957" s="32">
        <f t="shared" si="278"/>
        <v>0</v>
      </c>
      <c r="T957" s="12"/>
      <c r="U957" s="12"/>
      <c r="V957" s="12"/>
      <c r="W957" s="12">
        <f t="shared" si="279"/>
        <v>0</v>
      </c>
      <c r="Y957" s="10">
        <v>11</v>
      </c>
      <c r="Z957" s="30"/>
      <c r="AB957" s="32"/>
      <c r="AC957" s="32"/>
      <c r="AD957" s="32"/>
      <c r="AE957" s="32">
        <f t="shared" si="280"/>
        <v>0</v>
      </c>
      <c r="AF957" s="12"/>
      <c r="AG957" s="12"/>
      <c r="AH957" s="12"/>
      <c r="AI957" s="12">
        <f t="shared" si="281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31"/>
      <c r="D958" s="32"/>
      <c r="E958" s="32"/>
      <c r="F958" s="32"/>
      <c r="G958" s="32">
        <f t="shared" si="276"/>
        <v>0</v>
      </c>
      <c r="H958" s="12"/>
      <c r="I958" s="12"/>
      <c r="J958" s="10"/>
      <c r="K958" s="12">
        <f t="shared" si="277"/>
        <v>0</v>
      </c>
      <c r="M958" s="10">
        <v>12</v>
      </c>
      <c r="N958" s="30"/>
      <c r="O958" s="31"/>
      <c r="P958" s="32"/>
      <c r="Q958" s="32"/>
      <c r="R958" s="32"/>
      <c r="S958" s="32">
        <f t="shared" si="278"/>
        <v>0</v>
      </c>
      <c r="T958" s="12"/>
      <c r="U958" s="12"/>
      <c r="V958" s="12"/>
      <c r="W958" s="12">
        <f t="shared" si="279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0"/>
        <v>0</v>
      </c>
      <c r="AF958" s="12"/>
      <c r="AG958" s="12"/>
      <c r="AH958" s="12"/>
      <c r="AI958" s="12">
        <f t="shared" si="281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31"/>
      <c r="D959" s="32"/>
      <c r="E959" s="32"/>
      <c r="F959" s="32"/>
      <c r="G959" s="32">
        <f t="shared" si="276"/>
        <v>0</v>
      </c>
      <c r="H959" s="12"/>
      <c r="I959" s="12"/>
      <c r="J959" s="12"/>
      <c r="K959" s="12">
        <f t="shared" si="277"/>
        <v>0</v>
      </c>
      <c r="M959" s="10">
        <v>13</v>
      </c>
      <c r="N959" s="30"/>
      <c r="O959" s="31"/>
      <c r="P959" s="32"/>
      <c r="Q959" s="32"/>
      <c r="R959" s="32"/>
      <c r="S959" s="32">
        <f t="shared" si="278"/>
        <v>0</v>
      </c>
      <c r="T959" s="12"/>
      <c r="U959" s="12"/>
      <c r="V959" s="12"/>
      <c r="W959" s="12">
        <f t="shared" si="279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80"/>
        <v>0</v>
      </c>
      <c r="AF959" s="12"/>
      <c r="AG959" s="12"/>
      <c r="AH959" s="12"/>
      <c r="AI959" s="12">
        <f t="shared" si="281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31"/>
      <c r="D960" s="32"/>
      <c r="E960" s="32"/>
      <c r="F960" s="32"/>
      <c r="G960" s="32">
        <f t="shared" si="276"/>
        <v>0</v>
      </c>
      <c r="H960" s="12"/>
      <c r="I960" s="12"/>
      <c r="J960" s="12"/>
      <c r="K960" s="12">
        <f t="shared" si="277"/>
        <v>0</v>
      </c>
      <c r="M960" s="10">
        <v>14</v>
      </c>
      <c r="N960" s="30"/>
      <c r="O960" s="31"/>
      <c r="P960" s="32"/>
      <c r="Q960" s="32"/>
      <c r="R960" s="32"/>
      <c r="S960" s="32">
        <f t="shared" si="278"/>
        <v>0</v>
      </c>
      <c r="T960" s="12"/>
      <c r="U960" s="12"/>
      <c r="V960" s="12"/>
      <c r="W960" s="12">
        <f t="shared" si="279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0"/>
        <v>0</v>
      </c>
      <c r="AF960" s="12"/>
      <c r="AG960" s="12"/>
      <c r="AH960" s="12"/>
      <c r="AI960" s="12">
        <f t="shared" si="281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31"/>
      <c r="D961" s="32"/>
      <c r="E961" s="32"/>
      <c r="F961" s="32"/>
      <c r="G961" s="32">
        <f t="shared" si="276"/>
        <v>0</v>
      </c>
      <c r="H961" s="12"/>
      <c r="I961" s="12"/>
      <c r="J961" s="12"/>
      <c r="K961" s="12">
        <f t="shared" si="277"/>
        <v>0</v>
      </c>
      <c r="M961" s="10">
        <v>15</v>
      </c>
      <c r="N961" s="30"/>
      <c r="O961" s="31"/>
      <c r="P961" s="32"/>
      <c r="Q961" s="32"/>
      <c r="R961" s="32"/>
      <c r="S961" s="32">
        <f t="shared" si="278"/>
        <v>0</v>
      </c>
      <c r="T961" s="12"/>
      <c r="U961" s="12"/>
      <c r="V961" s="12"/>
      <c r="W961" s="12">
        <f t="shared" si="279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80"/>
        <v>0</v>
      </c>
      <c r="AF961" s="12"/>
      <c r="AG961" s="12"/>
      <c r="AH961" s="12"/>
      <c r="AI961" s="12">
        <f t="shared" si="281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31"/>
      <c r="D962" s="32"/>
      <c r="E962" s="32"/>
      <c r="F962" s="32"/>
      <c r="G962" s="32">
        <f t="shared" si="276"/>
        <v>0</v>
      </c>
      <c r="H962" s="12"/>
      <c r="I962" s="12"/>
      <c r="J962" s="12"/>
      <c r="K962" s="12">
        <f t="shared" si="277"/>
        <v>0</v>
      </c>
      <c r="M962" s="10">
        <v>16</v>
      </c>
      <c r="N962" s="30"/>
      <c r="O962" s="31"/>
      <c r="P962" s="32"/>
      <c r="Q962" s="32"/>
      <c r="R962" s="32"/>
      <c r="S962" s="32">
        <f t="shared" si="278"/>
        <v>0</v>
      </c>
      <c r="T962" s="12"/>
      <c r="U962" s="12"/>
      <c r="V962" s="12"/>
      <c r="W962" s="12">
        <f t="shared" si="279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0"/>
        <v>0</v>
      </c>
      <c r="AF962" s="12"/>
      <c r="AG962" s="12"/>
      <c r="AH962" s="12"/>
      <c r="AI962" s="12">
        <f t="shared" si="281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31"/>
      <c r="D963" s="32"/>
      <c r="E963" s="32"/>
      <c r="F963" s="32"/>
      <c r="G963" s="32">
        <f t="shared" si="276"/>
        <v>0</v>
      </c>
      <c r="H963" s="12"/>
      <c r="I963" s="12"/>
      <c r="J963" s="12"/>
      <c r="K963" s="12">
        <f t="shared" si="277"/>
        <v>0</v>
      </c>
      <c r="M963" s="10">
        <v>17</v>
      </c>
      <c r="N963" s="30"/>
      <c r="O963" s="31"/>
      <c r="P963" s="35"/>
      <c r="Q963" s="32"/>
      <c r="R963" s="32"/>
      <c r="S963" s="32">
        <f t="shared" si="278"/>
        <v>0</v>
      </c>
      <c r="T963" s="12"/>
      <c r="U963" s="12"/>
      <c r="V963" s="12"/>
      <c r="W963" s="12">
        <f t="shared" si="279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0"/>
        <v>0</v>
      </c>
      <c r="AF963" s="12"/>
      <c r="AG963" s="12"/>
      <c r="AH963" s="12"/>
      <c r="AI963" s="12">
        <f t="shared" si="281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31"/>
      <c r="D964" s="32"/>
      <c r="E964" s="32"/>
      <c r="F964" s="32"/>
      <c r="G964" s="32">
        <f t="shared" si="276"/>
        <v>0</v>
      </c>
      <c r="H964" s="12"/>
      <c r="I964" s="12"/>
      <c r="J964" s="12"/>
      <c r="K964" s="12">
        <f t="shared" si="277"/>
        <v>0</v>
      </c>
      <c r="M964" s="10">
        <v>18</v>
      </c>
      <c r="N964" s="30"/>
      <c r="O964" s="31"/>
      <c r="P964" s="32"/>
      <c r="Q964" s="32"/>
      <c r="R964" s="32"/>
      <c r="S964" s="32">
        <f t="shared" si="278"/>
        <v>0</v>
      </c>
      <c r="T964" s="12"/>
      <c r="U964" s="12"/>
      <c r="V964" s="12"/>
      <c r="W964" s="12">
        <f t="shared" si="279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0"/>
        <v>0</v>
      </c>
      <c r="AF964" s="12"/>
      <c r="AG964" s="12"/>
      <c r="AH964" s="12"/>
      <c r="AI964" s="12">
        <f t="shared" si="281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31"/>
      <c r="D965" s="32"/>
      <c r="E965" s="32"/>
      <c r="F965" s="32"/>
      <c r="G965" s="32">
        <f t="shared" si="276"/>
        <v>0</v>
      </c>
      <c r="H965" s="12"/>
      <c r="I965" s="12"/>
      <c r="J965" s="12"/>
      <c r="K965" s="12">
        <f t="shared" si="277"/>
        <v>0</v>
      </c>
      <c r="M965" s="10">
        <v>19</v>
      </c>
      <c r="N965" s="30"/>
      <c r="O965" s="31"/>
      <c r="P965" s="32"/>
      <c r="Q965" s="32"/>
      <c r="R965" s="32"/>
      <c r="S965" s="32">
        <f t="shared" si="278"/>
        <v>0</v>
      </c>
      <c r="T965" s="12"/>
      <c r="U965" s="12"/>
      <c r="V965" s="12"/>
      <c r="W965" s="12">
        <f t="shared" si="279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0"/>
        <v>0</v>
      </c>
      <c r="AF965" s="12"/>
      <c r="AG965" s="12"/>
      <c r="AH965" s="12"/>
      <c r="AI965" s="12">
        <f t="shared" si="281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31"/>
      <c r="D966" s="32"/>
      <c r="E966" s="32"/>
      <c r="F966" s="32"/>
      <c r="G966" s="32">
        <f t="shared" si="276"/>
        <v>0</v>
      </c>
      <c r="H966" s="12"/>
      <c r="I966" s="12"/>
      <c r="J966" s="12"/>
      <c r="K966" s="12">
        <f t="shared" si="277"/>
        <v>0</v>
      </c>
      <c r="M966" s="10">
        <v>20</v>
      </c>
      <c r="N966" s="30"/>
      <c r="O966" s="31"/>
      <c r="P966" s="32"/>
      <c r="Q966" s="32"/>
      <c r="R966" s="32"/>
      <c r="S966" s="32">
        <f t="shared" si="278"/>
        <v>0</v>
      </c>
      <c r="T966" s="12"/>
      <c r="U966" s="12"/>
      <c r="V966" s="12"/>
      <c r="W966" s="12">
        <f t="shared" si="279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0"/>
        <v>0</v>
      </c>
      <c r="AF966" s="12"/>
      <c r="AG966" s="12"/>
      <c r="AH966" s="12"/>
      <c r="AI966" s="12">
        <f t="shared" si="281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57"/>
      <c r="D967" s="32"/>
      <c r="E967" s="32"/>
      <c r="F967" s="32"/>
      <c r="G967" s="32">
        <f t="shared" si="276"/>
        <v>0</v>
      </c>
      <c r="H967" s="10"/>
      <c r="I967" s="10"/>
      <c r="J967" s="10"/>
      <c r="K967" s="12">
        <f t="shared" si="277"/>
        <v>0</v>
      </c>
      <c r="M967" s="10">
        <v>21</v>
      </c>
      <c r="N967" s="30"/>
      <c r="P967" s="46"/>
      <c r="Q967" s="31"/>
      <c r="R967" s="31"/>
      <c r="S967" s="32">
        <f t="shared" si="278"/>
        <v>0</v>
      </c>
      <c r="T967" s="10"/>
      <c r="U967" s="10"/>
      <c r="V967" s="10"/>
      <c r="W967" s="12">
        <f t="shared" si="279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80"/>
        <v>0</v>
      </c>
      <c r="AF967" s="10"/>
      <c r="AG967" s="10"/>
      <c r="AH967" s="10"/>
      <c r="AI967" s="12">
        <f t="shared" si="281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31"/>
      <c r="D968" s="32"/>
      <c r="E968" s="32"/>
      <c r="F968" s="32"/>
      <c r="G968" s="32">
        <f t="shared" si="276"/>
        <v>0</v>
      </c>
      <c r="H968" s="10"/>
      <c r="I968" s="10"/>
      <c r="J968" s="10"/>
      <c r="K968" s="12">
        <f t="shared" si="277"/>
        <v>0</v>
      </c>
      <c r="M968" s="10">
        <v>22</v>
      </c>
      <c r="N968" s="30"/>
      <c r="O968" s="31"/>
      <c r="P968" s="45"/>
      <c r="Q968" s="31"/>
      <c r="R968" s="31"/>
      <c r="S968" s="32">
        <f t="shared" si="278"/>
        <v>0</v>
      </c>
      <c r="T968" s="10"/>
      <c r="U968" s="10"/>
      <c r="V968" s="10"/>
      <c r="W968" s="12">
        <f t="shared" si="279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0"/>
        <v>0</v>
      </c>
      <c r="AF968" s="10"/>
      <c r="AG968" s="10"/>
      <c r="AH968" s="10"/>
      <c r="AI968" s="12">
        <f t="shared" si="281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57"/>
      <c r="D969" s="32"/>
      <c r="E969" s="32"/>
      <c r="F969" s="32"/>
      <c r="G969" s="32">
        <f t="shared" si="276"/>
        <v>0</v>
      </c>
      <c r="H969" s="10"/>
      <c r="I969" s="10"/>
      <c r="J969" s="12"/>
      <c r="K969" s="12">
        <f t="shared" si="277"/>
        <v>0</v>
      </c>
      <c r="M969" s="10">
        <v>23</v>
      </c>
      <c r="N969" s="30"/>
      <c r="O969" s="31"/>
      <c r="P969" s="47"/>
      <c r="Q969" s="31"/>
      <c r="S969" s="32">
        <f t="shared" si="278"/>
        <v>0</v>
      </c>
      <c r="T969" s="10"/>
      <c r="U969" s="10"/>
      <c r="V969" s="10"/>
      <c r="W969" s="12">
        <f t="shared" si="279"/>
        <v>0</v>
      </c>
      <c r="Y969" s="10">
        <v>23</v>
      </c>
      <c r="Z969" s="30"/>
      <c r="AB969" s="47"/>
      <c r="AC969" s="31"/>
      <c r="AE969" s="32">
        <f t="shared" si="280"/>
        <v>0</v>
      </c>
      <c r="AF969" s="10"/>
      <c r="AG969" s="10"/>
      <c r="AH969" s="10"/>
      <c r="AI969" s="12">
        <f t="shared" si="281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31"/>
      <c r="D970" s="32"/>
      <c r="E970" s="32"/>
      <c r="F970" s="32"/>
      <c r="G970" s="32">
        <f t="shared" si="276"/>
        <v>0</v>
      </c>
      <c r="H970" s="10"/>
      <c r="I970" s="10"/>
      <c r="J970" s="10"/>
      <c r="K970" s="12">
        <f t="shared" si="277"/>
        <v>0</v>
      </c>
      <c r="M970" s="10">
        <v>24</v>
      </c>
      <c r="N970" s="30"/>
      <c r="O970" s="31"/>
      <c r="P970" s="47"/>
      <c r="Q970" s="31"/>
      <c r="R970" s="31"/>
      <c r="S970" s="32">
        <f t="shared" si="278"/>
        <v>0</v>
      </c>
      <c r="T970" s="10"/>
      <c r="U970" s="10"/>
      <c r="V970" s="10"/>
      <c r="W970" s="12">
        <f t="shared" si="279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0"/>
        <v>0</v>
      </c>
      <c r="AF970" s="10"/>
      <c r="AG970" s="10"/>
      <c r="AH970" s="10"/>
      <c r="AI970" s="12">
        <f t="shared" si="281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76"/>
        <v>0</v>
      </c>
      <c r="H971" s="10"/>
      <c r="I971" s="10"/>
      <c r="J971" s="10"/>
      <c r="K971" s="12">
        <f t="shared" si="277"/>
        <v>0</v>
      </c>
      <c r="M971" s="10">
        <v>25</v>
      </c>
      <c r="N971" s="30"/>
      <c r="O971" s="31"/>
      <c r="P971" s="47"/>
      <c r="Q971" s="31"/>
      <c r="R971" s="31"/>
      <c r="S971" s="32">
        <f t="shared" si="278"/>
        <v>0</v>
      </c>
      <c r="T971" s="10"/>
      <c r="U971" s="10"/>
      <c r="V971" s="10"/>
      <c r="W971" s="12">
        <f t="shared" si="279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0"/>
        <v>0</v>
      </c>
      <c r="AF971" s="10"/>
      <c r="AG971" s="10"/>
      <c r="AH971" s="10"/>
      <c r="AI971" s="12">
        <f t="shared" si="281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31"/>
      <c r="D972" s="32"/>
      <c r="E972" s="32"/>
      <c r="F972" s="32"/>
      <c r="G972" s="32">
        <f t="shared" si="276"/>
        <v>0</v>
      </c>
      <c r="H972" s="10"/>
      <c r="I972" s="10"/>
      <c r="J972" s="10"/>
      <c r="K972" s="12">
        <f t="shared" si="277"/>
        <v>0</v>
      </c>
      <c r="M972" s="10">
        <v>26</v>
      </c>
      <c r="N972" s="30"/>
      <c r="O972" s="31"/>
      <c r="P972" s="47"/>
      <c r="Q972" s="31"/>
      <c r="R972" s="31"/>
      <c r="S972" s="32">
        <f t="shared" si="278"/>
        <v>0</v>
      </c>
      <c r="T972" s="10"/>
      <c r="U972" s="10"/>
      <c r="V972" s="10"/>
      <c r="W972" s="12">
        <f t="shared" si="279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0"/>
        <v>0</v>
      </c>
      <c r="AF972" s="10"/>
      <c r="AG972" s="10"/>
      <c r="AH972" s="10"/>
      <c r="AI972" s="12">
        <f t="shared" si="281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31"/>
      <c r="D973" s="32"/>
      <c r="E973" s="32"/>
      <c r="F973" s="32"/>
      <c r="G973" s="32">
        <f t="shared" si="276"/>
        <v>0</v>
      </c>
      <c r="H973" s="10"/>
      <c r="I973" s="10"/>
      <c r="J973" s="10"/>
      <c r="K973" s="12">
        <f t="shared" si="277"/>
        <v>0</v>
      </c>
      <c r="M973" s="10">
        <v>27</v>
      </c>
      <c r="N973" s="30"/>
      <c r="O973" s="31"/>
      <c r="P973" s="47"/>
      <c r="Q973" s="31"/>
      <c r="R973" s="31"/>
      <c r="S973" s="32">
        <f t="shared" si="278"/>
        <v>0</v>
      </c>
      <c r="T973" s="10"/>
      <c r="U973" s="10"/>
      <c r="V973" s="10"/>
      <c r="W973" s="12">
        <f t="shared" si="279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0"/>
        <v>0</v>
      </c>
      <c r="AF973" s="10"/>
      <c r="AG973" s="10"/>
      <c r="AH973" s="10"/>
      <c r="AI973" s="12">
        <f t="shared" si="281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76"/>
        <v>0</v>
      </c>
      <c r="H974" s="10"/>
      <c r="I974" s="10"/>
      <c r="J974" s="10"/>
      <c r="K974" s="12">
        <f t="shared" si="277"/>
        <v>0</v>
      </c>
      <c r="M974" s="10">
        <v>28</v>
      </c>
      <c r="N974" s="30"/>
      <c r="O974" s="31"/>
      <c r="P974" s="47"/>
      <c r="Q974" s="31"/>
      <c r="R974" s="31"/>
      <c r="S974" s="32">
        <f t="shared" si="278"/>
        <v>0</v>
      </c>
      <c r="T974" s="10"/>
      <c r="U974" s="10"/>
      <c r="V974" s="10"/>
      <c r="W974" s="12">
        <f t="shared" si="279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0"/>
        <v>0</v>
      </c>
      <c r="AF974" s="10"/>
      <c r="AG974" s="10"/>
      <c r="AH974" s="10"/>
      <c r="AI974" s="12">
        <f t="shared" si="281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31"/>
      <c r="D975" s="32"/>
      <c r="E975" s="32"/>
      <c r="F975" s="32"/>
      <c r="G975" s="32">
        <f t="shared" si="276"/>
        <v>0</v>
      </c>
      <c r="H975" s="10"/>
      <c r="I975" s="10"/>
      <c r="J975" s="10"/>
      <c r="K975" s="12">
        <f t="shared" si="277"/>
        <v>0</v>
      </c>
      <c r="M975" s="10">
        <v>29</v>
      </c>
      <c r="N975" s="30"/>
      <c r="P975" s="47"/>
      <c r="Q975" s="31"/>
      <c r="R975" s="31"/>
      <c r="S975" s="32">
        <f t="shared" si="278"/>
        <v>0</v>
      </c>
      <c r="T975" s="10"/>
      <c r="U975" s="10"/>
      <c r="V975" s="10"/>
      <c r="W975" s="12">
        <f t="shared" si="279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0"/>
        <v>0</v>
      </c>
      <c r="AF975" s="10"/>
      <c r="AG975" s="10"/>
      <c r="AH975" s="10"/>
      <c r="AI975" s="12">
        <f t="shared" si="281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6"/>
        <v>0</v>
      </c>
      <c r="H976" s="10"/>
      <c r="I976" s="10"/>
      <c r="J976" s="10"/>
      <c r="K976" s="12">
        <f t="shared" si="277"/>
        <v>0</v>
      </c>
      <c r="M976" s="10">
        <v>30</v>
      </c>
      <c r="N976" s="30"/>
      <c r="O976" s="31"/>
      <c r="P976" s="47"/>
      <c r="Q976" s="31"/>
      <c r="R976" s="31"/>
      <c r="S976" s="32">
        <f t="shared" si="278"/>
        <v>0</v>
      </c>
      <c r="T976" s="10"/>
      <c r="U976" s="10"/>
      <c r="V976" s="10"/>
      <c r="W976" s="12">
        <f t="shared" si="279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0"/>
        <v>0</v>
      </c>
      <c r="AF976" s="10"/>
      <c r="AG976" s="10"/>
      <c r="AH976" s="10"/>
      <c r="AI976" s="12">
        <f t="shared" si="281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7"/>
      <c r="D977" s="32"/>
      <c r="E977" s="32"/>
      <c r="F977" s="32"/>
      <c r="G977" s="32">
        <f t="shared" si="276"/>
        <v>0</v>
      </c>
      <c r="H977" s="10"/>
      <c r="I977" s="10"/>
      <c r="J977" s="10"/>
      <c r="K977" s="12">
        <f t="shared" si="277"/>
        <v>0</v>
      </c>
      <c r="M977" s="10">
        <v>31</v>
      </c>
      <c r="N977" s="30"/>
      <c r="O977" s="31"/>
      <c r="P977" s="47"/>
      <c r="Q977" s="31"/>
      <c r="R977" s="31"/>
      <c r="S977" s="32">
        <f t="shared" si="278"/>
        <v>0</v>
      </c>
      <c r="T977" s="10"/>
      <c r="U977" s="10"/>
      <c r="V977" s="10"/>
      <c r="W977" s="12">
        <f t="shared" si="279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0"/>
        <v>0</v>
      </c>
      <c r="AF977" s="10"/>
      <c r="AG977" s="10"/>
      <c r="AH977" s="10"/>
      <c r="AI977" s="12">
        <f t="shared" si="281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57"/>
      <c r="D978" s="32"/>
      <c r="E978" s="32"/>
      <c r="F978" s="32"/>
      <c r="G978" s="32">
        <f t="shared" si="276"/>
        <v>0</v>
      </c>
      <c r="H978" s="10"/>
      <c r="I978" s="10"/>
      <c r="J978" s="10"/>
      <c r="K978" s="12">
        <f t="shared" si="277"/>
        <v>0</v>
      </c>
      <c r="M978" s="10">
        <v>32</v>
      </c>
      <c r="N978" s="30"/>
      <c r="O978" s="31"/>
      <c r="P978" s="47"/>
      <c r="Q978" s="31"/>
      <c r="R978" s="31"/>
      <c r="S978" s="32">
        <f t="shared" si="278"/>
        <v>0</v>
      </c>
      <c r="T978" s="10"/>
      <c r="U978" s="10"/>
      <c r="V978" s="10"/>
      <c r="W978" s="12">
        <f t="shared" si="279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0"/>
        <v>0</v>
      </c>
      <c r="AF978" s="10"/>
      <c r="AG978" s="10"/>
      <c r="AH978" s="10"/>
      <c r="AI978" s="12">
        <f t="shared" si="281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7"/>
      <c r="D979" s="32"/>
      <c r="E979" s="32"/>
      <c r="F979" s="32"/>
      <c r="G979" s="32">
        <f t="shared" si="276"/>
        <v>0</v>
      </c>
      <c r="H979" s="10"/>
      <c r="I979" s="10"/>
      <c r="J979" s="10"/>
      <c r="K979" s="12">
        <f t="shared" si="277"/>
        <v>0</v>
      </c>
      <c r="M979" s="10">
        <v>33</v>
      </c>
      <c r="N979" s="30"/>
      <c r="O979" s="31"/>
      <c r="P979" s="47"/>
      <c r="Q979" s="31"/>
      <c r="R979" s="31"/>
      <c r="S979" s="32">
        <f t="shared" si="278"/>
        <v>0</v>
      </c>
      <c r="T979" s="10"/>
      <c r="U979" s="10"/>
      <c r="V979" s="10"/>
      <c r="W979" s="12">
        <f t="shared" si="279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0"/>
        <v>0</v>
      </c>
      <c r="AF979" s="10"/>
      <c r="AG979" s="10"/>
      <c r="AH979" s="10"/>
      <c r="AI979" s="12">
        <f t="shared" si="281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7"/>
      <c r="D980" s="32"/>
      <c r="E980" s="32"/>
      <c r="F980" s="32"/>
      <c r="G980" s="32">
        <f t="shared" si="276"/>
        <v>0</v>
      </c>
      <c r="H980" s="10"/>
      <c r="I980" s="10"/>
      <c r="J980" s="10"/>
      <c r="K980" s="12">
        <f t="shared" si="277"/>
        <v>0</v>
      </c>
      <c r="M980" s="10">
        <v>34</v>
      </c>
      <c r="N980" s="30"/>
      <c r="O980" s="31"/>
      <c r="P980" s="47"/>
      <c r="Q980" s="31"/>
      <c r="R980" s="31"/>
      <c r="S980" s="32">
        <f t="shared" si="278"/>
        <v>0</v>
      </c>
      <c r="T980" s="10"/>
      <c r="U980" s="10"/>
      <c r="V980" s="10"/>
      <c r="W980" s="12">
        <f t="shared" si="279"/>
        <v>0</v>
      </c>
      <c r="Y980" s="10">
        <v>34</v>
      </c>
      <c r="Z980" s="30"/>
      <c r="AA980" s="31"/>
      <c r="AB980" s="47"/>
      <c r="AC980" s="31"/>
      <c r="AD980" s="31"/>
      <c r="AE980" s="32">
        <f t="shared" ref="AE980:AE985" si="285">SUM(AB980:AC980)</f>
        <v>0</v>
      </c>
      <c r="AF980" s="10"/>
      <c r="AG980" s="10"/>
      <c r="AH980" s="10"/>
      <c r="AI980" s="12">
        <f t="shared" si="281"/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7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8"/>
        <v>0</v>
      </c>
      <c r="T981" s="10"/>
      <c r="U981" s="10"/>
      <c r="V981" s="10"/>
      <c r="W981" s="12">
        <f t="shared" si="279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5"/>
        <v>0</v>
      </c>
      <c r="AF981" s="10"/>
      <c r="AG981" s="10"/>
      <c r="AH981" s="10"/>
      <c r="AI981" s="12">
        <f t="shared" si="281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7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8"/>
        <v>0</v>
      </c>
      <c r="T982" s="10"/>
      <c r="U982" s="10"/>
      <c r="V982" s="10"/>
      <c r="W982" s="12">
        <f t="shared" si="279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5"/>
        <v>0</v>
      </c>
      <c r="AF982" s="10"/>
      <c r="AG982" s="10"/>
      <c r="AH982" s="10"/>
      <c r="AI982" s="12">
        <f t="shared" si="281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8"/>
        <v>0</v>
      </c>
      <c r="T983" s="10"/>
      <c r="U983" s="10"/>
      <c r="V983" s="10"/>
      <c r="W983" s="12">
        <f t="shared" si="279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5"/>
        <v>0</v>
      </c>
      <c r="AF983" s="10"/>
      <c r="AG983" s="10"/>
      <c r="AH983" s="10"/>
      <c r="AI983" s="12">
        <f t="shared" si="281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8"/>
        <v>0</v>
      </c>
      <c r="T984" s="10"/>
      <c r="U984" s="10"/>
      <c r="V984" s="10"/>
      <c r="W984" s="12">
        <f t="shared" si="279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5"/>
        <v>0</v>
      </c>
      <c r="AF984" s="10"/>
      <c r="AG984" s="10"/>
      <c r="AH984" s="10"/>
      <c r="AI984" s="12">
        <f t="shared" si="281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8"/>
        <v>0</v>
      </c>
      <c r="T985" s="10"/>
      <c r="U985" s="10"/>
      <c r="V985" s="10"/>
      <c r="W985" s="12">
        <f t="shared" si="279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5"/>
        <v>0</v>
      </c>
      <c r="AF985" s="10"/>
      <c r="AG985" s="10"/>
      <c r="AH985" s="10"/>
      <c r="AI985" s="12">
        <f t="shared" si="281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9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1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6">SUM(D987:E987)</f>
        <v>0</v>
      </c>
      <c r="H987" s="10"/>
      <c r="I987" s="10"/>
      <c r="J987" s="10"/>
      <c r="K987" s="12">
        <f t="shared" ref="K987" si="287">SUM(G987:J987)</f>
        <v>0</v>
      </c>
      <c r="M987" s="10"/>
      <c r="N987" s="30"/>
      <c r="O987" s="31"/>
      <c r="P987" s="47"/>
      <c r="Q987" s="31"/>
      <c r="R987" s="31"/>
      <c r="S987" s="32">
        <f t="shared" ref="S987" si="288">SUM(P987:Q987)</f>
        <v>0</v>
      </c>
      <c r="T987" s="10"/>
      <c r="U987" s="10"/>
      <c r="V987" s="10"/>
      <c r="W987" s="12">
        <f t="shared" si="279"/>
        <v>0</v>
      </c>
      <c r="Y987" s="10"/>
      <c r="Z987" s="30"/>
      <c r="AA987" s="31"/>
      <c r="AB987" s="47"/>
      <c r="AC987" s="31"/>
      <c r="AD987" s="31"/>
      <c r="AE987" s="32">
        <f t="shared" ref="AE987" si="289">SUM(AB987:AC987)</f>
        <v>0</v>
      </c>
      <c r="AF987" s="10"/>
      <c r="AG987" s="10"/>
      <c r="AH987" s="10"/>
      <c r="AI987" s="12">
        <f t="shared" si="281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9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1"/>
        <v>0</v>
      </c>
      <c r="AK988" s="62"/>
      <c r="AL988" s="86"/>
      <c r="AM988" s="86"/>
      <c r="AN988" s="86"/>
      <c r="AO988" s="86"/>
      <c r="AP988" s="86"/>
      <c r="AQ988" s="83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3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469225.5</v>
      </c>
      <c r="E990" s="38">
        <f t="shared" ref="E990:F990" si="290">SUM(E947:E987)</f>
        <v>-4182</v>
      </c>
      <c r="F990" s="38">
        <f t="shared" si="290"/>
        <v>0</v>
      </c>
      <c r="G990" s="38">
        <f>SUM(G947:G989)</f>
        <v>465043.5</v>
      </c>
      <c r="H990" s="4"/>
      <c r="I990" s="39">
        <f>SUM(I947:I989)</f>
        <v>1404</v>
      </c>
      <c r="J990" s="39">
        <f>SUM(J947:J989)</f>
        <v>-9867</v>
      </c>
      <c r="K990" s="40">
        <f>SUM(K947:K989)</f>
        <v>456580.5</v>
      </c>
      <c r="N990" s="57"/>
      <c r="O990" s="57"/>
      <c r="P990" s="38">
        <f>SUM(P947:P989)</f>
        <v>249319.5</v>
      </c>
      <c r="Q990" s="38">
        <f>SUM(Q947:Q971)</f>
        <v>-1944</v>
      </c>
      <c r="R990" s="38">
        <f>SUM(R947:R971)</f>
        <v>0</v>
      </c>
      <c r="S990" s="38">
        <f>SUM(S947:S989)</f>
        <v>247375.5</v>
      </c>
      <c r="T990" s="4"/>
      <c r="U990" s="41">
        <f>SUM(U947:U989)</f>
        <v>396</v>
      </c>
      <c r="V990" s="41">
        <f>SUM(V947:V971)</f>
        <v>-1225.5</v>
      </c>
      <c r="W990" s="42">
        <f>SUM(W947:W989)</f>
        <v>246546</v>
      </c>
      <c r="Z990" s="57"/>
      <c r="AA990" s="57"/>
      <c r="AB990" s="38">
        <f>SUM(AB947:AB989)</f>
        <v>441144</v>
      </c>
      <c r="AC990" s="38">
        <f>SUM(AC947:AC971)</f>
        <v>-4020</v>
      </c>
      <c r="AD990" s="38">
        <f>SUM(AD947:AD971)</f>
        <v>0</v>
      </c>
      <c r="AE990" s="38">
        <f>SUM(AE947:AE989)</f>
        <v>437124</v>
      </c>
      <c r="AF990" s="4"/>
      <c r="AG990" s="41">
        <f>SUM(AG947:AG989)</f>
        <v>0</v>
      </c>
      <c r="AH990" s="41">
        <f>SUM(AH947:AH971)</f>
        <v>-2220</v>
      </c>
      <c r="AI990" s="42">
        <f>SUM(AI947:AI989)</f>
        <v>434904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s="62"/>
      <c r="Z992" s="90"/>
      <c r="AA992" s="90"/>
      <c r="AB992" s="90"/>
      <c r="AC992" s="90"/>
      <c r="AD992" s="90"/>
      <c r="AE992" s="90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s="62"/>
      <c r="Z993" s="90"/>
      <c r="AA993" s="90"/>
      <c r="AB993" s="90"/>
      <c r="AC993" s="90"/>
      <c r="AD993" s="90"/>
      <c r="AE993" s="90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Y994" s="62"/>
      <c r="Z994" s="90"/>
      <c r="AA994" s="90"/>
      <c r="AB994" s="90"/>
      <c r="AC994" s="90"/>
      <c r="AD994" s="90"/>
      <c r="AE994" s="90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63"/>
      <c r="Z995" s="90"/>
      <c r="AA995" s="90"/>
      <c r="AB995" s="90"/>
      <c r="AC995" s="90"/>
      <c r="AD995" s="90"/>
      <c r="AE995" s="90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Y996" s="62"/>
      <c r="Z996" s="90"/>
      <c r="AA996" s="90"/>
      <c r="AB996" s="90"/>
      <c r="AC996" s="90"/>
      <c r="AD996" s="90"/>
      <c r="AE996" s="90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40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40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s="62"/>
      <c r="Z997" s="90"/>
      <c r="AA997" s="90"/>
      <c r="AB997" s="90"/>
      <c r="AC997" s="90"/>
      <c r="AD997" s="90"/>
      <c r="AE997" s="90"/>
      <c r="AF997" s="62"/>
      <c r="AG997" s="90"/>
      <c r="AH997" s="90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93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93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82</v>
      </c>
      <c r="W998" s="24"/>
      <c r="Y998" s="64"/>
      <c r="Z998" s="90"/>
      <c r="AA998" s="90"/>
      <c r="AB998" s="90"/>
      <c r="AC998" s="90"/>
      <c r="AD998" s="90"/>
      <c r="AE998" s="90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Y999" s="62"/>
      <c r="Z999" s="90"/>
      <c r="AA999" s="90"/>
      <c r="AB999" s="90"/>
      <c r="AC999" s="90"/>
      <c r="AD999" s="90"/>
      <c r="AE999" s="90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6" t="s">
        <v>17</v>
      </c>
      <c r="E1000" s="126"/>
      <c r="F1000" s="110"/>
      <c r="G1000" s="27"/>
      <c r="I1000" s="122" t="s">
        <v>18</v>
      </c>
      <c r="J1000" s="123"/>
      <c r="K1000" s="124" t="s">
        <v>19</v>
      </c>
      <c r="N1000" s="25"/>
      <c r="O1000" s="26"/>
      <c r="P1000" s="126" t="s">
        <v>17</v>
      </c>
      <c r="Q1000" s="126"/>
      <c r="R1000" s="110"/>
      <c r="S1000" s="27"/>
      <c r="U1000" s="122" t="s">
        <v>18</v>
      </c>
      <c r="V1000" s="123"/>
      <c r="W1000" s="124" t="s">
        <v>19</v>
      </c>
      <c r="Y1000" s="62"/>
      <c r="Z1000" s="65"/>
      <c r="AA1000" s="90"/>
      <c r="AB1000" s="128"/>
      <c r="AC1000" s="128"/>
      <c r="AD1000" s="90"/>
      <c r="AE1000" s="90"/>
      <c r="AF1000" s="62"/>
      <c r="AG1000" s="128"/>
      <c r="AH1000" s="128"/>
      <c r="AI1000" s="127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8" t="s">
        <v>22</v>
      </c>
      <c r="E1001" s="77" t="s">
        <v>23</v>
      </c>
      <c r="F1001" s="79" t="s">
        <v>32</v>
      </c>
      <c r="G1001" s="79" t="s">
        <v>24</v>
      </c>
      <c r="I1001" s="29" t="s">
        <v>25</v>
      </c>
      <c r="J1001" s="29" t="s">
        <v>26</v>
      </c>
      <c r="K1001" s="125"/>
      <c r="N1001" s="28" t="s">
        <v>20</v>
      </c>
      <c r="O1001" s="28" t="s">
        <v>21</v>
      </c>
      <c r="P1001" s="78" t="s">
        <v>22</v>
      </c>
      <c r="Q1001" s="79" t="s">
        <v>23</v>
      </c>
      <c r="R1001" s="79" t="s">
        <v>32</v>
      </c>
      <c r="S1001" s="79" t="s">
        <v>24</v>
      </c>
      <c r="U1001" s="29" t="s">
        <v>25</v>
      </c>
      <c r="V1001" s="29" t="s">
        <v>26</v>
      </c>
      <c r="W1001" s="125"/>
      <c r="Y1001" s="62"/>
      <c r="Z1001" s="90"/>
      <c r="AA1001" s="90"/>
      <c r="AB1001" s="80"/>
      <c r="AC1001" s="82"/>
      <c r="AD1001" s="82"/>
      <c r="AE1001" s="82"/>
      <c r="AF1001" s="62"/>
      <c r="AG1001" s="89"/>
      <c r="AH1001" s="89"/>
      <c r="AI1001" s="127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94</v>
      </c>
      <c r="C1002" s="87">
        <v>8595</v>
      </c>
      <c r="D1002" s="32">
        <f>650*36+670*2+622*5</f>
        <v>27850</v>
      </c>
      <c r="E1002" s="32"/>
      <c r="F1002" s="32"/>
      <c r="G1002" s="32">
        <f t="shared" ref="G1002:G1035" si="291">SUM(D1002:E1002)</f>
        <v>27850</v>
      </c>
      <c r="H1002" s="12"/>
      <c r="I1002" s="12"/>
      <c r="J1002" s="12"/>
      <c r="K1002" s="12">
        <f t="shared" ref="K1002:K1035" si="292">SUM(G1002:J1002)</f>
        <v>27850</v>
      </c>
      <c r="M1002" s="10">
        <v>1</v>
      </c>
      <c r="N1002" s="30" t="s">
        <v>94</v>
      </c>
      <c r="O1002" s="31">
        <v>8643</v>
      </c>
      <c r="P1002" s="32">
        <f>650*3+622+9.5*4</f>
        <v>2610</v>
      </c>
      <c r="Q1002" s="32"/>
      <c r="R1002" s="32"/>
      <c r="S1002" s="32">
        <f>SUM(P1002:Q1002)</f>
        <v>2610</v>
      </c>
      <c r="T1002" s="12"/>
      <c r="U1002" s="12"/>
      <c r="V1002" s="12"/>
      <c r="W1002" s="12">
        <f>SUM(S1002:V1002)</f>
        <v>2610</v>
      </c>
      <c r="Y1002" s="62"/>
      <c r="Z1002" s="66"/>
      <c r="AA1002" s="90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94</v>
      </c>
      <c r="C1003" s="31">
        <f>C1002+1</f>
        <v>8596</v>
      </c>
      <c r="D1003" s="32">
        <f>650</f>
        <v>650</v>
      </c>
      <c r="E1003" s="32"/>
      <c r="F1003" s="32"/>
      <c r="G1003" s="32">
        <f t="shared" si="291"/>
        <v>650</v>
      </c>
      <c r="H1003" s="12"/>
      <c r="I1003" s="12"/>
      <c r="J1003" s="12"/>
      <c r="K1003" s="12">
        <f t="shared" si="292"/>
        <v>650</v>
      </c>
      <c r="M1003" s="10">
        <v>2</v>
      </c>
      <c r="N1003" s="30" t="s">
        <v>94</v>
      </c>
      <c r="O1003" s="31">
        <f>O1002+1</f>
        <v>8644</v>
      </c>
      <c r="P1003" s="32">
        <f>650*6+9.5*6</f>
        <v>3957</v>
      </c>
      <c r="Q1003" s="32"/>
      <c r="R1003" s="32"/>
      <c r="S1003" s="32">
        <f t="shared" ref="S1003:S1040" si="293">SUM(P1003:Q1003)</f>
        <v>3957</v>
      </c>
      <c r="T1003" s="12"/>
      <c r="U1003" s="12"/>
      <c r="V1003" s="12"/>
      <c r="W1003" s="12">
        <f t="shared" ref="W1003:W1043" si="294">SUM(S1003:V1003)</f>
        <v>3957</v>
      </c>
      <c r="Y1003" s="62"/>
      <c r="Z1003" s="66"/>
      <c r="AA1003" s="90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94</v>
      </c>
      <c r="C1004" s="31">
        <f t="shared" ref="C1004:C1015" si="295">C1003+1</f>
        <v>8597</v>
      </c>
      <c r="D1004" s="33">
        <f>650*32+670*3+622*5</f>
        <v>25920</v>
      </c>
      <c r="E1004" s="33"/>
      <c r="F1004" s="33"/>
      <c r="G1004" s="33">
        <f t="shared" si="291"/>
        <v>25920</v>
      </c>
      <c r="H1004" s="34"/>
      <c r="I1004" s="34"/>
      <c r="J1004" s="34"/>
      <c r="K1004" s="34">
        <f t="shared" si="292"/>
        <v>25920</v>
      </c>
      <c r="M1004" s="10">
        <v>3</v>
      </c>
      <c r="N1004" s="30" t="s">
        <v>94</v>
      </c>
      <c r="O1004" s="31">
        <f t="shared" ref="O1004:O1027" si="296">O1003+1</f>
        <v>8645</v>
      </c>
      <c r="P1004" s="32">
        <f>650*47+622*15+229*2</f>
        <v>40338</v>
      </c>
      <c r="Q1004" s="32"/>
      <c r="R1004" s="32"/>
      <c r="S1004" s="32">
        <f t="shared" si="293"/>
        <v>40338</v>
      </c>
      <c r="T1004" s="12"/>
      <c r="U1004" s="12">
        <v>72</v>
      </c>
      <c r="V1004" s="12"/>
      <c r="W1004" s="12">
        <f t="shared" si="294"/>
        <v>40410</v>
      </c>
      <c r="Y1004" s="62"/>
      <c r="Z1004" s="66"/>
      <c r="AA1004" s="90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94</v>
      </c>
      <c r="C1005" s="31">
        <f t="shared" si="295"/>
        <v>8598</v>
      </c>
      <c r="D1005" s="32">
        <f>650*4+622*2+6*9.5</f>
        <v>3901</v>
      </c>
      <c r="E1005" s="32"/>
      <c r="F1005" s="32"/>
      <c r="G1005" s="32">
        <f t="shared" si="291"/>
        <v>3901</v>
      </c>
      <c r="H1005" s="12"/>
      <c r="I1005" s="12"/>
      <c r="J1005" s="12"/>
      <c r="K1005" s="12">
        <f t="shared" si="292"/>
        <v>3901</v>
      </c>
      <c r="M1005" s="10">
        <v>4</v>
      </c>
      <c r="N1005" s="30" t="s">
        <v>94</v>
      </c>
      <c r="O1005" s="31">
        <f t="shared" si="296"/>
        <v>8646</v>
      </c>
      <c r="P1005" s="32">
        <f>650*6+670+57</f>
        <v>4627</v>
      </c>
      <c r="Q1005" s="32"/>
      <c r="R1005" s="32"/>
      <c r="S1005" s="32">
        <f t="shared" si="293"/>
        <v>4627</v>
      </c>
      <c r="T1005" s="12"/>
      <c r="U1005" s="12"/>
      <c r="V1005" s="12"/>
      <c r="W1005" s="12">
        <f t="shared" si="294"/>
        <v>4627</v>
      </c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94</v>
      </c>
      <c r="C1006" s="31">
        <f t="shared" si="295"/>
        <v>8599</v>
      </c>
      <c r="D1006" s="32">
        <f>650*2+622+9.5*3</f>
        <v>1950.5</v>
      </c>
      <c r="E1006" s="32"/>
      <c r="F1006" s="32"/>
      <c r="G1006" s="32">
        <f t="shared" si="291"/>
        <v>1950.5</v>
      </c>
      <c r="H1006" s="12"/>
      <c r="I1006" s="12"/>
      <c r="J1006" s="12"/>
      <c r="K1006" s="12">
        <f t="shared" si="292"/>
        <v>1950.5</v>
      </c>
      <c r="M1006" s="10">
        <v>5</v>
      </c>
      <c r="N1006" s="30" t="s">
        <v>94</v>
      </c>
      <c r="O1006" s="31">
        <f t="shared" si="296"/>
        <v>8647</v>
      </c>
      <c r="P1006" s="32">
        <f>650*3+9.5*3</f>
        <v>1978.5</v>
      </c>
      <c r="Q1006" s="32"/>
      <c r="R1006" s="32"/>
      <c r="S1006" s="32">
        <f t="shared" si="293"/>
        <v>1978.5</v>
      </c>
      <c r="T1006" s="12"/>
      <c r="U1006" s="12"/>
      <c r="V1006" s="12"/>
      <c r="W1006" s="12">
        <f t="shared" si="294"/>
        <v>1978.5</v>
      </c>
      <c r="Y1006" s="62"/>
      <c r="Z1006" s="66"/>
      <c r="AA1006" s="90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94</v>
      </c>
      <c r="C1007" s="31">
        <f t="shared" si="295"/>
        <v>8600</v>
      </c>
      <c r="D1007" s="32">
        <f>650*8+670+9.5*8</f>
        <v>5946</v>
      </c>
      <c r="E1007" s="32"/>
      <c r="F1007" s="32"/>
      <c r="G1007" s="32">
        <f t="shared" si="291"/>
        <v>5946</v>
      </c>
      <c r="H1007" s="12"/>
      <c r="I1007" s="12"/>
      <c r="J1007" s="12"/>
      <c r="K1007" s="12">
        <f t="shared" si="292"/>
        <v>5946</v>
      </c>
      <c r="M1007" s="10">
        <v>6</v>
      </c>
      <c r="N1007" s="30" t="s">
        <v>94</v>
      </c>
      <c r="O1007" s="31">
        <f t="shared" si="296"/>
        <v>8648</v>
      </c>
      <c r="P1007" s="32">
        <f>650*10+622*2</f>
        <v>7744</v>
      </c>
      <c r="Q1007" s="32"/>
      <c r="R1007" s="32"/>
      <c r="S1007" s="32">
        <f t="shared" si="293"/>
        <v>7744</v>
      </c>
      <c r="T1007" s="12"/>
      <c r="U1007" s="12">
        <v>54</v>
      </c>
      <c r="V1007" s="10"/>
      <c r="W1007" s="12">
        <f t="shared" si="294"/>
        <v>7798</v>
      </c>
      <c r="Y1007" s="62"/>
      <c r="Z1007" s="66"/>
      <c r="AA1007" s="90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94</v>
      </c>
      <c r="C1008" s="31">
        <v>8651</v>
      </c>
      <c r="D1008" s="32">
        <f>650+9.5</f>
        <v>659.5</v>
      </c>
      <c r="E1008" s="32"/>
      <c r="F1008" s="32"/>
      <c r="G1008" s="32">
        <f t="shared" si="291"/>
        <v>659.5</v>
      </c>
      <c r="H1008" s="12"/>
      <c r="I1008" s="12"/>
      <c r="J1008" s="12"/>
      <c r="K1008" s="12">
        <f t="shared" si="292"/>
        <v>659.5</v>
      </c>
      <c r="M1008" s="10">
        <v>7</v>
      </c>
      <c r="N1008" s="30" t="s">
        <v>94</v>
      </c>
      <c r="O1008" s="31">
        <f t="shared" si="296"/>
        <v>8649</v>
      </c>
      <c r="P1008" s="32">
        <f>650*6+622+9.5*7</f>
        <v>4588.5</v>
      </c>
      <c r="Q1008" s="32"/>
      <c r="R1008" s="32"/>
      <c r="S1008" s="32">
        <f t="shared" si="293"/>
        <v>4588.5</v>
      </c>
      <c r="T1008" s="12"/>
      <c r="U1008" s="12">
        <v>9</v>
      </c>
      <c r="V1008" s="12"/>
      <c r="W1008" s="12">
        <f t="shared" si="294"/>
        <v>4597.5</v>
      </c>
      <c r="Y1008" s="62"/>
      <c r="Z1008" s="66"/>
      <c r="AA1008" s="90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 t="s">
        <v>94</v>
      </c>
      <c r="C1009" s="31">
        <f t="shared" si="295"/>
        <v>8652</v>
      </c>
      <c r="D1009" s="32">
        <f>650*4+622+9.5*5</f>
        <v>3269.5</v>
      </c>
      <c r="E1009" s="32"/>
      <c r="F1009" s="32"/>
      <c r="G1009" s="32">
        <f t="shared" si="291"/>
        <v>3269.5</v>
      </c>
      <c r="H1009" s="12"/>
      <c r="I1009" s="12"/>
      <c r="J1009" s="12"/>
      <c r="K1009" s="12">
        <f t="shared" si="292"/>
        <v>3269.5</v>
      </c>
      <c r="M1009" s="10">
        <v>8</v>
      </c>
      <c r="N1009" s="30" t="s">
        <v>94</v>
      </c>
      <c r="O1009" s="31">
        <f t="shared" si="296"/>
        <v>8650</v>
      </c>
      <c r="P1009" s="32">
        <f>650*5+9.5*5</f>
        <v>3297.5</v>
      </c>
      <c r="Q1009" s="32"/>
      <c r="R1009" s="32"/>
      <c r="S1009" s="32">
        <f t="shared" si="293"/>
        <v>3297.5</v>
      </c>
      <c r="T1009" s="12"/>
      <c r="U1009" s="12"/>
      <c r="V1009" s="12"/>
      <c r="W1009" s="12">
        <f t="shared" si="294"/>
        <v>3297.5</v>
      </c>
      <c r="Y1009" s="62"/>
      <c r="Z1009" s="66"/>
      <c r="AA1009" s="90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 t="s">
        <v>94</v>
      </c>
      <c r="C1010" s="31">
        <f t="shared" si="295"/>
        <v>8653</v>
      </c>
      <c r="D1010" s="32">
        <f>650*6+622*2+9.5*8</f>
        <v>5220</v>
      </c>
      <c r="E1010" s="32"/>
      <c r="F1010" s="32"/>
      <c r="G1010" s="32">
        <f t="shared" si="291"/>
        <v>5220</v>
      </c>
      <c r="H1010" s="12"/>
      <c r="I1010" s="12"/>
      <c r="J1010" s="12"/>
      <c r="K1010" s="12">
        <f t="shared" si="292"/>
        <v>5220</v>
      </c>
      <c r="M1010" s="10">
        <v>9</v>
      </c>
      <c r="N1010" s="30" t="s">
        <v>94</v>
      </c>
      <c r="O1010" s="31">
        <v>8701</v>
      </c>
      <c r="P1010" s="32">
        <f>650*10+670+9.5*10</f>
        <v>7265</v>
      </c>
      <c r="Q1010" s="32"/>
      <c r="R1010" s="32"/>
      <c r="S1010" s="32">
        <f t="shared" si="293"/>
        <v>7265</v>
      </c>
      <c r="T1010" s="12"/>
      <c r="U1010" s="12"/>
      <c r="V1010" s="12"/>
      <c r="W1010" s="12">
        <f t="shared" si="294"/>
        <v>7265</v>
      </c>
      <c r="Y1010" s="62"/>
      <c r="Z1010" s="66"/>
      <c r="AA1010" s="90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 t="s">
        <v>94</v>
      </c>
      <c r="C1011" s="31">
        <f t="shared" si="295"/>
        <v>8654</v>
      </c>
      <c r="D1011" s="32">
        <f>650*19+670*2+622*3</f>
        <v>15556</v>
      </c>
      <c r="E1011" s="32"/>
      <c r="F1011" s="32"/>
      <c r="G1011" s="32">
        <f t="shared" si="291"/>
        <v>15556</v>
      </c>
      <c r="H1011" s="12"/>
      <c r="I1011" s="12"/>
      <c r="J1011" s="12"/>
      <c r="K1011" s="12">
        <f t="shared" si="292"/>
        <v>15556</v>
      </c>
      <c r="M1011" s="10">
        <v>10</v>
      </c>
      <c r="N1011" s="30" t="s">
        <v>94</v>
      </c>
      <c r="O1011" s="31">
        <f t="shared" si="296"/>
        <v>8702</v>
      </c>
      <c r="P1011" s="32">
        <f>650*3+9.5*3</f>
        <v>1978.5</v>
      </c>
      <c r="Q1011" s="32"/>
      <c r="R1011" s="32"/>
      <c r="S1011" s="32">
        <f t="shared" si="293"/>
        <v>1978.5</v>
      </c>
      <c r="T1011" s="12"/>
      <c r="U1011" s="12"/>
      <c r="V1011" s="12"/>
      <c r="W1011" s="12">
        <f t="shared" si="294"/>
        <v>1978.5</v>
      </c>
      <c r="Y1011" s="62"/>
      <c r="Z1011" s="66"/>
      <c r="AA1011" s="90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 t="s">
        <v>94</v>
      </c>
      <c r="C1012" s="31">
        <f t="shared" si="295"/>
        <v>8655</v>
      </c>
      <c r="D1012" s="32">
        <f>650*8+9.5*8</f>
        <v>5276</v>
      </c>
      <c r="E1012" s="32"/>
      <c r="F1012" s="32"/>
      <c r="G1012" s="32">
        <f t="shared" si="291"/>
        <v>5276</v>
      </c>
      <c r="H1012" s="12"/>
      <c r="I1012" s="12"/>
      <c r="J1012" s="12"/>
      <c r="K1012" s="12">
        <f t="shared" si="292"/>
        <v>5276</v>
      </c>
      <c r="M1012" s="10">
        <v>11</v>
      </c>
      <c r="N1012" s="30" t="s">
        <v>94</v>
      </c>
      <c r="O1012" s="31">
        <f t="shared" si="296"/>
        <v>8703</v>
      </c>
      <c r="P1012" s="32">
        <f>650*4</f>
        <v>2600</v>
      </c>
      <c r="Q1012" s="32"/>
      <c r="R1012" s="32"/>
      <c r="S1012" s="32">
        <f t="shared" si="293"/>
        <v>2600</v>
      </c>
      <c r="T1012" s="12"/>
      <c r="U1012" s="12"/>
      <c r="V1012" s="12"/>
      <c r="W1012" s="12">
        <f t="shared" si="294"/>
        <v>2600</v>
      </c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 t="s">
        <v>94</v>
      </c>
      <c r="C1013" s="31">
        <f t="shared" si="295"/>
        <v>8656</v>
      </c>
      <c r="D1013" s="32">
        <f>650*8+1175+9.5*8</f>
        <v>6451</v>
      </c>
      <c r="E1013" s="32"/>
      <c r="F1013" s="32"/>
      <c r="G1013" s="32">
        <f t="shared" si="291"/>
        <v>6451</v>
      </c>
      <c r="H1013" s="12"/>
      <c r="I1013" s="12">
        <f>49.5+4.5</f>
        <v>54</v>
      </c>
      <c r="J1013" s="10"/>
      <c r="K1013" s="12">
        <f t="shared" si="292"/>
        <v>6505</v>
      </c>
      <c r="M1013" s="10">
        <v>12</v>
      </c>
      <c r="N1013" s="30" t="s">
        <v>94</v>
      </c>
      <c r="O1013" s="31">
        <f t="shared" si="296"/>
        <v>8704</v>
      </c>
      <c r="P1013" s="32">
        <f>650*4+9.5*4</f>
        <v>2638</v>
      </c>
      <c r="Q1013" s="32"/>
      <c r="R1013" s="32"/>
      <c r="S1013" s="32">
        <f t="shared" si="293"/>
        <v>2638</v>
      </c>
      <c r="T1013" s="12"/>
      <c r="U1013" s="12"/>
      <c r="V1013" s="12"/>
      <c r="W1013" s="12">
        <f t="shared" si="294"/>
        <v>2638</v>
      </c>
      <c r="Y1013" s="62"/>
      <c r="Z1013" s="66"/>
      <c r="AA1013" s="90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 t="s">
        <v>94</v>
      </c>
      <c r="C1014" s="31">
        <f t="shared" si="295"/>
        <v>8657</v>
      </c>
      <c r="D1014" s="32">
        <f>650*2+9.5*2</f>
        <v>1319</v>
      </c>
      <c r="E1014" s="32"/>
      <c r="F1014" s="32"/>
      <c r="G1014" s="32">
        <f t="shared" si="291"/>
        <v>1319</v>
      </c>
      <c r="H1014" s="12"/>
      <c r="I1014" s="12"/>
      <c r="J1014" s="12"/>
      <c r="K1014" s="12">
        <f t="shared" si="292"/>
        <v>1319</v>
      </c>
      <c r="M1014" s="10">
        <v>13</v>
      </c>
      <c r="N1014" s="30" t="s">
        <v>94</v>
      </c>
      <c r="O1014" s="31">
        <f t="shared" si="296"/>
        <v>8705</v>
      </c>
      <c r="P1014" s="32">
        <f>650+622+9.5*2</f>
        <v>1291</v>
      </c>
      <c r="Q1014" s="32"/>
      <c r="R1014" s="32"/>
      <c r="S1014" s="32">
        <f t="shared" si="293"/>
        <v>1291</v>
      </c>
      <c r="T1014" s="12"/>
      <c r="U1014" s="12"/>
      <c r="V1014" s="12"/>
      <c r="W1014" s="12">
        <f t="shared" si="294"/>
        <v>1291</v>
      </c>
      <c r="Y1014" s="62"/>
      <c r="Z1014" s="66"/>
      <c r="AA1014" s="90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 t="s">
        <v>94</v>
      </c>
      <c r="C1015" s="31">
        <f t="shared" si="295"/>
        <v>8658</v>
      </c>
      <c r="D1015" s="32">
        <f>650+622+9.5*2</f>
        <v>1291</v>
      </c>
      <c r="E1015" s="32"/>
      <c r="F1015" s="32"/>
      <c r="G1015" s="32">
        <f t="shared" si="291"/>
        <v>1291</v>
      </c>
      <c r="H1015" s="12"/>
      <c r="I1015" s="12"/>
      <c r="J1015" s="12"/>
      <c r="K1015" s="12">
        <f t="shared" si="292"/>
        <v>1291</v>
      </c>
      <c r="M1015" s="10">
        <v>14</v>
      </c>
      <c r="N1015" s="30" t="s">
        <v>94</v>
      </c>
      <c r="O1015" s="31">
        <f t="shared" si="296"/>
        <v>8706</v>
      </c>
      <c r="P1015" s="32">
        <f>650*7+9.5*7</f>
        <v>4616.5</v>
      </c>
      <c r="Q1015" s="32"/>
      <c r="R1015" s="32"/>
      <c r="S1015" s="32">
        <f t="shared" si="293"/>
        <v>4616.5</v>
      </c>
      <c r="T1015" s="12"/>
      <c r="U1015" s="12"/>
      <c r="V1015" s="12"/>
      <c r="W1015" s="12">
        <f t="shared" si="294"/>
        <v>4616.5</v>
      </c>
      <c r="Y1015" s="62"/>
      <c r="Z1015" s="66"/>
      <c r="AA1015" s="90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11" t="s">
        <v>27</v>
      </c>
      <c r="D1016" s="32"/>
      <c r="E1016" s="32"/>
      <c r="F1016" s="32"/>
      <c r="G1016" s="32">
        <f t="shared" si="291"/>
        <v>0</v>
      </c>
      <c r="H1016" s="12"/>
      <c r="I1016" s="12"/>
      <c r="J1016" s="12"/>
      <c r="K1016" s="12">
        <f t="shared" si="292"/>
        <v>0</v>
      </c>
      <c r="M1016" s="10">
        <v>15</v>
      </c>
      <c r="N1016" s="30" t="s">
        <v>94</v>
      </c>
      <c r="O1016" s="31">
        <f t="shared" si="296"/>
        <v>8707</v>
      </c>
      <c r="P1016" s="32">
        <f>650*8+9.5*8</f>
        <v>5276</v>
      </c>
      <c r="Q1016" s="32"/>
      <c r="R1016" s="32"/>
      <c r="S1016" s="32">
        <f t="shared" si="293"/>
        <v>5276</v>
      </c>
      <c r="T1016" s="12"/>
      <c r="U1016" s="12"/>
      <c r="V1016" s="12"/>
      <c r="W1016" s="12">
        <f t="shared" si="294"/>
        <v>5276</v>
      </c>
      <c r="Y1016" s="62"/>
      <c r="Z1016" s="66"/>
      <c r="AA1016" s="90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31"/>
      <c r="D1017" s="32"/>
      <c r="E1017" s="32"/>
      <c r="F1017" s="32"/>
      <c r="G1017" s="32">
        <f t="shared" si="291"/>
        <v>0</v>
      </c>
      <c r="H1017" s="12"/>
      <c r="I1017" s="12"/>
      <c r="J1017" s="12"/>
      <c r="K1017" s="12">
        <f t="shared" si="292"/>
        <v>0</v>
      </c>
      <c r="M1017" s="10">
        <v>16</v>
      </c>
      <c r="N1017" s="30" t="s">
        <v>94</v>
      </c>
      <c r="O1017" s="31">
        <f t="shared" si="296"/>
        <v>8708</v>
      </c>
      <c r="P1017" s="32">
        <f>650*5+9.5*5</f>
        <v>3297.5</v>
      </c>
      <c r="Q1017" s="32"/>
      <c r="R1017" s="32"/>
      <c r="S1017" s="32">
        <f t="shared" si="293"/>
        <v>3297.5</v>
      </c>
      <c r="T1017" s="12"/>
      <c r="U1017" s="12"/>
      <c r="V1017" s="12"/>
      <c r="W1017" s="12">
        <f t="shared" si="294"/>
        <v>3297.5</v>
      </c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31"/>
      <c r="D1018" s="32"/>
      <c r="E1018" s="32"/>
      <c r="F1018" s="32"/>
      <c r="G1018" s="32">
        <f t="shared" si="291"/>
        <v>0</v>
      </c>
      <c r="H1018" s="12"/>
      <c r="I1018" s="12"/>
      <c r="J1018" s="12"/>
      <c r="K1018" s="12">
        <f t="shared" si="292"/>
        <v>0</v>
      </c>
      <c r="M1018" s="10">
        <v>17</v>
      </c>
      <c r="N1018" s="30" t="s">
        <v>94</v>
      </c>
      <c r="O1018" s="31">
        <f t="shared" si="296"/>
        <v>8709</v>
      </c>
      <c r="P1018" s="35">
        <f>650*4+622+9.5*5</f>
        <v>3269.5</v>
      </c>
      <c r="Q1018" s="32"/>
      <c r="R1018" s="32"/>
      <c r="S1018" s="32">
        <f t="shared" si="293"/>
        <v>3269.5</v>
      </c>
      <c r="T1018" s="12"/>
      <c r="U1018" s="12"/>
      <c r="V1018" s="12"/>
      <c r="W1018" s="12">
        <f t="shared" si="294"/>
        <v>3269.5</v>
      </c>
      <c r="Y1018" s="62"/>
      <c r="Z1018" s="66"/>
      <c r="AA1018" s="90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31"/>
      <c r="D1019" s="32"/>
      <c r="E1019" s="32"/>
      <c r="F1019" s="32"/>
      <c r="G1019" s="32">
        <f t="shared" si="291"/>
        <v>0</v>
      </c>
      <c r="H1019" s="12"/>
      <c r="I1019" s="12"/>
      <c r="J1019" s="12"/>
      <c r="K1019" s="12">
        <f t="shared" si="292"/>
        <v>0</v>
      </c>
      <c r="M1019" s="10">
        <v>18</v>
      </c>
      <c r="N1019" s="30" t="s">
        <v>94</v>
      </c>
      <c r="O1019" s="31">
        <f t="shared" si="296"/>
        <v>8710</v>
      </c>
      <c r="P1019" s="32">
        <f>650*6+9.5*6</f>
        <v>3957</v>
      </c>
      <c r="Q1019" s="32"/>
      <c r="R1019" s="32"/>
      <c r="S1019" s="32">
        <f t="shared" si="293"/>
        <v>3957</v>
      </c>
      <c r="T1019" s="12"/>
      <c r="U1019" s="12"/>
      <c r="V1019" s="12"/>
      <c r="W1019" s="12">
        <f t="shared" si="294"/>
        <v>3957</v>
      </c>
      <c r="Y1019" s="62"/>
      <c r="Z1019" s="66"/>
      <c r="AA1019" s="90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31"/>
      <c r="D1020" s="32"/>
      <c r="E1020" s="32"/>
      <c r="F1020" s="32"/>
      <c r="G1020" s="32">
        <f t="shared" si="291"/>
        <v>0</v>
      </c>
      <c r="H1020" s="12"/>
      <c r="I1020" s="12"/>
      <c r="J1020" s="12"/>
      <c r="K1020" s="12">
        <f t="shared" si="292"/>
        <v>0</v>
      </c>
      <c r="M1020" s="10">
        <v>19</v>
      </c>
      <c r="N1020" s="30" t="s">
        <v>94</v>
      </c>
      <c r="O1020" s="31">
        <f t="shared" si="296"/>
        <v>8711</v>
      </c>
      <c r="P1020" s="32">
        <f>650*10+622*2</f>
        <v>7744</v>
      </c>
      <c r="Q1020" s="32"/>
      <c r="R1020" s="32"/>
      <c r="S1020" s="32">
        <f t="shared" si="293"/>
        <v>7744</v>
      </c>
      <c r="T1020" s="12"/>
      <c r="U1020" s="12"/>
      <c r="V1020" s="12"/>
      <c r="W1020" s="12">
        <f t="shared" si="294"/>
        <v>7744</v>
      </c>
      <c r="Y1020" s="62"/>
      <c r="Z1020" s="66"/>
      <c r="AA1020" s="90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31"/>
      <c r="D1021" s="32"/>
      <c r="E1021" s="32"/>
      <c r="F1021" s="32"/>
      <c r="G1021" s="32">
        <f t="shared" si="291"/>
        <v>0</v>
      </c>
      <c r="H1021" s="12"/>
      <c r="I1021" s="12"/>
      <c r="J1021" s="12"/>
      <c r="K1021" s="12">
        <f t="shared" si="292"/>
        <v>0</v>
      </c>
      <c r="M1021" s="10">
        <v>20</v>
      </c>
      <c r="N1021" s="30" t="s">
        <v>94</v>
      </c>
      <c r="O1021" s="31">
        <f t="shared" si="296"/>
        <v>8712</v>
      </c>
      <c r="P1021" s="32">
        <f>650*9+670*2+622*3</f>
        <v>9056</v>
      </c>
      <c r="Q1021" s="32"/>
      <c r="R1021" s="32"/>
      <c r="S1021" s="32">
        <f t="shared" si="293"/>
        <v>9056</v>
      </c>
      <c r="T1021" s="12"/>
      <c r="U1021" s="12">
        <v>72</v>
      </c>
      <c r="V1021" s="12"/>
      <c r="W1021" s="12">
        <f t="shared" si="294"/>
        <v>9128</v>
      </c>
      <c r="Y1021" s="62"/>
      <c r="Z1021" s="66"/>
      <c r="AA1021" s="90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31"/>
      <c r="D1022" s="32"/>
      <c r="E1022" s="32"/>
      <c r="F1022" s="32"/>
      <c r="G1022" s="32">
        <f t="shared" si="291"/>
        <v>0</v>
      </c>
      <c r="H1022" s="10"/>
      <c r="I1022" s="10"/>
      <c r="J1022" s="10"/>
      <c r="K1022" s="12">
        <f t="shared" si="292"/>
        <v>0</v>
      </c>
      <c r="M1022" s="10">
        <v>21</v>
      </c>
      <c r="N1022" s="30" t="s">
        <v>94</v>
      </c>
      <c r="O1022" s="31">
        <f t="shared" si="296"/>
        <v>8713</v>
      </c>
      <c r="P1022" s="46">
        <f>650*4+973+912+9.5*4</f>
        <v>4523</v>
      </c>
      <c r="Q1022" s="31"/>
      <c r="R1022" s="31"/>
      <c r="S1022" s="32">
        <f t="shared" si="293"/>
        <v>4523</v>
      </c>
      <c r="T1022" s="10"/>
      <c r="U1022" s="10">
        <v>19.5</v>
      </c>
      <c r="V1022" s="10"/>
      <c r="W1022" s="12">
        <f t="shared" si="294"/>
        <v>4542.5</v>
      </c>
      <c r="Y1022" s="62"/>
      <c r="Z1022" s="66"/>
      <c r="AA1022" s="90"/>
      <c r="AB1022" s="67"/>
      <c r="AC1022" s="90"/>
      <c r="AD1022" s="90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31"/>
      <c r="D1023" s="32"/>
      <c r="E1023" s="32"/>
      <c r="F1023" s="32"/>
      <c r="G1023" s="32">
        <f t="shared" si="291"/>
        <v>0</v>
      </c>
      <c r="H1023" s="10"/>
      <c r="I1023" s="10"/>
      <c r="J1023" s="10"/>
      <c r="K1023" s="12">
        <f t="shared" si="292"/>
        <v>0</v>
      </c>
      <c r="M1023" s="10">
        <v>22</v>
      </c>
      <c r="N1023" s="30" t="s">
        <v>94</v>
      </c>
      <c r="O1023" s="31">
        <f t="shared" si="296"/>
        <v>8714</v>
      </c>
      <c r="P1023" s="45">
        <f>650*5+9.5*5</f>
        <v>3297.5</v>
      </c>
      <c r="Q1023" s="31"/>
      <c r="R1023" s="31"/>
      <c r="S1023" s="32">
        <f t="shared" si="293"/>
        <v>3297.5</v>
      </c>
      <c r="T1023" s="10"/>
      <c r="U1023" s="10"/>
      <c r="V1023" s="10"/>
      <c r="W1023" s="12">
        <f t="shared" si="294"/>
        <v>3297.5</v>
      </c>
      <c r="Y1023" s="62"/>
      <c r="Z1023" s="66"/>
      <c r="AA1023" s="90"/>
      <c r="AB1023" s="68"/>
      <c r="AC1023" s="90"/>
      <c r="AD1023" s="90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57"/>
      <c r="D1024" s="32"/>
      <c r="E1024" s="32"/>
      <c r="F1024" s="32"/>
      <c r="G1024" s="32">
        <f t="shared" si="291"/>
        <v>0</v>
      </c>
      <c r="H1024" s="10"/>
      <c r="I1024" s="10"/>
      <c r="J1024" s="12"/>
      <c r="K1024" s="12">
        <f t="shared" si="292"/>
        <v>0</v>
      </c>
      <c r="M1024" s="10">
        <v>23</v>
      </c>
      <c r="N1024" s="30" t="s">
        <v>94</v>
      </c>
      <c r="O1024" s="31">
        <f t="shared" si="296"/>
        <v>8715</v>
      </c>
      <c r="P1024" s="47">
        <f>650*5+622+9.5*6</f>
        <v>3929</v>
      </c>
      <c r="Q1024" s="31"/>
      <c r="S1024" s="32">
        <f t="shared" si="293"/>
        <v>3929</v>
      </c>
      <c r="T1024" s="10"/>
      <c r="U1024" s="10"/>
      <c r="V1024" s="10"/>
      <c r="W1024" s="12">
        <f t="shared" si="294"/>
        <v>3929</v>
      </c>
      <c r="Y1024" s="62"/>
      <c r="Z1024" s="66"/>
      <c r="AA1024" s="90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31"/>
      <c r="D1025" s="32"/>
      <c r="E1025" s="32"/>
      <c r="F1025" s="32"/>
      <c r="G1025" s="32">
        <f t="shared" si="291"/>
        <v>0</v>
      </c>
      <c r="H1025" s="10"/>
      <c r="I1025" s="10"/>
      <c r="J1025" s="10"/>
      <c r="K1025" s="12">
        <f t="shared" si="292"/>
        <v>0</v>
      </c>
      <c r="M1025" s="10">
        <v>24</v>
      </c>
      <c r="N1025" s="30" t="s">
        <v>94</v>
      </c>
      <c r="O1025" s="31">
        <f t="shared" si="296"/>
        <v>8716</v>
      </c>
      <c r="P1025" s="47">
        <f>650*5+670+700</f>
        <v>4620</v>
      </c>
      <c r="Q1025" s="31"/>
      <c r="R1025" s="31"/>
      <c r="S1025" s="32">
        <f t="shared" si="293"/>
        <v>4620</v>
      </c>
      <c r="T1025" s="10"/>
      <c r="U1025" s="10"/>
      <c r="V1025" s="10"/>
      <c r="W1025" s="12">
        <f t="shared" si="294"/>
        <v>4620</v>
      </c>
      <c r="Y1025" s="62"/>
      <c r="Z1025" s="66"/>
      <c r="AA1025" s="90"/>
      <c r="AB1025" s="69"/>
      <c r="AC1025" s="90"/>
      <c r="AD1025" s="90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31"/>
      <c r="D1026" s="32"/>
      <c r="E1026" s="32"/>
      <c r="F1026" s="32"/>
      <c r="G1026" s="32">
        <f t="shared" si="291"/>
        <v>0</v>
      </c>
      <c r="H1026" s="10"/>
      <c r="I1026" s="10"/>
      <c r="J1026" s="10"/>
      <c r="K1026" s="12">
        <f t="shared" si="292"/>
        <v>0</v>
      </c>
      <c r="M1026" s="10">
        <v>25</v>
      </c>
      <c r="N1026" s="30" t="s">
        <v>94</v>
      </c>
      <c r="O1026" s="31">
        <f t="shared" si="296"/>
        <v>8717</v>
      </c>
      <c r="P1026" s="47">
        <f>650*4+9.5*4</f>
        <v>2638</v>
      </c>
      <c r="Q1026" s="31"/>
      <c r="R1026" s="31"/>
      <c r="S1026" s="32">
        <f t="shared" si="293"/>
        <v>2638</v>
      </c>
      <c r="T1026" s="10"/>
      <c r="U1026" s="10"/>
      <c r="V1026" s="10"/>
      <c r="W1026" s="12">
        <f t="shared" si="294"/>
        <v>2638</v>
      </c>
      <c r="Y1026" s="62"/>
      <c r="Z1026" s="66"/>
      <c r="AA1026" s="62"/>
      <c r="AB1026" s="69"/>
      <c r="AC1026" s="90"/>
      <c r="AD1026" s="90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31"/>
      <c r="D1027" s="32"/>
      <c r="E1027" s="32"/>
      <c r="F1027" s="32"/>
      <c r="G1027" s="32">
        <f t="shared" si="291"/>
        <v>0</v>
      </c>
      <c r="H1027" s="10"/>
      <c r="I1027" s="10"/>
      <c r="J1027" s="10"/>
      <c r="K1027" s="12">
        <f t="shared" si="292"/>
        <v>0</v>
      </c>
      <c r="M1027" s="10">
        <v>26</v>
      </c>
      <c r="N1027" s="30" t="s">
        <v>94</v>
      </c>
      <c r="O1027" s="31">
        <f t="shared" si="296"/>
        <v>8718</v>
      </c>
      <c r="P1027" s="47">
        <f>650*4+9.5*4</f>
        <v>2638</v>
      </c>
      <c r="Q1027" s="31"/>
      <c r="R1027" s="31"/>
      <c r="S1027" s="32">
        <f t="shared" si="293"/>
        <v>2638</v>
      </c>
      <c r="T1027" s="10"/>
      <c r="U1027" s="10"/>
      <c r="V1027" s="10"/>
      <c r="W1027" s="12">
        <f t="shared" si="294"/>
        <v>2638</v>
      </c>
      <c r="Y1027" s="62"/>
      <c r="Z1027" s="66"/>
      <c r="AA1027" s="62"/>
      <c r="AB1027" s="69"/>
      <c r="AC1027" s="90"/>
      <c r="AD1027" s="90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31"/>
      <c r="D1028" s="32"/>
      <c r="E1028" s="32"/>
      <c r="F1028" s="32"/>
      <c r="G1028" s="32">
        <f t="shared" si="291"/>
        <v>0</v>
      </c>
      <c r="H1028" s="10"/>
      <c r="I1028" s="10"/>
      <c r="J1028" s="10"/>
      <c r="K1028" s="12">
        <f t="shared" si="292"/>
        <v>0</v>
      </c>
      <c r="M1028" s="10">
        <v>27</v>
      </c>
      <c r="N1028" s="30"/>
      <c r="O1028" s="11" t="s">
        <v>27</v>
      </c>
      <c r="P1028" s="47"/>
      <c r="Q1028" s="31"/>
      <c r="R1028" s="31"/>
      <c r="S1028" s="32">
        <f t="shared" si="293"/>
        <v>0</v>
      </c>
      <c r="T1028" s="10"/>
      <c r="U1028" s="10"/>
      <c r="V1028" s="10"/>
      <c r="W1028" s="12">
        <f t="shared" si="294"/>
        <v>0</v>
      </c>
      <c r="Y1028" s="62"/>
      <c r="Z1028" s="66"/>
      <c r="AA1028" s="90"/>
      <c r="AB1028" s="69"/>
      <c r="AC1028" s="90"/>
      <c r="AD1028" s="90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31"/>
      <c r="D1029" s="32"/>
      <c r="E1029" s="32"/>
      <c r="F1029" s="32"/>
      <c r="G1029" s="32">
        <f t="shared" si="291"/>
        <v>0</v>
      </c>
      <c r="H1029" s="10"/>
      <c r="I1029" s="10"/>
      <c r="J1029" s="10"/>
      <c r="K1029" s="12">
        <f t="shared" si="292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3"/>
        <v>0</v>
      </c>
      <c r="T1029" s="10"/>
      <c r="U1029" s="10"/>
      <c r="V1029" s="10"/>
      <c r="W1029" s="12">
        <f t="shared" si="294"/>
        <v>0</v>
      </c>
      <c r="Y1029" s="62"/>
      <c r="Z1029" s="66"/>
      <c r="AA1029" s="90"/>
      <c r="AB1029" s="69"/>
      <c r="AC1029" s="90"/>
      <c r="AD1029" s="90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31"/>
      <c r="D1030" s="32"/>
      <c r="E1030" s="32"/>
      <c r="F1030" s="32"/>
      <c r="G1030" s="32">
        <f t="shared" si="291"/>
        <v>0</v>
      </c>
      <c r="H1030" s="10"/>
      <c r="I1030" s="10"/>
      <c r="J1030" s="10"/>
      <c r="K1030" s="12">
        <f t="shared" si="292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93"/>
        <v>0</v>
      </c>
      <c r="T1030" s="10"/>
      <c r="U1030" s="10"/>
      <c r="V1030" s="10"/>
      <c r="W1030" s="12">
        <f t="shared" si="294"/>
        <v>0</v>
      </c>
      <c r="Y1030" s="62"/>
      <c r="Z1030" s="66"/>
      <c r="AA1030" s="90"/>
      <c r="AB1030" s="69"/>
      <c r="AC1030" s="90"/>
      <c r="AD1030" s="90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D1031" s="32"/>
      <c r="E1031" s="32"/>
      <c r="F1031" s="32"/>
      <c r="G1031" s="32">
        <f t="shared" si="291"/>
        <v>0</v>
      </c>
      <c r="H1031" s="10"/>
      <c r="I1031" s="10"/>
      <c r="J1031" s="10"/>
      <c r="K1031" s="12">
        <f t="shared" si="292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93"/>
        <v>0</v>
      </c>
      <c r="T1031" s="10"/>
      <c r="U1031" s="10"/>
      <c r="V1031" s="10"/>
      <c r="W1031" s="12">
        <f t="shared" si="294"/>
        <v>0</v>
      </c>
      <c r="Y1031" s="62"/>
      <c r="Z1031" s="66"/>
      <c r="AA1031" s="62"/>
      <c r="AB1031" s="69"/>
      <c r="AC1031" s="90"/>
      <c r="AD1031" s="90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87"/>
      <c r="D1032" s="32"/>
      <c r="E1032" s="32"/>
      <c r="F1032" s="32"/>
      <c r="G1032" s="32">
        <f t="shared" si="291"/>
        <v>0</v>
      </c>
      <c r="H1032" s="10"/>
      <c r="I1032" s="10"/>
      <c r="J1032" s="10"/>
      <c r="K1032" s="12">
        <f t="shared" si="292"/>
        <v>0</v>
      </c>
      <c r="M1032" s="10">
        <v>31</v>
      </c>
      <c r="N1032" s="30"/>
      <c r="P1032" s="47"/>
      <c r="Q1032" s="31"/>
      <c r="R1032" s="31"/>
      <c r="S1032" s="32">
        <f t="shared" si="293"/>
        <v>0</v>
      </c>
      <c r="T1032" s="10"/>
      <c r="U1032" s="10"/>
      <c r="V1032" s="10"/>
      <c r="W1032" s="12">
        <f t="shared" si="294"/>
        <v>0</v>
      </c>
      <c r="Y1032" s="62"/>
      <c r="Z1032" s="66"/>
      <c r="AA1032" s="62"/>
      <c r="AB1032" s="69"/>
      <c r="AC1032" s="90"/>
      <c r="AD1032" s="90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57"/>
      <c r="D1033" s="32"/>
      <c r="E1033" s="32"/>
      <c r="F1033" s="32"/>
      <c r="G1033" s="32">
        <f t="shared" si="291"/>
        <v>0</v>
      </c>
      <c r="H1033" s="10"/>
      <c r="I1033" s="10"/>
      <c r="J1033" s="10"/>
      <c r="K1033" s="12">
        <f t="shared" si="292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93"/>
        <v>0</v>
      </c>
      <c r="T1033" s="10"/>
      <c r="U1033" s="10"/>
      <c r="V1033" s="10"/>
      <c r="W1033" s="12">
        <f t="shared" si="294"/>
        <v>0</v>
      </c>
      <c r="Y1033" s="62"/>
      <c r="Z1033" s="66"/>
      <c r="AA1033" s="90"/>
      <c r="AB1033" s="69"/>
      <c r="AC1033" s="90"/>
      <c r="AD1033" s="90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87"/>
      <c r="D1034" s="32"/>
      <c r="E1034" s="32"/>
      <c r="F1034" s="32"/>
      <c r="G1034" s="32">
        <f t="shared" si="291"/>
        <v>0</v>
      </c>
      <c r="H1034" s="10"/>
      <c r="I1034" s="10"/>
      <c r="J1034" s="10"/>
      <c r="K1034" s="12">
        <f t="shared" si="292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3"/>
        <v>0</v>
      </c>
      <c r="T1034" s="10"/>
      <c r="U1034" s="10"/>
      <c r="V1034" s="10"/>
      <c r="W1034" s="12">
        <f t="shared" si="294"/>
        <v>0</v>
      </c>
      <c r="Y1034" s="62"/>
      <c r="Z1034" s="66"/>
      <c r="AA1034" s="90"/>
      <c r="AB1034" s="69"/>
      <c r="AC1034" s="90"/>
      <c r="AD1034" s="90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87"/>
      <c r="D1035" s="32"/>
      <c r="E1035" s="32"/>
      <c r="F1035" s="32"/>
      <c r="G1035" s="32">
        <f t="shared" si="291"/>
        <v>0</v>
      </c>
      <c r="H1035" s="10"/>
      <c r="I1035" s="10"/>
      <c r="J1035" s="10"/>
      <c r="K1035" s="12">
        <f t="shared" si="292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93"/>
        <v>0</v>
      </c>
      <c r="T1035" s="10"/>
      <c r="U1035" s="10"/>
      <c r="V1035" s="10"/>
      <c r="W1035" s="12">
        <f t="shared" si="294"/>
        <v>0</v>
      </c>
      <c r="Y1035" s="62"/>
      <c r="Z1035" s="66"/>
      <c r="AA1035" s="62"/>
      <c r="AB1035" s="69"/>
      <c r="AC1035" s="90"/>
      <c r="AD1035" s="90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7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93"/>
        <v>0</v>
      </c>
      <c r="T1036" s="10"/>
      <c r="U1036" s="10"/>
      <c r="V1036" s="10"/>
      <c r="W1036" s="12">
        <f t="shared" si="294"/>
        <v>0</v>
      </c>
      <c r="Y1036" s="62"/>
      <c r="Z1036" s="66"/>
      <c r="AA1036" s="90"/>
      <c r="AB1036" s="69"/>
      <c r="AC1036" s="90"/>
      <c r="AD1036" s="90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7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93"/>
        <v>0</v>
      </c>
      <c r="T1037" s="10"/>
      <c r="U1037" s="10"/>
      <c r="V1037" s="10"/>
      <c r="W1037" s="12">
        <f t="shared" si="294"/>
        <v>0</v>
      </c>
      <c r="Y1037" s="62"/>
      <c r="Z1037" s="66"/>
      <c r="AA1037" s="90"/>
      <c r="AB1037" s="69"/>
      <c r="AC1037" s="90"/>
      <c r="AD1037" s="90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93"/>
        <v>0</v>
      </c>
      <c r="T1038" s="10"/>
      <c r="U1038" s="10"/>
      <c r="V1038" s="10"/>
      <c r="W1038" s="12">
        <f t="shared" si="294"/>
        <v>0</v>
      </c>
      <c r="Y1038" s="62"/>
      <c r="Z1038" s="66"/>
      <c r="AA1038" s="90"/>
      <c r="AB1038" s="69"/>
      <c r="AC1038" s="90"/>
      <c r="AD1038" s="90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93"/>
        <v>0</v>
      </c>
      <c r="T1039" s="10"/>
      <c r="U1039" s="10"/>
      <c r="V1039" s="10"/>
      <c r="W1039" s="12">
        <f t="shared" si="294"/>
        <v>0</v>
      </c>
      <c r="Y1039" s="62"/>
      <c r="Z1039" s="66"/>
      <c r="AA1039" s="90"/>
      <c r="AB1039" s="69"/>
      <c r="AC1039" s="90"/>
      <c r="AD1039" s="90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93"/>
        <v>0</v>
      </c>
      <c r="T1040" s="10"/>
      <c r="U1040" s="10"/>
      <c r="V1040" s="10"/>
      <c r="W1040" s="12">
        <f t="shared" si="294"/>
        <v>0</v>
      </c>
      <c r="Y1040" s="62"/>
      <c r="Z1040" s="66"/>
      <c r="AA1040" s="90"/>
      <c r="AB1040" s="69"/>
      <c r="AC1040" s="90"/>
      <c r="AD1040" s="90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4"/>
        <v>0</v>
      </c>
      <c r="Y1041" s="62"/>
      <c r="Z1041" s="66"/>
      <c r="AA1041" s="62"/>
      <c r="AB1041" s="69"/>
      <c r="AC1041" s="90"/>
      <c r="AD1041" s="90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97">SUM(D1042:E1042)</f>
        <v>0</v>
      </c>
      <c r="H1042" s="10"/>
      <c r="I1042" s="10"/>
      <c r="J1042" s="10"/>
      <c r="K1042" s="12">
        <f t="shared" ref="K1042" si="298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99">SUM(P1042:Q1042)</f>
        <v>0</v>
      </c>
      <c r="T1042" s="10"/>
      <c r="U1042" s="10"/>
      <c r="V1042" s="10"/>
      <c r="W1042" s="12">
        <f t="shared" si="294"/>
        <v>0</v>
      </c>
      <c r="Y1042" s="62"/>
      <c r="Z1042" s="66"/>
      <c r="AA1042" s="90"/>
      <c r="AB1042" s="69"/>
      <c r="AC1042" s="90"/>
      <c r="AD1042" s="90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4"/>
        <v>0</v>
      </c>
      <c r="Y1043" s="62"/>
      <c r="Z1043" s="90"/>
      <c r="AA1043" s="90"/>
      <c r="AB1043" s="90"/>
      <c r="AC1043" s="90"/>
      <c r="AD1043" s="90"/>
      <c r="AE1043" s="90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Y1044" s="62"/>
      <c r="Z1044" s="90"/>
      <c r="AA1044" s="90"/>
      <c r="AB1044" s="90"/>
      <c r="AC1044" s="90"/>
      <c r="AD1044" s="90"/>
      <c r="AE1044" s="90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105259.5</v>
      </c>
      <c r="E1045" s="38">
        <f t="shared" ref="E1045:F1045" si="300">SUM(E1002:E1042)</f>
        <v>0</v>
      </c>
      <c r="F1045" s="38">
        <f t="shared" si="300"/>
        <v>0</v>
      </c>
      <c r="G1045" s="38">
        <f>SUM(G1002:G1044)</f>
        <v>105259.5</v>
      </c>
      <c r="H1045" s="4"/>
      <c r="I1045" s="39">
        <f>SUM(I1002:I1044)</f>
        <v>54</v>
      </c>
      <c r="J1045" s="39">
        <f>SUM(J1002:J1044)</f>
        <v>0</v>
      </c>
      <c r="K1045" s="40">
        <f>SUM(K1002:K1044)</f>
        <v>105313.5</v>
      </c>
      <c r="N1045" s="57"/>
      <c r="O1045" s="57"/>
      <c r="P1045" s="38">
        <f>SUM(P1002:P1044)</f>
        <v>143775</v>
      </c>
      <c r="Q1045" s="38">
        <f>SUM(Q1002:Q1026)</f>
        <v>0</v>
      </c>
      <c r="R1045" s="38">
        <f>SUM(R1002:R1026)</f>
        <v>0</v>
      </c>
      <c r="S1045" s="38">
        <f>SUM(S1002:S1044)</f>
        <v>143775</v>
      </c>
      <c r="T1045" s="4"/>
      <c r="U1045" s="41">
        <f>SUM(U1002:U1044)</f>
        <v>226.5</v>
      </c>
      <c r="V1045" s="41">
        <f>SUM(V1002:V1026)</f>
        <v>0</v>
      </c>
      <c r="W1045" s="42">
        <f>SUM(W1002:W1044)</f>
        <v>144001.5</v>
      </c>
      <c r="Y1045" s="62"/>
      <c r="Z1045" s="90"/>
      <c r="AA1045" s="90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41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41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41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96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96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98</v>
      </c>
      <c r="W1053" s="24"/>
      <c r="Y1053" s="21" t="s">
        <v>96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82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6" t="s">
        <v>17</v>
      </c>
      <c r="E1055" s="126"/>
      <c r="F1055" s="111"/>
      <c r="G1055" s="27"/>
      <c r="I1055" s="122" t="s">
        <v>18</v>
      </c>
      <c r="J1055" s="123"/>
      <c r="K1055" s="124" t="s">
        <v>19</v>
      </c>
      <c r="N1055" s="25"/>
      <c r="O1055" s="26"/>
      <c r="P1055" s="126" t="s">
        <v>17</v>
      </c>
      <c r="Q1055" s="126"/>
      <c r="R1055" s="111"/>
      <c r="S1055" s="27"/>
      <c r="U1055" s="122" t="s">
        <v>18</v>
      </c>
      <c r="V1055" s="123"/>
      <c r="W1055" s="124" t="s">
        <v>19</v>
      </c>
      <c r="Z1055" s="25"/>
      <c r="AA1055" s="26"/>
      <c r="AB1055" s="126" t="s">
        <v>17</v>
      </c>
      <c r="AC1055" s="126"/>
      <c r="AD1055" s="111"/>
      <c r="AE1055" s="27"/>
      <c r="AG1055" s="122" t="s">
        <v>18</v>
      </c>
      <c r="AH1055" s="123"/>
      <c r="AI1055" s="124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8" t="s">
        <v>22</v>
      </c>
      <c r="E1056" s="77" t="s">
        <v>23</v>
      </c>
      <c r="F1056" s="79" t="s">
        <v>32</v>
      </c>
      <c r="G1056" s="79" t="s">
        <v>24</v>
      </c>
      <c r="I1056" s="29" t="s">
        <v>25</v>
      </c>
      <c r="J1056" s="29" t="s">
        <v>26</v>
      </c>
      <c r="K1056" s="125"/>
      <c r="N1056" s="28" t="s">
        <v>20</v>
      </c>
      <c r="O1056" s="28" t="s">
        <v>21</v>
      </c>
      <c r="P1056" s="78" t="s">
        <v>22</v>
      </c>
      <c r="Q1056" s="79" t="s">
        <v>23</v>
      </c>
      <c r="R1056" s="79" t="s">
        <v>32</v>
      </c>
      <c r="S1056" s="79" t="s">
        <v>24</v>
      </c>
      <c r="U1056" s="29" t="s">
        <v>25</v>
      </c>
      <c r="V1056" s="29" t="s">
        <v>26</v>
      </c>
      <c r="W1056" s="125"/>
      <c r="Z1056" s="28" t="s">
        <v>20</v>
      </c>
      <c r="AA1056" s="28" t="s">
        <v>21</v>
      </c>
      <c r="AB1056" s="78" t="s">
        <v>22</v>
      </c>
      <c r="AC1056" s="79" t="s">
        <v>23</v>
      </c>
      <c r="AD1056" s="79" t="s">
        <v>32</v>
      </c>
      <c r="AE1056" s="79" t="s">
        <v>24</v>
      </c>
      <c r="AG1056" s="29" t="s">
        <v>25</v>
      </c>
      <c r="AH1056" s="29" t="s">
        <v>26</v>
      </c>
      <c r="AI1056" s="125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97</v>
      </c>
      <c r="C1057" s="87">
        <v>8530</v>
      </c>
      <c r="D1057" s="32">
        <f>650*18+622*3+9.5*21</f>
        <v>13765.5</v>
      </c>
      <c r="E1057" s="32"/>
      <c r="F1057" s="32"/>
      <c r="G1057" s="32">
        <f t="shared" ref="G1057:G1090" si="301">SUM(D1057:E1057)</f>
        <v>13765.5</v>
      </c>
      <c r="H1057" s="12"/>
      <c r="I1057" s="12"/>
      <c r="J1057" s="12"/>
      <c r="K1057" s="12">
        <f t="shared" ref="K1057:K1090" si="302">SUM(G1057:J1057)</f>
        <v>13765.5</v>
      </c>
      <c r="M1057" s="10">
        <v>1</v>
      </c>
      <c r="N1057" s="30" t="s">
        <v>97</v>
      </c>
      <c r="O1057" s="31">
        <v>8719</v>
      </c>
      <c r="P1057" s="32">
        <f>650*7+9.5*7</f>
        <v>4616.5</v>
      </c>
      <c r="Q1057" s="32"/>
      <c r="R1057" s="32"/>
      <c r="S1057" s="32">
        <f>SUM(P1057:Q1057)</f>
        <v>4616.5</v>
      </c>
      <c r="T1057" s="12"/>
      <c r="U1057" s="12"/>
      <c r="V1057" s="12"/>
      <c r="W1057" s="12">
        <f>SUM(S1057:V1057)</f>
        <v>4616.5</v>
      </c>
      <c r="Y1057" s="10">
        <v>1</v>
      </c>
      <c r="Z1057" s="30" t="s">
        <v>97</v>
      </c>
      <c r="AA1057" s="31">
        <v>8659</v>
      </c>
      <c r="AB1057" s="32">
        <f>650*150+622*50+229*9+700*5</f>
        <v>134161</v>
      </c>
      <c r="AC1057" s="32"/>
      <c r="AD1057" s="32"/>
      <c r="AE1057" s="32">
        <f>SUM(AB1057:AC1057)</f>
        <v>134161</v>
      </c>
      <c r="AF1057" s="12"/>
      <c r="AG1057" s="12"/>
      <c r="AH1057" s="12">
        <f>-111*40+-1200+-504</f>
        <v>-6144</v>
      </c>
      <c r="AI1057" s="12">
        <f>SUM(AE1057:AH1057)</f>
        <v>128017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97</v>
      </c>
      <c r="C1058" s="31">
        <f>C1057+1</f>
        <v>8531</v>
      </c>
      <c r="D1058" s="32">
        <f>650*3+9.5*3</f>
        <v>1978.5</v>
      </c>
      <c r="E1058" s="32"/>
      <c r="F1058" s="32"/>
      <c r="G1058" s="32">
        <f t="shared" si="301"/>
        <v>1978.5</v>
      </c>
      <c r="H1058" s="12"/>
      <c r="I1058" s="12"/>
      <c r="J1058" s="12"/>
      <c r="K1058" s="12">
        <f t="shared" si="302"/>
        <v>1978.5</v>
      </c>
      <c r="M1058" s="10">
        <v>2</v>
      </c>
      <c r="N1058" s="30" t="s">
        <v>97</v>
      </c>
      <c r="O1058" s="31">
        <f>O1057+1</f>
        <v>8720</v>
      </c>
      <c r="P1058" s="32">
        <f>650*2+670*4+622*2+9.5*4</f>
        <v>5262</v>
      </c>
      <c r="Q1058" s="32"/>
      <c r="R1058" s="32"/>
      <c r="S1058" s="32">
        <f t="shared" ref="S1058:S1095" si="303">SUM(P1058:Q1058)</f>
        <v>5262</v>
      </c>
      <c r="T1058" s="12"/>
      <c r="U1058" s="12"/>
      <c r="V1058" s="12"/>
      <c r="W1058" s="12">
        <f t="shared" ref="W1058:W1098" si="304">SUM(S1058:V1058)</f>
        <v>5262</v>
      </c>
      <c r="Y1058" s="10">
        <v>2</v>
      </c>
      <c r="Z1058" s="30" t="s">
        <v>97</v>
      </c>
      <c r="AA1058" s="31">
        <f>AA1057+1</f>
        <v>8660</v>
      </c>
      <c r="AB1058" s="32">
        <f>650*6</f>
        <v>3900</v>
      </c>
      <c r="AC1058" s="32"/>
      <c r="AD1058" s="32"/>
      <c r="AE1058" s="32">
        <f t="shared" ref="AE1058:AE1089" si="305">SUM(AB1058:AC1058)</f>
        <v>3900</v>
      </c>
      <c r="AF1058" s="12"/>
      <c r="AG1058" s="12"/>
      <c r="AH1058" s="12"/>
      <c r="AI1058" s="12">
        <f t="shared" ref="AI1058:AI1098" si="306">SUM(AE1058:AH1058)</f>
        <v>3900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97</v>
      </c>
      <c r="C1059" s="31">
        <f t="shared" ref="C1059:C1069" si="307">C1058+1</f>
        <v>8532</v>
      </c>
      <c r="D1059" s="33">
        <f>650*3+9.5*3</f>
        <v>1978.5</v>
      </c>
      <c r="E1059" s="33"/>
      <c r="F1059" s="33"/>
      <c r="G1059" s="33">
        <f t="shared" si="301"/>
        <v>1978.5</v>
      </c>
      <c r="H1059" s="34"/>
      <c r="I1059" s="34"/>
      <c r="J1059" s="34"/>
      <c r="K1059" s="34">
        <f t="shared" si="302"/>
        <v>1978.5</v>
      </c>
      <c r="M1059" s="10">
        <v>3</v>
      </c>
      <c r="N1059" s="30" t="s">
        <v>97</v>
      </c>
      <c r="O1059" s="31">
        <f t="shared" ref="O1059:O1063" si="308">O1058+1</f>
        <v>8721</v>
      </c>
      <c r="P1059" s="32">
        <f>650*33</f>
        <v>21450</v>
      </c>
      <c r="Q1059" s="32"/>
      <c r="R1059" s="32"/>
      <c r="S1059" s="32">
        <f t="shared" si="303"/>
        <v>21450</v>
      </c>
      <c r="T1059" s="12"/>
      <c r="U1059" s="12"/>
      <c r="V1059" s="12"/>
      <c r="W1059" s="12">
        <f t="shared" si="304"/>
        <v>21450</v>
      </c>
      <c r="Y1059" s="10">
        <v>3</v>
      </c>
      <c r="Z1059" s="30" t="s">
        <v>97</v>
      </c>
      <c r="AA1059" s="31">
        <f t="shared" ref="AA1059:AA1067" si="309">AA1058+1</f>
        <v>8661</v>
      </c>
      <c r="AB1059" s="33">
        <f>650*6</f>
        <v>3900</v>
      </c>
      <c r="AC1059" s="33"/>
      <c r="AD1059" s="32"/>
      <c r="AE1059" s="32">
        <f t="shared" si="305"/>
        <v>3900</v>
      </c>
      <c r="AF1059" s="12"/>
      <c r="AG1059" s="12"/>
      <c r="AH1059" s="12"/>
      <c r="AI1059" s="12">
        <f t="shared" si="306"/>
        <v>3900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97</v>
      </c>
      <c r="C1060" s="31">
        <f t="shared" si="307"/>
        <v>8533</v>
      </c>
      <c r="D1060" s="32">
        <f>650*12+670*2+9.5*12</f>
        <v>9254</v>
      </c>
      <c r="E1060" s="32"/>
      <c r="F1060" s="32"/>
      <c r="G1060" s="32">
        <f t="shared" si="301"/>
        <v>9254</v>
      </c>
      <c r="H1060" s="12"/>
      <c r="I1060" s="12"/>
      <c r="J1060" s="12"/>
      <c r="K1060" s="12">
        <f t="shared" si="302"/>
        <v>9254</v>
      </c>
      <c r="M1060" s="10">
        <v>4</v>
      </c>
      <c r="N1060" s="30" t="s">
        <v>97</v>
      </c>
      <c r="O1060" s="31">
        <f t="shared" si="308"/>
        <v>8722</v>
      </c>
      <c r="P1060" s="32">
        <f>650*120+622*20+229*6</f>
        <v>91814</v>
      </c>
      <c r="Q1060" s="32">
        <v>-840</v>
      </c>
      <c r="R1060" s="32"/>
      <c r="S1060" s="32">
        <f t="shared" si="303"/>
        <v>90974</v>
      </c>
      <c r="T1060" s="12"/>
      <c r="U1060" s="12">
        <f>390+54</f>
        <v>444</v>
      </c>
      <c r="V1060" s="12">
        <f>-588+-252</f>
        <v>-840</v>
      </c>
      <c r="W1060" s="12">
        <f t="shared" si="304"/>
        <v>90578</v>
      </c>
      <c r="Y1060" s="10">
        <v>4</v>
      </c>
      <c r="Z1060" s="30" t="s">
        <v>97</v>
      </c>
      <c r="AA1060" s="31">
        <f t="shared" si="309"/>
        <v>8662</v>
      </c>
      <c r="AB1060" s="32">
        <f>650*41+5598+229</f>
        <v>32477</v>
      </c>
      <c r="AC1060" s="32"/>
      <c r="AD1060" s="32"/>
      <c r="AE1060" s="32">
        <f t="shared" si="305"/>
        <v>32477</v>
      </c>
      <c r="AF1060" s="12"/>
      <c r="AH1060" s="12"/>
      <c r="AI1060" s="12">
        <f t="shared" si="306"/>
        <v>32477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97</v>
      </c>
      <c r="C1061" s="31">
        <f t="shared" si="307"/>
        <v>8534</v>
      </c>
      <c r="D1061" s="32">
        <f>650*2+670*3+9.5*2</f>
        <v>3329</v>
      </c>
      <c r="E1061" s="32"/>
      <c r="F1061" s="32"/>
      <c r="G1061" s="32">
        <f t="shared" si="301"/>
        <v>3329</v>
      </c>
      <c r="H1061" s="12"/>
      <c r="I1061" s="12"/>
      <c r="J1061" s="12"/>
      <c r="K1061" s="12">
        <f t="shared" si="302"/>
        <v>3329</v>
      </c>
      <c r="M1061" s="10">
        <v>5</v>
      </c>
      <c r="N1061" s="30" t="s">
        <v>97</v>
      </c>
      <c r="O1061" s="31">
        <f t="shared" si="308"/>
        <v>8723</v>
      </c>
      <c r="P1061" s="32">
        <f>650*3+622*2+9.5*5</f>
        <v>3241.5</v>
      </c>
      <c r="Q1061" s="32"/>
      <c r="R1061" s="32"/>
      <c r="S1061" s="32">
        <f t="shared" si="303"/>
        <v>3241.5</v>
      </c>
      <c r="T1061" s="12"/>
      <c r="U1061" s="12"/>
      <c r="V1061" s="12"/>
      <c r="W1061" s="12">
        <f t="shared" si="304"/>
        <v>3241.5</v>
      </c>
      <c r="Y1061" s="10">
        <v>5</v>
      </c>
      <c r="Z1061" s="30" t="s">
        <v>97</v>
      </c>
      <c r="AA1061" s="31">
        <f t="shared" si="309"/>
        <v>8663</v>
      </c>
      <c r="AB1061" s="32">
        <f>650*9+9.5*9</f>
        <v>5935.5</v>
      </c>
      <c r="AC1061" s="32"/>
      <c r="AD1061" s="32"/>
      <c r="AE1061" s="32">
        <f t="shared" si="305"/>
        <v>5935.5</v>
      </c>
      <c r="AF1061" s="12"/>
      <c r="AG1061" s="12">
        <v>36</v>
      </c>
      <c r="AH1061" s="12"/>
      <c r="AI1061" s="12">
        <f t="shared" si="306"/>
        <v>5971.5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97</v>
      </c>
      <c r="C1062" s="31">
        <f t="shared" si="307"/>
        <v>8535</v>
      </c>
      <c r="D1062" s="32">
        <f>650*33</f>
        <v>21450</v>
      </c>
      <c r="E1062" s="32"/>
      <c r="F1062" s="32"/>
      <c r="G1062" s="32">
        <f t="shared" si="301"/>
        <v>21450</v>
      </c>
      <c r="H1062" s="12"/>
      <c r="I1062" s="12">
        <v>13.5</v>
      </c>
      <c r="J1062" s="12"/>
      <c r="K1062" s="12">
        <f t="shared" si="302"/>
        <v>21463.5</v>
      </c>
      <c r="M1062" s="10">
        <v>6</v>
      </c>
      <c r="N1062" s="30" t="s">
        <v>97</v>
      </c>
      <c r="O1062" s="31">
        <f t="shared" si="308"/>
        <v>8724</v>
      </c>
      <c r="P1062" s="32">
        <f>650*13</f>
        <v>8450</v>
      </c>
      <c r="Q1062" s="32"/>
      <c r="R1062" s="32"/>
      <c r="S1062" s="32">
        <f t="shared" si="303"/>
        <v>8450</v>
      </c>
      <c r="T1062" s="12"/>
      <c r="U1062" s="12"/>
      <c r="V1062" s="10"/>
      <c r="W1062" s="12">
        <f t="shared" si="304"/>
        <v>8450</v>
      </c>
      <c r="Y1062" s="10">
        <v>6</v>
      </c>
      <c r="Z1062" s="30" t="s">
        <v>97</v>
      </c>
      <c r="AA1062" s="31">
        <f t="shared" si="309"/>
        <v>8664</v>
      </c>
      <c r="AB1062" s="32">
        <f>650*47+670*3+229</f>
        <v>32789</v>
      </c>
      <c r="AC1062" s="32">
        <v>-300</v>
      </c>
      <c r="AD1062" s="32"/>
      <c r="AE1062" s="32">
        <f t="shared" si="305"/>
        <v>32489</v>
      </c>
      <c r="AF1062" s="12"/>
      <c r="AG1062" s="12"/>
      <c r="AH1062" s="10">
        <f>-4.5*80+-111*20</f>
        <v>-2580</v>
      </c>
      <c r="AI1062" s="12">
        <f t="shared" si="306"/>
        <v>29909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97</v>
      </c>
      <c r="C1063" s="31">
        <f t="shared" si="307"/>
        <v>8536</v>
      </c>
      <c r="D1063" s="32">
        <f>650*10+622*5+9.5*16</f>
        <v>9762</v>
      </c>
      <c r="E1063" s="32"/>
      <c r="F1063" s="32"/>
      <c r="G1063" s="32">
        <f t="shared" si="301"/>
        <v>9762</v>
      </c>
      <c r="H1063" s="12"/>
      <c r="I1063" s="12"/>
      <c r="J1063" s="12"/>
      <c r="K1063" s="12">
        <f t="shared" si="302"/>
        <v>9762</v>
      </c>
      <c r="M1063" s="10">
        <v>7</v>
      </c>
      <c r="N1063" s="30" t="s">
        <v>97</v>
      </c>
      <c r="O1063" s="31">
        <f t="shared" si="308"/>
        <v>8725</v>
      </c>
      <c r="P1063" s="32">
        <f>650*12+622+9.5*13</f>
        <v>8545.5</v>
      </c>
      <c r="Q1063" s="32"/>
      <c r="R1063" s="32"/>
      <c r="S1063" s="32">
        <f t="shared" si="303"/>
        <v>8545.5</v>
      </c>
      <c r="T1063" s="12"/>
      <c r="U1063" s="12"/>
      <c r="V1063" s="12"/>
      <c r="W1063" s="12">
        <f t="shared" si="304"/>
        <v>8545.5</v>
      </c>
      <c r="Y1063" s="10">
        <v>7</v>
      </c>
      <c r="Z1063" s="30" t="s">
        <v>97</v>
      </c>
      <c r="AA1063" s="31">
        <f t="shared" si="309"/>
        <v>8665</v>
      </c>
      <c r="AB1063" s="32">
        <f>650*105+700*2</f>
        <v>69650</v>
      </c>
      <c r="AC1063" s="32"/>
      <c r="AD1063" s="32"/>
      <c r="AE1063" s="32">
        <f t="shared" si="305"/>
        <v>69650</v>
      </c>
      <c r="AF1063" s="12"/>
      <c r="AG1063" s="58">
        <f>4.5*13</f>
        <v>58.5</v>
      </c>
      <c r="AH1063" s="12"/>
      <c r="AI1063" s="12">
        <f t="shared" si="306"/>
        <v>69708.5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97</v>
      </c>
      <c r="C1064" s="31">
        <f t="shared" si="307"/>
        <v>8537</v>
      </c>
      <c r="D1064" s="32">
        <f>650*60+622*10+229*2</f>
        <v>45678</v>
      </c>
      <c r="E1064" s="32"/>
      <c r="F1064" s="32"/>
      <c r="G1064" s="32">
        <f t="shared" si="301"/>
        <v>45678</v>
      </c>
      <c r="H1064" s="12"/>
      <c r="I1064" s="12"/>
      <c r="J1064" s="12"/>
      <c r="K1064" s="12">
        <f t="shared" si="302"/>
        <v>45678</v>
      </c>
      <c r="M1064" s="10">
        <v>8</v>
      </c>
      <c r="N1064" s="30"/>
      <c r="O1064" s="11" t="s">
        <v>27</v>
      </c>
      <c r="P1064" s="32"/>
      <c r="Q1064" s="32"/>
      <c r="R1064" s="32"/>
      <c r="S1064" s="32">
        <f t="shared" si="303"/>
        <v>0</v>
      </c>
      <c r="T1064" s="12"/>
      <c r="U1064" s="12"/>
      <c r="V1064" s="12"/>
      <c r="W1064" s="12">
        <f t="shared" si="304"/>
        <v>0</v>
      </c>
      <c r="Y1064" s="10">
        <v>8</v>
      </c>
      <c r="Z1064" s="30" t="s">
        <v>97</v>
      </c>
      <c r="AA1064" s="31">
        <f t="shared" si="309"/>
        <v>8666</v>
      </c>
      <c r="AB1064" s="32">
        <f>650*8+670*2+229</f>
        <v>6769</v>
      </c>
      <c r="AC1064" s="32"/>
      <c r="AE1064" s="32">
        <f t="shared" si="305"/>
        <v>6769</v>
      </c>
      <c r="AF1064" s="12"/>
      <c r="AG1064" s="12"/>
      <c r="AH1064" s="12"/>
      <c r="AI1064" s="12">
        <f t="shared" si="306"/>
        <v>6769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97</v>
      </c>
      <c r="C1065" s="31">
        <f t="shared" si="307"/>
        <v>8538</v>
      </c>
      <c r="D1065" s="32">
        <f>650*96+670*5+700*5+622*2+912*2+500</f>
        <v>72818</v>
      </c>
      <c r="E1065" s="32"/>
      <c r="F1065" s="32"/>
      <c r="G1065" s="32">
        <f t="shared" si="301"/>
        <v>72818</v>
      </c>
      <c r="H1065" s="12"/>
      <c r="I1065" s="12">
        <f>111*7+4*2.25+4.5*30</f>
        <v>921</v>
      </c>
      <c r="J1065" s="12"/>
      <c r="K1065" s="12">
        <f t="shared" si="302"/>
        <v>73739</v>
      </c>
      <c r="M1065" s="10">
        <v>9</v>
      </c>
      <c r="N1065" s="30"/>
      <c r="O1065" s="31"/>
      <c r="P1065" s="32"/>
      <c r="Q1065" s="32"/>
      <c r="R1065" s="32"/>
      <c r="S1065" s="32">
        <f t="shared" si="303"/>
        <v>0</v>
      </c>
      <c r="T1065" s="12"/>
      <c r="U1065" s="12"/>
      <c r="V1065" s="12"/>
      <c r="W1065" s="12">
        <f t="shared" si="304"/>
        <v>0</v>
      </c>
      <c r="Y1065" s="10">
        <v>9</v>
      </c>
      <c r="Z1065" s="30" t="s">
        <v>97</v>
      </c>
      <c r="AA1065" s="31">
        <f t="shared" si="309"/>
        <v>8667</v>
      </c>
      <c r="AB1065" s="32">
        <f>650*4</f>
        <v>2600</v>
      </c>
      <c r="AC1065" s="32"/>
      <c r="AD1065" s="32"/>
      <c r="AE1065" s="32">
        <f t="shared" si="305"/>
        <v>2600</v>
      </c>
      <c r="AF1065" s="12"/>
      <c r="AH1065" s="12"/>
      <c r="AI1065" s="12">
        <f t="shared" si="306"/>
        <v>2600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97</v>
      </c>
      <c r="C1066" s="31">
        <f t="shared" si="307"/>
        <v>8539</v>
      </c>
      <c r="D1066" s="32">
        <f>650*2</f>
        <v>1300</v>
      </c>
      <c r="E1066" s="32"/>
      <c r="F1066" s="32"/>
      <c r="G1066" s="32">
        <f t="shared" si="301"/>
        <v>1300</v>
      </c>
      <c r="H1066" s="12"/>
      <c r="I1066" s="12"/>
      <c r="J1066" s="12"/>
      <c r="K1066" s="12">
        <f t="shared" si="302"/>
        <v>1300</v>
      </c>
      <c r="M1066" s="10">
        <v>10</v>
      </c>
      <c r="N1066" s="30"/>
      <c r="O1066" s="31"/>
      <c r="P1066" s="32"/>
      <c r="Q1066" s="32"/>
      <c r="R1066" s="32"/>
      <c r="S1066" s="32">
        <f t="shared" si="303"/>
        <v>0</v>
      </c>
      <c r="T1066" s="12"/>
      <c r="U1066" s="12"/>
      <c r="V1066" s="12"/>
      <c r="W1066" s="12">
        <f t="shared" si="304"/>
        <v>0</v>
      </c>
      <c r="Y1066" s="10">
        <v>10</v>
      </c>
      <c r="Z1066" s="30" t="s">
        <v>97</v>
      </c>
      <c r="AA1066" s="31">
        <f t="shared" si="309"/>
        <v>8668</v>
      </c>
      <c r="AB1066" s="32">
        <f>650*24+622*6</f>
        <v>19332</v>
      </c>
      <c r="AC1066" s="32"/>
      <c r="AD1066" s="32"/>
      <c r="AE1066" s="32">
        <f t="shared" si="305"/>
        <v>19332</v>
      </c>
      <c r="AF1066" s="12"/>
      <c r="AG1066" s="12"/>
      <c r="AH1066" s="12"/>
      <c r="AI1066" s="12">
        <f t="shared" si="306"/>
        <v>19332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97</v>
      </c>
      <c r="C1067" s="31">
        <f t="shared" si="307"/>
        <v>8540</v>
      </c>
      <c r="D1067" s="32">
        <f>650*62+700*5</f>
        <v>43800</v>
      </c>
      <c r="E1067" s="32"/>
      <c r="F1067" s="32"/>
      <c r="G1067" s="32">
        <f t="shared" si="301"/>
        <v>43800</v>
      </c>
      <c r="H1067" s="12"/>
      <c r="I1067" s="12"/>
      <c r="J1067" s="12">
        <v>-312</v>
      </c>
      <c r="K1067" s="12">
        <f t="shared" si="302"/>
        <v>43488</v>
      </c>
      <c r="M1067" s="10">
        <v>11</v>
      </c>
      <c r="N1067" s="30"/>
      <c r="O1067" s="31"/>
      <c r="P1067" s="32"/>
      <c r="Q1067" s="32"/>
      <c r="R1067" s="32"/>
      <c r="S1067" s="32">
        <f t="shared" si="303"/>
        <v>0</v>
      </c>
      <c r="T1067" s="12"/>
      <c r="U1067" s="12"/>
      <c r="V1067" s="12"/>
      <c r="W1067" s="12">
        <f t="shared" si="304"/>
        <v>0</v>
      </c>
      <c r="Y1067" s="10">
        <v>11</v>
      </c>
      <c r="Z1067" s="30" t="s">
        <v>97</v>
      </c>
      <c r="AA1067" s="31">
        <f t="shared" si="309"/>
        <v>8669</v>
      </c>
      <c r="AB1067" s="32">
        <f>650*20</f>
        <v>13000</v>
      </c>
      <c r="AC1067" s="32"/>
      <c r="AD1067" s="32"/>
      <c r="AE1067" s="32">
        <f t="shared" si="305"/>
        <v>13000</v>
      </c>
      <c r="AF1067" s="12"/>
      <c r="AG1067" s="12"/>
      <c r="AH1067" s="12"/>
      <c r="AI1067" s="12">
        <f t="shared" si="306"/>
        <v>13000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97</v>
      </c>
      <c r="C1068" s="31">
        <f t="shared" si="307"/>
        <v>8541</v>
      </c>
      <c r="D1068" s="32">
        <f>60*973</f>
        <v>58380</v>
      </c>
      <c r="E1068" s="32"/>
      <c r="F1068" s="32"/>
      <c r="G1068" s="32">
        <f t="shared" si="301"/>
        <v>58380</v>
      </c>
      <c r="H1068" s="12"/>
      <c r="I1068" s="12"/>
      <c r="J1068" s="10"/>
      <c r="K1068" s="12">
        <f t="shared" si="302"/>
        <v>58380</v>
      </c>
      <c r="M1068" s="10">
        <v>12</v>
      </c>
      <c r="N1068" s="30"/>
      <c r="O1068" s="31"/>
      <c r="P1068" s="32"/>
      <c r="Q1068" s="32"/>
      <c r="R1068" s="32"/>
      <c r="S1068" s="32">
        <f t="shared" si="303"/>
        <v>0</v>
      </c>
      <c r="T1068" s="12"/>
      <c r="U1068" s="12"/>
      <c r="V1068" s="12"/>
      <c r="W1068" s="12">
        <f t="shared" si="304"/>
        <v>0</v>
      </c>
      <c r="Y1068" s="10">
        <v>12</v>
      </c>
      <c r="Z1068" s="30"/>
      <c r="AA1068" s="11" t="s">
        <v>27</v>
      </c>
      <c r="AB1068" s="32"/>
      <c r="AC1068" s="32"/>
      <c r="AD1068" s="32"/>
      <c r="AE1068" s="32">
        <f t="shared" si="305"/>
        <v>0</v>
      </c>
      <c r="AF1068" s="12"/>
      <c r="AG1068" s="12"/>
      <c r="AH1068" s="12"/>
      <c r="AI1068" s="12">
        <f t="shared" si="306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97</v>
      </c>
      <c r="C1069" s="31">
        <f t="shared" si="307"/>
        <v>8542</v>
      </c>
      <c r="D1069" s="32">
        <f>650*10+9.5*10</f>
        <v>6595</v>
      </c>
      <c r="E1069" s="32"/>
      <c r="F1069" s="32"/>
      <c r="G1069" s="32">
        <f t="shared" si="301"/>
        <v>6595</v>
      </c>
      <c r="H1069" s="12"/>
      <c r="I1069" s="12"/>
      <c r="J1069" s="12"/>
      <c r="K1069" s="12">
        <f t="shared" si="302"/>
        <v>6595</v>
      </c>
      <c r="M1069" s="10">
        <v>13</v>
      </c>
      <c r="N1069" s="30"/>
      <c r="O1069" s="31"/>
      <c r="P1069" s="32"/>
      <c r="Q1069" s="32"/>
      <c r="R1069" s="32"/>
      <c r="S1069" s="32">
        <f t="shared" si="303"/>
        <v>0</v>
      </c>
      <c r="T1069" s="12"/>
      <c r="U1069" s="12"/>
      <c r="V1069" s="12"/>
      <c r="W1069" s="12">
        <f t="shared" si="304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05"/>
        <v>0</v>
      </c>
      <c r="AF1069" s="12"/>
      <c r="AG1069" s="12"/>
      <c r="AH1069" s="12"/>
      <c r="AI1069" s="12">
        <f t="shared" si="306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11" t="s">
        <v>27</v>
      </c>
      <c r="D1070" s="32"/>
      <c r="E1070" s="32"/>
      <c r="F1070" s="32"/>
      <c r="G1070" s="32">
        <f t="shared" si="301"/>
        <v>0</v>
      </c>
      <c r="H1070" s="12"/>
      <c r="I1070" s="12"/>
      <c r="J1070" s="12"/>
      <c r="K1070" s="12">
        <f t="shared" si="302"/>
        <v>0</v>
      </c>
      <c r="M1070" s="10">
        <v>14</v>
      </c>
      <c r="N1070" s="30"/>
      <c r="O1070" s="31"/>
      <c r="P1070" s="32"/>
      <c r="Q1070" s="32"/>
      <c r="R1070" s="32"/>
      <c r="S1070" s="32">
        <f t="shared" si="303"/>
        <v>0</v>
      </c>
      <c r="T1070" s="12"/>
      <c r="U1070" s="12"/>
      <c r="V1070" s="12"/>
      <c r="W1070" s="12">
        <f t="shared" si="304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05"/>
        <v>0</v>
      </c>
      <c r="AF1070" s="12"/>
      <c r="AG1070" s="12"/>
      <c r="AH1070" s="12"/>
      <c r="AI1070" s="12">
        <f t="shared" si="306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D1071" s="32"/>
      <c r="E1071" s="32"/>
      <c r="F1071" s="32"/>
      <c r="G1071" s="32">
        <f t="shared" si="301"/>
        <v>0</v>
      </c>
      <c r="H1071" s="12"/>
      <c r="I1071" s="12"/>
      <c r="J1071" s="12"/>
      <c r="K1071" s="12">
        <f t="shared" si="302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303"/>
        <v>0</v>
      </c>
      <c r="T1071" s="12"/>
      <c r="U1071" s="12"/>
      <c r="V1071" s="12"/>
      <c r="W1071" s="12">
        <f t="shared" si="304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05"/>
        <v>0</v>
      </c>
      <c r="AF1071" s="12"/>
      <c r="AG1071" s="12"/>
      <c r="AH1071" s="12"/>
      <c r="AI1071" s="12">
        <f t="shared" si="306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31"/>
      <c r="D1072" s="32"/>
      <c r="E1072" s="32"/>
      <c r="F1072" s="32"/>
      <c r="G1072" s="32">
        <f t="shared" si="301"/>
        <v>0</v>
      </c>
      <c r="H1072" s="12"/>
      <c r="I1072" s="12"/>
      <c r="J1072" s="12"/>
      <c r="K1072" s="12">
        <f t="shared" si="302"/>
        <v>0</v>
      </c>
      <c r="M1072" s="10">
        <v>16</v>
      </c>
      <c r="N1072" s="30"/>
      <c r="O1072" s="31"/>
      <c r="P1072" s="32"/>
      <c r="Q1072" s="32"/>
      <c r="R1072" s="32"/>
      <c r="S1072" s="32">
        <f t="shared" si="303"/>
        <v>0</v>
      </c>
      <c r="T1072" s="12"/>
      <c r="U1072" s="12"/>
      <c r="V1072" s="12"/>
      <c r="W1072" s="12">
        <f t="shared" si="304"/>
        <v>0</v>
      </c>
      <c r="Y1072" s="10">
        <v>16</v>
      </c>
      <c r="Z1072" s="30"/>
      <c r="AA1072" s="31"/>
      <c r="AB1072" s="32"/>
      <c r="AC1072" s="32"/>
      <c r="AD1072" s="32"/>
      <c r="AE1072" s="32">
        <f t="shared" si="305"/>
        <v>0</v>
      </c>
      <c r="AF1072" s="12"/>
      <c r="AG1072" s="12"/>
      <c r="AH1072" s="12"/>
      <c r="AI1072" s="12">
        <f t="shared" si="306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31"/>
      <c r="D1073" s="32"/>
      <c r="E1073" s="32"/>
      <c r="F1073" s="32"/>
      <c r="G1073" s="32">
        <f t="shared" si="301"/>
        <v>0</v>
      </c>
      <c r="H1073" s="12"/>
      <c r="I1073" s="12"/>
      <c r="J1073" s="12"/>
      <c r="K1073" s="12">
        <f t="shared" si="302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303"/>
        <v>0</v>
      </c>
      <c r="T1073" s="12"/>
      <c r="U1073" s="12"/>
      <c r="V1073" s="12"/>
      <c r="W1073" s="12">
        <f t="shared" si="304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05"/>
        <v>0</v>
      </c>
      <c r="AF1073" s="12"/>
      <c r="AG1073" s="12"/>
      <c r="AH1073" s="12"/>
      <c r="AI1073" s="12">
        <f t="shared" si="306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31"/>
      <c r="D1074" s="32"/>
      <c r="E1074" s="32"/>
      <c r="F1074" s="32"/>
      <c r="G1074" s="32">
        <f t="shared" si="301"/>
        <v>0</v>
      </c>
      <c r="H1074" s="12"/>
      <c r="I1074" s="12"/>
      <c r="J1074" s="12"/>
      <c r="K1074" s="12">
        <f t="shared" si="302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303"/>
        <v>0</v>
      </c>
      <c r="T1074" s="12"/>
      <c r="U1074" s="12"/>
      <c r="V1074" s="12"/>
      <c r="W1074" s="12">
        <f t="shared" si="304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05"/>
        <v>0</v>
      </c>
      <c r="AF1074" s="12"/>
      <c r="AG1074" s="12"/>
      <c r="AH1074" s="12"/>
      <c r="AI1074" s="12">
        <f t="shared" si="306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31"/>
      <c r="D1075" s="32"/>
      <c r="E1075" s="32"/>
      <c r="F1075" s="32"/>
      <c r="G1075" s="32">
        <f t="shared" si="301"/>
        <v>0</v>
      </c>
      <c r="H1075" s="12"/>
      <c r="I1075" s="12"/>
      <c r="J1075" s="12"/>
      <c r="K1075" s="12">
        <f t="shared" si="302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303"/>
        <v>0</v>
      </c>
      <c r="T1075" s="12"/>
      <c r="U1075" s="12"/>
      <c r="V1075" s="12"/>
      <c r="W1075" s="12">
        <f t="shared" si="304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05"/>
        <v>0</v>
      </c>
      <c r="AF1075" s="12"/>
      <c r="AG1075" s="12"/>
      <c r="AH1075" s="12"/>
      <c r="AI1075" s="12">
        <f t="shared" si="306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31"/>
      <c r="D1076" s="32"/>
      <c r="E1076" s="32"/>
      <c r="F1076" s="32"/>
      <c r="G1076" s="32">
        <f t="shared" si="301"/>
        <v>0</v>
      </c>
      <c r="H1076" s="12"/>
      <c r="I1076" s="12"/>
      <c r="J1076" s="12"/>
      <c r="K1076" s="12">
        <f t="shared" si="302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303"/>
        <v>0</v>
      </c>
      <c r="T1076" s="12"/>
      <c r="U1076" s="12"/>
      <c r="V1076" s="12"/>
      <c r="W1076" s="12">
        <f t="shared" si="304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305"/>
        <v>0</v>
      </c>
      <c r="AF1076" s="12"/>
      <c r="AG1076" s="12"/>
      <c r="AH1076" s="12"/>
      <c r="AI1076" s="12">
        <f t="shared" si="306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31"/>
      <c r="D1077" s="32"/>
      <c r="E1077" s="32"/>
      <c r="F1077" s="32"/>
      <c r="G1077" s="32">
        <f t="shared" si="301"/>
        <v>0</v>
      </c>
      <c r="H1077" s="10"/>
      <c r="I1077" s="10"/>
      <c r="J1077" s="10"/>
      <c r="K1077" s="12">
        <f t="shared" si="302"/>
        <v>0</v>
      </c>
      <c r="M1077" s="10">
        <v>21</v>
      </c>
      <c r="N1077" s="30"/>
      <c r="O1077" s="31"/>
      <c r="P1077" s="46"/>
      <c r="Q1077" s="31"/>
      <c r="R1077" s="31"/>
      <c r="S1077" s="32">
        <f t="shared" si="303"/>
        <v>0</v>
      </c>
      <c r="T1077" s="10"/>
      <c r="U1077" s="10"/>
      <c r="V1077" s="10"/>
      <c r="W1077" s="12">
        <f t="shared" si="304"/>
        <v>0</v>
      </c>
      <c r="Y1077" s="10">
        <v>21</v>
      </c>
      <c r="Z1077" s="30"/>
      <c r="AB1077" s="46"/>
      <c r="AC1077" s="31"/>
      <c r="AD1077" s="31"/>
      <c r="AE1077" s="32">
        <f t="shared" si="305"/>
        <v>0</v>
      </c>
      <c r="AF1077" s="10"/>
      <c r="AG1077" s="10"/>
      <c r="AH1077" s="10"/>
      <c r="AI1077" s="12">
        <f t="shared" si="306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31"/>
      <c r="D1078" s="32"/>
      <c r="E1078" s="32"/>
      <c r="F1078" s="32"/>
      <c r="G1078" s="32">
        <f t="shared" si="301"/>
        <v>0</v>
      </c>
      <c r="H1078" s="10"/>
      <c r="I1078" s="10"/>
      <c r="J1078" s="10"/>
      <c r="K1078" s="12">
        <f t="shared" si="302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303"/>
        <v>0</v>
      </c>
      <c r="T1078" s="10"/>
      <c r="U1078" s="10"/>
      <c r="V1078" s="10"/>
      <c r="W1078" s="12">
        <f t="shared" si="304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05"/>
        <v>0</v>
      </c>
      <c r="AF1078" s="10"/>
      <c r="AG1078" s="10"/>
      <c r="AH1078" s="10"/>
      <c r="AI1078" s="12">
        <f t="shared" si="306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57"/>
      <c r="D1079" s="32"/>
      <c r="E1079" s="32"/>
      <c r="F1079" s="32"/>
      <c r="G1079" s="32">
        <f t="shared" si="301"/>
        <v>0</v>
      </c>
      <c r="H1079" s="10"/>
      <c r="I1079" s="10"/>
      <c r="J1079" s="12"/>
      <c r="K1079" s="12">
        <f t="shared" si="302"/>
        <v>0</v>
      </c>
      <c r="M1079" s="10">
        <v>23</v>
      </c>
      <c r="N1079" s="30"/>
      <c r="O1079" s="31"/>
      <c r="P1079" s="47"/>
      <c r="Q1079" s="31"/>
      <c r="S1079" s="32">
        <f t="shared" si="303"/>
        <v>0</v>
      </c>
      <c r="T1079" s="10"/>
      <c r="U1079" s="10"/>
      <c r="V1079" s="10"/>
      <c r="W1079" s="12">
        <f t="shared" si="304"/>
        <v>0</v>
      </c>
      <c r="Y1079" s="10">
        <v>23</v>
      </c>
      <c r="Z1079" s="30"/>
      <c r="AB1079" s="47"/>
      <c r="AC1079" s="31"/>
      <c r="AE1079" s="32">
        <f t="shared" si="305"/>
        <v>0</v>
      </c>
      <c r="AF1079" s="10"/>
      <c r="AG1079" s="10"/>
      <c r="AH1079" s="10"/>
      <c r="AI1079" s="12">
        <f t="shared" si="306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31"/>
      <c r="D1080" s="32"/>
      <c r="E1080" s="32"/>
      <c r="F1080" s="32"/>
      <c r="G1080" s="32">
        <f t="shared" si="301"/>
        <v>0</v>
      </c>
      <c r="H1080" s="10"/>
      <c r="I1080" s="10"/>
      <c r="J1080" s="10"/>
      <c r="K1080" s="12">
        <f t="shared" si="302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303"/>
        <v>0</v>
      </c>
      <c r="T1080" s="10"/>
      <c r="U1080" s="10"/>
      <c r="V1080" s="10"/>
      <c r="W1080" s="12">
        <f t="shared" si="304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05"/>
        <v>0</v>
      </c>
      <c r="AF1080" s="10"/>
      <c r="AG1080" s="10"/>
      <c r="AH1080" s="10"/>
      <c r="AI1080" s="12">
        <f t="shared" si="306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31"/>
      <c r="D1081" s="32"/>
      <c r="E1081" s="32"/>
      <c r="F1081" s="32"/>
      <c r="G1081" s="32">
        <f t="shared" si="301"/>
        <v>0</v>
      </c>
      <c r="H1081" s="10"/>
      <c r="I1081" s="10"/>
      <c r="J1081" s="10"/>
      <c r="K1081" s="12">
        <f t="shared" si="302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303"/>
        <v>0</v>
      </c>
      <c r="T1081" s="10"/>
      <c r="U1081" s="10"/>
      <c r="V1081" s="10"/>
      <c r="W1081" s="12">
        <f t="shared" si="304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305"/>
        <v>0</v>
      </c>
      <c r="AF1081" s="10"/>
      <c r="AG1081" s="10"/>
      <c r="AH1081" s="10"/>
      <c r="AI1081" s="12">
        <f t="shared" si="306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31"/>
      <c r="D1082" s="32"/>
      <c r="E1082" s="32"/>
      <c r="F1082" s="32"/>
      <c r="G1082" s="32">
        <f t="shared" si="301"/>
        <v>0</v>
      </c>
      <c r="H1082" s="10"/>
      <c r="I1082" s="10"/>
      <c r="J1082" s="10"/>
      <c r="K1082" s="12">
        <f t="shared" si="302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303"/>
        <v>0</v>
      </c>
      <c r="T1082" s="10"/>
      <c r="U1082" s="10"/>
      <c r="V1082" s="10"/>
      <c r="W1082" s="12">
        <f t="shared" si="304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305"/>
        <v>0</v>
      </c>
      <c r="AF1082" s="10"/>
      <c r="AG1082" s="10"/>
      <c r="AH1082" s="10"/>
      <c r="AI1082" s="12">
        <f t="shared" si="306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31"/>
      <c r="D1083" s="32"/>
      <c r="E1083" s="32"/>
      <c r="F1083" s="32"/>
      <c r="G1083" s="32">
        <f t="shared" si="301"/>
        <v>0</v>
      </c>
      <c r="H1083" s="10"/>
      <c r="I1083" s="10"/>
      <c r="J1083" s="10"/>
      <c r="K1083" s="12">
        <f t="shared" si="302"/>
        <v>0</v>
      </c>
      <c r="M1083" s="10">
        <v>27</v>
      </c>
      <c r="N1083" s="30"/>
      <c r="P1083" s="47"/>
      <c r="Q1083" s="31"/>
      <c r="R1083" s="31"/>
      <c r="S1083" s="32">
        <f t="shared" si="303"/>
        <v>0</v>
      </c>
      <c r="T1083" s="10"/>
      <c r="U1083" s="10"/>
      <c r="V1083" s="10"/>
      <c r="W1083" s="12">
        <f t="shared" si="304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05"/>
        <v>0</v>
      </c>
      <c r="AF1083" s="10"/>
      <c r="AG1083" s="10"/>
      <c r="AH1083" s="10"/>
      <c r="AI1083" s="12">
        <f t="shared" si="306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31"/>
      <c r="D1084" s="32"/>
      <c r="E1084" s="32"/>
      <c r="F1084" s="32"/>
      <c r="G1084" s="32">
        <f t="shared" si="301"/>
        <v>0</v>
      </c>
      <c r="H1084" s="10"/>
      <c r="I1084" s="10"/>
      <c r="J1084" s="10"/>
      <c r="K1084" s="12">
        <f t="shared" si="302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303"/>
        <v>0</v>
      </c>
      <c r="T1084" s="10"/>
      <c r="U1084" s="10"/>
      <c r="V1084" s="10"/>
      <c r="W1084" s="12">
        <f t="shared" si="304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05"/>
        <v>0</v>
      </c>
      <c r="AF1084" s="10"/>
      <c r="AG1084" s="10"/>
      <c r="AH1084" s="10"/>
      <c r="AI1084" s="12">
        <f t="shared" si="306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31"/>
      <c r="D1085" s="32"/>
      <c r="E1085" s="32"/>
      <c r="F1085" s="32"/>
      <c r="G1085" s="32">
        <f t="shared" si="301"/>
        <v>0</v>
      </c>
      <c r="H1085" s="10"/>
      <c r="I1085" s="10"/>
      <c r="J1085" s="10"/>
      <c r="K1085" s="12">
        <f t="shared" si="302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303"/>
        <v>0</v>
      </c>
      <c r="T1085" s="10"/>
      <c r="U1085" s="10"/>
      <c r="V1085" s="10"/>
      <c r="W1085" s="12">
        <f t="shared" si="304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05"/>
        <v>0</v>
      </c>
      <c r="AF1085" s="10"/>
      <c r="AG1085" s="10"/>
      <c r="AH1085" s="10"/>
      <c r="AI1085" s="12">
        <f t="shared" si="306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301"/>
        <v>0</v>
      </c>
      <c r="H1086" s="10"/>
      <c r="I1086" s="10"/>
      <c r="J1086" s="10"/>
      <c r="K1086" s="12">
        <f t="shared" si="302"/>
        <v>0</v>
      </c>
      <c r="M1086" s="10">
        <v>30</v>
      </c>
      <c r="N1086" s="30"/>
      <c r="O1086" s="31"/>
      <c r="P1086" s="47"/>
      <c r="Q1086" s="31"/>
      <c r="R1086" s="31"/>
      <c r="S1086" s="32">
        <f t="shared" si="303"/>
        <v>0</v>
      </c>
      <c r="T1086" s="10"/>
      <c r="U1086" s="10"/>
      <c r="V1086" s="10"/>
      <c r="W1086" s="12">
        <f t="shared" si="304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305"/>
        <v>0</v>
      </c>
      <c r="AF1086" s="10"/>
      <c r="AG1086" s="10"/>
      <c r="AH1086" s="10"/>
      <c r="AI1086" s="12">
        <f t="shared" si="306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87"/>
      <c r="D1087" s="32"/>
      <c r="E1087" s="32"/>
      <c r="F1087" s="32"/>
      <c r="G1087" s="32">
        <f t="shared" si="301"/>
        <v>0</v>
      </c>
      <c r="H1087" s="10"/>
      <c r="I1087" s="10"/>
      <c r="J1087" s="10"/>
      <c r="K1087" s="12">
        <f t="shared" si="302"/>
        <v>0</v>
      </c>
      <c r="M1087" s="10">
        <v>31</v>
      </c>
      <c r="N1087" s="30"/>
      <c r="P1087" s="47"/>
      <c r="Q1087" s="31"/>
      <c r="R1087" s="31"/>
      <c r="S1087" s="32">
        <f t="shared" si="303"/>
        <v>0</v>
      </c>
      <c r="T1087" s="10"/>
      <c r="U1087" s="10"/>
      <c r="V1087" s="10"/>
      <c r="W1087" s="12">
        <f t="shared" si="304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305"/>
        <v>0</v>
      </c>
      <c r="AF1087" s="10"/>
      <c r="AG1087" s="10"/>
      <c r="AH1087" s="10"/>
      <c r="AI1087" s="12">
        <f t="shared" si="306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57"/>
      <c r="D1088" s="32"/>
      <c r="E1088" s="32"/>
      <c r="F1088" s="32"/>
      <c r="G1088" s="32">
        <f t="shared" si="301"/>
        <v>0</v>
      </c>
      <c r="H1088" s="10"/>
      <c r="I1088" s="10"/>
      <c r="J1088" s="10"/>
      <c r="K1088" s="12">
        <f t="shared" si="302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303"/>
        <v>0</v>
      </c>
      <c r="T1088" s="10"/>
      <c r="U1088" s="10"/>
      <c r="V1088" s="10"/>
      <c r="W1088" s="12">
        <f t="shared" si="304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05"/>
        <v>0</v>
      </c>
      <c r="AF1088" s="10"/>
      <c r="AG1088" s="10"/>
      <c r="AH1088" s="10"/>
      <c r="AI1088" s="12">
        <f t="shared" si="306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7"/>
      <c r="D1089" s="32"/>
      <c r="E1089" s="32"/>
      <c r="F1089" s="32"/>
      <c r="G1089" s="32">
        <f t="shared" si="301"/>
        <v>0</v>
      </c>
      <c r="H1089" s="10"/>
      <c r="I1089" s="10"/>
      <c r="J1089" s="10"/>
      <c r="K1089" s="12">
        <f t="shared" si="302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303"/>
        <v>0</v>
      </c>
      <c r="T1089" s="10"/>
      <c r="U1089" s="10"/>
      <c r="V1089" s="10"/>
      <c r="W1089" s="12">
        <f t="shared" si="304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05"/>
        <v>0</v>
      </c>
      <c r="AF1089" s="10"/>
      <c r="AG1089" s="10"/>
      <c r="AH1089" s="10"/>
      <c r="AI1089" s="12">
        <f t="shared" si="306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7"/>
      <c r="D1090" s="32"/>
      <c r="E1090" s="32"/>
      <c r="F1090" s="32"/>
      <c r="G1090" s="32">
        <f t="shared" si="301"/>
        <v>0</v>
      </c>
      <c r="H1090" s="10"/>
      <c r="I1090" s="10"/>
      <c r="J1090" s="10"/>
      <c r="K1090" s="12">
        <f t="shared" si="302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303"/>
        <v>0</v>
      </c>
      <c r="T1090" s="10"/>
      <c r="U1090" s="10"/>
      <c r="V1090" s="10"/>
      <c r="W1090" s="12">
        <f t="shared" si="304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ref="AE1090:AE1095" si="310">SUM(AB1090:AC1090)</f>
        <v>0</v>
      </c>
      <c r="AF1090" s="10"/>
      <c r="AG1090" s="10"/>
      <c r="AH1090" s="10"/>
      <c r="AI1090" s="12">
        <f t="shared" si="306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7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303"/>
        <v>0</v>
      </c>
      <c r="T1091" s="10"/>
      <c r="U1091" s="10"/>
      <c r="V1091" s="10"/>
      <c r="W1091" s="12">
        <f t="shared" si="304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0"/>
        <v>0</v>
      </c>
      <c r="AF1091" s="10"/>
      <c r="AG1091" s="10"/>
      <c r="AH1091" s="10"/>
      <c r="AI1091" s="12">
        <f t="shared" si="306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7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303"/>
        <v>0</v>
      </c>
      <c r="T1092" s="10"/>
      <c r="U1092" s="10"/>
      <c r="V1092" s="10"/>
      <c r="W1092" s="12">
        <f t="shared" si="304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0"/>
        <v>0</v>
      </c>
      <c r="AF1092" s="10"/>
      <c r="AG1092" s="10"/>
      <c r="AH1092" s="10"/>
      <c r="AI1092" s="12">
        <f t="shared" si="306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303"/>
        <v>0</v>
      </c>
      <c r="T1093" s="10"/>
      <c r="U1093" s="10"/>
      <c r="V1093" s="10"/>
      <c r="W1093" s="12">
        <f t="shared" si="304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0"/>
        <v>0</v>
      </c>
      <c r="AF1093" s="10"/>
      <c r="AG1093" s="10"/>
      <c r="AH1093" s="10"/>
      <c r="AI1093" s="12">
        <f t="shared" si="306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303"/>
        <v>0</v>
      </c>
      <c r="T1094" s="10"/>
      <c r="U1094" s="10"/>
      <c r="V1094" s="10"/>
      <c r="W1094" s="12">
        <f t="shared" si="304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0"/>
        <v>0</v>
      </c>
      <c r="AF1094" s="10"/>
      <c r="AG1094" s="10"/>
      <c r="AH1094" s="10"/>
      <c r="AI1094" s="12">
        <f t="shared" si="306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303"/>
        <v>0</v>
      </c>
      <c r="T1095" s="10"/>
      <c r="U1095" s="10"/>
      <c r="V1095" s="10"/>
      <c r="W1095" s="12">
        <f t="shared" si="304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0"/>
        <v>0</v>
      </c>
      <c r="AF1095" s="10"/>
      <c r="AG1095" s="10"/>
      <c r="AH1095" s="10"/>
      <c r="AI1095" s="12">
        <f t="shared" si="306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04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06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11">SUM(D1097:E1097)</f>
        <v>0</v>
      </c>
      <c r="H1097" s="10"/>
      <c r="I1097" s="10"/>
      <c r="J1097" s="10"/>
      <c r="K1097" s="12">
        <f t="shared" ref="K1097" si="312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13">SUM(P1097:Q1097)</f>
        <v>0</v>
      </c>
      <c r="T1097" s="10"/>
      <c r="U1097" s="10"/>
      <c r="V1097" s="10"/>
      <c r="W1097" s="12">
        <f t="shared" si="304"/>
        <v>0</v>
      </c>
      <c r="Y1097" s="10"/>
      <c r="Z1097" s="30"/>
      <c r="AA1097" s="31"/>
      <c r="AB1097" s="47"/>
      <c r="AC1097" s="31"/>
      <c r="AD1097" s="31"/>
      <c r="AE1097" s="32">
        <f t="shared" ref="AE1097" si="314">SUM(AB1097:AC1097)</f>
        <v>0</v>
      </c>
      <c r="AF1097" s="10"/>
      <c r="AG1097" s="10"/>
      <c r="AH1097" s="10"/>
      <c r="AI1097" s="12">
        <f t="shared" si="306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04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06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290088.5</v>
      </c>
      <c r="E1100" s="38">
        <f t="shared" ref="E1100:F1100" si="315">SUM(E1057:E1097)</f>
        <v>0</v>
      </c>
      <c r="F1100" s="38">
        <f t="shared" si="315"/>
        <v>0</v>
      </c>
      <c r="G1100" s="38">
        <f>SUM(G1057:G1099)</f>
        <v>290088.5</v>
      </c>
      <c r="H1100" s="4"/>
      <c r="I1100" s="39">
        <f>SUM(I1057:I1099)</f>
        <v>934.5</v>
      </c>
      <c r="J1100" s="39">
        <f>SUM(J1057:J1099)</f>
        <v>-312</v>
      </c>
      <c r="K1100" s="40">
        <f>SUM(K1057:K1099)</f>
        <v>290711</v>
      </c>
      <c r="N1100" s="57"/>
      <c r="O1100" s="57"/>
      <c r="P1100" s="38">
        <f>SUM(P1057:P1099)</f>
        <v>143379.5</v>
      </c>
      <c r="Q1100" s="38">
        <f>SUM(Q1057:Q1081)</f>
        <v>-840</v>
      </c>
      <c r="R1100" s="38">
        <f>SUM(R1057:R1081)</f>
        <v>0</v>
      </c>
      <c r="S1100" s="38">
        <f>SUM(S1057:S1099)</f>
        <v>142539.5</v>
      </c>
      <c r="T1100" s="4"/>
      <c r="U1100" s="41">
        <f>SUM(U1057:U1099)</f>
        <v>444</v>
      </c>
      <c r="V1100" s="41">
        <f>SUM(V1057:V1081)</f>
        <v>-840</v>
      </c>
      <c r="W1100" s="42">
        <f>SUM(W1057:W1099)</f>
        <v>142143.5</v>
      </c>
      <c r="Z1100" s="57"/>
      <c r="AA1100" s="57"/>
      <c r="AB1100" s="38">
        <f>SUM(AB1057:AB1099)</f>
        <v>324513.5</v>
      </c>
      <c r="AC1100" s="38">
        <f>SUM(AC1057:AC1081)</f>
        <v>-300</v>
      </c>
      <c r="AD1100" s="38">
        <f>SUM(AD1057:AD1081)</f>
        <v>0</v>
      </c>
      <c r="AE1100" s="38">
        <f>SUM(AE1057:AE1099)</f>
        <v>324213.5</v>
      </c>
      <c r="AF1100" s="4"/>
      <c r="AG1100" s="41">
        <f>SUM(AG1057:AG1099)</f>
        <v>94.5</v>
      </c>
      <c r="AH1100" s="41">
        <f>SUM(AH1057:AH1081)</f>
        <v>-8724</v>
      </c>
      <c r="AI1100" s="42">
        <f>SUM(AI1057:AI1099)</f>
        <v>315584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45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45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45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100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100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98</v>
      </c>
      <c r="W1108" s="24"/>
      <c r="Y1108" s="21" t="s">
        <v>100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82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6" t="s">
        <v>17</v>
      </c>
      <c r="E1110" s="126"/>
      <c r="F1110" s="112"/>
      <c r="G1110" s="27"/>
      <c r="I1110" s="122" t="s">
        <v>18</v>
      </c>
      <c r="J1110" s="123"/>
      <c r="K1110" s="124" t="s">
        <v>19</v>
      </c>
      <c r="N1110" s="25"/>
      <c r="O1110" s="26"/>
      <c r="P1110" s="126" t="s">
        <v>17</v>
      </c>
      <c r="Q1110" s="126"/>
      <c r="R1110" s="112"/>
      <c r="S1110" s="27"/>
      <c r="U1110" s="122" t="s">
        <v>18</v>
      </c>
      <c r="V1110" s="123"/>
      <c r="W1110" s="124" t="s">
        <v>19</v>
      </c>
      <c r="Z1110" s="25"/>
      <c r="AA1110" s="26"/>
      <c r="AB1110" s="126" t="s">
        <v>17</v>
      </c>
      <c r="AC1110" s="126"/>
      <c r="AD1110" s="112"/>
      <c r="AE1110" s="27"/>
      <c r="AG1110" s="122" t="s">
        <v>18</v>
      </c>
      <c r="AH1110" s="123"/>
      <c r="AI1110" s="124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8" t="s">
        <v>22</v>
      </c>
      <c r="E1111" s="77" t="s">
        <v>23</v>
      </c>
      <c r="F1111" s="79" t="s">
        <v>32</v>
      </c>
      <c r="G1111" s="79" t="s">
        <v>24</v>
      </c>
      <c r="I1111" s="29" t="s">
        <v>25</v>
      </c>
      <c r="J1111" s="29" t="s">
        <v>26</v>
      </c>
      <c r="K1111" s="125"/>
      <c r="N1111" s="28" t="s">
        <v>20</v>
      </c>
      <c r="O1111" s="28" t="s">
        <v>21</v>
      </c>
      <c r="P1111" s="78" t="s">
        <v>22</v>
      </c>
      <c r="Q1111" s="79" t="s">
        <v>23</v>
      </c>
      <c r="R1111" s="79" t="s">
        <v>32</v>
      </c>
      <c r="S1111" s="79" t="s">
        <v>24</v>
      </c>
      <c r="U1111" s="29" t="s">
        <v>25</v>
      </c>
      <c r="V1111" s="29" t="s">
        <v>26</v>
      </c>
      <c r="W1111" s="125"/>
      <c r="Z1111" s="28" t="s">
        <v>20</v>
      </c>
      <c r="AA1111" s="28" t="s">
        <v>21</v>
      </c>
      <c r="AB1111" s="78" t="s">
        <v>22</v>
      </c>
      <c r="AC1111" s="79" t="s">
        <v>23</v>
      </c>
      <c r="AD1111" s="79" t="s">
        <v>32</v>
      </c>
      <c r="AE1111" s="79" t="s">
        <v>24</v>
      </c>
      <c r="AG1111" s="29" t="s">
        <v>25</v>
      </c>
      <c r="AH1111" s="29" t="s">
        <v>26</v>
      </c>
      <c r="AI1111" s="125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101</v>
      </c>
      <c r="C1112" s="87">
        <v>8543</v>
      </c>
      <c r="D1112" s="32">
        <f>650*14+36*622+229*2</f>
        <v>31950</v>
      </c>
      <c r="E1112" s="32">
        <v>-300</v>
      </c>
      <c r="F1112" s="32"/>
      <c r="G1112" s="32">
        <f t="shared" ref="G1112:G1145" si="316">SUM(D1112:E1112)</f>
        <v>31650</v>
      </c>
      <c r="H1112" s="12"/>
      <c r="I1112" s="12">
        <f>5550+156</f>
        <v>5706</v>
      </c>
      <c r="J1112" s="12"/>
      <c r="K1112" s="12">
        <f t="shared" ref="K1112:K1145" si="317">SUM(G1112:J1112)</f>
        <v>37356</v>
      </c>
      <c r="M1112" s="10">
        <v>1</v>
      </c>
      <c r="N1112" s="30" t="s">
        <v>101</v>
      </c>
      <c r="O1112" s="31">
        <v>8726</v>
      </c>
      <c r="P1112" s="32">
        <f>650*3+670</f>
        <v>2620</v>
      </c>
      <c r="Q1112" s="32"/>
      <c r="R1112" s="32"/>
      <c r="S1112" s="32">
        <f>SUM(P1112:Q1112)</f>
        <v>2620</v>
      </c>
      <c r="T1112" s="12"/>
      <c r="U1112" s="12"/>
      <c r="V1112" s="12">
        <v>-777</v>
      </c>
      <c r="W1112" s="12">
        <f>SUM(S1112:V1112)</f>
        <v>1843</v>
      </c>
      <c r="Y1112" s="10">
        <v>1</v>
      </c>
      <c r="Z1112" s="30" t="s">
        <v>101</v>
      </c>
      <c r="AA1112" s="31">
        <v>8670</v>
      </c>
      <c r="AB1112" s="32">
        <f>650*25+622*5</f>
        <v>19360</v>
      </c>
      <c r="AC1112" s="32"/>
      <c r="AD1112" s="32"/>
      <c r="AE1112" s="32">
        <f>SUM(AB1112:AC1112)</f>
        <v>19360</v>
      </c>
      <c r="AF1112" s="12"/>
      <c r="AG1112" s="12"/>
      <c r="AH1112" s="12"/>
      <c r="AI1112" s="12">
        <f>SUM(AE1112:AH1112)</f>
        <v>19360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101</v>
      </c>
      <c r="C1113" s="31">
        <f>C1112+1</f>
        <v>8544</v>
      </c>
      <c r="D1113" s="32">
        <f>650*8+9.5*8</f>
        <v>5276</v>
      </c>
      <c r="E1113" s="32"/>
      <c r="F1113" s="32"/>
      <c r="G1113" s="32">
        <f t="shared" si="316"/>
        <v>5276</v>
      </c>
      <c r="H1113" s="12"/>
      <c r="I1113" s="12"/>
      <c r="J1113" s="12"/>
      <c r="K1113" s="12">
        <f t="shared" si="317"/>
        <v>5276</v>
      </c>
      <c r="M1113" s="10">
        <v>2</v>
      </c>
      <c r="N1113" s="30" t="s">
        <v>101</v>
      </c>
      <c r="O1113" s="31">
        <f>O1112+1</f>
        <v>8727</v>
      </c>
      <c r="P1113" s="32">
        <f>3250+47.5</f>
        <v>3297.5</v>
      </c>
      <c r="Q1113" s="32"/>
      <c r="R1113" s="32"/>
      <c r="S1113" s="32">
        <f t="shared" ref="S1113:S1150" si="318">SUM(P1113:Q1113)</f>
        <v>3297.5</v>
      </c>
      <c r="T1113" s="12"/>
      <c r="U1113" s="12"/>
      <c r="V1113" s="12">
        <v>-1221</v>
      </c>
      <c r="W1113" s="12">
        <f t="shared" ref="W1113:W1153" si="319">SUM(S1113:V1113)</f>
        <v>2076.5</v>
      </c>
      <c r="Y1113" s="10">
        <v>2</v>
      </c>
      <c r="Z1113" s="30" t="s">
        <v>101</v>
      </c>
      <c r="AA1113" s="31">
        <f>AA1112+1</f>
        <v>8671</v>
      </c>
      <c r="AB1113" s="32">
        <f>650*200+670*15+622*20+229*2+650*2</f>
        <v>154248</v>
      </c>
      <c r="AC1113" s="32">
        <v>-1422</v>
      </c>
      <c r="AD1113" s="32"/>
      <c r="AE1113" s="32">
        <f t="shared" ref="AE1113:AE1144" si="320">SUM(AB1113:AC1113)</f>
        <v>152826</v>
      </c>
      <c r="AF1113" s="12"/>
      <c r="AG1113" s="12">
        <v>189</v>
      </c>
      <c r="AH1113" s="12"/>
      <c r="AI1113" s="12">
        <f t="shared" ref="AI1113:AI1153" si="321">SUM(AE1113:AH1113)</f>
        <v>153015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101</v>
      </c>
      <c r="C1114" s="31">
        <f t="shared" ref="C1114:C1119" si="322">C1113+1</f>
        <v>8545</v>
      </c>
      <c r="D1114" s="33">
        <f>650*40</f>
        <v>26000</v>
      </c>
      <c r="E1114" s="33"/>
      <c r="F1114" s="33"/>
      <c r="G1114" s="33">
        <f t="shared" si="316"/>
        <v>26000</v>
      </c>
      <c r="H1114" s="34"/>
      <c r="I1114" s="34">
        <f>4.5*72</f>
        <v>324</v>
      </c>
      <c r="J1114" s="34"/>
      <c r="K1114" s="34">
        <f t="shared" si="317"/>
        <v>26324</v>
      </c>
      <c r="M1114" s="10">
        <v>3</v>
      </c>
      <c r="N1114" s="30" t="s">
        <v>101</v>
      </c>
      <c r="O1114" s="31">
        <f t="shared" ref="O1114" si="323">O1113+1</f>
        <v>8728</v>
      </c>
      <c r="P1114" s="32">
        <f>650*324+622*50+229*15</f>
        <v>245135</v>
      </c>
      <c r="Q1114" s="32">
        <v>-2244</v>
      </c>
      <c r="R1114" s="32"/>
      <c r="S1114" s="32">
        <f t="shared" si="318"/>
        <v>242891</v>
      </c>
      <c r="T1114" s="12"/>
      <c r="U1114" s="12">
        <v>624</v>
      </c>
      <c r="V1114" s="12">
        <f>-2997+-252</f>
        <v>-3249</v>
      </c>
      <c r="W1114" s="12">
        <f t="shared" si="319"/>
        <v>240266</v>
      </c>
      <c r="Y1114" s="10">
        <v>3</v>
      </c>
      <c r="Z1114" s="30" t="s">
        <v>101</v>
      </c>
      <c r="AA1114" s="31">
        <f t="shared" ref="AA1114:AA1116" si="324">AA1113+1</f>
        <v>8672</v>
      </c>
      <c r="AB1114" s="33">
        <f>650*50+622*10+229*2</f>
        <v>39178</v>
      </c>
      <c r="AC1114" s="33"/>
      <c r="AD1114" s="32"/>
      <c r="AE1114" s="32">
        <f t="shared" si="320"/>
        <v>39178</v>
      </c>
      <c r="AF1114" s="12"/>
      <c r="AG1114" s="12"/>
      <c r="AH1114" s="12"/>
      <c r="AI1114" s="12">
        <f t="shared" si="321"/>
        <v>39178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101</v>
      </c>
      <c r="C1115" s="31">
        <f t="shared" si="322"/>
        <v>8546</v>
      </c>
      <c r="D1115" s="32">
        <f>650*40+670*3+622*10+912+229</f>
        <v>35371</v>
      </c>
      <c r="E1115" s="32"/>
      <c r="F1115" s="32"/>
      <c r="G1115" s="32">
        <f t="shared" si="316"/>
        <v>35371</v>
      </c>
      <c r="H1115" s="12"/>
      <c r="I1115" s="12">
        <f>36+270</f>
        <v>306</v>
      </c>
      <c r="J1115" s="12"/>
      <c r="K1115" s="12">
        <f t="shared" si="317"/>
        <v>35677</v>
      </c>
      <c r="M1115" s="10">
        <v>4</v>
      </c>
      <c r="N1115" s="30"/>
      <c r="O1115" s="11" t="s">
        <v>27</v>
      </c>
      <c r="P1115" s="32"/>
      <c r="Q1115" s="32"/>
      <c r="R1115" s="32"/>
      <c r="S1115" s="32">
        <f t="shared" si="318"/>
        <v>0</v>
      </c>
      <c r="T1115" s="12"/>
      <c r="U1115" s="12"/>
      <c r="V1115" s="12"/>
      <c r="W1115" s="12">
        <f t="shared" si="319"/>
        <v>0</v>
      </c>
      <c r="Y1115" s="10">
        <v>4</v>
      </c>
      <c r="Z1115" s="30" t="s">
        <v>101</v>
      </c>
      <c r="AA1115" s="31">
        <f t="shared" si="324"/>
        <v>8673</v>
      </c>
      <c r="AB1115" s="32">
        <f>1340+872</f>
        <v>2212</v>
      </c>
      <c r="AC1115" s="32"/>
      <c r="AD1115" s="32"/>
      <c r="AE1115" s="32">
        <f t="shared" si="320"/>
        <v>2212</v>
      </c>
      <c r="AF1115" s="12"/>
      <c r="AH1115" s="12"/>
      <c r="AI1115" s="12">
        <f t="shared" si="321"/>
        <v>2212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101</v>
      </c>
      <c r="C1116" s="31">
        <f t="shared" si="322"/>
        <v>8547</v>
      </c>
      <c r="D1116" s="32">
        <f>650*14+622*2</f>
        <v>10344</v>
      </c>
      <c r="E1116" s="32"/>
      <c r="F1116" s="32"/>
      <c r="G1116" s="32">
        <f t="shared" si="316"/>
        <v>10344</v>
      </c>
      <c r="H1116" s="12"/>
      <c r="I1116" s="12"/>
      <c r="J1116" s="12"/>
      <c r="K1116" s="12">
        <f t="shared" si="317"/>
        <v>10344</v>
      </c>
      <c r="M1116" s="10">
        <v>5</v>
      </c>
      <c r="N1116" s="30"/>
      <c r="O1116" s="31"/>
      <c r="P1116" s="32"/>
      <c r="Q1116" s="32"/>
      <c r="R1116" s="32"/>
      <c r="S1116" s="32">
        <f t="shared" si="318"/>
        <v>0</v>
      </c>
      <c r="T1116" s="12"/>
      <c r="U1116" s="12"/>
      <c r="V1116" s="12"/>
      <c r="W1116" s="12">
        <f t="shared" si="319"/>
        <v>0</v>
      </c>
      <c r="Y1116" s="10">
        <v>5</v>
      </c>
      <c r="Z1116" s="30" t="s">
        <v>101</v>
      </c>
      <c r="AA1116" s="31">
        <f t="shared" si="324"/>
        <v>8674</v>
      </c>
      <c r="AB1116" s="32">
        <f>650*50+670*10+229</f>
        <v>39429</v>
      </c>
      <c r="AC1116" s="32"/>
      <c r="AD1116" s="32"/>
      <c r="AE1116" s="32">
        <f t="shared" si="320"/>
        <v>39429</v>
      </c>
      <c r="AF1116" s="12"/>
      <c r="AG1116" s="12"/>
      <c r="AH1116" s="12"/>
      <c r="AI1116" s="12">
        <f t="shared" si="321"/>
        <v>39429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101</v>
      </c>
      <c r="C1117" s="31">
        <f t="shared" si="322"/>
        <v>8548</v>
      </c>
      <c r="D1117" s="32">
        <f>650</f>
        <v>650</v>
      </c>
      <c r="E1117" s="32"/>
      <c r="F1117" s="32"/>
      <c r="G1117" s="32">
        <f t="shared" si="316"/>
        <v>650</v>
      </c>
      <c r="H1117" s="12"/>
      <c r="I1117" s="12"/>
      <c r="J1117" s="12"/>
      <c r="K1117" s="12">
        <f t="shared" si="317"/>
        <v>650</v>
      </c>
      <c r="M1117" s="10">
        <v>6</v>
      </c>
      <c r="N1117" s="30"/>
      <c r="O1117" s="31"/>
      <c r="P1117" s="32"/>
      <c r="Q1117" s="32"/>
      <c r="R1117" s="32"/>
      <c r="S1117" s="32">
        <f t="shared" si="318"/>
        <v>0</v>
      </c>
      <c r="T1117" s="12"/>
      <c r="U1117" s="12"/>
      <c r="V1117" s="10"/>
      <c r="W1117" s="12">
        <f t="shared" si="319"/>
        <v>0</v>
      </c>
      <c r="Y1117" s="10">
        <v>6</v>
      </c>
      <c r="Z1117" s="30"/>
      <c r="AA1117" s="11" t="s">
        <v>27</v>
      </c>
      <c r="AB1117" s="32"/>
      <c r="AC1117" s="32"/>
      <c r="AD1117" s="32"/>
      <c r="AE1117" s="32">
        <f t="shared" si="320"/>
        <v>0</v>
      </c>
      <c r="AF1117" s="12"/>
      <c r="AG1117" s="12"/>
      <c r="AH1117" s="10"/>
      <c r="AI1117" s="12">
        <f t="shared" si="321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101</v>
      </c>
      <c r="C1118" s="31">
        <f t="shared" si="322"/>
        <v>8549</v>
      </c>
      <c r="D1118" s="32">
        <f>650*4+670*2+229*2</f>
        <v>4398</v>
      </c>
      <c r="E1118" s="32"/>
      <c r="F1118" s="32"/>
      <c r="G1118" s="32">
        <f t="shared" si="316"/>
        <v>4398</v>
      </c>
      <c r="H1118" s="12"/>
      <c r="I1118" s="12"/>
      <c r="J1118" s="12"/>
      <c r="K1118" s="12">
        <f t="shared" si="317"/>
        <v>4398</v>
      </c>
      <c r="M1118" s="10">
        <v>7</v>
      </c>
      <c r="N1118" s="30"/>
      <c r="O1118" s="31"/>
      <c r="P1118" s="32"/>
      <c r="Q1118" s="32"/>
      <c r="R1118" s="32"/>
      <c r="S1118" s="32">
        <f t="shared" si="318"/>
        <v>0</v>
      </c>
      <c r="T1118" s="12"/>
      <c r="U1118" s="12"/>
      <c r="V1118" s="12"/>
      <c r="W1118" s="12">
        <f t="shared" si="319"/>
        <v>0</v>
      </c>
      <c r="Y1118" s="10">
        <v>7</v>
      </c>
      <c r="Z1118" s="30"/>
      <c r="AA1118" s="31"/>
      <c r="AB1118" s="32"/>
      <c r="AC1118" s="32"/>
      <c r="AD1118" s="32"/>
      <c r="AE1118" s="32">
        <f t="shared" si="320"/>
        <v>0</v>
      </c>
      <c r="AF1118" s="12"/>
      <c r="AG1118" s="58"/>
      <c r="AH1118" s="12"/>
      <c r="AI1118" s="12">
        <f t="shared" si="321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101</v>
      </c>
      <c r="C1119" s="31">
        <f t="shared" si="322"/>
        <v>8550</v>
      </c>
      <c r="D1119" s="32">
        <f>650*2</f>
        <v>1300</v>
      </c>
      <c r="E1119" s="32"/>
      <c r="F1119" s="32"/>
      <c r="G1119" s="32">
        <f t="shared" si="316"/>
        <v>1300</v>
      </c>
      <c r="H1119" s="12"/>
      <c r="I1119" s="12"/>
      <c r="J1119" s="12">
        <v>-111</v>
      </c>
      <c r="K1119" s="12">
        <f t="shared" si="317"/>
        <v>1189</v>
      </c>
      <c r="M1119" s="10">
        <v>8</v>
      </c>
      <c r="N1119" s="30"/>
      <c r="P1119" s="32"/>
      <c r="Q1119" s="32"/>
      <c r="R1119" s="32"/>
      <c r="S1119" s="32">
        <f t="shared" si="318"/>
        <v>0</v>
      </c>
      <c r="T1119" s="12"/>
      <c r="U1119" s="12"/>
      <c r="V1119" s="12"/>
      <c r="W1119" s="12">
        <f t="shared" si="319"/>
        <v>0</v>
      </c>
      <c r="Y1119" s="10">
        <v>8</v>
      </c>
      <c r="Z1119" s="30"/>
      <c r="AA1119" s="31"/>
      <c r="AB1119" s="32"/>
      <c r="AC1119" s="32"/>
      <c r="AE1119" s="32">
        <f t="shared" si="320"/>
        <v>0</v>
      </c>
      <c r="AF1119" s="12"/>
      <c r="AG1119" s="12"/>
      <c r="AH1119" s="12"/>
      <c r="AI1119" s="12">
        <f t="shared" si="321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101</v>
      </c>
      <c r="C1120" s="31">
        <v>8751</v>
      </c>
      <c r="D1120" s="32">
        <f>650*200+622*50+229*10</f>
        <v>163390</v>
      </c>
      <c r="E1120" s="32">
        <v>-1500</v>
      </c>
      <c r="F1120" s="32"/>
      <c r="G1120" s="32">
        <f t="shared" si="316"/>
        <v>161890</v>
      </c>
      <c r="H1120" s="12"/>
      <c r="I1120" s="12">
        <f>7*111+8*78</f>
        <v>1401</v>
      </c>
      <c r="J1120" s="12">
        <f>-240+-840+-1218+-42+-11.25+-30</f>
        <v>-2381.25</v>
      </c>
      <c r="K1120" s="12">
        <f t="shared" si="317"/>
        <v>160909.75</v>
      </c>
      <c r="M1120" s="10">
        <v>9</v>
      </c>
      <c r="N1120" s="30"/>
      <c r="O1120" s="31"/>
      <c r="P1120" s="32"/>
      <c r="Q1120" s="32"/>
      <c r="R1120" s="32"/>
      <c r="S1120" s="32">
        <f t="shared" si="318"/>
        <v>0</v>
      </c>
      <c r="T1120" s="12"/>
      <c r="U1120" s="12"/>
      <c r="V1120" s="12"/>
      <c r="W1120" s="12">
        <f t="shared" si="319"/>
        <v>0</v>
      </c>
      <c r="Y1120" s="10">
        <v>9</v>
      </c>
      <c r="Z1120" s="30"/>
      <c r="AA1120" s="31"/>
      <c r="AB1120" s="32"/>
      <c r="AC1120" s="32"/>
      <c r="AD1120" s="32"/>
      <c r="AE1120" s="32">
        <f t="shared" si="320"/>
        <v>0</v>
      </c>
      <c r="AF1120" s="12"/>
      <c r="AH1120" s="12"/>
      <c r="AI1120" s="12">
        <f t="shared" si="321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11" t="s">
        <v>27</v>
      </c>
      <c r="D1121" s="32"/>
      <c r="E1121" s="32"/>
      <c r="F1121" s="32"/>
      <c r="G1121" s="32">
        <f t="shared" si="316"/>
        <v>0</v>
      </c>
      <c r="H1121" s="12"/>
      <c r="I1121" s="12"/>
      <c r="J1121" s="12"/>
      <c r="K1121" s="12">
        <f t="shared" si="317"/>
        <v>0</v>
      </c>
      <c r="M1121" s="10">
        <v>10</v>
      </c>
      <c r="N1121" s="30"/>
      <c r="O1121" s="31"/>
      <c r="P1121" s="32"/>
      <c r="Q1121" s="32"/>
      <c r="R1121" s="32"/>
      <c r="S1121" s="32">
        <f t="shared" si="318"/>
        <v>0</v>
      </c>
      <c r="T1121" s="12"/>
      <c r="U1121" s="12"/>
      <c r="V1121" s="12"/>
      <c r="W1121" s="12">
        <f t="shared" si="319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320"/>
        <v>0</v>
      </c>
      <c r="AF1121" s="12"/>
      <c r="AG1121" s="12"/>
      <c r="AH1121" s="12"/>
      <c r="AI1121" s="12">
        <f t="shared" si="321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31"/>
      <c r="D1122" s="32"/>
      <c r="E1122" s="32"/>
      <c r="F1122" s="32"/>
      <c r="G1122" s="32">
        <f t="shared" si="316"/>
        <v>0</v>
      </c>
      <c r="H1122" s="12"/>
      <c r="I1122" s="12"/>
      <c r="J1122" s="12"/>
      <c r="K1122" s="12">
        <f t="shared" si="317"/>
        <v>0</v>
      </c>
      <c r="M1122" s="10">
        <v>11</v>
      </c>
      <c r="N1122" s="30"/>
      <c r="O1122" s="31"/>
      <c r="P1122" s="32"/>
      <c r="Q1122" s="32"/>
      <c r="R1122" s="32"/>
      <c r="S1122" s="32">
        <f t="shared" si="318"/>
        <v>0</v>
      </c>
      <c r="T1122" s="12"/>
      <c r="U1122" s="12"/>
      <c r="V1122" s="12"/>
      <c r="W1122" s="12">
        <f t="shared" si="319"/>
        <v>0</v>
      </c>
      <c r="Y1122" s="10">
        <v>11</v>
      </c>
      <c r="Z1122" s="30"/>
      <c r="AA1122" s="31"/>
      <c r="AB1122" s="32"/>
      <c r="AC1122" s="32"/>
      <c r="AD1122" s="32"/>
      <c r="AE1122" s="32">
        <f t="shared" si="320"/>
        <v>0</v>
      </c>
      <c r="AF1122" s="12"/>
      <c r="AG1122" s="12"/>
      <c r="AH1122" s="12"/>
      <c r="AI1122" s="12">
        <f t="shared" si="321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31"/>
      <c r="D1123" s="32"/>
      <c r="E1123" s="32"/>
      <c r="F1123" s="32"/>
      <c r="G1123" s="32">
        <f t="shared" si="316"/>
        <v>0</v>
      </c>
      <c r="H1123" s="12"/>
      <c r="I1123" s="12"/>
      <c r="J1123" s="10"/>
      <c r="K1123" s="12">
        <f t="shared" si="317"/>
        <v>0</v>
      </c>
      <c r="M1123" s="10">
        <v>12</v>
      </c>
      <c r="N1123" s="30"/>
      <c r="O1123" s="31"/>
      <c r="P1123" s="32"/>
      <c r="Q1123" s="32"/>
      <c r="R1123" s="32"/>
      <c r="S1123" s="32">
        <f t="shared" si="318"/>
        <v>0</v>
      </c>
      <c r="T1123" s="12"/>
      <c r="U1123" s="12"/>
      <c r="V1123" s="12"/>
      <c r="W1123" s="12">
        <f t="shared" si="319"/>
        <v>0</v>
      </c>
      <c r="Y1123" s="10">
        <v>12</v>
      </c>
      <c r="Z1123" s="30"/>
      <c r="AB1123" s="32"/>
      <c r="AC1123" s="32"/>
      <c r="AD1123" s="32"/>
      <c r="AE1123" s="32">
        <f t="shared" si="320"/>
        <v>0</v>
      </c>
      <c r="AF1123" s="12"/>
      <c r="AG1123" s="12"/>
      <c r="AH1123" s="12"/>
      <c r="AI1123" s="12">
        <f t="shared" si="321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31"/>
      <c r="D1124" s="32"/>
      <c r="E1124" s="32"/>
      <c r="F1124" s="32"/>
      <c r="G1124" s="32">
        <f t="shared" si="316"/>
        <v>0</v>
      </c>
      <c r="H1124" s="12"/>
      <c r="I1124" s="12"/>
      <c r="J1124" s="12"/>
      <c r="K1124" s="12">
        <f t="shared" si="317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318"/>
        <v>0</v>
      </c>
      <c r="T1124" s="12"/>
      <c r="U1124" s="12"/>
      <c r="V1124" s="12"/>
      <c r="W1124" s="12">
        <f t="shared" si="319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320"/>
        <v>0</v>
      </c>
      <c r="AF1124" s="12"/>
      <c r="AG1124" s="12"/>
      <c r="AH1124" s="12"/>
      <c r="AI1124" s="12">
        <f t="shared" si="321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D1125" s="32"/>
      <c r="E1125" s="32"/>
      <c r="F1125" s="32"/>
      <c r="G1125" s="32">
        <f t="shared" si="316"/>
        <v>0</v>
      </c>
      <c r="H1125" s="12"/>
      <c r="I1125" s="12"/>
      <c r="J1125" s="12"/>
      <c r="K1125" s="12">
        <f t="shared" si="317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18"/>
        <v>0</v>
      </c>
      <c r="T1125" s="12"/>
      <c r="U1125" s="12"/>
      <c r="V1125" s="12"/>
      <c r="W1125" s="12">
        <f t="shared" si="319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20"/>
        <v>0</v>
      </c>
      <c r="AF1125" s="12"/>
      <c r="AG1125" s="12"/>
      <c r="AH1125" s="12"/>
      <c r="AI1125" s="12">
        <f t="shared" si="321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57"/>
      <c r="D1126" s="32"/>
      <c r="E1126" s="32"/>
      <c r="F1126" s="32"/>
      <c r="G1126" s="32">
        <f t="shared" si="316"/>
        <v>0</v>
      </c>
      <c r="H1126" s="12"/>
      <c r="I1126" s="12"/>
      <c r="J1126" s="12"/>
      <c r="K1126" s="12">
        <f t="shared" si="317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18"/>
        <v>0</v>
      </c>
      <c r="T1126" s="12"/>
      <c r="U1126" s="12"/>
      <c r="V1126" s="12"/>
      <c r="W1126" s="12">
        <f t="shared" si="319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320"/>
        <v>0</v>
      </c>
      <c r="AF1126" s="12"/>
      <c r="AG1126" s="12"/>
      <c r="AH1126" s="12"/>
      <c r="AI1126" s="12">
        <f t="shared" si="321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31"/>
      <c r="D1127" s="32"/>
      <c r="E1127" s="32"/>
      <c r="F1127" s="32"/>
      <c r="G1127" s="32">
        <f t="shared" si="316"/>
        <v>0</v>
      </c>
      <c r="H1127" s="12"/>
      <c r="I1127" s="12"/>
      <c r="J1127" s="12"/>
      <c r="K1127" s="12">
        <f t="shared" si="317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318"/>
        <v>0</v>
      </c>
      <c r="T1127" s="12"/>
      <c r="U1127" s="12"/>
      <c r="V1127" s="12"/>
      <c r="W1127" s="12">
        <f t="shared" si="319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320"/>
        <v>0</v>
      </c>
      <c r="AF1127" s="12"/>
      <c r="AG1127" s="12"/>
      <c r="AH1127" s="12"/>
      <c r="AI1127" s="12">
        <f t="shared" si="321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31"/>
      <c r="D1128" s="32"/>
      <c r="E1128" s="32"/>
      <c r="F1128" s="32"/>
      <c r="G1128" s="32">
        <f t="shared" si="316"/>
        <v>0</v>
      </c>
      <c r="H1128" s="12"/>
      <c r="I1128" s="12"/>
      <c r="J1128" s="12"/>
      <c r="K1128" s="12">
        <f t="shared" si="317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18"/>
        <v>0</v>
      </c>
      <c r="T1128" s="12"/>
      <c r="U1128" s="12"/>
      <c r="V1128" s="12"/>
      <c r="W1128" s="12">
        <f t="shared" si="319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20"/>
        <v>0</v>
      </c>
      <c r="AF1128" s="12"/>
      <c r="AG1128" s="12"/>
      <c r="AH1128" s="12"/>
      <c r="AI1128" s="12">
        <f t="shared" si="321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31"/>
      <c r="D1129" s="32"/>
      <c r="E1129" s="32"/>
      <c r="F1129" s="32"/>
      <c r="G1129" s="32">
        <f t="shared" si="316"/>
        <v>0</v>
      </c>
      <c r="H1129" s="12"/>
      <c r="I1129" s="12"/>
      <c r="J1129" s="12"/>
      <c r="K1129" s="12">
        <f t="shared" si="317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18"/>
        <v>0</v>
      </c>
      <c r="T1129" s="12"/>
      <c r="U1129" s="12"/>
      <c r="V1129" s="12"/>
      <c r="W1129" s="12">
        <f t="shared" si="319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20"/>
        <v>0</v>
      </c>
      <c r="AF1129" s="12"/>
      <c r="AG1129" s="12"/>
      <c r="AH1129" s="12"/>
      <c r="AI1129" s="12">
        <f t="shared" si="321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31"/>
      <c r="D1130" s="32"/>
      <c r="E1130" s="32"/>
      <c r="F1130" s="32"/>
      <c r="G1130" s="32">
        <f t="shared" si="316"/>
        <v>0</v>
      </c>
      <c r="H1130" s="12"/>
      <c r="I1130" s="12"/>
      <c r="J1130" s="12"/>
      <c r="K1130" s="12">
        <f t="shared" si="317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18"/>
        <v>0</v>
      </c>
      <c r="T1130" s="12"/>
      <c r="U1130" s="12"/>
      <c r="V1130" s="12"/>
      <c r="W1130" s="12">
        <f t="shared" si="319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20"/>
        <v>0</v>
      </c>
      <c r="AF1130" s="12"/>
      <c r="AG1130" s="12"/>
      <c r="AH1130" s="12"/>
      <c r="AI1130" s="12">
        <f t="shared" si="321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31"/>
      <c r="D1131" s="32"/>
      <c r="E1131" s="32"/>
      <c r="F1131" s="32"/>
      <c r="G1131" s="32">
        <f t="shared" si="316"/>
        <v>0</v>
      </c>
      <c r="H1131" s="12"/>
      <c r="I1131" s="12"/>
      <c r="J1131" s="12"/>
      <c r="K1131" s="12">
        <f t="shared" si="317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18"/>
        <v>0</v>
      </c>
      <c r="T1131" s="12"/>
      <c r="U1131" s="12"/>
      <c r="V1131" s="12"/>
      <c r="W1131" s="12">
        <f t="shared" si="319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20"/>
        <v>0</v>
      </c>
      <c r="AF1131" s="12"/>
      <c r="AG1131" s="12"/>
      <c r="AH1131" s="12"/>
      <c r="AI1131" s="12">
        <f t="shared" si="321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31"/>
      <c r="D1132" s="32"/>
      <c r="E1132" s="32"/>
      <c r="F1132" s="32"/>
      <c r="G1132" s="32">
        <f t="shared" si="316"/>
        <v>0</v>
      </c>
      <c r="H1132" s="10"/>
      <c r="I1132" s="10"/>
      <c r="J1132" s="10"/>
      <c r="K1132" s="12">
        <f t="shared" si="317"/>
        <v>0</v>
      </c>
      <c r="M1132" s="10">
        <v>21</v>
      </c>
      <c r="N1132" s="30"/>
      <c r="O1132" s="31"/>
      <c r="P1132" s="46"/>
      <c r="Q1132" s="31"/>
      <c r="R1132" s="31"/>
      <c r="S1132" s="32">
        <f t="shared" si="318"/>
        <v>0</v>
      </c>
      <c r="T1132" s="10"/>
      <c r="U1132" s="10"/>
      <c r="V1132" s="10"/>
      <c r="W1132" s="12">
        <f t="shared" si="319"/>
        <v>0</v>
      </c>
      <c r="Y1132" s="10">
        <v>21</v>
      </c>
      <c r="Z1132" s="30"/>
      <c r="AB1132" s="46"/>
      <c r="AC1132" s="31"/>
      <c r="AD1132" s="31"/>
      <c r="AE1132" s="32">
        <f t="shared" si="320"/>
        <v>0</v>
      </c>
      <c r="AF1132" s="10"/>
      <c r="AG1132" s="10"/>
      <c r="AH1132" s="10"/>
      <c r="AI1132" s="12">
        <f t="shared" si="321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31"/>
      <c r="D1133" s="32"/>
      <c r="E1133" s="32"/>
      <c r="F1133" s="32"/>
      <c r="G1133" s="32">
        <f t="shared" si="316"/>
        <v>0</v>
      </c>
      <c r="H1133" s="10"/>
      <c r="I1133" s="10"/>
      <c r="J1133" s="10"/>
      <c r="K1133" s="12">
        <f t="shared" si="317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318"/>
        <v>0</v>
      </c>
      <c r="T1133" s="10"/>
      <c r="U1133" s="10"/>
      <c r="V1133" s="10"/>
      <c r="W1133" s="12">
        <f t="shared" si="319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20"/>
        <v>0</v>
      </c>
      <c r="AF1133" s="10"/>
      <c r="AG1133" s="10"/>
      <c r="AH1133" s="10"/>
      <c r="AI1133" s="12">
        <f t="shared" si="321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57"/>
      <c r="D1134" s="32"/>
      <c r="E1134" s="32"/>
      <c r="F1134" s="32"/>
      <c r="G1134" s="32">
        <f t="shared" si="316"/>
        <v>0</v>
      </c>
      <c r="H1134" s="10"/>
      <c r="I1134" s="10"/>
      <c r="J1134" s="12"/>
      <c r="K1134" s="12">
        <f t="shared" si="317"/>
        <v>0</v>
      </c>
      <c r="M1134" s="10">
        <v>23</v>
      </c>
      <c r="N1134" s="30"/>
      <c r="O1134" s="31"/>
      <c r="P1134" s="47"/>
      <c r="Q1134" s="31"/>
      <c r="S1134" s="32">
        <f t="shared" si="318"/>
        <v>0</v>
      </c>
      <c r="T1134" s="10"/>
      <c r="U1134" s="10"/>
      <c r="V1134" s="10"/>
      <c r="W1134" s="12">
        <f t="shared" si="319"/>
        <v>0</v>
      </c>
      <c r="Y1134" s="10">
        <v>23</v>
      </c>
      <c r="Z1134" s="30"/>
      <c r="AB1134" s="47"/>
      <c r="AC1134" s="31"/>
      <c r="AE1134" s="32">
        <f t="shared" si="320"/>
        <v>0</v>
      </c>
      <c r="AF1134" s="10"/>
      <c r="AG1134" s="10"/>
      <c r="AH1134" s="10"/>
      <c r="AI1134" s="12">
        <f t="shared" si="321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31"/>
      <c r="D1135" s="32"/>
      <c r="E1135" s="32"/>
      <c r="F1135" s="32"/>
      <c r="G1135" s="32">
        <f t="shared" si="316"/>
        <v>0</v>
      </c>
      <c r="H1135" s="10"/>
      <c r="I1135" s="10"/>
      <c r="J1135" s="10"/>
      <c r="K1135" s="12">
        <f t="shared" si="317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318"/>
        <v>0</v>
      </c>
      <c r="T1135" s="10"/>
      <c r="U1135" s="10"/>
      <c r="V1135" s="10"/>
      <c r="W1135" s="12">
        <f t="shared" si="319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20"/>
        <v>0</v>
      </c>
      <c r="AF1135" s="10"/>
      <c r="AG1135" s="10"/>
      <c r="AH1135" s="10"/>
      <c r="AI1135" s="12">
        <f t="shared" si="321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31"/>
      <c r="D1136" s="32"/>
      <c r="E1136" s="32"/>
      <c r="F1136" s="32"/>
      <c r="G1136" s="32">
        <f t="shared" si="316"/>
        <v>0</v>
      </c>
      <c r="H1136" s="10"/>
      <c r="I1136" s="10"/>
      <c r="J1136" s="10"/>
      <c r="K1136" s="12">
        <f t="shared" si="317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18"/>
        <v>0</v>
      </c>
      <c r="T1136" s="10"/>
      <c r="U1136" s="10"/>
      <c r="V1136" s="10"/>
      <c r="W1136" s="12">
        <f t="shared" si="319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20"/>
        <v>0</v>
      </c>
      <c r="AF1136" s="10"/>
      <c r="AG1136" s="10"/>
      <c r="AH1136" s="10"/>
      <c r="AI1136" s="12">
        <f t="shared" si="321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31"/>
      <c r="D1137" s="32"/>
      <c r="E1137" s="32"/>
      <c r="F1137" s="32"/>
      <c r="G1137" s="32">
        <f t="shared" si="316"/>
        <v>0</v>
      </c>
      <c r="H1137" s="10"/>
      <c r="I1137" s="10"/>
      <c r="J1137" s="10"/>
      <c r="K1137" s="12">
        <f t="shared" si="317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18"/>
        <v>0</v>
      </c>
      <c r="T1137" s="10"/>
      <c r="U1137" s="10"/>
      <c r="V1137" s="10"/>
      <c r="W1137" s="12">
        <f t="shared" si="319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20"/>
        <v>0</v>
      </c>
      <c r="AF1137" s="10"/>
      <c r="AG1137" s="10"/>
      <c r="AH1137" s="10"/>
      <c r="AI1137" s="12">
        <f t="shared" si="321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31"/>
      <c r="D1138" s="32"/>
      <c r="E1138" s="32"/>
      <c r="F1138" s="32"/>
      <c r="G1138" s="32">
        <f t="shared" si="316"/>
        <v>0</v>
      </c>
      <c r="H1138" s="10"/>
      <c r="I1138" s="10"/>
      <c r="J1138" s="10"/>
      <c r="K1138" s="12">
        <f t="shared" si="317"/>
        <v>0</v>
      </c>
      <c r="M1138" s="10">
        <v>27</v>
      </c>
      <c r="N1138" s="30"/>
      <c r="P1138" s="47"/>
      <c r="Q1138" s="31"/>
      <c r="R1138" s="31"/>
      <c r="S1138" s="32">
        <f t="shared" si="318"/>
        <v>0</v>
      </c>
      <c r="T1138" s="10"/>
      <c r="U1138" s="10"/>
      <c r="V1138" s="10"/>
      <c r="W1138" s="12">
        <f t="shared" si="319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20"/>
        <v>0</v>
      </c>
      <c r="AF1138" s="10"/>
      <c r="AG1138" s="10"/>
      <c r="AH1138" s="10"/>
      <c r="AI1138" s="12">
        <f t="shared" si="321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31"/>
      <c r="D1139" s="32"/>
      <c r="E1139" s="32"/>
      <c r="F1139" s="32"/>
      <c r="G1139" s="32">
        <f t="shared" si="316"/>
        <v>0</v>
      </c>
      <c r="H1139" s="10"/>
      <c r="I1139" s="10"/>
      <c r="J1139" s="10"/>
      <c r="K1139" s="12">
        <f t="shared" si="317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18"/>
        <v>0</v>
      </c>
      <c r="T1139" s="10"/>
      <c r="U1139" s="10"/>
      <c r="V1139" s="10"/>
      <c r="W1139" s="12">
        <f t="shared" si="319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20"/>
        <v>0</v>
      </c>
      <c r="AF1139" s="10"/>
      <c r="AG1139" s="10"/>
      <c r="AH1139" s="10"/>
      <c r="AI1139" s="12">
        <f t="shared" si="321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31"/>
      <c r="D1140" s="32"/>
      <c r="E1140" s="32"/>
      <c r="F1140" s="32"/>
      <c r="G1140" s="32">
        <f t="shared" si="316"/>
        <v>0</v>
      </c>
      <c r="H1140" s="10"/>
      <c r="I1140" s="10"/>
      <c r="J1140" s="10"/>
      <c r="K1140" s="12">
        <f t="shared" si="317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18"/>
        <v>0</v>
      </c>
      <c r="T1140" s="10"/>
      <c r="U1140" s="10"/>
      <c r="V1140" s="10"/>
      <c r="W1140" s="12">
        <f t="shared" si="319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20"/>
        <v>0</v>
      </c>
      <c r="AF1140" s="10"/>
      <c r="AG1140" s="10"/>
      <c r="AH1140" s="10"/>
      <c r="AI1140" s="12">
        <f t="shared" si="321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16"/>
        <v>0</v>
      </c>
      <c r="H1141" s="10"/>
      <c r="I1141" s="10"/>
      <c r="J1141" s="10"/>
      <c r="K1141" s="12">
        <f t="shared" si="317"/>
        <v>0</v>
      </c>
      <c r="M1141" s="10">
        <v>30</v>
      </c>
      <c r="N1141" s="30"/>
      <c r="O1141" s="31"/>
      <c r="P1141" s="47"/>
      <c r="Q1141" s="31"/>
      <c r="R1141" s="31"/>
      <c r="S1141" s="32">
        <f t="shared" si="318"/>
        <v>0</v>
      </c>
      <c r="T1141" s="10"/>
      <c r="U1141" s="10"/>
      <c r="V1141" s="10"/>
      <c r="W1141" s="12">
        <f t="shared" si="319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20"/>
        <v>0</v>
      </c>
      <c r="AF1141" s="10"/>
      <c r="AG1141" s="10"/>
      <c r="AH1141" s="10"/>
      <c r="AI1141" s="12">
        <f t="shared" si="321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87"/>
      <c r="D1142" s="32"/>
      <c r="E1142" s="32"/>
      <c r="F1142" s="32"/>
      <c r="G1142" s="32">
        <f t="shared" si="316"/>
        <v>0</v>
      </c>
      <c r="H1142" s="10"/>
      <c r="I1142" s="10"/>
      <c r="J1142" s="10"/>
      <c r="K1142" s="12">
        <f t="shared" si="317"/>
        <v>0</v>
      </c>
      <c r="M1142" s="10">
        <v>31</v>
      </c>
      <c r="N1142" s="30"/>
      <c r="P1142" s="47"/>
      <c r="Q1142" s="31"/>
      <c r="R1142" s="31"/>
      <c r="S1142" s="32">
        <f t="shared" si="318"/>
        <v>0</v>
      </c>
      <c r="T1142" s="10"/>
      <c r="U1142" s="10"/>
      <c r="V1142" s="10"/>
      <c r="W1142" s="12">
        <f t="shared" si="319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20"/>
        <v>0</v>
      </c>
      <c r="AF1142" s="10"/>
      <c r="AG1142" s="10"/>
      <c r="AH1142" s="10"/>
      <c r="AI1142" s="12">
        <f t="shared" si="321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57"/>
      <c r="D1143" s="32"/>
      <c r="E1143" s="32"/>
      <c r="F1143" s="32"/>
      <c r="G1143" s="32">
        <f t="shared" si="316"/>
        <v>0</v>
      </c>
      <c r="H1143" s="10"/>
      <c r="I1143" s="10"/>
      <c r="J1143" s="10"/>
      <c r="K1143" s="12">
        <f t="shared" si="317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18"/>
        <v>0</v>
      </c>
      <c r="T1143" s="10"/>
      <c r="U1143" s="10"/>
      <c r="V1143" s="10"/>
      <c r="W1143" s="12">
        <f t="shared" si="319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20"/>
        <v>0</v>
      </c>
      <c r="AF1143" s="10"/>
      <c r="AG1143" s="10"/>
      <c r="AH1143" s="10"/>
      <c r="AI1143" s="12">
        <f t="shared" si="321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7"/>
      <c r="D1144" s="32"/>
      <c r="E1144" s="32"/>
      <c r="F1144" s="32"/>
      <c r="G1144" s="32">
        <f t="shared" si="316"/>
        <v>0</v>
      </c>
      <c r="H1144" s="10"/>
      <c r="I1144" s="10"/>
      <c r="J1144" s="10"/>
      <c r="K1144" s="12">
        <f t="shared" si="317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18"/>
        <v>0</v>
      </c>
      <c r="T1144" s="10"/>
      <c r="U1144" s="10"/>
      <c r="V1144" s="10"/>
      <c r="W1144" s="12">
        <f t="shared" si="319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20"/>
        <v>0</v>
      </c>
      <c r="AF1144" s="10"/>
      <c r="AG1144" s="10"/>
      <c r="AH1144" s="10"/>
      <c r="AI1144" s="12">
        <f t="shared" si="321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7"/>
      <c r="D1145" s="32"/>
      <c r="E1145" s="32"/>
      <c r="F1145" s="32"/>
      <c r="G1145" s="32">
        <f t="shared" si="316"/>
        <v>0</v>
      </c>
      <c r="H1145" s="10"/>
      <c r="I1145" s="10"/>
      <c r="J1145" s="10"/>
      <c r="K1145" s="12">
        <f t="shared" si="317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18"/>
        <v>0</v>
      </c>
      <c r="T1145" s="10"/>
      <c r="U1145" s="10"/>
      <c r="V1145" s="10"/>
      <c r="W1145" s="12">
        <f t="shared" si="319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ref="AE1145:AE1150" si="325">SUM(AB1145:AC1145)</f>
        <v>0</v>
      </c>
      <c r="AF1145" s="10"/>
      <c r="AG1145" s="10"/>
      <c r="AH1145" s="10"/>
      <c r="AI1145" s="12">
        <f t="shared" si="321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7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18"/>
        <v>0</v>
      </c>
      <c r="T1146" s="10"/>
      <c r="U1146" s="10"/>
      <c r="V1146" s="10"/>
      <c r="W1146" s="12">
        <f t="shared" si="319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25"/>
        <v>0</v>
      </c>
      <c r="AF1146" s="10"/>
      <c r="AG1146" s="10"/>
      <c r="AH1146" s="10"/>
      <c r="AI1146" s="12">
        <f t="shared" si="321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7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18"/>
        <v>0</v>
      </c>
      <c r="T1147" s="10"/>
      <c r="U1147" s="10"/>
      <c r="V1147" s="10"/>
      <c r="W1147" s="12">
        <f t="shared" si="319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25"/>
        <v>0</v>
      </c>
      <c r="AF1147" s="10"/>
      <c r="AG1147" s="10"/>
      <c r="AH1147" s="10"/>
      <c r="AI1147" s="12">
        <f t="shared" si="321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18"/>
        <v>0</v>
      </c>
      <c r="T1148" s="10"/>
      <c r="U1148" s="10"/>
      <c r="V1148" s="10"/>
      <c r="W1148" s="12">
        <f t="shared" si="319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25"/>
        <v>0</v>
      </c>
      <c r="AF1148" s="10"/>
      <c r="AG1148" s="10"/>
      <c r="AH1148" s="10"/>
      <c r="AI1148" s="12">
        <f t="shared" si="321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18"/>
        <v>0</v>
      </c>
      <c r="T1149" s="10"/>
      <c r="U1149" s="10"/>
      <c r="V1149" s="10"/>
      <c r="W1149" s="12">
        <f t="shared" si="319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25"/>
        <v>0</v>
      </c>
      <c r="AF1149" s="10"/>
      <c r="AG1149" s="10"/>
      <c r="AH1149" s="10"/>
      <c r="AI1149" s="12">
        <f t="shared" si="321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18"/>
        <v>0</v>
      </c>
      <c r="T1150" s="10"/>
      <c r="U1150" s="10"/>
      <c r="V1150" s="10"/>
      <c r="W1150" s="12">
        <f t="shared" si="319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25"/>
        <v>0</v>
      </c>
      <c r="AF1150" s="10"/>
      <c r="AG1150" s="10"/>
      <c r="AH1150" s="10"/>
      <c r="AI1150" s="12">
        <f t="shared" si="321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19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21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26">SUM(D1152:E1152)</f>
        <v>0</v>
      </c>
      <c r="H1152" s="10"/>
      <c r="I1152" s="10"/>
      <c r="J1152" s="10"/>
      <c r="K1152" s="12">
        <f t="shared" ref="K1152" si="327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28">SUM(P1152:Q1152)</f>
        <v>0</v>
      </c>
      <c r="T1152" s="10"/>
      <c r="U1152" s="10"/>
      <c r="V1152" s="10"/>
      <c r="W1152" s="12">
        <f t="shared" si="319"/>
        <v>0</v>
      </c>
      <c r="Y1152" s="10"/>
      <c r="Z1152" s="30"/>
      <c r="AA1152" s="31"/>
      <c r="AB1152" s="47"/>
      <c r="AC1152" s="31"/>
      <c r="AD1152" s="31"/>
      <c r="AE1152" s="32">
        <f t="shared" ref="AE1152" si="329">SUM(AB1152:AC1152)</f>
        <v>0</v>
      </c>
      <c r="AF1152" s="10"/>
      <c r="AG1152" s="10"/>
      <c r="AH1152" s="10"/>
      <c r="AI1152" s="12">
        <f t="shared" si="321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19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21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278679</v>
      </c>
      <c r="E1155" s="38">
        <f t="shared" ref="E1155:F1155" si="330">SUM(E1112:E1152)</f>
        <v>-1800</v>
      </c>
      <c r="F1155" s="38">
        <f t="shared" si="330"/>
        <v>0</v>
      </c>
      <c r="G1155" s="38">
        <f>SUM(G1112:G1154)</f>
        <v>276879</v>
      </c>
      <c r="H1155" s="4"/>
      <c r="I1155" s="39">
        <f>SUM(I1112:I1154)</f>
        <v>7737</v>
      </c>
      <c r="J1155" s="39">
        <f>SUM(J1112:J1154)</f>
        <v>-2492.25</v>
      </c>
      <c r="K1155" s="40">
        <f>SUM(K1112:K1154)</f>
        <v>282123.75</v>
      </c>
      <c r="N1155" s="57"/>
      <c r="O1155" s="57"/>
      <c r="P1155" s="38">
        <f>SUM(P1112:P1154)</f>
        <v>251052.5</v>
      </c>
      <c r="Q1155" s="38">
        <f>SUM(Q1112:Q1136)</f>
        <v>-2244</v>
      </c>
      <c r="R1155" s="38">
        <f>SUM(R1112:R1136)</f>
        <v>0</v>
      </c>
      <c r="S1155" s="38">
        <f>SUM(S1112:S1154)</f>
        <v>248808.5</v>
      </c>
      <c r="T1155" s="4"/>
      <c r="U1155" s="41">
        <f>SUM(U1112:U1154)</f>
        <v>624</v>
      </c>
      <c r="V1155" s="41">
        <f>SUM(V1112:V1136)</f>
        <v>-5247</v>
      </c>
      <c r="W1155" s="42">
        <f>SUM(W1112:W1154)</f>
        <v>244185.5</v>
      </c>
      <c r="Z1155" s="57"/>
      <c r="AA1155" s="57"/>
      <c r="AB1155" s="38">
        <f>SUM(AB1112:AB1154)</f>
        <v>254427</v>
      </c>
      <c r="AC1155" s="38">
        <f>SUM(AC1112:AC1136)</f>
        <v>-1422</v>
      </c>
      <c r="AD1155" s="38">
        <f>SUM(AD1112:AD1136)</f>
        <v>0</v>
      </c>
      <c r="AE1155" s="38">
        <f>SUM(AE1112:AE1154)</f>
        <v>253005</v>
      </c>
      <c r="AF1155" s="4"/>
      <c r="AG1155" s="41">
        <f>SUM(AG1112:AG1154)</f>
        <v>189</v>
      </c>
      <c r="AH1155" s="41">
        <f>SUM(AH1112:AH1136)</f>
        <v>0</v>
      </c>
      <c r="AI1155" s="42">
        <f>SUM(AI1112:AI1154)</f>
        <v>253194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49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49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49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103</v>
      </c>
      <c r="B1163" s="20"/>
      <c r="C1163" s="57"/>
      <c r="D1163" s="57"/>
      <c r="E1163" s="57"/>
      <c r="G1163" s="57"/>
      <c r="I1163" s="22" t="s">
        <v>16</v>
      </c>
      <c r="J1163" s="23" t="s">
        <v>31</v>
      </c>
      <c r="K1163" s="24"/>
      <c r="M1163" s="21" t="s">
        <v>103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98</v>
      </c>
      <c r="W1163" s="24"/>
      <c r="Y1163" s="21" t="s">
        <v>103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54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6" t="s">
        <v>17</v>
      </c>
      <c r="E1165" s="126"/>
      <c r="F1165" s="113"/>
      <c r="G1165" s="27"/>
      <c r="I1165" s="122" t="s">
        <v>18</v>
      </c>
      <c r="J1165" s="123"/>
      <c r="K1165" s="124" t="s">
        <v>19</v>
      </c>
      <c r="N1165" s="25"/>
      <c r="O1165" s="26"/>
      <c r="P1165" s="126" t="s">
        <v>17</v>
      </c>
      <c r="Q1165" s="126"/>
      <c r="R1165" s="113"/>
      <c r="S1165" s="27"/>
      <c r="U1165" s="122" t="s">
        <v>18</v>
      </c>
      <c r="V1165" s="123"/>
      <c r="W1165" s="124" t="s">
        <v>19</v>
      </c>
      <c r="Z1165" s="25"/>
      <c r="AA1165" s="26"/>
      <c r="AB1165" s="126" t="s">
        <v>17</v>
      </c>
      <c r="AC1165" s="126"/>
      <c r="AD1165" s="113"/>
      <c r="AE1165" s="27"/>
      <c r="AG1165" s="122" t="s">
        <v>18</v>
      </c>
      <c r="AH1165" s="123"/>
      <c r="AI1165" s="124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8" t="s">
        <v>22</v>
      </c>
      <c r="E1166" s="77" t="s">
        <v>23</v>
      </c>
      <c r="F1166" s="79" t="s">
        <v>32</v>
      </c>
      <c r="G1166" s="79" t="s">
        <v>24</v>
      </c>
      <c r="I1166" s="29" t="s">
        <v>25</v>
      </c>
      <c r="J1166" s="29" t="s">
        <v>26</v>
      </c>
      <c r="K1166" s="125"/>
      <c r="N1166" s="28" t="s">
        <v>20</v>
      </c>
      <c r="O1166" s="28" t="s">
        <v>21</v>
      </c>
      <c r="P1166" s="78" t="s">
        <v>22</v>
      </c>
      <c r="Q1166" s="79" t="s">
        <v>23</v>
      </c>
      <c r="R1166" s="79" t="s">
        <v>32</v>
      </c>
      <c r="S1166" s="79" t="s">
        <v>24</v>
      </c>
      <c r="U1166" s="29" t="s">
        <v>25</v>
      </c>
      <c r="V1166" s="29" t="s">
        <v>26</v>
      </c>
      <c r="W1166" s="125"/>
      <c r="Z1166" s="28" t="s">
        <v>20</v>
      </c>
      <c r="AA1166" s="28" t="s">
        <v>21</v>
      </c>
      <c r="AB1166" s="78" t="s">
        <v>22</v>
      </c>
      <c r="AC1166" s="79" t="s">
        <v>23</v>
      </c>
      <c r="AD1166" s="79" t="s">
        <v>32</v>
      </c>
      <c r="AE1166" s="79" t="s">
        <v>24</v>
      </c>
      <c r="AG1166" s="29" t="s">
        <v>25</v>
      </c>
      <c r="AH1166" s="29" t="s">
        <v>26</v>
      </c>
      <c r="AI1166" s="125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104</v>
      </c>
      <c r="C1167" s="87">
        <v>8752</v>
      </c>
      <c r="D1167" s="32">
        <f>650*7</f>
        <v>4550</v>
      </c>
      <c r="E1167" s="32">
        <v>-42</v>
      </c>
      <c r="F1167" s="32"/>
      <c r="G1167" s="32">
        <f t="shared" ref="G1167:G1200" si="331">SUM(D1167:E1167)</f>
        <v>4508</v>
      </c>
      <c r="H1167" s="12"/>
      <c r="I1167" s="12"/>
      <c r="J1167" s="12"/>
      <c r="K1167" s="12">
        <f t="shared" ref="K1167:K1200" si="332">SUM(G1167:J1167)</f>
        <v>4508</v>
      </c>
      <c r="M1167" s="10">
        <v>1</v>
      </c>
      <c r="N1167" s="30" t="s">
        <v>104</v>
      </c>
      <c r="O1167" s="31">
        <v>8729</v>
      </c>
      <c r="P1167" s="32">
        <f>650*10+622*4+9.5*14</f>
        <v>9121</v>
      </c>
      <c r="Q1167" s="32"/>
      <c r="R1167" s="32"/>
      <c r="S1167" s="32">
        <f>SUM(P1167:Q1167)</f>
        <v>9121</v>
      </c>
      <c r="T1167" s="12"/>
      <c r="U1167" s="12"/>
      <c r="V1167" s="12"/>
      <c r="W1167" s="12">
        <f>SUM(S1167:V1167)</f>
        <v>9121</v>
      </c>
      <c r="Y1167" s="10">
        <v>1</v>
      </c>
      <c r="Z1167" s="30" t="s">
        <v>104</v>
      </c>
      <c r="AA1167" s="31">
        <v>8675</v>
      </c>
      <c r="AB1167" s="32">
        <f>650*324+670*20+622*30+229*14</f>
        <v>245866</v>
      </c>
      <c r="AC1167" s="32">
        <v>-2244</v>
      </c>
      <c r="AD1167" s="32"/>
      <c r="AE1167" s="32">
        <f>SUM(AB1167:AC1167)</f>
        <v>243622</v>
      </c>
      <c r="AF1167" s="12"/>
      <c r="AG1167" s="12"/>
      <c r="AH1167" s="12"/>
      <c r="AI1167" s="12">
        <f>SUM(AE1167:AH1167)</f>
        <v>243622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104</v>
      </c>
      <c r="C1168" s="31">
        <f>C1167+1</f>
        <v>8753</v>
      </c>
      <c r="D1168" s="32">
        <f>650*10+9.5*10</f>
        <v>6595</v>
      </c>
      <c r="E1168" s="32"/>
      <c r="F1168" s="32"/>
      <c r="G1168" s="32">
        <f t="shared" si="331"/>
        <v>6595</v>
      </c>
      <c r="H1168" s="12"/>
      <c r="I1168" s="12"/>
      <c r="J1168" s="12"/>
      <c r="K1168" s="12">
        <f t="shared" si="332"/>
        <v>6595</v>
      </c>
      <c r="M1168" s="10">
        <v>2</v>
      </c>
      <c r="N1168" s="30" t="s">
        <v>104</v>
      </c>
      <c r="O1168" s="31">
        <f>O1167+1</f>
        <v>8730</v>
      </c>
      <c r="P1168" s="32">
        <f>650*6+622+9.5*7</f>
        <v>4588.5</v>
      </c>
      <c r="Q1168" s="32"/>
      <c r="R1168" s="32"/>
      <c r="S1168" s="32">
        <f t="shared" ref="S1168:S1205" si="333">SUM(P1168:Q1168)</f>
        <v>4588.5</v>
      </c>
      <c r="T1168" s="12"/>
      <c r="U1168" s="12"/>
      <c r="V1168" s="12"/>
      <c r="W1168" s="12">
        <f t="shared" ref="W1168:W1208" si="334">SUM(S1168:V1168)</f>
        <v>4588.5</v>
      </c>
      <c r="Y1168" s="10">
        <v>2</v>
      </c>
      <c r="Z1168" s="30" t="s">
        <v>104</v>
      </c>
      <c r="AA1168" s="31">
        <f>AA1167+1</f>
        <v>8676</v>
      </c>
      <c r="AB1168" s="32">
        <f>650*42+622*8+229*2</f>
        <v>32734</v>
      </c>
      <c r="AC1168" s="32">
        <v>-300</v>
      </c>
      <c r="AD1168" s="32"/>
      <c r="AE1168" s="32">
        <f t="shared" ref="AE1168:AE1199" si="335">SUM(AB1168:AC1168)</f>
        <v>32434</v>
      </c>
      <c r="AF1168" s="12"/>
      <c r="AG1168" s="12">
        <v>156</v>
      </c>
      <c r="AH1168" s="12"/>
      <c r="AI1168" s="12">
        <f t="shared" ref="AI1168:AI1208" si="336">SUM(AE1168:AH1168)</f>
        <v>32590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104</v>
      </c>
      <c r="C1169" s="31">
        <f t="shared" ref="C1169:C1178" si="337">C1168+1</f>
        <v>8754</v>
      </c>
      <c r="D1169" s="33">
        <f>650*8+670*2+622*3+9.5*11</f>
        <v>8510.5</v>
      </c>
      <c r="E1169" s="33"/>
      <c r="F1169" s="33"/>
      <c r="G1169" s="33">
        <f t="shared" si="331"/>
        <v>8510.5</v>
      </c>
      <c r="H1169" s="34"/>
      <c r="I1169" s="34"/>
      <c r="J1169" s="34"/>
      <c r="K1169" s="34">
        <f t="shared" si="332"/>
        <v>8510.5</v>
      </c>
      <c r="M1169" s="10">
        <v>3</v>
      </c>
      <c r="N1169" s="30" t="s">
        <v>104</v>
      </c>
      <c r="O1169" s="31">
        <f t="shared" ref="O1169:O1181" si="338">O1168+1</f>
        <v>8731</v>
      </c>
      <c r="P1169" s="32">
        <f>650*36+9.5*6</f>
        <v>23457</v>
      </c>
      <c r="Q1169" s="32"/>
      <c r="R1169" s="32"/>
      <c r="S1169" s="32">
        <f t="shared" si="333"/>
        <v>23457</v>
      </c>
      <c r="T1169" s="12"/>
      <c r="U1169" s="12"/>
      <c r="V1169" s="12"/>
      <c r="W1169" s="12">
        <f t="shared" si="334"/>
        <v>23457</v>
      </c>
      <c r="Y1169" s="10">
        <v>3</v>
      </c>
      <c r="Z1169" s="30" t="s">
        <v>104</v>
      </c>
      <c r="AA1169" s="31">
        <f t="shared" ref="AA1169:AA1171" si="339">AA1168+1</f>
        <v>8677</v>
      </c>
      <c r="AB1169" s="33">
        <f>650*42+229*2</f>
        <v>27758</v>
      </c>
      <c r="AC1169" s="33"/>
      <c r="AD1169" s="32"/>
      <c r="AE1169" s="32">
        <f t="shared" si="335"/>
        <v>27758</v>
      </c>
      <c r="AF1169" s="12"/>
      <c r="AG1169" s="12">
        <v>189</v>
      </c>
      <c r="AH1169" s="12"/>
      <c r="AI1169" s="12">
        <f t="shared" si="336"/>
        <v>27947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104</v>
      </c>
      <c r="C1170" s="31">
        <f t="shared" si="337"/>
        <v>8755</v>
      </c>
      <c r="D1170" s="32">
        <f>650*8+670+622*2+9.5*10</f>
        <v>7209</v>
      </c>
      <c r="E1170" s="32"/>
      <c r="F1170" s="32"/>
      <c r="G1170" s="32">
        <f t="shared" si="331"/>
        <v>7209</v>
      </c>
      <c r="H1170" s="12"/>
      <c r="I1170" s="12"/>
      <c r="J1170" s="12"/>
      <c r="K1170" s="12">
        <f t="shared" si="332"/>
        <v>7209</v>
      </c>
      <c r="M1170" s="10">
        <v>4</v>
      </c>
      <c r="N1170" s="30" t="s">
        <v>104</v>
      </c>
      <c r="O1170" s="31">
        <f t="shared" si="338"/>
        <v>8732</v>
      </c>
      <c r="P1170" s="32">
        <f>650*50+622*6</f>
        <v>36232</v>
      </c>
      <c r="Q1170" s="32"/>
      <c r="R1170" s="32"/>
      <c r="S1170" s="32">
        <f t="shared" si="333"/>
        <v>36232</v>
      </c>
      <c r="T1170" s="12"/>
      <c r="U1170" s="12"/>
      <c r="V1170" s="12"/>
      <c r="W1170" s="12">
        <f t="shared" si="334"/>
        <v>36232</v>
      </c>
      <c r="Y1170" s="10">
        <v>4</v>
      </c>
      <c r="Z1170" s="30" t="s">
        <v>104</v>
      </c>
      <c r="AA1170" s="31">
        <f t="shared" si="339"/>
        <v>8678</v>
      </c>
      <c r="AB1170" s="32">
        <f>622+19</f>
        <v>641</v>
      </c>
      <c r="AC1170" s="32"/>
      <c r="AD1170" s="32"/>
      <c r="AE1170" s="32">
        <f t="shared" si="335"/>
        <v>641</v>
      </c>
      <c r="AF1170" s="12"/>
      <c r="AH1170" s="12">
        <v>-78</v>
      </c>
      <c r="AI1170" s="12">
        <f t="shared" si="336"/>
        <v>563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104</v>
      </c>
      <c r="C1171" s="31">
        <f t="shared" si="337"/>
        <v>8756</v>
      </c>
      <c r="D1171" s="32">
        <f>650*50+622*5+229*2</f>
        <v>36068</v>
      </c>
      <c r="E1171" s="32"/>
      <c r="F1171" s="32"/>
      <c r="G1171" s="32">
        <f t="shared" si="331"/>
        <v>36068</v>
      </c>
      <c r="H1171" s="12"/>
      <c r="I1171" s="12"/>
      <c r="J1171" s="12"/>
      <c r="K1171" s="12">
        <f t="shared" si="332"/>
        <v>36068</v>
      </c>
      <c r="M1171" s="10">
        <v>5</v>
      </c>
      <c r="N1171" s="30" t="s">
        <v>104</v>
      </c>
      <c r="O1171" s="31">
        <f t="shared" si="338"/>
        <v>8733</v>
      </c>
      <c r="P1171" s="32">
        <f>650*27</f>
        <v>17550</v>
      </c>
      <c r="Q1171" s="32"/>
      <c r="R1171" s="32"/>
      <c r="S1171" s="32">
        <f t="shared" si="333"/>
        <v>17550</v>
      </c>
      <c r="T1171" s="12"/>
      <c r="U1171" s="12"/>
      <c r="V1171" s="12"/>
      <c r="W1171" s="12">
        <f t="shared" si="334"/>
        <v>17550</v>
      </c>
      <c r="Y1171" s="10">
        <v>5</v>
      </c>
      <c r="Z1171" s="30" t="s">
        <v>104</v>
      </c>
      <c r="AA1171" s="31">
        <f t="shared" si="339"/>
        <v>8679</v>
      </c>
      <c r="AB1171" s="32">
        <f>650*19+622*10</f>
        <v>18570</v>
      </c>
      <c r="AC1171" s="32"/>
      <c r="AD1171" s="32"/>
      <c r="AE1171" s="32">
        <f t="shared" si="335"/>
        <v>18570</v>
      </c>
      <c r="AF1171" s="12"/>
      <c r="AG1171" s="12">
        <v>16.5</v>
      </c>
      <c r="AH1171" s="12"/>
      <c r="AI1171" s="12">
        <f t="shared" si="336"/>
        <v>18586.5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104</v>
      </c>
      <c r="C1172" s="31">
        <f t="shared" si="337"/>
        <v>8757</v>
      </c>
      <c r="D1172" s="32">
        <f>650*10+670+622*12+872+229</f>
        <v>15735</v>
      </c>
      <c r="E1172" s="32"/>
      <c r="F1172" s="32"/>
      <c r="G1172" s="32">
        <f t="shared" si="331"/>
        <v>15735</v>
      </c>
      <c r="H1172" s="12"/>
      <c r="I1172" s="12"/>
      <c r="J1172" s="12"/>
      <c r="K1172" s="12">
        <f t="shared" si="332"/>
        <v>15735</v>
      </c>
      <c r="M1172" s="10">
        <v>6</v>
      </c>
      <c r="N1172" s="30" t="s">
        <v>104</v>
      </c>
      <c r="O1172" s="31">
        <f t="shared" si="338"/>
        <v>8734</v>
      </c>
      <c r="P1172" s="32">
        <f>650*20+700+622*4</f>
        <v>16188</v>
      </c>
      <c r="Q1172" s="32"/>
      <c r="R1172" s="32"/>
      <c r="S1172" s="32">
        <f t="shared" si="333"/>
        <v>16188</v>
      </c>
      <c r="T1172" s="12"/>
      <c r="U1172" s="12">
        <v>111</v>
      </c>
      <c r="V1172" s="10"/>
      <c r="W1172" s="12">
        <f t="shared" si="334"/>
        <v>16299</v>
      </c>
      <c r="Y1172" s="10">
        <v>6</v>
      </c>
      <c r="Z1172" s="30"/>
      <c r="AA1172" s="11" t="s">
        <v>27</v>
      </c>
      <c r="AB1172" s="32"/>
      <c r="AC1172" s="32"/>
      <c r="AD1172" s="32"/>
      <c r="AE1172" s="32">
        <f t="shared" si="335"/>
        <v>0</v>
      </c>
      <c r="AF1172" s="12"/>
      <c r="AG1172" s="12"/>
      <c r="AH1172" s="10"/>
      <c r="AI1172" s="12">
        <f t="shared" si="336"/>
        <v>0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 t="s">
        <v>104</v>
      </c>
      <c r="C1173" s="31">
        <f t="shared" si="337"/>
        <v>8758</v>
      </c>
      <c r="D1173" s="32">
        <f>650*8</f>
        <v>5200</v>
      </c>
      <c r="E1173" s="32"/>
      <c r="F1173" s="32"/>
      <c r="G1173" s="32">
        <f t="shared" si="331"/>
        <v>5200</v>
      </c>
      <c r="H1173" s="12"/>
      <c r="I1173" s="12"/>
      <c r="J1173" s="12"/>
      <c r="K1173" s="12">
        <f t="shared" si="332"/>
        <v>5200</v>
      </c>
      <c r="M1173" s="10">
        <v>7</v>
      </c>
      <c r="N1173" s="30" t="s">
        <v>104</v>
      </c>
      <c r="O1173" s="31">
        <f t="shared" si="338"/>
        <v>8735</v>
      </c>
      <c r="P1173" s="32">
        <f>650*15+622*2+9.5*17</f>
        <v>11155.5</v>
      </c>
      <c r="Q1173" s="32"/>
      <c r="R1173" s="32"/>
      <c r="S1173" s="32">
        <f t="shared" si="333"/>
        <v>11155.5</v>
      </c>
      <c r="T1173" s="12"/>
      <c r="U1173" s="12"/>
      <c r="V1173" s="12"/>
      <c r="W1173" s="12">
        <f t="shared" si="334"/>
        <v>11155.5</v>
      </c>
      <c r="Y1173" s="10">
        <v>7</v>
      </c>
      <c r="Z1173" s="30"/>
      <c r="AA1173" s="31"/>
      <c r="AB1173" s="32"/>
      <c r="AC1173" s="32"/>
      <c r="AD1173" s="32"/>
      <c r="AE1173" s="32">
        <f t="shared" si="335"/>
        <v>0</v>
      </c>
      <c r="AF1173" s="12"/>
      <c r="AG1173" s="58"/>
      <c r="AH1173" s="12"/>
      <c r="AI1173" s="12">
        <f t="shared" si="336"/>
        <v>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 t="s">
        <v>104</v>
      </c>
      <c r="C1174" s="31">
        <f t="shared" si="337"/>
        <v>8759</v>
      </c>
      <c r="D1174" s="32">
        <f>622*5</f>
        <v>3110</v>
      </c>
      <c r="E1174" s="32"/>
      <c r="F1174" s="32"/>
      <c r="G1174" s="32">
        <f t="shared" si="331"/>
        <v>3110</v>
      </c>
      <c r="H1174" s="12"/>
      <c r="I1174" s="12"/>
      <c r="J1174" s="12"/>
      <c r="K1174" s="12">
        <f t="shared" si="332"/>
        <v>3110</v>
      </c>
      <c r="M1174" s="10">
        <v>8</v>
      </c>
      <c r="N1174" s="30" t="s">
        <v>104</v>
      </c>
      <c r="O1174" s="31">
        <f t="shared" si="338"/>
        <v>8736</v>
      </c>
      <c r="P1174" s="32">
        <f>650+9.5</f>
        <v>659.5</v>
      </c>
      <c r="Q1174" s="32"/>
      <c r="R1174" s="32"/>
      <c r="S1174" s="32">
        <f t="shared" si="333"/>
        <v>659.5</v>
      </c>
      <c r="T1174" s="12"/>
      <c r="U1174" s="12"/>
      <c r="V1174" s="12"/>
      <c r="W1174" s="12">
        <f t="shared" si="334"/>
        <v>659.5</v>
      </c>
      <c r="Y1174" s="10">
        <v>8</v>
      </c>
      <c r="Z1174" s="30"/>
      <c r="AA1174" s="31"/>
      <c r="AB1174" s="32"/>
      <c r="AC1174" s="32"/>
      <c r="AE1174" s="32">
        <f t="shared" si="335"/>
        <v>0</v>
      </c>
      <c r="AF1174" s="12"/>
      <c r="AG1174" s="12"/>
      <c r="AH1174" s="12"/>
      <c r="AI1174" s="12">
        <f t="shared" si="336"/>
        <v>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 t="s">
        <v>104</v>
      </c>
      <c r="C1175" s="31">
        <f t="shared" si="337"/>
        <v>8760</v>
      </c>
      <c r="D1175" s="32">
        <f>670+622*5+9.5*5</f>
        <v>3827.5</v>
      </c>
      <c r="E1175" s="32"/>
      <c r="F1175" s="32"/>
      <c r="G1175" s="32">
        <f t="shared" si="331"/>
        <v>3827.5</v>
      </c>
      <c r="H1175" s="12"/>
      <c r="I1175" s="12"/>
      <c r="J1175" s="12"/>
      <c r="K1175" s="12">
        <f t="shared" si="332"/>
        <v>3827.5</v>
      </c>
      <c r="M1175" s="10">
        <v>9</v>
      </c>
      <c r="N1175" s="30" t="s">
        <v>104</v>
      </c>
      <c r="O1175" s="31">
        <f t="shared" si="338"/>
        <v>8737</v>
      </c>
      <c r="P1175" s="32">
        <f>650*11+700+622*5</f>
        <v>10960</v>
      </c>
      <c r="Q1175" s="32"/>
      <c r="R1175" s="32"/>
      <c r="S1175" s="32">
        <f t="shared" si="333"/>
        <v>10960</v>
      </c>
      <c r="T1175" s="12"/>
      <c r="U1175" s="12"/>
      <c r="V1175" s="12"/>
      <c r="W1175" s="12">
        <f t="shared" si="334"/>
        <v>10960</v>
      </c>
      <c r="Y1175" s="10">
        <v>9</v>
      </c>
      <c r="Z1175" s="30"/>
      <c r="AA1175" s="31"/>
      <c r="AB1175" s="32"/>
      <c r="AC1175" s="32"/>
      <c r="AD1175" s="32"/>
      <c r="AE1175" s="32">
        <f t="shared" si="335"/>
        <v>0</v>
      </c>
      <c r="AF1175" s="12"/>
      <c r="AH1175" s="12"/>
      <c r="AI1175" s="12">
        <f t="shared" si="336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 t="s">
        <v>104</v>
      </c>
      <c r="C1176" s="31">
        <f t="shared" si="337"/>
        <v>8761</v>
      </c>
      <c r="D1176" s="32">
        <f>650*60+622*10+229*2</f>
        <v>45678</v>
      </c>
      <c r="E1176" s="32"/>
      <c r="F1176" s="32"/>
      <c r="G1176" s="32">
        <f t="shared" si="331"/>
        <v>45678</v>
      </c>
      <c r="H1176" s="12"/>
      <c r="I1176" s="12"/>
      <c r="J1176" s="12"/>
      <c r="K1176" s="12">
        <f t="shared" si="332"/>
        <v>45678</v>
      </c>
      <c r="M1176" s="10">
        <v>10</v>
      </c>
      <c r="N1176" s="30" t="s">
        <v>104</v>
      </c>
      <c r="O1176" s="31">
        <f t="shared" si="338"/>
        <v>8738</v>
      </c>
      <c r="P1176" s="32">
        <f>650*13+622</f>
        <v>9072</v>
      </c>
      <c r="Q1176" s="32"/>
      <c r="R1176" s="32"/>
      <c r="S1176" s="32">
        <f t="shared" si="333"/>
        <v>9072</v>
      </c>
      <c r="T1176" s="12"/>
      <c r="U1176" s="12"/>
      <c r="V1176" s="12"/>
      <c r="W1176" s="12">
        <f t="shared" si="334"/>
        <v>9072</v>
      </c>
      <c r="Y1176" s="10">
        <v>10</v>
      </c>
      <c r="Z1176" s="30"/>
      <c r="AA1176" s="31"/>
      <c r="AB1176" s="32"/>
      <c r="AC1176" s="32"/>
      <c r="AD1176" s="32"/>
      <c r="AE1176" s="32">
        <f t="shared" si="335"/>
        <v>0</v>
      </c>
      <c r="AF1176" s="12"/>
      <c r="AG1176" s="12"/>
      <c r="AH1176" s="12"/>
      <c r="AI1176" s="12">
        <f t="shared" si="336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 t="s">
        <v>104</v>
      </c>
      <c r="C1177" s="31">
        <f t="shared" si="337"/>
        <v>8762</v>
      </c>
      <c r="D1177" s="32">
        <f>650*59+670*5+622*30+912*2+500*2</f>
        <v>63184</v>
      </c>
      <c r="E1177" s="32"/>
      <c r="F1177" s="32"/>
      <c r="G1177" s="32">
        <f t="shared" si="331"/>
        <v>63184</v>
      </c>
      <c r="H1177" s="12"/>
      <c r="I1177" s="12">
        <f>555+18</f>
        <v>573</v>
      </c>
      <c r="J1177" s="12"/>
      <c r="K1177" s="12">
        <f t="shared" si="332"/>
        <v>63757</v>
      </c>
      <c r="M1177" s="10">
        <v>11</v>
      </c>
      <c r="N1177" s="30" t="s">
        <v>104</v>
      </c>
      <c r="O1177" s="31">
        <f t="shared" si="338"/>
        <v>8739</v>
      </c>
      <c r="P1177" s="32">
        <f>650*8+9.5*8</f>
        <v>5276</v>
      </c>
      <c r="Q1177" s="32"/>
      <c r="R1177" s="32"/>
      <c r="S1177" s="32">
        <f t="shared" si="333"/>
        <v>5276</v>
      </c>
      <c r="T1177" s="12"/>
      <c r="U1177" s="12"/>
      <c r="V1177" s="12"/>
      <c r="W1177" s="12">
        <f t="shared" si="334"/>
        <v>5276</v>
      </c>
      <c r="Y1177" s="10">
        <v>11</v>
      </c>
      <c r="Z1177" s="30"/>
      <c r="AA1177" s="31"/>
      <c r="AB1177" s="32"/>
      <c r="AC1177" s="32"/>
      <c r="AD1177" s="32"/>
      <c r="AE1177" s="32">
        <f t="shared" si="335"/>
        <v>0</v>
      </c>
      <c r="AF1177" s="12"/>
      <c r="AG1177" s="12"/>
      <c r="AH1177" s="12"/>
      <c r="AI1177" s="12">
        <f t="shared" si="336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 t="s">
        <v>104</v>
      </c>
      <c r="C1178" s="31">
        <f t="shared" si="337"/>
        <v>8763</v>
      </c>
      <c r="D1178" s="32">
        <f>650*3</f>
        <v>1950</v>
      </c>
      <c r="E1178" s="32"/>
      <c r="F1178" s="32"/>
      <c r="G1178" s="32">
        <f t="shared" si="331"/>
        <v>1950</v>
      </c>
      <c r="H1178" s="12"/>
      <c r="I1178" s="12"/>
      <c r="J1178" s="10">
        <f>-111*7</f>
        <v>-777</v>
      </c>
      <c r="K1178" s="12">
        <f t="shared" si="332"/>
        <v>1173</v>
      </c>
      <c r="M1178" s="10">
        <v>12</v>
      </c>
      <c r="N1178" s="30" t="s">
        <v>104</v>
      </c>
      <c r="O1178" s="31">
        <f t="shared" si="338"/>
        <v>8740</v>
      </c>
      <c r="P1178" s="32">
        <f>650*3</f>
        <v>1950</v>
      </c>
      <c r="Q1178" s="32"/>
      <c r="R1178" s="32"/>
      <c r="S1178" s="32">
        <f t="shared" si="333"/>
        <v>1950</v>
      </c>
      <c r="T1178" s="12"/>
      <c r="U1178" s="12"/>
      <c r="V1178" s="12"/>
      <c r="W1178" s="12">
        <f t="shared" si="334"/>
        <v>1950</v>
      </c>
      <c r="Y1178" s="10">
        <v>12</v>
      </c>
      <c r="Z1178" s="30"/>
      <c r="AB1178" s="32"/>
      <c r="AC1178" s="32"/>
      <c r="AD1178" s="32"/>
      <c r="AE1178" s="32">
        <f t="shared" si="335"/>
        <v>0</v>
      </c>
      <c r="AF1178" s="12"/>
      <c r="AG1178" s="12"/>
      <c r="AH1178" s="12"/>
      <c r="AI1178" s="12">
        <f t="shared" si="336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11" t="s">
        <v>27</v>
      </c>
      <c r="D1179" s="32"/>
      <c r="E1179" s="32"/>
      <c r="F1179" s="32"/>
      <c r="G1179" s="32">
        <f t="shared" si="331"/>
        <v>0</v>
      </c>
      <c r="H1179" s="12"/>
      <c r="I1179" s="12"/>
      <c r="J1179" s="12"/>
      <c r="K1179" s="12">
        <f t="shared" si="332"/>
        <v>0</v>
      </c>
      <c r="M1179" s="10">
        <v>13</v>
      </c>
      <c r="N1179" s="30" t="s">
        <v>104</v>
      </c>
      <c r="O1179" s="31">
        <f t="shared" si="338"/>
        <v>8741</v>
      </c>
      <c r="P1179" s="32">
        <f>650*16+622*5+1175+872+650</f>
        <v>16207</v>
      </c>
      <c r="Q1179" s="32"/>
      <c r="R1179" s="32"/>
      <c r="S1179" s="32">
        <f t="shared" si="333"/>
        <v>16207</v>
      </c>
      <c r="T1179" s="12"/>
      <c r="U1179" s="12"/>
      <c r="V1179" s="12"/>
      <c r="W1179" s="12">
        <f t="shared" si="334"/>
        <v>16207</v>
      </c>
      <c r="Y1179" s="10">
        <v>13</v>
      </c>
      <c r="Z1179" s="30"/>
      <c r="AA1179" s="31"/>
      <c r="AB1179" s="32"/>
      <c r="AC1179" s="32"/>
      <c r="AD1179" s="32"/>
      <c r="AE1179" s="32">
        <f t="shared" si="335"/>
        <v>0</v>
      </c>
      <c r="AF1179" s="12"/>
      <c r="AG1179" s="12"/>
      <c r="AH1179" s="12"/>
      <c r="AI1179" s="12">
        <f t="shared" si="336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31"/>
      <c r="D1180" s="32"/>
      <c r="E1180" s="32"/>
      <c r="F1180" s="32"/>
      <c r="G1180" s="32">
        <f t="shared" si="331"/>
        <v>0</v>
      </c>
      <c r="H1180" s="12"/>
      <c r="I1180" s="12"/>
      <c r="J1180" s="12"/>
      <c r="K1180" s="12">
        <f t="shared" si="332"/>
        <v>0</v>
      </c>
      <c r="M1180" s="10">
        <v>14</v>
      </c>
      <c r="N1180" s="30" t="s">
        <v>104</v>
      </c>
      <c r="O1180" s="31">
        <f t="shared" si="338"/>
        <v>8742</v>
      </c>
      <c r="P1180" s="32">
        <f>650*2</f>
        <v>1300</v>
      </c>
      <c r="Q1180" s="32"/>
      <c r="R1180" s="32"/>
      <c r="S1180" s="32">
        <f t="shared" si="333"/>
        <v>1300</v>
      </c>
      <c r="T1180" s="12"/>
      <c r="U1180" s="12"/>
      <c r="V1180" s="12"/>
      <c r="W1180" s="12">
        <f t="shared" si="334"/>
        <v>1300</v>
      </c>
      <c r="Y1180" s="10">
        <v>14</v>
      </c>
      <c r="Z1180" s="30"/>
      <c r="AA1180" s="31"/>
      <c r="AB1180" s="32"/>
      <c r="AC1180" s="32"/>
      <c r="AD1180" s="32"/>
      <c r="AE1180" s="32">
        <f t="shared" si="335"/>
        <v>0</v>
      </c>
      <c r="AF1180" s="12"/>
      <c r="AG1180" s="12"/>
      <c r="AH1180" s="12"/>
      <c r="AI1180" s="12">
        <f t="shared" si="336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31"/>
      <c r="D1181" s="32"/>
      <c r="E1181" s="32"/>
      <c r="F1181" s="32"/>
      <c r="G1181" s="32">
        <f t="shared" si="331"/>
        <v>0</v>
      </c>
      <c r="H1181" s="12"/>
      <c r="I1181" s="12"/>
      <c r="J1181" s="12"/>
      <c r="K1181" s="12">
        <f t="shared" si="332"/>
        <v>0</v>
      </c>
      <c r="M1181" s="10">
        <v>15</v>
      </c>
      <c r="N1181" s="30" t="s">
        <v>104</v>
      </c>
      <c r="O1181" s="31">
        <f t="shared" si="338"/>
        <v>8743</v>
      </c>
      <c r="P1181" s="32">
        <f>650*9+622+9.5*10</f>
        <v>6567</v>
      </c>
      <c r="Q1181" s="32"/>
      <c r="R1181" s="32"/>
      <c r="S1181" s="32">
        <f t="shared" si="333"/>
        <v>6567</v>
      </c>
      <c r="T1181" s="12"/>
      <c r="U1181" s="12"/>
      <c r="V1181" s="12"/>
      <c r="W1181" s="12">
        <f t="shared" si="334"/>
        <v>6567</v>
      </c>
      <c r="Y1181" s="10">
        <v>15</v>
      </c>
      <c r="Z1181" s="30"/>
      <c r="AA1181" s="31"/>
      <c r="AB1181" s="32"/>
      <c r="AC1181" s="32"/>
      <c r="AD1181" s="32"/>
      <c r="AE1181" s="32">
        <f t="shared" si="335"/>
        <v>0</v>
      </c>
      <c r="AF1181" s="12"/>
      <c r="AG1181" s="12"/>
      <c r="AH1181" s="12"/>
      <c r="AI1181" s="12">
        <f t="shared" si="336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31"/>
      <c r="D1182" s="32"/>
      <c r="E1182" s="32"/>
      <c r="F1182" s="32"/>
      <c r="G1182" s="32">
        <f t="shared" si="331"/>
        <v>0</v>
      </c>
      <c r="H1182" s="12"/>
      <c r="I1182" s="12"/>
      <c r="J1182" s="12"/>
      <c r="K1182" s="12">
        <f t="shared" si="332"/>
        <v>0</v>
      </c>
      <c r="M1182" s="10">
        <v>16</v>
      </c>
      <c r="N1182" s="30"/>
      <c r="O1182" s="11" t="s">
        <v>27</v>
      </c>
      <c r="P1182" s="32"/>
      <c r="Q1182" s="32"/>
      <c r="R1182" s="32"/>
      <c r="S1182" s="32">
        <f t="shared" si="333"/>
        <v>0</v>
      </c>
      <c r="T1182" s="12"/>
      <c r="U1182" s="12"/>
      <c r="V1182" s="12"/>
      <c r="W1182" s="12">
        <f t="shared" si="334"/>
        <v>0</v>
      </c>
      <c r="Y1182" s="10">
        <v>16</v>
      </c>
      <c r="Z1182" s="30"/>
      <c r="AA1182" s="31"/>
      <c r="AB1182" s="32"/>
      <c r="AC1182" s="32"/>
      <c r="AD1182" s="32"/>
      <c r="AE1182" s="32">
        <f t="shared" si="335"/>
        <v>0</v>
      </c>
      <c r="AF1182" s="12"/>
      <c r="AG1182" s="12"/>
      <c r="AH1182" s="12"/>
      <c r="AI1182" s="12">
        <f t="shared" si="336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31"/>
      <c r="D1183" s="32"/>
      <c r="E1183" s="32"/>
      <c r="F1183" s="32"/>
      <c r="G1183" s="32">
        <f t="shared" si="331"/>
        <v>0</v>
      </c>
      <c r="H1183" s="12"/>
      <c r="I1183" s="12"/>
      <c r="J1183" s="12"/>
      <c r="K1183" s="12">
        <f t="shared" si="332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333"/>
        <v>0</v>
      </c>
      <c r="T1183" s="12"/>
      <c r="U1183" s="12"/>
      <c r="V1183" s="12"/>
      <c r="W1183" s="12">
        <f t="shared" si="334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335"/>
        <v>0</v>
      </c>
      <c r="AF1183" s="12"/>
      <c r="AG1183" s="12"/>
      <c r="AH1183" s="12"/>
      <c r="AI1183" s="12">
        <f t="shared" si="336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D1184" s="32"/>
      <c r="E1184" s="32"/>
      <c r="F1184" s="32"/>
      <c r="G1184" s="32">
        <f t="shared" si="331"/>
        <v>0</v>
      </c>
      <c r="H1184" s="12"/>
      <c r="I1184" s="12"/>
      <c r="J1184" s="12"/>
      <c r="K1184" s="12">
        <f t="shared" si="332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333"/>
        <v>0</v>
      </c>
      <c r="T1184" s="12"/>
      <c r="U1184" s="12"/>
      <c r="V1184" s="12"/>
      <c r="W1184" s="12">
        <f t="shared" si="334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335"/>
        <v>0</v>
      </c>
      <c r="AF1184" s="12"/>
      <c r="AG1184" s="12"/>
      <c r="AH1184" s="12"/>
      <c r="AI1184" s="12">
        <f t="shared" si="336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31"/>
      <c r="D1185" s="32"/>
      <c r="E1185" s="32"/>
      <c r="F1185" s="32"/>
      <c r="G1185" s="32">
        <f t="shared" si="331"/>
        <v>0</v>
      </c>
      <c r="H1185" s="12"/>
      <c r="I1185" s="12"/>
      <c r="J1185" s="12"/>
      <c r="K1185" s="12">
        <f t="shared" si="332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333"/>
        <v>0</v>
      </c>
      <c r="T1185" s="12"/>
      <c r="U1185" s="12"/>
      <c r="V1185" s="12"/>
      <c r="W1185" s="12">
        <f t="shared" si="334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335"/>
        <v>0</v>
      </c>
      <c r="AF1185" s="12"/>
      <c r="AG1185" s="12"/>
      <c r="AH1185" s="12"/>
      <c r="AI1185" s="12">
        <f t="shared" si="336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31"/>
      <c r="D1186" s="32"/>
      <c r="E1186" s="32"/>
      <c r="F1186" s="32"/>
      <c r="G1186" s="32">
        <f t="shared" si="331"/>
        <v>0</v>
      </c>
      <c r="H1186" s="12"/>
      <c r="I1186" s="12"/>
      <c r="J1186" s="12"/>
      <c r="K1186" s="12">
        <f t="shared" si="332"/>
        <v>0</v>
      </c>
      <c r="M1186" s="10">
        <v>20</v>
      </c>
      <c r="N1186" s="30"/>
      <c r="O1186" s="31"/>
      <c r="P1186" s="32"/>
      <c r="Q1186" s="32"/>
      <c r="R1186" s="32"/>
      <c r="S1186" s="32">
        <f t="shared" si="333"/>
        <v>0</v>
      </c>
      <c r="T1186" s="12"/>
      <c r="U1186" s="12"/>
      <c r="V1186" s="12"/>
      <c r="W1186" s="12">
        <f t="shared" si="334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335"/>
        <v>0</v>
      </c>
      <c r="AF1186" s="12"/>
      <c r="AG1186" s="12"/>
      <c r="AH1186" s="12"/>
      <c r="AI1186" s="12">
        <f t="shared" si="336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31"/>
      <c r="D1187" s="32"/>
      <c r="E1187" s="32"/>
      <c r="F1187" s="32"/>
      <c r="G1187" s="32">
        <f t="shared" si="331"/>
        <v>0</v>
      </c>
      <c r="H1187" s="10"/>
      <c r="I1187" s="10"/>
      <c r="J1187" s="10"/>
      <c r="K1187" s="12">
        <f t="shared" si="332"/>
        <v>0</v>
      </c>
      <c r="M1187" s="10">
        <v>21</v>
      </c>
      <c r="N1187" s="30"/>
      <c r="O1187" s="31"/>
      <c r="P1187" s="46"/>
      <c r="Q1187" s="31"/>
      <c r="R1187" s="31"/>
      <c r="S1187" s="32">
        <f t="shared" si="333"/>
        <v>0</v>
      </c>
      <c r="T1187" s="10"/>
      <c r="U1187" s="10"/>
      <c r="V1187" s="10"/>
      <c r="W1187" s="12">
        <f t="shared" si="334"/>
        <v>0</v>
      </c>
      <c r="Y1187" s="10">
        <v>21</v>
      </c>
      <c r="Z1187" s="30"/>
      <c r="AB1187" s="46"/>
      <c r="AC1187" s="31"/>
      <c r="AD1187" s="31"/>
      <c r="AE1187" s="32">
        <f t="shared" si="335"/>
        <v>0</v>
      </c>
      <c r="AF1187" s="10"/>
      <c r="AG1187" s="10"/>
      <c r="AH1187" s="10"/>
      <c r="AI1187" s="12">
        <f t="shared" si="336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31"/>
      <c r="D1188" s="32"/>
      <c r="E1188" s="32"/>
      <c r="F1188" s="32"/>
      <c r="G1188" s="32">
        <f t="shared" si="331"/>
        <v>0</v>
      </c>
      <c r="H1188" s="10"/>
      <c r="I1188" s="10"/>
      <c r="J1188" s="10"/>
      <c r="K1188" s="12">
        <f t="shared" si="332"/>
        <v>0</v>
      </c>
      <c r="M1188" s="10">
        <v>22</v>
      </c>
      <c r="N1188" s="30"/>
      <c r="O1188" s="31"/>
      <c r="P1188" s="45"/>
      <c r="Q1188" s="31"/>
      <c r="R1188" s="31"/>
      <c r="S1188" s="32">
        <f t="shared" si="333"/>
        <v>0</v>
      </c>
      <c r="T1188" s="10"/>
      <c r="U1188" s="10"/>
      <c r="V1188" s="10"/>
      <c r="W1188" s="12">
        <f t="shared" si="334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335"/>
        <v>0</v>
      </c>
      <c r="AF1188" s="10"/>
      <c r="AG1188" s="10"/>
      <c r="AH1188" s="10"/>
      <c r="AI1188" s="12">
        <f t="shared" si="336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57"/>
      <c r="D1189" s="32"/>
      <c r="E1189" s="32"/>
      <c r="F1189" s="32"/>
      <c r="G1189" s="32">
        <f t="shared" si="331"/>
        <v>0</v>
      </c>
      <c r="H1189" s="10"/>
      <c r="I1189" s="10"/>
      <c r="J1189" s="12"/>
      <c r="K1189" s="12">
        <f t="shared" si="332"/>
        <v>0</v>
      </c>
      <c r="M1189" s="10">
        <v>23</v>
      </c>
      <c r="N1189" s="30"/>
      <c r="O1189" s="31"/>
      <c r="P1189" s="47"/>
      <c r="Q1189" s="31"/>
      <c r="S1189" s="32">
        <f t="shared" si="333"/>
        <v>0</v>
      </c>
      <c r="T1189" s="10"/>
      <c r="U1189" s="10"/>
      <c r="V1189" s="10"/>
      <c r="W1189" s="12">
        <f t="shared" si="334"/>
        <v>0</v>
      </c>
      <c r="Y1189" s="10">
        <v>23</v>
      </c>
      <c r="Z1189" s="30"/>
      <c r="AB1189" s="47"/>
      <c r="AC1189" s="31"/>
      <c r="AE1189" s="32">
        <f t="shared" si="335"/>
        <v>0</v>
      </c>
      <c r="AF1189" s="10"/>
      <c r="AG1189" s="10"/>
      <c r="AH1189" s="10"/>
      <c r="AI1189" s="12">
        <f t="shared" si="336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31"/>
      <c r="D1190" s="32"/>
      <c r="E1190" s="32"/>
      <c r="F1190" s="32"/>
      <c r="G1190" s="32">
        <f t="shared" si="331"/>
        <v>0</v>
      </c>
      <c r="H1190" s="10"/>
      <c r="I1190" s="10"/>
      <c r="J1190" s="10"/>
      <c r="K1190" s="12">
        <f t="shared" si="332"/>
        <v>0</v>
      </c>
      <c r="M1190" s="10">
        <v>24</v>
      </c>
      <c r="N1190" s="30"/>
      <c r="O1190" s="31"/>
      <c r="P1190" s="47"/>
      <c r="Q1190" s="31"/>
      <c r="R1190" s="31"/>
      <c r="S1190" s="32">
        <f t="shared" si="333"/>
        <v>0</v>
      </c>
      <c r="T1190" s="10"/>
      <c r="U1190" s="10"/>
      <c r="V1190" s="10"/>
      <c r="W1190" s="12">
        <f t="shared" si="334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335"/>
        <v>0</v>
      </c>
      <c r="AF1190" s="10"/>
      <c r="AG1190" s="10"/>
      <c r="AH1190" s="10"/>
      <c r="AI1190" s="12">
        <f t="shared" si="336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31"/>
      <c r="D1191" s="32"/>
      <c r="E1191" s="32"/>
      <c r="F1191" s="32"/>
      <c r="G1191" s="32">
        <f t="shared" si="331"/>
        <v>0</v>
      </c>
      <c r="H1191" s="10"/>
      <c r="I1191" s="10"/>
      <c r="J1191" s="10"/>
      <c r="K1191" s="12">
        <f t="shared" si="332"/>
        <v>0</v>
      </c>
      <c r="M1191" s="10">
        <v>25</v>
      </c>
      <c r="N1191" s="30"/>
      <c r="O1191" s="31"/>
      <c r="P1191" s="47"/>
      <c r="Q1191" s="31"/>
      <c r="R1191" s="31"/>
      <c r="S1191" s="32">
        <f t="shared" si="333"/>
        <v>0</v>
      </c>
      <c r="T1191" s="10"/>
      <c r="U1191" s="10"/>
      <c r="V1191" s="10"/>
      <c r="W1191" s="12">
        <f t="shared" si="334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335"/>
        <v>0</v>
      </c>
      <c r="AF1191" s="10"/>
      <c r="AG1191" s="10"/>
      <c r="AH1191" s="10"/>
      <c r="AI1191" s="12">
        <f t="shared" si="336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31"/>
      <c r="D1192" s="32"/>
      <c r="E1192" s="32"/>
      <c r="F1192" s="32"/>
      <c r="G1192" s="32">
        <f t="shared" si="331"/>
        <v>0</v>
      </c>
      <c r="H1192" s="10"/>
      <c r="I1192" s="10"/>
      <c r="J1192" s="10"/>
      <c r="K1192" s="12">
        <f t="shared" si="332"/>
        <v>0</v>
      </c>
      <c r="M1192" s="10">
        <v>26</v>
      </c>
      <c r="N1192" s="30"/>
      <c r="O1192" s="31"/>
      <c r="P1192" s="47"/>
      <c r="Q1192" s="31"/>
      <c r="R1192" s="31"/>
      <c r="S1192" s="32">
        <f t="shared" si="333"/>
        <v>0</v>
      </c>
      <c r="T1192" s="10"/>
      <c r="U1192" s="10"/>
      <c r="V1192" s="10"/>
      <c r="W1192" s="12">
        <f t="shared" si="334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335"/>
        <v>0</v>
      </c>
      <c r="AF1192" s="10"/>
      <c r="AG1192" s="10"/>
      <c r="AH1192" s="10"/>
      <c r="AI1192" s="12">
        <f t="shared" si="336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31"/>
      <c r="D1193" s="32"/>
      <c r="E1193" s="32"/>
      <c r="F1193" s="32"/>
      <c r="G1193" s="32">
        <f t="shared" si="331"/>
        <v>0</v>
      </c>
      <c r="H1193" s="10"/>
      <c r="I1193" s="10"/>
      <c r="J1193" s="10"/>
      <c r="K1193" s="12">
        <f t="shared" si="332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333"/>
        <v>0</v>
      </c>
      <c r="T1193" s="10"/>
      <c r="U1193" s="10"/>
      <c r="V1193" s="10"/>
      <c r="W1193" s="12">
        <f t="shared" si="334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35"/>
        <v>0</v>
      </c>
      <c r="AF1193" s="10"/>
      <c r="AG1193" s="10"/>
      <c r="AH1193" s="10"/>
      <c r="AI1193" s="12">
        <f t="shared" si="336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31"/>
      <c r="D1194" s="32"/>
      <c r="E1194" s="32"/>
      <c r="F1194" s="32"/>
      <c r="G1194" s="32">
        <f t="shared" si="331"/>
        <v>0</v>
      </c>
      <c r="H1194" s="10"/>
      <c r="I1194" s="10"/>
      <c r="J1194" s="10"/>
      <c r="K1194" s="12">
        <f t="shared" si="332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333"/>
        <v>0</v>
      </c>
      <c r="T1194" s="10"/>
      <c r="U1194" s="10"/>
      <c r="V1194" s="10"/>
      <c r="W1194" s="12">
        <f t="shared" si="334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35"/>
        <v>0</v>
      </c>
      <c r="AF1194" s="10"/>
      <c r="AG1194" s="10"/>
      <c r="AH1194" s="10"/>
      <c r="AI1194" s="12">
        <f t="shared" si="336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31"/>
      <c r="D1195" s="32"/>
      <c r="E1195" s="32"/>
      <c r="F1195" s="32"/>
      <c r="G1195" s="32">
        <f t="shared" si="331"/>
        <v>0</v>
      </c>
      <c r="H1195" s="10"/>
      <c r="I1195" s="10"/>
      <c r="J1195" s="10"/>
      <c r="K1195" s="12">
        <f t="shared" si="332"/>
        <v>0</v>
      </c>
      <c r="M1195" s="10">
        <v>29</v>
      </c>
      <c r="N1195" s="30"/>
      <c r="P1195" s="47"/>
      <c r="Q1195" s="31"/>
      <c r="R1195" s="31"/>
      <c r="S1195" s="32">
        <f t="shared" si="333"/>
        <v>0</v>
      </c>
      <c r="T1195" s="10"/>
      <c r="U1195" s="10"/>
      <c r="V1195" s="10"/>
      <c r="W1195" s="12">
        <f t="shared" si="334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35"/>
        <v>0</v>
      </c>
      <c r="AF1195" s="10"/>
      <c r="AG1195" s="10"/>
      <c r="AH1195" s="10"/>
      <c r="AI1195" s="12">
        <f t="shared" si="336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57"/>
      <c r="D1196" s="32"/>
      <c r="E1196" s="32"/>
      <c r="F1196" s="32"/>
      <c r="G1196" s="32">
        <f t="shared" si="331"/>
        <v>0</v>
      </c>
      <c r="H1196" s="10"/>
      <c r="I1196" s="10"/>
      <c r="J1196" s="10"/>
      <c r="K1196" s="12">
        <f t="shared" si="332"/>
        <v>0</v>
      </c>
      <c r="M1196" s="10">
        <v>30</v>
      </c>
      <c r="N1196" s="30"/>
      <c r="O1196" s="31"/>
      <c r="P1196" s="47"/>
      <c r="Q1196" s="31"/>
      <c r="R1196" s="31"/>
      <c r="S1196" s="32">
        <f t="shared" si="333"/>
        <v>0</v>
      </c>
      <c r="T1196" s="10"/>
      <c r="U1196" s="10"/>
      <c r="V1196" s="10"/>
      <c r="W1196" s="12">
        <f t="shared" si="334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335"/>
        <v>0</v>
      </c>
      <c r="AF1196" s="10"/>
      <c r="AG1196" s="10"/>
      <c r="AH1196" s="10"/>
      <c r="AI1196" s="12">
        <f t="shared" si="336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87"/>
      <c r="D1197" s="32"/>
      <c r="E1197" s="32"/>
      <c r="F1197" s="32"/>
      <c r="G1197" s="32">
        <f t="shared" si="331"/>
        <v>0</v>
      </c>
      <c r="H1197" s="10"/>
      <c r="I1197" s="10"/>
      <c r="J1197" s="10"/>
      <c r="K1197" s="12">
        <f t="shared" si="332"/>
        <v>0</v>
      </c>
      <c r="M1197" s="10">
        <v>31</v>
      </c>
      <c r="N1197" s="30"/>
      <c r="P1197" s="47"/>
      <c r="Q1197" s="31"/>
      <c r="R1197" s="31"/>
      <c r="S1197" s="32">
        <f t="shared" si="333"/>
        <v>0</v>
      </c>
      <c r="T1197" s="10"/>
      <c r="U1197" s="10"/>
      <c r="V1197" s="10"/>
      <c r="W1197" s="12">
        <f t="shared" si="334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335"/>
        <v>0</v>
      </c>
      <c r="AF1197" s="10"/>
      <c r="AG1197" s="10"/>
      <c r="AH1197" s="10"/>
      <c r="AI1197" s="12">
        <f t="shared" si="336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57"/>
      <c r="D1198" s="32"/>
      <c r="E1198" s="32"/>
      <c r="F1198" s="32"/>
      <c r="G1198" s="32">
        <f t="shared" si="331"/>
        <v>0</v>
      </c>
      <c r="H1198" s="10"/>
      <c r="I1198" s="10"/>
      <c r="J1198" s="10"/>
      <c r="K1198" s="12">
        <f t="shared" si="332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333"/>
        <v>0</v>
      </c>
      <c r="T1198" s="10"/>
      <c r="U1198" s="10"/>
      <c r="V1198" s="10"/>
      <c r="W1198" s="12">
        <f t="shared" si="334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35"/>
        <v>0</v>
      </c>
      <c r="AF1198" s="10"/>
      <c r="AG1198" s="10"/>
      <c r="AH1198" s="10"/>
      <c r="AI1198" s="12">
        <f t="shared" si="336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87"/>
      <c r="D1199" s="32"/>
      <c r="E1199" s="32"/>
      <c r="F1199" s="32"/>
      <c r="G1199" s="32">
        <f t="shared" si="331"/>
        <v>0</v>
      </c>
      <c r="H1199" s="10"/>
      <c r="I1199" s="10"/>
      <c r="J1199" s="10"/>
      <c r="K1199" s="12">
        <f t="shared" si="332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33"/>
        <v>0</v>
      </c>
      <c r="T1199" s="10"/>
      <c r="U1199" s="10"/>
      <c r="V1199" s="10"/>
      <c r="W1199" s="12">
        <f t="shared" si="334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35"/>
        <v>0</v>
      </c>
      <c r="AF1199" s="10"/>
      <c r="AG1199" s="10"/>
      <c r="AH1199" s="10"/>
      <c r="AI1199" s="12">
        <f t="shared" si="336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87"/>
      <c r="D1200" s="32"/>
      <c r="E1200" s="32"/>
      <c r="F1200" s="32"/>
      <c r="G1200" s="32">
        <f t="shared" si="331"/>
        <v>0</v>
      </c>
      <c r="H1200" s="10"/>
      <c r="I1200" s="10"/>
      <c r="J1200" s="10"/>
      <c r="K1200" s="12">
        <f t="shared" si="332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333"/>
        <v>0</v>
      </c>
      <c r="T1200" s="10"/>
      <c r="U1200" s="10"/>
      <c r="V1200" s="10"/>
      <c r="W1200" s="12">
        <f t="shared" si="334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ref="AE1200:AE1205" si="340">SUM(AB1200:AC1200)</f>
        <v>0</v>
      </c>
      <c r="AF1200" s="10"/>
      <c r="AG1200" s="10"/>
      <c r="AH1200" s="10"/>
      <c r="AI1200" s="12">
        <f t="shared" si="336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7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33"/>
        <v>0</v>
      </c>
      <c r="T1201" s="10"/>
      <c r="U1201" s="10"/>
      <c r="V1201" s="10"/>
      <c r="W1201" s="12">
        <f t="shared" si="334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40"/>
        <v>0</v>
      </c>
      <c r="AF1201" s="10"/>
      <c r="AG1201" s="10"/>
      <c r="AH1201" s="10"/>
      <c r="AI1201" s="12">
        <f t="shared" si="336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7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33"/>
        <v>0</v>
      </c>
      <c r="T1202" s="10"/>
      <c r="U1202" s="10"/>
      <c r="V1202" s="10"/>
      <c r="W1202" s="12">
        <f t="shared" si="334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40"/>
        <v>0</v>
      </c>
      <c r="AF1202" s="10"/>
      <c r="AG1202" s="10"/>
      <c r="AH1202" s="10"/>
      <c r="AI1202" s="12">
        <f t="shared" si="336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33"/>
        <v>0</v>
      </c>
      <c r="T1203" s="10"/>
      <c r="U1203" s="10"/>
      <c r="V1203" s="10"/>
      <c r="W1203" s="12">
        <f t="shared" si="334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40"/>
        <v>0</v>
      </c>
      <c r="AF1203" s="10"/>
      <c r="AG1203" s="10"/>
      <c r="AH1203" s="10"/>
      <c r="AI1203" s="12">
        <f t="shared" si="336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33"/>
        <v>0</v>
      </c>
      <c r="T1204" s="10"/>
      <c r="U1204" s="10"/>
      <c r="V1204" s="10"/>
      <c r="W1204" s="12">
        <f t="shared" si="334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40"/>
        <v>0</v>
      </c>
      <c r="AF1204" s="10"/>
      <c r="AG1204" s="10"/>
      <c r="AH1204" s="10"/>
      <c r="AI1204" s="12">
        <f t="shared" si="336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33"/>
        <v>0</v>
      </c>
      <c r="T1205" s="10"/>
      <c r="U1205" s="10"/>
      <c r="V1205" s="10"/>
      <c r="W1205" s="12">
        <f t="shared" si="334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40"/>
        <v>0</v>
      </c>
      <c r="AF1205" s="10"/>
      <c r="AG1205" s="10"/>
      <c r="AH1205" s="10"/>
      <c r="AI1205" s="12">
        <f t="shared" si="336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34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36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41">SUM(D1207:E1207)</f>
        <v>0</v>
      </c>
      <c r="H1207" s="10"/>
      <c r="I1207" s="10"/>
      <c r="J1207" s="10"/>
      <c r="K1207" s="12">
        <f t="shared" ref="K1207" si="342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43">SUM(P1207:Q1207)</f>
        <v>0</v>
      </c>
      <c r="T1207" s="10"/>
      <c r="U1207" s="10"/>
      <c r="V1207" s="10"/>
      <c r="W1207" s="12">
        <f t="shared" si="334"/>
        <v>0</v>
      </c>
      <c r="Y1207" s="10"/>
      <c r="Z1207" s="30"/>
      <c r="AA1207" s="31"/>
      <c r="AB1207" s="47"/>
      <c r="AC1207" s="31"/>
      <c r="AD1207" s="31"/>
      <c r="AE1207" s="32">
        <f t="shared" ref="AE1207" si="344">SUM(AB1207:AC1207)</f>
        <v>0</v>
      </c>
      <c r="AF1207" s="10"/>
      <c r="AG1207" s="10"/>
      <c r="AH1207" s="10"/>
      <c r="AI1207" s="12">
        <f t="shared" si="336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34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36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201617</v>
      </c>
      <c r="E1210" s="38">
        <f t="shared" ref="E1210:F1210" si="345">SUM(E1167:E1207)</f>
        <v>-42</v>
      </c>
      <c r="F1210" s="38">
        <f t="shared" si="345"/>
        <v>0</v>
      </c>
      <c r="G1210" s="38">
        <f>SUM(G1167:G1209)</f>
        <v>201575</v>
      </c>
      <c r="H1210" s="4"/>
      <c r="I1210" s="39">
        <f>SUM(I1167:I1209)</f>
        <v>573</v>
      </c>
      <c r="J1210" s="39">
        <f>SUM(J1167:J1209)</f>
        <v>-777</v>
      </c>
      <c r="K1210" s="40">
        <f>SUM(K1167:K1209)</f>
        <v>201371</v>
      </c>
      <c r="N1210" s="57"/>
      <c r="O1210" s="57"/>
      <c r="P1210" s="38">
        <f>SUM(P1167:P1209)</f>
        <v>170283.5</v>
      </c>
      <c r="Q1210" s="38">
        <f>SUM(Q1167:Q1191)</f>
        <v>0</v>
      </c>
      <c r="R1210" s="38">
        <f>SUM(R1167:R1191)</f>
        <v>0</v>
      </c>
      <c r="S1210" s="38">
        <f>SUM(S1167:S1209)</f>
        <v>170283.5</v>
      </c>
      <c r="T1210" s="4"/>
      <c r="U1210" s="41">
        <f>SUM(U1167:U1209)</f>
        <v>111</v>
      </c>
      <c r="V1210" s="41">
        <f>SUM(V1167:V1191)</f>
        <v>0</v>
      </c>
      <c r="W1210" s="42">
        <f>SUM(W1167:W1209)</f>
        <v>170394.5</v>
      </c>
      <c r="Z1210" s="57"/>
      <c r="AA1210" s="57"/>
      <c r="AB1210" s="38">
        <f>SUM(AB1167:AB1209)</f>
        <v>325569</v>
      </c>
      <c r="AC1210" s="38">
        <f>SUM(AC1167:AC1191)</f>
        <v>-2544</v>
      </c>
      <c r="AD1210" s="38">
        <f>SUM(AD1167:AD1191)</f>
        <v>0</v>
      </c>
      <c r="AE1210" s="38">
        <f>SUM(AE1167:AE1209)</f>
        <v>323025</v>
      </c>
      <c r="AF1210" s="4"/>
      <c r="AG1210" s="41">
        <f>SUM(AG1167:AG1209)</f>
        <v>361.5</v>
      </c>
      <c r="AH1210" s="41">
        <f>SUM(AH1167:AH1191)</f>
        <v>-78</v>
      </c>
      <c r="AI1210" s="42">
        <f>SUM(AI1167:AI1209)</f>
        <v>323308.5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M1212" t="s">
        <v>0</v>
      </c>
      <c r="N1212" s="57"/>
      <c r="O1212" s="57"/>
      <c r="P1212" s="57"/>
      <c r="Q1212" s="57"/>
      <c r="R1212" s="57"/>
      <c r="S1212" s="57"/>
      <c r="Y1212" t="s">
        <v>0</v>
      </c>
      <c r="Z1212" s="57"/>
      <c r="AA1212" s="57"/>
      <c r="AB1212" s="57"/>
      <c r="AC1212" s="57"/>
      <c r="AD1212" s="57"/>
      <c r="AE1212" s="57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28</v>
      </c>
      <c r="B1213" s="57"/>
      <c r="C1213" s="57"/>
      <c r="D1213" s="57"/>
      <c r="E1213" s="57"/>
      <c r="G1213" s="57"/>
      <c r="M1213" t="s">
        <v>28</v>
      </c>
      <c r="N1213" s="57"/>
      <c r="O1213" s="57"/>
      <c r="P1213" s="57"/>
      <c r="Q1213" s="57"/>
      <c r="R1213" s="57"/>
      <c r="S1213" s="57"/>
      <c r="Y1213" t="s">
        <v>28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N1214" s="57"/>
      <c r="O1214" s="57"/>
      <c r="P1214" s="57"/>
      <c r="Q1214" s="57"/>
      <c r="R1214" s="57"/>
      <c r="S1214" s="57"/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4" t="s">
        <v>14</v>
      </c>
      <c r="B1215" s="57"/>
      <c r="C1215" s="57"/>
      <c r="D1215" s="57"/>
      <c r="E1215" s="57"/>
      <c r="G1215" s="57"/>
      <c r="M1215" s="4" t="s">
        <v>14</v>
      </c>
      <c r="N1215" s="57"/>
      <c r="O1215" s="57"/>
      <c r="P1215" s="57"/>
      <c r="Q1215" s="57"/>
      <c r="R1215" s="57"/>
      <c r="S1215" s="57"/>
      <c r="Y1215" s="4" t="s">
        <v>14</v>
      </c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N1216" s="57"/>
      <c r="O1216" s="57"/>
      <c r="P1216" s="57"/>
      <c r="Q1216" s="57"/>
      <c r="R1216" s="57"/>
      <c r="S1216" s="57"/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t="s">
        <v>52</v>
      </c>
      <c r="B1217" s="57"/>
      <c r="C1217" s="57"/>
      <c r="D1217" s="57"/>
      <c r="E1217" s="57"/>
      <c r="G1217" s="57"/>
      <c r="I1217" s="57" t="s">
        <v>15</v>
      </c>
      <c r="J1217" s="19">
        <v>1</v>
      </c>
      <c r="M1217" t="s">
        <v>52</v>
      </c>
      <c r="N1217" s="57"/>
      <c r="O1217" s="57"/>
      <c r="P1217" s="57"/>
      <c r="Q1217" s="57"/>
      <c r="R1217" s="57"/>
      <c r="S1217" s="57"/>
      <c r="U1217" s="57" t="s">
        <v>15</v>
      </c>
      <c r="V1217" s="19">
        <v>2</v>
      </c>
      <c r="Y1217" t="s">
        <v>52</v>
      </c>
      <c r="Z1217" s="57"/>
      <c r="AA1217" s="57"/>
      <c r="AB1217" s="57"/>
      <c r="AC1217" s="57"/>
      <c r="AD1217" s="57"/>
      <c r="AE1217" s="57"/>
      <c r="AG1217" s="57" t="s">
        <v>15</v>
      </c>
      <c r="AH1217" s="20">
        <v>3</v>
      </c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21" t="s">
        <v>106</v>
      </c>
      <c r="B1218" s="20"/>
      <c r="C1218" s="57"/>
      <c r="D1218" s="57"/>
      <c r="E1218" s="57"/>
      <c r="G1218" s="57"/>
      <c r="I1218" s="22" t="s">
        <v>16</v>
      </c>
      <c r="J1218" s="23" t="s">
        <v>31</v>
      </c>
      <c r="K1218" s="24"/>
      <c r="M1218" s="21" t="s">
        <v>106</v>
      </c>
      <c r="N1218" s="20"/>
      <c r="O1218" s="57"/>
      <c r="P1218" s="57"/>
      <c r="Q1218" s="57"/>
      <c r="R1218" s="57"/>
      <c r="S1218" s="57"/>
      <c r="U1218" s="22" t="s">
        <v>16</v>
      </c>
      <c r="V1218" s="23" t="s">
        <v>98</v>
      </c>
      <c r="W1218" s="24"/>
      <c r="Y1218" s="21" t="s">
        <v>106</v>
      </c>
      <c r="Z1218" s="20"/>
      <c r="AA1218" s="57"/>
      <c r="AB1218" s="57"/>
      <c r="AC1218" s="57"/>
      <c r="AD1218" s="57"/>
      <c r="AE1218" s="57"/>
      <c r="AG1218" s="22" t="s">
        <v>16</v>
      </c>
      <c r="AH1218" s="23" t="s">
        <v>54</v>
      </c>
      <c r="AI1218" s="24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N1219" s="57"/>
      <c r="O1219" s="57"/>
      <c r="P1219" s="57"/>
      <c r="Q1219" s="57"/>
      <c r="R1219" s="57"/>
      <c r="S1219" s="57"/>
      <c r="Z1219" s="57"/>
      <c r="AA1219" s="57"/>
      <c r="AB1219" s="57"/>
      <c r="AC1219" s="57"/>
      <c r="AD1219" s="57"/>
      <c r="AE1219" s="57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25"/>
      <c r="C1220" s="26"/>
      <c r="D1220" s="126" t="s">
        <v>17</v>
      </c>
      <c r="E1220" s="126"/>
      <c r="F1220" s="114"/>
      <c r="G1220" s="27"/>
      <c r="I1220" s="122" t="s">
        <v>18</v>
      </c>
      <c r="J1220" s="123"/>
      <c r="K1220" s="124" t="s">
        <v>19</v>
      </c>
      <c r="N1220" s="25"/>
      <c r="O1220" s="26"/>
      <c r="P1220" s="126" t="s">
        <v>17</v>
      </c>
      <c r="Q1220" s="126"/>
      <c r="R1220" s="114"/>
      <c r="S1220" s="27"/>
      <c r="U1220" s="122" t="s">
        <v>18</v>
      </c>
      <c r="V1220" s="123"/>
      <c r="W1220" s="124" t="s">
        <v>19</v>
      </c>
      <c r="Z1220" s="25"/>
      <c r="AA1220" s="26"/>
      <c r="AB1220" s="126" t="s">
        <v>17</v>
      </c>
      <c r="AC1220" s="126"/>
      <c r="AD1220" s="114"/>
      <c r="AE1220" s="27"/>
      <c r="AG1220" s="122" t="s">
        <v>18</v>
      </c>
      <c r="AH1220" s="123"/>
      <c r="AI1220" s="124" t="s">
        <v>19</v>
      </c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ht="30" x14ac:dyDescent="0.25">
      <c r="B1221" s="28" t="s">
        <v>20</v>
      </c>
      <c r="C1221" s="28" t="s">
        <v>21</v>
      </c>
      <c r="D1221" s="78" t="s">
        <v>22</v>
      </c>
      <c r="E1221" s="77" t="s">
        <v>23</v>
      </c>
      <c r="F1221" s="79" t="s">
        <v>32</v>
      </c>
      <c r="G1221" s="79" t="s">
        <v>24</v>
      </c>
      <c r="I1221" s="29" t="s">
        <v>25</v>
      </c>
      <c r="J1221" s="29" t="s">
        <v>26</v>
      </c>
      <c r="K1221" s="125"/>
      <c r="N1221" s="28" t="s">
        <v>20</v>
      </c>
      <c r="O1221" s="28" t="s">
        <v>21</v>
      </c>
      <c r="P1221" s="78" t="s">
        <v>22</v>
      </c>
      <c r="Q1221" s="79" t="s">
        <v>23</v>
      </c>
      <c r="R1221" s="79" t="s">
        <v>32</v>
      </c>
      <c r="S1221" s="79" t="s">
        <v>24</v>
      </c>
      <c r="U1221" s="29" t="s">
        <v>25</v>
      </c>
      <c r="V1221" s="29" t="s">
        <v>26</v>
      </c>
      <c r="W1221" s="125"/>
      <c r="Z1221" s="28" t="s">
        <v>20</v>
      </c>
      <c r="AA1221" s="28" t="s">
        <v>21</v>
      </c>
      <c r="AB1221" s="78" t="s">
        <v>22</v>
      </c>
      <c r="AC1221" s="79" t="s">
        <v>23</v>
      </c>
      <c r="AD1221" s="79" t="s">
        <v>32</v>
      </c>
      <c r="AE1221" s="79" t="s">
        <v>24</v>
      </c>
      <c r="AG1221" s="29" t="s">
        <v>25</v>
      </c>
      <c r="AH1221" s="29" t="s">
        <v>26</v>
      </c>
      <c r="AI1221" s="125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107</v>
      </c>
      <c r="C1222" s="87">
        <v>8764</v>
      </c>
      <c r="D1222" s="32">
        <f>650*7+670*3+622*2+9.5*10</f>
        <v>7899</v>
      </c>
      <c r="E1222" s="32"/>
      <c r="F1222" s="32"/>
      <c r="G1222" s="32">
        <f t="shared" ref="G1222:G1255" si="346">SUM(D1222:E1222)</f>
        <v>7899</v>
      </c>
      <c r="H1222" s="12"/>
      <c r="I1222" s="12"/>
      <c r="J1222" s="12"/>
      <c r="K1222" s="12">
        <f t="shared" ref="K1222:K1255" si="347">SUM(G1222:J1222)</f>
        <v>7899</v>
      </c>
      <c r="M1222" s="10">
        <v>1</v>
      </c>
      <c r="N1222" s="30" t="s">
        <v>107</v>
      </c>
      <c r="O1222" s="31">
        <v>8744</v>
      </c>
      <c r="P1222" s="32">
        <f>650*4+9.5*4</f>
        <v>2638</v>
      </c>
      <c r="Q1222" s="32"/>
      <c r="R1222" s="32"/>
      <c r="S1222" s="32">
        <f>SUM(P1222:Q1222)</f>
        <v>2638</v>
      </c>
      <c r="T1222" s="12"/>
      <c r="U1222" s="12"/>
      <c r="V1222" s="12"/>
      <c r="W1222" s="12">
        <f>SUM(S1222:V1222)</f>
        <v>2638</v>
      </c>
      <c r="Y1222" s="10">
        <v>1</v>
      </c>
      <c r="Z1222" s="30" t="s">
        <v>107</v>
      </c>
      <c r="AA1222" s="31">
        <v>8680</v>
      </c>
      <c r="AB1222" s="32">
        <f>650*100+670*15+622*50+229*6</f>
        <v>107524</v>
      </c>
      <c r="AC1222" s="32">
        <v>-990</v>
      </c>
      <c r="AD1222" s="32"/>
      <c r="AE1222" s="32">
        <f>SUM(AB1222:AC1222)</f>
        <v>106534</v>
      </c>
      <c r="AF1222" s="12"/>
      <c r="AG1222" s="12"/>
      <c r="AH1222" s="12"/>
      <c r="AI1222" s="12">
        <f>SUM(AE1222:AH1222)</f>
        <v>106534</v>
      </c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107</v>
      </c>
      <c r="C1223" s="31">
        <f>C1222+1</f>
        <v>8765</v>
      </c>
      <c r="D1223" s="32">
        <f>650*2+670+622*2+9.5*4</f>
        <v>3252</v>
      </c>
      <c r="E1223" s="32"/>
      <c r="F1223" s="32"/>
      <c r="G1223" s="32">
        <f t="shared" si="346"/>
        <v>3252</v>
      </c>
      <c r="H1223" s="12"/>
      <c r="I1223" s="12">
        <v>111</v>
      </c>
      <c r="J1223" s="12"/>
      <c r="K1223" s="12">
        <f t="shared" si="347"/>
        <v>3363</v>
      </c>
      <c r="M1223" s="10">
        <v>2</v>
      </c>
      <c r="N1223" s="30" t="s">
        <v>107</v>
      </c>
      <c r="O1223" s="31">
        <f>O1222+1</f>
        <v>8745</v>
      </c>
      <c r="P1223" s="32">
        <f>650*100+622*20+229*2</f>
        <v>77898</v>
      </c>
      <c r="Q1223" s="32">
        <v>-720</v>
      </c>
      <c r="R1223" s="32"/>
      <c r="S1223" s="32">
        <f t="shared" ref="S1223:S1260" si="348">SUM(P1223:Q1223)</f>
        <v>77178</v>
      </c>
      <c r="T1223" s="12"/>
      <c r="U1223" s="12">
        <v>36</v>
      </c>
      <c r="V1223" s="12"/>
      <c r="W1223" s="12">
        <f t="shared" ref="W1223:W1263" si="349">SUM(S1223:V1223)</f>
        <v>77214</v>
      </c>
      <c r="Y1223" s="10">
        <v>2</v>
      </c>
      <c r="Z1223" s="30" t="s">
        <v>107</v>
      </c>
      <c r="AA1223" s="31">
        <f>AA1222+1</f>
        <v>8681</v>
      </c>
      <c r="AB1223" s="32">
        <f>650*100+670*5+622*15+229*4</f>
        <v>78596</v>
      </c>
      <c r="AC1223" s="32">
        <f>-120*6</f>
        <v>-720</v>
      </c>
      <c r="AD1223" s="32"/>
      <c r="AE1223" s="32">
        <f t="shared" ref="AE1223:AE1254" si="350">SUM(AB1223:AC1223)</f>
        <v>77876</v>
      </c>
      <c r="AF1223" s="12"/>
      <c r="AG1223" s="12"/>
      <c r="AH1223" s="12">
        <f>-47*111</f>
        <v>-5217</v>
      </c>
      <c r="AI1223" s="12">
        <f t="shared" ref="AI1223:AI1263" si="351">SUM(AE1223:AH1223)</f>
        <v>72659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3</v>
      </c>
      <c r="B1224" s="30" t="s">
        <v>107</v>
      </c>
      <c r="C1224" s="31">
        <f t="shared" ref="C1224:C1241" si="352">C1223+1</f>
        <v>8766</v>
      </c>
      <c r="D1224" s="33">
        <f>650*5+9.5*5</f>
        <v>3297.5</v>
      </c>
      <c r="E1224" s="33"/>
      <c r="F1224" s="33"/>
      <c r="G1224" s="33">
        <f t="shared" si="346"/>
        <v>3297.5</v>
      </c>
      <c r="H1224" s="34"/>
      <c r="I1224" s="34"/>
      <c r="J1224" s="34"/>
      <c r="K1224" s="34">
        <f t="shared" si="347"/>
        <v>3297.5</v>
      </c>
      <c r="M1224" s="10">
        <v>3</v>
      </c>
      <c r="N1224" s="30" t="s">
        <v>107</v>
      </c>
      <c r="O1224" s="31">
        <f t="shared" ref="O1224:O1228" si="353">O1223+1</f>
        <v>8746</v>
      </c>
      <c r="P1224" s="32">
        <f>650*10+622*9+9.5*19</f>
        <v>12278.5</v>
      </c>
      <c r="Q1224" s="32"/>
      <c r="R1224" s="32"/>
      <c r="S1224" s="32">
        <f t="shared" si="348"/>
        <v>12278.5</v>
      </c>
      <c r="T1224" s="12"/>
      <c r="U1224" s="12"/>
      <c r="V1224" s="12"/>
      <c r="W1224" s="12">
        <f t="shared" si="349"/>
        <v>12278.5</v>
      </c>
      <c r="Y1224" s="10">
        <v>3</v>
      </c>
      <c r="Z1224" s="30" t="s">
        <v>107</v>
      </c>
      <c r="AA1224" s="31">
        <f t="shared" ref="AA1224" si="354">AA1223+1</f>
        <v>8682</v>
      </c>
      <c r="AB1224" s="33">
        <f>650*10+622*5+9.5*15</f>
        <v>9752.5</v>
      </c>
      <c r="AC1224" s="33"/>
      <c r="AD1224" s="32"/>
      <c r="AE1224" s="32">
        <f t="shared" si="350"/>
        <v>9752.5</v>
      </c>
      <c r="AF1224" s="12"/>
      <c r="AG1224" s="12"/>
      <c r="AH1224" s="12"/>
      <c r="AI1224" s="12">
        <f t="shared" si="351"/>
        <v>9752.5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4</v>
      </c>
      <c r="B1225" s="30" t="s">
        <v>107</v>
      </c>
      <c r="C1225" s="31">
        <f t="shared" si="352"/>
        <v>8767</v>
      </c>
      <c r="D1225" s="32">
        <f>650*5+9.5*5</f>
        <v>3297.5</v>
      </c>
      <c r="E1225" s="32"/>
      <c r="F1225" s="32"/>
      <c r="G1225" s="32">
        <f t="shared" si="346"/>
        <v>3297.5</v>
      </c>
      <c r="H1225" s="12"/>
      <c r="I1225" s="12"/>
      <c r="J1225" s="12"/>
      <c r="K1225" s="12">
        <f t="shared" si="347"/>
        <v>3297.5</v>
      </c>
      <c r="M1225" s="10">
        <v>4</v>
      </c>
      <c r="N1225" s="30" t="s">
        <v>107</v>
      </c>
      <c r="O1225" s="31">
        <f t="shared" si="353"/>
        <v>8747</v>
      </c>
      <c r="P1225" s="32">
        <f>650*60+700+229*3</f>
        <v>40387</v>
      </c>
      <c r="Q1225" s="32"/>
      <c r="R1225" s="32"/>
      <c r="S1225" s="32">
        <f t="shared" si="348"/>
        <v>40387</v>
      </c>
      <c r="T1225" s="12"/>
      <c r="U1225" s="12"/>
      <c r="V1225" s="12"/>
      <c r="W1225" s="12">
        <f t="shared" si="349"/>
        <v>40387</v>
      </c>
      <c r="Y1225" s="10">
        <v>4</v>
      </c>
      <c r="Z1225" s="30"/>
      <c r="AA1225" s="11" t="s">
        <v>27</v>
      </c>
      <c r="AB1225" s="32"/>
      <c r="AC1225" s="32"/>
      <c r="AD1225" s="32"/>
      <c r="AE1225" s="32">
        <f t="shared" si="350"/>
        <v>0</v>
      </c>
      <c r="AF1225" s="12"/>
      <c r="AH1225" s="12"/>
      <c r="AI1225" s="12">
        <f t="shared" si="351"/>
        <v>0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5</v>
      </c>
      <c r="B1226" s="30" t="s">
        <v>107</v>
      </c>
      <c r="C1226" s="31">
        <f t="shared" si="352"/>
        <v>8768</v>
      </c>
      <c r="D1226" s="32">
        <f>650*5+622*2+9.5*7</f>
        <v>4560.5</v>
      </c>
      <c r="E1226" s="32"/>
      <c r="F1226" s="32"/>
      <c r="G1226" s="32">
        <f t="shared" si="346"/>
        <v>4560.5</v>
      </c>
      <c r="H1226" s="12"/>
      <c r="I1226" s="12"/>
      <c r="J1226" s="12"/>
      <c r="K1226" s="12">
        <f t="shared" si="347"/>
        <v>4560.5</v>
      </c>
      <c r="M1226" s="10">
        <v>5</v>
      </c>
      <c r="N1226" s="30" t="s">
        <v>107</v>
      </c>
      <c r="O1226" s="31">
        <f t="shared" si="353"/>
        <v>8748</v>
      </c>
      <c r="P1226" s="32">
        <f>650*14+9.5*14</f>
        <v>9233</v>
      </c>
      <c r="Q1226" s="32"/>
      <c r="R1226" s="32"/>
      <c r="S1226" s="32">
        <f t="shared" si="348"/>
        <v>9233</v>
      </c>
      <c r="T1226" s="12"/>
      <c r="U1226" s="12">
        <v>15</v>
      </c>
      <c r="V1226" s="12"/>
      <c r="W1226" s="12">
        <f t="shared" si="349"/>
        <v>9248</v>
      </c>
      <c r="Y1226" s="10">
        <v>5</v>
      </c>
      <c r="Z1226" s="30"/>
      <c r="AA1226" s="31"/>
      <c r="AB1226" s="32"/>
      <c r="AC1226" s="32"/>
      <c r="AD1226" s="32"/>
      <c r="AE1226" s="32">
        <f t="shared" si="350"/>
        <v>0</v>
      </c>
      <c r="AF1226" s="12"/>
      <c r="AG1226" s="12"/>
      <c r="AH1226" s="12"/>
      <c r="AI1226" s="12">
        <f t="shared" si="351"/>
        <v>0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6</v>
      </c>
      <c r="B1227" s="30" t="s">
        <v>107</v>
      </c>
      <c r="C1227" s="31">
        <f t="shared" si="352"/>
        <v>8769</v>
      </c>
      <c r="D1227" s="32">
        <f>650*3+9.5*3</f>
        <v>1978.5</v>
      </c>
      <c r="E1227" s="32"/>
      <c r="F1227" s="32"/>
      <c r="G1227" s="32">
        <f t="shared" si="346"/>
        <v>1978.5</v>
      </c>
      <c r="H1227" s="12"/>
      <c r="I1227" s="12"/>
      <c r="J1227" s="12"/>
      <c r="K1227" s="12">
        <f t="shared" si="347"/>
        <v>1978.5</v>
      </c>
      <c r="M1227" s="10">
        <v>6</v>
      </c>
      <c r="N1227" s="30" t="s">
        <v>107</v>
      </c>
      <c r="O1227" s="31">
        <f t="shared" si="353"/>
        <v>8749</v>
      </c>
      <c r="P1227" s="32">
        <f>5850+622+872+95</f>
        <v>7439</v>
      </c>
      <c r="Q1227" s="32"/>
      <c r="R1227" s="32"/>
      <c r="S1227" s="32">
        <f t="shared" si="348"/>
        <v>7439</v>
      </c>
      <c r="T1227" s="12"/>
      <c r="U1227" s="12">
        <v>9</v>
      </c>
      <c r="V1227" s="10"/>
      <c r="W1227" s="12">
        <f t="shared" si="349"/>
        <v>7448</v>
      </c>
      <c r="Y1227" s="10">
        <v>6</v>
      </c>
      <c r="Z1227" s="30"/>
      <c r="AB1227" s="32"/>
      <c r="AC1227" s="32"/>
      <c r="AD1227" s="32"/>
      <c r="AE1227" s="32">
        <f t="shared" si="350"/>
        <v>0</v>
      </c>
      <c r="AF1227" s="12"/>
      <c r="AG1227" s="12"/>
      <c r="AH1227" s="10"/>
      <c r="AI1227" s="12">
        <f t="shared" si="351"/>
        <v>0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7</v>
      </c>
      <c r="B1228" s="30" t="s">
        <v>107</v>
      </c>
      <c r="C1228" s="31">
        <f t="shared" si="352"/>
        <v>8770</v>
      </c>
      <c r="D1228" s="32">
        <f>650*2+622+9.5*3</f>
        <v>1950.5</v>
      </c>
      <c r="E1228" s="32"/>
      <c r="F1228" s="32"/>
      <c r="G1228" s="32">
        <f t="shared" si="346"/>
        <v>1950.5</v>
      </c>
      <c r="H1228" s="12"/>
      <c r="I1228" s="12"/>
      <c r="J1228" s="12"/>
      <c r="K1228" s="12">
        <f t="shared" si="347"/>
        <v>1950.5</v>
      </c>
      <c r="M1228" s="10">
        <v>7</v>
      </c>
      <c r="N1228" s="30" t="s">
        <v>107</v>
      </c>
      <c r="O1228" s="31">
        <f t="shared" si="353"/>
        <v>8750</v>
      </c>
      <c r="P1228" s="32">
        <f>650+9.5</f>
        <v>659.5</v>
      </c>
      <c r="Q1228" s="32"/>
      <c r="R1228" s="32"/>
      <c r="S1228" s="32">
        <f t="shared" si="348"/>
        <v>659.5</v>
      </c>
      <c r="T1228" s="12"/>
      <c r="U1228" s="12"/>
      <c r="V1228" s="12"/>
      <c r="W1228" s="12">
        <f t="shared" si="349"/>
        <v>659.5</v>
      </c>
      <c r="Y1228" s="10">
        <v>7</v>
      </c>
      <c r="Z1228" s="30"/>
      <c r="AA1228" s="31"/>
      <c r="AB1228" s="32"/>
      <c r="AC1228" s="32"/>
      <c r="AD1228" s="32"/>
      <c r="AE1228" s="32">
        <f t="shared" si="350"/>
        <v>0</v>
      </c>
      <c r="AF1228" s="12"/>
      <c r="AG1228" s="58"/>
      <c r="AH1228" s="12"/>
      <c r="AI1228" s="12">
        <f t="shared" si="351"/>
        <v>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8</v>
      </c>
      <c r="B1229" s="30" t="s">
        <v>107</v>
      </c>
      <c r="C1229" s="31">
        <f t="shared" si="352"/>
        <v>8771</v>
      </c>
      <c r="D1229" s="32">
        <f>650*25+670*6+973*2+622*3+912+1050+872*2+229+500*2</f>
        <v>29017</v>
      </c>
      <c r="E1229" s="32"/>
      <c r="F1229" s="32"/>
      <c r="G1229" s="32">
        <f t="shared" si="346"/>
        <v>29017</v>
      </c>
      <c r="H1229" s="12"/>
      <c r="I1229" s="12">
        <f>120*5+111*20</f>
        <v>2820</v>
      </c>
      <c r="J1229" s="12"/>
      <c r="K1229" s="12">
        <f t="shared" si="347"/>
        <v>31837</v>
      </c>
      <c r="M1229" s="10">
        <v>8</v>
      </c>
      <c r="N1229" s="30"/>
      <c r="O1229" s="11" t="s">
        <v>27</v>
      </c>
      <c r="P1229" s="32"/>
      <c r="Q1229" s="32"/>
      <c r="R1229" s="32"/>
      <c r="S1229" s="32">
        <f t="shared" si="348"/>
        <v>0</v>
      </c>
      <c r="T1229" s="12"/>
      <c r="U1229" s="12"/>
      <c r="V1229" s="12"/>
      <c r="W1229" s="12">
        <f t="shared" si="349"/>
        <v>0</v>
      </c>
      <c r="Y1229" s="10">
        <v>8</v>
      </c>
      <c r="Z1229" s="30"/>
      <c r="AA1229" s="31"/>
      <c r="AB1229" s="32"/>
      <c r="AC1229" s="32"/>
      <c r="AE1229" s="32">
        <f t="shared" si="350"/>
        <v>0</v>
      </c>
      <c r="AF1229" s="12"/>
      <c r="AG1229" s="12"/>
      <c r="AH1229" s="12"/>
      <c r="AI1229" s="12">
        <f t="shared" si="351"/>
        <v>0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9</v>
      </c>
      <c r="B1230" s="30" t="s">
        <v>107</v>
      </c>
      <c r="C1230" s="31">
        <f t="shared" si="352"/>
        <v>8772</v>
      </c>
      <c r="D1230" s="32">
        <f>700*3+622*3+1175+1102+1300</f>
        <v>7543</v>
      </c>
      <c r="E1230" s="32"/>
      <c r="F1230" s="32"/>
      <c r="G1230" s="32">
        <f t="shared" si="346"/>
        <v>7543</v>
      </c>
      <c r="H1230" s="12"/>
      <c r="I1230" s="12"/>
      <c r="J1230" s="12"/>
      <c r="K1230" s="12">
        <f t="shared" si="347"/>
        <v>7543</v>
      </c>
      <c r="M1230" s="10">
        <v>9</v>
      </c>
      <c r="N1230" s="30"/>
      <c r="O1230" s="31"/>
      <c r="P1230" s="32"/>
      <c r="Q1230" s="32"/>
      <c r="R1230" s="32"/>
      <c r="S1230" s="32">
        <f t="shared" si="348"/>
        <v>0</v>
      </c>
      <c r="T1230" s="12"/>
      <c r="U1230" s="12"/>
      <c r="V1230" s="12"/>
      <c r="W1230" s="12">
        <f t="shared" si="349"/>
        <v>0</v>
      </c>
      <c r="Y1230" s="10">
        <v>9</v>
      </c>
      <c r="Z1230" s="30"/>
      <c r="AA1230" s="31"/>
      <c r="AB1230" s="32"/>
      <c r="AC1230" s="32"/>
      <c r="AD1230" s="32"/>
      <c r="AE1230" s="32">
        <f t="shared" si="350"/>
        <v>0</v>
      </c>
      <c r="AF1230" s="12"/>
      <c r="AH1230" s="12"/>
      <c r="AI1230" s="12">
        <f t="shared" si="351"/>
        <v>0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10</v>
      </c>
      <c r="B1231" s="30" t="s">
        <v>107</v>
      </c>
      <c r="C1231" s="31">
        <f t="shared" si="352"/>
        <v>8773</v>
      </c>
      <c r="D1231" s="32">
        <f>650*10</f>
        <v>6500</v>
      </c>
      <c r="E1231" s="32"/>
      <c r="F1231" s="32"/>
      <c r="G1231" s="32">
        <f t="shared" si="346"/>
        <v>6500</v>
      </c>
      <c r="H1231" s="12"/>
      <c r="I1231" s="12"/>
      <c r="J1231" s="12"/>
      <c r="K1231" s="12">
        <f t="shared" si="347"/>
        <v>6500</v>
      </c>
      <c r="M1231" s="10">
        <v>10</v>
      </c>
      <c r="N1231" s="30"/>
      <c r="O1231" s="31"/>
      <c r="P1231" s="32"/>
      <c r="Q1231" s="32"/>
      <c r="R1231" s="32"/>
      <c r="S1231" s="32">
        <f t="shared" si="348"/>
        <v>0</v>
      </c>
      <c r="T1231" s="12"/>
      <c r="U1231" s="12"/>
      <c r="V1231" s="12"/>
      <c r="W1231" s="12">
        <f t="shared" si="349"/>
        <v>0</v>
      </c>
      <c r="Y1231" s="10">
        <v>10</v>
      </c>
      <c r="Z1231" s="30"/>
      <c r="AA1231" s="31"/>
      <c r="AB1231" s="32"/>
      <c r="AC1231" s="32"/>
      <c r="AD1231" s="32"/>
      <c r="AE1231" s="32">
        <f t="shared" si="350"/>
        <v>0</v>
      </c>
      <c r="AF1231" s="12"/>
      <c r="AG1231" s="12"/>
      <c r="AH1231" s="12"/>
      <c r="AI1231" s="12">
        <f t="shared" si="351"/>
        <v>0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11</v>
      </c>
      <c r="B1232" s="30" t="s">
        <v>107</v>
      </c>
      <c r="C1232" s="31">
        <f t="shared" si="352"/>
        <v>8774</v>
      </c>
      <c r="D1232" s="32">
        <f>650*3+872+650</f>
        <v>3472</v>
      </c>
      <c r="E1232" s="32"/>
      <c r="F1232" s="32"/>
      <c r="G1232" s="32">
        <f t="shared" si="346"/>
        <v>3472</v>
      </c>
      <c r="H1232" s="12"/>
      <c r="I1232" s="12">
        <v>28.5</v>
      </c>
      <c r="J1232" s="12"/>
      <c r="K1232" s="12">
        <f t="shared" si="347"/>
        <v>3500.5</v>
      </c>
      <c r="M1232" s="10">
        <v>11</v>
      </c>
      <c r="N1232" s="30"/>
      <c r="O1232" s="31"/>
      <c r="P1232" s="32"/>
      <c r="Q1232" s="32"/>
      <c r="R1232" s="32"/>
      <c r="S1232" s="32">
        <f t="shared" si="348"/>
        <v>0</v>
      </c>
      <c r="T1232" s="12"/>
      <c r="U1232" s="12"/>
      <c r="V1232" s="12"/>
      <c r="W1232" s="12">
        <f t="shared" si="349"/>
        <v>0</v>
      </c>
      <c r="Y1232" s="10">
        <v>11</v>
      </c>
      <c r="Z1232" s="30"/>
      <c r="AB1232" s="32"/>
      <c r="AC1232" s="32"/>
      <c r="AD1232" s="32"/>
      <c r="AE1232" s="32">
        <f t="shared" si="350"/>
        <v>0</v>
      </c>
      <c r="AF1232" s="12"/>
      <c r="AG1232" s="12"/>
      <c r="AH1232" s="12"/>
      <c r="AI1232" s="12">
        <f t="shared" si="351"/>
        <v>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12</v>
      </c>
      <c r="B1233" s="30" t="s">
        <v>107</v>
      </c>
      <c r="C1233" s="31">
        <f t="shared" si="352"/>
        <v>8775</v>
      </c>
      <c r="D1233" s="32">
        <f>650*5+9.5*5</f>
        <v>3297.5</v>
      </c>
      <c r="E1233" s="32"/>
      <c r="F1233" s="32"/>
      <c r="G1233" s="32">
        <f t="shared" si="346"/>
        <v>3297.5</v>
      </c>
      <c r="H1233" s="12"/>
      <c r="I1233" s="12"/>
      <c r="J1233" s="10"/>
      <c r="K1233" s="12">
        <f t="shared" si="347"/>
        <v>3297.5</v>
      </c>
      <c r="M1233" s="10">
        <v>12</v>
      </c>
      <c r="N1233" s="30"/>
      <c r="O1233" s="31"/>
      <c r="P1233" s="32"/>
      <c r="Q1233" s="32"/>
      <c r="R1233" s="32"/>
      <c r="S1233" s="32">
        <f t="shared" si="348"/>
        <v>0</v>
      </c>
      <c r="T1233" s="12"/>
      <c r="U1233" s="12"/>
      <c r="V1233" s="12"/>
      <c r="W1233" s="12">
        <f t="shared" si="349"/>
        <v>0</v>
      </c>
      <c r="Y1233" s="10">
        <v>12</v>
      </c>
      <c r="Z1233" s="30"/>
      <c r="AB1233" s="32"/>
      <c r="AC1233" s="32"/>
      <c r="AD1233" s="32"/>
      <c r="AE1233" s="32">
        <f t="shared" si="350"/>
        <v>0</v>
      </c>
      <c r="AF1233" s="12"/>
      <c r="AG1233" s="12"/>
      <c r="AH1233" s="12"/>
      <c r="AI1233" s="12">
        <f t="shared" si="351"/>
        <v>0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13</v>
      </c>
      <c r="B1234" s="30" t="s">
        <v>107</v>
      </c>
      <c r="C1234" s="31">
        <f t="shared" si="352"/>
        <v>8776</v>
      </c>
      <c r="D1234" s="32">
        <f>650*27</f>
        <v>17550</v>
      </c>
      <c r="E1234" s="32"/>
      <c r="F1234" s="32"/>
      <c r="G1234" s="32">
        <f t="shared" si="346"/>
        <v>17550</v>
      </c>
      <c r="H1234" s="12"/>
      <c r="I1234" s="12"/>
      <c r="J1234" s="12"/>
      <c r="K1234" s="12">
        <f t="shared" si="347"/>
        <v>17550</v>
      </c>
      <c r="M1234" s="10">
        <v>13</v>
      </c>
      <c r="N1234" s="30"/>
      <c r="O1234" s="31"/>
      <c r="P1234" s="32"/>
      <c r="Q1234" s="32"/>
      <c r="R1234" s="32"/>
      <c r="S1234" s="32">
        <f t="shared" si="348"/>
        <v>0</v>
      </c>
      <c r="T1234" s="12"/>
      <c r="U1234" s="12"/>
      <c r="V1234" s="12"/>
      <c r="W1234" s="12">
        <f t="shared" si="349"/>
        <v>0</v>
      </c>
      <c r="Y1234" s="10">
        <v>13</v>
      </c>
      <c r="Z1234" s="30"/>
      <c r="AA1234" s="31"/>
      <c r="AB1234" s="32"/>
      <c r="AC1234" s="32"/>
      <c r="AD1234" s="32"/>
      <c r="AE1234" s="32">
        <f t="shared" si="350"/>
        <v>0</v>
      </c>
      <c r="AF1234" s="12"/>
      <c r="AG1234" s="12"/>
      <c r="AH1234" s="12"/>
      <c r="AI1234" s="12">
        <f t="shared" si="351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14</v>
      </c>
      <c r="B1235" s="30" t="s">
        <v>107</v>
      </c>
      <c r="C1235" s="31">
        <f t="shared" si="352"/>
        <v>8777</v>
      </c>
      <c r="D1235" s="32">
        <f>650*5+670</f>
        <v>3920</v>
      </c>
      <c r="E1235" s="32"/>
      <c r="F1235" s="32"/>
      <c r="G1235" s="32">
        <f t="shared" si="346"/>
        <v>3920</v>
      </c>
      <c r="H1235" s="12"/>
      <c r="I1235" s="12"/>
      <c r="J1235" s="12"/>
      <c r="K1235" s="12">
        <f t="shared" si="347"/>
        <v>3920</v>
      </c>
      <c r="M1235" s="10">
        <v>14</v>
      </c>
      <c r="N1235" s="30"/>
      <c r="O1235" s="31"/>
      <c r="P1235" s="32"/>
      <c r="Q1235" s="32"/>
      <c r="R1235" s="32"/>
      <c r="S1235" s="32">
        <f t="shared" si="348"/>
        <v>0</v>
      </c>
      <c r="T1235" s="12"/>
      <c r="U1235" s="12"/>
      <c r="V1235" s="12"/>
      <c r="W1235" s="12">
        <f t="shared" si="349"/>
        <v>0</v>
      </c>
      <c r="Y1235" s="10">
        <v>14</v>
      </c>
      <c r="Z1235" s="30"/>
      <c r="AA1235" s="31"/>
      <c r="AB1235" s="32"/>
      <c r="AC1235" s="32"/>
      <c r="AD1235" s="32"/>
      <c r="AE1235" s="32">
        <f t="shared" si="350"/>
        <v>0</v>
      </c>
      <c r="AF1235" s="12"/>
      <c r="AG1235" s="12"/>
      <c r="AH1235" s="12"/>
      <c r="AI1235" s="12">
        <f t="shared" si="351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15</v>
      </c>
      <c r="B1236" s="30" t="s">
        <v>107</v>
      </c>
      <c r="C1236" s="31">
        <f t="shared" si="352"/>
        <v>8778</v>
      </c>
      <c r="D1236" s="32">
        <f>650*15+670+622*2</f>
        <v>11664</v>
      </c>
      <c r="E1236" s="32"/>
      <c r="F1236" s="32"/>
      <c r="G1236" s="32">
        <f t="shared" si="346"/>
        <v>11664</v>
      </c>
      <c r="H1236" s="12"/>
      <c r="I1236" s="12"/>
      <c r="J1236" s="12"/>
      <c r="K1236" s="12">
        <f t="shared" si="347"/>
        <v>11664</v>
      </c>
      <c r="M1236" s="10">
        <v>15</v>
      </c>
      <c r="N1236" s="30"/>
      <c r="O1236" s="31"/>
      <c r="P1236" s="32"/>
      <c r="Q1236" s="32"/>
      <c r="R1236" s="32"/>
      <c r="S1236" s="32">
        <f t="shared" si="348"/>
        <v>0</v>
      </c>
      <c r="T1236" s="12"/>
      <c r="U1236" s="12"/>
      <c r="V1236" s="12"/>
      <c r="W1236" s="12">
        <f t="shared" si="349"/>
        <v>0</v>
      </c>
      <c r="Y1236" s="10">
        <v>15</v>
      </c>
      <c r="Z1236" s="30"/>
      <c r="AA1236" s="31"/>
      <c r="AB1236" s="32"/>
      <c r="AC1236" s="32"/>
      <c r="AD1236" s="32"/>
      <c r="AE1236" s="32">
        <f t="shared" si="350"/>
        <v>0</v>
      </c>
      <c r="AF1236" s="12"/>
      <c r="AG1236" s="12"/>
      <c r="AH1236" s="12"/>
      <c r="AI1236" s="12">
        <f t="shared" si="351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16</v>
      </c>
      <c r="B1237" s="30" t="s">
        <v>107</v>
      </c>
      <c r="C1237" s="31">
        <f t="shared" si="352"/>
        <v>8779</v>
      </c>
      <c r="D1237" s="32">
        <f>650*4+9.5*4</f>
        <v>2638</v>
      </c>
      <c r="E1237" s="32"/>
      <c r="F1237" s="32"/>
      <c r="G1237" s="32">
        <f t="shared" si="346"/>
        <v>2638</v>
      </c>
      <c r="H1237" s="12"/>
      <c r="I1237" s="12"/>
      <c r="J1237" s="12"/>
      <c r="K1237" s="12">
        <f t="shared" si="347"/>
        <v>2638</v>
      </c>
      <c r="M1237" s="10">
        <v>16</v>
      </c>
      <c r="N1237" s="30"/>
      <c r="P1237" s="32"/>
      <c r="Q1237" s="32"/>
      <c r="R1237" s="32"/>
      <c r="S1237" s="32">
        <f t="shared" si="348"/>
        <v>0</v>
      </c>
      <c r="T1237" s="12"/>
      <c r="U1237" s="12"/>
      <c r="V1237" s="12"/>
      <c r="W1237" s="12">
        <f t="shared" si="349"/>
        <v>0</v>
      </c>
      <c r="Y1237" s="10">
        <v>16</v>
      </c>
      <c r="Z1237" s="30"/>
      <c r="AA1237" s="31"/>
      <c r="AB1237" s="32"/>
      <c r="AC1237" s="32"/>
      <c r="AD1237" s="32"/>
      <c r="AE1237" s="32">
        <f t="shared" si="350"/>
        <v>0</v>
      </c>
      <c r="AF1237" s="12"/>
      <c r="AG1237" s="12"/>
      <c r="AH1237" s="12"/>
      <c r="AI1237" s="12">
        <f t="shared" si="351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17</v>
      </c>
      <c r="B1238" s="30" t="s">
        <v>107</v>
      </c>
      <c r="C1238" s="31">
        <f t="shared" si="352"/>
        <v>8780</v>
      </c>
      <c r="D1238" s="32">
        <f>650*5</f>
        <v>3250</v>
      </c>
      <c r="E1238" s="32"/>
      <c r="F1238" s="32"/>
      <c r="G1238" s="32">
        <f t="shared" si="346"/>
        <v>3250</v>
      </c>
      <c r="H1238" s="12"/>
      <c r="I1238" s="12"/>
      <c r="J1238" s="12"/>
      <c r="K1238" s="12">
        <f t="shared" si="347"/>
        <v>3250</v>
      </c>
      <c r="M1238" s="10">
        <v>17</v>
      </c>
      <c r="N1238" s="30"/>
      <c r="O1238" s="31"/>
      <c r="P1238" s="35"/>
      <c r="Q1238" s="32"/>
      <c r="R1238" s="32"/>
      <c r="S1238" s="32">
        <f t="shared" si="348"/>
        <v>0</v>
      </c>
      <c r="T1238" s="12"/>
      <c r="U1238" s="12"/>
      <c r="V1238" s="12"/>
      <c r="W1238" s="12">
        <f t="shared" si="349"/>
        <v>0</v>
      </c>
      <c r="Y1238" s="10">
        <v>17</v>
      </c>
      <c r="Z1238" s="30"/>
      <c r="AA1238" s="31"/>
      <c r="AB1238" s="35"/>
      <c r="AC1238" s="32"/>
      <c r="AD1238" s="32"/>
      <c r="AE1238" s="32">
        <f t="shared" si="350"/>
        <v>0</v>
      </c>
      <c r="AF1238" s="12"/>
      <c r="AG1238" s="12"/>
      <c r="AH1238" s="12"/>
      <c r="AI1238" s="12">
        <f t="shared" si="351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18</v>
      </c>
      <c r="B1239" s="30" t="s">
        <v>107</v>
      </c>
      <c r="C1239" s="31">
        <f t="shared" si="352"/>
        <v>8781</v>
      </c>
      <c r="D1239" s="32">
        <f>650*12+912</f>
        <v>8712</v>
      </c>
      <c r="E1239" s="32"/>
      <c r="F1239" s="32"/>
      <c r="G1239" s="32">
        <f t="shared" si="346"/>
        <v>8712</v>
      </c>
      <c r="H1239" s="12"/>
      <c r="I1239" s="12"/>
      <c r="J1239" s="12"/>
      <c r="K1239" s="12">
        <f t="shared" si="347"/>
        <v>8712</v>
      </c>
      <c r="M1239" s="10">
        <v>18</v>
      </c>
      <c r="N1239" s="30"/>
      <c r="O1239" s="31"/>
      <c r="P1239" s="32"/>
      <c r="Q1239" s="32"/>
      <c r="R1239" s="32"/>
      <c r="S1239" s="32">
        <f t="shared" si="348"/>
        <v>0</v>
      </c>
      <c r="T1239" s="12"/>
      <c r="U1239" s="12"/>
      <c r="V1239" s="12"/>
      <c r="W1239" s="12">
        <f t="shared" si="349"/>
        <v>0</v>
      </c>
      <c r="Y1239" s="10">
        <v>18</v>
      </c>
      <c r="Z1239" s="30"/>
      <c r="AA1239" s="31"/>
      <c r="AB1239" s="32"/>
      <c r="AC1239" s="32"/>
      <c r="AD1239" s="32"/>
      <c r="AE1239" s="32">
        <f t="shared" si="350"/>
        <v>0</v>
      </c>
      <c r="AF1239" s="12"/>
      <c r="AG1239" s="12"/>
      <c r="AH1239" s="12"/>
      <c r="AI1239" s="12">
        <f t="shared" si="351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19</v>
      </c>
      <c r="B1240" s="30" t="s">
        <v>107</v>
      </c>
      <c r="C1240" s="31">
        <f t="shared" si="352"/>
        <v>8782</v>
      </c>
      <c r="D1240" s="32">
        <f>650*10</f>
        <v>6500</v>
      </c>
      <c r="E1240" s="32"/>
      <c r="F1240" s="32"/>
      <c r="G1240" s="32">
        <f t="shared" si="346"/>
        <v>6500</v>
      </c>
      <c r="H1240" s="12"/>
      <c r="I1240" s="12"/>
      <c r="J1240" s="12"/>
      <c r="K1240" s="12">
        <f t="shared" si="347"/>
        <v>6500</v>
      </c>
      <c r="M1240" s="10">
        <v>19</v>
      </c>
      <c r="N1240" s="30"/>
      <c r="O1240" s="31"/>
      <c r="P1240" s="32"/>
      <c r="Q1240" s="32"/>
      <c r="R1240" s="32"/>
      <c r="S1240" s="32">
        <f t="shared" si="348"/>
        <v>0</v>
      </c>
      <c r="T1240" s="12"/>
      <c r="U1240" s="12"/>
      <c r="V1240" s="12"/>
      <c r="W1240" s="12">
        <f t="shared" si="349"/>
        <v>0</v>
      </c>
      <c r="Y1240" s="10">
        <v>19</v>
      </c>
      <c r="Z1240" s="30"/>
      <c r="AA1240" s="31"/>
      <c r="AB1240" s="32"/>
      <c r="AC1240" s="32"/>
      <c r="AD1240" s="32"/>
      <c r="AE1240" s="32">
        <f t="shared" si="350"/>
        <v>0</v>
      </c>
      <c r="AF1240" s="12"/>
      <c r="AG1240" s="12"/>
      <c r="AH1240" s="12"/>
      <c r="AI1240" s="12">
        <f t="shared" si="351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20</v>
      </c>
      <c r="B1241" s="30" t="s">
        <v>107</v>
      </c>
      <c r="C1241" s="31">
        <f t="shared" si="352"/>
        <v>8783</v>
      </c>
      <c r="D1241" s="32">
        <f>650*7+670</f>
        <v>5220</v>
      </c>
      <c r="E1241" s="32"/>
      <c r="F1241" s="32"/>
      <c r="G1241" s="32">
        <f t="shared" si="346"/>
        <v>5220</v>
      </c>
      <c r="H1241" s="12"/>
      <c r="I1241" s="12"/>
      <c r="J1241" s="12">
        <f>-111*2</f>
        <v>-222</v>
      </c>
      <c r="K1241" s="12">
        <f t="shared" si="347"/>
        <v>4998</v>
      </c>
      <c r="M1241" s="10">
        <v>20</v>
      </c>
      <c r="N1241" s="30"/>
      <c r="O1241" s="31"/>
      <c r="P1241" s="32"/>
      <c r="Q1241" s="32"/>
      <c r="R1241" s="32"/>
      <c r="S1241" s="32">
        <f t="shared" si="348"/>
        <v>0</v>
      </c>
      <c r="T1241" s="12"/>
      <c r="U1241" s="12"/>
      <c r="V1241" s="12"/>
      <c r="W1241" s="12">
        <f t="shared" si="349"/>
        <v>0</v>
      </c>
      <c r="Y1241" s="10">
        <v>20</v>
      </c>
      <c r="Z1241" s="30"/>
      <c r="AA1241" s="31"/>
      <c r="AB1241" s="32"/>
      <c r="AC1241" s="32"/>
      <c r="AD1241" s="32"/>
      <c r="AE1241" s="32">
        <f t="shared" si="350"/>
        <v>0</v>
      </c>
      <c r="AF1241" s="12"/>
      <c r="AG1241" s="12"/>
      <c r="AH1241" s="12"/>
      <c r="AI1241" s="12">
        <f t="shared" si="351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C1242" s="11" t="s">
        <v>27</v>
      </c>
      <c r="D1242" s="32"/>
      <c r="E1242" s="32"/>
      <c r="F1242" s="32"/>
      <c r="G1242" s="32">
        <f t="shared" si="346"/>
        <v>0</v>
      </c>
      <c r="H1242" s="10"/>
      <c r="I1242" s="10"/>
      <c r="J1242" s="10"/>
      <c r="K1242" s="12">
        <f t="shared" si="347"/>
        <v>0</v>
      </c>
      <c r="M1242" s="10">
        <v>21</v>
      </c>
      <c r="N1242" s="30"/>
      <c r="O1242" s="31"/>
      <c r="P1242" s="46"/>
      <c r="Q1242" s="31"/>
      <c r="R1242" s="31"/>
      <c r="S1242" s="32">
        <f t="shared" si="348"/>
        <v>0</v>
      </c>
      <c r="T1242" s="10"/>
      <c r="U1242" s="10"/>
      <c r="V1242" s="10"/>
      <c r="W1242" s="12">
        <f t="shared" si="349"/>
        <v>0</v>
      </c>
      <c r="Y1242" s="10">
        <v>21</v>
      </c>
      <c r="Z1242" s="30"/>
      <c r="AB1242" s="46"/>
      <c r="AC1242" s="31"/>
      <c r="AD1242" s="31"/>
      <c r="AE1242" s="32">
        <f t="shared" si="350"/>
        <v>0</v>
      </c>
      <c r="AF1242" s="10"/>
      <c r="AG1242" s="10"/>
      <c r="AH1242" s="10"/>
      <c r="AI1242" s="12">
        <f t="shared" si="351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31"/>
      <c r="D1243" s="32"/>
      <c r="E1243" s="32"/>
      <c r="F1243" s="32"/>
      <c r="G1243" s="32">
        <f t="shared" si="346"/>
        <v>0</v>
      </c>
      <c r="H1243" s="10"/>
      <c r="I1243" s="10"/>
      <c r="J1243" s="10"/>
      <c r="K1243" s="12">
        <f t="shared" si="347"/>
        <v>0</v>
      </c>
      <c r="M1243" s="10">
        <v>22</v>
      </c>
      <c r="N1243" s="30"/>
      <c r="O1243" s="31"/>
      <c r="P1243" s="45"/>
      <c r="Q1243" s="31"/>
      <c r="R1243" s="31"/>
      <c r="S1243" s="32">
        <f t="shared" si="348"/>
        <v>0</v>
      </c>
      <c r="T1243" s="10"/>
      <c r="U1243" s="10"/>
      <c r="V1243" s="10"/>
      <c r="W1243" s="12">
        <f t="shared" si="349"/>
        <v>0</v>
      </c>
      <c r="Y1243" s="10">
        <v>22</v>
      </c>
      <c r="Z1243" s="30"/>
      <c r="AA1243" s="31"/>
      <c r="AB1243" s="45"/>
      <c r="AC1243" s="31"/>
      <c r="AD1243" s="31"/>
      <c r="AE1243" s="32">
        <f t="shared" si="350"/>
        <v>0</v>
      </c>
      <c r="AF1243" s="10"/>
      <c r="AG1243" s="10"/>
      <c r="AH1243" s="10"/>
      <c r="AI1243" s="12">
        <f t="shared" si="351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31"/>
      <c r="D1244" s="32"/>
      <c r="E1244" s="32"/>
      <c r="F1244" s="32"/>
      <c r="G1244" s="32">
        <f t="shared" si="346"/>
        <v>0</v>
      </c>
      <c r="H1244" s="10"/>
      <c r="I1244" s="10"/>
      <c r="J1244" s="12"/>
      <c r="K1244" s="12">
        <f t="shared" si="347"/>
        <v>0</v>
      </c>
      <c r="M1244" s="10">
        <v>23</v>
      </c>
      <c r="N1244" s="30"/>
      <c r="O1244" s="31"/>
      <c r="P1244" s="47"/>
      <c r="Q1244" s="31"/>
      <c r="S1244" s="32">
        <f t="shared" si="348"/>
        <v>0</v>
      </c>
      <c r="T1244" s="10"/>
      <c r="U1244" s="10"/>
      <c r="V1244" s="10"/>
      <c r="W1244" s="12">
        <f t="shared" si="349"/>
        <v>0</v>
      </c>
      <c r="Y1244" s="10">
        <v>23</v>
      </c>
      <c r="Z1244" s="30"/>
      <c r="AB1244" s="47"/>
      <c r="AC1244" s="31"/>
      <c r="AE1244" s="32">
        <f t="shared" si="350"/>
        <v>0</v>
      </c>
      <c r="AF1244" s="10"/>
      <c r="AG1244" s="10"/>
      <c r="AH1244" s="10"/>
      <c r="AI1244" s="12">
        <f t="shared" si="351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31"/>
      <c r="D1245" s="32"/>
      <c r="E1245" s="32"/>
      <c r="F1245" s="32"/>
      <c r="G1245" s="32">
        <f t="shared" si="346"/>
        <v>0</v>
      </c>
      <c r="H1245" s="10"/>
      <c r="I1245" s="10"/>
      <c r="J1245" s="10"/>
      <c r="K1245" s="12">
        <f t="shared" si="347"/>
        <v>0</v>
      </c>
      <c r="M1245" s="10">
        <v>24</v>
      </c>
      <c r="N1245" s="30"/>
      <c r="O1245" s="31"/>
      <c r="P1245" s="47"/>
      <c r="Q1245" s="31"/>
      <c r="R1245" s="31"/>
      <c r="S1245" s="32">
        <f t="shared" si="348"/>
        <v>0</v>
      </c>
      <c r="T1245" s="10"/>
      <c r="U1245" s="10"/>
      <c r="V1245" s="10"/>
      <c r="W1245" s="12">
        <f t="shared" si="349"/>
        <v>0</v>
      </c>
      <c r="Y1245" s="10">
        <v>24</v>
      </c>
      <c r="Z1245" s="30"/>
      <c r="AA1245" s="31"/>
      <c r="AB1245" s="47"/>
      <c r="AC1245" s="31"/>
      <c r="AD1245" s="31"/>
      <c r="AE1245" s="32">
        <f t="shared" si="350"/>
        <v>0</v>
      </c>
      <c r="AF1245" s="10"/>
      <c r="AG1245" s="10"/>
      <c r="AH1245" s="10"/>
      <c r="AI1245" s="12">
        <f t="shared" si="351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31"/>
      <c r="D1246" s="32"/>
      <c r="E1246" s="32"/>
      <c r="F1246" s="32"/>
      <c r="G1246" s="32">
        <f t="shared" si="346"/>
        <v>0</v>
      </c>
      <c r="H1246" s="10"/>
      <c r="I1246" s="10"/>
      <c r="J1246" s="10"/>
      <c r="K1246" s="12">
        <f t="shared" si="347"/>
        <v>0</v>
      </c>
      <c r="M1246" s="10">
        <v>25</v>
      </c>
      <c r="N1246" s="30"/>
      <c r="O1246" s="31"/>
      <c r="P1246" s="47"/>
      <c r="Q1246" s="31"/>
      <c r="R1246" s="31"/>
      <c r="S1246" s="32">
        <f t="shared" si="348"/>
        <v>0</v>
      </c>
      <c r="T1246" s="10"/>
      <c r="U1246" s="10"/>
      <c r="V1246" s="10"/>
      <c r="W1246" s="12">
        <f t="shared" si="349"/>
        <v>0</v>
      </c>
      <c r="Y1246" s="10">
        <v>25</v>
      </c>
      <c r="Z1246" s="30"/>
      <c r="AA1246" s="31"/>
      <c r="AB1246" s="47"/>
      <c r="AC1246" s="31"/>
      <c r="AD1246" s="31"/>
      <c r="AE1246" s="32">
        <f t="shared" si="350"/>
        <v>0</v>
      </c>
      <c r="AF1246" s="10"/>
      <c r="AG1246" s="10"/>
      <c r="AH1246" s="10"/>
      <c r="AI1246" s="12">
        <f t="shared" si="351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D1247" s="32"/>
      <c r="E1247" s="32"/>
      <c r="F1247" s="32"/>
      <c r="G1247" s="32">
        <f t="shared" si="346"/>
        <v>0</v>
      </c>
      <c r="H1247" s="10"/>
      <c r="I1247" s="10"/>
      <c r="J1247" s="10"/>
      <c r="K1247" s="12">
        <f t="shared" si="347"/>
        <v>0</v>
      </c>
      <c r="M1247" s="10">
        <v>26</v>
      </c>
      <c r="N1247" s="30"/>
      <c r="O1247" s="31"/>
      <c r="P1247" s="47"/>
      <c r="Q1247" s="31"/>
      <c r="R1247" s="31"/>
      <c r="S1247" s="32">
        <f t="shared" si="348"/>
        <v>0</v>
      </c>
      <c r="T1247" s="10"/>
      <c r="U1247" s="10"/>
      <c r="V1247" s="10"/>
      <c r="W1247" s="12">
        <f t="shared" si="349"/>
        <v>0</v>
      </c>
      <c r="Y1247" s="10">
        <v>26</v>
      </c>
      <c r="Z1247" s="30"/>
      <c r="AA1247" s="31"/>
      <c r="AB1247" s="47"/>
      <c r="AC1247" s="31"/>
      <c r="AD1247" s="31"/>
      <c r="AE1247" s="32">
        <f t="shared" si="350"/>
        <v>0</v>
      </c>
      <c r="AF1247" s="10"/>
      <c r="AG1247" s="10"/>
      <c r="AH1247" s="10"/>
      <c r="AI1247" s="12">
        <f t="shared" si="351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31"/>
      <c r="D1248" s="32"/>
      <c r="E1248" s="32"/>
      <c r="F1248" s="32"/>
      <c r="G1248" s="32">
        <f t="shared" si="346"/>
        <v>0</v>
      </c>
      <c r="H1248" s="10"/>
      <c r="I1248" s="10"/>
      <c r="J1248" s="10"/>
      <c r="K1248" s="12">
        <f t="shared" si="347"/>
        <v>0</v>
      </c>
      <c r="M1248" s="10">
        <v>27</v>
      </c>
      <c r="N1248" s="30"/>
      <c r="O1248" s="31"/>
      <c r="P1248" s="47"/>
      <c r="Q1248" s="31"/>
      <c r="R1248" s="31"/>
      <c r="S1248" s="32">
        <f t="shared" si="348"/>
        <v>0</v>
      </c>
      <c r="T1248" s="10"/>
      <c r="U1248" s="10"/>
      <c r="V1248" s="10"/>
      <c r="W1248" s="12">
        <f t="shared" si="349"/>
        <v>0</v>
      </c>
      <c r="Y1248" s="10">
        <v>27</v>
      </c>
      <c r="Z1248" s="30"/>
      <c r="AA1248" s="31"/>
      <c r="AB1248" s="47"/>
      <c r="AC1248" s="31"/>
      <c r="AD1248" s="31"/>
      <c r="AE1248" s="32">
        <f t="shared" si="350"/>
        <v>0</v>
      </c>
      <c r="AF1248" s="10"/>
      <c r="AG1248" s="10"/>
      <c r="AH1248" s="10"/>
      <c r="AI1248" s="12">
        <f t="shared" si="351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31"/>
      <c r="D1249" s="32"/>
      <c r="E1249" s="32"/>
      <c r="F1249" s="32"/>
      <c r="G1249" s="32">
        <f t="shared" si="346"/>
        <v>0</v>
      </c>
      <c r="H1249" s="10"/>
      <c r="I1249" s="10"/>
      <c r="J1249" s="10"/>
      <c r="K1249" s="12">
        <f t="shared" si="347"/>
        <v>0</v>
      </c>
      <c r="M1249" s="10">
        <v>28</v>
      </c>
      <c r="N1249" s="30"/>
      <c r="O1249" s="31"/>
      <c r="P1249" s="47"/>
      <c r="Q1249" s="31"/>
      <c r="R1249" s="31"/>
      <c r="S1249" s="32">
        <f t="shared" si="348"/>
        <v>0</v>
      </c>
      <c r="T1249" s="10"/>
      <c r="U1249" s="10"/>
      <c r="V1249" s="10"/>
      <c r="W1249" s="12">
        <f t="shared" si="349"/>
        <v>0</v>
      </c>
      <c r="Y1249" s="10">
        <v>28</v>
      </c>
      <c r="Z1249" s="30"/>
      <c r="AA1249" s="31"/>
      <c r="AB1249" s="47"/>
      <c r="AC1249" s="31"/>
      <c r="AD1249" s="31"/>
      <c r="AE1249" s="32">
        <f t="shared" si="350"/>
        <v>0</v>
      </c>
      <c r="AF1249" s="10"/>
      <c r="AG1249" s="10"/>
      <c r="AH1249" s="10"/>
      <c r="AI1249" s="12">
        <f t="shared" si="351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31"/>
      <c r="D1250" s="32"/>
      <c r="E1250" s="32"/>
      <c r="F1250" s="32"/>
      <c r="G1250" s="32">
        <f t="shared" si="346"/>
        <v>0</v>
      </c>
      <c r="H1250" s="10"/>
      <c r="I1250" s="10"/>
      <c r="J1250" s="10"/>
      <c r="K1250" s="12">
        <f t="shared" si="347"/>
        <v>0</v>
      </c>
      <c r="M1250" s="10">
        <v>29</v>
      </c>
      <c r="N1250" s="30"/>
      <c r="P1250" s="47"/>
      <c r="Q1250" s="31"/>
      <c r="R1250" s="31"/>
      <c r="S1250" s="32">
        <f t="shared" si="348"/>
        <v>0</v>
      </c>
      <c r="T1250" s="10"/>
      <c r="U1250" s="10"/>
      <c r="V1250" s="10"/>
      <c r="W1250" s="12">
        <f t="shared" si="349"/>
        <v>0</v>
      </c>
      <c r="Y1250" s="10">
        <v>29</v>
      </c>
      <c r="Z1250" s="30"/>
      <c r="AA1250" s="31"/>
      <c r="AB1250" s="47"/>
      <c r="AC1250" s="31"/>
      <c r="AD1250" s="31"/>
      <c r="AE1250" s="32">
        <f t="shared" si="350"/>
        <v>0</v>
      </c>
      <c r="AF1250" s="10"/>
      <c r="AG1250" s="10"/>
      <c r="AH1250" s="10"/>
      <c r="AI1250" s="12">
        <f t="shared" si="351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57"/>
      <c r="D1251" s="32"/>
      <c r="E1251" s="32"/>
      <c r="F1251" s="32"/>
      <c r="G1251" s="32">
        <f t="shared" si="346"/>
        <v>0</v>
      </c>
      <c r="H1251" s="10"/>
      <c r="I1251" s="10"/>
      <c r="J1251" s="10"/>
      <c r="K1251" s="12">
        <f t="shared" si="347"/>
        <v>0</v>
      </c>
      <c r="M1251" s="10">
        <v>30</v>
      </c>
      <c r="N1251" s="30"/>
      <c r="O1251" s="31"/>
      <c r="P1251" s="47"/>
      <c r="Q1251" s="31"/>
      <c r="R1251" s="31"/>
      <c r="S1251" s="32">
        <f t="shared" si="348"/>
        <v>0</v>
      </c>
      <c r="T1251" s="10"/>
      <c r="U1251" s="10"/>
      <c r="V1251" s="10"/>
      <c r="W1251" s="12">
        <f t="shared" si="349"/>
        <v>0</v>
      </c>
      <c r="Y1251" s="10">
        <v>30</v>
      </c>
      <c r="Z1251" s="30"/>
      <c r="AA1251" s="31"/>
      <c r="AB1251" s="47"/>
      <c r="AC1251" s="31"/>
      <c r="AD1251" s="31"/>
      <c r="AE1251" s="32">
        <f t="shared" si="350"/>
        <v>0</v>
      </c>
      <c r="AF1251" s="10"/>
      <c r="AG1251" s="10"/>
      <c r="AH1251" s="10"/>
      <c r="AI1251" s="12">
        <f t="shared" si="351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87"/>
      <c r="D1252" s="32"/>
      <c r="E1252" s="32"/>
      <c r="F1252" s="32"/>
      <c r="G1252" s="32">
        <f t="shared" si="346"/>
        <v>0</v>
      </c>
      <c r="H1252" s="10"/>
      <c r="I1252" s="10"/>
      <c r="J1252" s="10"/>
      <c r="K1252" s="12">
        <f t="shared" si="347"/>
        <v>0</v>
      </c>
      <c r="M1252" s="10">
        <v>31</v>
      </c>
      <c r="N1252" s="30"/>
      <c r="P1252" s="47"/>
      <c r="Q1252" s="31"/>
      <c r="R1252" s="31"/>
      <c r="S1252" s="32">
        <f t="shared" si="348"/>
        <v>0</v>
      </c>
      <c r="T1252" s="10"/>
      <c r="U1252" s="10"/>
      <c r="V1252" s="10"/>
      <c r="W1252" s="12">
        <f t="shared" si="349"/>
        <v>0</v>
      </c>
      <c r="Y1252" s="10">
        <v>31</v>
      </c>
      <c r="Z1252" s="30"/>
      <c r="AA1252" s="31"/>
      <c r="AB1252" s="47"/>
      <c r="AC1252" s="31"/>
      <c r="AD1252" s="31"/>
      <c r="AE1252" s="32">
        <f t="shared" si="350"/>
        <v>0</v>
      </c>
      <c r="AF1252" s="10"/>
      <c r="AG1252" s="10"/>
      <c r="AH1252" s="10"/>
      <c r="AI1252" s="12">
        <f t="shared" si="351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57"/>
      <c r="D1253" s="32"/>
      <c r="E1253" s="32"/>
      <c r="F1253" s="32"/>
      <c r="G1253" s="32">
        <f t="shared" si="346"/>
        <v>0</v>
      </c>
      <c r="H1253" s="10"/>
      <c r="I1253" s="10"/>
      <c r="J1253" s="10"/>
      <c r="K1253" s="12">
        <f t="shared" si="347"/>
        <v>0</v>
      </c>
      <c r="M1253" s="10">
        <v>32</v>
      </c>
      <c r="N1253" s="30"/>
      <c r="O1253" s="31"/>
      <c r="P1253" s="47"/>
      <c r="Q1253" s="31"/>
      <c r="R1253" s="31"/>
      <c r="S1253" s="32">
        <f t="shared" si="348"/>
        <v>0</v>
      </c>
      <c r="T1253" s="10"/>
      <c r="U1253" s="10"/>
      <c r="V1253" s="10"/>
      <c r="W1253" s="12">
        <f t="shared" si="349"/>
        <v>0</v>
      </c>
      <c r="Y1253" s="10">
        <v>32</v>
      </c>
      <c r="Z1253" s="30"/>
      <c r="AA1253" s="31"/>
      <c r="AB1253" s="47"/>
      <c r="AC1253" s="31"/>
      <c r="AD1253" s="31"/>
      <c r="AE1253" s="32">
        <f t="shared" si="350"/>
        <v>0</v>
      </c>
      <c r="AF1253" s="10"/>
      <c r="AG1253" s="10"/>
      <c r="AH1253" s="10"/>
      <c r="AI1253" s="12">
        <f t="shared" si="351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87"/>
      <c r="D1254" s="32"/>
      <c r="E1254" s="32"/>
      <c r="F1254" s="32"/>
      <c r="G1254" s="32">
        <f t="shared" si="346"/>
        <v>0</v>
      </c>
      <c r="H1254" s="10"/>
      <c r="I1254" s="10"/>
      <c r="J1254" s="10"/>
      <c r="K1254" s="12">
        <f t="shared" si="347"/>
        <v>0</v>
      </c>
      <c r="M1254" s="10">
        <v>33</v>
      </c>
      <c r="N1254" s="30"/>
      <c r="O1254" s="31"/>
      <c r="P1254" s="47"/>
      <c r="Q1254" s="31"/>
      <c r="R1254" s="31"/>
      <c r="S1254" s="32">
        <f t="shared" si="348"/>
        <v>0</v>
      </c>
      <c r="T1254" s="10"/>
      <c r="U1254" s="10"/>
      <c r="V1254" s="10"/>
      <c r="W1254" s="12">
        <f t="shared" si="349"/>
        <v>0</v>
      </c>
      <c r="Y1254" s="10">
        <v>33</v>
      </c>
      <c r="Z1254" s="30"/>
      <c r="AA1254" s="31"/>
      <c r="AB1254" s="47"/>
      <c r="AC1254" s="31"/>
      <c r="AD1254" s="31"/>
      <c r="AE1254" s="32">
        <f t="shared" si="350"/>
        <v>0</v>
      </c>
      <c r="AF1254" s="10"/>
      <c r="AG1254" s="10"/>
      <c r="AH1254" s="10"/>
      <c r="AI1254" s="12">
        <f t="shared" si="351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/>
      <c r="B1255" s="30"/>
      <c r="C1255" s="87"/>
      <c r="D1255" s="32"/>
      <c r="E1255" s="32"/>
      <c r="F1255" s="32"/>
      <c r="G1255" s="32">
        <f t="shared" si="346"/>
        <v>0</v>
      </c>
      <c r="H1255" s="10"/>
      <c r="I1255" s="10"/>
      <c r="J1255" s="10"/>
      <c r="K1255" s="12">
        <f t="shared" si="347"/>
        <v>0</v>
      </c>
      <c r="M1255" s="10">
        <v>34</v>
      </c>
      <c r="N1255" s="30"/>
      <c r="O1255" s="31"/>
      <c r="P1255" s="47"/>
      <c r="Q1255" s="31"/>
      <c r="R1255" s="31"/>
      <c r="S1255" s="32">
        <f t="shared" si="348"/>
        <v>0</v>
      </c>
      <c r="T1255" s="10"/>
      <c r="U1255" s="10"/>
      <c r="V1255" s="10"/>
      <c r="W1255" s="12">
        <f t="shared" si="349"/>
        <v>0</v>
      </c>
      <c r="Y1255" s="10">
        <v>34</v>
      </c>
      <c r="Z1255" s="30"/>
      <c r="AA1255" s="31"/>
      <c r="AB1255" s="47"/>
      <c r="AC1255" s="31"/>
      <c r="AD1255" s="31"/>
      <c r="AE1255" s="32">
        <f t="shared" ref="AE1255:AE1260" si="355">SUM(AB1255:AC1255)</f>
        <v>0</v>
      </c>
      <c r="AF1255" s="10"/>
      <c r="AG1255" s="10"/>
      <c r="AH1255" s="10"/>
      <c r="AI1255" s="12">
        <f t="shared" si="351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87"/>
      <c r="D1256" s="32"/>
      <c r="E1256" s="32"/>
      <c r="F1256" s="32"/>
      <c r="G1256" s="32"/>
      <c r="H1256" s="10"/>
      <c r="I1256" s="10"/>
      <c r="J1256" s="10"/>
      <c r="K1256" s="12"/>
      <c r="M1256" s="10">
        <v>35</v>
      </c>
      <c r="N1256" s="30"/>
      <c r="O1256" s="31"/>
      <c r="P1256" s="47"/>
      <c r="Q1256" s="31"/>
      <c r="R1256" s="31"/>
      <c r="S1256" s="32">
        <f t="shared" si="348"/>
        <v>0</v>
      </c>
      <c r="T1256" s="10"/>
      <c r="U1256" s="10"/>
      <c r="V1256" s="10"/>
      <c r="W1256" s="12">
        <f t="shared" si="349"/>
        <v>0</v>
      </c>
      <c r="Y1256" s="10">
        <v>35</v>
      </c>
      <c r="Z1256" s="30"/>
      <c r="AA1256" s="31"/>
      <c r="AB1256" s="47"/>
      <c r="AC1256" s="31"/>
      <c r="AD1256" s="31"/>
      <c r="AE1256" s="32">
        <f t="shared" si="355"/>
        <v>0</v>
      </c>
      <c r="AF1256" s="10"/>
      <c r="AG1256" s="10"/>
      <c r="AH1256" s="10"/>
      <c r="AI1256" s="12">
        <f t="shared" si="351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87"/>
      <c r="D1257" s="32"/>
      <c r="E1257" s="32"/>
      <c r="F1257" s="32"/>
      <c r="G1257" s="32"/>
      <c r="H1257" s="10"/>
      <c r="I1257" s="10"/>
      <c r="J1257" s="10"/>
      <c r="K1257" s="12"/>
      <c r="M1257" s="10">
        <v>36</v>
      </c>
      <c r="N1257" s="30"/>
      <c r="O1257" s="31"/>
      <c r="P1257" s="47"/>
      <c r="Q1257" s="31"/>
      <c r="R1257" s="31"/>
      <c r="S1257" s="32">
        <f t="shared" si="348"/>
        <v>0</v>
      </c>
      <c r="T1257" s="10"/>
      <c r="U1257" s="10"/>
      <c r="V1257" s="10"/>
      <c r="W1257" s="12">
        <f t="shared" si="349"/>
        <v>0</v>
      </c>
      <c r="Y1257" s="10">
        <v>36</v>
      </c>
      <c r="Z1257" s="30"/>
      <c r="AA1257" s="31"/>
      <c r="AB1257" s="47"/>
      <c r="AC1257" s="31"/>
      <c r="AD1257" s="31"/>
      <c r="AE1257" s="32">
        <f t="shared" si="355"/>
        <v>0</v>
      </c>
      <c r="AF1257" s="10"/>
      <c r="AG1257" s="10"/>
      <c r="AH1257" s="10"/>
      <c r="AI1257" s="12">
        <f t="shared" si="351"/>
        <v>0</v>
      </c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31"/>
      <c r="D1258" s="32"/>
      <c r="E1258" s="32"/>
      <c r="F1258" s="32"/>
      <c r="G1258" s="32"/>
      <c r="H1258" s="10"/>
      <c r="I1258" s="10"/>
      <c r="J1258" s="10"/>
      <c r="K1258" s="12"/>
      <c r="M1258" s="10">
        <v>37</v>
      </c>
      <c r="N1258" s="30"/>
      <c r="P1258" s="47"/>
      <c r="Q1258" s="31"/>
      <c r="R1258" s="31"/>
      <c r="S1258" s="32">
        <f t="shared" si="348"/>
        <v>0</v>
      </c>
      <c r="T1258" s="10"/>
      <c r="U1258" s="10"/>
      <c r="V1258" s="10"/>
      <c r="W1258" s="12">
        <f t="shared" si="349"/>
        <v>0</v>
      </c>
      <c r="Y1258" s="10">
        <v>37</v>
      </c>
      <c r="Z1258" s="30"/>
      <c r="AA1258" s="31"/>
      <c r="AB1258" s="47"/>
      <c r="AC1258" s="31"/>
      <c r="AD1258" s="31"/>
      <c r="AE1258" s="32">
        <f t="shared" si="355"/>
        <v>0</v>
      </c>
      <c r="AF1258" s="10"/>
      <c r="AG1258" s="10"/>
      <c r="AH1258" s="10"/>
      <c r="AI1258" s="12">
        <f t="shared" si="351"/>
        <v>0</v>
      </c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38</v>
      </c>
      <c r="N1259" s="30"/>
      <c r="O1259" s="31"/>
      <c r="P1259" s="47"/>
      <c r="Q1259" s="31"/>
      <c r="R1259" s="31"/>
      <c r="S1259" s="32">
        <f t="shared" si="348"/>
        <v>0</v>
      </c>
      <c r="T1259" s="10"/>
      <c r="U1259" s="10"/>
      <c r="V1259" s="10"/>
      <c r="W1259" s="12">
        <f t="shared" si="349"/>
        <v>0</v>
      </c>
      <c r="Y1259" s="10">
        <v>38</v>
      </c>
      <c r="Z1259" s="30"/>
      <c r="AA1259" s="31"/>
      <c r="AB1259" s="47"/>
      <c r="AC1259" s="31"/>
      <c r="AD1259" s="31"/>
      <c r="AE1259" s="32">
        <f t="shared" si="355"/>
        <v>0</v>
      </c>
      <c r="AF1259" s="10"/>
      <c r="AG1259" s="10"/>
      <c r="AH1259" s="10"/>
      <c r="AI1259" s="12">
        <f t="shared" si="351"/>
        <v>0</v>
      </c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39</v>
      </c>
      <c r="N1260" s="30"/>
      <c r="O1260" s="31"/>
      <c r="P1260" s="47"/>
      <c r="Q1260" s="31"/>
      <c r="R1260" s="31"/>
      <c r="S1260" s="32">
        <f t="shared" si="348"/>
        <v>0</v>
      </c>
      <c r="T1260" s="10"/>
      <c r="U1260" s="10"/>
      <c r="V1260" s="10"/>
      <c r="W1260" s="12">
        <f t="shared" si="349"/>
        <v>0</v>
      </c>
      <c r="Y1260" s="10">
        <v>39</v>
      </c>
      <c r="Z1260" s="30"/>
      <c r="AA1260" s="31"/>
      <c r="AB1260" s="47"/>
      <c r="AC1260" s="31"/>
      <c r="AD1260" s="31"/>
      <c r="AE1260" s="32">
        <f t="shared" si="355"/>
        <v>0</v>
      </c>
      <c r="AF1260" s="10"/>
      <c r="AG1260" s="10"/>
      <c r="AH1260" s="10"/>
      <c r="AI1260" s="12">
        <f t="shared" si="351"/>
        <v>0</v>
      </c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349"/>
        <v>0</v>
      </c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351"/>
        <v>0</v>
      </c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356">SUM(D1262:E1262)</f>
        <v>0</v>
      </c>
      <c r="H1262" s="10"/>
      <c r="I1262" s="10"/>
      <c r="J1262" s="10"/>
      <c r="K1262" s="12">
        <f t="shared" ref="K1262" si="357">SUM(G1262:J1262)</f>
        <v>0</v>
      </c>
      <c r="M1262" s="10"/>
      <c r="N1262" s="30"/>
      <c r="O1262" s="31"/>
      <c r="P1262" s="47"/>
      <c r="Q1262" s="31"/>
      <c r="R1262" s="31"/>
      <c r="S1262" s="32">
        <f t="shared" ref="S1262" si="358">SUM(P1262:Q1262)</f>
        <v>0</v>
      </c>
      <c r="T1262" s="10"/>
      <c r="U1262" s="10"/>
      <c r="V1262" s="10"/>
      <c r="W1262" s="12">
        <f t="shared" si="349"/>
        <v>0</v>
      </c>
      <c r="Y1262" s="10"/>
      <c r="Z1262" s="30"/>
      <c r="AA1262" s="31"/>
      <c r="AB1262" s="47"/>
      <c r="AC1262" s="31"/>
      <c r="AD1262" s="31"/>
      <c r="AE1262" s="32">
        <f t="shared" ref="AE1262" si="359">SUM(AB1262:AC1262)</f>
        <v>0</v>
      </c>
      <c r="AF1262" s="10"/>
      <c r="AG1262" s="10"/>
      <c r="AH1262" s="10"/>
      <c r="AI1262" s="12">
        <f t="shared" si="351"/>
        <v>0</v>
      </c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349"/>
        <v>0</v>
      </c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351"/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135519</v>
      </c>
      <c r="E1265" s="38">
        <f t="shared" ref="E1265:F1265" si="360">SUM(E1222:E1262)</f>
        <v>0</v>
      </c>
      <c r="F1265" s="38">
        <f t="shared" si="360"/>
        <v>0</v>
      </c>
      <c r="G1265" s="38">
        <f>SUM(G1222:G1264)</f>
        <v>135519</v>
      </c>
      <c r="H1265" s="4"/>
      <c r="I1265" s="39">
        <f>SUM(I1222:I1264)</f>
        <v>2959.5</v>
      </c>
      <c r="J1265" s="39">
        <f>SUM(J1222:J1264)</f>
        <v>-222</v>
      </c>
      <c r="K1265" s="40">
        <f>SUM(K1222:K1264)</f>
        <v>138256.5</v>
      </c>
      <c r="N1265" s="57"/>
      <c r="O1265" s="57"/>
      <c r="P1265" s="38">
        <f>SUM(P1222:P1264)</f>
        <v>150533</v>
      </c>
      <c r="Q1265" s="38">
        <f>SUM(Q1222:Q1246)</f>
        <v>-720</v>
      </c>
      <c r="R1265" s="38">
        <f>SUM(R1222:R1246)</f>
        <v>0</v>
      </c>
      <c r="S1265" s="38">
        <f>SUM(S1222:S1264)</f>
        <v>149813</v>
      </c>
      <c r="T1265" s="4"/>
      <c r="U1265" s="41">
        <f>SUM(U1222:U1264)</f>
        <v>60</v>
      </c>
      <c r="V1265" s="41">
        <f>SUM(V1222:V1246)</f>
        <v>0</v>
      </c>
      <c r="W1265" s="42">
        <f>SUM(W1222:W1264)</f>
        <v>149873</v>
      </c>
      <c r="Z1265" s="57"/>
      <c r="AA1265" s="57"/>
      <c r="AB1265" s="38">
        <f>SUM(AB1222:AB1264)</f>
        <v>195872.5</v>
      </c>
      <c r="AC1265" s="38">
        <f>SUM(AC1222:AC1246)</f>
        <v>-1710</v>
      </c>
      <c r="AD1265" s="38">
        <f>SUM(AD1222:AD1246)</f>
        <v>0</v>
      </c>
      <c r="AE1265" s="38">
        <f>SUM(AE1222:AE1264)</f>
        <v>194162.5</v>
      </c>
      <c r="AF1265" s="4"/>
      <c r="AG1265" s="41">
        <f>SUM(AG1222:AG1264)</f>
        <v>0</v>
      </c>
      <c r="AH1265" s="41">
        <f>SUM(AH1222:AH1246)</f>
        <v>-5217</v>
      </c>
      <c r="AI1265" s="42">
        <f>SUM(AI1222:AI1264)</f>
        <v>188945.5</v>
      </c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t="s">
        <v>0</v>
      </c>
      <c r="B1267" s="57"/>
      <c r="C1267" s="57"/>
      <c r="D1267" s="57"/>
      <c r="E1267" s="57"/>
      <c r="G1267" s="57"/>
      <c r="M1267" t="s">
        <v>0</v>
      </c>
      <c r="N1267" s="57"/>
      <c r="O1267" s="57"/>
      <c r="P1267" s="57"/>
      <c r="Q1267" s="57"/>
      <c r="R1267" s="57"/>
      <c r="S1267" s="57"/>
      <c r="Y1267" t="s">
        <v>0</v>
      </c>
      <c r="Z1267" s="57"/>
      <c r="AA1267" s="57"/>
      <c r="AB1267" s="57"/>
      <c r="AC1267" s="57"/>
      <c r="AD1267" s="57"/>
      <c r="AE1267" s="57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t="s">
        <v>28</v>
      </c>
      <c r="B1268" s="57"/>
      <c r="C1268" s="57"/>
      <c r="D1268" s="57"/>
      <c r="E1268" s="57"/>
      <c r="G1268" s="57"/>
      <c r="M1268" t="s">
        <v>28</v>
      </c>
      <c r="N1268" s="57"/>
      <c r="O1268" s="57"/>
      <c r="P1268" s="57"/>
      <c r="Q1268" s="57"/>
      <c r="R1268" s="57"/>
      <c r="S1268" s="57"/>
      <c r="Y1268" t="s">
        <v>28</v>
      </c>
      <c r="Z1268" s="57"/>
      <c r="AA1268" s="57"/>
      <c r="AB1268" s="57"/>
      <c r="AC1268" s="57"/>
      <c r="AD1268" s="57"/>
      <c r="AE1268" s="57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B1269" s="57"/>
      <c r="C1269" s="57"/>
      <c r="D1269" s="57"/>
      <c r="E1269" s="57"/>
      <c r="G1269" s="57"/>
      <c r="N1269" s="57"/>
      <c r="O1269" s="57"/>
      <c r="P1269" s="57"/>
      <c r="Q1269" s="57"/>
      <c r="R1269" s="57"/>
      <c r="S1269" s="57"/>
      <c r="Z1269" s="57"/>
      <c r="AA1269" s="57"/>
      <c r="AB1269" s="57"/>
      <c r="AC1269" s="57"/>
      <c r="AD1269" s="57"/>
      <c r="AE1269" s="57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4" t="s">
        <v>14</v>
      </c>
      <c r="B1270" s="57"/>
      <c r="C1270" s="57"/>
      <c r="D1270" s="57"/>
      <c r="E1270" s="57"/>
      <c r="G1270" s="57"/>
      <c r="M1270" s="4" t="s">
        <v>14</v>
      </c>
      <c r="N1270" s="57"/>
      <c r="O1270" s="57"/>
      <c r="P1270" s="57"/>
      <c r="Q1270" s="57"/>
      <c r="R1270" s="57"/>
      <c r="S1270" s="57"/>
      <c r="Y1270" s="4" t="s">
        <v>14</v>
      </c>
      <c r="Z1270" s="57"/>
      <c r="AA1270" s="57"/>
      <c r="AB1270" s="57"/>
      <c r="AC1270" s="57"/>
      <c r="AD1270" s="57"/>
      <c r="AE1270" s="57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B1271" s="57"/>
      <c r="C1271" s="57"/>
      <c r="D1271" s="57"/>
      <c r="E1271" s="57"/>
      <c r="G1271" s="57"/>
      <c r="N1271" s="57"/>
      <c r="O1271" s="57"/>
      <c r="P1271" s="57"/>
      <c r="Q1271" s="57"/>
      <c r="R1271" s="57"/>
      <c r="S1271" s="57"/>
      <c r="Z1271" s="57"/>
      <c r="AA1271" s="57"/>
      <c r="AB1271" s="57"/>
      <c r="AC1271" s="57"/>
      <c r="AD1271" s="57"/>
      <c r="AE1271" s="57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ht="15.75" x14ac:dyDescent="0.25">
      <c r="A1272" t="s">
        <v>56</v>
      </c>
      <c r="B1272" s="57"/>
      <c r="C1272" s="57"/>
      <c r="D1272" s="57"/>
      <c r="E1272" s="57"/>
      <c r="G1272" s="57"/>
      <c r="I1272" s="57" t="s">
        <v>15</v>
      </c>
      <c r="J1272" s="19">
        <v>1</v>
      </c>
      <c r="M1272" t="s">
        <v>56</v>
      </c>
      <c r="N1272" s="57"/>
      <c r="O1272" s="57"/>
      <c r="P1272" s="57"/>
      <c r="Q1272" s="57"/>
      <c r="R1272" s="57"/>
      <c r="S1272" s="57"/>
      <c r="U1272" s="57" t="s">
        <v>15</v>
      </c>
      <c r="V1272" s="19">
        <v>2</v>
      </c>
      <c r="Y1272" t="s">
        <v>56</v>
      </c>
      <c r="Z1272" s="57"/>
      <c r="AA1272" s="57"/>
      <c r="AB1272" s="57"/>
      <c r="AC1272" s="57"/>
      <c r="AD1272" s="57"/>
      <c r="AE1272" s="57"/>
      <c r="AG1272" s="57" t="s">
        <v>15</v>
      </c>
      <c r="AH1272" s="20">
        <v>3</v>
      </c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21" t="s">
        <v>109</v>
      </c>
      <c r="B1273" s="20"/>
      <c r="C1273" s="57"/>
      <c r="D1273" s="57"/>
      <c r="E1273" s="57"/>
      <c r="G1273" s="57"/>
      <c r="I1273" s="22" t="s">
        <v>16</v>
      </c>
      <c r="J1273" s="23" t="s">
        <v>31</v>
      </c>
      <c r="K1273" s="24"/>
      <c r="M1273" s="21" t="s">
        <v>109</v>
      </c>
      <c r="N1273" s="20"/>
      <c r="O1273" s="57"/>
      <c r="P1273" s="57"/>
      <c r="Q1273" s="57"/>
      <c r="R1273" s="57"/>
      <c r="S1273" s="57"/>
      <c r="U1273" s="22" t="s">
        <v>16</v>
      </c>
      <c r="V1273" s="23" t="s">
        <v>98</v>
      </c>
      <c r="W1273" s="24"/>
      <c r="Y1273" s="21" t="s">
        <v>109</v>
      </c>
      <c r="Z1273" s="20"/>
      <c r="AA1273" s="57"/>
      <c r="AB1273" s="57"/>
      <c r="AC1273" s="57"/>
      <c r="AD1273" s="57"/>
      <c r="AE1273" s="57"/>
      <c r="AG1273" s="22" t="s">
        <v>16</v>
      </c>
      <c r="AH1273" s="23" t="s">
        <v>54</v>
      </c>
      <c r="AI1273" s="24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B1274" s="57"/>
      <c r="C1274" s="57"/>
      <c r="D1274" s="57"/>
      <c r="E1274" s="57"/>
      <c r="G1274" s="57"/>
      <c r="N1274" s="57"/>
      <c r="O1274" s="57"/>
      <c r="P1274" s="57"/>
      <c r="Q1274" s="57"/>
      <c r="R1274" s="57"/>
      <c r="S1274" s="57"/>
      <c r="Z1274" s="57"/>
      <c r="AA1274" s="57"/>
      <c r="AB1274" s="57"/>
      <c r="AC1274" s="57"/>
      <c r="AD1274" s="57"/>
      <c r="AE1274" s="57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B1275" s="25"/>
      <c r="C1275" s="26"/>
      <c r="D1275" s="126" t="s">
        <v>17</v>
      </c>
      <c r="E1275" s="126"/>
      <c r="F1275" s="115"/>
      <c r="G1275" s="27"/>
      <c r="I1275" s="122" t="s">
        <v>18</v>
      </c>
      <c r="J1275" s="123"/>
      <c r="K1275" s="124" t="s">
        <v>19</v>
      </c>
      <c r="N1275" s="25"/>
      <c r="O1275" s="26"/>
      <c r="P1275" s="126" t="s">
        <v>17</v>
      </c>
      <c r="Q1275" s="126"/>
      <c r="R1275" s="115"/>
      <c r="S1275" s="27"/>
      <c r="U1275" s="122" t="s">
        <v>18</v>
      </c>
      <c r="V1275" s="123"/>
      <c r="W1275" s="124" t="s">
        <v>19</v>
      </c>
      <c r="Z1275" s="25"/>
      <c r="AA1275" s="26"/>
      <c r="AB1275" s="126" t="s">
        <v>17</v>
      </c>
      <c r="AC1275" s="126"/>
      <c r="AD1275" s="115"/>
      <c r="AE1275" s="27"/>
      <c r="AG1275" s="122" t="s">
        <v>18</v>
      </c>
      <c r="AH1275" s="123"/>
      <c r="AI1275" s="124" t="s">
        <v>19</v>
      </c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ht="30" x14ac:dyDescent="0.25">
      <c r="B1276" s="28" t="s">
        <v>20</v>
      </c>
      <c r="C1276" s="28" t="s">
        <v>21</v>
      </c>
      <c r="D1276" s="78" t="s">
        <v>22</v>
      </c>
      <c r="E1276" s="77" t="s">
        <v>23</v>
      </c>
      <c r="F1276" s="79" t="s">
        <v>32</v>
      </c>
      <c r="G1276" s="79" t="s">
        <v>24</v>
      </c>
      <c r="I1276" s="29" t="s">
        <v>25</v>
      </c>
      <c r="J1276" s="29" t="s">
        <v>26</v>
      </c>
      <c r="K1276" s="125"/>
      <c r="N1276" s="28" t="s">
        <v>20</v>
      </c>
      <c r="O1276" s="28" t="s">
        <v>21</v>
      </c>
      <c r="P1276" s="78" t="s">
        <v>22</v>
      </c>
      <c r="Q1276" s="79" t="s">
        <v>23</v>
      </c>
      <c r="R1276" s="79" t="s">
        <v>32</v>
      </c>
      <c r="S1276" s="79" t="s">
        <v>24</v>
      </c>
      <c r="U1276" s="29" t="s">
        <v>25</v>
      </c>
      <c r="V1276" s="29" t="s">
        <v>26</v>
      </c>
      <c r="W1276" s="125"/>
      <c r="Z1276" s="28" t="s">
        <v>20</v>
      </c>
      <c r="AA1276" s="28" t="s">
        <v>21</v>
      </c>
      <c r="AB1276" s="78" t="s">
        <v>22</v>
      </c>
      <c r="AC1276" s="79" t="s">
        <v>23</v>
      </c>
      <c r="AD1276" s="79" t="s">
        <v>32</v>
      </c>
      <c r="AE1276" s="79" t="s">
        <v>24</v>
      </c>
      <c r="AG1276" s="29" t="s">
        <v>25</v>
      </c>
      <c r="AH1276" s="29" t="s">
        <v>26</v>
      </c>
      <c r="AI1276" s="125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10">
        <v>1</v>
      </c>
      <c r="B1277" s="30" t="s">
        <v>110</v>
      </c>
      <c r="C1277" s="87">
        <v>8784</v>
      </c>
      <c r="D1277" s="32">
        <f>229*10</f>
        <v>2290</v>
      </c>
      <c r="E1277" s="32"/>
      <c r="F1277" s="32"/>
      <c r="G1277" s="32">
        <f t="shared" ref="G1277:G1310" si="361">SUM(D1277:E1277)</f>
        <v>2290</v>
      </c>
      <c r="H1277" s="12"/>
      <c r="I1277" s="12"/>
      <c r="J1277" s="12"/>
      <c r="K1277" s="12">
        <f t="shared" ref="K1277:K1310" si="362">SUM(G1277:J1277)</f>
        <v>2290</v>
      </c>
      <c r="M1277" s="10">
        <v>1</v>
      </c>
      <c r="N1277" s="30" t="s">
        <v>110</v>
      </c>
      <c r="O1277" s="31">
        <v>8801</v>
      </c>
      <c r="P1277" s="32">
        <f>650*6+9.5*6</f>
        <v>3957</v>
      </c>
      <c r="Q1277" s="32"/>
      <c r="R1277" s="32"/>
      <c r="S1277" s="32">
        <f>SUM(P1277:Q1277)</f>
        <v>3957</v>
      </c>
      <c r="T1277" s="12"/>
      <c r="U1277" s="12"/>
      <c r="V1277" s="12">
        <v>-333</v>
      </c>
      <c r="W1277" s="12">
        <f>SUM(S1277:V1277)</f>
        <v>3624</v>
      </c>
      <c r="Y1277" s="10">
        <v>1</v>
      </c>
      <c r="Z1277" s="30" t="s">
        <v>110</v>
      </c>
      <c r="AA1277" s="31">
        <v>8684</v>
      </c>
      <c r="AB1277" s="32">
        <f>650*15+670*2+622*5+229</f>
        <v>14429</v>
      </c>
      <c r="AC1277" s="32"/>
      <c r="AD1277" s="32"/>
      <c r="AE1277" s="32">
        <f>SUM(AB1277:AC1277)</f>
        <v>14429</v>
      </c>
      <c r="AF1277" s="12"/>
      <c r="AG1277" s="12">
        <f>111*6+4.5*12</f>
        <v>720</v>
      </c>
      <c r="AH1277" s="12"/>
      <c r="AI1277" s="12">
        <f>SUM(AE1277:AH1277)</f>
        <v>15149</v>
      </c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10">
        <v>2</v>
      </c>
      <c r="B1278" s="30" t="s">
        <v>110</v>
      </c>
      <c r="C1278" s="31">
        <f>C1277+1</f>
        <v>8785</v>
      </c>
      <c r="D1278" s="32">
        <f>650*108+622*30</f>
        <v>88860</v>
      </c>
      <c r="E1278" s="32"/>
      <c r="F1278" s="32"/>
      <c r="G1278" s="32">
        <f t="shared" si="361"/>
        <v>88860</v>
      </c>
      <c r="H1278" s="12"/>
      <c r="I1278" s="12">
        <v>108</v>
      </c>
      <c r="J1278" s="12"/>
      <c r="K1278" s="12">
        <f t="shared" si="362"/>
        <v>88968</v>
      </c>
      <c r="M1278" s="10">
        <v>2</v>
      </c>
      <c r="N1278" s="30" t="s">
        <v>110</v>
      </c>
      <c r="O1278" s="31">
        <f>O1277+1</f>
        <v>8802</v>
      </c>
      <c r="P1278" s="32">
        <f>650*200+650+1175+229*8</f>
        <v>133657</v>
      </c>
      <c r="Q1278" s="32">
        <v>-1200</v>
      </c>
      <c r="R1278" s="32"/>
      <c r="S1278" s="32">
        <f t="shared" ref="S1278:S1315" si="363">SUM(P1278:Q1278)</f>
        <v>132457</v>
      </c>
      <c r="T1278" s="12"/>
      <c r="U1278" s="12"/>
      <c r="V1278" s="12">
        <f>-111*108</f>
        <v>-11988</v>
      </c>
      <c r="W1278" s="12">
        <f t="shared" ref="W1278:W1318" si="364">SUM(S1278:V1278)</f>
        <v>120469</v>
      </c>
      <c r="Y1278" s="10">
        <v>2</v>
      </c>
      <c r="Z1278" s="30" t="s">
        <v>110</v>
      </c>
      <c r="AA1278" s="31">
        <f>AA1277+1</f>
        <v>8685</v>
      </c>
      <c r="AB1278" s="32">
        <f>650*30+622*10+229</f>
        <v>25949</v>
      </c>
      <c r="AC1278" s="32"/>
      <c r="AD1278" s="32"/>
      <c r="AE1278" s="32">
        <f t="shared" ref="AE1278:AE1309" si="365">SUM(AB1278:AC1278)</f>
        <v>25949</v>
      </c>
      <c r="AF1278" s="12"/>
      <c r="AG1278" s="12"/>
      <c r="AH1278" s="12"/>
      <c r="AI1278" s="12">
        <f t="shared" ref="AI1278:AI1318" si="366">SUM(AE1278:AH1278)</f>
        <v>25949</v>
      </c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10">
        <v>3</v>
      </c>
      <c r="B1279" s="30" t="s">
        <v>110</v>
      </c>
      <c r="C1279" s="31">
        <f t="shared" ref="C1279:C1282" si="367">C1278+1</f>
        <v>8786</v>
      </c>
      <c r="D1279" s="33">
        <f>650*20+670*3+872+650</f>
        <v>16532</v>
      </c>
      <c r="E1279" s="33"/>
      <c r="F1279" s="33"/>
      <c r="G1279" s="33">
        <f t="shared" si="361"/>
        <v>16532</v>
      </c>
      <c r="H1279" s="34"/>
      <c r="I1279" s="34">
        <f>111*2+4.5*32</f>
        <v>366</v>
      </c>
      <c r="J1279" s="34"/>
      <c r="K1279" s="34">
        <f t="shared" si="362"/>
        <v>16898</v>
      </c>
      <c r="M1279" s="10">
        <v>3</v>
      </c>
      <c r="N1279" s="30" t="s">
        <v>110</v>
      </c>
      <c r="O1279" s="31">
        <f t="shared" ref="O1279" si="368">O1278+1</f>
        <v>8803</v>
      </c>
      <c r="P1279" s="32">
        <f>650+9.5</f>
        <v>659.5</v>
      </c>
      <c r="Q1279" s="32"/>
      <c r="R1279" s="32"/>
      <c r="S1279" s="32">
        <f t="shared" si="363"/>
        <v>659.5</v>
      </c>
      <c r="T1279" s="12"/>
      <c r="U1279" s="12"/>
      <c r="V1279" s="12"/>
      <c r="W1279" s="12">
        <f t="shared" si="364"/>
        <v>659.5</v>
      </c>
      <c r="Y1279" s="10">
        <v>3</v>
      </c>
      <c r="Z1279" s="30" t="s">
        <v>110</v>
      </c>
      <c r="AA1279" s="31">
        <f t="shared" ref="AA1279:AA1282" si="369">AA1278+1</f>
        <v>8686</v>
      </c>
      <c r="AB1279" s="33">
        <f>650*125+622*25+229*6</f>
        <v>98174</v>
      </c>
      <c r="AC1279" s="33">
        <v>-900</v>
      </c>
      <c r="AD1279" s="32"/>
      <c r="AE1279" s="32">
        <f t="shared" si="365"/>
        <v>97274</v>
      </c>
      <c r="AF1279" s="12"/>
      <c r="AG1279" s="12">
        <v>49.5</v>
      </c>
      <c r="AH1279" s="12"/>
      <c r="AI1279" s="12">
        <f t="shared" si="366"/>
        <v>97323.5</v>
      </c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10">
        <v>4</v>
      </c>
      <c r="B1280" s="30" t="s">
        <v>110</v>
      </c>
      <c r="C1280" s="31">
        <f t="shared" si="367"/>
        <v>8787</v>
      </c>
      <c r="D1280" s="32">
        <f>650*15</f>
        <v>9750</v>
      </c>
      <c r="E1280" s="32"/>
      <c r="F1280" s="32"/>
      <c r="G1280" s="32">
        <f t="shared" si="361"/>
        <v>9750</v>
      </c>
      <c r="H1280" s="12"/>
      <c r="I1280" s="12"/>
      <c r="J1280" s="12"/>
      <c r="K1280" s="12">
        <f t="shared" si="362"/>
        <v>9750</v>
      </c>
      <c r="M1280" s="10">
        <v>4</v>
      </c>
      <c r="N1280" s="30"/>
      <c r="O1280" s="11" t="s">
        <v>27</v>
      </c>
      <c r="P1280" s="32"/>
      <c r="Q1280" s="32"/>
      <c r="R1280" s="32"/>
      <c r="S1280" s="32">
        <f t="shared" si="363"/>
        <v>0</v>
      </c>
      <c r="T1280" s="12"/>
      <c r="U1280" s="12"/>
      <c r="V1280" s="12"/>
      <c r="W1280" s="12">
        <f t="shared" si="364"/>
        <v>0</v>
      </c>
      <c r="Y1280" s="10">
        <v>4</v>
      </c>
      <c r="Z1280" s="30" t="s">
        <v>110</v>
      </c>
      <c r="AA1280" s="31">
        <f t="shared" si="369"/>
        <v>8687</v>
      </c>
      <c r="AB1280" s="32">
        <f>650*57+670*3+229*2</f>
        <v>39518</v>
      </c>
      <c r="AC1280" s="32">
        <v>-360</v>
      </c>
      <c r="AD1280" s="32"/>
      <c r="AE1280" s="32">
        <f t="shared" si="365"/>
        <v>39158</v>
      </c>
      <c r="AF1280" s="12"/>
      <c r="AH1280" s="12">
        <v>-1110</v>
      </c>
      <c r="AI1280" s="12">
        <f t="shared" si="366"/>
        <v>38048</v>
      </c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10">
        <v>5</v>
      </c>
      <c r="B1281" s="30" t="s">
        <v>110</v>
      </c>
      <c r="C1281" s="31">
        <f t="shared" si="367"/>
        <v>8788</v>
      </c>
      <c r="D1281" s="32">
        <f>650*112+622*6</f>
        <v>76532</v>
      </c>
      <c r="E1281" s="32"/>
      <c r="F1281" s="32"/>
      <c r="G1281" s="32">
        <f t="shared" si="361"/>
        <v>76532</v>
      </c>
      <c r="H1281" s="12"/>
      <c r="I1281" s="12"/>
      <c r="J1281" s="12"/>
      <c r="K1281" s="12">
        <f t="shared" si="362"/>
        <v>76532</v>
      </c>
      <c r="M1281" s="10">
        <v>5</v>
      </c>
      <c r="N1281" s="30"/>
      <c r="O1281" s="31"/>
      <c r="P1281" s="32"/>
      <c r="Q1281" s="32"/>
      <c r="R1281" s="32"/>
      <c r="S1281" s="32">
        <f t="shared" si="363"/>
        <v>0</v>
      </c>
      <c r="T1281" s="12"/>
      <c r="U1281" s="12"/>
      <c r="V1281" s="12"/>
      <c r="W1281" s="12">
        <f t="shared" si="364"/>
        <v>0</v>
      </c>
      <c r="Y1281" s="10">
        <v>5</v>
      </c>
      <c r="Z1281" s="30" t="s">
        <v>110</v>
      </c>
      <c r="AA1281" s="31">
        <f t="shared" si="369"/>
        <v>8688</v>
      </c>
      <c r="AB1281" s="32">
        <f>650+670</f>
        <v>1320</v>
      </c>
      <c r="AC1281" s="32"/>
      <c r="AD1281" s="32"/>
      <c r="AE1281" s="32">
        <f t="shared" si="365"/>
        <v>1320</v>
      </c>
      <c r="AF1281" s="12"/>
      <c r="AG1281" s="12"/>
      <c r="AH1281" s="12"/>
      <c r="AI1281" s="12">
        <f t="shared" si="366"/>
        <v>1320</v>
      </c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10">
        <v>6</v>
      </c>
      <c r="B1282" s="30" t="s">
        <v>110</v>
      </c>
      <c r="C1282" s="31">
        <f t="shared" si="367"/>
        <v>8789</v>
      </c>
      <c r="D1282" s="32">
        <f>650*18+622*4</f>
        <v>14188</v>
      </c>
      <c r="E1282" s="32"/>
      <c r="F1282" s="32"/>
      <c r="G1282" s="32">
        <f t="shared" si="361"/>
        <v>14188</v>
      </c>
      <c r="H1282" s="12"/>
      <c r="I1282" s="12"/>
      <c r="J1282" s="12">
        <v>-222</v>
      </c>
      <c r="K1282" s="12">
        <f t="shared" si="362"/>
        <v>13966</v>
      </c>
      <c r="M1282" s="10">
        <v>6</v>
      </c>
      <c r="N1282" s="30"/>
      <c r="O1282" s="31"/>
      <c r="P1282" s="32"/>
      <c r="Q1282" s="32"/>
      <c r="R1282" s="32"/>
      <c r="S1282" s="32">
        <f t="shared" si="363"/>
        <v>0</v>
      </c>
      <c r="T1282" s="12"/>
      <c r="U1282" s="12"/>
      <c r="V1282" s="10"/>
      <c r="W1282" s="12">
        <f t="shared" si="364"/>
        <v>0</v>
      </c>
      <c r="Y1282" s="10">
        <v>6</v>
      </c>
      <c r="Z1282" s="30" t="s">
        <v>110</v>
      </c>
      <c r="AA1282" s="31">
        <f t="shared" si="369"/>
        <v>8689</v>
      </c>
      <c r="AB1282" s="32">
        <f>1744</f>
        <v>1744</v>
      </c>
      <c r="AC1282" s="32"/>
      <c r="AD1282" s="32"/>
      <c r="AE1282" s="32">
        <f t="shared" si="365"/>
        <v>1744</v>
      </c>
      <c r="AF1282" s="12"/>
      <c r="AG1282" s="12"/>
      <c r="AH1282" s="10"/>
      <c r="AI1282" s="12">
        <f t="shared" si="366"/>
        <v>1744</v>
      </c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10">
        <v>7</v>
      </c>
      <c r="B1283" s="30"/>
      <c r="C1283" s="11" t="s">
        <v>27</v>
      </c>
      <c r="D1283" s="32"/>
      <c r="E1283" s="32"/>
      <c r="F1283" s="32"/>
      <c r="G1283" s="32">
        <f t="shared" si="361"/>
        <v>0</v>
      </c>
      <c r="H1283" s="12"/>
      <c r="I1283" s="12"/>
      <c r="J1283" s="12"/>
      <c r="K1283" s="12">
        <f t="shared" si="362"/>
        <v>0</v>
      </c>
      <c r="M1283" s="10">
        <v>7</v>
      </c>
      <c r="N1283" s="30"/>
      <c r="O1283" s="31"/>
      <c r="P1283" s="32"/>
      <c r="Q1283" s="32"/>
      <c r="R1283" s="32"/>
      <c r="S1283" s="32">
        <f t="shared" si="363"/>
        <v>0</v>
      </c>
      <c r="T1283" s="12"/>
      <c r="U1283" s="12"/>
      <c r="V1283" s="12"/>
      <c r="W1283" s="12">
        <f t="shared" si="364"/>
        <v>0</v>
      </c>
      <c r="Y1283" s="10">
        <v>7</v>
      </c>
      <c r="Z1283" s="30"/>
      <c r="AA1283" s="11" t="s">
        <v>27</v>
      </c>
      <c r="AB1283" s="32"/>
      <c r="AC1283" s="32"/>
      <c r="AD1283" s="32"/>
      <c r="AE1283" s="32">
        <f t="shared" si="365"/>
        <v>0</v>
      </c>
      <c r="AF1283" s="12"/>
      <c r="AG1283" s="58"/>
      <c r="AH1283" s="12"/>
      <c r="AI1283" s="12">
        <f t="shared" si="366"/>
        <v>0</v>
      </c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10">
        <v>8</v>
      </c>
      <c r="B1284" s="30"/>
      <c r="C1284" s="31"/>
      <c r="D1284" s="32"/>
      <c r="E1284" s="32"/>
      <c r="F1284" s="32"/>
      <c r="G1284" s="32">
        <f t="shared" si="361"/>
        <v>0</v>
      </c>
      <c r="H1284" s="12"/>
      <c r="I1284" s="12"/>
      <c r="J1284" s="12"/>
      <c r="K1284" s="12">
        <f t="shared" si="362"/>
        <v>0</v>
      </c>
      <c r="M1284" s="10">
        <v>8</v>
      </c>
      <c r="N1284" s="30"/>
      <c r="P1284" s="32"/>
      <c r="Q1284" s="32"/>
      <c r="R1284" s="32"/>
      <c r="S1284" s="32">
        <f t="shared" si="363"/>
        <v>0</v>
      </c>
      <c r="T1284" s="12"/>
      <c r="U1284" s="12"/>
      <c r="V1284" s="12"/>
      <c r="W1284" s="12">
        <f t="shared" si="364"/>
        <v>0</v>
      </c>
      <c r="Y1284" s="10">
        <v>8</v>
      </c>
      <c r="Z1284" s="30"/>
      <c r="AA1284" s="31"/>
      <c r="AB1284" s="32"/>
      <c r="AC1284" s="32"/>
      <c r="AE1284" s="32">
        <f t="shared" si="365"/>
        <v>0</v>
      </c>
      <c r="AF1284" s="12"/>
      <c r="AG1284" s="12"/>
      <c r="AH1284" s="12"/>
      <c r="AI1284" s="12">
        <f t="shared" si="366"/>
        <v>0</v>
      </c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10">
        <v>9</v>
      </c>
      <c r="B1285" s="30"/>
      <c r="C1285" s="31"/>
      <c r="D1285" s="32"/>
      <c r="E1285" s="32"/>
      <c r="F1285" s="32"/>
      <c r="G1285" s="32">
        <f t="shared" si="361"/>
        <v>0</v>
      </c>
      <c r="H1285" s="12"/>
      <c r="I1285" s="12"/>
      <c r="J1285" s="12"/>
      <c r="K1285" s="12">
        <f t="shared" si="362"/>
        <v>0</v>
      </c>
      <c r="M1285" s="10">
        <v>9</v>
      </c>
      <c r="N1285" s="30"/>
      <c r="O1285" s="31"/>
      <c r="P1285" s="32"/>
      <c r="Q1285" s="32"/>
      <c r="R1285" s="32"/>
      <c r="S1285" s="32">
        <f t="shared" si="363"/>
        <v>0</v>
      </c>
      <c r="T1285" s="12"/>
      <c r="U1285" s="12"/>
      <c r="V1285" s="12"/>
      <c r="W1285" s="12">
        <f t="shared" si="364"/>
        <v>0</v>
      </c>
      <c r="Y1285" s="10">
        <v>9</v>
      </c>
      <c r="Z1285" s="30"/>
      <c r="AA1285" s="31"/>
      <c r="AB1285" s="32"/>
      <c r="AC1285" s="32"/>
      <c r="AD1285" s="32"/>
      <c r="AE1285" s="32">
        <f t="shared" si="365"/>
        <v>0</v>
      </c>
      <c r="AF1285" s="12"/>
      <c r="AH1285" s="12"/>
      <c r="AI1285" s="12">
        <f t="shared" si="366"/>
        <v>0</v>
      </c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10">
        <v>10</v>
      </c>
      <c r="B1286" s="30"/>
      <c r="C1286" s="31"/>
      <c r="D1286" s="32"/>
      <c r="E1286" s="32"/>
      <c r="F1286" s="32"/>
      <c r="G1286" s="32">
        <f t="shared" si="361"/>
        <v>0</v>
      </c>
      <c r="H1286" s="12"/>
      <c r="I1286" s="12"/>
      <c r="J1286" s="12"/>
      <c r="K1286" s="12">
        <f t="shared" si="362"/>
        <v>0</v>
      </c>
      <c r="M1286" s="10">
        <v>10</v>
      </c>
      <c r="N1286" s="30"/>
      <c r="O1286" s="31"/>
      <c r="P1286" s="32"/>
      <c r="Q1286" s="32"/>
      <c r="R1286" s="32"/>
      <c r="S1286" s="32">
        <f t="shared" si="363"/>
        <v>0</v>
      </c>
      <c r="T1286" s="12"/>
      <c r="U1286" s="12"/>
      <c r="V1286" s="12"/>
      <c r="W1286" s="12">
        <f t="shared" si="364"/>
        <v>0</v>
      </c>
      <c r="Y1286" s="10">
        <v>10</v>
      </c>
      <c r="Z1286" s="30"/>
      <c r="AB1286" s="32"/>
      <c r="AC1286" s="32"/>
      <c r="AD1286" s="32"/>
      <c r="AE1286" s="32">
        <f t="shared" si="365"/>
        <v>0</v>
      </c>
      <c r="AF1286" s="12"/>
      <c r="AG1286" s="12"/>
      <c r="AH1286" s="12"/>
      <c r="AI1286" s="12">
        <f t="shared" si="366"/>
        <v>0</v>
      </c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10">
        <v>11</v>
      </c>
      <c r="B1287" s="30"/>
      <c r="C1287" s="31"/>
      <c r="D1287" s="32"/>
      <c r="E1287" s="32"/>
      <c r="F1287" s="32"/>
      <c r="G1287" s="32">
        <f t="shared" si="361"/>
        <v>0</v>
      </c>
      <c r="H1287" s="12"/>
      <c r="I1287" s="12"/>
      <c r="J1287" s="12"/>
      <c r="K1287" s="12">
        <f t="shared" si="362"/>
        <v>0</v>
      </c>
      <c r="M1287" s="10">
        <v>11</v>
      </c>
      <c r="N1287" s="30"/>
      <c r="O1287" s="31"/>
      <c r="P1287" s="32"/>
      <c r="Q1287" s="32"/>
      <c r="R1287" s="32"/>
      <c r="S1287" s="32">
        <f t="shared" si="363"/>
        <v>0</v>
      </c>
      <c r="T1287" s="12"/>
      <c r="U1287" s="12"/>
      <c r="V1287" s="12"/>
      <c r="W1287" s="12">
        <f t="shared" si="364"/>
        <v>0</v>
      </c>
      <c r="Y1287" s="10">
        <v>11</v>
      </c>
      <c r="Z1287" s="30"/>
      <c r="AA1287" s="31"/>
      <c r="AB1287" s="32"/>
      <c r="AC1287" s="32"/>
      <c r="AD1287" s="32"/>
      <c r="AE1287" s="32">
        <f t="shared" si="365"/>
        <v>0</v>
      </c>
      <c r="AF1287" s="12"/>
      <c r="AG1287" s="12"/>
      <c r="AH1287" s="12"/>
      <c r="AI1287" s="12">
        <f t="shared" si="366"/>
        <v>0</v>
      </c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10">
        <v>12</v>
      </c>
      <c r="B1288" s="30"/>
      <c r="C1288" s="31"/>
      <c r="D1288" s="32"/>
      <c r="E1288" s="32"/>
      <c r="F1288" s="32"/>
      <c r="G1288" s="32">
        <f t="shared" si="361"/>
        <v>0</v>
      </c>
      <c r="H1288" s="12"/>
      <c r="I1288" s="12"/>
      <c r="J1288" s="10"/>
      <c r="K1288" s="12">
        <f t="shared" si="362"/>
        <v>0</v>
      </c>
      <c r="M1288" s="10">
        <v>12</v>
      </c>
      <c r="N1288" s="30"/>
      <c r="O1288" s="31"/>
      <c r="P1288" s="32"/>
      <c r="Q1288" s="32"/>
      <c r="R1288" s="32"/>
      <c r="S1288" s="32">
        <f t="shared" si="363"/>
        <v>0</v>
      </c>
      <c r="T1288" s="12"/>
      <c r="U1288" s="12"/>
      <c r="V1288" s="12"/>
      <c r="W1288" s="12">
        <f t="shared" si="364"/>
        <v>0</v>
      </c>
      <c r="Y1288" s="10">
        <v>12</v>
      </c>
      <c r="Z1288" s="30"/>
      <c r="AA1288" s="31"/>
      <c r="AB1288" s="32"/>
      <c r="AC1288" s="32"/>
      <c r="AD1288" s="32"/>
      <c r="AE1288" s="32">
        <f t="shared" si="365"/>
        <v>0</v>
      </c>
      <c r="AF1288" s="12"/>
      <c r="AG1288" s="12"/>
      <c r="AH1288" s="12"/>
      <c r="AI1288" s="12">
        <f t="shared" si="366"/>
        <v>0</v>
      </c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10">
        <v>13</v>
      </c>
      <c r="B1289" s="30"/>
      <c r="C1289" s="31"/>
      <c r="D1289" s="32"/>
      <c r="E1289" s="32"/>
      <c r="F1289" s="32"/>
      <c r="G1289" s="32">
        <f t="shared" si="361"/>
        <v>0</v>
      </c>
      <c r="H1289" s="12"/>
      <c r="I1289" s="12"/>
      <c r="J1289" s="12"/>
      <c r="K1289" s="12">
        <f t="shared" si="362"/>
        <v>0</v>
      </c>
      <c r="M1289" s="10">
        <v>13</v>
      </c>
      <c r="N1289" s="30"/>
      <c r="O1289" s="31"/>
      <c r="P1289" s="32"/>
      <c r="Q1289" s="32"/>
      <c r="R1289" s="32"/>
      <c r="S1289" s="32">
        <f t="shared" si="363"/>
        <v>0</v>
      </c>
      <c r="T1289" s="12"/>
      <c r="U1289" s="12"/>
      <c r="V1289" s="12"/>
      <c r="W1289" s="12">
        <f t="shared" si="364"/>
        <v>0</v>
      </c>
      <c r="Y1289" s="10">
        <v>13</v>
      </c>
      <c r="Z1289" s="30"/>
      <c r="AA1289" s="31"/>
      <c r="AB1289" s="32"/>
      <c r="AC1289" s="32"/>
      <c r="AD1289" s="32"/>
      <c r="AE1289" s="32">
        <f t="shared" si="365"/>
        <v>0</v>
      </c>
      <c r="AF1289" s="12"/>
      <c r="AG1289" s="12"/>
      <c r="AH1289" s="12"/>
      <c r="AI1289" s="12">
        <f t="shared" si="366"/>
        <v>0</v>
      </c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10">
        <v>14</v>
      </c>
      <c r="B1290" s="30"/>
      <c r="C1290" s="31"/>
      <c r="D1290" s="32"/>
      <c r="E1290" s="32"/>
      <c r="F1290" s="32"/>
      <c r="G1290" s="32">
        <f t="shared" si="361"/>
        <v>0</v>
      </c>
      <c r="H1290" s="12"/>
      <c r="I1290" s="12"/>
      <c r="J1290" s="12"/>
      <c r="K1290" s="12">
        <f t="shared" si="362"/>
        <v>0</v>
      </c>
      <c r="M1290" s="10">
        <v>14</v>
      </c>
      <c r="N1290" s="30"/>
      <c r="O1290" s="31"/>
      <c r="P1290" s="32"/>
      <c r="Q1290" s="32"/>
      <c r="R1290" s="32"/>
      <c r="S1290" s="32">
        <f t="shared" si="363"/>
        <v>0</v>
      </c>
      <c r="T1290" s="12"/>
      <c r="U1290" s="12"/>
      <c r="V1290" s="12"/>
      <c r="W1290" s="12">
        <f t="shared" si="364"/>
        <v>0</v>
      </c>
      <c r="Y1290" s="10">
        <v>14</v>
      </c>
      <c r="Z1290" s="30"/>
      <c r="AA1290" s="31"/>
      <c r="AB1290" s="32"/>
      <c r="AC1290" s="32"/>
      <c r="AD1290" s="32"/>
      <c r="AE1290" s="32">
        <f t="shared" si="365"/>
        <v>0</v>
      </c>
      <c r="AF1290" s="12"/>
      <c r="AG1290" s="12"/>
      <c r="AH1290" s="12"/>
      <c r="AI1290" s="12">
        <f t="shared" si="366"/>
        <v>0</v>
      </c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10">
        <v>15</v>
      </c>
      <c r="B1291" s="30"/>
      <c r="C1291" s="31"/>
      <c r="D1291" s="32"/>
      <c r="E1291" s="32"/>
      <c r="F1291" s="32"/>
      <c r="G1291" s="32">
        <f t="shared" si="361"/>
        <v>0</v>
      </c>
      <c r="H1291" s="12"/>
      <c r="I1291" s="12"/>
      <c r="J1291" s="12"/>
      <c r="K1291" s="12">
        <f t="shared" si="362"/>
        <v>0</v>
      </c>
      <c r="M1291" s="10">
        <v>15</v>
      </c>
      <c r="N1291" s="30"/>
      <c r="O1291" s="31"/>
      <c r="P1291" s="32"/>
      <c r="Q1291" s="32"/>
      <c r="R1291" s="32"/>
      <c r="S1291" s="32">
        <f t="shared" si="363"/>
        <v>0</v>
      </c>
      <c r="T1291" s="12"/>
      <c r="U1291" s="12"/>
      <c r="V1291" s="12"/>
      <c r="W1291" s="12">
        <f t="shared" si="364"/>
        <v>0</v>
      </c>
      <c r="Y1291" s="10">
        <v>15</v>
      </c>
      <c r="Z1291" s="30"/>
      <c r="AA1291" s="31"/>
      <c r="AB1291" s="32"/>
      <c r="AC1291" s="32"/>
      <c r="AD1291" s="32"/>
      <c r="AE1291" s="32">
        <f t="shared" si="365"/>
        <v>0</v>
      </c>
      <c r="AF1291" s="12"/>
      <c r="AG1291" s="12"/>
      <c r="AH1291" s="12"/>
      <c r="AI1291" s="12">
        <f t="shared" si="366"/>
        <v>0</v>
      </c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10">
        <v>16</v>
      </c>
      <c r="B1292" s="30"/>
      <c r="C1292" s="31"/>
      <c r="D1292" s="32"/>
      <c r="E1292" s="32"/>
      <c r="F1292" s="32"/>
      <c r="G1292" s="32">
        <f t="shared" si="361"/>
        <v>0</v>
      </c>
      <c r="H1292" s="12"/>
      <c r="I1292" s="12"/>
      <c r="J1292" s="12"/>
      <c r="K1292" s="12">
        <f t="shared" si="362"/>
        <v>0</v>
      </c>
      <c r="M1292" s="10">
        <v>16</v>
      </c>
      <c r="N1292" s="30"/>
      <c r="P1292" s="32"/>
      <c r="Q1292" s="32"/>
      <c r="R1292" s="32"/>
      <c r="S1292" s="32">
        <f t="shared" si="363"/>
        <v>0</v>
      </c>
      <c r="T1292" s="12"/>
      <c r="U1292" s="12"/>
      <c r="V1292" s="12"/>
      <c r="W1292" s="12">
        <f t="shared" si="364"/>
        <v>0</v>
      </c>
      <c r="Y1292" s="10">
        <v>16</v>
      </c>
      <c r="Z1292" s="30"/>
      <c r="AA1292" s="31"/>
      <c r="AB1292" s="32"/>
      <c r="AC1292" s="32"/>
      <c r="AD1292" s="32"/>
      <c r="AE1292" s="32">
        <f t="shared" si="365"/>
        <v>0</v>
      </c>
      <c r="AF1292" s="12"/>
      <c r="AG1292" s="12"/>
      <c r="AH1292" s="12"/>
      <c r="AI1292" s="12">
        <f t="shared" si="366"/>
        <v>0</v>
      </c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10">
        <v>17</v>
      </c>
      <c r="B1293" s="30"/>
      <c r="C1293" s="31"/>
      <c r="D1293" s="32"/>
      <c r="E1293" s="32"/>
      <c r="F1293" s="32"/>
      <c r="G1293" s="32">
        <f t="shared" si="361"/>
        <v>0</v>
      </c>
      <c r="H1293" s="12"/>
      <c r="I1293" s="12"/>
      <c r="J1293" s="12"/>
      <c r="K1293" s="12">
        <f t="shared" si="362"/>
        <v>0</v>
      </c>
      <c r="M1293" s="10">
        <v>17</v>
      </c>
      <c r="N1293" s="30"/>
      <c r="O1293" s="31"/>
      <c r="P1293" s="35"/>
      <c r="Q1293" s="32"/>
      <c r="R1293" s="32"/>
      <c r="S1293" s="32">
        <f t="shared" si="363"/>
        <v>0</v>
      </c>
      <c r="T1293" s="12"/>
      <c r="U1293" s="12"/>
      <c r="V1293" s="12"/>
      <c r="W1293" s="12">
        <f t="shared" si="364"/>
        <v>0</v>
      </c>
      <c r="Y1293" s="10">
        <v>17</v>
      </c>
      <c r="Z1293" s="30"/>
      <c r="AA1293" s="31"/>
      <c r="AB1293" s="35"/>
      <c r="AC1293" s="32"/>
      <c r="AD1293" s="32"/>
      <c r="AE1293" s="32">
        <f t="shared" si="365"/>
        <v>0</v>
      </c>
      <c r="AF1293" s="12"/>
      <c r="AG1293" s="12"/>
      <c r="AH1293" s="12"/>
      <c r="AI1293" s="12">
        <f t="shared" si="366"/>
        <v>0</v>
      </c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10">
        <v>18</v>
      </c>
      <c r="B1294" s="30"/>
      <c r="C1294" s="31"/>
      <c r="D1294" s="32"/>
      <c r="E1294" s="32"/>
      <c r="F1294" s="32"/>
      <c r="G1294" s="32">
        <f t="shared" si="361"/>
        <v>0</v>
      </c>
      <c r="H1294" s="12"/>
      <c r="I1294" s="12"/>
      <c r="J1294" s="12"/>
      <c r="K1294" s="12">
        <f t="shared" si="362"/>
        <v>0</v>
      </c>
      <c r="M1294" s="10">
        <v>18</v>
      </c>
      <c r="N1294" s="30"/>
      <c r="O1294" s="31"/>
      <c r="P1294" s="32"/>
      <c r="Q1294" s="32"/>
      <c r="R1294" s="32"/>
      <c r="S1294" s="32">
        <f t="shared" si="363"/>
        <v>0</v>
      </c>
      <c r="T1294" s="12"/>
      <c r="U1294" s="12"/>
      <c r="V1294" s="12"/>
      <c r="W1294" s="12">
        <f t="shared" si="364"/>
        <v>0</v>
      </c>
      <c r="Y1294" s="10">
        <v>18</v>
      </c>
      <c r="Z1294" s="30"/>
      <c r="AA1294" s="31"/>
      <c r="AB1294" s="32"/>
      <c r="AC1294" s="32"/>
      <c r="AD1294" s="32"/>
      <c r="AE1294" s="32">
        <f t="shared" si="365"/>
        <v>0</v>
      </c>
      <c r="AF1294" s="12"/>
      <c r="AG1294" s="12"/>
      <c r="AH1294" s="12"/>
      <c r="AI1294" s="12">
        <f t="shared" si="366"/>
        <v>0</v>
      </c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10">
        <v>19</v>
      </c>
      <c r="B1295" s="30"/>
      <c r="C1295" s="31"/>
      <c r="D1295" s="32"/>
      <c r="E1295" s="32"/>
      <c r="F1295" s="32"/>
      <c r="G1295" s="32">
        <f t="shared" si="361"/>
        <v>0</v>
      </c>
      <c r="H1295" s="12"/>
      <c r="I1295" s="12"/>
      <c r="J1295" s="12"/>
      <c r="K1295" s="12">
        <f t="shared" si="362"/>
        <v>0</v>
      </c>
      <c r="M1295" s="10">
        <v>19</v>
      </c>
      <c r="N1295" s="30"/>
      <c r="O1295" s="31"/>
      <c r="P1295" s="32"/>
      <c r="Q1295" s="32"/>
      <c r="R1295" s="32"/>
      <c r="S1295" s="32">
        <f t="shared" si="363"/>
        <v>0</v>
      </c>
      <c r="T1295" s="12"/>
      <c r="U1295" s="12"/>
      <c r="V1295" s="12"/>
      <c r="W1295" s="12">
        <f t="shared" si="364"/>
        <v>0</v>
      </c>
      <c r="Y1295" s="10">
        <v>19</v>
      </c>
      <c r="Z1295" s="30"/>
      <c r="AA1295" s="31"/>
      <c r="AB1295" s="32"/>
      <c r="AC1295" s="32"/>
      <c r="AD1295" s="32"/>
      <c r="AE1295" s="32">
        <f t="shared" si="365"/>
        <v>0</v>
      </c>
      <c r="AF1295" s="12"/>
      <c r="AG1295" s="12"/>
      <c r="AH1295" s="12"/>
      <c r="AI1295" s="12">
        <f t="shared" si="366"/>
        <v>0</v>
      </c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10">
        <v>20</v>
      </c>
      <c r="B1296" s="30"/>
      <c r="C1296" s="31"/>
      <c r="D1296" s="32"/>
      <c r="E1296" s="32"/>
      <c r="F1296" s="32"/>
      <c r="G1296" s="32">
        <f t="shared" si="361"/>
        <v>0</v>
      </c>
      <c r="H1296" s="12"/>
      <c r="I1296" s="12"/>
      <c r="J1296" s="12"/>
      <c r="K1296" s="12">
        <f t="shared" si="362"/>
        <v>0</v>
      </c>
      <c r="M1296" s="10">
        <v>20</v>
      </c>
      <c r="N1296" s="30"/>
      <c r="O1296" s="31"/>
      <c r="P1296" s="32"/>
      <c r="Q1296" s="32"/>
      <c r="R1296" s="32"/>
      <c r="S1296" s="32">
        <f t="shared" si="363"/>
        <v>0</v>
      </c>
      <c r="T1296" s="12"/>
      <c r="U1296" s="12"/>
      <c r="V1296" s="12"/>
      <c r="W1296" s="12">
        <f t="shared" si="364"/>
        <v>0</v>
      </c>
      <c r="Y1296" s="10">
        <v>20</v>
      </c>
      <c r="Z1296" s="30"/>
      <c r="AA1296" s="31"/>
      <c r="AB1296" s="32"/>
      <c r="AC1296" s="32"/>
      <c r="AD1296" s="32"/>
      <c r="AE1296" s="32">
        <f t="shared" si="365"/>
        <v>0</v>
      </c>
      <c r="AF1296" s="12"/>
      <c r="AG1296" s="12"/>
      <c r="AH1296" s="12"/>
      <c r="AI1296" s="12">
        <f t="shared" si="366"/>
        <v>0</v>
      </c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10">
        <v>21</v>
      </c>
      <c r="B1297" s="30"/>
      <c r="D1297" s="32"/>
      <c r="E1297" s="32"/>
      <c r="F1297" s="32"/>
      <c r="G1297" s="32">
        <f t="shared" si="361"/>
        <v>0</v>
      </c>
      <c r="H1297" s="10"/>
      <c r="I1297" s="10"/>
      <c r="J1297" s="10"/>
      <c r="K1297" s="12">
        <f t="shared" si="362"/>
        <v>0</v>
      </c>
      <c r="M1297" s="10">
        <v>21</v>
      </c>
      <c r="N1297" s="30"/>
      <c r="O1297" s="31"/>
      <c r="P1297" s="46"/>
      <c r="Q1297" s="31"/>
      <c r="R1297" s="31"/>
      <c r="S1297" s="32">
        <f t="shared" si="363"/>
        <v>0</v>
      </c>
      <c r="T1297" s="10"/>
      <c r="U1297" s="10"/>
      <c r="V1297" s="10"/>
      <c r="W1297" s="12">
        <f t="shared" si="364"/>
        <v>0</v>
      </c>
      <c r="Y1297" s="10">
        <v>21</v>
      </c>
      <c r="Z1297" s="30"/>
      <c r="AB1297" s="46"/>
      <c r="AC1297" s="31"/>
      <c r="AD1297" s="31"/>
      <c r="AE1297" s="32">
        <f t="shared" si="365"/>
        <v>0</v>
      </c>
      <c r="AF1297" s="10"/>
      <c r="AG1297" s="10"/>
      <c r="AH1297" s="10"/>
      <c r="AI1297" s="12">
        <f t="shared" si="366"/>
        <v>0</v>
      </c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10">
        <v>22</v>
      </c>
      <c r="B1298" s="30"/>
      <c r="C1298" s="31"/>
      <c r="D1298" s="32"/>
      <c r="E1298" s="32"/>
      <c r="F1298" s="32"/>
      <c r="G1298" s="32">
        <f t="shared" si="361"/>
        <v>0</v>
      </c>
      <c r="H1298" s="10"/>
      <c r="I1298" s="10"/>
      <c r="J1298" s="10"/>
      <c r="K1298" s="12">
        <f t="shared" si="362"/>
        <v>0</v>
      </c>
      <c r="M1298" s="10">
        <v>22</v>
      </c>
      <c r="N1298" s="30"/>
      <c r="O1298" s="31"/>
      <c r="P1298" s="45"/>
      <c r="Q1298" s="31"/>
      <c r="R1298" s="31"/>
      <c r="S1298" s="32">
        <f t="shared" si="363"/>
        <v>0</v>
      </c>
      <c r="T1298" s="10"/>
      <c r="U1298" s="10"/>
      <c r="V1298" s="10"/>
      <c r="W1298" s="12">
        <f t="shared" si="364"/>
        <v>0</v>
      </c>
      <c r="Y1298" s="10">
        <v>22</v>
      </c>
      <c r="Z1298" s="30"/>
      <c r="AA1298" s="31"/>
      <c r="AB1298" s="45"/>
      <c r="AC1298" s="31"/>
      <c r="AD1298" s="31"/>
      <c r="AE1298" s="32">
        <f t="shared" si="365"/>
        <v>0</v>
      </c>
      <c r="AF1298" s="10"/>
      <c r="AG1298" s="10"/>
      <c r="AH1298" s="10"/>
      <c r="AI1298" s="12">
        <f t="shared" si="366"/>
        <v>0</v>
      </c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10">
        <v>23</v>
      </c>
      <c r="B1299" s="30"/>
      <c r="C1299" s="31"/>
      <c r="D1299" s="32"/>
      <c r="E1299" s="32"/>
      <c r="F1299" s="32"/>
      <c r="G1299" s="32">
        <f t="shared" si="361"/>
        <v>0</v>
      </c>
      <c r="H1299" s="10"/>
      <c r="I1299" s="10"/>
      <c r="J1299" s="12"/>
      <c r="K1299" s="12">
        <f t="shared" si="362"/>
        <v>0</v>
      </c>
      <c r="M1299" s="10">
        <v>23</v>
      </c>
      <c r="N1299" s="30"/>
      <c r="O1299" s="31"/>
      <c r="P1299" s="47"/>
      <c r="Q1299" s="31"/>
      <c r="S1299" s="32">
        <f t="shared" si="363"/>
        <v>0</v>
      </c>
      <c r="T1299" s="10"/>
      <c r="U1299" s="10"/>
      <c r="V1299" s="10"/>
      <c r="W1299" s="12">
        <f t="shared" si="364"/>
        <v>0</v>
      </c>
      <c r="Y1299" s="10">
        <v>23</v>
      </c>
      <c r="Z1299" s="30"/>
      <c r="AB1299" s="47"/>
      <c r="AC1299" s="31"/>
      <c r="AE1299" s="32">
        <f t="shared" si="365"/>
        <v>0</v>
      </c>
      <c r="AF1299" s="10"/>
      <c r="AG1299" s="10"/>
      <c r="AH1299" s="10"/>
      <c r="AI1299" s="12">
        <f t="shared" si="366"/>
        <v>0</v>
      </c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10">
        <v>24</v>
      </c>
      <c r="B1300" s="30"/>
      <c r="C1300" s="31"/>
      <c r="D1300" s="32"/>
      <c r="E1300" s="32"/>
      <c r="F1300" s="32"/>
      <c r="G1300" s="32">
        <f t="shared" si="361"/>
        <v>0</v>
      </c>
      <c r="H1300" s="10"/>
      <c r="I1300" s="10"/>
      <c r="J1300" s="10"/>
      <c r="K1300" s="12">
        <f t="shared" si="362"/>
        <v>0</v>
      </c>
      <c r="M1300" s="10">
        <v>24</v>
      </c>
      <c r="N1300" s="30"/>
      <c r="O1300" s="31"/>
      <c r="P1300" s="47"/>
      <c r="Q1300" s="31"/>
      <c r="R1300" s="31"/>
      <c r="S1300" s="32">
        <f t="shared" si="363"/>
        <v>0</v>
      </c>
      <c r="T1300" s="10"/>
      <c r="U1300" s="10"/>
      <c r="V1300" s="10"/>
      <c r="W1300" s="12">
        <f t="shared" si="364"/>
        <v>0</v>
      </c>
      <c r="Y1300" s="10">
        <v>24</v>
      </c>
      <c r="Z1300" s="30"/>
      <c r="AA1300" s="31"/>
      <c r="AB1300" s="47"/>
      <c r="AC1300" s="31"/>
      <c r="AD1300" s="31"/>
      <c r="AE1300" s="32">
        <f t="shared" si="365"/>
        <v>0</v>
      </c>
      <c r="AF1300" s="10"/>
      <c r="AG1300" s="10"/>
      <c r="AH1300" s="10"/>
      <c r="AI1300" s="12">
        <f t="shared" si="366"/>
        <v>0</v>
      </c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10">
        <v>25</v>
      </c>
      <c r="B1301" s="30"/>
      <c r="C1301" s="31"/>
      <c r="D1301" s="32"/>
      <c r="E1301" s="32"/>
      <c r="F1301" s="32"/>
      <c r="G1301" s="32">
        <f t="shared" si="361"/>
        <v>0</v>
      </c>
      <c r="H1301" s="10"/>
      <c r="I1301" s="10"/>
      <c r="J1301" s="10"/>
      <c r="K1301" s="12">
        <f t="shared" si="362"/>
        <v>0</v>
      </c>
      <c r="M1301" s="10">
        <v>25</v>
      </c>
      <c r="N1301" s="30"/>
      <c r="O1301" s="31"/>
      <c r="P1301" s="47"/>
      <c r="Q1301" s="31"/>
      <c r="R1301" s="31"/>
      <c r="S1301" s="32">
        <f t="shared" si="363"/>
        <v>0</v>
      </c>
      <c r="T1301" s="10"/>
      <c r="U1301" s="10"/>
      <c r="V1301" s="10"/>
      <c r="W1301" s="12">
        <f t="shared" si="364"/>
        <v>0</v>
      </c>
      <c r="Y1301" s="10">
        <v>25</v>
      </c>
      <c r="Z1301" s="30"/>
      <c r="AA1301" s="31"/>
      <c r="AB1301" s="47"/>
      <c r="AC1301" s="31"/>
      <c r="AD1301" s="31"/>
      <c r="AE1301" s="32">
        <f t="shared" si="365"/>
        <v>0</v>
      </c>
      <c r="AF1301" s="10"/>
      <c r="AG1301" s="10"/>
      <c r="AH1301" s="10"/>
      <c r="AI1301" s="12">
        <f t="shared" si="366"/>
        <v>0</v>
      </c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10">
        <v>26</v>
      </c>
      <c r="B1302" s="30"/>
      <c r="C1302" s="57"/>
      <c r="D1302" s="32"/>
      <c r="E1302" s="32"/>
      <c r="F1302" s="32"/>
      <c r="G1302" s="32">
        <f t="shared" si="361"/>
        <v>0</v>
      </c>
      <c r="H1302" s="10"/>
      <c r="I1302" s="10"/>
      <c r="J1302" s="10"/>
      <c r="K1302" s="12">
        <f t="shared" si="362"/>
        <v>0</v>
      </c>
      <c r="M1302" s="10">
        <v>26</v>
      </c>
      <c r="N1302" s="30"/>
      <c r="O1302" s="31"/>
      <c r="P1302" s="47"/>
      <c r="Q1302" s="31"/>
      <c r="R1302" s="31"/>
      <c r="S1302" s="32">
        <f t="shared" si="363"/>
        <v>0</v>
      </c>
      <c r="T1302" s="10"/>
      <c r="U1302" s="10"/>
      <c r="V1302" s="10"/>
      <c r="W1302" s="12">
        <f t="shared" si="364"/>
        <v>0</v>
      </c>
      <c r="Y1302" s="10">
        <v>26</v>
      </c>
      <c r="Z1302" s="30"/>
      <c r="AA1302" s="31"/>
      <c r="AB1302" s="47"/>
      <c r="AC1302" s="31"/>
      <c r="AD1302" s="31"/>
      <c r="AE1302" s="32">
        <f t="shared" si="365"/>
        <v>0</v>
      </c>
      <c r="AF1302" s="10"/>
      <c r="AG1302" s="10"/>
      <c r="AH1302" s="10"/>
      <c r="AI1302" s="12">
        <f t="shared" si="366"/>
        <v>0</v>
      </c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10">
        <v>27</v>
      </c>
      <c r="B1303" s="30"/>
      <c r="C1303" s="31"/>
      <c r="D1303" s="32"/>
      <c r="E1303" s="32"/>
      <c r="F1303" s="32"/>
      <c r="G1303" s="32">
        <f t="shared" si="361"/>
        <v>0</v>
      </c>
      <c r="H1303" s="10"/>
      <c r="I1303" s="10"/>
      <c r="J1303" s="10"/>
      <c r="K1303" s="12">
        <f t="shared" si="362"/>
        <v>0</v>
      </c>
      <c r="M1303" s="10">
        <v>27</v>
      </c>
      <c r="N1303" s="30"/>
      <c r="O1303" s="31"/>
      <c r="P1303" s="47"/>
      <c r="Q1303" s="31"/>
      <c r="R1303" s="31"/>
      <c r="S1303" s="32">
        <f t="shared" si="363"/>
        <v>0</v>
      </c>
      <c r="T1303" s="10"/>
      <c r="U1303" s="10"/>
      <c r="V1303" s="10"/>
      <c r="W1303" s="12">
        <f t="shared" si="364"/>
        <v>0</v>
      </c>
      <c r="Y1303" s="10">
        <v>27</v>
      </c>
      <c r="Z1303" s="30"/>
      <c r="AA1303" s="31"/>
      <c r="AB1303" s="47"/>
      <c r="AC1303" s="31"/>
      <c r="AD1303" s="31"/>
      <c r="AE1303" s="32">
        <f t="shared" si="365"/>
        <v>0</v>
      </c>
      <c r="AF1303" s="10"/>
      <c r="AG1303" s="10"/>
      <c r="AH1303" s="10"/>
      <c r="AI1303" s="12">
        <f t="shared" si="366"/>
        <v>0</v>
      </c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10">
        <v>28</v>
      </c>
      <c r="B1304" s="30"/>
      <c r="C1304" s="31"/>
      <c r="D1304" s="32"/>
      <c r="E1304" s="32"/>
      <c r="F1304" s="32"/>
      <c r="G1304" s="32">
        <f t="shared" si="361"/>
        <v>0</v>
      </c>
      <c r="H1304" s="10"/>
      <c r="I1304" s="10"/>
      <c r="J1304" s="10"/>
      <c r="K1304" s="12">
        <f t="shared" si="362"/>
        <v>0</v>
      </c>
      <c r="M1304" s="10">
        <v>28</v>
      </c>
      <c r="N1304" s="30"/>
      <c r="O1304" s="31"/>
      <c r="P1304" s="47"/>
      <c r="Q1304" s="31"/>
      <c r="R1304" s="31"/>
      <c r="S1304" s="32">
        <f t="shared" si="363"/>
        <v>0</v>
      </c>
      <c r="T1304" s="10"/>
      <c r="U1304" s="10"/>
      <c r="V1304" s="10"/>
      <c r="W1304" s="12">
        <f t="shared" si="364"/>
        <v>0</v>
      </c>
      <c r="Y1304" s="10">
        <v>28</v>
      </c>
      <c r="Z1304" s="30"/>
      <c r="AA1304" s="31"/>
      <c r="AB1304" s="47"/>
      <c r="AC1304" s="31"/>
      <c r="AD1304" s="31"/>
      <c r="AE1304" s="32">
        <f t="shared" si="365"/>
        <v>0</v>
      </c>
      <c r="AF1304" s="10"/>
      <c r="AG1304" s="10"/>
      <c r="AH1304" s="10"/>
      <c r="AI1304" s="12">
        <f t="shared" si="366"/>
        <v>0</v>
      </c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10">
        <v>29</v>
      </c>
      <c r="B1305" s="30"/>
      <c r="C1305" s="31"/>
      <c r="D1305" s="32"/>
      <c r="E1305" s="32"/>
      <c r="F1305" s="32"/>
      <c r="G1305" s="32">
        <f t="shared" si="361"/>
        <v>0</v>
      </c>
      <c r="H1305" s="10"/>
      <c r="I1305" s="10"/>
      <c r="J1305" s="10"/>
      <c r="K1305" s="12">
        <f t="shared" si="362"/>
        <v>0</v>
      </c>
      <c r="M1305" s="10">
        <v>29</v>
      </c>
      <c r="N1305" s="30"/>
      <c r="P1305" s="47"/>
      <c r="Q1305" s="31"/>
      <c r="R1305" s="31"/>
      <c r="S1305" s="32">
        <f t="shared" si="363"/>
        <v>0</v>
      </c>
      <c r="T1305" s="10"/>
      <c r="U1305" s="10"/>
      <c r="V1305" s="10"/>
      <c r="W1305" s="12">
        <f t="shared" si="364"/>
        <v>0</v>
      </c>
      <c r="Y1305" s="10">
        <v>29</v>
      </c>
      <c r="Z1305" s="30"/>
      <c r="AA1305" s="31"/>
      <c r="AB1305" s="47"/>
      <c r="AC1305" s="31"/>
      <c r="AD1305" s="31"/>
      <c r="AE1305" s="32">
        <f t="shared" si="365"/>
        <v>0</v>
      </c>
      <c r="AF1305" s="10"/>
      <c r="AG1305" s="10"/>
      <c r="AH1305" s="10"/>
      <c r="AI1305" s="12">
        <f t="shared" si="366"/>
        <v>0</v>
      </c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10">
        <v>30</v>
      </c>
      <c r="B1306" s="30"/>
      <c r="C1306" s="57"/>
      <c r="D1306" s="32"/>
      <c r="E1306" s="32"/>
      <c r="F1306" s="32"/>
      <c r="G1306" s="32">
        <f t="shared" si="361"/>
        <v>0</v>
      </c>
      <c r="H1306" s="10"/>
      <c r="I1306" s="10"/>
      <c r="J1306" s="10"/>
      <c r="K1306" s="12">
        <f t="shared" si="362"/>
        <v>0</v>
      </c>
      <c r="M1306" s="10">
        <v>30</v>
      </c>
      <c r="N1306" s="30"/>
      <c r="O1306" s="31"/>
      <c r="P1306" s="47"/>
      <c r="Q1306" s="31"/>
      <c r="R1306" s="31"/>
      <c r="S1306" s="32">
        <f t="shared" si="363"/>
        <v>0</v>
      </c>
      <c r="T1306" s="10"/>
      <c r="U1306" s="10"/>
      <c r="V1306" s="10"/>
      <c r="W1306" s="12">
        <f t="shared" si="364"/>
        <v>0</v>
      </c>
      <c r="Y1306" s="10">
        <v>30</v>
      </c>
      <c r="Z1306" s="30"/>
      <c r="AA1306" s="31"/>
      <c r="AB1306" s="47"/>
      <c r="AC1306" s="31"/>
      <c r="AD1306" s="31"/>
      <c r="AE1306" s="32">
        <f t="shared" si="365"/>
        <v>0</v>
      </c>
      <c r="AF1306" s="10"/>
      <c r="AG1306" s="10"/>
      <c r="AH1306" s="10"/>
      <c r="AI1306" s="12">
        <f t="shared" si="366"/>
        <v>0</v>
      </c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10">
        <v>31</v>
      </c>
      <c r="B1307" s="30"/>
      <c r="C1307" s="87"/>
      <c r="D1307" s="32"/>
      <c r="E1307" s="32"/>
      <c r="F1307" s="32"/>
      <c r="G1307" s="32">
        <f t="shared" si="361"/>
        <v>0</v>
      </c>
      <c r="H1307" s="10"/>
      <c r="I1307" s="10"/>
      <c r="J1307" s="10"/>
      <c r="K1307" s="12">
        <f t="shared" si="362"/>
        <v>0</v>
      </c>
      <c r="M1307" s="10">
        <v>31</v>
      </c>
      <c r="N1307" s="30"/>
      <c r="P1307" s="47"/>
      <c r="Q1307" s="31"/>
      <c r="R1307" s="31"/>
      <c r="S1307" s="32">
        <f t="shared" si="363"/>
        <v>0</v>
      </c>
      <c r="T1307" s="10"/>
      <c r="U1307" s="10"/>
      <c r="V1307" s="10"/>
      <c r="W1307" s="12">
        <f t="shared" si="364"/>
        <v>0</v>
      </c>
      <c r="Y1307" s="10">
        <v>31</v>
      </c>
      <c r="Z1307" s="30"/>
      <c r="AA1307" s="31"/>
      <c r="AB1307" s="47"/>
      <c r="AC1307" s="31"/>
      <c r="AD1307" s="31"/>
      <c r="AE1307" s="32">
        <f t="shared" si="365"/>
        <v>0</v>
      </c>
      <c r="AF1307" s="10"/>
      <c r="AG1307" s="10"/>
      <c r="AH1307" s="10"/>
      <c r="AI1307" s="12">
        <f t="shared" si="366"/>
        <v>0</v>
      </c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10">
        <v>32</v>
      </c>
      <c r="B1308" s="30"/>
      <c r="C1308" s="57"/>
      <c r="D1308" s="32"/>
      <c r="E1308" s="32"/>
      <c r="F1308" s="32"/>
      <c r="G1308" s="32">
        <f t="shared" si="361"/>
        <v>0</v>
      </c>
      <c r="H1308" s="10"/>
      <c r="I1308" s="10"/>
      <c r="J1308" s="10"/>
      <c r="K1308" s="12">
        <f t="shared" si="362"/>
        <v>0</v>
      </c>
      <c r="M1308" s="10">
        <v>32</v>
      </c>
      <c r="N1308" s="30"/>
      <c r="O1308" s="31"/>
      <c r="P1308" s="47"/>
      <c r="Q1308" s="31"/>
      <c r="R1308" s="31"/>
      <c r="S1308" s="32">
        <f t="shared" si="363"/>
        <v>0</v>
      </c>
      <c r="T1308" s="10"/>
      <c r="U1308" s="10"/>
      <c r="V1308" s="10"/>
      <c r="W1308" s="12">
        <f t="shared" si="364"/>
        <v>0</v>
      </c>
      <c r="Y1308" s="10">
        <v>32</v>
      </c>
      <c r="Z1308" s="30"/>
      <c r="AA1308" s="31"/>
      <c r="AB1308" s="47"/>
      <c r="AC1308" s="31"/>
      <c r="AD1308" s="31"/>
      <c r="AE1308" s="32">
        <f t="shared" si="365"/>
        <v>0</v>
      </c>
      <c r="AF1308" s="10"/>
      <c r="AG1308" s="10"/>
      <c r="AH1308" s="10"/>
      <c r="AI1308" s="12">
        <f t="shared" si="366"/>
        <v>0</v>
      </c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10">
        <v>33</v>
      </c>
      <c r="B1309" s="30"/>
      <c r="C1309" s="87"/>
      <c r="D1309" s="32"/>
      <c r="E1309" s="32"/>
      <c r="F1309" s="32"/>
      <c r="G1309" s="32">
        <f t="shared" si="361"/>
        <v>0</v>
      </c>
      <c r="H1309" s="10"/>
      <c r="I1309" s="10"/>
      <c r="J1309" s="10"/>
      <c r="K1309" s="12">
        <f t="shared" si="362"/>
        <v>0</v>
      </c>
      <c r="M1309" s="10">
        <v>33</v>
      </c>
      <c r="N1309" s="30"/>
      <c r="O1309" s="31"/>
      <c r="P1309" s="47"/>
      <c r="Q1309" s="31"/>
      <c r="R1309" s="31"/>
      <c r="S1309" s="32">
        <f t="shared" si="363"/>
        <v>0</v>
      </c>
      <c r="T1309" s="10"/>
      <c r="U1309" s="10"/>
      <c r="V1309" s="10"/>
      <c r="W1309" s="12">
        <f t="shared" si="364"/>
        <v>0</v>
      </c>
      <c r="Y1309" s="10">
        <v>33</v>
      </c>
      <c r="Z1309" s="30"/>
      <c r="AA1309" s="31"/>
      <c r="AB1309" s="47"/>
      <c r="AC1309" s="31"/>
      <c r="AD1309" s="31"/>
      <c r="AE1309" s="32">
        <f t="shared" si="365"/>
        <v>0</v>
      </c>
      <c r="AF1309" s="10"/>
      <c r="AG1309" s="10"/>
      <c r="AH1309" s="10"/>
      <c r="AI1309" s="12">
        <f t="shared" si="366"/>
        <v>0</v>
      </c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10"/>
      <c r="B1310" s="30"/>
      <c r="C1310" s="87"/>
      <c r="D1310" s="32"/>
      <c r="E1310" s="32"/>
      <c r="F1310" s="32"/>
      <c r="G1310" s="32">
        <f t="shared" si="361"/>
        <v>0</v>
      </c>
      <c r="H1310" s="10"/>
      <c r="I1310" s="10"/>
      <c r="J1310" s="10"/>
      <c r="K1310" s="12">
        <f t="shared" si="362"/>
        <v>0</v>
      </c>
      <c r="M1310" s="10">
        <v>34</v>
      </c>
      <c r="N1310" s="30"/>
      <c r="O1310" s="31"/>
      <c r="P1310" s="47"/>
      <c r="Q1310" s="31"/>
      <c r="R1310" s="31"/>
      <c r="S1310" s="32">
        <f t="shared" si="363"/>
        <v>0</v>
      </c>
      <c r="T1310" s="10"/>
      <c r="U1310" s="10"/>
      <c r="V1310" s="10"/>
      <c r="W1310" s="12">
        <f t="shared" si="364"/>
        <v>0</v>
      </c>
      <c r="Y1310" s="10">
        <v>34</v>
      </c>
      <c r="Z1310" s="30"/>
      <c r="AA1310" s="31"/>
      <c r="AB1310" s="47"/>
      <c r="AC1310" s="31"/>
      <c r="AD1310" s="31"/>
      <c r="AE1310" s="32">
        <f t="shared" ref="AE1310:AE1315" si="370">SUM(AB1310:AC1310)</f>
        <v>0</v>
      </c>
      <c r="AF1310" s="10"/>
      <c r="AG1310" s="10"/>
      <c r="AH1310" s="10"/>
      <c r="AI1310" s="12">
        <f t="shared" si="366"/>
        <v>0</v>
      </c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10"/>
      <c r="B1311" s="30"/>
      <c r="C1311" s="87"/>
      <c r="D1311" s="32"/>
      <c r="E1311" s="32"/>
      <c r="F1311" s="32"/>
      <c r="G1311" s="32"/>
      <c r="H1311" s="10"/>
      <c r="I1311" s="10"/>
      <c r="J1311" s="10"/>
      <c r="K1311" s="12"/>
      <c r="M1311" s="10">
        <v>35</v>
      </c>
      <c r="N1311" s="30"/>
      <c r="O1311" s="31"/>
      <c r="P1311" s="47"/>
      <c r="Q1311" s="31"/>
      <c r="R1311" s="31"/>
      <c r="S1311" s="32">
        <f t="shared" si="363"/>
        <v>0</v>
      </c>
      <c r="T1311" s="10"/>
      <c r="U1311" s="10"/>
      <c r="V1311" s="10"/>
      <c r="W1311" s="12">
        <f t="shared" si="364"/>
        <v>0</v>
      </c>
      <c r="Y1311" s="10">
        <v>35</v>
      </c>
      <c r="Z1311" s="30"/>
      <c r="AA1311" s="31"/>
      <c r="AB1311" s="47"/>
      <c r="AC1311" s="31"/>
      <c r="AD1311" s="31"/>
      <c r="AE1311" s="32">
        <f t="shared" si="370"/>
        <v>0</v>
      </c>
      <c r="AF1311" s="10"/>
      <c r="AG1311" s="10"/>
      <c r="AH1311" s="10"/>
      <c r="AI1311" s="12">
        <f t="shared" si="366"/>
        <v>0</v>
      </c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10"/>
      <c r="B1312" s="30"/>
      <c r="C1312" s="87"/>
      <c r="D1312" s="32"/>
      <c r="E1312" s="32"/>
      <c r="F1312" s="32"/>
      <c r="G1312" s="32"/>
      <c r="H1312" s="10"/>
      <c r="I1312" s="10"/>
      <c r="J1312" s="10"/>
      <c r="K1312" s="12"/>
      <c r="M1312" s="10">
        <v>36</v>
      </c>
      <c r="N1312" s="30"/>
      <c r="O1312" s="31"/>
      <c r="P1312" s="47"/>
      <c r="Q1312" s="31"/>
      <c r="R1312" s="31"/>
      <c r="S1312" s="32">
        <f t="shared" si="363"/>
        <v>0</v>
      </c>
      <c r="T1312" s="10"/>
      <c r="U1312" s="10"/>
      <c r="V1312" s="10"/>
      <c r="W1312" s="12">
        <f t="shared" si="364"/>
        <v>0</v>
      </c>
      <c r="Y1312" s="10">
        <v>36</v>
      </c>
      <c r="Z1312" s="30"/>
      <c r="AA1312" s="31"/>
      <c r="AB1312" s="47"/>
      <c r="AC1312" s="31"/>
      <c r="AD1312" s="31"/>
      <c r="AE1312" s="32">
        <f t="shared" si="370"/>
        <v>0</v>
      </c>
      <c r="AF1312" s="10"/>
      <c r="AG1312" s="10"/>
      <c r="AH1312" s="10"/>
      <c r="AI1312" s="12">
        <f t="shared" si="366"/>
        <v>0</v>
      </c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10"/>
      <c r="B1313" s="30"/>
      <c r="C1313" s="31"/>
      <c r="D1313" s="32"/>
      <c r="E1313" s="32"/>
      <c r="F1313" s="32"/>
      <c r="G1313" s="32"/>
      <c r="H1313" s="10"/>
      <c r="I1313" s="10"/>
      <c r="J1313" s="10"/>
      <c r="K1313" s="12"/>
      <c r="M1313" s="10">
        <v>37</v>
      </c>
      <c r="N1313" s="30"/>
      <c r="P1313" s="47"/>
      <c r="Q1313" s="31"/>
      <c r="R1313" s="31"/>
      <c r="S1313" s="32">
        <f t="shared" si="363"/>
        <v>0</v>
      </c>
      <c r="T1313" s="10"/>
      <c r="U1313" s="10"/>
      <c r="V1313" s="10"/>
      <c r="W1313" s="12">
        <f t="shared" si="364"/>
        <v>0</v>
      </c>
      <c r="Y1313" s="10">
        <v>37</v>
      </c>
      <c r="Z1313" s="30"/>
      <c r="AA1313" s="31"/>
      <c r="AB1313" s="47"/>
      <c r="AC1313" s="31"/>
      <c r="AD1313" s="31"/>
      <c r="AE1313" s="32">
        <f t="shared" si="370"/>
        <v>0</v>
      </c>
      <c r="AF1313" s="10"/>
      <c r="AG1313" s="10"/>
      <c r="AH1313" s="10"/>
      <c r="AI1313" s="12">
        <f t="shared" si="366"/>
        <v>0</v>
      </c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10"/>
      <c r="B1314" s="30"/>
      <c r="C1314" s="31"/>
      <c r="D1314" s="32"/>
      <c r="E1314" s="32"/>
      <c r="F1314" s="32"/>
      <c r="G1314" s="32"/>
      <c r="H1314" s="10"/>
      <c r="I1314" s="10"/>
      <c r="J1314" s="10"/>
      <c r="K1314" s="12"/>
      <c r="M1314" s="10">
        <v>38</v>
      </c>
      <c r="N1314" s="30"/>
      <c r="O1314" s="31"/>
      <c r="P1314" s="47"/>
      <c r="Q1314" s="31"/>
      <c r="R1314" s="31"/>
      <c r="S1314" s="32">
        <f t="shared" si="363"/>
        <v>0</v>
      </c>
      <c r="T1314" s="10"/>
      <c r="U1314" s="10"/>
      <c r="V1314" s="10"/>
      <c r="W1314" s="12">
        <f t="shared" si="364"/>
        <v>0</v>
      </c>
      <c r="Y1314" s="10">
        <v>38</v>
      </c>
      <c r="Z1314" s="30"/>
      <c r="AA1314" s="31"/>
      <c r="AB1314" s="47"/>
      <c r="AC1314" s="31"/>
      <c r="AD1314" s="31"/>
      <c r="AE1314" s="32">
        <f t="shared" si="370"/>
        <v>0</v>
      </c>
      <c r="AF1314" s="10"/>
      <c r="AG1314" s="10"/>
      <c r="AH1314" s="10"/>
      <c r="AI1314" s="12">
        <f t="shared" si="366"/>
        <v>0</v>
      </c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10"/>
      <c r="B1315" s="30"/>
      <c r="C1315" s="31"/>
      <c r="D1315" s="32"/>
      <c r="E1315" s="32"/>
      <c r="F1315" s="32"/>
      <c r="G1315" s="32"/>
      <c r="H1315" s="10"/>
      <c r="I1315" s="10"/>
      <c r="J1315" s="10"/>
      <c r="K1315" s="12"/>
      <c r="M1315" s="10">
        <v>39</v>
      </c>
      <c r="N1315" s="30"/>
      <c r="O1315" s="31"/>
      <c r="P1315" s="47"/>
      <c r="Q1315" s="31"/>
      <c r="R1315" s="31"/>
      <c r="S1315" s="32">
        <f t="shared" si="363"/>
        <v>0</v>
      </c>
      <c r="T1315" s="10"/>
      <c r="U1315" s="10"/>
      <c r="V1315" s="10"/>
      <c r="W1315" s="12">
        <f t="shared" si="364"/>
        <v>0</v>
      </c>
      <c r="Y1315" s="10">
        <v>39</v>
      </c>
      <c r="Z1315" s="30"/>
      <c r="AA1315" s="31"/>
      <c r="AB1315" s="47"/>
      <c r="AC1315" s="31"/>
      <c r="AD1315" s="31"/>
      <c r="AE1315" s="32">
        <f t="shared" si="370"/>
        <v>0</v>
      </c>
      <c r="AF1315" s="10"/>
      <c r="AG1315" s="10"/>
      <c r="AH1315" s="10"/>
      <c r="AI1315" s="12">
        <f t="shared" si="366"/>
        <v>0</v>
      </c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10"/>
      <c r="B1316" s="30"/>
      <c r="C1316" s="31"/>
      <c r="D1316" s="32"/>
      <c r="E1316" s="32"/>
      <c r="F1316" s="32"/>
      <c r="G1316" s="32"/>
      <c r="H1316" s="10"/>
      <c r="I1316" s="10"/>
      <c r="J1316" s="10"/>
      <c r="K1316" s="12"/>
      <c r="M1316" s="10"/>
      <c r="N1316" s="30"/>
      <c r="P1316" s="47"/>
      <c r="Q1316" s="31"/>
      <c r="R1316" s="31"/>
      <c r="S1316" s="32"/>
      <c r="T1316" s="10"/>
      <c r="U1316" s="10"/>
      <c r="V1316" s="10"/>
      <c r="W1316" s="12">
        <f t="shared" si="364"/>
        <v>0</v>
      </c>
      <c r="Y1316" s="10"/>
      <c r="Z1316" s="30"/>
      <c r="AB1316" s="47"/>
      <c r="AC1316" s="31"/>
      <c r="AD1316" s="31"/>
      <c r="AE1316" s="32"/>
      <c r="AF1316" s="10"/>
      <c r="AG1316" s="10"/>
      <c r="AH1316" s="10"/>
      <c r="AI1316" s="12">
        <f t="shared" si="366"/>
        <v>0</v>
      </c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10"/>
      <c r="B1317" s="30"/>
      <c r="C1317" s="31"/>
      <c r="D1317" s="32"/>
      <c r="E1317" s="32"/>
      <c r="F1317" s="32"/>
      <c r="G1317" s="32">
        <f t="shared" ref="G1317" si="371">SUM(D1317:E1317)</f>
        <v>0</v>
      </c>
      <c r="H1317" s="10"/>
      <c r="I1317" s="10"/>
      <c r="J1317" s="10"/>
      <c r="K1317" s="12">
        <f t="shared" ref="K1317" si="372">SUM(G1317:J1317)</f>
        <v>0</v>
      </c>
      <c r="M1317" s="10"/>
      <c r="N1317" s="30"/>
      <c r="O1317" s="31"/>
      <c r="P1317" s="47"/>
      <c r="Q1317" s="31"/>
      <c r="R1317" s="31"/>
      <c r="S1317" s="32">
        <f t="shared" ref="S1317" si="373">SUM(P1317:Q1317)</f>
        <v>0</v>
      </c>
      <c r="T1317" s="10"/>
      <c r="U1317" s="10"/>
      <c r="V1317" s="10"/>
      <c r="W1317" s="12">
        <f t="shared" si="364"/>
        <v>0</v>
      </c>
      <c r="Y1317" s="10"/>
      <c r="Z1317" s="30"/>
      <c r="AA1317" s="31"/>
      <c r="AB1317" s="47"/>
      <c r="AC1317" s="31"/>
      <c r="AD1317" s="31"/>
      <c r="AE1317" s="32">
        <f t="shared" ref="AE1317" si="374">SUM(AB1317:AC1317)</f>
        <v>0</v>
      </c>
      <c r="AF1317" s="10"/>
      <c r="AG1317" s="10"/>
      <c r="AH1317" s="10"/>
      <c r="AI1317" s="12">
        <f t="shared" si="366"/>
        <v>0</v>
      </c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10"/>
      <c r="B1318" s="30"/>
      <c r="C1318" s="30"/>
      <c r="D1318" s="32"/>
      <c r="E1318" s="32"/>
      <c r="F1318" s="32"/>
      <c r="G1318" s="32"/>
      <c r="H1318" s="10"/>
      <c r="I1318" s="10"/>
      <c r="J1318" s="10"/>
      <c r="K1318" s="12"/>
      <c r="M1318" s="10"/>
      <c r="N1318" s="31"/>
      <c r="O1318" s="31"/>
      <c r="P1318" s="31"/>
      <c r="Q1318" s="31"/>
      <c r="R1318" s="31"/>
      <c r="S1318" s="31"/>
      <c r="T1318" s="10"/>
      <c r="U1318" s="10"/>
      <c r="V1318" s="10"/>
      <c r="W1318" s="12">
        <f t="shared" si="364"/>
        <v>0</v>
      </c>
      <c r="Y1318" s="10"/>
      <c r="Z1318" s="31"/>
      <c r="AA1318" s="31"/>
      <c r="AB1318" s="31"/>
      <c r="AC1318" s="31"/>
      <c r="AD1318" s="31"/>
      <c r="AE1318" s="31"/>
      <c r="AF1318" s="10"/>
      <c r="AG1318" s="10"/>
      <c r="AH1318" s="10"/>
      <c r="AI1318" s="12">
        <f t="shared" si="366"/>
        <v>0</v>
      </c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B1319" s="57"/>
      <c r="C1319" s="57"/>
      <c r="D1319" s="36"/>
      <c r="E1319" s="36"/>
      <c r="F1319" s="36"/>
      <c r="G1319" s="36"/>
      <c r="H1319" s="37"/>
      <c r="I1319" s="37"/>
      <c r="J1319" s="37"/>
      <c r="K1319" s="37"/>
      <c r="N1319" s="57"/>
      <c r="O1319" s="57"/>
      <c r="P1319" s="36"/>
      <c r="Q1319" s="36"/>
      <c r="R1319" s="36"/>
      <c r="S1319" s="36"/>
      <c r="T1319" s="37"/>
      <c r="U1319" s="37"/>
      <c r="V1319" s="37"/>
      <c r="W1319" s="37"/>
      <c r="Z1319" s="57"/>
      <c r="AA1319" s="57"/>
      <c r="AB1319" s="36"/>
      <c r="AC1319" s="36"/>
      <c r="AD1319" s="36"/>
      <c r="AE1319" s="36"/>
      <c r="AF1319" s="37"/>
      <c r="AG1319" s="37"/>
      <c r="AH1319" s="37"/>
      <c r="AI1319" s="37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B1320" s="57"/>
      <c r="C1320" s="57"/>
      <c r="D1320" s="38">
        <f>SUM(D1277:D1319)</f>
        <v>208152</v>
      </c>
      <c r="E1320" s="38">
        <f t="shared" ref="E1320:F1320" si="375">SUM(E1277:E1317)</f>
        <v>0</v>
      </c>
      <c r="F1320" s="38">
        <f t="shared" si="375"/>
        <v>0</v>
      </c>
      <c r="G1320" s="38">
        <f>SUM(G1277:G1319)</f>
        <v>208152</v>
      </c>
      <c r="H1320" s="4"/>
      <c r="I1320" s="39">
        <f>SUM(I1277:I1319)</f>
        <v>474</v>
      </c>
      <c r="J1320" s="39">
        <f>SUM(J1277:J1319)</f>
        <v>-222</v>
      </c>
      <c r="K1320" s="40">
        <f>SUM(K1277:K1319)</f>
        <v>208404</v>
      </c>
      <c r="N1320" s="57"/>
      <c r="O1320" s="57"/>
      <c r="P1320" s="38">
        <f>SUM(P1277:P1319)</f>
        <v>138273.5</v>
      </c>
      <c r="Q1320" s="38">
        <f>SUM(Q1277:Q1301)</f>
        <v>-1200</v>
      </c>
      <c r="R1320" s="38">
        <f>SUM(R1277:R1301)</f>
        <v>0</v>
      </c>
      <c r="S1320" s="38">
        <f>SUM(S1277:S1319)</f>
        <v>137073.5</v>
      </c>
      <c r="T1320" s="4"/>
      <c r="U1320" s="41">
        <f>SUM(U1277:U1319)</f>
        <v>0</v>
      </c>
      <c r="V1320" s="41">
        <f>SUM(V1277:V1301)</f>
        <v>-12321</v>
      </c>
      <c r="W1320" s="42">
        <f>SUM(W1277:W1319)</f>
        <v>124752.5</v>
      </c>
      <c r="Z1320" s="57"/>
      <c r="AA1320" s="57"/>
      <c r="AB1320" s="38">
        <f>SUM(AB1277:AB1319)</f>
        <v>181134</v>
      </c>
      <c r="AC1320" s="38">
        <f>SUM(AC1277:AC1301)</f>
        <v>-1260</v>
      </c>
      <c r="AD1320" s="38">
        <f>SUM(AD1277:AD1301)</f>
        <v>0</v>
      </c>
      <c r="AE1320" s="38">
        <f>SUM(AE1277:AE1319)</f>
        <v>179874</v>
      </c>
      <c r="AF1320" s="4"/>
      <c r="AG1320" s="41">
        <f>SUM(AG1277:AG1319)</f>
        <v>769.5</v>
      </c>
      <c r="AH1320" s="41">
        <f>SUM(AH1277:AH1301)</f>
        <v>-1110</v>
      </c>
      <c r="AI1320" s="42">
        <f>SUM(AI1277:AI1319)</f>
        <v>179533.5</v>
      </c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Y1321" s="18"/>
      <c r="Z1321" s="18"/>
      <c r="AA1321" s="18"/>
      <c r="AB1321" s="18"/>
      <c r="AC1321" s="18"/>
      <c r="AD1321" s="18"/>
      <c r="AE1321" s="18"/>
      <c r="AF1321" s="18"/>
      <c r="AG1321" s="18"/>
      <c r="AH1321" s="18"/>
      <c r="AI1321" s="18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M1322" s="62"/>
      <c r="N1322" s="66"/>
      <c r="O1322" s="73"/>
      <c r="P1322" s="69"/>
      <c r="Q1322" s="73"/>
      <c r="R1322" s="75"/>
      <c r="S1322" s="60"/>
      <c r="T1322" s="62"/>
      <c r="U1322" s="62"/>
      <c r="V1322" s="62"/>
      <c r="W1322" s="61"/>
      <c r="Y1322" t="s">
        <v>0</v>
      </c>
      <c r="Z1322" s="57"/>
      <c r="AA1322" s="57"/>
      <c r="AB1322" s="57"/>
      <c r="AC1322" s="57"/>
      <c r="AD1322" s="57"/>
      <c r="AE1322" s="57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M1323" s="62"/>
      <c r="N1323" s="66"/>
      <c r="O1323" s="73"/>
      <c r="P1323" s="69"/>
      <c r="Q1323" s="73"/>
      <c r="R1323" s="75"/>
      <c r="S1323" s="60"/>
      <c r="T1323" s="62"/>
      <c r="U1323" s="62"/>
      <c r="V1323" s="62"/>
      <c r="W1323" s="61"/>
      <c r="Y1323" t="s">
        <v>28</v>
      </c>
      <c r="Z1323" s="57"/>
      <c r="AA1323" s="57"/>
      <c r="AB1323" s="57"/>
      <c r="AC1323" s="57"/>
      <c r="AD1323" s="57"/>
      <c r="AE1323" s="57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M1324" s="62"/>
      <c r="N1324" s="66"/>
      <c r="O1324" s="62"/>
      <c r="P1324" s="69"/>
      <c r="Q1324" s="73"/>
      <c r="R1324" s="75"/>
      <c r="S1324" s="60"/>
      <c r="T1324" s="62"/>
      <c r="U1324" s="62"/>
      <c r="V1324" s="62"/>
      <c r="W1324" s="61"/>
      <c r="Z1324" s="57"/>
      <c r="AA1324" s="57"/>
      <c r="AB1324" s="57"/>
      <c r="AC1324" s="57"/>
      <c r="AD1324" s="57"/>
      <c r="AE1324" s="57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M1325" s="62"/>
      <c r="N1325" s="66"/>
      <c r="O1325" s="73"/>
      <c r="P1325" s="69"/>
      <c r="Q1325" s="73"/>
      <c r="R1325" s="75"/>
      <c r="S1325" s="60"/>
      <c r="T1325" s="62"/>
      <c r="U1325" s="62"/>
      <c r="V1325" s="62"/>
      <c r="W1325" s="61"/>
      <c r="Y1325" s="4" t="s">
        <v>14</v>
      </c>
      <c r="Z1325" s="57"/>
      <c r="AA1325" s="57"/>
      <c r="AB1325" s="57"/>
      <c r="AC1325" s="57"/>
      <c r="AD1325" s="57"/>
      <c r="AE1325" s="57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M1326" s="62"/>
      <c r="N1326" s="73"/>
      <c r="O1326" s="73"/>
      <c r="P1326" s="73"/>
      <c r="Q1326" s="73"/>
      <c r="R1326" s="75"/>
      <c r="S1326" s="73"/>
      <c r="T1326" s="62"/>
      <c r="U1326" s="62"/>
      <c r="V1326" s="62"/>
      <c r="W1326" s="61"/>
      <c r="Z1326" s="57"/>
      <c r="AA1326" s="57"/>
      <c r="AB1326" s="57"/>
      <c r="AC1326" s="57"/>
      <c r="AD1326" s="57"/>
      <c r="AE1326" s="57"/>
    </row>
    <row r="1327" spans="1:52" x14ac:dyDescent="0.25">
      <c r="A1327" s="62"/>
      <c r="B1327" s="73"/>
      <c r="C1327" s="73"/>
      <c r="D1327" s="73"/>
      <c r="E1327" s="73"/>
      <c r="F1327" s="75"/>
      <c r="G1327" s="73"/>
      <c r="H1327" s="62"/>
      <c r="I1327" s="62"/>
      <c r="J1327" s="62"/>
      <c r="K1327" s="62"/>
      <c r="M1327" s="62"/>
      <c r="N1327" s="73"/>
      <c r="O1327" s="73"/>
      <c r="P1327" s="73"/>
      <c r="Q1327" s="73"/>
      <c r="R1327" s="75"/>
      <c r="S1327" s="73"/>
      <c r="T1327" s="62"/>
      <c r="U1327" s="62"/>
      <c r="V1327" s="62"/>
      <c r="W1327" s="62"/>
      <c r="Y1327" t="s">
        <v>40</v>
      </c>
      <c r="Z1327" s="57"/>
      <c r="AA1327" s="57"/>
      <c r="AB1327" s="57"/>
      <c r="AC1327" s="57"/>
      <c r="AD1327" s="57"/>
      <c r="AE1327" s="57"/>
      <c r="AG1327" s="57" t="s">
        <v>15</v>
      </c>
      <c r="AH1327" s="20">
        <v>3</v>
      </c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Y1328" s="21" t="s">
        <v>112</v>
      </c>
      <c r="Z1328" s="20"/>
      <c r="AA1328" s="57"/>
      <c r="AB1328" s="57"/>
      <c r="AC1328" s="57"/>
      <c r="AD1328" s="57"/>
      <c r="AE1328" s="57"/>
      <c r="AG1328" s="22" t="s">
        <v>16</v>
      </c>
      <c r="AH1328" s="23" t="s">
        <v>54</v>
      </c>
      <c r="AI1328" s="24"/>
    </row>
    <row r="1329" spans="1:35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Z1329" s="57"/>
      <c r="AA1329" s="57"/>
      <c r="AB1329" s="57"/>
      <c r="AC1329" s="57"/>
      <c r="AD1329" s="57"/>
      <c r="AE1329" s="57"/>
    </row>
    <row r="1330" spans="1:35" x14ac:dyDescent="0.25">
      <c r="Z1330" s="25"/>
      <c r="AA1330" s="26"/>
      <c r="AB1330" s="126" t="s">
        <v>17</v>
      </c>
      <c r="AC1330" s="126"/>
      <c r="AD1330" s="116"/>
      <c r="AE1330" s="27"/>
      <c r="AG1330" s="122" t="s">
        <v>18</v>
      </c>
      <c r="AH1330" s="123"/>
      <c r="AI1330" s="124" t="s">
        <v>19</v>
      </c>
    </row>
    <row r="1331" spans="1:35" ht="30" x14ac:dyDescent="0.25">
      <c r="Z1331" s="28" t="s">
        <v>20</v>
      </c>
      <c r="AA1331" s="28" t="s">
        <v>21</v>
      </c>
      <c r="AB1331" s="78" t="s">
        <v>22</v>
      </c>
      <c r="AC1331" s="79" t="s">
        <v>23</v>
      </c>
      <c r="AD1331" s="79" t="s">
        <v>32</v>
      </c>
      <c r="AE1331" s="79" t="s">
        <v>24</v>
      </c>
      <c r="AG1331" s="29" t="s">
        <v>25</v>
      </c>
      <c r="AH1331" s="29" t="s">
        <v>26</v>
      </c>
      <c r="AI1331" s="125"/>
    </row>
    <row r="1332" spans="1:35" x14ac:dyDescent="0.25">
      <c r="Y1332" s="10">
        <v>1</v>
      </c>
      <c r="Z1332" s="30" t="s">
        <v>113</v>
      </c>
      <c r="AA1332" s="31">
        <v>8690</v>
      </c>
      <c r="AB1332" s="32">
        <f>70200+2616+916</f>
        <v>73732</v>
      </c>
      <c r="AC1332" s="32">
        <v>-666</v>
      </c>
      <c r="AD1332" s="32"/>
      <c r="AE1332" s="32">
        <f>SUM(AB1332:AC1332)</f>
        <v>73066</v>
      </c>
      <c r="AF1332" s="12"/>
      <c r="AG1332" s="12"/>
      <c r="AH1332" s="12">
        <f>-24*111</f>
        <v>-2664</v>
      </c>
      <c r="AI1332" s="12">
        <f>SUM(AE1332:AH1332)</f>
        <v>70402</v>
      </c>
    </row>
    <row r="1333" spans="1:35" x14ac:dyDescent="0.25">
      <c r="Y1333" s="10">
        <v>2</v>
      </c>
      <c r="Z1333" s="30" t="s">
        <v>113</v>
      </c>
      <c r="AA1333" s="31">
        <f>AA1332+1</f>
        <v>8691</v>
      </c>
      <c r="AB1333" s="32">
        <f>650*108+622*40+1050*2+872*2+229*6</f>
        <v>100298</v>
      </c>
      <c r="AC1333" s="32">
        <v>-912</v>
      </c>
      <c r="AD1333" s="32"/>
      <c r="AE1333" s="32">
        <f t="shared" ref="AE1333:AE1370" si="376">SUM(AB1333:AC1333)</f>
        <v>99386</v>
      </c>
      <c r="AF1333" s="12"/>
      <c r="AG1333" s="12">
        <f>51*111</f>
        <v>5661</v>
      </c>
      <c r="AH1333" s="12"/>
      <c r="AI1333" s="12">
        <f t="shared" ref="AI1333:AI1373" si="377">SUM(AE1333:AH1333)</f>
        <v>105047</v>
      </c>
    </row>
    <row r="1334" spans="1:35" x14ac:dyDescent="0.25">
      <c r="Y1334" s="10">
        <v>3</v>
      </c>
      <c r="Z1334" s="30" t="s">
        <v>113</v>
      </c>
      <c r="AA1334" s="31">
        <f t="shared" ref="AA1334:AA1335" si="378">AA1333+1</f>
        <v>8692</v>
      </c>
      <c r="AB1334" s="33">
        <f>1582*2</f>
        <v>3164</v>
      </c>
      <c r="AC1334" s="33"/>
      <c r="AD1334" s="32"/>
      <c r="AE1334" s="32">
        <f t="shared" si="376"/>
        <v>3164</v>
      </c>
      <c r="AF1334" s="12"/>
      <c r="AG1334" s="12"/>
      <c r="AH1334" s="12"/>
      <c r="AI1334" s="12">
        <f t="shared" si="377"/>
        <v>3164</v>
      </c>
    </row>
    <row r="1335" spans="1:35" x14ac:dyDescent="0.25">
      <c r="Y1335" s="10">
        <v>4</v>
      </c>
      <c r="Z1335" s="30" t="s">
        <v>113</v>
      </c>
      <c r="AA1335" s="31">
        <f t="shared" si="378"/>
        <v>8693</v>
      </c>
      <c r="AB1335" s="32">
        <f>650*21+622*10</f>
        <v>19870</v>
      </c>
      <c r="AC1335" s="32"/>
      <c r="AD1335" s="32"/>
      <c r="AE1335" s="32">
        <f t="shared" si="376"/>
        <v>19870</v>
      </c>
      <c r="AF1335" s="12"/>
      <c r="AH1335" s="12">
        <f>-19*111</f>
        <v>-2109</v>
      </c>
      <c r="AI1335" s="12">
        <f t="shared" si="377"/>
        <v>17761</v>
      </c>
    </row>
    <row r="1336" spans="1:35" x14ac:dyDescent="0.25">
      <c r="Y1336" s="10">
        <v>5</v>
      </c>
      <c r="Z1336" s="30"/>
      <c r="AA1336" s="11" t="s">
        <v>27</v>
      </c>
      <c r="AB1336" s="32"/>
      <c r="AC1336" s="32"/>
      <c r="AD1336" s="32"/>
      <c r="AE1336" s="32">
        <f t="shared" si="376"/>
        <v>0</v>
      </c>
      <c r="AF1336" s="12"/>
      <c r="AG1336" s="12"/>
      <c r="AH1336" s="12"/>
      <c r="AI1336" s="12">
        <f t="shared" si="377"/>
        <v>0</v>
      </c>
    </row>
    <row r="1337" spans="1:35" x14ac:dyDescent="0.25">
      <c r="Y1337" s="10">
        <v>6</v>
      </c>
      <c r="Z1337" s="30"/>
      <c r="AA1337" s="31"/>
      <c r="AB1337" s="32"/>
      <c r="AC1337" s="32"/>
      <c r="AD1337" s="32"/>
      <c r="AE1337" s="32">
        <f t="shared" si="376"/>
        <v>0</v>
      </c>
      <c r="AF1337" s="12"/>
      <c r="AG1337" s="12"/>
      <c r="AH1337" s="10"/>
      <c r="AI1337" s="12">
        <f t="shared" si="377"/>
        <v>0</v>
      </c>
    </row>
    <row r="1338" spans="1:35" x14ac:dyDescent="0.25">
      <c r="Y1338" s="10">
        <v>7</v>
      </c>
      <c r="Z1338" s="30"/>
      <c r="AB1338" s="32"/>
      <c r="AC1338" s="32"/>
      <c r="AD1338" s="32"/>
      <c r="AE1338" s="32">
        <f t="shared" si="376"/>
        <v>0</v>
      </c>
      <c r="AF1338" s="12"/>
      <c r="AG1338" s="58"/>
      <c r="AH1338" s="12"/>
      <c r="AI1338" s="12">
        <f t="shared" si="377"/>
        <v>0</v>
      </c>
    </row>
    <row r="1339" spans="1:35" x14ac:dyDescent="0.25">
      <c r="Y1339" s="10">
        <v>8</v>
      </c>
      <c r="Z1339" s="30"/>
      <c r="AA1339" s="31"/>
      <c r="AB1339" s="32"/>
      <c r="AC1339" s="32"/>
      <c r="AE1339" s="32">
        <f t="shared" si="376"/>
        <v>0</v>
      </c>
      <c r="AF1339" s="12"/>
      <c r="AG1339" s="12"/>
      <c r="AH1339" s="12"/>
      <c r="AI1339" s="12">
        <f t="shared" si="377"/>
        <v>0</v>
      </c>
    </row>
    <row r="1340" spans="1:35" x14ac:dyDescent="0.25">
      <c r="Y1340" s="10">
        <v>9</v>
      </c>
      <c r="Z1340" s="30"/>
      <c r="AA1340" s="31"/>
      <c r="AB1340" s="32"/>
      <c r="AC1340" s="32"/>
      <c r="AD1340" s="32"/>
      <c r="AE1340" s="32">
        <f t="shared" si="376"/>
        <v>0</v>
      </c>
      <c r="AF1340" s="12"/>
      <c r="AH1340" s="12"/>
      <c r="AI1340" s="12">
        <f t="shared" si="377"/>
        <v>0</v>
      </c>
    </row>
    <row r="1341" spans="1:35" x14ac:dyDescent="0.25">
      <c r="Y1341" s="10">
        <v>10</v>
      </c>
      <c r="Z1341" s="30"/>
      <c r="AB1341" s="32"/>
      <c r="AC1341" s="32"/>
      <c r="AD1341" s="32"/>
      <c r="AE1341" s="32">
        <f t="shared" si="376"/>
        <v>0</v>
      </c>
      <c r="AF1341" s="12"/>
      <c r="AG1341" s="12"/>
      <c r="AH1341" s="12"/>
      <c r="AI1341" s="12">
        <f t="shared" si="377"/>
        <v>0</v>
      </c>
    </row>
    <row r="1342" spans="1:35" x14ac:dyDescent="0.25">
      <c r="Y1342" s="10">
        <v>11</v>
      </c>
      <c r="Z1342" s="30"/>
      <c r="AA1342" s="31"/>
      <c r="AB1342" s="32"/>
      <c r="AC1342" s="32"/>
      <c r="AD1342" s="32"/>
      <c r="AE1342" s="32">
        <f t="shared" si="376"/>
        <v>0</v>
      </c>
      <c r="AF1342" s="12"/>
      <c r="AG1342" s="12"/>
      <c r="AH1342" s="12"/>
      <c r="AI1342" s="12">
        <f t="shared" si="377"/>
        <v>0</v>
      </c>
    </row>
    <row r="1343" spans="1:35" x14ac:dyDescent="0.25">
      <c r="Y1343" s="10">
        <v>12</v>
      </c>
      <c r="Z1343" s="30"/>
      <c r="AA1343" s="31"/>
      <c r="AB1343" s="32"/>
      <c r="AC1343" s="32"/>
      <c r="AD1343" s="32"/>
      <c r="AE1343" s="32">
        <f t="shared" si="376"/>
        <v>0</v>
      </c>
      <c r="AF1343" s="12"/>
      <c r="AG1343" s="12"/>
      <c r="AH1343" s="12"/>
      <c r="AI1343" s="12">
        <f t="shared" si="377"/>
        <v>0</v>
      </c>
    </row>
    <row r="1344" spans="1:35" x14ac:dyDescent="0.25">
      <c r="Y1344" s="10">
        <v>13</v>
      </c>
      <c r="Z1344" s="30"/>
      <c r="AA1344" s="31"/>
      <c r="AB1344" s="32"/>
      <c r="AC1344" s="32"/>
      <c r="AD1344" s="32"/>
      <c r="AE1344" s="32">
        <f t="shared" si="376"/>
        <v>0</v>
      </c>
      <c r="AF1344" s="12"/>
      <c r="AG1344" s="12"/>
      <c r="AH1344" s="12"/>
      <c r="AI1344" s="12">
        <f t="shared" si="377"/>
        <v>0</v>
      </c>
    </row>
    <row r="1345" spans="25:35" x14ac:dyDescent="0.25">
      <c r="Y1345" s="10">
        <v>14</v>
      </c>
      <c r="Z1345" s="30"/>
      <c r="AA1345" s="31"/>
      <c r="AB1345" s="32"/>
      <c r="AC1345" s="32"/>
      <c r="AD1345" s="32"/>
      <c r="AE1345" s="32">
        <f t="shared" si="376"/>
        <v>0</v>
      </c>
      <c r="AF1345" s="12"/>
      <c r="AG1345" s="12"/>
      <c r="AH1345" s="12"/>
      <c r="AI1345" s="12">
        <f t="shared" si="377"/>
        <v>0</v>
      </c>
    </row>
    <row r="1346" spans="25:35" x14ac:dyDescent="0.25">
      <c r="Y1346" s="10">
        <v>15</v>
      </c>
      <c r="Z1346" s="30"/>
      <c r="AA1346" s="31"/>
      <c r="AB1346" s="32"/>
      <c r="AC1346" s="32"/>
      <c r="AD1346" s="32"/>
      <c r="AE1346" s="32">
        <f t="shared" si="376"/>
        <v>0</v>
      </c>
      <c r="AF1346" s="12"/>
      <c r="AG1346" s="12"/>
      <c r="AH1346" s="12"/>
      <c r="AI1346" s="12">
        <f t="shared" si="377"/>
        <v>0</v>
      </c>
    </row>
    <row r="1347" spans="25:35" x14ac:dyDescent="0.25">
      <c r="Y1347" s="10">
        <v>16</v>
      </c>
      <c r="Z1347" s="30"/>
      <c r="AA1347" s="31"/>
      <c r="AB1347" s="32"/>
      <c r="AC1347" s="32"/>
      <c r="AD1347" s="32"/>
      <c r="AE1347" s="32">
        <f t="shared" si="376"/>
        <v>0</v>
      </c>
      <c r="AF1347" s="12"/>
      <c r="AG1347" s="12"/>
      <c r="AH1347" s="12"/>
      <c r="AI1347" s="12">
        <f t="shared" si="377"/>
        <v>0</v>
      </c>
    </row>
    <row r="1348" spans="25:35" x14ac:dyDescent="0.25">
      <c r="Y1348" s="10">
        <v>17</v>
      </c>
      <c r="Z1348" s="30"/>
      <c r="AA1348" s="31"/>
      <c r="AB1348" s="35"/>
      <c r="AC1348" s="32"/>
      <c r="AD1348" s="32"/>
      <c r="AE1348" s="32">
        <f t="shared" si="376"/>
        <v>0</v>
      </c>
      <c r="AF1348" s="12"/>
      <c r="AG1348" s="12"/>
      <c r="AH1348" s="12"/>
      <c r="AI1348" s="12">
        <f t="shared" si="377"/>
        <v>0</v>
      </c>
    </row>
    <row r="1349" spans="25:35" x14ac:dyDescent="0.25">
      <c r="Y1349" s="10">
        <v>18</v>
      </c>
      <c r="Z1349" s="30"/>
      <c r="AA1349" s="31"/>
      <c r="AB1349" s="32"/>
      <c r="AC1349" s="32"/>
      <c r="AD1349" s="32"/>
      <c r="AE1349" s="32">
        <f t="shared" si="376"/>
        <v>0</v>
      </c>
      <c r="AF1349" s="12"/>
      <c r="AG1349" s="12"/>
      <c r="AH1349" s="12"/>
      <c r="AI1349" s="12">
        <f t="shared" si="377"/>
        <v>0</v>
      </c>
    </row>
    <row r="1350" spans="25:35" x14ac:dyDescent="0.25">
      <c r="Y1350" s="10">
        <v>19</v>
      </c>
      <c r="Z1350" s="30"/>
      <c r="AA1350" s="31"/>
      <c r="AB1350" s="32"/>
      <c r="AC1350" s="32"/>
      <c r="AD1350" s="32"/>
      <c r="AE1350" s="32">
        <f t="shared" si="376"/>
        <v>0</v>
      </c>
      <c r="AF1350" s="12"/>
      <c r="AG1350" s="12"/>
      <c r="AH1350" s="12"/>
      <c r="AI1350" s="12">
        <f t="shared" si="377"/>
        <v>0</v>
      </c>
    </row>
    <row r="1351" spans="25:35" x14ac:dyDescent="0.25">
      <c r="Y1351" s="10">
        <v>20</v>
      </c>
      <c r="Z1351" s="30"/>
      <c r="AA1351" s="31"/>
      <c r="AB1351" s="32"/>
      <c r="AC1351" s="32"/>
      <c r="AD1351" s="32"/>
      <c r="AE1351" s="32">
        <f t="shared" si="376"/>
        <v>0</v>
      </c>
      <c r="AF1351" s="12"/>
      <c r="AG1351" s="12"/>
      <c r="AH1351" s="12"/>
      <c r="AI1351" s="12">
        <f t="shared" si="377"/>
        <v>0</v>
      </c>
    </row>
    <row r="1352" spans="25:35" x14ac:dyDescent="0.25">
      <c r="Y1352" s="10">
        <v>21</v>
      </c>
      <c r="Z1352" s="30"/>
      <c r="AB1352" s="46"/>
      <c r="AC1352" s="31"/>
      <c r="AD1352" s="31"/>
      <c r="AE1352" s="32">
        <f t="shared" si="376"/>
        <v>0</v>
      </c>
      <c r="AF1352" s="10"/>
      <c r="AG1352" s="10"/>
      <c r="AH1352" s="10"/>
      <c r="AI1352" s="12">
        <f t="shared" si="377"/>
        <v>0</v>
      </c>
    </row>
    <row r="1353" spans="25:35" x14ac:dyDescent="0.25">
      <c r="Y1353" s="10">
        <v>22</v>
      </c>
      <c r="Z1353" s="30"/>
      <c r="AA1353" s="31"/>
      <c r="AB1353" s="45"/>
      <c r="AC1353" s="31"/>
      <c r="AD1353" s="31"/>
      <c r="AE1353" s="32">
        <f t="shared" si="376"/>
        <v>0</v>
      </c>
      <c r="AF1353" s="10"/>
      <c r="AG1353" s="10"/>
      <c r="AH1353" s="10"/>
      <c r="AI1353" s="12">
        <f t="shared" si="377"/>
        <v>0</v>
      </c>
    </row>
    <row r="1354" spans="25:35" x14ac:dyDescent="0.25">
      <c r="Y1354" s="10">
        <v>23</v>
      </c>
      <c r="Z1354" s="30"/>
      <c r="AB1354" s="47"/>
      <c r="AC1354" s="31"/>
      <c r="AE1354" s="32">
        <f t="shared" si="376"/>
        <v>0</v>
      </c>
      <c r="AF1354" s="10"/>
      <c r="AG1354" s="10"/>
      <c r="AH1354" s="10"/>
      <c r="AI1354" s="12">
        <f t="shared" si="377"/>
        <v>0</v>
      </c>
    </row>
    <row r="1355" spans="25:35" x14ac:dyDescent="0.25">
      <c r="Y1355" s="10">
        <v>24</v>
      </c>
      <c r="Z1355" s="30"/>
      <c r="AA1355" s="31"/>
      <c r="AB1355" s="47"/>
      <c r="AC1355" s="31"/>
      <c r="AD1355" s="31"/>
      <c r="AE1355" s="32">
        <f t="shared" si="376"/>
        <v>0</v>
      </c>
      <c r="AF1355" s="10"/>
      <c r="AG1355" s="10"/>
      <c r="AH1355" s="10"/>
      <c r="AI1355" s="12">
        <f t="shared" si="377"/>
        <v>0</v>
      </c>
    </row>
    <row r="1356" spans="25:35" x14ac:dyDescent="0.25">
      <c r="Y1356" s="10">
        <v>25</v>
      </c>
      <c r="Z1356" s="30"/>
      <c r="AA1356" s="31"/>
      <c r="AB1356" s="47"/>
      <c r="AC1356" s="31"/>
      <c r="AD1356" s="31"/>
      <c r="AE1356" s="32">
        <f t="shared" si="376"/>
        <v>0</v>
      </c>
      <c r="AF1356" s="10"/>
      <c r="AG1356" s="10"/>
      <c r="AH1356" s="10"/>
      <c r="AI1356" s="12">
        <f t="shared" si="377"/>
        <v>0</v>
      </c>
    </row>
    <row r="1357" spans="25:35" x14ac:dyDescent="0.25">
      <c r="Y1357" s="10">
        <v>26</v>
      </c>
      <c r="Z1357" s="30"/>
      <c r="AA1357" s="31"/>
      <c r="AB1357" s="47"/>
      <c r="AC1357" s="31"/>
      <c r="AD1357" s="31"/>
      <c r="AE1357" s="32">
        <f t="shared" si="376"/>
        <v>0</v>
      </c>
      <c r="AF1357" s="10"/>
      <c r="AG1357" s="10"/>
      <c r="AH1357" s="10"/>
      <c r="AI1357" s="12">
        <f t="shared" si="377"/>
        <v>0</v>
      </c>
    </row>
    <row r="1358" spans="25:35" x14ac:dyDescent="0.25">
      <c r="Y1358" s="10">
        <v>27</v>
      </c>
      <c r="Z1358" s="30"/>
      <c r="AA1358" s="31"/>
      <c r="AB1358" s="47"/>
      <c r="AC1358" s="31"/>
      <c r="AD1358" s="31"/>
      <c r="AE1358" s="32">
        <f t="shared" si="376"/>
        <v>0</v>
      </c>
      <c r="AF1358" s="10"/>
      <c r="AG1358" s="10"/>
      <c r="AH1358" s="10"/>
      <c r="AI1358" s="12">
        <f t="shared" si="377"/>
        <v>0</v>
      </c>
    </row>
    <row r="1359" spans="25:35" x14ac:dyDescent="0.25">
      <c r="Y1359" s="10">
        <v>28</v>
      </c>
      <c r="Z1359" s="30"/>
      <c r="AA1359" s="31"/>
      <c r="AB1359" s="47"/>
      <c r="AC1359" s="31"/>
      <c r="AD1359" s="31"/>
      <c r="AE1359" s="32">
        <f t="shared" si="376"/>
        <v>0</v>
      </c>
      <c r="AF1359" s="10"/>
      <c r="AG1359" s="10"/>
      <c r="AH1359" s="10"/>
      <c r="AI1359" s="12">
        <f t="shared" si="377"/>
        <v>0</v>
      </c>
    </row>
    <row r="1360" spans="25:35" x14ac:dyDescent="0.25">
      <c r="Y1360" s="10">
        <v>29</v>
      </c>
      <c r="Z1360" s="30"/>
      <c r="AA1360" s="31"/>
      <c r="AB1360" s="47"/>
      <c r="AC1360" s="31"/>
      <c r="AD1360" s="31"/>
      <c r="AE1360" s="32">
        <f t="shared" si="376"/>
        <v>0</v>
      </c>
      <c r="AF1360" s="10"/>
      <c r="AG1360" s="10"/>
      <c r="AH1360" s="10"/>
      <c r="AI1360" s="12">
        <f t="shared" si="377"/>
        <v>0</v>
      </c>
    </row>
    <row r="1361" spans="1:35" x14ac:dyDescent="0.25">
      <c r="Y1361" s="10">
        <v>30</v>
      </c>
      <c r="Z1361" s="30"/>
      <c r="AA1361" s="31"/>
      <c r="AB1361" s="47"/>
      <c r="AC1361" s="31"/>
      <c r="AD1361" s="31"/>
      <c r="AE1361" s="32">
        <f t="shared" si="376"/>
        <v>0</v>
      </c>
      <c r="AF1361" s="10"/>
      <c r="AG1361" s="10"/>
      <c r="AH1361" s="10"/>
      <c r="AI1361" s="12">
        <f t="shared" si="377"/>
        <v>0</v>
      </c>
    </row>
    <row r="1362" spans="1:35" x14ac:dyDescent="0.25">
      <c r="Y1362" s="10">
        <v>31</v>
      </c>
      <c r="Z1362" s="30"/>
      <c r="AA1362" s="31"/>
      <c r="AB1362" s="47"/>
      <c r="AC1362" s="31"/>
      <c r="AD1362" s="31"/>
      <c r="AE1362" s="32">
        <f t="shared" si="376"/>
        <v>0</v>
      </c>
      <c r="AF1362" s="10"/>
      <c r="AG1362" s="10"/>
      <c r="AH1362" s="10"/>
      <c r="AI1362" s="12">
        <f t="shared" si="377"/>
        <v>0</v>
      </c>
    </row>
    <row r="1363" spans="1:35" x14ac:dyDescent="0.25">
      <c r="Y1363" s="10">
        <v>32</v>
      </c>
      <c r="Z1363" s="30"/>
      <c r="AA1363" s="31"/>
      <c r="AB1363" s="47"/>
      <c r="AC1363" s="31"/>
      <c r="AD1363" s="31"/>
      <c r="AE1363" s="32">
        <f t="shared" si="376"/>
        <v>0</v>
      </c>
      <c r="AF1363" s="10"/>
      <c r="AG1363" s="10"/>
      <c r="AH1363" s="10"/>
      <c r="AI1363" s="12">
        <f t="shared" si="377"/>
        <v>0</v>
      </c>
    </row>
    <row r="1364" spans="1:35" x14ac:dyDescent="0.25">
      <c r="Y1364" s="10">
        <v>33</v>
      </c>
      <c r="Z1364" s="30"/>
      <c r="AA1364" s="31"/>
      <c r="AB1364" s="47"/>
      <c r="AC1364" s="31"/>
      <c r="AD1364" s="31"/>
      <c r="AE1364" s="32">
        <f t="shared" si="376"/>
        <v>0</v>
      </c>
      <c r="AF1364" s="10"/>
      <c r="AG1364" s="10"/>
      <c r="AH1364" s="10"/>
      <c r="AI1364" s="12">
        <f t="shared" si="377"/>
        <v>0</v>
      </c>
    </row>
    <row r="1365" spans="1:35" x14ac:dyDescent="0.25">
      <c r="Y1365" s="10">
        <v>34</v>
      </c>
      <c r="Z1365" s="30"/>
      <c r="AA1365" s="31"/>
      <c r="AB1365" s="47"/>
      <c r="AC1365" s="31"/>
      <c r="AD1365" s="31"/>
      <c r="AE1365" s="32">
        <f t="shared" si="376"/>
        <v>0</v>
      </c>
      <c r="AF1365" s="10"/>
      <c r="AG1365" s="10"/>
      <c r="AH1365" s="10"/>
      <c r="AI1365" s="12">
        <f t="shared" si="377"/>
        <v>0</v>
      </c>
    </row>
    <row r="1366" spans="1:35" x14ac:dyDescent="0.25">
      <c r="Y1366" s="10">
        <v>35</v>
      </c>
      <c r="Z1366" s="30"/>
      <c r="AA1366" s="31"/>
      <c r="AB1366" s="47"/>
      <c r="AC1366" s="31"/>
      <c r="AD1366" s="31"/>
      <c r="AE1366" s="32">
        <f t="shared" si="376"/>
        <v>0</v>
      </c>
      <c r="AF1366" s="10"/>
      <c r="AG1366" s="10"/>
      <c r="AH1366" s="10"/>
      <c r="AI1366" s="12">
        <f t="shared" si="377"/>
        <v>0</v>
      </c>
    </row>
    <row r="1367" spans="1:35" x14ac:dyDescent="0.25">
      <c r="Y1367" s="10">
        <v>36</v>
      </c>
      <c r="Z1367" s="30"/>
      <c r="AA1367" s="31"/>
      <c r="AB1367" s="47"/>
      <c r="AC1367" s="31"/>
      <c r="AD1367" s="31"/>
      <c r="AE1367" s="32">
        <f t="shared" si="376"/>
        <v>0</v>
      </c>
      <c r="AF1367" s="10"/>
      <c r="AG1367" s="10"/>
      <c r="AH1367" s="10"/>
      <c r="AI1367" s="12">
        <f t="shared" si="377"/>
        <v>0</v>
      </c>
    </row>
    <row r="1368" spans="1:35" x14ac:dyDescent="0.25">
      <c r="Y1368" s="10">
        <v>37</v>
      </c>
      <c r="Z1368" s="30"/>
      <c r="AA1368" s="31"/>
      <c r="AB1368" s="47"/>
      <c r="AC1368" s="31"/>
      <c r="AD1368" s="31"/>
      <c r="AE1368" s="32">
        <f t="shared" si="376"/>
        <v>0</v>
      </c>
      <c r="AF1368" s="10"/>
      <c r="AG1368" s="10"/>
      <c r="AH1368" s="10"/>
      <c r="AI1368" s="12">
        <f t="shared" si="377"/>
        <v>0</v>
      </c>
    </row>
    <row r="1369" spans="1:35" x14ac:dyDescent="0.25">
      <c r="Y1369" s="10">
        <v>38</v>
      </c>
      <c r="Z1369" s="30"/>
      <c r="AA1369" s="31"/>
      <c r="AB1369" s="47"/>
      <c r="AC1369" s="31"/>
      <c r="AD1369" s="31"/>
      <c r="AE1369" s="32">
        <f t="shared" si="376"/>
        <v>0</v>
      </c>
      <c r="AF1369" s="10"/>
      <c r="AG1369" s="10"/>
      <c r="AH1369" s="10"/>
      <c r="AI1369" s="12">
        <f t="shared" si="377"/>
        <v>0</v>
      </c>
    </row>
    <row r="1370" spans="1:35" x14ac:dyDescent="0.25">
      <c r="Y1370" s="10">
        <v>39</v>
      </c>
      <c r="Z1370" s="30"/>
      <c r="AA1370" s="31"/>
      <c r="AB1370" s="47"/>
      <c r="AC1370" s="31"/>
      <c r="AD1370" s="31"/>
      <c r="AE1370" s="32">
        <f t="shared" si="376"/>
        <v>0</v>
      </c>
      <c r="AF1370" s="10"/>
      <c r="AG1370" s="10"/>
      <c r="AH1370" s="10"/>
      <c r="AI1370" s="12">
        <f t="shared" si="377"/>
        <v>0</v>
      </c>
    </row>
    <row r="1371" spans="1:35" x14ac:dyDescent="0.25">
      <c r="Y1371" s="10"/>
      <c r="Z1371" s="30"/>
      <c r="AB1371" s="47"/>
      <c r="AC1371" s="31"/>
      <c r="AD1371" s="31"/>
      <c r="AE1371" s="32"/>
      <c r="AF1371" s="10"/>
      <c r="AG1371" s="10"/>
      <c r="AH1371" s="10"/>
      <c r="AI1371" s="12">
        <f t="shared" si="377"/>
        <v>0</v>
      </c>
    </row>
    <row r="1372" spans="1:35" x14ac:dyDescent="0.25">
      <c r="Y1372" s="10"/>
      <c r="Z1372" s="30"/>
      <c r="AA1372" s="31"/>
      <c r="AB1372" s="47"/>
      <c r="AC1372" s="31"/>
      <c r="AD1372" s="31"/>
      <c r="AE1372" s="32">
        <f t="shared" ref="AE1372" si="379">SUM(AB1372:AC1372)</f>
        <v>0</v>
      </c>
      <c r="AF1372" s="10"/>
      <c r="AG1372" s="10"/>
      <c r="AH1372" s="10"/>
      <c r="AI1372" s="12">
        <f t="shared" si="377"/>
        <v>0</v>
      </c>
    </row>
    <row r="1373" spans="1:35" x14ac:dyDescent="0.25">
      <c r="Y1373" s="10"/>
      <c r="Z1373" s="31"/>
      <c r="AA1373" s="31"/>
      <c r="AB1373" s="31"/>
      <c r="AC1373" s="31"/>
      <c r="AD1373" s="31"/>
      <c r="AE1373" s="31"/>
      <c r="AF1373" s="10"/>
      <c r="AG1373" s="10"/>
      <c r="AH1373" s="10"/>
      <c r="AI1373" s="12">
        <f t="shared" si="377"/>
        <v>0</v>
      </c>
    </row>
    <row r="1374" spans="1:35" x14ac:dyDescent="0.25">
      <c r="Z1374" s="57"/>
      <c r="AA1374" s="57"/>
      <c r="AB1374" s="36"/>
      <c r="AC1374" s="36"/>
      <c r="AD1374" s="36"/>
      <c r="AE1374" s="36"/>
      <c r="AF1374" s="37"/>
      <c r="AG1374" s="37"/>
      <c r="AH1374" s="37"/>
      <c r="AI1374" s="37"/>
    </row>
    <row r="1375" spans="1:35" x14ac:dyDescent="0.25">
      <c r="Z1375" s="57"/>
      <c r="AA1375" s="57"/>
      <c r="AB1375" s="38">
        <f>SUM(AB1332:AB1374)</f>
        <v>197064</v>
      </c>
      <c r="AC1375" s="38">
        <f>SUM(AC1332:AC1356)</f>
        <v>-1578</v>
      </c>
      <c r="AD1375" s="38">
        <f>SUM(AD1332:AD1356)</f>
        <v>0</v>
      </c>
      <c r="AE1375" s="38">
        <f>SUM(AE1332:AE1374)</f>
        <v>195486</v>
      </c>
      <c r="AF1375" s="4"/>
      <c r="AG1375" s="41">
        <f>SUM(AG1332:AG1374)</f>
        <v>5661</v>
      </c>
      <c r="AH1375" s="41">
        <f>SUM(AH1332:AH1356)</f>
        <v>-4773</v>
      </c>
      <c r="AI1375" s="42">
        <f>SUM(AI1332:AI1374)</f>
        <v>196374</v>
      </c>
    </row>
    <row r="1376" spans="1:35" x14ac:dyDescent="0.25">
      <c r="A1376" s="18"/>
      <c r="B1376" s="18"/>
      <c r="C1376" s="18"/>
      <c r="D1376" s="18"/>
      <c r="E1376" s="18"/>
      <c r="F1376" s="18"/>
      <c r="G1376" s="18"/>
      <c r="H1376" s="18"/>
      <c r="I1376" s="18"/>
      <c r="J1376" s="18"/>
      <c r="K1376" s="18"/>
      <c r="M1376" s="18"/>
      <c r="N1376" s="18"/>
      <c r="O1376" s="18"/>
      <c r="P1376" s="18"/>
      <c r="Q1376" s="18"/>
      <c r="R1376" s="18"/>
      <c r="S1376" s="18"/>
      <c r="T1376" s="18"/>
      <c r="U1376" s="18"/>
      <c r="V1376" s="18"/>
      <c r="W1376" s="18"/>
      <c r="Y1376" s="18"/>
      <c r="Z1376" s="18"/>
      <c r="AA1376" s="18"/>
      <c r="AB1376" s="18"/>
      <c r="AC1376" s="18"/>
      <c r="AD1376" s="18"/>
      <c r="AE1376" s="18"/>
      <c r="AF1376" s="18"/>
      <c r="AG1376" s="18"/>
      <c r="AH1376" s="18"/>
      <c r="AI1376" s="18"/>
    </row>
    <row r="1377" spans="1:35" x14ac:dyDescent="0.25">
      <c r="A1377" t="s">
        <v>0</v>
      </c>
      <c r="B1377" s="57"/>
      <c r="C1377" s="57"/>
      <c r="D1377" s="57"/>
      <c r="E1377" s="57"/>
      <c r="G1377" s="57"/>
      <c r="M1377" t="s">
        <v>0</v>
      </c>
      <c r="N1377" s="57"/>
      <c r="O1377" s="57"/>
      <c r="P1377" s="57"/>
      <c r="Q1377" s="57"/>
      <c r="R1377" s="57"/>
      <c r="S1377" s="57"/>
      <c r="Y1377" t="s">
        <v>0</v>
      </c>
      <c r="Z1377" s="57"/>
      <c r="AA1377" s="57"/>
      <c r="AB1377" s="57"/>
      <c r="AC1377" s="57"/>
      <c r="AD1377" s="57"/>
      <c r="AE1377" s="57"/>
    </row>
    <row r="1378" spans="1:35" x14ac:dyDescent="0.25">
      <c r="A1378" t="s">
        <v>28</v>
      </c>
      <c r="B1378" s="57"/>
      <c r="C1378" s="57"/>
      <c r="D1378" s="57"/>
      <c r="E1378" s="57"/>
      <c r="G1378" s="57"/>
      <c r="M1378" t="s">
        <v>28</v>
      </c>
      <c r="N1378" s="57"/>
      <c r="O1378" s="57"/>
      <c r="P1378" s="57"/>
      <c r="Q1378" s="57"/>
      <c r="R1378" s="57"/>
      <c r="S1378" s="57"/>
      <c r="Y1378" t="s">
        <v>28</v>
      </c>
      <c r="Z1378" s="57"/>
      <c r="AA1378" s="57"/>
      <c r="AB1378" s="57"/>
      <c r="AC1378" s="57"/>
      <c r="AD1378" s="57"/>
      <c r="AE1378" s="57"/>
    </row>
    <row r="1379" spans="1:35" x14ac:dyDescent="0.25">
      <c r="B1379" s="57"/>
      <c r="C1379" s="57"/>
      <c r="D1379" s="57"/>
      <c r="E1379" s="57"/>
      <c r="G1379" s="57"/>
      <c r="N1379" s="57"/>
      <c r="O1379" s="57"/>
      <c r="P1379" s="57"/>
      <c r="Q1379" s="57"/>
      <c r="R1379" s="57"/>
      <c r="S1379" s="57"/>
      <c r="Z1379" s="57"/>
      <c r="AA1379" s="57"/>
      <c r="AB1379" s="57"/>
      <c r="AC1379" s="57"/>
      <c r="AD1379" s="57"/>
      <c r="AE1379" s="57"/>
    </row>
    <row r="1380" spans="1:35" x14ac:dyDescent="0.25">
      <c r="A1380" s="4" t="s">
        <v>14</v>
      </c>
      <c r="B1380" s="57"/>
      <c r="C1380" s="57"/>
      <c r="D1380" s="57"/>
      <c r="E1380" s="57"/>
      <c r="G1380" s="57"/>
      <c r="M1380" s="4" t="s">
        <v>14</v>
      </c>
      <c r="N1380" s="57"/>
      <c r="O1380" s="57"/>
      <c r="P1380" s="57"/>
      <c r="Q1380" s="57"/>
      <c r="R1380" s="57"/>
      <c r="S1380" s="57"/>
      <c r="Y1380" s="4" t="s">
        <v>14</v>
      </c>
      <c r="Z1380" s="57"/>
      <c r="AA1380" s="57"/>
      <c r="AB1380" s="57"/>
      <c r="AC1380" s="57"/>
      <c r="AD1380" s="57"/>
      <c r="AE1380" s="57"/>
    </row>
    <row r="1381" spans="1:35" x14ac:dyDescent="0.25">
      <c r="B1381" s="57"/>
      <c r="C1381" s="57"/>
      <c r="D1381" s="57"/>
      <c r="E1381" s="57"/>
      <c r="G1381" s="57"/>
      <c r="N1381" s="57"/>
      <c r="O1381" s="57"/>
      <c r="P1381" s="57"/>
      <c r="Q1381" s="57"/>
      <c r="R1381" s="57"/>
      <c r="S1381" s="57"/>
      <c r="Z1381" s="57"/>
      <c r="AA1381" s="57"/>
      <c r="AB1381" s="57"/>
      <c r="AC1381" s="57"/>
      <c r="AD1381" s="57"/>
      <c r="AE1381" s="57"/>
    </row>
    <row r="1382" spans="1:35" ht="15.75" x14ac:dyDescent="0.25">
      <c r="A1382" t="s">
        <v>41</v>
      </c>
      <c r="B1382" s="57"/>
      <c r="C1382" s="57"/>
      <c r="D1382" s="57"/>
      <c r="E1382" s="57"/>
      <c r="G1382" s="57"/>
      <c r="I1382" s="57" t="s">
        <v>15</v>
      </c>
      <c r="J1382" s="19">
        <v>1</v>
      </c>
      <c r="M1382" t="s">
        <v>41</v>
      </c>
      <c r="N1382" s="57"/>
      <c r="O1382" s="57"/>
      <c r="P1382" s="57"/>
      <c r="Q1382" s="57"/>
      <c r="R1382" s="57"/>
      <c r="S1382" s="57"/>
      <c r="U1382" s="57" t="s">
        <v>15</v>
      </c>
      <c r="V1382" s="19">
        <v>2</v>
      </c>
      <c r="Y1382" t="s">
        <v>41</v>
      </c>
      <c r="Z1382" s="57"/>
      <c r="AA1382" s="57"/>
      <c r="AB1382" s="57"/>
      <c r="AC1382" s="57"/>
      <c r="AD1382" s="57"/>
      <c r="AE1382" s="57"/>
      <c r="AG1382" s="57" t="s">
        <v>15</v>
      </c>
      <c r="AH1382" s="20">
        <v>3</v>
      </c>
    </row>
    <row r="1383" spans="1:35" x14ac:dyDescent="0.25">
      <c r="A1383" s="21" t="s">
        <v>115</v>
      </c>
      <c r="B1383" s="20"/>
      <c r="C1383" s="57"/>
      <c r="D1383" s="57"/>
      <c r="E1383" s="57"/>
      <c r="G1383" s="57"/>
      <c r="I1383" s="22" t="s">
        <v>16</v>
      </c>
      <c r="J1383" s="23" t="s">
        <v>31</v>
      </c>
      <c r="K1383" s="24"/>
      <c r="M1383" s="21" t="s">
        <v>115</v>
      </c>
      <c r="N1383" s="20"/>
      <c r="O1383" s="57"/>
      <c r="P1383" s="57"/>
      <c r="Q1383" s="57"/>
      <c r="R1383" s="57"/>
      <c r="S1383" s="57"/>
      <c r="U1383" s="22" t="s">
        <v>16</v>
      </c>
      <c r="V1383" s="23" t="s">
        <v>98</v>
      </c>
      <c r="W1383" s="24"/>
      <c r="Y1383" s="21" t="s">
        <v>115</v>
      </c>
      <c r="Z1383" s="20"/>
      <c r="AA1383" s="57"/>
      <c r="AB1383" s="57"/>
      <c r="AC1383" s="57"/>
      <c r="AD1383" s="57"/>
      <c r="AE1383" s="57"/>
      <c r="AG1383" s="22" t="s">
        <v>16</v>
      </c>
      <c r="AH1383" s="23" t="s">
        <v>54</v>
      </c>
      <c r="AI1383" s="24"/>
    </row>
    <row r="1384" spans="1:35" x14ac:dyDescent="0.25">
      <c r="B1384" s="57"/>
      <c r="C1384" s="57"/>
      <c r="D1384" s="57"/>
      <c r="E1384" s="57"/>
      <c r="G1384" s="57"/>
      <c r="N1384" s="57"/>
      <c r="O1384" s="57"/>
      <c r="P1384" s="57"/>
      <c r="Q1384" s="57"/>
      <c r="R1384" s="57"/>
      <c r="S1384" s="57"/>
      <c r="Z1384" s="57"/>
      <c r="AA1384" s="57"/>
      <c r="AB1384" s="57"/>
      <c r="AC1384" s="57"/>
      <c r="AD1384" s="57"/>
      <c r="AE1384" s="57"/>
    </row>
    <row r="1385" spans="1:35" x14ac:dyDescent="0.25">
      <c r="B1385" s="25"/>
      <c r="C1385" s="26"/>
      <c r="D1385" s="126" t="s">
        <v>17</v>
      </c>
      <c r="E1385" s="126"/>
      <c r="F1385" s="117"/>
      <c r="G1385" s="27"/>
      <c r="I1385" s="122" t="s">
        <v>18</v>
      </c>
      <c r="J1385" s="123"/>
      <c r="K1385" s="124" t="s">
        <v>19</v>
      </c>
      <c r="N1385" s="25"/>
      <c r="O1385" s="26"/>
      <c r="P1385" s="126" t="s">
        <v>17</v>
      </c>
      <c r="Q1385" s="126"/>
      <c r="R1385" s="117"/>
      <c r="S1385" s="27"/>
      <c r="U1385" s="122" t="s">
        <v>18</v>
      </c>
      <c r="V1385" s="123"/>
      <c r="W1385" s="124" t="s">
        <v>19</v>
      </c>
      <c r="Z1385" s="25"/>
      <c r="AA1385" s="26"/>
      <c r="AB1385" s="126" t="s">
        <v>17</v>
      </c>
      <c r="AC1385" s="126"/>
      <c r="AD1385" s="117"/>
      <c r="AE1385" s="27"/>
      <c r="AG1385" s="122" t="s">
        <v>18</v>
      </c>
      <c r="AH1385" s="123"/>
      <c r="AI1385" s="124" t="s">
        <v>19</v>
      </c>
    </row>
    <row r="1386" spans="1:35" ht="30" x14ac:dyDescent="0.25">
      <c r="B1386" s="28" t="s">
        <v>20</v>
      </c>
      <c r="C1386" s="28" t="s">
        <v>21</v>
      </c>
      <c r="D1386" s="78" t="s">
        <v>22</v>
      </c>
      <c r="E1386" s="77" t="s">
        <v>23</v>
      </c>
      <c r="F1386" s="79" t="s">
        <v>32</v>
      </c>
      <c r="G1386" s="79" t="s">
        <v>24</v>
      </c>
      <c r="I1386" s="29" t="s">
        <v>25</v>
      </c>
      <c r="J1386" s="29" t="s">
        <v>26</v>
      </c>
      <c r="K1386" s="125"/>
      <c r="N1386" s="28" t="s">
        <v>20</v>
      </c>
      <c r="O1386" s="28" t="s">
        <v>21</v>
      </c>
      <c r="P1386" s="78" t="s">
        <v>22</v>
      </c>
      <c r="Q1386" s="79" t="s">
        <v>23</v>
      </c>
      <c r="R1386" s="79" t="s">
        <v>32</v>
      </c>
      <c r="S1386" s="79" t="s">
        <v>24</v>
      </c>
      <c r="U1386" s="29" t="s">
        <v>25</v>
      </c>
      <c r="V1386" s="29" t="s">
        <v>26</v>
      </c>
      <c r="W1386" s="125"/>
      <c r="Z1386" s="28" t="s">
        <v>20</v>
      </c>
      <c r="AA1386" s="28" t="s">
        <v>21</v>
      </c>
      <c r="AB1386" s="78" t="s">
        <v>22</v>
      </c>
      <c r="AC1386" s="79" t="s">
        <v>23</v>
      </c>
      <c r="AD1386" s="79" t="s">
        <v>32</v>
      </c>
      <c r="AE1386" s="79" t="s">
        <v>24</v>
      </c>
      <c r="AG1386" s="29" t="s">
        <v>25</v>
      </c>
      <c r="AH1386" s="29" t="s">
        <v>26</v>
      </c>
      <c r="AI1386" s="125"/>
    </row>
    <row r="1387" spans="1:35" x14ac:dyDescent="0.25">
      <c r="A1387" s="10">
        <v>1</v>
      </c>
      <c r="B1387" s="30" t="s">
        <v>116</v>
      </c>
      <c r="C1387" s="87">
        <v>8790</v>
      </c>
      <c r="D1387" s="32">
        <f>650*324+670*20+622*108+872*10+229*18+700*2</f>
        <v>305418</v>
      </c>
      <c r="E1387" s="32">
        <f>-464*6</f>
        <v>-2784</v>
      </c>
      <c r="F1387" s="32"/>
      <c r="G1387" s="32">
        <f t="shared" ref="G1387:G1420" si="380">SUM(D1387:E1387)</f>
        <v>302634</v>
      </c>
      <c r="H1387" s="12"/>
      <c r="I1387" s="12">
        <f>888+1092</f>
        <v>1980</v>
      </c>
      <c r="J1387" s="12"/>
      <c r="K1387" s="12">
        <f t="shared" ref="K1387:K1420" si="381">SUM(G1387:J1387)</f>
        <v>304614</v>
      </c>
      <c r="M1387" s="10">
        <v>1</v>
      </c>
      <c r="N1387" s="30" t="s">
        <v>116</v>
      </c>
      <c r="O1387" s="31">
        <v>8804</v>
      </c>
      <c r="P1387" s="32">
        <f>650*80+670*3+229*3</f>
        <v>54697</v>
      </c>
      <c r="Q1387" s="32"/>
      <c r="R1387" s="32"/>
      <c r="S1387" s="32">
        <f>SUM(P1387:Q1387)</f>
        <v>54697</v>
      </c>
      <c r="T1387" s="12"/>
      <c r="U1387" s="12"/>
      <c r="V1387" s="12">
        <v>-666</v>
      </c>
      <c r="W1387" s="12">
        <f>SUM(S1387:V1387)</f>
        <v>54031</v>
      </c>
      <c r="Y1387" s="10">
        <v>1</v>
      </c>
      <c r="Z1387" s="30" t="s">
        <v>116</v>
      </c>
      <c r="AA1387" s="31">
        <v>8694</v>
      </c>
      <c r="AB1387" s="32">
        <f>650*108+1145</f>
        <v>71345</v>
      </c>
      <c r="AC1387" s="32">
        <f>-108*6</f>
        <v>-648</v>
      </c>
      <c r="AD1387" s="32"/>
      <c r="AE1387" s="32">
        <f>SUM(AB1387:AC1387)</f>
        <v>70697</v>
      </c>
      <c r="AF1387" s="12"/>
      <c r="AG1387" s="12"/>
      <c r="AH1387" s="12">
        <f>-111*108</f>
        <v>-11988</v>
      </c>
      <c r="AI1387" s="12">
        <f>SUM(AE1387:AH1387)</f>
        <v>58709</v>
      </c>
    </row>
    <row r="1388" spans="1:35" x14ac:dyDescent="0.25">
      <c r="A1388" s="10">
        <v>2</v>
      </c>
      <c r="B1388" s="30" t="s">
        <v>116</v>
      </c>
      <c r="C1388" s="31">
        <f>C1387+1</f>
        <v>8791</v>
      </c>
      <c r="D1388" s="32">
        <f>200*650+1102+1175+912*5+1050*2+872*5+229*8+650</f>
        <v>145779</v>
      </c>
      <c r="E1388" s="32">
        <f>-215*6</f>
        <v>-1290</v>
      </c>
      <c r="F1388" s="32"/>
      <c r="G1388" s="32">
        <f t="shared" si="380"/>
        <v>144489</v>
      </c>
      <c r="H1388" s="12"/>
      <c r="I1388" s="12">
        <v>510</v>
      </c>
      <c r="J1388" s="12">
        <v>-12609</v>
      </c>
      <c r="K1388" s="12">
        <f t="shared" si="381"/>
        <v>132390</v>
      </c>
      <c r="M1388" s="10">
        <v>2</v>
      </c>
      <c r="N1388" s="30" t="s">
        <v>116</v>
      </c>
      <c r="O1388" s="31">
        <f>O1387+1</f>
        <v>8805</v>
      </c>
      <c r="P1388" s="32">
        <f>650*4+9.5*4</f>
        <v>2638</v>
      </c>
      <c r="Q1388" s="32"/>
      <c r="R1388" s="32"/>
      <c r="S1388" s="32">
        <f t="shared" ref="S1388:S1425" si="382">SUM(P1388:Q1388)</f>
        <v>2638</v>
      </c>
      <c r="T1388" s="12"/>
      <c r="U1388" s="12"/>
      <c r="V1388" s="12"/>
      <c r="W1388" s="12">
        <f t="shared" ref="W1388:W1428" si="383">SUM(S1388:V1388)</f>
        <v>2638</v>
      </c>
      <c r="Y1388" s="10">
        <v>2</v>
      </c>
      <c r="Z1388" s="30" t="s">
        <v>116</v>
      </c>
      <c r="AA1388" s="31">
        <f>AA1387+1</f>
        <v>8695</v>
      </c>
      <c r="AB1388" s="32"/>
      <c r="AC1388" s="32"/>
      <c r="AD1388" s="32"/>
      <c r="AE1388" s="32">
        <f t="shared" ref="AE1388:AE1431" si="384">SUM(AB1388:AC1388)</f>
        <v>0</v>
      </c>
      <c r="AF1388" s="12"/>
      <c r="AG1388" s="12"/>
      <c r="AH1388" s="12"/>
      <c r="AI1388" s="12">
        <f t="shared" ref="AI1388:AI1431" si="385">SUM(AE1388:AH1388)</f>
        <v>0</v>
      </c>
    </row>
    <row r="1389" spans="1:35" x14ac:dyDescent="0.25">
      <c r="A1389" s="10">
        <v>3</v>
      </c>
      <c r="B1389" s="30" t="s">
        <v>116</v>
      </c>
      <c r="C1389" s="31">
        <f t="shared" ref="C1389:C1405" si="386">C1388+1</f>
        <v>8792</v>
      </c>
      <c r="D1389" s="33">
        <f>60*650</f>
        <v>39000</v>
      </c>
      <c r="E1389" s="33"/>
      <c r="F1389" s="33"/>
      <c r="G1389" s="33">
        <f t="shared" si="380"/>
        <v>39000</v>
      </c>
      <c r="H1389" s="34"/>
      <c r="I1389" s="34"/>
      <c r="J1389" s="34"/>
      <c r="K1389" s="34">
        <f t="shared" si="381"/>
        <v>39000</v>
      </c>
      <c r="M1389" s="10">
        <v>3</v>
      </c>
      <c r="N1389" s="30" t="s">
        <v>116</v>
      </c>
      <c r="O1389" s="31">
        <f t="shared" ref="O1389:O1396" si="387">O1388+1</f>
        <v>8806</v>
      </c>
      <c r="P1389" s="32">
        <f>650*160+1667*2+622*20+1175+1102*4+229*6+650*4</f>
        <v>129331</v>
      </c>
      <c r="Q1389" s="32">
        <f>-180*6</f>
        <v>-1080</v>
      </c>
      <c r="R1389" s="32"/>
      <c r="S1389" s="32">
        <f t="shared" si="382"/>
        <v>128251</v>
      </c>
      <c r="T1389" s="12"/>
      <c r="U1389" s="12">
        <v>390</v>
      </c>
      <c r="V1389" s="12">
        <f>-18*111</f>
        <v>-1998</v>
      </c>
      <c r="W1389" s="12">
        <f t="shared" si="383"/>
        <v>126643</v>
      </c>
      <c r="Y1389" s="10">
        <v>3</v>
      </c>
      <c r="Z1389" s="30" t="s">
        <v>116</v>
      </c>
      <c r="AA1389" s="31">
        <f t="shared" ref="AA1389:AA1396" si="388">AA1388+1</f>
        <v>8696</v>
      </c>
      <c r="AB1389" s="33">
        <f>251*650+912*3+1050*2+872*10+229*9</f>
        <v>178767</v>
      </c>
      <c r="AC1389" s="33">
        <v>-1596</v>
      </c>
      <c r="AD1389" s="32"/>
      <c r="AE1389" s="32">
        <f t="shared" si="384"/>
        <v>177171</v>
      </c>
      <c r="AF1389" s="12"/>
      <c r="AG1389" s="12">
        <v>144</v>
      </c>
      <c r="AH1389" s="12"/>
      <c r="AI1389" s="12">
        <f t="shared" si="385"/>
        <v>177315</v>
      </c>
    </row>
    <row r="1390" spans="1:35" x14ac:dyDescent="0.25">
      <c r="A1390" s="10">
        <v>4</v>
      </c>
      <c r="B1390" s="30" t="s">
        <v>116</v>
      </c>
      <c r="C1390" s="31">
        <f t="shared" si="386"/>
        <v>8793</v>
      </c>
      <c r="D1390" s="32">
        <f>973*45+912*3+1050*3+872*2+500*3</f>
        <v>52915</v>
      </c>
      <c r="E1390" s="32"/>
      <c r="F1390" s="32"/>
      <c r="G1390" s="32">
        <f t="shared" si="380"/>
        <v>52915</v>
      </c>
      <c r="H1390" s="12"/>
      <c r="I1390" s="12"/>
      <c r="J1390" s="12"/>
      <c r="K1390" s="12">
        <f t="shared" si="381"/>
        <v>52915</v>
      </c>
      <c r="M1390" s="10">
        <v>4</v>
      </c>
      <c r="N1390" s="30" t="s">
        <v>116</v>
      </c>
      <c r="O1390" s="31">
        <f t="shared" si="387"/>
        <v>8807</v>
      </c>
      <c r="P1390" s="32">
        <f>18200+1050+872</f>
        <v>20122</v>
      </c>
      <c r="Q1390" s="32"/>
      <c r="R1390" s="32"/>
      <c r="S1390" s="32">
        <f t="shared" si="382"/>
        <v>20122</v>
      </c>
      <c r="T1390" s="12"/>
      <c r="U1390" s="12">
        <v>1110</v>
      </c>
      <c r="V1390" s="12"/>
      <c r="W1390" s="12">
        <f t="shared" si="383"/>
        <v>21232</v>
      </c>
      <c r="Y1390" s="10">
        <v>4</v>
      </c>
      <c r="Z1390" s="30" t="s">
        <v>116</v>
      </c>
      <c r="AA1390" s="31">
        <f t="shared" si="388"/>
        <v>8697</v>
      </c>
      <c r="AB1390" s="32">
        <f>650*65+622*12+872*2</f>
        <v>51458</v>
      </c>
      <c r="AC1390" s="32">
        <f>-79*6</f>
        <v>-474</v>
      </c>
      <c r="AD1390" s="32"/>
      <c r="AE1390" s="32">
        <f t="shared" si="384"/>
        <v>50984</v>
      </c>
      <c r="AF1390" s="12"/>
      <c r="AH1390" s="12">
        <f>-111*10</f>
        <v>-1110</v>
      </c>
      <c r="AI1390" s="12">
        <f t="shared" si="385"/>
        <v>49874</v>
      </c>
    </row>
    <row r="1391" spans="1:35" x14ac:dyDescent="0.25">
      <c r="A1391" s="10">
        <v>5</v>
      </c>
      <c r="B1391" s="30" t="s">
        <v>116</v>
      </c>
      <c r="C1391" s="31">
        <f t="shared" si="386"/>
        <v>8794</v>
      </c>
      <c r="D1391" s="32">
        <f>650</f>
        <v>650</v>
      </c>
      <c r="E1391" s="32"/>
      <c r="F1391" s="32"/>
      <c r="G1391" s="32">
        <f t="shared" si="380"/>
        <v>650</v>
      </c>
      <c r="H1391" s="12"/>
      <c r="I1391" s="12"/>
      <c r="J1391" s="12"/>
      <c r="K1391" s="12">
        <f t="shared" si="381"/>
        <v>650</v>
      </c>
      <c r="M1391" s="10">
        <v>5</v>
      </c>
      <c r="N1391" s="30" t="s">
        <v>116</v>
      </c>
      <c r="O1391" s="31">
        <f t="shared" si="387"/>
        <v>8808</v>
      </c>
      <c r="P1391" s="32">
        <f>650*216+670*7+229*8</f>
        <v>146922</v>
      </c>
      <c r="Q1391" s="32">
        <f>-223*6</f>
        <v>-1338</v>
      </c>
      <c r="R1391" s="32"/>
      <c r="S1391" s="32">
        <f t="shared" si="382"/>
        <v>145584</v>
      </c>
      <c r="T1391" s="12"/>
      <c r="U1391" s="12">
        <v>624</v>
      </c>
      <c r="V1391" s="12">
        <f>-23199+-840</f>
        <v>-24039</v>
      </c>
      <c r="W1391" s="12">
        <f t="shared" si="383"/>
        <v>122169</v>
      </c>
      <c r="Y1391" s="10">
        <v>5</v>
      </c>
      <c r="Z1391" s="30"/>
      <c r="AA1391" s="11" t="s">
        <v>27</v>
      </c>
      <c r="AB1391" s="32"/>
      <c r="AC1391" s="32"/>
      <c r="AD1391" s="32"/>
      <c r="AE1391" s="32">
        <f t="shared" si="384"/>
        <v>0</v>
      </c>
      <c r="AF1391" s="12"/>
      <c r="AG1391" s="12"/>
      <c r="AH1391" s="12"/>
      <c r="AI1391" s="12">
        <f t="shared" si="385"/>
        <v>0</v>
      </c>
    </row>
    <row r="1392" spans="1:35" x14ac:dyDescent="0.25">
      <c r="A1392" s="10">
        <v>6</v>
      </c>
      <c r="B1392" s="30" t="s">
        <v>116</v>
      </c>
      <c r="C1392" s="31">
        <f t="shared" si="386"/>
        <v>8795</v>
      </c>
      <c r="D1392" s="32">
        <f>650*10+973*3+912+1050</f>
        <v>11381</v>
      </c>
      <c r="E1392" s="32"/>
      <c r="F1392" s="32"/>
      <c r="G1392" s="32">
        <f t="shared" si="380"/>
        <v>11381</v>
      </c>
      <c r="H1392" s="12"/>
      <c r="I1392" s="12"/>
      <c r="J1392" s="12"/>
      <c r="K1392" s="12">
        <f t="shared" si="381"/>
        <v>11381</v>
      </c>
      <c r="M1392" s="10">
        <v>6</v>
      </c>
      <c r="N1392" s="30" t="s">
        <v>116</v>
      </c>
      <c r="O1392" s="31">
        <f t="shared" si="387"/>
        <v>8809</v>
      </c>
      <c r="P1392" s="32">
        <f>650*130+670+700*7+622*10+912+1102+872*5+229*24</f>
        <v>108160</v>
      </c>
      <c r="Q1392" s="32"/>
      <c r="R1392" s="32"/>
      <c r="S1392" s="32">
        <f t="shared" si="382"/>
        <v>108160</v>
      </c>
      <c r="T1392" s="12"/>
      <c r="U1392" s="12">
        <v>108</v>
      </c>
      <c r="V1392" s="10"/>
      <c r="W1392" s="12">
        <f t="shared" si="383"/>
        <v>108268</v>
      </c>
      <c r="Y1392" s="10">
        <v>6</v>
      </c>
      <c r="Z1392" s="30"/>
      <c r="AA1392" s="31"/>
      <c r="AB1392" s="32"/>
      <c r="AC1392" s="32"/>
      <c r="AD1392" s="32"/>
      <c r="AE1392" s="32">
        <f t="shared" si="384"/>
        <v>0</v>
      </c>
      <c r="AF1392" s="12"/>
      <c r="AG1392" s="12"/>
      <c r="AH1392" s="10"/>
      <c r="AI1392" s="12">
        <f t="shared" si="385"/>
        <v>0</v>
      </c>
    </row>
    <row r="1393" spans="1:35" x14ac:dyDescent="0.25">
      <c r="A1393" s="10">
        <v>7</v>
      </c>
      <c r="B1393" s="30" t="s">
        <v>116</v>
      </c>
      <c r="C1393" s="31">
        <f t="shared" si="386"/>
        <v>8796</v>
      </c>
      <c r="D1393" s="32">
        <f>912+525+436</f>
        <v>1873</v>
      </c>
      <c r="E1393" s="32"/>
      <c r="F1393" s="32"/>
      <c r="G1393" s="32">
        <f t="shared" si="380"/>
        <v>1873</v>
      </c>
      <c r="H1393" s="12"/>
      <c r="I1393" s="12"/>
      <c r="J1393" s="12"/>
      <c r="K1393" s="12">
        <f t="shared" si="381"/>
        <v>1873</v>
      </c>
      <c r="M1393" s="10">
        <v>7</v>
      </c>
      <c r="N1393" s="30"/>
      <c r="O1393" s="11" t="s">
        <v>27</v>
      </c>
      <c r="P1393" s="32"/>
      <c r="Q1393" s="32"/>
      <c r="R1393" s="32"/>
      <c r="S1393" s="32">
        <f t="shared" si="382"/>
        <v>0</v>
      </c>
      <c r="T1393" s="12"/>
      <c r="U1393" s="12"/>
      <c r="V1393" s="12"/>
      <c r="W1393" s="12">
        <f t="shared" si="383"/>
        <v>0</v>
      </c>
      <c r="Y1393" s="10">
        <v>7</v>
      </c>
      <c r="Z1393" s="30"/>
      <c r="AA1393" s="31"/>
      <c r="AB1393" s="32"/>
      <c r="AC1393" s="32"/>
      <c r="AD1393" s="32"/>
      <c r="AE1393" s="32">
        <f t="shared" si="384"/>
        <v>0</v>
      </c>
      <c r="AF1393" s="12"/>
      <c r="AG1393" s="58"/>
      <c r="AH1393" s="12"/>
      <c r="AI1393" s="12">
        <f t="shared" si="385"/>
        <v>0</v>
      </c>
    </row>
    <row r="1394" spans="1:35" x14ac:dyDescent="0.25">
      <c r="A1394" s="10">
        <v>8</v>
      </c>
      <c r="B1394" s="30" t="s">
        <v>116</v>
      </c>
      <c r="C1394" s="31">
        <f t="shared" si="386"/>
        <v>8797</v>
      </c>
      <c r="D1394" s="32">
        <f>670*2</f>
        <v>1340</v>
      </c>
      <c r="E1394" s="32"/>
      <c r="F1394" s="32"/>
      <c r="G1394" s="32">
        <f t="shared" si="380"/>
        <v>1340</v>
      </c>
      <c r="H1394" s="12"/>
      <c r="I1394" s="12"/>
      <c r="J1394" s="12"/>
      <c r="K1394" s="12">
        <f t="shared" si="381"/>
        <v>1340</v>
      </c>
      <c r="M1394" s="10">
        <v>8</v>
      </c>
      <c r="N1394" s="30"/>
      <c r="O1394" s="31"/>
      <c r="P1394" s="32"/>
      <c r="Q1394" s="32"/>
      <c r="R1394" s="32"/>
      <c r="S1394" s="32">
        <f t="shared" si="382"/>
        <v>0</v>
      </c>
      <c r="T1394" s="12"/>
      <c r="U1394" s="12"/>
      <c r="V1394" s="12"/>
      <c r="W1394" s="12">
        <f t="shared" si="383"/>
        <v>0</v>
      </c>
      <c r="Y1394" s="10">
        <v>8</v>
      </c>
      <c r="Z1394" s="30"/>
      <c r="AA1394" s="31"/>
      <c r="AB1394" s="32"/>
      <c r="AC1394" s="32"/>
      <c r="AE1394" s="32">
        <f t="shared" si="384"/>
        <v>0</v>
      </c>
      <c r="AF1394" s="12"/>
      <c r="AG1394" s="12"/>
      <c r="AH1394" s="12"/>
      <c r="AI1394" s="12">
        <f t="shared" si="385"/>
        <v>0</v>
      </c>
    </row>
    <row r="1395" spans="1:35" x14ac:dyDescent="0.25">
      <c r="A1395" s="10">
        <v>9</v>
      </c>
      <c r="B1395" s="30"/>
      <c r="C1395" s="11" t="s">
        <v>27</v>
      </c>
      <c r="D1395" s="32"/>
      <c r="E1395" s="32"/>
      <c r="F1395" s="32"/>
      <c r="G1395" s="32">
        <f t="shared" si="380"/>
        <v>0</v>
      </c>
      <c r="H1395" s="12"/>
      <c r="I1395" s="12"/>
      <c r="J1395" s="12"/>
      <c r="K1395" s="12">
        <f t="shared" si="381"/>
        <v>0</v>
      </c>
      <c r="M1395" s="10">
        <v>9</v>
      </c>
      <c r="N1395" s="30"/>
      <c r="O1395" s="31"/>
      <c r="P1395" s="32"/>
      <c r="Q1395" s="32"/>
      <c r="R1395" s="32"/>
      <c r="S1395" s="32">
        <f t="shared" si="382"/>
        <v>0</v>
      </c>
      <c r="T1395" s="12"/>
      <c r="U1395" s="12"/>
      <c r="V1395" s="12"/>
      <c r="W1395" s="12">
        <f t="shared" si="383"/>
        <v>0</v>
      </c>
      <c r="Y1395" s="10">
        <v>9</v>
      </c>
      <c r="Z1395" s="30"/>
      <c r="AA1395" s="31"/>
      <c r="AB1395" s="32"/>
      <c r="AC1395" s="32"/>
      <c r="AD1395" s="32"/>
      <c r="AE1395" s="32">
        <f t="shared" si="384"/>
        <v>0</v>
      </c>
      <c r="AF1395" s="12"/>
      <c r="AH1395" s="12"/>
      <c r="AI1395" s="12">
        <f t="shared" si="385"/>
        <v>0</v>
      </c>
    </row>
    <row r="1396" spans="1:35" x14ac:dyDescent="0.25">
      <c r="A1396" s="10">
        <v>10</v>
      </c>
      <c r="B1396" s="30"/>
      <c r="C1396" s="31"/>
      <c r="D1396" s="32"/>
      <c r="E1396" s="32"/>
      <c r="F1396" s="32"/>
      <c r="G1396" s="32">
        <f t="shared" si="380"/>
        <v>0</v>
      </c>
      <c r="H1396" s="12"/>
      <c r="I1396" s="12"/>
      <c r="J1396" s="12"/>
      <c r="K1396" s="12">
        <f t="shared" si="381"/>
        <v>0</v>
      </c>
      <c r="M1396" s="10">
        <v>10</v>
      </c>
      <c r="N1396" s="30"/>
      <c r="O1396" s="31"/>
      <c r="P1396" s="32"/>
      <c r="Q1396" s="32"/>
      <c r="R1396" s="32"/>
      <c r="S1396" s="32">
        <f t="shared" si="382"/>
        <v>0</v>
      </c>
      <c r="T1396" s="12"/>
      <c r="U1396" s="12"/>
      <c r="V1396" s="12"/>
      <c r="W1396" s="12">
        <f t="shared" si="383"/>
        <v>0</v>
      </c>
      <c r="Y1396" s="10">
        <v>10</v>
      </c>
      <c r="Z1396" s="30"/>
      <c r="AA1396" s="31"/>
      <c r="AB1396" s="32"/>
      <c r="AC1396" s="32"/>
      <c r="AD1396" s="32"/>
      <c r="AE1396" s="32">
        <f t="shared" si="384"/>
        <v>0</v>
      </c>
      <c r="AF1396" s="12"/>
      <c r="AG1396" s="12"/>
      <c r="AH1396" s="12"/>
      <c r="AI1396" s="12">
        <f t="shared" si="385"/>
        <v>0</v>
      </c>
    </row>
    <row r="1397" spans="1:35" x14ac:dyDescent="0.25">
      <c r="A1397" s="10">
        <v>11</v>
      </c>
      <c r="B1397" s="30"/>
      <c r="C1397" s="31"/>
      <c r="D1397" s="32"/>
      <c r="E1397" s="32"/>
      <c r="F1397" s="32"/>
      <c r="G1397" s="32">
        <f t="shared" si="380"/>
        <v>0</v>
      </c>
      <c r="H1397" s="12"/>
      <c r="I1397" s="12"/>
      <c r="J1397" s="12"/>
      <c r="K1397" s="12">
        <f t="shared" si="381"/>
        <v>0</v>
      </c>
      <c r="M1397" s="10">
        <v>11</v>
      </c>
      <c r="N1397" s="30"/>
      <c r="P1397" s="32"/>
      <c r="Q1397" s="32"/>
      <c r="R1397" s="32"/>
      <c r="S1397" s="32">
        <f t="shared" si="382"/>
        <v>0</v>
      </c>
      <c r="T1397" s="12"/>
      <c r="U1397" s="12"/>
      <c r="V1397" s="12"/>
      <c r="W1397" s="12">
        <f t="shared" si="383"/>
        <v>0</v>
      </c>
      <c r="Y1397" s="10">
        <v>11</v>
      </c>
      <c r="Z1397" s="30"/>
      <c r="AB1397" s="32"/>
      <c r="AC1397" s="32"/>
      <c r="AD1397" s="32"/>
      <c r="AE1397" s="32">
        <f t="shared" si="384"/>
        <v>0</v>
      </c>
      <c r="AF1397" s="12"/>
      <c r="AG1397" s="12"/>
      <c r="AH1397" s="12"/>
      <c r="AI1397" s="12">
        <f t="shared" si="385"/>
        <v>0</v>
      </c>
    </row>
    <row r="1398" spans="1:35" x14ac:dyDescent="0.25">
      <c r="A1398" s="10">
        <v>12</v>
      </c>
      <c r="B1398" s="30"/>
      <c r="C1398" s="31"/>
      <c r="D1398" s="32"/>
      <c r="E1398" s="32"/>
      <c r="F1398" s="32"/>
      <c r="G1398" s="32">
        <f t="shared" si="380"/>
        <v>0</v>
      </c>
      <c r="H1398" s="12"/>
      <c r="I1398" s="12"/>
      <c r="J1398" s="10"/>
      <c r="K1398" s="12">
        <f t="shared" si="381"/>
        <v>0</v>
      </c>
      <c r="M1398" s="10">
        <v>12</v>
      </c>
      <c r="N1398" s="30"/>
      <c r="O1398" s="31"/>
      <c r="P1398" s="32"/>
      <c r="Q1398" s="32"/>
      <c r="R1398" s="32"/>
      <c r="S1398" s="32">
        <f t="shared" si="382"/>
        <v>0</v>
      </c>
      <c r="T1398" s="12"/>
      <c r="U1398" s="12"/>
      <c r="V1398" s="12"/>
      <c r="W1398" s="12">
        <f t="shared" si="383"/>
        <v>0</v>
      </c>
      <c r="Y1398" s="10">
        <v>12</v>
      </c>
      <c r="Z1398" s="30"/>
      <c r="AA1398" s="31"/>
      <c r="AB1398" s="32"/>
      <c r="AC1398" s="32"/>
      <c r="AD1398" s="32"/>
      <c r="AE1398" s="32">
        <f t="shared" si="384"/>
        <v>0</v>
      </c>
      <c r="AF1398" s="12"/>
      <c r="AG1398" s="12"/>
      <c r="AH1398" s="12"/>
      <c r="AI1398" s="12">
        <f t="shared" si="385"/>
        <v>0</v>
      </c>
    </row>
    <row r="1399" spans="1:35" x14ac:dyDescent="0.25">
      <c r="A1399" s="10">
        <v>13</v>
      </c>
      <c r="B1399" s="30"/>
      <c r="C1399" s="31"/>
      <c r="D1399" s="32"/>
      <c r="E1399" s="32"/>
      <c r="F1399" s="32"/>
      <c r="G1399" s="32">
        <f t="shared" si="380"/>
        <v>0</v>
      </c>
      <c r="H1399" s="12"/>
      <c r="I1399" s="12"/>
      <c r="J1399" s="12"/>
      <c r="K1399" s="12">
        <f t="shared" si="381"/>
        <v>0</v>
      </c>
      <c r="M1399" s="10">
        <v>13</v>
      </c>
      <c r="N1399" s="30"/>
      <c r="O1399" s="31"/>
      <c r="P1399" s="32"/>
      <c r="Q1399" s="32"/>
      <c r="R1399" s="32"/>
      <c r="S1399" s="32">
        <f t="shared" si="382"/>
        <v>0</v>
      </c>
      <c r="T1399" s="12"/>
      <c r="U1399" s="12"/>
      <c r="V1399" s="12"/>
      <c r="W1399" s="12">
        <f t="shared" si="383"/>
        <v>0</v>
      </c>
      <c r="Y1399" s="10">
        <v>13</v>
      </c>
      <c r="Z1399" s="30"/>
      <c r="AA1399" s="31"/>
      <c r="AB1399" s="32"/>
      <c r="AC1399" s="32"/>
      <c r="AD1399" s="32"/>
      <c r="AE1399" s="32">
        <f t="shared" si="384"/>
        <v>0</v>
      </c>
      <c r="AF1399" s="12"/>
      <c r="AG1399" s="12"/>
      <c r="AH1399" s="12"/>
      <c r="AI1399" s="12">
        <f t="shared" si="385"/>
        <v>0</v>
      </c>
    </row>
    <row r="1400" spans="1:35" x14ac:dyDescent="0.25">
      <c r="A1400" s="10">
        <v>14</v>
      </c>
      <c r="B1400" s="30"/>
      <c r="C1400" s="31"/>
      <c r="D1400" s="32"/>
      <c r="E1400" s="32"/>
      <c r="F1400" s="32"/>
      <c r="G1400" s="32">
        <f t="shared" si="380"/>
        <v>0</v>
      </c>
      <c r="H1400" s="12"/>
      <c r="I1400" s="12"/>
      <c r="J1400" s="12"/>
      <c r="K1400" s="12">
        <f t="shared" si="381"/>
        <v>0</v>
      </c>
      <c r="M1400" s="10">
        <v>14</v>
      </c>
      <c r="N1400" s="30"/>
      <c r="O1400" s="31"/>
      <c r="P1400" s="32"/>
      <c r="Q1400" s="32"/>
      <c r="R1400" s="32"/>
      <c r="S1400" s="32">
        <f t="shared" si="382"/>
        <v>0</v>
      </c>
      <c r="T1400" s="12"/>
      <c r="U1400" s="12"/>
      <c r="V1400" s="12"/>
      <c r="W1400" s="12">
        <f t="shared" si="383"/>
        <v>0</v>
      </c>
      <c r="Y1400" s="10">
        <v>14</v>
      </c>
      <c r="Z1400" s="30"/>
      <c r="AA1400" s="31"/>
      <c r="AB1400" s="32"/>
      <c r="AC1400" s="32"/>
      <c r="AD1400" s="32"/>
      <c r="AE1400" s="32">
        <f t="shared" si="384"/>
        <v>0</v>
      </c>
      <c r="AF1400" s="12"/>
      <c r="AG1400" s="12"/>
      <c r="AH1400" s="12"/>
      <c r="AI1400" s="12">
        <f t="shared" si="385"/>
        <v>0</v>
      </c>
    </row>
    <row r="1401" spans="1:35" x14ac:dyDescent="0.25">
      <c r="A1401" s="10">
        <v>15</v>
      </c>
      <c r="B1401" s="30"/>
      <c r="C1401" s="31"/>
      <c r="D1401" s="32"/>
      <c r="E1401" s="32"/>
      <c r="F1401" s="32"/>
      <c r="G1401" s="32">
        <f t="shared" si="380"/>
        <v>0</v>
      </c>
      <c r="H1401" s="12"/>
      <c r="I1401" s="12"/>
      <c r="J1401" s="12"/>
      <c r="K1401" s="12">
        <f t="shared" si="381"/>
        <v>0</v>
      </c>
      <c r="M1401" s="10">
        <v>15</v>
      </c>
      <c r="N1401" s="30"/>
      <c r="O1401" s="31"/>
      <c r="P1401" s="32"/>
      <c r="Q1401" s="32"/>
      <c r="R1401" s="32"/>
      <c r="S1401" s="32">
        <f t="shared" si="382"/>
        <v>0</v>
      </c>
      <c r="T1401" s="12"/>
      <c r="U1401" s="12"/>
      <c r="V1401" s="12"/>
      <c r="W1401" s="12">
        <f t="shared" si="383"/>
        <v>0</v>
      </c>
      <c r="Y1401" s="10">
        <v>15</v>
      </c>
      <c r="Z1401" s="30"/>
      <c r="AA1401" s="31"/>
      <c r="AB1401" s="32"/>
      <c r="AC1401" s="32"/>
      <c r="AD1401" s="32"/>
      <c r="AE1401" s="32">
        <f t="shared" si="384"/>
        <v>0</v>
      </c>
      <c r="AF1401" s="12"/>
      <c r="AG1401" s="12"/>
      <c r="AH1401" s="12"/>
      <c r="AI1401" s="12">
        <f t="shared" si="385"/>
        <v>0</v>
      </c>
    </row>
    <row r="1402" spans="1:35" x14ac:dyDescent="0.25">
      <c r="A1402" s="10">
        <v>16</v>
      </c>
      <c r="B1402" s="30"/>
      <c r="C1402" s="31"/>
      <c r="D1402" s="32"/>
      <c r="E1402" s="32"/>
      <c r="F1402" s="32"/>
      <c r="G1402" s="32">
        <f t="shared" si="380"/>
        <v>0</v>
      </c>
      <c r="H1402" s="12"/>
      <c r="I1402" s="12"/>
      <c r="J1402" s="12"/>
      <c r="K1402" s="12">
        <f t="shared" si="381"/>
        <v>0</v>
      </c>
      <c r="M1402" s="10">
        <v>16</v>
      </c>
      <c r="N1402" s="30"/>
      <c r="P1402" s="32"/>
      <c r="Q1402" s="32"/>
      <c r="R1402" s="32"/>
      <c r="S1402" s="32">
        <f t="shared" si="382"/>
        <v>0</v>
      </c>
      <c r="T1402" s="12"/>
      <c r="U1402" s="12"/>
      <c r="V1402" s="12"/>
      <c r="W1402" s="12">
        <f t="shared" si="383"/>
        <v>0</v>
      </c>
      <c r="Y1402" s="10">
        <v>16</v>
      </c>
      <c r="Z1402" s="30"/>
      <c r="AA1402" s="31"/>
      <c r="AB1402" s="32"/>
      <c r="AC1402" s="32"/>
      <c r="AD1402" s="32"/>
      <c r="AE1402" s="32">
        <f t="shared" si="384"/>
        <v>0</v>
      </c>
      <c r="AF1402" s="12"/>
      <c r="AG1402" s="12"/>
      <c r="AH1402" s="12"/>
      <c r="AI1402" s="12">
        <f t="shared" si="385"/>
        <v>0</v>
      </c>
    </row>
    <row r="1403" spans="1:35" x14ac:dyDescent="0.25">
      <c r="A1403" s="10">
        <v>17</v>
      </c>
      <c r="B1403" s="30"/>
      <c r="C1403" s="31"/>
      <c r="D1403" s="32"/>
      <c r="E1403" s="32"/>
      <c r="F1403" s="32"/>
      <c r="G1403" s="32">
        <f t="shared" si="380"/>
        <v>0</v>
      </c>
      <c r="H1403" s="12"/>
      <c r="I1403" s="12"/>
      <c r="J1403" s="12"/>
      <c r="K1403" s="12">
        <f t="shared" si="381"/>
        <v>0</v>
      </c>
      <c r="M1403" s="10">
        <v>17</v>
      </c>
      <c r="N1403" s="30"/>
      <c r="O1403" s="31"/>
      <c r="P1403" s="35"/>
      <c r="Q1403" s="32"/>
      <c r="R1403" s="32"/>
      <c r="S1403" s="32">
        <f t="shared" si="382"/>
        <v>0</v>
      </c>
      <c r="T1403" s="12"/>
      <c r="U1403" s="12"/>
      <c r="V1403" s="12"/>
      <c r="W1403" s="12">
        <f t="shared" si="383"/>
        <v>0</v>
      </c>
      <c r="Y1403" s="10">
        <v>17</v>
      </c>
      <c r="Z1403" s="30"/>
      <c r="AA1403" s="31"/>
      <c r="AB1403" s="35"/>
      <c r="AC1403" s="32"/>
      <c r="AD1403" s="32"/>
      <c r="AE1403" s="32">
        <f t="shared" si="384"/>
        <v>0</v>
      </c>
      <c r="AF1403" s="12"/>
      <c r="AG1403" s="12"/>
      <c r="AH1403" s="12"/>
      <c r="AI1403" s="12">
        <f t="shared" si="385"/>
        <v>0</v>
      </c>
    </row>
    <row r="1404" spans="1:35" x14ac:dyDescent="0.25">
      <c r="A1404" s="10">
        <v>18</v>
      </c>
      <c r="B1404" s="30"/>
      <c r="C1404" s="31"/>
      <c r="D1404" s="32"/>
      <c r="E1404" s="32"/>
      <c r="F1404" s="32"/>
      <c r="G1404" s="32">
        <f t="shared" si="380"/>
        <v>0</v>
      </c>
      <c r="H1404" s="12"/>
      <c r="I1404" s="12"/>
      <c r="J1404" s="12"/>
      <c r="K1404" s="12">
        <f t="shared" si="381"/>
        <v>0</v>
      </c>
      <c r="M1404" s="10">
        <v>18</v>
      </c>
      <c r="N1404" s="30"/>
      <c r="O1404" s="31"/>
      <c r="P1404" s="32"/>
      <c r="Q1404" s="32"/>
      <c r="R1404" s="32"/>
      <c r="S1404" s="32">
        <f t="shared" si="382"/>
        <v>0</v>
      </c>
      <c r="T1404" s="12"/>
      <c r="U1404" s="12"/>
      <c r="V1404" s="12"/>
      <c r="W1404" s="12">
        <f t="shared" si="383"/>
        <v>0</v>
      </c>
      <c r="Y1404" s="10">
        <v>18</v>
      </c>
      <c r="Z1404" s="30"/>
      <c r="AA1404" s="31"/>
      <c r="AB1404" s="32"/>
      <c r="AC1404" s="32"/>
      <c r="AD1404" s="32"/>
      <c r="AE1404" s="32">
        <f t="shared" si="384"/>
        <v>0</v>
      </c>
      <c r="AF1404" s="12"/>
      <c r="AG1404" s="12"/>
      <c r="AH1404" s="12"/>
      <c r="AI1404" s="12">
        <f t="shared" si="385"/>
        <v>0</v>
      </c>
    </row>
    <row r="1405" spans="1:35" x14ac:dyDescent="0.25">
      <c r="A1405" s="10">
        <v>19</v>
      </c>
      <c r="B1405" s="30"/>
      <c r="C1405" s="31"/>
      <c r="D1405" s="32"/>
      <c r="E1405" s="32"/>
      <c r="F1405" s="32"/>
      <c r="G1405" s="32">
        <f t="shared" si="380"/>
        <v>0</v>
      </c>
      <c r="H1405" s="12"/>
      <c r="I1405" s="12"/>
      <c r="J1405" s="12"/>
      <c r="K1405" s="12">
        <f t="shared" si="381"/>
        <v>0</v>
      </c>
      <c r="M1405" s="10">
        <v>19</v>
      </c>
      <c r="N1405" s="30"/>
      <c r="O1405" s="31"/>
      <c r="P1405" s="32"/>
      <c r="Q1405" s="32"/>
      <c r="R1405" s="32"/>
      <c r="S1405" s="32">
        <f t="shared" si="382"/>
        <v>0</v>
      </c>
      <c r="T1405" s="12"/>
      <c r="U1405" s="12"/>
      <c r="V1405" s="12"/>
      <c r="W1405" s="12">
        <f t="shared" si="383"/>
        <v>0</v>
      </c>
      <c r="Y1405" s="10">
        <v>19</v>
      </c>
      <c r="Z1405" s="30"/>
      <c r="AA1405" s="31"/>
      <c r="AB1405" s="32"/>
      <c r="AC1405" s="32"/>
      <c r="AD1405" s="32"/>
      <c r="AE1405" s="32">
        <f t="shared" si="384"/>
        <v>0</v>
      </c>
      <c r="AF1405" s="12"/>
      <c r="AG1405" s="12"/>
      <c r="AH1405" s="12"/>
      <c r="AI1405" s="12">
        <f t="shared" si="385"/>
        <v>0</v>
      </c>
    </row>
    <row r="1406" spans="1:35" x14ac:dyDescent="0.25">
      <c r="A1406" s="10">
        <v>20</v>
      </c>
      <c r="B1406" s="30"/>
      <c r="D1406" s="32"/>
      <c r="E1406" s="32"/>
      <c r="F1406" s="32"/>
      <c r="G1406" s="32">
        <f t="shared" si="380"/>
        <v>0</v>
      </c>
      <c r="H1406" s="12"/>
      <c r="I1406" s="12"/>
      <c r="J1406" s="12"/>
      <c r="K1406" s="12">
        <f t="shared" si="381"/>
        <v>0</v>
      </c>
      <c r="M1406" s="10">
        <v>20</v>
      </c>
      <c r="N1406" s="30"/>
      <c r="O1406" s="31"/>
      <c r="P1406" s="32"/>
      <c r="Q1406" s="32"/>
      <c r="R1406" s="32"/>
      <c r="S1406" s="32">
        <f t="shared" si="382"/>
        <v>0</v>
      </c>
      <c r="T1406" s="12"/>
      <c r="U1406" s="12"/>
      <c r="V1406" s="12"/>
      <c r="W1406" s="12">
        <f t="shared" si="383"/>
        <v>0</v>
      </c>
      <c r="Y1406" s="10">
        <v>20</v>
      </c>
      <c r="Z1406" s="30"/>
      <c r="AA1406" s="31"/>
      <c r="AB1406" s="32"/>
      <c r="AC1406" s="32"/>
      <c r="AD1406" s="32"/>
      <c r="AE1406" s="32">
        <f t="shared" si="384"/>
        <v>0</v>
      </c>
      <c r="AF1406" s="12"/>
      <c r="AG1406" s="12"/>
      <c r="AH1406" s="12"/>
      <c r="AI1406" s="12">
        <f t="shared" si="385"/>
        <v>0</v>
      </c>
    </row>
    <row r="1407" spans="1:35" x14ac:dyDescent="0.25">
      <c r="A1407" s="10">
        <v>21</v>
      </c>
      <c r="B1407" s="30"/>
      <c r="C1407" s="57"/>
      <c r="D1407" s="32"/>
      <c r="E1407" s="32"/>
      <c r="F1407" s="32"/>
      <c r="G1407" s="32">
        <f t="shared" si="380"/>
        <v>0</v>
      </c>
      <c r="H1407" s="10"/>
      <c r="I1407" s="10"/>
      <c r="J1407" s="10"/>
      <c r="K1407" s="12">
        <f t="shared" si="381"/>
        <v>0</v>
      </c>
      <c r="M1407" s="10">
        <v>21</v>
      </c>
      <c r="N1407" s="30"/>
      <c r="O1407" s="31"/>
      <c r="P1407" s="46"/>
      <c r="Q1407" s="31"/>
      <c r="R1407" s="31"/>
      <c r="S1407" s="32">
        <f t="shared" si="382"/>
        <v>0</v>
      </c>
      <c r="T1407" s="10"/>
      <c r="U1407" s="10"/>
      <c r="V1407" s="10"/>
      <c r="W1407" s="12">
        <f t="shared" si="383"/>
        <v>0</v>
      </c>
      <c r="Y1407" s="10">
        <v>21</v>
      </c>
      <c r="Z1407" s="30"/>
      <c r="AB1407" s="46"/>
      <c r="AC1407" s="31"/>
      <c r="AD1407" s="31"/>
      <c r="AE1407" s="32">
        <f t="shared" si="384"/>
        <v>0</v>
      </c>
      <c r="AF1407" s="10"/>
      <c r="AG1407" s="10"/>
      <c r="AH1407" s="10"/>
      <c r="AI1407" s="12">
        <f t="shared" si="385"/>
        <v>0</v>
      </c>
    </row>
    <row r="1408" spans="1:35" x14ac:dyDescent="0.25">
      <c r="A1408" s="10">
        <v>22</v>
      </c>
      <c r="B1408" s="30"/>
      <c r="C1408" s="31"/>
      <c r="D1408" s="32"/>
      <c r="E1408" s="32"/>
      <c r="F1408" s="32"/>
      <c r="G1408" s="32">
        <f t="shared" si="380"/>
        <v>0</v>
      </c>
      <c r="H1408" s="10"/>
      <c r="I1408" s="10"/>
      <c r="J1408" s="10"/>
      <c r="K1408" s="12">
        <f t="shared" si="381"/>
        <v>0</v>
      </c>
      <c r="M1408" s="10">
        <v>22</v>
      </c>
      <c r="N1408" s="30"/>
      <c r="O1408" s="31"/>
      <c r="P1408" s="45"/>
      <c r="Q1408" s="31"/>
      <c r="R1408" s="31"/>
      <c r="S1408" s="32">
        <f t="shared" si="382"/>
        <v>0</v>
      </c>
      <c r="T1408" s="10"/>
      <c r="U1408" s="10"/>
      <c r="V1408" s="10"/>
      <c r="W1408" s="12">
        <f t="shared" si="383"/>
        <v>0</v>
      </c>
      <c r="Y1408" s="10">
        <v>22</v>
      </c>
      <c r="Z1408" s="30"/>
      <c r="AA1408" s="31"/>
      <c r="AB1408" s="45"/>
      <c r="AC1408" s="31"/>
      <c r="AD1408" s="31"/>
      <c r="AE1408" s="32">
        <f t="shared" si="384"/>
        <v>0</v>
      </c>
      <c r="AF1408" s="10"/>
      <c r="AG1408" s="10"/>
      <c r="AH1408" s="10"/>
      <c r="AI1408" s="12">
        <f t="shared" si="385"/>
        <v>0</v>
      </c>
    </row>
    <row r="1409" spans="1:35" x14ac:dyDescent="0.25">
      <c r="A1409" s="10">
        <v>23</v>
      </c>
      <c r="B1409" s="30"/>
      <c r="C1409" s="31"/>
      <c r="D1409" s="32"/>
      <c r="E1409" s="32"/>
      <c r="F1409" s="32"/>
      <c r="G1409" s="32">
        <f t="shared" si="380"/>
        <v>0</v>
      </c>
      <c r="H1409" s="10"/>
      <c r="I1409" s="10"/>
      <c r="J1409" s="12"/>
      <c r="K1409" s="12">
        <f t="shared" si="381"/>
        <v>0</v>
      </c>
      <c r="M1409" s="10">
        <v>23</v>
      </c>
      <c r="N1409" s="30"/>
      <c r="O1409" s="31"/>
      <c r="P1409" s="47"/>
      <c r="Q1409" s="31"/>
      <c r="S1409" s="32">
        <f t="shared" si="382"/>
        <v>0</v>
      </c>
      <c r="T1409" s="10"/>
      <c r="U1409" s="10"/>
      <c r="V1409" s="10"/>
      <c r="W1409" s="12">
        <f t="shared" si="383"/>
        <v>0</v>
      </c>
      <c r="Y1409" s="10">
        <v>23</v>
      </c>
      <c r="Z1409" s="30"/>
      <c r="AB1409" s="47"/>
      <c r="AC1409" s="31"/>
      <c r="AE1409" s="32">
        <f t="shared" si="384"/>
        <v>0</v>
      </c>
      <c r="AF1409" s="10"/>
      <c r="AG1409" s="10"/>
      <c r="AH1409" s="10"/>
      <c r="AI1409" s="12">
        <f t="shared" si="385"/>
        <v>0</v>
      </c>
    </row>
    <row r="1410" spans="1:35" x14ac:dyDescent="0.25">
      <c r="A1410" s="10">
        <v>24</v>
      </c>
      <c r="B1410" s="30"/>
      <c r="C1410" s="31"/>
      <c r="D1410" s="32"/>
      <c r="E1410" s="32"/>
      <c r="F1410" s="32"/>
      <c r="G1410" s="32">
        <f t="shared" si="380"/>
        <v>0</v>
      </c>
      <c r="H1410" s="10"/>
      <c r="I1410" s="10"/>
      <c r="J1410" s="10"/>
      <c r="K1410" s="12">
        <f t="shared" si="381"/>
        <v>0</v>
      </c>
      <c r="M1410" s="10">
        <v>24</v>
      </c>
      <c r="N1410" s="30"/>
      <c r="O1410" s="31"/>
      <c r="P1410" s="47"/>
      <c r="Q1410" s="31"/>
      <c r="R1410" s="31"/>
      <c r="S1410" s="32">
        <f t="shared" si="382"/>
        <v>0</v>
      </c>
      <c r="T1410" s="10"/>
      <c r="U1410" s="10"/>
      <c r="V1410" s="10"/>
      <c r="W1410" s="12">
        <f t="shared" si="383"/>
        <v>0</v>
      </c>
      <c r="Y1410" s="10">
        <v>24</v>
      </c>
      <c r="Z1410" s="30"/>
      <c r="AA1410" s="31"/>
      <c r="AB1410" s="47"/>
      <c r="AC1410" s="31"/>
      <c r="AD1410" s="31"/>
      <c r="AE1410" s="32">
        <f t="shared" si="384"/>
        <v>0</v>
      </c>
      <c r="AF1410" s="10"/>
      <c r="AG1410" s="10"/>
      <c r="AH1410" s="10"/>
      <c r="AI1410" s="12">
        <f t="shared" si="385"/>
        <v>0</v>
      </c>
    </row>
    <row r="1411" spans="1:35" x14ac:dyDescent="0.25">
      <c r="A1411" s="10">
        <v>25</v>
      </c>
      <c r="B1411" s="30"/>
      <c r="C1411" s="31"/>
      <c r="D1411" s="32"/>
      <c r="E1411" s="32"/>
      <c r="F1411" s="32"/>
      <c r="G1411" s="32">
        <f t="shared" si="380"/>
        <v>0</v>
      </c>
      <c r="H1411" s="10"/>
      <c r="I1411" s="10"/>
      <c r="J1411" s="10"/>
      <c r="K1411" s="12">
        <f t="shared" si="381"/>
        <v>0</v>
      </c>
      <c r="M1411" s="10">
        <v>25</v>
      </c>
      <c r="N1411" s="30"/>
      <c r="O1411" s="31"/>
      <c r="P1411" s="47"/>
      <c r="Q1411" s="31"/>
      <c r="R1411" s="31"/>
      <c r="S1411" s="32">
        <f t="shared" si="382"/>
        <v>0</v>
      </c>
      <c r="T1411" s="10"/>
      <c r="U1411" s="10"/>
      <c r="V1411" s="10"/>
      <c r="W1411" s="12">
        <f t="shared" si="383"/>
        <v>0</v>
      </c>
      <c r="Y1411" s="10">
        <v>25</v>
      </c>
      <c r="Z1411" s="30"/>
      <c r="AA1411" s="31"/>
      <c r="AB1411" s="47"/>
      <c r="AC1411" s="31"/>
      <c r="AD1411" s="31"/>
      <c r="AE1411" s="32">
        <f t="shared" si="384"/>
        <v>0</v>
      </c>
      <c r="AF1411" s="10"/>
      <c r="AG1411" s="10"/>
      <c r="AH1411" s="10"/>
      <c r="AI1411" s="12">
        <f t="shared" si="385"/>
        <v>0</v>
      </c>
    </row>
    <row r="1412" spans="1:35" x14ac:dyDescent="0.25">
      <c r="A1412" s="10">
        <v>26</v>
      </c>
      <c r="B1412" s="30"/>
      <c r="C1412" s="57"/>
      <c r="D1412" s="32"/>
      <c r="E1412" s="32"/>
      <c r="F1412" s="32"/>
      <c r="G1412" s="32">
        <f t="shared" si="380"/>
        <v>0</v>
      </c>
      <c r="H1412" s="10"/>
      <c r="I1412" s="10"/>
      <c r="J1412" s="10"/>
      <c r="K1412" s="12">
        <f t="shared" si="381"/>
        <v>0</v>
      </c>
      <c r="M1412" s="10">
        <v>26</v>
      </c>
      <c r="N1412" s="30"/>
      <c r="O1412" s="31"/>
      <c r="P1412" s="47"/>
      <c r="Q1412" s="31"/>
      <c r="R1412" s="31"/>
      <c r="S1412" s="32">
        <f t="shared" si="382"/>
        <v>0</v>
      </c>
      <c r="T1412" s="10"/>
      <c r="U1412" s="10"/>
      <c r="V1412" s="10"/>
      <c r="W1412" s="12">
        <f t="shared" si="383"/>
        <v>0</v>
      </c>
      <c r="Y1412" s="10">
        <v>26</v>
      </c>
      <c r="Z1412" s="30"/>
      <c r="AA1412" s="31"/>
      <c r="AB1412" s="47"/>
      <c r="AC1412" s="31"/>
      <c r="AD1412" s="31"/>
      <c r="AE1412" s="32">
        <f t="shared" si="384"/>
        <v>0</v>
      </c>
      <c r="AF1412" s="10"/>
      <c r="AG1412" s="10"/>
      <c r="AH1412" s="10"/>
      <c r="AI1412" s="12">
        <f t="shared" si="385"/>
        <v>0</v>
      </c>
    </row>
    <row r="1413" spans="1:35" x14ac:dyDescent="0.25">
      <c r="A1413" s="10">
        <v>27</v>
      </c>
      <c r="B1413" s="30"/>
      <c r="C1413" s="31"/>
      <c r="D1413" s="32"/>
      <c r="E1413" s="32"/>
      <c r="F1413" s="32"/>
      <c r="G1413" s="32">
        <f t="shared" si="380"/>
        <v>0</v>
      </c>
      <c r="H1413" s="10"/>
      <c r="I1413" s="10"/>
      <c r="J1413" s="10"/>
      <c r="K1413" s="12">
        <f t="shared" si="381"/>
        <v>0</v>
      </c>
      <c r="M1413" s="10">
        <v>27</v>
      </c>
      <c r="N1413" s="30"/>
      <c r="O1413" s="31"/>
      <c r="P1413" s="47"/>
      <c r="Q1413" s="31"/>
      <c r="R1413" s="31"/>
      <c r="S1413" s="32">
        <f t="shared" si="382"/>
        <v>0</v>
      </c>
      <c r="T1413" s="10"/>
      <c r="U1413" s="10"/>
      <c r="V1413" s="10"/>
      <c r="W1413" s="12">
        <f t="shared" si="383"/>
        <v>0</v>
      </c>
      <c r="Y1413" s="10">
        <v>27</v>
      </c>
      <c r="Z1413" s="30"/>
      <c r="AA1413" s="31"/>
      <c r="AB1413" s="47"/>
      <c r="AC1413" s="31"/>
      <c r="AD1413" s="31"/>
      <c r="AE1413" s="32">
        <f t="shared" si="384"/>
        <v>0</v>
      </c>
      <c r="AF1413" s="10"/>
      <c r="AG1413" s="10"/>
      <c r="AH1413" s="10"/>
      <c r="AI1413" s="12">
        <f t="shared" si="385"/>
        <v>0</v>
      </c>
    </row>
    <row r="1414" spans="1:35" x14ac:dyDescent="0.25">
      <c r="A1414" s="10">
        <v>28</v>
      </c>
      <c r="B1414" s="30"/>
      <c r="C1414" s="31"/>
      <c r="D1414" s="32"/>
      <c r="E1414" s="32"/>
      <c r="F1414" s="32"/>
      <c r="G1414" s="32">
        <f t="shared" si="380"/>
        <v>0</v>
      </c>
      <c r="H1414" s="10"/>
      <c r="I1414" s="10"/>
      <c r="J1414" s="10"/>
      <c r="K1414" s="12">
        <f t="shared" si="381"/>
        <v>0</v>
      </c>
      <c r="M1414" s="10">
        <v>28</v>
      </c>
      <c r="N1414" s="30"/>
      <c r="O1414" s="31"/>
      <c r="P1414" s="47"/>
      <c r="Q1414" s="31"/>
      <c r="R1414" s="31"/>
      <c r="S1414" s="32">
        <f t="shared" si="382"/>
        <v>0</v>
      </c>
      <c r="T1414" s="10"/>
      <c r="U1414" s="10"/>
      <c r="V1414" s="10"/>
      <c r="W1414" s="12">
        <f t="shared" si="383"/>
        <v>0</v>
      </c>
      <c r="Y1414" s="10">
        <v>28</v>
      </c>
      <c r="Z1414" s="30"/>
      <c r="AA1414" s="31"/>
      <c r="AB1414" s="47"/>
      <c r="AC1414" s="31"/>
      <c r="AD1414" s="31"/>
      <c r="AE1414" s="32">
        <f t="shared" si="384"/>
        <v>0</v>
      </c>
      <c r="AF1414" s="10"/>
      <c r="AG1414" s="10"/>
      <c r="AH1414" s="10"/>
      <c r="AI1414" s="12">
        <f t="shared" si="385"/>
        <v>0</v>
      </c>
    </row>
    <row r="1415" spans="1:35" x14ac:dyDescent="0.25">
      <c r="A1415" s="10">
        <v>29</v>
      </c>
      <c r="B1415" s="30"/>
      <c r="C1415" s="31"/>
      <c r="D1415" s="32"/>
      <c r="E1415" s="32"/>
      <c r="F1415" s="32"/>
      <c r="G1415" s="32">
        <f t="shared" si="380"/>
        <v>0</v>
      </c>
      <c r="H1415" s="10"/>
      <c r="I1415" s="10"/>
      <c r="J1415" s="10"/>
      <c r="K1415" s="12">
        <f t="shared" si="381"/>
        <v>0</v>
      </c>
      <c r="M1415" s="10">
        <v>29</v>
      </c>
      <c r="N1415" s="30"/>
      <c r="P1415" s="47"/>
      <c r="Q1415" s="31"/>
      <c r="R1415" s="31"/>
      <c r="S1415" s="32">
        <f t="shared" si="382"/>
        <v>0</v>
      </c>
      <c r="T1415" s="10"/>
      <c r="U1415" s="10"/>
      <c r="V1415" s="10"/>
      <c r="W1415" s="12">
        <f t="shared" si="383"/>
        <v>0</v>
      </c>
      <c r="Y1415" s="10">
        <v>29</v>
      </c>
      <c r="Z1415" s="30"/>
      <c r="AA1415" s="31"/>
      <c r="AB1415" s="47"/>
      <c r="AC1415" s="31"/>
      <c r="AD1415" s="31"/>
      <c r="AE1415" s="32">
        <f t="shared" si="384"/>
        <v>0</v>
      </c>
      <c r="AF1415" s="10"/>
      <c r="AG1415" s="10"/>
      <c r="AH1415" s="10"/>
      <c r="AI1415" s="12">
        <f t="shared" si="385"/>
        <v>0</v>
      </c>
    </row>
    <row r="1416" spans="1:35" x14ac:dyDescent="0.25">
      <c r="A1416" s="10">
        <v>30</v>
      </c>
      <c r="B1416" s="30"/>
      <c r="C1416" s="57"/>
      <c r="D1416" s="32"/>
      <c r="E1416" s="32"/>
      <c r="F1416" s="32"/>
      <c r="G1416" s="32">
        <f t="shared" si="380"/>
        <v>0</v>
      </c>
      <c r="H1416" s="10"/>
      <c r="I1416" s="10"/>
      <c r="J1416" s="10"/>
      <c r="K1416" s="12">
        <f t="shared" si="381"/>
        <v>0</v>
      </c>
      <c r="M1416" s="10">
        <v>30</v>
      </c>
      <c r="N1416" s="30"/>
      <c r="O1416" s="31"/>
      <c r="P1416" s="47"/>
      <c r="Q1416" s="31"/>
      <c r="R1416" s="31"/>
      <c r="S1416" s="32">
        <f t="shared" si="382"/>
        <v>0</v>
      </c>
      <c r="T1416" s="10"/>
      <c r="U1416" s="10"/>
      <c r="V1416" s="10"/>
      <c r="W1416" s="12">
        <f t="shared" si="383"/>
        <v>0</v>
      </c>
      <c r="Y1416" s="10">
        <v>30</v>
      </c>
      <c r="Z1416" s="30"/>
      <c r="AA1416" s="31"/>
      <c r="AB1416" s="47"/>
      <c r="AC1416" s="31"/>
      <c r="AD1416" s="31"/>
      <c r="AE1416" s="32">
        <f t="shared" si="384"/>
        <v>0</v>
      </c>
      <c r="AF1416" s="10"/>
      <c r="AG1416" s="10"/>
      <c r="AH1416" s="10"/>
      <c r="AI1416" s="12">
        <f t="shared" si="385"/>
        <v>0</v>
      </c>
    </row>
    <row r="1417" spans="1:35" x14ac:dyDescent="0.25">
      <c r="A1417" s="10">
        <v>31</v>
      </c>
      <c r="B1417" s="30"/>
      <c r="C1417" s="87"/>
      <c r="D1417" s="32"/>
      <c r="E1417" s="32"/>
      <c r="F1417" s="32"/>
      <c r="G1417" s="32">
        <f t="shared" si="380"/>
        <v>0</v>
      </c>
      <c r="H1417" s="10"/>
      <c r="I1417" s="10"/>
      <c r="J1417" s="10"/>
      <c r="K1417" s="12">
        <f t="shared" si="381"/>
        <v>0</v>
      </c>
      <c r="M1417" s="10">
        <v>31</v>
      </c>
      <c r="N1417" s="30"/>
      <c r="P1417" s="47"/>
      <c r="Q1417" s="31"/>
      <c r="R1417" s="31"/>
      <c r="S1417" s="32">
        <f t="shared" si="382"/>
        <v>0</v>
      </c>
      <c r="T1417" s="10"/>
      <c r="U1417" s="10"/>
      <c r="V1417" s="10"/>
      <c r="W1417" s="12">
        <f t="shared" si="383"/>
        <v>0</v>
      </c>
      <c r="Y1417" s="10">
        <v>31</v>
      </c>
      <c r="Z1417" s="30"/>
      <c r="AA1417" s="31"/>
      <c r="AB1417" s="47"/>
      <c r="AC1417" s="31"/>
      <c r="AD1417" s="31"/>
      <c r="AE1417" s="32">
        <f t="shared" si="384"/>
        <v>0</v>
      </c>
      <c r="AF1417" s="10"/>
      <c r="AG1417" s="10"/>
      <c r="AH1417" s="10"/>
      <c r="AI1417" s="12">
        <f t="shared" si="385"/>
        <v>0</v>
      </c>
    </row>
    <row r="1418" spans="1:35" x14ac:dyDescent="0.25">
      <c r="A1418" s="10">
        <v>32</v>
      </c>
      <c r="B1418" s="30"/>
      <c r="C1418" s="57"/>
      <c r="D1418" s="32"/>
      <c r="E1418" s="32"/>
      <c r="F1418" s="32"/>
      <c r="G1418" s="32">
        <f t="shared" si="380"/>
        <v>0</v>
      </c>
      <c r="H1418" s="10"/>
      <c r="I1418" s="10"/>
      <c r="J1418" s="10"/>
      <c r="K1418" s="12">
        <f t="shared" si="381"/>
        <v>0</v>
      </c>
      <c r="M1418" s="10">
        <v>32</v>
      </c>
      <c r="N1418" s="30"/>
      <c r="O1418" s="31"/>
      <c r="P1418" s="47"/>
      <c r="Q1418" s="31"/>
      <c r="R1418" s="31"/>
      <c r="S1418" s="32">
        <f t="shared" si="382"/>
        <v>0</v>
      </c>
      <c r="T1418" s="10"/>
      <c r="U1418" s="10"/>
      <c r="V1418" s="10"/>
      <c r="W1418" s="12">
        <f t="shared" si="383"/>
        <v>0</v>
      </c>
      <c r="Y1418" s="10">
        <v>32</v>
      </c>
      <c r="Z1418" s="30"/>
      <c r="AA1418" s="31"/>
      <c r="AB1418" s="47"/>
      <c r="AC1418" s="31"/>
      <c r="AD1418" s="31"/>
      <c r="AE1418" s="32">
        <f t="shared" si="384"/>
        <v>0</v>
      </c>
      <c r="AF1418" s="10"/>
      <c r="AG1418" s="10"/>
      <c r="AH1418" s="10"/>
      <c r="AI1418" s="12">
        <f t="shared" si="385"/>
        <v>0</v>
      </c>
    </row>
    <row r="1419" spans="1:35" x14ac:dyDescent="0.25">
      <c r="A1419" s="10">
        <v>33</v>
      </c>
      <c r="B1419" s="30"/>
      <c r="C1419" s="87"/>
      <c r="D1419" s="32"/>
      <c r="E1419" s="32"/>
      <c r="F1419" s="32"/>
      <c r="G1419" s="32">
        <f t="shared" si="380"/>
        <v>0</v>
      </c>
      <c r="H1419" s="10"/>
      <c r="I1419" s="10"/>
      <c r="J1419" s="10"/>
      <c r="K1419" s="12">
        <f t="shared" si="381"/>
        <v>0</v>
      </c>
      <c r="M1419" s="10">
        <v>33</v>
      </c>
      <c r="N1419" s="30"/>
      <c r="O1419" s="31"/>
      <c r="P1419" s="47"/>
      <c r="Q1419" s="31"/>
      <c r="R1419" s="31"/>
      <c r="S1419" s="32">
        <f t="shared" si="382"/>
        <v>0</v>
      </c>
      <c r="T1419" s="10"/>
      <c r="U1419" s="10"/>
      <c r="V1419" s="10"/>
      <c r="W1419" s="12">
        <f t="shared" si="383"/>
        <v>0</v>
      </c>
      <c r="Y1419" s="10">
        <v>33</v>
      </c>
      <c r="Z1419" s="30"/>
      <c r="AA1419" s="31"/>
      <c r="AB1419" s="47"/>
      <c r="AC1419" s="31"/>
      <c r="AD1419" s="31"/>
      <c r="AE1419" s="32">
        <f t="shared" si="384"/>
        <v>0</v>
      </c>
      <c r="AF1419" s="10"/>
      <c r="AG1419" s="10"/>
      <c r="AH1419" s="10"/>
      <c r="AI1419" s="12">
        <f t="shared" si="385"/>
        <v>0</v>
      </c>
    </row>
    <row r="1420" spans="1:35" x14ac:dyDescent="0.25">
      <c r="A1420" s="10"/>
      <c r="B1420" s="30"/>
      <c r="C1420" s="87"/>
      <c r="D1420" s="32"/>
      <c r="E1420" s="32"/>
      <c r="F1420" s="32"/>
      <c r="G1420" s="32">
        <f t="shared" si="380"/>
        <v>0</v>
      </c>
      <c r="H1420" s="10"/>
      <c r="I1420" s="10"/>
      <c r="J1420" s="10"/>
      <c r="K1420" s="12">
        <f t="shared" si="381"/>
        <v>0</v>
      </c>
      <c r="M1420" s="10">
        <v>34</v>
      </c>
      <c r="N1420" s="30"/>
      <c r="O1420" s="31"/>
      <c r="P1420" s="47"/>
      <c r="Q1420" s="31"/>
      <c r="R1420" s="31"/>
      <c r="S1420" s="32">
        <f t="shared" si="382"/>
        <v>0</v>
      </c>
      <c r="T1420" s="10"/>
      <c r="U1420" s="10"/>
      <c r="V1420" s="10"/>
      <c r="W1420" s="12">
        <f t="shared" si="383"/>
        <v>0</v>
      </c>
      <c r="Y1420" s="10">
        <v>34</v>
      </c>
      <c r="Z1420" s="30"/>
      <c r="AA1420" s="31"/>
      <c r="AB1420" s="47"/>
      <c r="AC1420" s="31"/>
      <c r="AD1420" s="31"/>
      <c r="AE1420" s="32">
        <f t="shared" si="384"/>
        <v>0</v>
      </c>
      <c r="AF1420" s="10"/>
      <c r="AG1420" s="10"/>
      <c r="AH1420" s="10"/>
      <c r="AI1420" s="12">
        <f t="shared" si="385"/>
        <v>0</v>
      </c>
    </row>
    <row r="1421" spans="1:35" x14ac:dyDescent="0.25">
      <c r="A1421" s="10"/>
      <c r="B1421" s="30"/>
      <c r="C1421" s="87"/>
      <c r="D1421" s="32"/>
      <c r="E1421" s="32"/>
      <c r="F1421" s="32"/>
      <c r="G1421" s="32"/>
      <c r="H1421" s="10"/>
      <c r="I1421" s="10"/>
      <c r="J1421" s="10"/>
      <c r="K1421" s="12"/>
      <c r="M1421" s="10">
        <v>35</v>
      </c>
      <c r="N1421" s="30"/>
      <c r="O1421" s="31"/>
      <c r="P1421" s="47"/>
      <c r="Q1421" s="31"/>
      <c r="R1421" s="31"/>
      <c r="S1421" s="32">
        <f t="shared" si="382"/>
        <v>0</v>
      </c>
      <c r="T1421" s="10"/>
      <c r="U1421" s="10"/>
      <c r="V1421" s="10"/>
      <c r="W1421" s="12">
        <f t="shared" si="383"/>
        <v>0</v>
      </c>
      <c r="Y1421" s="10">
        <v>35</v>
      </c>
      <c r="Z1421" s="30"/>
      <c r="AA1421" s="31"/>
      <c r="AB1421" s="47"/>
      <c r="AC1421" s="31"/>
      <c r="AD1421" s="31"/>
      <c r="AE1421" s="32">
        <f t="shared" si="384"/>
        <v>0</v>
      </c>
      <c r="AF1421" s="10"/>
      <c r="AG1421" s="10"/>
      <c r="AH1421" s="10"/>
      <c r="AI1421" s="12">
        <f t="shared" si="385"/>
        <v>0</v>
      </c>
    </row>
    <row r="1422" spans="1:35" x14ac:dyDescent="0.25">
      <c r="A1422" s="10"/>
      <c r="B1422" s="30"/>
      <c r="C1422" s="87"/>
      <c r="D1422" s="32"/>
      <c r="E1422" s="32"/>
      <c r="F1422" s="32"/>
      <c r="G1422" s="32"/>
      <c r="H1422" s="10"/>
      <c r="I1422" s="10"/>
      <c r="J1422" s="10"/>
      <c r="K1422" s="12"/>
      <c r="M1422" s="10">
        <v>36</v>
      </c>
      <c r="N1422" s="30"/>
      <c r="O1422" s="31"/>
      <c r="P1422" s="47"/>
      <c r="Q1422" s="31"/>
      <c r="R1422" s="31"/>
      <c r="S1422" s="32">
        <f t="shared" si="382"/>
        <v>0</v>
      </c>
      <c r="T1422" s="10"/>
      <c r="U1422" s="10"/>
      <c r="V1422" s="10"/>
      <c r="W1422" s="12">
        <f t="shared" si="383"/>
        <v>0</v>
      </c>
      <c r="Y1422" s="10">
        <v>36</v>
      </c>
      <c r="Z1422" s="30"/>
      <c r="AA1422" s="31"/>
      <c r="AB1422" s="47"/>
      <c r="AC1422" s="31"/>
      <c r="AD1422" s="31"/>
      <c r="AE1422" s="32">
        <f t="shared" si="384"/>
        <v>0</v>
      </c>
      <c r="AF1422" s="10"/>
      <c r="AG1422" s="10"/>
      <c r="AH1422" s="10"/>
      <c r="AI1422" s="12">
        <f t="shared" si="385"/>
        <v>0</v>
      </c>
    </row>
    <row r="1423" spans="1:35" x14ac:dyDescent="0.25">
      <c r="A1423" s="10"/>
      <c r="B1423" s="30"/>
      <c r="C1423" s="31"/>
      <c r="D1423" s="32"/>
      <c r="E1423" s="32"/>
      <c r="F1423" s="32"/>
      <c r="G1423" s="32"/>
      <c r="H1423" s="10"/>
      <c r="I1423" s="10"/>
      <c r="J1423" s="10"/>
      <c r="K1423" s="12"/>
      <c r="M1423" s="10">
        <v>37</v>
      </c>
      <c r="N1423" s="30"/>
      <c r="P1423" s="47"/>
      <c r="Q1423" s="31"/>
      <c r="R1423" s="31"/>
      <c r="S1423" s="32">
        <f t="shared" si="382"/>
        <v>0</v>
      </c>
      <c r="T1423" s="10"/>
      <c r="U1423" s="10"/>
      <c r="V1423" s="10"/>
      <c r="W1423" s="12">
        <f t="shared" si="383"/>
        <v>0</v>
      </c>
      <c r="Y1423" s="10">
        <v>37</v>
      </c>
      <c r="Z1423" s="30"/>
      <c r="AA1423" s="31"/>
      <c r="AB1423" s="47"/>
      <c r="AC1423" s="31"/>
      <c r="AD1423" s="31"/>
      <c r="AE1423" s="32">
        <f t="shared" si="384"/>
        <v>0</v>
      </c>
      <c r="AF1423" s="10"/>
      <c r="AG1423" s="10"/>
      <c r="AH1423" s="10"/>
      <c r="AI1423" s="12">
        <f t="shared" si="385"/>
        <v>0</v>
      </c>
    </row>
    <row r="1424" spans="1:35" x14ac:dyDescent="0.25">
      <c r="A1424" s="10"/>
      <c r="B1424" s="30"/>
      <c r="C1424" s="31"/>
      <c r="D1424" s="32"/>
      <c r="E1424" s="32"/>
      <c r="F1424" s="32"/>
      <c r="G1424" s="32"/>
      <c r="H1424" s="10"/>
      <c r="I1424" s="10"/>
      <c r="J1424" s="10"/>
      <c r="K1424" s="12"/>
      <c r="M1424" s="10">
        <v>38</v>
      </c>
      <c r="N1424" s="30"/>
      <c r="O1424" s="31"/>
      <c r="P1424" s="47"/>
      <c r="Q1424" s="31"/>
      <c r="R1424" s="31"/>
      <c r="S1424" s="32">
        <f t="shared" si="382"/>
        <v>0</v>
      </c>
      <c r="T1424" s="10"/>
      <c r="U1424" s="10"/>
      <c r="V1424" s="10"/>
      <c r="W1424" s="12">
        <f t="shared" si="383"/>
        <v>0</v>
      </c>
      <c r="Y1424" s="10">
        <v>38</v>
      </c>
      <c r="Z1424" s="30"/>
      <c r="AA1424" s="31"/>
      <c r="AB1424" s="47"/>
      <c r="AC1424" s="31"/>
      <c r="AD1424" s="31"/>
      <c r="AE1424" s="32">
        <f t="shared" si="384"/>
        <v>0</v>
      </c>
      <c r="AF1424" s="10"/>
      <c r="AG1424" s="10"/>
      <c r="AH1424" s="10"/>
      <c r="AI1424" s="12">
        <f t="shared" si="385"/>
        <v>0</v>
      </c>
    </row>
    <row r="1425" spans="1:35" x14ac:dyDescent="0.25">
      <c r="A1425" s="10"/>
      <c r="B1425" s="30"/>
      <c r="C1425" s="31"/>
      <c r="D1425" s="32"/>
      <c r="E1425" s="32"/>
      <c r="F1425" s="32"/>
      <c r="G1425" s="32"/>
      <c r="H1425" s="10"/>
      <c r="I1425" s="10"/>
      <c r="J1425" s="10"/>
      <c r="K1425" s="12"/>
      <c r="M1425" s="10">
        <v>39</v>
      </c>
      <c r="N1425" s="30"/>
      <c r="O1425" s="31"/>
      <c r="P1425" s="47"/>
      <c r="Q1425" s="31"/>
      <c r="R1425" s="31"/>
      <c r="S1425" s="32">
        <f t="shared" si="382"/>
        <v>0</v>
      </c>
      <c r="T1425" s="10"/>
      <c r="U1425" s="10"/>
      <c r="V1425" s="10"/>
      <c r="W1425" s="12">
        <f t="shared" si="383"/>
        <v>0</v>
      </c>
      <c r="Y1425" s="10">
        <v>39</v>
      </c>
      <c r="Z1425" s="30"/>
      <c r="AA1425" s="31"/>
      <c r="AB1425" s="47"/>
      <c r="AC1425" s="31"/>
      <c r="AD1425" s="31"/>
      <c r="AE1425" s="32">
        <f t="shared" si="384"/>
        <v>0</v>
      </c>
      <c r="AF1425" s="10"/>
      <c r="AG1425" s="10"/>
      <c r="AH1425" s="10"/>
      <c r="AI1425" s="12">
        <f t="shared" si="385"/>
        <v>0</v>
      </c>
    </row>
    <row r="1426" spans="1:35" x14ac:dyDescent="0.25">
      <c r="A1426" s="10"/>
      <c r="B1426" s="30"/>
      <c r="C1426" s="31"/>
      <c r="D1426" s="32"/>
      <c r="E1426" s="32"/>
      <c r="F1426" s="32"/>
      <c r="G1426" s="32"/>
      <c r="H1426" s="10"/>
      <c r="I1426" s="10"/>
      <c r="J1426" s="10"/>
      <c r="K1426" s="12"/>
      <c r="M1426" s="10"/>
      <c r="N1426" s="30"/>
      <c r="P1426" s="47"/>
      <c r="Q1426" s="31"/>
      <c r="R1426" s="31"/>
      <c r="S1426" s="32"/>
      <c r="T1426" s="10"/>
      <c r="U1426" s="10"/>
      <c r="V1426" s="10"/>
      <c r="W1426" s="12">
        <f t="shared" si="383"/>
        <v>0</v>
      </c>
      <c r="Y1426" s="10"/>
      <c r="Z1426" s="30"/>
      <c r="AB1426" s="47"/>
      <c r="AC1426" s="31"/>
      <c r="AD1426" s="31"/>
      <c r="AE1426" s="32"/>
      <c r="AF1426" s="10"/>
      <c r="AG1426" s="10"/>
      <c r="AH1426" s="10"/>
      <c r="AI1426" s="12">
        <f t="shared" si="385"/>
        <v>0</v>
      </c>
    </row>
    <row r="1427" spans="1:35" x14ac:dyDescent="0.25">
      <c r="A1427" s="10"/>
      <c r="B1427" s="30"/>
      <c r="C1427" s="31"/>
      <c r="D1427" s="32"/>
      <c r="E1427" s="32"/>
      <c r="F1427" s="32"/>
      <c r="G1427" s="32">
        <f t="shared" ref="G1427" si="389">SUM(D1427:E1427)</f>
        <v>0</v>
      </c>
      <c r="H1427" s="10"/>
      <c r="I1427" s="10"/>
      <c r="J1427" s="10"/>
      <c r="K1427" s="12">
        <f t="shared" ref="K1427" si="390">SUM(G1427:J1427)</f>
        <v>0</v>
      </c>
      <c r="M1427" s="10"/>
      <c r="N1427" s="30"/>
      <c r="O1427" s="31"/>
      <c r="P1427" s="47"/>
      <c r="Q1427" s="31"/>
      <c r="R1427" s="31"/>
      <c r="S1427" s="32">
        <f t="shared" ref="S1427" si="391">SUM(P1427:Q1427)</f>
        <v>0</v>
      </c>
      <c r="T1427" s="10"/>
      <c r="U1427" s="10"/>
      <c r="V1427" s="10"/>
      <c r="W1427" s="12">
        <f t="shared" si="383"/>
        <v>0</v>
      </c>
      <c r="Y1427" s="10"/>
      <c r="Z1427" s="30"/>
      <c r="AA1427" s="31"/>
      <c r="AB1427" s="47"/>
      <c r="AC1427" s="31"/>
      <c r="AD1427" s="31"/>
      <c r="AE1427" s="32">
        <f t="shared" ref="AE1427" si="392">SUM(AB1427:AC1427)</f>
        <v>0</v>
      </c>
      <c r="AF1427" s="10"/>
      <c r="AG1427" s="10"/>
      <c r="AH1427" s="10"/>
      <c r="AI1427" s="12">
        <f t="shared" si="385"/>
        <v>0</v>
      </c>
    </row>
    <row r="1428" spans="1:35" x14ac:dyDescent="0.25">
      <c r="A1428" s="10"/>
      <c r="B1428" s="30"/>
      <c r="C1428" s="30"/>
      <c r="D1428" s="32"/>
      <c r="E1428" s="32"/>
      <c r="F1428" s="32"/>
      <c r="G1428" s="32"/>
      <c r="H1428" s="10"/>
      <c r="I1428" s="10"/>
      <c r="J1428" s="10"/>
      <c r="K1428" s="12"/>
      <c r="M1428" s="10"/>
      <c r="N1428" s="31"/>
      <c r="O1428" s="31"/>
      <c r="P1428" s="31"/>
      <c r="Q1428" s="31"/>
      <c r="R1428" s="31"/>
      <c r="S1428" s="31"/>
      <c r="T1428" s="10"/>
      <c r="U1428" s="10"/>
      <c r="V1428" s="10"/>
      <c r="W1428" s="12">
        <f t="shared" si="383"/>
        <v>0</v>
      </c>
      <c r="Y1428" s="10"/>
      <c r="Z1428" s="31"/>
      <c r="AA1428" s="31"/>
      <c r="AB1428" s="31"/>
      <c r="AC1428" s="31"/>
      <c r="AD1428" s="31"/>
      <c r="AE1428" s="31"/>
      <c r="AF1428" s="10"/>
      <c r="AG1428" s="10"/>
      <c r="AH1428" s="10"/>
      <c r="AI1428" s="12">
        <f t="shared" si="385"/>
        <v>0</v>
      </c>
    </row>
    <row r="1429" spans="1:35" x14ac:dyDescent="0.25">
      <c r="B1429" s="57"/>
      <c r="C1429" s="57"/>
      <c r="D1429" s="36"/>
      <c r="E1429" s="36"/>
      <c r="F1429" s="36"/>
      <c r="G1429" s="36"/>
      <c r="H1429" s="37"/>
      <c r="I1429" s="37"/>
      <c r="J1429" s="37"/>
      <c r="K1429" s="37"/>
      <c r="N1429" s="57"/>
      <c r="O1429" s="57"/>
      <c r="P1429" s="36"/>
      <c r="Q1429" s="36"/>
      <c r="R1429" s="36"/>
      <c r="S1429" s="36"/>
      <c r="T1429" s="37"/>
      <c r="U1429" s="37"/>
      <c r="V1429" s="37"/>
      <c r="W1429" s="37"/>
      <c r="Z1429" s="57"/>
      <c r="AA1429" s="57"/>
      <c r="AB1429" s="36"/>
      <c r="AC1429" s="36"/>
      <c r="AD1429" s="36"/>
      <c r="AE1429" s="36"/>
      <c r="AF1429" s="37"/>
      <c r="AG1429" s="37"/>
      <c r="AH1429" s="37"/>
      <c r="AI1429" s="37"/>
    </row>
    <row r="1430" spans="1:35" x14ac:dyDescent="0.25">
      <c r="B1430" s="57"/>
      <c r="C1430" s="57"/>
      <c r="D1430" s="38">
        <f>SUM(D1387:D1429)</f>
        <v>558356</v>
      </c>
      <c r="E1430" s="38">
        <f t="shared" ref="E1430:F1430" si="393">SUM(E1387:E1427)</f>
        <v>-4074</v>
      </c>
      <c r="F1430" s="38">
        <f t="shared" si="393"/>
        <v>0</v>
      </c>
      <c r="G1430" s="38">
        <f>SUM(G1387:G1429)</f>
        <v>554282</v>
      </c>
      <c r="H1430" s="4"/>
      <c r="I1430" s="39">
        <f>SUM(I1387:I1429)</f>
        <v>2490</v>
      </c>
      <c r="J1430" s="39">
        <f>SUM(J1387:J1429)</f>
        <v>-12609</v>
      </c>
      <c r="K1430" s="40">
        <f>SUM(K1387:K1429)</f>
        <v>544163</v>
      </c>
      <c r="N1430" s="57"/>
      <c r="O1430" s="57"/>
      <c r="P1430" s="38">
        <f>SUM(P1387:P1429)</f>
        <v>461870</v>
      </c>
      <c r="Q1430" s="38">
        <f>SUM(Q1387:Q1411)</f>
        <v>-2418</v>
      </c>
      <c r="R1430" s="38">
        <f>SUM(R1387:R1411)</f>
        <v>0</v>
      </c>
      <c r="S1430" s="38">
        <f>SUM(S1387:S1429)</f>
        <v>459452</v>
      </c>
      <c r="T1430" s="4"/>
      <c r="U1430" s="41">
        <f>SUM(U1387:U1429)</f>
        <v>2232</v>
      </c>
      <c r="V1430" s="41">
        <f>SUM(V1387:V1411)</f>
        <v>-26703</v>
      </c>
      <c r="W1430" s="42">
        <f>SUM(W1387:W1429)</f>
        <v>434981</v>
      </c>
      <c r="Z1430" s="57"/>
      <c r="AA1430" s="57"/>
      <c r="AB1430" s="38">
        <f>SUM(AB1387:AB1429)</f>
        <v>301570</v>
      </c>
      <c r="AC1430" s="38">
        <f>SUM(AC1387:AC1411)</f>
        <v>-2718</v>
      </c>
      <c r="AD1430" s="38">
        <f>SUM(AD1387:AD1411)</f>
        <v>0</v>
      </c>
      <c r="AE1430" s="38">
        <f>SUM(AE1387:AE1429)</f>
        <v>298852</v>
      </c>
      <c r="AF1430" s="4"/>
      <c r="AG1430" s="41">
        <f>SUM(AG1387:AG1429)</f>
        <v>144</v>
      </c>
      <c r="AH1430" s="41">
        <f>SUM(AH1387:AH1411)</f>
        <v>-13098</v>
      </c>
      <c r="AI1430" s="42">
        <f>SUM(AI1387:AI1429)</f>
        <v>285898</v>
      </c>
    </row>
    <row r="1431" spans="1:35" x14ac:dyDescent="0.25">
      <c r="A1431" s="18"/>
      <c r="B1431" s="18"/>
      <c r="C1431" s="18"/>
      <c r="D1431" s="18"/>
      <c r="E1431" s="18"/>
      <c r="F1431" s="18"/>
      <c r="G1431" s="18"/>
      <c r="H1431" s="18"/>
      <c r="I1431" s="18"/>
      <c r="J1431" s="18"/>
      <c r="K1431" s="18"/>
      <c r="M1431" s="18"/>
      <c r="N1431" s="18"/>
      <c r="O1431" s="18"/>
      <c r="P1431" s="18"/>
      <c r="Q1431" s="18"/>
      <c r="R1431" s="18"/>
      <c r="S1431" s="18"/>
      <c r="T1431" s="18"/>
      <c r="U1431" s="18"/>
      <c r="V1431" s="18"/>
      <c r="W1431" s="18"/>
      <c r="Y1431" s="18"/>
      <c r="Z1431" s="18"/>
      <c r="AA1431" s="18"/>
      <c r="AB1431" s="18"/>
      <c r="AC1431" s="18"/>
      <c r="AD1431" s="18"/>
      <c r="AE1431" s="18"/>
      <c r="AF1431" s="18"/>
      <c r="AG1431" s="18"/>
      <c r="AH1431" s="18"/>
      <c r="AI1431" s="18"/>
    </row>
  </sheetData>
  <mergeCells count="237">
    <mergeCell ref="D1385:E1385"/>
    <mergeCell ref="I1385:J1385"/>
    <mergeCell ref="K1385:K1386"/>
    <mergeCell ref="P1385:Q1385"/>
    <mergeCell ref="U1385:V1385"/>
    <mergeCell ref="W1385:W1386"/>
    <mergeCell ref="AI1385:AI1386"/>
    <mergeCell ref="AG1385:AH1385"/>
    <mergeCell ref="AB1385:AC1385"/>
    <mergeCell ref="AI1330:AI1331"/>
    <mergeCell ref="AG1330:AH1330"/>
    <mergeCell ref="AB1330:AC1330"/>
    <mergeCell ref="D1275:E1275"/>
    <mergeCell ref="W1275:W1276"/>
    <mergeCell ref="U1275:V1275"/>
    <mergeCell ref="P1275:Q1275"/>
    <mergeCell ref="AI1275:AI1276"/>
    <mergeCell ref="AG1275:AH1275"/>
    <mergeCell ref="AB1275:AC1275"/>
    <mergeCell ref="K1275:K1276"/>
    <mergeCell ref="I1275:J1275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AI1220:AI1221"/>
    <mergeCell ref="AG1220:AH1220"/>
    <mergeCell ref="AB1220:AC1220"/>
    <mergeCell ref="K1220:K1221"/>
    <mergeCell ref="I1220:J1220"/>
    <mergeCell ref="W65:W66"/>
    <mergeCell ref="U65:V65"/>
    <mergeCell ref="I65:J65"/>
    <mergeCell ref="U120:V120"/>
    <mergeCell ref="U340:V340"/>
    <mergeCell ref="U945:V945"/>
    <mergeCell ref="AG340:AH340"/>
    <mergeCell ref="AB340:AC340"/>
    <mergeCell ref="AB395:AC395"/>
    <mergeCell ref="AG505:AH505"/>
    <mergeCell ref="AB505:AC505"/>
    <mergeCell ref="AI505:AI506"/>
    <mergeCell ref="P670:Q670"/>
    <mergeCell ref="AI450:AI451"/>
    <mergeCell ref="AG450:AH450"/>
    <mergeCell ref="AB450:AC450"/>
    <mergeCell ref="AI835:AI836"/>
    <mergeCell ref="AI890:AI891"/>
    <mergeCell ref="K945:K946"/>
    <mergeCell ref="D1110:E1110"/>
    <mergeCell ref="W1110:W1111"/>
    <mergeCell ref="U1110:V1110"/>
    <mergeCell ref="P1110:Q1110"/>
    <mergeCell ref="D395:E395"/>
    <mergeCell ref="K1110:K1111"/>
    <mergeCell ref="I1110:J1110"/>
    <mergeCell ref="D1220:E1220"/>
    <mergeCell ref="W1220:W1221"/>
    <mergeCell ref="U1220:V1220"/>
    <mergeCell ref="P1220:Q1220"/>
    <mergeCell ref="W560:W561"/>
    <mergeCell ref="U560:V560"/>
    <mergeCell ref="U505:V505"/>
    <mergeCell ref="W450:W451"/>
    <mergeCell ref="W505:W506"/>
    <mergeCell ref="W395:W396"/>
    <mergeCell ref="U395:V395"/>
    <mergeCell ref="U450:V450"/>
    <mergeCell ref="I560:J560"/>
    <mergeCell ref="D450:E450"/>
    <mergeCell ref="D505:E505"/>
    <mergeCell ref="K450:K451"/>
    <mergeCell ref="K505:K506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165:K1166"/>
    <mergeCell ref="I1165:J1165"/>
    <mergeCell ref="D1165:E116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D560:E560"/>
    <mergeCell ref="P560:Q560"/>
    <mergeCell ref="P340:Q340"/>
    <mergeCell ref="P395:Q395"/>
    <mergeCell ref="P505:Q505"/>
    <mergeCell ref="P450:Q45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G890:AH890"/>
    <mergeCell ref="AB890:AC890"/>
    <mergeCell ref="AB835:AC835"/>
    <mergeCell ref="AG835:AH835"/>
    <mergeCell ref="D780:E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945:AI946"/>
    <mergeCell ref="AI1000:AI1001"/>
    <mergeCell ref="AG1000:AH1000"/>
    <mergeCell ref="AB1000:AC1000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2026-02-02T01:20:51Z</cp:lastPrinted>
  <dcterms:created xsi:type="dcterms:W3CDTF">2024-09-23T07:17:57Z</dcterms:created>
  <dcterms:modified xsi:type="dcterms:W3CDTF">2026-02-02T01:20:59Z</dcterms:modified>
</cp:coreProperties>
</file>