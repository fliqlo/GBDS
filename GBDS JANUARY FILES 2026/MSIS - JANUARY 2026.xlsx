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19EDAB5-B3EC-4BD0-ADC0-C5A9A0907263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82" i="2" l="1"/>
  <c r="AB1281" i="2"/>
  <c r="AB1280" i="2"/>
  <c r="AE1280" i="2" s="1"/>
  <c r="AI1280" i="2" s="1"/>
  <c r="AB1279" i="2"/>
  <c r="AE1279" i="2" s="1"/>
  <c r="AI1279" i="2" s="1"/>
  <c r="AB1278" i="2"/>
  <c r="AE1278" i="2" s="1"/>
  <c r="AI1278" i="2" s="1"/>
  <c r="AG1277" i="2"/>
  <c r="AG1320" i="2" s="1"/>
  <c r="AB1277" i="2"/>
  <c r="AE1277" i="2"/>
  <c r="AA1278" i="2"/>
  <c r="AA1279" i="2" s="1"/>
  <c r="AA1280" i="2" s="1"/>
  <c r="AA1281" i="2" s="1"/>
  <c r="AA1282" i="2" s="1"/>
  <c r="AE1281" i="2"/>
  <c r="AI1281" i="2"/>
  <c r="AE1282" i="2"/>
  <c r="AI1282" i="2" s="1"/>
  <c r="AE1283" i="2"/>
  <c r="AI1283" i="2"/>
  <c r="AE1284" i="2"/>
  <c r="AI1284" i="2"/>
  <c r="AE1285" i="2"/>
  <c r="AI1285" i="2"/>
  <c r="AE1286" i="2"/>
  <c r="AI1286" i="2"/>
  <c r="AE1287" i="2"/>
  <c r="AI1287" i="2"/>
  <c r="AE1288" i="2"/>
  <c r="AI1288" i="2" s="1"/>
  <c r="AE1289" i="2"/>
  <c r="AI1289" i="2"/>
  <c r="AE1290" i="2"/>
  <c r="AI1290" i="2" s="1"/>
  <c r="AE1291" i="2"/>
  <c r="AI1291" i="2"/>
  <c r="AE1292" i="2"/>
  <c r="AI1292" i="2"/>
  <c r="AE1293" i="2"/>
  <c r="AI1293" i="2"/>
  <c r="AE1294" i="2"/>
  <c r="AI1294" i="2"/>
  <c r="AE1295" i="2"/>
  <c r="AI1295" i="2"/>
  <c r="AE1296" i="2"/>
  <c r="AI1296" i="2" s="1"/>
  <c r="AE1297" i="2"/>
  <c r="AI1297" i="2"/>
  <c r="AE1298" i="2"/>
  <c r="AI1298" i="2" s="1"/>
  <c r="AE1299" i="2"/>
  <c r="AI1299" i="2"/>
  <c r="AE1300" i="2"/>
  <c r="AI1300" i="2"/>
  <c r="AE1301" i="2"/>
  <c r="AI1301" i="2"/>
  <c r="AE1302" i="2"/>
  <c r="AI1302" i="2"/>
  <c r="AE1303" i="2"/>
  <c r="AI1303" i="2"/>
  <c r="AE1304" i="2"/>
  <c r="AI1304" i="2" s="1"/>
  <c r="AE1305" i="2"/>
  <c r="AI1305" i="2"/>
  <c r="AE1306" i="2"/>
  <c r="AI1306" i="2" s="1"/>
  <c r="AE1307" i="2"/>
  <c r="AI1307" i="2"/>
  <c r="AE1308" i="2"/>
  <c r="AI1308" i="2"/>
  <c r="AE1309" i="2"/>
  <c r="AI1309" i="2"/>
  <c r="AE1310" i="2"/>
  <c r="AI1310" i="2"/>
  <c r="AE1311" i="2"/>
  <c r="AI1311" i="2"/>
  <c r="AE1312" i="2"/>
  <c r="AI1312" i="2" s="1"/>
  <c r="AE1313" i="2"/>
  <c r="AI1313" i="2"/>
  <c r="AE1314" i="2"/>
  <c r="AI1314" i="2" s="1"/>
  <c r="AE1315" i="2"/>
  <c r="AI1315" i="2"/>
  <c r="AI1316" i="2"/>
  <c r="AE1317" i="2"/>
  <c r="AI1317" i="2"/>
  <c r="AI1318" i="2"/>
  <c r="AC1320" i="2"/>
  <c r="AD1320" i="2"/>
  <c r="AH1320" i="2"/>
  <c r="P1279" i="2"/>
  <c r="S1279" i="2" s="1"/>
  <c r="W1279" i="2" s="1"/>
  <c r="V1278" i="2"/>
  <c r="V1320" i="2" s="1"/>
  <c r="P1278" i="2"/>
  <c r="S1278" i="2" s="1"/>
  <c r="P1277" i="2"/>
  <c r="S1277" i="2"/>
  <c r="O1278" i="2"/>
  <c r="O1279" i="2" s="1"/>
  <c r="S1280" i="2"/>
  <c r="W1280" i="2" s="1"/>
  <c r="S1281" i="2"/>
  <c r="W1281" i="2" s="1"/>
  <c r="S1282" i="2"/>
  <c r="W1282" i="2"/>
  <c r="S1283" i="2"/>
  <c r="W1283" i="2"/>
  <c r="S1284" i="2"/>
  <c r="W1284" i="2"/>
  <c r="S1285" i="2"/>
  <c r="W1285" i="2"/>
  <c r="S1286" i="2"/>
  <c r="W1286" i="2" s="1"/>
  <c r="S1287" i="2"/>
  <c r="W1287" i="2" s="1"/>
  <c r="S1288" i="2"/>
  <c r="W1288" i="2"/>
  <c r="S1289" i="2"/>
  <c r="W1289" i="2"/>
  <c r="S1290" i="2"/>
  <c r="W1290" i="2"/>
  <c r="S1291" i="2"/>
  <c r="W1291" i="2"/>
  <c r="S1292" i="2"/>
  <c r="W1292" i="2"/>
  <c r="S1293" i="2"/>
  <c r="W1293" i="2"/>
  <c r="S1294" i="2"/>
  <c r="W1294" i="2" s="1"/>
  <c r="S1295" i="2"/>
  <c r="W1295" i="2" s="1"/>
  <c r="S1296" i="2"/>
  <c r="W1296" i="2"/>
  <c r="S1297" i="2"/>
  <c r="W1297" i="2"/>
  <c r="S1298" i="2"/>
  <c r="W1298" i="2"/>
  <c r="S1299" i="2"/>
  <c r="W1299" i="2"/>
  <c r="S1300" i="2"/>
  <c r="W1300" i="2"/>
  <c r="S1301" i="2"/>
  <c r="W1301" i="2"/>
  <c r="S1302" i="2"/>
  <c r="W1302" i="2" s="1"/>
  <c r="S1303" i="2"/>
  <c r="W1303" i="2" s="1"/>
  <c r="S1304" i="2"/>
  <c r="W1304" i="2"/>
  <c r="S1305" i="2"/>
  <c r="W1305" i="2"/>
  <c r="S1306" i="2"/>
  <c r="W1306" i="2"/>
  <c r="S1307" i="2"/>
  <c r="W1307" i="2"/>
  <c r="S1308" i="2"/>
  <c r="W1308" i="2"/>
  <c r="S1309" i="2"/>
  <c r="W1309" i="2"/>
  <c r="S1310" i="2"/>
  <c r="W1310" i="2" s="1"/>
  <c r="S1311" i="2"/>
  <c r="W1311" i="2" s="1"/>
  <c r="S1312" i="2"/>
  <c r="W1312" i="2"/>
  <c r="S1313" i="2"/>
  <c r="W1313" i="2"/>
  <c r="S1314" i="2"/>
  <c r="W1314" i="2"/>
  <c r="S1315" i="2"/>
  <c r="W1315" i="2"/>
  <c r="W1316" i="2"/>
  <c r="S1317" i="2"/>
  <c r="W1317" i="2"/>
  <c r="W1318" i="2"/>
  <c r="Q1320" i="2"/>
  <c r="R1320" i="2"/>
  <c r="U1320" i="2"/>
  <c r="D1282" i="2"/>
  <c r="G1282" i="2" s="1"/>
  <c r="K1282" i="2" s="1"/>
  <c r="D1281" i="2"/>
  <c r="D1280" i="2"/>
  <c r="G1280" i="2" s="1"/>
  <c r="K1280" i="2" s="1"/>
  <c r="I1279" i="2"/>
  <c r="I1320" i="2" s="1"/>
  <c r="D1279" i="2"/>
  <c r="D1278" i="2"/>
  <c r="D1277" i="2"/>
  <c r="C1278" i="2"/>
  <c r="C1279" i="2" s="1"/>
  <c r="C1280" i="2" s="1"/>
  <c r="C1281" i="2" s="1"/>
  <c r="C1282" i="2" s="1"/>
  <c r="G1278" i="2"/>
  <c r="K1278" i="2"/>
  <c r="G1281" i="2"/>
  <c r="K1281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 s="1"/>
  <c r="G1290" i="2"/>
  <c r="K1290" i="2"/>
  <c r="G1291" i="2"/>
  <c r="K1291" i="2"/>
  <c r="G1292" i="2"/>
  <c r="K1292" i="2"/>
  <c r="G1293" i="2"/>
  <c r="K1293" i="2" s="1"/>
  <c r="G1294" i="2"/>
  <c r="K1294" i="2" s="1"/>
  <c r="G1295" i="2"/>
  <c r="K1295" i="2"/>
  <c r="G1296" i="2"/>
  <c r="K1296" i="2" s="1"/>
  <c r="J1320" i="2"/>
  <c r="G1297" i="2"/>
  <c r="K1297" i="2"/>
  <c r="G1298" i="2"/>
  <c r="K1298" i="2"/>
  <c r="G1299" i="2"/>
  <c r="K1299" i="2"/>
  <c r="G1300" i="2"/>
  <c r="K1300" i="2"/>
  <c r="G1301" i="2"/>
  <c r="K1301" i="2"/>
  <c r="G1302" i="2"/>
  <c r="K1302" i="2"/>
  <c r="G1303" i="2"/>
  <c r="K1303" i="2"/>
  <c r="G1304" i="2"/>
  <c r="K1304" i="2" s="1"/>
  <c r="G1305" i="2"/>
  <c r="K1305" i="2"/>
  <c r="G1306" i="2"/>
  <c r="K1306" i="2"/>
  <c r="G1307" i="2"/>
  <c r="K1307" i="2"/>
  <c r="G1308" i="2"/>
  <c r="K1308" i="2"/>
  <c r="G1309" i="2"/>
  <c r="K1309" i="2"/>
  <c r="G1310" i="2"/>
  <c r="K1310" i="2"/>
  <c r="G1317" i="2"/>
  <c r="K1317" i="2"/>
  <c r="E1320" i="2"/>
  <c r="F1320" i="2"/>
  <c r="AI1277" i="2" l="1"/>
  <c r="AI1320" i="2" s="1"/>
  <c r="AE1320" i="2"/>
  <c r="AB1320" i="2"/>
  <c r="W1278" i="2"/>
  <c r="P1320" i="2"/>
  <c r="W1277" i="2"/>
  <c r="W1320" i="2" s="1"/>
  <c r="S1320" i="2"/>
  <c r="D1320" i="2"/>
  <c r="G1277" i="2"/>
  <c r="K1277" i="2"/>
  <c r="G1279" i="2"/>
  <c r="K1279" i="2" s="1"/>
  <c r="AB1224" i="2"/>
  <c r="AH1223" i="2"/>
  <c r="AC1223" i="2"/>
  <c r="AE1223" i="2"/>
  <c r="AI1223" i="2" s="1"/>
  <c r="AB1223" i="2"/>
  <c r="AB1222" i="2"/>
  <c r="AE1222" i="2" s="1"/>
  <c r="AA1223" i="2"/>
  <c r="AA1224" i="2" s="1"/>
  <c r="AE1224" i="2"/>
  <c r="AI1224" i="2" s="1"/>
  <c r="AE1226" i="2"/>
  <c r="AI1226" i="2"/>
  <c r="AE1227" i="2"/>
  <c r="AI1227" i="2" s="1"/>
  <c r="AE1228" i="2"/>
  <c r="AI1228" i="2"/>
  <c r="AE1229" i="2"/>
  <c r="AI1229" i="2" s="1"/>
  <c r="AE1230" i="2"/>
  <c r="AI1230" i="2"/>
  <c r="AE1231" i="2"/>
  <c r="AI1231" i="2"/>
  <c r="AE1232" i="2"/>
  <c r="AI1232" i="2"/>
  <c r="AE1233" i="2"/>
  <c r="AI1233" i="2" s="1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 s="1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 s="1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 s="1"/>
  <c r="AE1258" i="2"/>
  <c r="AI1258" i="2"/>
  <c r="AE1259" i="2"/>
  <c r="AI1259" i="2" s="1"/>
  <c r="AE1260" i="2"/>
  <c r="AI1260" i="2"/>
  <c r="AI1261" i="2"/>
  <c r="AE1262" i="2"/>
  <c r="AI1262" i="2"/>
  <c r="AI1263" i="2"/>
  <c r="AD1265" i="2"/>
  <c r="AG1265" i="2"/>
  <c r="AH1265" i="2"/>
  <c r="P1228" i="2"/>
  <c r="P1227" i="2"/>
  <c r="S1227" i="2" s="1"/>
  <c r="W1227" i="2" s="1"/>
  <c r="P1226" i="2"/>
  <c r="P1225" i="2"/>
  <c r="P1224" i="2"/>
  <c r="S1224" i="2" s="1"/>
  <c r="W1224" i="2" s="1"/>
  <c r="P1223" i="2"/>
  <c r="P1222" i="2"/>
  <c r="S1222" i="2" s="1"/>
  <c r="O1223" i="2"/>
  <c r="S1223" i="2"/>
  <c r="W1223" i="2" s="1"/>
  <c r="O1224" i="2"/>
  <c r="O1225" i="2" s="1"/>
  <c r="O1226" i="2" s="1"/>
  <c r="O1227" i="2" s="1"/>
  <c r="O1228" i="2" s="1"/>
  <c r="S1225" i="2"/>
  <c r="W1225" i="2" s="1"/>
  <c r="S1226" i="2"/>
  <c r="W1226" i="2" s="1"/>
  <c r="S1228" i="2"/>
  <c r="W1228" i="2"/>
  <c r="S1229" i="2"/>
  <c r="W1229" i="2" s="1"/>
  <c r="S1230" i="2"/>
  <c r="W1230" i="2" s="1"/>
  <c r="S1231" i="2"/>
  <c r="W1231" i="2" s="1"/>
  <c r="S1232" i="2"/>
  <c r="W1232" i="2"/>
  <c r="S1233" i="2"/>
  <c r="W1233" i="2"/>
  <c r="S1234" i="2"/>
  <c r="W1234" i="2"/>
  <c r="S1235" i="2"/>
  <c r="W1235" i="2" s="1"/>
  <c r="S1236" i="2"/>
  <c r="W1236" i="2"/>
  <c r="S1237" i="2"/>
  <c r="W1237" i="2"/>
  <c r="S1238" i="2"/>
  <c r="W1238" i="2"/>
  <c r="S1239" i="2"/>
  <c r="W1239" i="2" s="1"/>
  <c r="S1240" i="2"/>
  <c r="W1240" i="2"/>
  <c r="S1241" i="2"/>
  <c r="W1241" i="2"/>
  <c r="S1242" i="2"/>
  <c r="W1242" i="2" s="1"/>
  <c r="S1243" i="2"/>
  <c r="W1243" i="2"/>
  <c r="S1244" i="2"/>
  <c r="W1244" i="2"/>
  <c r="S1245" i="2"/>
  <c r="W1245" i="2"/>
  <c r="S1246" i="2"/>
  <c r="W1246" i="2"/>
  <c r="S1247" i="2"/>
  <c r="W1247" i="2" s="1"/>
  <c r="S1248" i="2"/>
  <c r="W1248" i="2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/>
  <c r="S1258" i="2"/>
  <c r="W1258" i="2" s="1"/>
  <c r="S1259" i="2"/>
  <c r="W1259" i="2"/>
  <c r="S1260" i="2"/>
  <c r="W1260" i="2"/>
  <c r="W1261" i="2"/>
  <c r="S1262" i="2"/>
  <c r="W1262" i="2"/>
  <c r="W1263" i="2"/>
  <c r="Q1265" i="2"/>
  <c r="R1265" i="2"/>
  <c r="U1265" i="2"/>
  <c r="V1265" i="2"/>
  <c r="J1241" i="2"/>
  <c r="D1241" i="2"/>
  <c r="G1241" i="2" s="1"/>
  <c r="K1241" i="2" s="1"/>
  <c r="D1240" i="2"/>
  <c r="G1240" i="2" s="1"/>
  <c r="K1240" i="2" s="1"/>
  <c r="D1239" i="2"/>
  <c r="G1239" i="2" s="1"/>
  <c r="K1239" i="2" s="1"/>
  <c r="D1238" i="2"/>
  <c r="D1237" i="2"/>
  <c r="G1237" i="2" s="1"/>
  <c r="K1237" i="2" s="1"/>
  <c r="D1236" i="2"/>
  <c r="G1236" i="2" s="1"/>
  <c r="K1236" i="2" s="1"/>
  <c r="D1235" i="2"/>
  <c r="G1235" i="2" s="1"/>
  <c r="K1235" i="2" s="1"/>
  <c r="D1234" i="2"/>
  <c r="G1234" i="2" s="1"/>
  <c r="K1234" i="2" s="1"/>
  <c r="D1233" i="2"/>
  <c r="D1232" i="2"/>
  <c r="G1232" i="2" s="1"/>
  <c r="K1232" i="2" s="1"/>
  <c r="D1231" i="2"/>
  <c r="D1230" i="2"/>
  <c r="I1229" i="2"/>
  <c r="I1265" i="2" s="1"/>
  <c r="D1229" i="2"/>
  <c r="D1228" i="2"/>
  <c r="D1227" i="2"/>
  <c r="G1227" i="2"/>
  <c r="K1227" i="2" s="1"/>
  <c r="D1226" i="2"/>
  <c r="D1225" i="2"/>
  <c r="G1225" i="2" s="1"/>
  <c r="K1225" i="2" s="1"/>
  <c r="D1224" i="2"/>
  <c r="D1223" i="2"/>
  <c r="G1223" i="2" s="1"/>
  <c r="D1222" i="2"/>
  <c r="C1223" i="2"/>
  <c r="C1224" i="2"/>
  <c r="C1225" i="2"/>
  <c r="C1226" i="2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G1226" i="2"/>
  <c r="K1226" i="2"/>
  <c r="G1228" i="2"/>
  <c r="K1228" i="2"/>
  <c r="G1229" i="2"/>
  <c r="G1230" i="2"/>
  <c r="K1230" i="2" s="1"/>
  <c r="G1231" i="2"/>
  <c r="K1231" i="2" s="1"/>
  <c r="G1233" i="2"/>
  <c r="K1233" i="2" s="1"/>
  <c r="J1265" i="2"/>
  <c r="G1238" i="2"/>
  <c r="K1238" i="2" s="1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E1265" i="2"/>
  <c r="F1265" i="2"/>
  <c r="K1320" i="2" l="1"/>
  <c r="G1320" i="2"/>
  <c r="AC1265" i="2"/>
  <c r="AB1265" i="2"/>
  <c r="AI1222" i="2"/>
  <c r="AE1225" i="2"/>
  <c r="AI1225" i="2" s="1"/>
  <c r="P1265" i="2"/>
  <c r="W1222" i="2"/>
  <c r="W1265" i="2" s="1"/>
  <c r="S1265" i="2"/>
  <c r="K1229" i="2"/>
  <c r="D1265" i="2"/>
  <c r="G1222" i="2"/>
  <c r="K1222" i="2" s="1"/>
  <c r="G1224" i="2"/>
  <c r="K1224" i="2" s="1"/>
  <c r="K1223" i="2"/>
  <c r="K1265" i="2" s="1"/>
  <c r="AB1171" i="2"/>
  <c r="AB1170" i="2"/>
  <c r="AE1170" i="2" s="1"/>
  <c r="AI1170" i="2" s="1"/>
  <c r="AB1169" i="2"/>
  <c r="AB1168" i="2"/>
  <c r="AB1167" i="2"/>
  <c r="AB1210" i="2" s="1"/>
  <c r="AE1167" i="2"/>
  <c r="AI1167" i="2" s="1"/>
  <c r="AA1168" i="2"/>
  <c r="AE1168" i="2"/>
  <c r="AA1169" i="2"/>
  <c r="AE1169" i="2"/>
  <c r="AI1169" i="2" s="1"/>
  <c r="AA1170" i="2"/>
  <c r="AA1171" i="2"/>
  <c r="AE1171" i="2"/>
  <c r="AI1171" i="2"/>
  <c r="AE1172" i="2"/>
  <c r="AI1172" i="2"/>
  <c r="AE1173" i="2"/>
  <c r="AI1173" i="2"/>
  <c r="AE1174" i="2"/>
  <c r="AI1174" i="2"/>
  <c r="AE1175" i="2"/>
  <c r="AI1175" i="2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AG1210" i="2"/>
  <c r="AH1210" i="2"/>
  <c r="P1181" i="2"/>
  <c r="S1181" i="2" s="1"/>
  <c r="W1181" i="2" s="1"/>
  <c r="P1180" i="2"/>
  <c r="S1180" i="2" s="1"/>
  <c r="W1180" i="2" s="1"/>
  <c r="P1179" i="2"/>
  <c r="P1178" i="2"/>
  <c r="S1178" i="2" s="1"/>
  <c r="W1178" i="2" s="1"/>
  <c r="P1177" i="2"/>
  <c r="S1177" i="2" s="1"/>
  <c r="W1177" i="2" s="1"/>
  <c r="P1176" i="2"/>
  <c r="P1175" i="2"/>
  <c r="P1174" i="2"/>
  <c r="S1174" i="2" s="1"/>
  <c r="W1174" i="2" s="1"/>
  <c r="P1173" i="2"/>
  <c r="S1173" i="2" s="1"/>
  <c r="W1173" i="2" s="1"/>
  <c r="P1172" i="2"/>
  <c r="P1171" i="2"/>
  <c r="S1171" i="2" s="1"/>
  <c r="W1171" i="2" s="1"/>
  <c r="P1170" i="2"/>
  <c r="S1170" i="2" s="1"/>
  <c r="W1170" i="2" s="1"/>
  <c r="P1169" i="2"/>
  <c r="S1169" i="2" s="1"/>
  <c r="W1169" i="2" s="1"/>
  <c r="P1168" i="2"/>
  <c r="P1167" i="2"/>
  <c r="S1167" i="2"/>
  <c r="W1167" i="2" s="1"/>
  <c r="O1168" i="2"/>
  <c r="S1168" i="2"/>
  <c r="W1168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S1172" i="2"/>
  <c r="W1172" i="2" s="1"/>
  <c r="S1175" i="2"/>
  <c r="W1175" i="2"/>
  <c r="S1176" i="2"/>
  <c r="W1176" i="2" s="1"/>
  <c r="S1179" i="2"/>
  <c r="W1179" i="2" s="1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J1178" i="2"/>
  <c r="J1210" i="2" s="1"/>
  <c r="D1178" i="2"/>
  <c r="G1178" i="2" s="1"/>
  <c r="K1178" i="2" s="1"/>
  <c r="I1177" i="2"/>
  <c r="D1177" i="2"/>
  <c r="G1177" i="2" s="1"/>
  <c r="K1177" i="2" s="1"/>
  <c r="D1176" i="2"/>
  <c r="G1176" i="2" s="1"/>
  <c r="K1176" i="2" s="1"/>
  <c r="D1175" i="2"/>
  <c r="G1175" i="2" s="1"/>
  <c r="K1175" i="2" s="1"/>
  <c r="D1174" i="2"/>
  <c r="G1174" i="2" s="1"/>
  <c r="K1174" i="2" s="1"/>
  <c r="D1173" i="2"/>
  <c r="G1173" i="2" s="1"/>
  <c r="K1173" i="2" s="1"/>
  <c r="D1172" i="2"/>
  <c r="D1171" i="2"/>
  <c r="G1171" i="2" s="1"/>
  <c r="K1171" i="2" s="1"/>
  <c r="D1170" i="2"/>
  <c r="G1170" i="2"/>
  <c r="K1170" i="2" s="1"/>
  <c r="D1169" i="2"/>
  <c r="D1168" i="2"/>
  <c r="G1168" i="2" s="1"/>
  <c r="K1168" i="2" s="1"/>
  <c r="D1167" i="2"/>
  <c r="G1167" i="2" s="1"/>
  <c r="C1168" i="2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G1169" i="2"/>
  <c r="K1169" i="2" s="1"/>
  <c r="G1172" i="2"/>
  <c r="K1172" i="2" s="1"/>
  <c r="G1179" i="2"/>
  <c r="K1179" i="2"/>
  <c r="G1180" i="2"/>
  <c r="K1180" i="2" s="1"/>
  <c r="G1181" i="2"/>
  <c r="K1181" i="2" s="1"/>
  <c r="G1182" i="2"/>
  <c r="K1182" i="2"/>
  <c r="G1183" i="2"/>
  <c r="K1183" i="2" s="1"/>
  <c r="G1184" i="2"/>
  <c r="K1184" i="2" s="1"/>
  <c r="G1185" i="2"/>
  <c r="K1185" i="2" s="1"/>
  <c r="G1186" i="2"/>
  <c r="K1186" i="2"/>
  <c r="G1187" i="2"/>
  <c r="K1187" i="2"/>
  <c r="G1188" i="2"/>
  <c r="K1188" i="2" s="1"/>
  <c r="G1189" i="2"/>
  <c r="K1189" i="2"/>
  <c r="G1190" i="2"/>
  <c r="K1190" i="2"/>
  <c r="G1191" i="2"/>
  <c r="K1191" i="2"/>
  <c r="G1192" i="2"/>
  <c r="K1192" i="2" s="1"/>
  <c r="G1193" i="2"/>
  <c r="K1193" i="2" s="1"/>
  <c r="G1194" i="2"/>
  <c r="K1194" i="2"/>
  <c r="G1195" i="2"/>
  <c r="K1195" i="2"/>
  <c r="G1196" i="2"/>
  <c r="K1196" i="2" s="1"/>
  <c r="G1197" i="2"/>
  <c r="K1197" i="2"/>
  <c r="G1198" i="2"/>
  <c r="K1198" i="2"/>
  <c r="G1199" i="2"/>
  <c r="K1199" i="2"/>
  <c r="G1200" i="2"/>
  <c r="K1200" i="2" s="1"/>
  <c r="G1207" i="2"/>
  <c r="K1207" i="2" s="1"/>
  <c r="E1210" i="2"/>
  <c r="F1210" i="2"/>
  <c r="I1210" i="2"/>
  <c r="AE1265" i="2" l="1"/>
  <c r="AI1265" i="2"/>
  <c r="G1265" i="2"/>
  <c r="AE1210" i="2"/>
  <c r="AI1168" i="2"/>
  <c r="AI1210" i="2" s="1"/>
  <c r="P1210" i="2"/>
  <c r="S1210" i="2"/>
  <c r="W1210" i="2"/>
  <c r="K1167" i="2"/>
  <c r="K1210" i="2" s="1"/>
  <c r="G1210" i="2"/>
  <c r="D1210" i="2"/>
  <c r="AB1116" i="2"/>
  <c r="AE1116" i="2" s="1"/>
  <c r="AI1116" i="2" s="1"/>
  <c r="AB1115" i="2"/>
  <c r="AB1114" i="2"/>
  <c r="AB1113" i="2"/>
  <c r="AE1113" i="2" s="1"/>
  <c r="AI1113" i="2" s="1"/>
  <c r="AB1112" i="2"/>
  <c r="AA1113" i="2"/>
  <c r="AA1114" i="2" s="1"/>
  <c r="AA1115" i="2" s="1"/>
  <c r="AA1116" i="2" s="1"/>
  <c r="AE1114" i="2"/>
  <c r="AI1114" i="2" s="1"/>
  <c r="AE1115" i="2"/>
  <c r="AI1115" i="2" s="1"/>
  <c r="AE1117" i="2"/>
  <c r="AI1117" i="2" s="1"/>
  <c r="AE1118" i="2"/>
  <c r="AI1118" i="2" s="1"/>
  <c r="AE1119" i="2"/>
  <c r="AI1119" i="2" s="1"/>
  <c r="AE1120" i="2"/>
  <c r="AI1120" i="2" s="1"/>
  <c r="AE1121" i="2"/>
  <c r="AI1121" i="2"/>
  <c r="AE1122" i="2"/>
  <c r="AI1122" i="2"/>
  <c r="AE1123" i="2"/>
  <c r="AI1123" i="2"/>
  <c r="AE1124" i="2"/>
  <c r="AI1124" i="2"/>
  <c r="AE1125" i="2"/>
  <c r="AI1125" i="2"/>
  <c r="AE1126" i="2"/>
  <c r="AI1126" i="2" s="1"/>
  <c r="AE1127" i="2"/>
  <c r="AI1127" i="2"/>
  <c r="AE1128" i="2"/>
  <c r="AI1128" i="2"/>
  <c r="AE1129" i="2"/>
  <c r="AI1129" i="2"/>
  <c r="AE1130" i="2"/>
  <c r="AI1130" i="2"/>
  <c r="AE1131" i="2"/>
  <c r="AI1131" i="2"/>
  <c r="AE1132" i="2"/>
  <c r="AI1132" i="2"/>
  <c r="AE1133" i="2"/>
  <c r="AI1133" i="2"/>
  <c r="AE1134" i="2"/>
  <c r="AI1134" i="2" s="1"/>
  <c r="AE1135" i="2"/>
  <c r="AI1135" i="2"/>
  <c r="AE1136" i="2"/>
  <c r="AI1136" i="2" s="1"/>
  <c r="AE1137" i="2"/>
  <c r="AI1137" i="2"/>
  <c r="AE1138" i="2"/>
  <c r="AI1138" i="2"/>
  <c r="AE1139" i="2"/>
  <c r="AI1139" i="2"/>
  <c r="AE1140" i="2"/>
  <c r="AI1140" i="2"/>
  <c r="AE1141" i="2"/>
  <c r="AI1141" i="2"/>
  <c r="AE1142" i="2"/>
  <c r="AI1142" i="2" s="1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/>
  <c r="AE1149" i="2"/>
  <c r="AI1149" i="2"/>
  <c r="AE1150" i="2"/>
  <c r="AI1150" i="2" s="1"/>
  <c r="AI1151" i="2"/>
  <c r="AE1152" i="2"/>
  <c r="AI1152" i="2"/>
  <c r="AI1153" i="2"/>
  <c r="AC1155" i="2"/>
  <c r="AD1155" i="2"/>
  <c r="AG1155" i="2"/>
  <c r="AH1155" i="2"/>
  <c r="V1114" i="2"/>
  <c r="P1114" i="2"/>
  <c r="P1113" i="2"/>
  <c r="S1113" i="2" s="1"/>
  <c r="P1112" i="2"/>
  <c r="S1112" i="2" s="1"/>
  <c r="W1112" i="2" s="1"/>
  <c r="O1113" i="2"/>
  <c r="O1114" i="2" s="1"/>
  <c r="S1114" i="2"/>
  <c r="W1114" i="2"/>
  <c r="S1115" i="2"/>
  <c r="W1115" i="2" s="1"/>
  <c r="U1155" i="2"/>
  <c r="V1155" i="2"/>
  <c r="S1116" i="2"/>
  <c r="W1116" i="2" s="1"/>
  <c r="S1117" i="2"/>
  <c r="W1117" i="2" s="1"/>
  <c r="S1118" i="2"/>
  <c r="W1118" i="2" s="1"/>
  <c r="S1119" i="2"/>
  <c r="W1119" i="2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 s="1"/>
  <c r="S1133" i="2"/>
  <c r="W1133" i="2"/>
  <c r="S1134" i="2"/>
  <c r="W1134" i="2"/>
  <c r="S1135" i="2"/>
  <c r="W1135" i="2"/>
  <c r="S1136" i="2"/>
  <c r="W1136" i="2" s="1"/>
  <c r="S1137" i="2"/>
  <c r="W1137" i="2" s="1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 s="1"/>
  <c r="S1145" i="2"/>
  <c r="W1145" i="2" s="1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20" i="2"/>
  <c r="J1155" i="2" s="1"/>
  <c r="I1120" i="2"/>
  <c r="D1120" i="2"/>
  <c r="G1120" i="2" s="1"/>
  <c r="D1119" i="2"/>
  <c r="G1119" i="2" s="1"/>
  <c r="K1119" i="2" s="1"/>
  <c r="D1118" i="2"/>
  <c r="G1118" i="2" s="1"/>
  <c r="K1118" i="2" s="1"/>
  <c r="D1117" i="2"/>
  <c r="G1117" i="2" s="1"/>
  <c r="K1117" i="2" s="1"/>
  <c r="D1116" i="2"/>
  <c r="G1116" i="2" s="1"/>
  <c r="K1116" i="2" s="1"/>
  <c r="D1115" i="2"/>
  <c r="G1115" i="2" s="1"/>
  <c r="K1115" i="2" s="1"/>
  <c r="I1115" i="2"/>
  <c r="I1114" i="2"/>
  <c r="D1114" i="2"/>
  <c r="G1114" i="2" s="1"/>
  <c r="D1113" i="2"/>
  <c r="G1113" i="2" s="1"/>
  <c r="I1112" i="2"/>
  <c r="D1112" i="2"/>
  <c r="C1113" i="2"/>
  <c r="C1114" i="2" s="1"/>
  <c r="C1115" i="2" s="1"/>
  <c r="C1116" i="2" s="1"/>
  <c r="C1117" i="2" s="1"/>
  <c r="C1118" i="2" s="1"/>
  <c r="C1119" i="2" s="1"/>
  <c r="G1121" i="2"/>
  <c r="K1121" i="2" s="1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AB1155" i="2" l="1"/>
  <c r="AE1112" i="2"/>
  <c r="AI1112" i="2" s="1"/>
  <c r="AE1155" i="2"/>
  <c r="AI1155" i="2"/>
  <c r="P1155" i="2"/>
  <c r="S1155" i="2"/>
  <c r="W1113" i="2"/>
  <c r="W1155" i="2" s="1"/>
  <c r="K1120" i="2"/>
  <c r="I1155" i="2"/>
  <c r="K1114" i="2"/>
  <c r="D1155" i="2"/>
  <c r="G1112" i="2"/>
  <c r="K1112" i="2" s="1"/>
  <c r="K1113" i="2"/>
  <c r="AB1067" i="2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K1155" i="2" l="1"/>
  <c r="G1155" i="2"/>
  <c r="AB1100" i="2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D38" i="1" s="1"/>
  <c r="J39" i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D36" i="1" s="1"/>
  <c r="J37" i="1"/>
  <c r="D37" i="1" s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1112" authorId="0" shapeId="0" xr:uid="{3C7AE163-0CFF-4B4E-A9B7-25F26306B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 YEN STORE
POB, SINDANGAN</t>
        </r>
      </text>
    </comment>
    <comment ref="O1112" authorId="0" shapeId="0" xr:uid="{D108139C-02F7-46B1-B49F-0686D8A71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NICTES
GOLEO, SINDANGAN</t>
        </r>
      </text>
    </comment>
    <comment ref="AA1112" authorId="0" shapeId="0" xr:uid="{203725DF-1159-4F23-86B1-C1EC3CE33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113" authorId="0" shapeId="0" xr:uid="{2398C5D4-4EA5-4D05-901E-5CC6D0AA5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JOVIN BATION
PIAO, SINDANGAN</t>
        </r>
      </text>
    </comment>
    <comment ref="O1113" authorId="0" shapeId="0" xr:uid="{313A919A-0826-49B6-B069-11D6375D2F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13" authorId="0" shapeId="0" xr:uid="{A5B34573-9B90-4426-B56E-931C82615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72B6281-3964-495D-BFD6-E77923C5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1114" authorId="0" shapeId="0" xr:uid="{3573CFBB-1D9A-4D48-8E9C-4B1F2A06A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ELUMBA STORE
POB, BACUNGAN</t>
        </r>
      </text>
    </comment>
    <comment ref="AA1114" authorId="0" shapeId="0" xr:uid="{6EB905ED-670A-4629-8A9D-66D97EEC2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
POB, SALUG</t>
        </r>
      </text>
    </comment>
    <comment ref="C1115" authorId="0" shapeId="0" xr:uid="{44EA239D-B768-463D-AB99-C57637FE2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1115" authorId="0" shapeId="0" xr:uid="{7ABC243B-0872-45AE-8F78-B549AB8A3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116" authorId="0" shapeId="0" xr:uid="{A73E51C3-49C6-4DC2-BD2A-E5311D153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SUMALINOG, CONCHITA
DAPAON, SINDANGAN</t>
        </r>
      </text>
    </comment>
    <comment ref="AA1116" authorId="0" shapeId="0" xr:uid="{006E4338-224B-42A3-AF46-8FAB345BE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117" authorId="0" shapeId="0" xr:uid="{C31DC4C0-87B9-4CBF-9586-BD90836F41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STEVES ARTHUR
DAPAON, SINDANGAN</t>
        </r>
      </text>
    </comment>
    <comment ref="C1118" authorId="0" shapeId="0" xr:uid="{97508307-A125-420A-B5A8-B22A14F02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GOOBLIE
POB, SINDANGAN</t>
        </r>
      </text>
    </comment>
    <comment ref="C1119" authorId="0" shapeId="0" xr:uid="{52F3F067-989D-4A33-89EE-96225FBC8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1120" authorId="0" shapeId="0" xr:uid="{1E308876-9838-4F1B-BA60-A48D1489D6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C1167" authorId="0" shapeId="0" xr:uid="{A4D6B836-A2BE-4609-85F3-E372C1D1F0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ABUSADO</t>
        </r>
      </text>
    </comment>
    <comment ref="O1167" authorId="0" shapeId="0" xr:uid="{6EA54CDB-3429-4B8D-AAEF-3BB8A0706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ANCELITO BOGANOTAN
UPPER INUMAN, SINDANGAN</t>
        </r>
      </text>
    </comment>
    <comment ref="AA1167" authorId="0" shapeId="0" xr:uid="{FB74C310-3DA7-4032-9648-A190FA99B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68" authorId="0" shapeId="0" xr:uid="{072D9F89-599A-4B65-82D7-A36C6BF00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1168" authorId="0" shapeId="0" xr:uid="{62F3FCC6-55A1-4648-80DD-49B1B30BEC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1168" authorId="0" shapeId="0" xr:uid="{CD6151BA-5E43-4298-926A-E6D66CD80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4E424FF7-B49E-406B-98B2-0C8DD5521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69" authorId="0" shapeId="0" xr:uid="{3DE50791-9345-4209-8E0C-6FC5FB04BC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ROMAR ASENTESTA
YASSI STORE
TALINGA, BACUNGAN</t>
        </r>
      </text>
    </comment>
    <comment ref="AA1169" authorId="0" shapeId="0" xr:uid="{C3F38C83-5E45-4080-9636-C42EE366B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170" authorId="0" shapeId="0" xr:uid="{52DB415A-B39C-410D-9BED-9B2CB5916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170" authorId="0" shapeId="0" xr:uid="{932B0BE4-66AE-4B4F-BD98-1CAC6B9F19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DADAN
TALINGA, BACUNGAN</t>
        </r>
      </text>
    </comment>
    <comment ref="AA1170" authorId="0" shapeId="0" xr:uid="{4A5089B6-25E7-44E5-965F-AA7C4B0E8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71" authorId="0" shapeId="0" xr:uid="{FC96E0D1-DDE3-4B73-A3EC-92BFEF6FD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WENELYN MERCULLIO
POB, SIAYAN</t>
        </r>
      </text>
    </comment>
    <comment ref="O1171" authorId="0" shapeId="0" xr:uid="{925A1BA5-D325-42A5-8D42-CAAAA4A136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71" authorId="0" shapeId="0" xr:uid="{BAD48199-3209-48E3-876B-3D35EC49F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72" authorId="0" shapeId="0" xr:uid="{BEF71B2B-9E47-4E11-9A83-D8E11FC19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172" authorId="0" shapeId="0" xr:uid="{348DA4CC-0211-4332-8ABD-C5F3F6D838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PAJ
POB, BACUNGAN</t>
        </r>
      </text>
    </comment>
    <comment ref="C1173" authorId="0" shapeId="0" xr:uid="{E4F21EFB-6529-490D-B04A-4F57A4FFD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1173" authorId="0" shapeId="0" xr:uid="{F14EC976-7B08-472F-9C12-7F2F889EE8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C1174" authorId="0" shapeId="0" xr:uid="{5C03B089-9B2C-43F0-888F-778832554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74" authorId="0" shapeId="0" xr:uid="{BF98854F-A053-40E1-9360-6AD12A01EE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175" authorId="0" shapeId="0" xr:uid="{0CCF8890-FC71-4B9B-8C4B-BF4465ABD4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ADOZA DEY
POB, SIAYAN</t>
        </r>
      </text>
    </comment>
    <comment ref="O1175" authorId="0" shapeId="0" xr:uid="{C0E05851-0DBD-4E4C-AB6F-F43F06F00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C1176" authorId="0" shapeId="0" xr:uid="{996E61FF-0D97-47DD-A8E9-4C14B7C4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176" authorId="0" shapeId="0" xr:uid="{44E76190-98C2-47E3-8F26-B477E80E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MELIANA ANSELING
CALUAN, SINDANGAN</t>
        </r>
      </text>
    </comment>
    <comment ref="C1177" authorId="0" shapeId="0" xr:uid="{83A8E858-4A31-4D9F-B393-ECACD7C82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1177" authorId="0" shapeId="0" xr:uid="{442EBF80-FEA1-44E8-96BF-7235E58E51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INUMAN, SINDANGAN</t>
        </r>
      </text>
    </comment>
    <comment ref="C1178" authorId="0" shapeId="0" xr:uid="{6B8BB996-1269-4CEE-A638-8104467E0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1178" authorId="0" shapeId="0" xr:uid="{C98E0F33-DB2D-4834-9C42-77F27463B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JOEL HANDA
UPPER INUMAN, SINDANGAN</t>
        </r>
      </text>
    </comment>
    <comment ref="O1179" authorId="0" shapeId="0" xr:uid="{92C8D712-72A5-4EAA-AF57-A1EEE10F9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180" authorId="0" shapeId="0" xr:uid="{31363273-572A-42BF-BE52-37CE893E7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181" authorId="0" shapeId="0" xr:uid="{43B54674-1A3C-4D7E-84BD-421A932B14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222" authorId="0" shapeId="0" xr:uid="{39D2F2DA-AD07-446C-A200-1D282A5D5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1222" authorId="0" shapeId="0" xr:uid="{9F807144-48B4-4CDC-A0F1-D582D1C41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 ALIB
GOLEO, SINDANGAN</t>
        </r>
      </text>
    </comment>
    <comment ref="AA1222" authorId="0" shapeId="0" xr:uid="{62FF99AD-5E10-4696-89B3-98899958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INOCENSIO
POB, SALUG</t>
        </r>
      </text>
    </comment>
    <comment ref="C1223" authorId="0" shapeId="0" xr:uid="{03966FBC-4323-40D6-BB9A-C122DC94D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DAPAON, SINDANGAN</t>
        </r>
      </text>
    </comment>
    <comment ref="O1223" authorId="0" shapeId="0" xr:uid="{B8F2E91B-E912-4EE5-9616-3B1DB46CAA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223" authorId="0" shapeId="0" xr:uid="{7B347A5F-90C3-4A25-BF5E-533FDDFFC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24" authorId="0" shapeId="0" xr:uid="{49BA5E2E-33C0-441B-A983-B73C74843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MANGGO LODGE
DAPAON, SINDANGAN</t>
        </r>
      </text>
    </comment>
    <comment ref="O1224" authorId="0" shapeId="0" xr:uid="{65F0C9F9-4F9B-40C3-ABF3-DFC529620C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HARANAY
POB, BACUNGAN</t>
        </r>
      </text>
    </comment>
    <comment ref="AA1224" authorId="0" shapeId="0" xr:uid="{68D44CFA-915B-47B1-B0BB-DED8D83EF5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225" authorId="0" shapeId="0" xr:uid="{4C05CB33-3769-4AE3-B34C-AC0C90480B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O1225" authorId="0" shapeId="0" xr:uid="{8D7CD6D3-BB48-48AD-BF5A-3AAFA690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1226" authorId="0" shapeId="0" xr:uid="{A876CC7C-CCCA-49BC-B69C-8DAAC94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DIONISIA MORANO
DISUD, SINDANGAN</t>
        </r>
      </text>
    </comment>
    <comment ref="O1226" authorId="0" shapeId="0" xr:uid="{FFE5D708-FFB2-406E-A950-5B71DB1A3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JAY-AR PADILLA
MANDIH, SINDANGAN</t>
        </r>
      </text>
    </comment>
    <comment ref="C1227" authorId="0" shapeId="0" xr:uid="{E3A3D14A-D6B5-4540-961D-6C9164B772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227" authorId="0" shapeId="0" xr:uid="{EE9C90AA-9522-4558-AA4F-8CF10B243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1228" authorId="0" shapeId="0" xr:uid="{D6AB0CE9-4BED-463B-A268-90CD77CE4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CALING RAZIEL
DAPAON, SINDANGAN</t>
        </r>
      </text>
    </comment>
    <comment ref="O1228" authorId="0" shapeId="0" xr:uid="{5A508A52-E05F-4B5B-9068-373C4C9FD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229" authorId="0" shapeId="0" xr:uid="{0E1203EB-7627-41B8-9C80-DE445E348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RONA DENIEGA
DAPAON, SINDANGAN</t>
        </r>
      </text>
    </comment>
    <comment ref="C1230" authorId="0" shapeId="0" xr:uid="{CB289E0A-4605-465A-8017-6C2C07383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C1231" authorId="0" shapeId="0" xr:uid="{E8FCD05E-C2E9-45CB-B646-A3EE196654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C1232" authorId="0" shapeId="0" xr:uid="{98F63B47-6072-4135-A53A-DF02891161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
LABAKID, SINDANGAN</t>
        </r>
      </text>
    </comment>
    <comment ref="C1233" authorId="0" shapeId="0" xr:uid="{9900BFC7-FBAF-44DF-9AE5-308C18D9F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C1234" authorId="0" shapeId="0" xr:uid="{DF31F5D2-4BEC-4D7E-8B76-C3F8EF066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C1235" authorId="0" shapeId="0" xr:uid="{DC1E8073-D52D-45E8-8B1E-08273C3C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C1236" authorId="0" shapeId="0" xr:uid="{EB9FA1FC-9F35-4EAE-9720-2D2187BB8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DICOYONG, SINDANGAN</t>
        </r>
      </text>
    </comment>
    <comment ref="C1237" authorId="0" shapeId="0" xr:uid="{0CFB6955-F336-49B2-95E2-0931E03CC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GRANTON STORE
DICOYONG, SINDANGAN</t>
        </r>
      </text>
    </comment>
    <comment ref="C1238" authorId="0" shapeId="0" xr:uid="{8B5E1E52-F5CA-47D2-89C6-26A3F95C6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C1239" authorId="0" shapeId="0" xr:uid="{CCCCBF92-6844-4190-84AE-5D97B752F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1240" authorId="0" shapeId="0" xr:uid="{AA43B459-9B3E-40D2-866C-912B5EE333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C1241" authorId="0" shapeId="0" xr:uid="{1D7542BB-56EA-4C94-ABEE-DE54382AD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  <comment ref="C1277" authorId="0" shapeId="0" xr:uid="{341D715E-64AF-40BC-A479-60BC94C6C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 COLLEGE
RM, SINDANGAN</t>
        </r>
      </text>
    </comment>
    <comment ref="O1277" authorId="0" shapeId="0" xr:uid="{56A4FB9F-3E94-4B4E-BD33-FCE940366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1277" authorId="0" shapeId="0" xr:uid="{A012BEF6-0E27-47C5-B42E-5630593E0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RBJ
BACONG, SALUG</t>
        </r>
      </text>
    </comment>
    <comment ref="C1278" authorId="0" shapeId="0" xr:uid="{655E29C4-8E3C-45AF-B38B-F0D4F2F76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278" authorId="0" shapeId="0" xr:uid="{CB1193CD-9B44-4752-9293-F98557655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278" authorId="0" shapeId="0" xr:uid="{731EC2EB-F215-408E-9892-26E406C43B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1279" authorId="0" shapeId="0" xr:uid="{D591545B-FBEE-4AD0-A76D-8F2E25EF0A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279" authorId="0" shapeId="0" xr:uid="{7223F0C4-7DD6-48F7-8F71-361D12D3E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279" authorId="0" shapeId="0" xr:uid="{AB54836B-2A11-438B-B974-045B7864E8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POB, SALUG</t>
        </r>
      </text>
    </comment>
    <comment ref="C1280" authorId="0" shapeId="0" xr:uid="{DF6CE9D8-3801-4305-92D0-6D2458D21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AA1280" authorId="0" shapeId="0" xr:uid="{33730BA9-9D23-42A4-942D-82B51A9EB4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1" authorId="0" shapeId="0" xr:uid="{C5114399-C967-405D-AB33-D9FD6FB75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SINDANGAN</t>
        </r>
      </text>
    </comment>
    <comment ref="AA1281" authorId="0" shapeId="0" xr:uid="{F611A4EC-B425-43F2-BFD1-CADEF8ECC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PAPART
GOLEO, SINDANGAN</t>
        </r>
      </text>
    </comment>
    <comment ref="C1282" authorId="0" shapeId="0" xr:uid="{AA6A7509-1C13-4348-B6A5-55F7997326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AA1282" authorId="0" shapeId="0" xr:uid="{6EFAB9CA-6081-4AB2-84B3-537244FA6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</commentList>
</comments>
</file>

<file path=xl/sharedStrings.xml><?xml version="1.0" encoding="utf-8"?>
<sst xmlns="http://schemas.openxmlformats.org/spreadsheetml/2006/main" count="1825" uniqueCount="112">
  <si>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</si>
  <si>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</si>
  <si>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</si>
  <si>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</si>
  <si>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</si>
  <si>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</si>
  <si>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</si>
  <si>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</si>
  <si>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</si>
  <si>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</si>
  <si>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</si>
  <si>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</si>
  <si>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</si>
  <si>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</si>
  <si>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</si>
  <si>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</si>
  <si>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</si>
  <si>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</si>
  <si>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</si>
  <si>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</si>
  <si>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</si>
  <si>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</si>
  <si>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</si>
  <si>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</si>
  <si>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</si>
  <si>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</si>
  <si>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</si>
  <si>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</si>
  <si>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</si>
  <si>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</si>
  <si>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</si>
  <si>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</si>
  <si>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</si>
  <si>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</si>
  <si>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</si>
  <si>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</si>
  <si>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</si>
  <si>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</si>
  <si>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</si>
  <si>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</si>
  <si>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</si>
  <si>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</si>
  <si>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</si>
  <si>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</si>
  <si>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</si>
  <si>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</si>
  <si>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</si>
  <si>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</si>
  <si>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</si>
  <si>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</si>
  <si>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</si>
  <si>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</si>
  <si>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</si>
  <si>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</si>
  <si>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</si>
  <si>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</si>
  <si>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</si>
  <si>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</si>
  <si>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</si>
  <si>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</si>
  <si>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</si>
  <si>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</si>
  <si>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</si>
  <si>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</si>
  <si>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</si>
  <si>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</si>
  <si>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</si>
  <si>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</si>
  <si>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</si>
  <si>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</si>
  <si>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</si>
  <si>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</si>
  <si>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</si>
  <si>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</si>
  <si>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</si>
  <si>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</si>
  <si>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</si>
  <si>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</si>
  <si>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</si>
  <si>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</si>
  <si>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</si>
  <si>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</si>
  <si>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</si>
  <si>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</si>
  <si>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</si>
  <si>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</si>
  <si>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</si>
  <si>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</si>
  <si>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</si>
  <si>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</si>
  <si>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</si>
  <si>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</si>
  <si>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</si>
  <si>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</si>
  <si>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</si>
  <si>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</si>
  <si>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</si>
  <si>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</si>
  <si>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</si>
  <si>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</si>
  <si>
    <t>JANUARY 26, 2026</t>
  </si>
  <si>
    <t>01/26/2026</t>
  </si>
  <si>
    <t>8543-8550,8751/8726-8728/8670-8674</t>
  </si>
  <si>
    <t>JANUARY 27, 2026</t>
  </si>
  <si>
    <t>01/27/2026</t>
  </si>
  <si>
    <t>8752-8763/8729-8743/8675-8679</t>
  </si>
  <si>
    <t>JANUARY 28, 2026</t>
  </si>
  <si>
    <t>01/28/2026</t>
  </si>
  <si>
    <t>8764-8783/8744-8750/8680-8682</t>
  </si>
  <si>
    <t>JANUARY 29, 2026</t>
  </si>
  <si>
    <t>01/29/2026</t>
  </si>
  <si>
    <t>8784-8789/8801-8803/8684-8689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</si>
</sst>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38" sqref="H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37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 t="s">
        <v>102</v>
      </c>
      <c r="D35" s="16">
        <f t="shared" si="4"/>
        <v>778692.5</v>
      </c>
      <c r="E35" s="14"/>
      <c r="F35" s="14">
        <v>276879</v>
      </c>
      <c r="G35" s="14">
        <v>248808.5</v>
      </c>
      <c r="H35" s="14">
        <v>253005</v>
      </c>
      <c r="I35" s="14"/>
      <c r="J35" s="17">
        <f t="shared" si="0"/>
        <v>778692.5</v>
      </c>
    </row>
    <row r="36" spans="1:10" x14ac:dyDescent="0.25">
      <c r="A36" s="10">
        <f t="shared" si="2"/>
        <v>27</v>
      </c>
      <c r="B36" s="43" t="s">
        <v>8</v>
      </c>
      <c r="C36" s="12" t="s">
        <v>105</v>
      </c>
      <c r="D36" s="16">
        <f t="shared" si="4"/>
        <v>694883.5</v>
      </c>
      <c r="E36" s="14"/>
      <c r="F36" s="14">
        <v>201575</v>
      </c>
      <c r="G36" s="14">
        <v>170283.5</v>
      </c>
      <c r="H36" s="14">
        <v>323025</v>
      </c>
      <c r="I36" s="14"/>
      <c r="J36" s="17">
        <f t="shared" si="0"/>
        <v>694883.5</v>
      </c>
    </row>
    <row r="37" spans="1:10" x14ac:dyDescent="0.25">
      <c r="A37" s="10">
        <f t="shared" si="2"/>
        <v>28</v>
      </c>
      <c r="B37" s="56" t="s">
        <v>9</v>
      </c>
      <c r="C37" s="12" t="s">
        <v>108</v>
      </c>
      <c r="D37" s="16">
        <f t="shared" si="4"/>
        <v>479494.5</v>
      </c>
      <c r="E37" s="14"/>
      <c r="F37" s="14">
        <v>135519</v>
      </c>
      <c r="G37" s="14">
        <v>149813</v>
      </c>
      <c r="H37" s="14">
        <v>194162.5</v>
      </c>
      <c r="I37" s="14"/>
      <c r="J37" s="17">
        <f t="shared" si="0"/>
        <v>479494.5</v>
      </c>
    </row>
    <row r="38" spans="1:10" x14ac:dyDescent="0.25">
      <c r="A38" s="10">
        <f t="shared" si="2"/>
        <v>29</v>
      </c>
      <c r="B38" s="11" t="s">
        <v>30</v>
      </c>
      <c r="C38" s="12" t="s">
        <v>111</v>
      </c>
      <c r="D38" s="16">
        <f t="shared" si="4"/>
        <v>525099.5</v>
      </c>
      <c r="E38" s="14"/>
      <c r="F38" s="14">
        <v>208152</v>
      </c>
      <c r="G38" s="14">
        <v>137073.5</v>
      </c>
      <c r="H38" s="14">
        <v>179874</v>
      </c>
      <c r="I38" s="14"/>
      <c r="J38" s="17">
        <f t="shared" si="0"/>
        <v>525099.5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19424558.060000002</v>
      </c>
      <c r="J42" s="49">
        <f>SUM(J10:J41)</f>
        <v>19424558.060000002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292" zoomScaleNormal="100" workbookViewId="0">
      <selection activeCell="AE1320" sqref="AE13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7"/>
      <c r="G10" s="27"/>
      <c r="I10" s="124" t="s">
        <v>18</v>
      </c>
      <c r="J10" s="125"/>
      <c r="K10" s="122" t="s">
        <v>19</v>
      </c>
      <c r="N10" s="25"/>
      <c r="O10" s="26"/>
      <c r="P10" s="121" t="s">
        <v>17</v>
      </c>
      <c r="Q10" s="121"/>
      <c r="R10" s="77"/>
      <c r="S10" s="27"/>
      <c r="U10" s="124" t="s">
        <v>18</v>
      </c>
      <c r="V10" s="125"/>
      <c r="W10" s="122" t="s">
        <v>19</v>
      </c>
      <c r="Z10" s="25"/>
      <c r="AA10" s="26"/>
      <c r="AB10" s="121" t="s">
        <v>17</v>
      </c>
      <c r="AC10" s="121"/>
      <c r="AD10" s="77"/>
      <c r="AE10" s="27"/>
      <c r="AG10" s="124" t="s">
        <v>18</v>
      </c>
      <c r="AH10" s="125"/>
      <c r="AI10" s="122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3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3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3"/>
    </row>
    <row r="12" spans="1:35" x14ac:dyDescent="0.25">
      <c r="A12" s="10">
        <v>1</v>
      </c>
      <c r="B12" s="30">
        <v>46054</v>
      </c>
      <c r="C12" s="88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88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88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88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88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88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88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88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8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8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8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8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8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8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8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8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8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8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8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8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8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8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8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8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8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8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8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8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8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8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8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8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8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8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4"/>
      <c r="O57" s="94"/>
      <c r="P57" s="94"/>
      <c r="Q57" s="94"/>
      <c r="R57" s="94"/>
      <c r="S57" s="94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4"/>
      <c r="O58" s="94"/>
      <c r="P58" s="94"/>
      <c r="Q58" s="94"/>
      <c r="R58" s="94"/>
      <c r="S58" s="94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4"/>
      <c r="O59" s="94"/>
      <c r="P59" s="94"/>
      <c r="Q59" s="94"/>
      <c r="R59" s="94"/>
      <c r="S59" s="94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4"/>
      <c r="O60" s="94"/>
      <c r="P60" s="94"/>
      <c r="Q60" s="94"/>
      <c r="R60" s="94"/>
      <c r="S60" s="94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4"/>
      <c r="O61" s="94"/>
      <c r="P61" s="94"/>
      <c r="Q61" s="94"/>
      <c r="R61" s="94"/>
      <c r="S61" s="94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4"/>
      <c r="O62" s="94"/>
      <c r="P62" s="94"/>
      <c r="Q62" s="94"/>
      <c r="R62" s="94"/>
      <c r="S62" s="94"/>
      <c r="T62" s="62"/>
      <c r="U62" s="94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4"/>
      <c r="O63" s="94"/>
      <c r="P63" s="94"/>
      <c r="Q63" s="94"/>
      <c r="R63" s="94"/>
      <c r="S63" s="94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4"/>
      <c r="O64" s="94"/>
      <c r="P64" s="94"/>
      <c r="Q64" s="94"/>
      <c r="R64" s="94"/>
      <c r="S64" s="94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92"/>
      <c r="G65" s="27"/>
      <c r="I65" s="124" t="s">
        <v>18</v>
      </c>
      <c r="J65" s="125"/>
      <c r="K65" s="122" t="s">
        <v>19</v>
      </c>
      <c r="M65" s="62"/>
      <c r="N65" s="65"/>
      <c r="O65" s="94"/>
      <c r="P65" s="127"/>
      <c r="Q65" s="127"/>
      <c r="R65" s="94"/>
      <c r="S65" s="94"/>
      <c r="T65" s="62"/>
      <c r="U65" s="127"/>
      <c r="V65" s="127"/>
      <c r="W65" s="126"/>
      <c r="Z65" s="25"/>
      <c r="AA65" s="26"/>
      <c r="AB65" s="121" t="s">
        <v>17</v>
      </c>
      <c r="AC65" s="121"/>
      <c r="AD65" s="92"/>
      <c r="AE65" s="27"/>
      <c r="AG65" s="124" t="s">
        <v>18</v>
      </c>
      <c r="AH65" s="125"/>
      <c r="AI65" s="122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3"/>
      <c r="M66" s="62"/>
      <c r="N66" s="94"/>
      <c r="O66" s="94"/>
      <c r="P66" s="81"/>
      <c r="Q66" s="83"/>
      <c r="R66" s="83"/>
      <c r="S66" s="83"/>
      <c r="T66" s="62"/>
      <c r="U66" s="93"/>
      <c r="V66" s="93"/>
      <c r="W66" s="126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3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88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4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7"/>
      <c r="AO67" s="127"/>
      <c r="AP67" s="87"/>
      <c r="AQ67" s="62"/>
      <c r="AR67" s="127"/>
      <c r="AS67" s="127"/>
      <c r="AT67" s="12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88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4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88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4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88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4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88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88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4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88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4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88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4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88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4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88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4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88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4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4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8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4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8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4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8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4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8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4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8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4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8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4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4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4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8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4"/>
      <c r="R87" s="94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8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4"/>
      <c r="R88" s="94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8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4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8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4"/>
      <c r="R90" s="94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8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4"/>
      <c r="P91" s="69"/>
      <c r="Q91" s="94"/>
      <c r="R91" s="94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8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4"/>
      <c r="P92" s="69"/>
      <c r="Q92" s="94"/>
      <c r="R92" s="94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8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4"/>
      <c r="P93" s="69"/>
      <c r="Q93" s="94"/>
      <c r="R93" s="94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8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4"/>
      <c r="P94" s="69"/>
      <c r="Q94" s="94"/>
      <c r="R94" s="94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8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4"/>
      <c r="R95" s="94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8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4"/>
      <c r="R96" s="94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8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4"/>
      <c r="P97" s="69"/>
      <c r="Q97" s="94"/>
      <c r="R97" s="94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8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4"/>
      <c r="R98" s="94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8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4"/>
      <c r="P99" s="69"/>
      <c r="Q99" s="94"/>
      <c r="R99" s="94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8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4"/>
      <c r="P100" s="69"/>
      <c r="Q100" s="94"/>
      <c r="R100" s="94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8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4"/>
      <c r="P101" s="69"/>
      <c r="Q101" s="94"/>
      <c r="R101" s="94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8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4"/>
      <c r="P102" s="69"/>
      <c r="Q102" s="94"/>
      <c r="R102" s="94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4"/>
      <c r="R103" s="94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4"/>
      <c r="P104" s="69"/>
      <c r="Q104" s="94"/>
      <c r="R104" s="94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4"/>
      <c r="P105" s="69"/>
      <c r="Q105" s="94"/>
      <c r="R105" s="94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4"/>
      <c r="R106" s="94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4"/>
      <c r="P107" s="69"/>
      <c r="Q107" s="94"/>
      <c r="R107" s="94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4"/>
      <c r="O108" s="94"/>
      <c r="P108" s="94"/>
      <c r="Q108" s="94"/>
      <c r="R108" s="94"/>
      <c r="S108" s="94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4"/>
      <c r="O109" s="94"/>
      <c r="P109" s="94"/>
      <c r="Q109" s="94"/>
      <c r="R109" s="94"/>
      <c r="S109" s="94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4"/>
      <c r="O110" s="94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5"/>
      <c r="G120" s="27"/>
      <c r="I120" s="124" t="s">
        <v>18</v>
      </c>
      <c r="J120" s="125"/>
      <c r="K120" s="122" t="s">
        <v>19</v>
      </c>
      <c r="N120" s="25"/>
      <c r="O120" s="26"/>
      <c r="P120" s="121" t="s">
        <v>17</v>
      </c>
      <c r="Q120" s="121"/>
      <c r="R120" s="95"/>
      <c r="S120" s="27"/>
      <c r="U120" s="124" t="s">
        <v>18</v>
      </c>
      <c r="V120" s="125"/>
      <c r="W120" s="122" t="s">
        <v>19</v>
      </c>
      <c r="Z120" s="25"/>
      <c r="AA120" s="26"/>
      <c r="AB120" s="121" t="s">
        <v>17</v>
      </c>
      <c r="AC120" s="121"/>
      <c r="AD120" s="95"/>
      <c r="AE120" s="27"/>
      <c r="AG120" s="124" t="s">
        <v>18</v>
      </c>
      <c r="AH120" s="125"/>
      <c r="AI120" s="12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3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3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88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88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88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88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88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8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8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8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8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8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8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8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8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8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8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8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8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8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8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8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8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8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8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8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8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8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8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8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8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8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8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8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8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6"/>
      <c r="G175" s="27"/>
      <c r="I175" s="124" t="s">
        <v>18</v>
      </c>
      <c r="J175" s="125"/>
      <c r="K175" s="122" t="s">
        <v>19</v>
      </c>
      <c r="N175" s="25"/>
      <c r="O175" s="26"/>
      <c r="P175" s="121" t="s">
        <v>17</v>
      </c>
      <c r="Q175" s="121"/>
      <c r="R175" s="96"/>
      <c r="S175" s="27"/>
      <c r="U175" s="124" t="s">
        <v>18</v>
      </c>
      <c r="V175" s="125"/>
      <c r="W175" s="122" t="s">
        <v>19</v>
      </c>
      <c r="Z175" s="25"/>
      <c r="AA175" s="26"/>
      <c r="AB175" s="121" t="s">
        <v>17</v>
      </c>
      <c r="AC175" s="121"/>
      <c r="AD175" s="96"/>
      <c r="AE175" s="27"/>
      <c r="AG175" s="124" t="s">
        <v>18</v>
      </c>
      <c r="AH175" s="125"/>
      <c r="AI175" s="122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3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3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3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88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88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88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88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88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7"/>
      <c r="AO181" s="127"/>
      <c r="AP181" s="87"/>
      <c r="AQ181" s="62"/>
      <c r="AR181" s="127"/>
      <c r="AS181" s="127"/>
      <c r="AT181" s="12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88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88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88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8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8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8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8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8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8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8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8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8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8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8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8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8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8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8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8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8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8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8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8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8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8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8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8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8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8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7"/>
      <c r="G230" s="27"/>
      <c r="I230" s="124" t="s">
        <v>18</v>
      </c>
      <c r="J230" s="125"/>
      <c r="K230" s="122" t="s">
        <v>19</v>
      </c>
      <c r="N230" s="25"/>
      <c r="O230" s="26"/>
      <c r="P230" s="121" t="s">
        <v>17</v>
      </c>
      <c r="Q230" s="121"/>
      <c r="R230" s="97"/>
      <c r="S230" s="27"/>
      <c r="U230" s="124" t="s">
        <v>18</v>
      </c>
      <c r="V230" s="125"/>
      <c r="W230" s="122" t="s">
        <v>19</v>
      </c>
      <c r="Z230" s="25"/>
      <c r="AA230" s="26"/>
      <c r="AB230" s="121" t="s">
        <v>17</v>
      </c>
      <c r="AC230" s="121"/>
      <c r="AD230" s="97"/>
      <c r="AE230" s="27"/>
      <c r="AG230" s="124" t="s">
        <v>18</v>
      </c>
      <c r="AH230" s="125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3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3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88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88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88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88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88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88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88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88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8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8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8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8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8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8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8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8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8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8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8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8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8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8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8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8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8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8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8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8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8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8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8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8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8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8"/>
      <c r="G285" s="27"/>
      <c r="I285" s="124" t="s">
        <v>18</v>
      </c>
      <c r="J285" s="125"/>
      <c r="K285" s="122" t="s">
        <v>19</v>
      </c>
      <c r="N285" s="25"/>
      <c r="O285" s="26"/>
      <c r="P285" s="121" t="s">
        <v>17</v>
      </c>
      <c r="Q285" s="121"/>
      <c r="R285" s="98"/>
      <c r="S285" s="27"/>
      <c r="U285" s="124" t="s">
        <v>18</v>
      </c>
      <c r="V285" s="125"/>
      <c r="W285" s="122" t="s">
        <v>19</v>
      </c>
      <c r="Z285" s="25"/>
      <c r="AA285" s="26"/>
      <c r="AB285" s="121" t="s">
        <v>17</v>
      </c>
      <c r="AC285" s="121"/>
      <c r="AD285" s="98"/>
      <c r="AE285" s="27"/>
      <c r="AG285" s="124" t="s">
        <v>18</v>
      </c>
      <c r="AH285" s="125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3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3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88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88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88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88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88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8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8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8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8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8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8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8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8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8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8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8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8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8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8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8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8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8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8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8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8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8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8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8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8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8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8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8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8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9"/>
      <c r="G340" s="27"/>
      <c r="I340" s="124" t="s">
        <v>18</v>
      </c>
      <c r="J340" s="125"/>
      <c r="K340" s="122" t="s">
        <v>19</v>
      </c>
      <c r="N340" s="25"/>
      <c r="O340" s="26"/>
      <c r="P340" s="121" t="s">
        <v>17</v>
      </c>
      <c r="Q340" s="121"/>
      <c r="R340" s="99"/>
      <c r="S340" s="27"/>
      <c r="U340" s="124" t="s">
        <v>18</v>
      </c>
      <c r="V340" s="125"/>
      <c r="W340" s="122" t="s">
        <v>19</v>
      </c>
      <c r="Z340" s="25"/>
      <c r="AA340" s="26"/>
      <c r="AB340" s="121" t="s">
        <v>17</v>
      </c>
      <c r="AC340" s="121"/>
      <c r="AD340" s="99"/>
      <c r="AE340" s="27"/>
      <c r="AG340" s="124" t="s">
        <v>18</v>
      </c>
      <c r="AH340" s="125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3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3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88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88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88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88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88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8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8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8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8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8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8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8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8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8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8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8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8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8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8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8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8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8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8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8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8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8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8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8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8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8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8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8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100"/>
      <c r="G395" s="27"/>
      <c r="I395" s="124" t="s">
        <v>18</v>
      </c>
      <c r="J395" s="125"/>
      <c r="K395" s="122" t="s">
        <v>19</v>
      </c>
      <c r="N395" s="25"/>
      <c r="O395" s="26"/>
      <c r="P395" s="121" t="s">
        <v>17</v>
      </c>
      <c r="Q395" s="121"/>
      <c r="R395" s="100"/>
      <c r="S395" s="27"/>
      <c r="U395" s="124" t="s">
        <v>18</v>
      </c>
      <c r="V395" s="125"/>
      <c r="W395" s="122" t="s">
        <v>19</v>
      </c>
      <c r="Z395" s="25"/>
      <c r="AA395" s="26"/>
      <c r="AB395" s="121" t="s">
        <v>17</v>
      </c>
      <c r="AC395" s="121"/>
      <c r="AD395" s="100"/>
      <c r="AE395" s="27"/>
      <c r="AG395" s="124" t="s">
        <v>18</v>
      </c>
      <c r="AH395" s="125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3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3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88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8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8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8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8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8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8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8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101"/>
      <c r="G450" s="27"/>
      <c r="I450" s="124" t="s">
        <v>18</v>
      </c>
      <c r="J450" s="125"/>
      <c r="K450" s="122" t="s">
        <v>19</v>
      </c>
      <c r="N450" s="25"/>
      <c r="O450" s="26"/>
      <c r="P450" s="121" t="s">
        <v>17</v>
      </c>
      <c r="Q450" s="121"/>
      <c r="R450" s="101"/>
      <c r="S450" s="27"/>
      <c r="U450" s="124" t="s">
        <v>18</v>
      </c>
      <c r="V450" s="125"/>
      <c r="W450" s="122" t="s">
        <v>19</v>
      </c>
      <c r="Z450" s="25"/>
      <c r="AA450" s="26"/>
      <c r="AB450" s="121" t="s">
        <v>17</v>
      </c>
      <c r="AC450" s="121"/>
      <c r="AD450" s="101"/>
      <c r="AE450" s="27"/>
      <c r="AG450" s="124" t="s">
        <v>18</v>
      </c>
      <c r="AH450" s="125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3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3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88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8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8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8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8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8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8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8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102"/>
      <c r="G505" s="27"/>
      <c r="I505" s="124" t="s">
        <v>18</v>
      </c>
      <c r="J505" s="125"/>
      <c r="K505" s="122" t="s">
        <v>19</v>
      </c>
      <c r="N505" s="25"/>
      <c r="O505" s="26"/>
      <c r="P505" s="121" t="s">
        <v>17</v>
      </c>
      <c r="Q505" s="121"/>
      <c r="R505" s="102"/>
      <c r="S505" s="27"/>
      <c r="U505" s="124" t="s">
        <v>18</v>
      </c>
      <c r="V505" s="125"/>
      <c r="W505" s="122" t="s">
        <v>19</v>
      </c>
      <c r="Z505" s="25"/>
      <c r="AA505" s="26"/>
      <c r="AB505" s="121" t="s">
        <v>17</v>
      </c>
      <c r="AC505" s="121"/>
      <c r="AD505" s="102"/>
      <c r="AE505" s="27"/>
      <c r="AG505" s="124" t="s">
        <v>18</v>
      </c>
      <c r="AH505" s="125"/>
      <c r="AI505" s="12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3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3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8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8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8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8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8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8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8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8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27"/>
      <c r="E560" s="127"/>
      <c r="F560" s="91"/>
      <c r="G560" s="91"/>
      <c r="H560" s="62"/>
      <c r="I560" s="127"/>
      <c r="J560" s="127"/>
      <c r="K560" s="126"/>
      <c r="N560" s="25"/>
      <c r="O560" s="26"/>
      <c r="P560" s="121" t="s">
        <v>17</v>
      </c>
      <c r="Q560" s="121"/>
      <c r="R560" s="103"/>
      <c r="S560" s="27"/>
      <c r="U560" s="124" t="s">
        <v>18</v>
      </c>
      <c r="V560" s="125"/>
      <c r="W560" s="122" t="s">
        <v>19</v>
      </c>
      <c r="Z560" s="25"/>
      <c r="AA560" s="26"/>
      <c r="AB560" s="121" t="s">
        <v>17</v>
      </c>
      <c r="AC560" s="121"/>
      <c r="AD560" s="103"/>
      <c r="AE560" s="27"/>
      <c r="AG560" s="124" t="s">
        <v>18</v>
      </c>
      <c r="AH560" s="125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1"/>
      <c r="C561" s="91"/>
      <c r="D561" s="81"/>
      <c r="E561" s="82"/>
      <c r="F561" s="83"/>
      <c r="G561" s="83"/>
      <c r="H561" s="62"/>
      <c r="I561" s="90"/>
      <c r="J561" s="90"/>
      <c r="K561" s="126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3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1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1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9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1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1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1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1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1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1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1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1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1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1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1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1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1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1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1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1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1" t="s">
        <v>17</v>
      </c>
      <c r="E615" s="121"/>
      <c r="F615" s="104"/>
      <c r="G615" s="27"/>
      <c r="I615" s="124" t="s">
        <v>18</v>
      </c>
      <c r="J615" s="125"/>
      <c r="K615" s="122" t="s">
        <v>19</v>
      </c>
      <c r="N615" s="25"/>
      <c r="O615" s="26"/>
      <c r="P615" s="121" t="s">
        <v>17</v>
      </c>
      <c r="Q615" s="121"/>
      <c r="R615" s="104"/>
      <c r="S615" s="27"/>
      <c r="U615" s="124" t="s">
        <v>18</v>
      </c>
      <c r="V615" s="125"/>
      <c r="W615" s="122" t="s">
        <v>19</v>
      </c>
      <c r="Z615" s="25"/>
      <c r="AA615" s="26"/>
      <c r="AB615" s="121" t="s">
        <v>17</v>
      </c>
      <c r="AC615" s="121"/>
      <c r="AD615" s="104"/>
      <c r="AE615" s="27"/>
      <c r="AG615" s="124" t="s">
        <v>18</v>
      </c>
      <c r="AH615" s="125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3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3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88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8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8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8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8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8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8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8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5"/>
      <c r="G670" s="27"/>
      <c r="I670" s="124" t="s">
        <v>18</v>
      </c>
      <c r="J670" s="125"/>
      <c r="K670" s="122" t="s">
        <v>19</v>
      </c>
      <c r="N670" s="25"/>
      <c r="O670" s="26"/>
      <c r="P670" s="121" t="s">
        <v>17</v>
      </c>
      <c r="Q670" s="121"/>
      <c r="R670" s="105"/>
      <c r="S670" s="27"/>
      <c r="U670" s="124" t="s">
        <v>18</v>
      </c>
      <c r="V670" s="125"/>
      <c r="W670" s="122" t="s">
        <v>19</v>
      </c>
      <c r="Z670" s="25"/>
      <c r="AA670" s="26"/>
      <c r="AB670" s="121" t="s">
        <v>17</v>
      </c>
      <c r="AC670" s="121"/>
      <c r="AD670" s="105"/>
      <c r="AE670" s="27"/>
      <c r="AG670" s="124" t="s">
        <v>18</v>
      </c>
      <c r="AH670" s="125"/>
      <c r="AI670" s="12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3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3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8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8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8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8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8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8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8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8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6"/>
      <c r="G725" s="27"/>
      <c r="I725" s="124" t="s">
        <v>18</v>
      </c>
      <c r="J725" s="125"/>
      <c r="K725" s="122" t="s">
        <v>19</v>
      </c>
      <c r="N725" s="25"/>
      <c r="O725" s="26"/>
      <c r="P725" s="121" t="s">
        <v>17</v>
      </c>
      <c r="Q725" s="121"/>
      <c r="R725" s="106"/>
      <c r="S725" s="27"/>
      <c r="U725" s="124" t="s">
        <v>18</v>
      </c>
      <c r="V725" s="125"/>
      <c r="W725" s="122" t="s">
        <v>19</v>
      </c>
      <c r="Z725" s="25"/>
      <c r="AA725" s="26"/>
      <c r="AB725" s="121" t="s">
        <v>17</v>
      </c>
      <c r="AC725" s="121"/>
      <c r="AD725" s="106"/>
      <c r="AE725" s="27"/>
      <c r="AG725" s="124" t="s">
        <v>18</v>
      </c>
      <c r="AH725" s="125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3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3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8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8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8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8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8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8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7"/>
      <c r="G780" s="27"/>
      <c r="I780" s="124" t="s">
        <v>18</v>
      </c>
      <c r="J780" s="125"/>
      <c r="K780" s="122" t="s">
        <v>19</v>
      </c>
      <c r="N780" s="25"/>
      <c r="O780" s="26"/>
      <c r="P780" s="121" t="s">
        <v>17</v>
      </c>
      <c r="Q780" s="121"/>
      <c r="R780" s="107"/>
      <c r="S780" s="27"/>
      <c r="U780" s="124" t="s">
        <v>18</v>
      </c>
      <c r="V780" s="125"/>
      <c r="W780" s="122" t="s">
        <v>19</v>
      </c>
      <c r="Z780" s="25"/>
      <c r="AA780" s="26"/>
      <c r="AB780" s="121" t="s">
        <v>17</v>
      </c>
      <c r="AC780" s="121"/>
      <c r="AD780" s="107"/>
      <c r="AE780" s="27"/>
      <c r="AG780" s="124" t="s">
        <v>18</v>
      </c>
      <c r="AH780" s="125"/>
      <c r="AI780" s="12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3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3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8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8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8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8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8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8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08"/>
      <c r="G835" s="27"/>
      <c r="I835" s="124" t="s">
        <v>18</v>
      </c>
      <c r="J835" s="125"/>
      <c r="K835" s="122" t="s">
        <v>19</v>
      </c>
      <c r="N835" s="25"/>
      <c r="O835" s="26"/>
      <c r="P835" s="121" t="s">
        <v>17</v>
      </c>
      <c r="Q835" s="121"/>
      <c r="R835" s="108"/>
      <c r="S835" s="27"/>
      <c r="U835" s="124" t="s">
        <v>18</v>
      </c>
      <c r="V835" s="125"/>
      <c r="W835" s="122" t="s">
        <v>19</v>
      </c>
      <c r="Z835" s="25"/>
      <c r="AA835" s="26"/>
      <c r="AB835" s="121" t="s">
        <v>17</v>
      </c>
      <c r="AC835" s="121"/>
      <c r="AD835" s="108"/>
      <c r="AE835" s="27"/>
      <c r="AG835" s="124" t="s">
        <v>18</v>
      </c>
      <c r="AH835" s="125"/>
      <c r="AI835" s="122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3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3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8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8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8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8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8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8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09"/>
      <c r="G890" s="27"/>
      <c r="I890" s="124" t="s">
        <v>18</v>
      </c>
      <c r="J890" s="125"/>
      <c r="K890" s="122" t="s">
        <v>19</v>
      </c>
      <c r="N890" s="25"/>
      <c r="O890" s="26"/>
      <c r="P890" s="121" t="s">
        <v>17</v>
      </c>
      <c r="Q890" s="121"/>
      <c r="R890" s="109"/>
      <c r="S890" s="27"/>
      <c r="U890" s="124" t="s">
        <v>18</v>
      </c>
      <c r="V890" s="125"/>
      <c r="W890" s="122" t="s">
        <v>19</v>
      </c>
      <c r="Z890" s="25"/>
      <c r="AA890" s="26"/>
      <c r="AB890" s="121" t="s">
        <v>17</v>
      </c>
      <c r="AC890" s="121"/>
      <c r="AD890" s="109"/>
      <c r="AE890" s="27"/>
      <c r="AG890" s="124" t="s">
        <v>18</v>
      </c>
      <c r="AH890" s="125"/>
      <c r="AI890" s="122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3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3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8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8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8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8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8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8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10"/>
      <c r="G945" s="27"/>
      <c r="I945" s="124" t="s">
        <v>18</v>
      </c>
      <c r="J945" s="125"/>
      <c r="K945" s="122" t="s">
        <v>19</v>
      </c>
      <c r="N945" s="25"/>
      <c r="O945" s="26"/>
      <c r="P945" s="121" t="s">
        <v>17</v>
      </c>
      <c r="Q945" s="121"/>
      <c r="R945" s="110"/>
      <c r="S945" s="27"/>
      <c r="U945" s="124" t="s">
        <v>18</v>
      </c>
      <c r="V945" s="125"/>
      <c r="W945" s="122" t="s">
        <v>19</v>
      </c>
      <c r="Z945" s="25"/>
      <c r="AA945" s="26"/>
      <c r="AB945" s="121" t="s">
        <v>17</v>
      </c>
      <c r="AC945" s="121"/>
      <c r="AD945" s="110"/>
      <c r="AE945" s="27"/>
      <c r="AG945" s="124" t="s">
        <v>18</v>
      </c>
      <c r="AH945" s="125"/>
      <c r="AI945" s="122" t="s">
        <v>19</v>
      </c>
      <c r="AK945" s="62"/>
      <c r="AL945" s="65"/>
      <c r="AM945" s="87"/>
      <c r="AN945" s="127"/>
      <c r="AO945" s="127"/>
      <c r="AP945" s="87"/>
      <c r="AQ945" s="84"/>
      <c r="AR945" s="62"/>
      <c r="AS945" s="127"/>
      <c r="AT945" s="127"/>
      <c r="AU945" s="126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3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3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3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6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88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8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8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8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8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8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1"/>
      <c r="AA992" s="91"/>
      <c r="AB992" s="91"/>
      <c r="AC992" s="91"/>
      <c r="AD992" s="91"/>
      <c r="AE992" s="91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1"/>
      <c r="AA993" s="91"/>
      <c r="AB993" s="91"/>
      <c r="AC993" s="91"/>
      <c r="AD993" s="91"/>
      <c r="AE993" s="91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1"/>
      <c r="AA994" s="91"/>
      <c r="AB994" s="91"/>
      <c r="AC994" s="91"/>
      <c r="AD994" s="91"/>
      <c r="AE994" s="91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1"/>
      <c r="AA995" s="91"/>
      <c r="AB995" s="91"/>
      <c r="AC995" s="91"/>
      <c r="AD995" s="91"/>
      <c r="AE995" s="91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1"/>
      <c r="AA996" s="91"/>
      <c r="AB996" s="91"/>
      <c r="AC996" s="91"/>
      <c r="AD996" s="91"/>
      <c r="AE996" s="91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1"/>
      <c r="AA997" s="91"/>
      <c r="AB997" s="91"/>
      <c r="AC997" s="91"/>
      <c r="AD997" s="91"/>
      <c r="AE997" s="91"/>
      <c r="AF997" s="62"/>
      <c r="AG997" s="91"/>
      <c r="AH997" s="91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1"/>
      <c r="AA998" s="91"/>
      <c r="AB998" s="91"/>
      <c r="AC998" s="91"/>
      <c r="AD998" s="91"/>
      <c r="AE998" s="91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1"/>
      <c r="AA999" s="91"/>
      <c r="AB999" s="91"/>
      <c r="AC999" s="91"/>
      <c r="AD999" s="91"/>
      <c r="AE999" s="91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1" t="s">
        <v>17</v>
      </c>
      <c r="E1000" s="121"/>
      <c r="F1000" s="111"/>
      <c r="G1000" s="27"/>
      <c r="I1000" s="124" t="s">
        <v>18</v>
      </c>
      <c r="J1000" s="125"/>
      <c r="K1000" s="122" t="s">
        <v>19</v>
      </c>
      <c r="N1000" s="25"/>
      <c r="O1000" s="26"/>
      <c r="P1000" s="121" t="s">
        <v>17</v>
      </c>
      <c r="Q1000" s="121"/>
      <c r="R1000" s="111"/>
      <c r="S1000" s="27"/>
      <c r="U1000" s="124" t="s">
        <v>18</v>
      </c>
      <c r="V1000" s="125"/>
      <c r="W1000" s="122" t="s">
        <v>19</v>
      </c>
      <c r="Y1000" s="62"/>
      <c r="Z1000" s="65"/>
      <c r="AA1000" s="91"/>
      <c r="AB1000" s="127"/>
      <c r="AC1000" s="127"/>
      <c r="AD1000" s="91"/>
      <c r="AE1000" s="91"/>
      <c r="AF1000" s="62"/>
      <c r="AG1000" s="127"/>
      <c r="AH1000" s="127"/>
      <c r="AI1000" s="12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3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3"/>
      <c r="Y1001" s="62"/>
      <c r="Z1001" s="91"/>
      <c r="AA1001" s="91"/>
      <c r="AB1001" s="81"/>
      <c r="AC1001" s="83"/>
      <c r="AD1001" s="83"/>
      <c r="AE1001" s="83"/>
      <c r="AF1001" s="62"/>
      <c r="AG1001" s="90"/>
      <c r="AH1001" s="90"/>
      <c r="AI1001" s="12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88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1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1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1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1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1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1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1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1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1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1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1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1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1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1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1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1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1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1"/>
      <c r="AB1022" s="67"/>
      <c r="AC1022" s="91"/>
      <c r="AD1022" s="91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1"/>
      <c r="AB1023" s="68"/>
      <c r="AC1023" s="91"/>
      <c r="AD1023" s="91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1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1"/>
      <c r="AB1025" s="69"/>
      <c r="AC1025" s="91"/>
      <c r="AD1025" s="91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1"/>
      <c r="AD1026" s="91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1"/>
      <c r="AD1027" s="91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1"/>
      <c r="AB1028" s="69"/>
      <c r="AC1028" s="91"/>
      <c r="AD1028" s="91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1"/>
      <c r="AB1029" s="69"/>
      <c r="AC1029" s="91"/>
      <c r="AD1029" s="91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1"/>
      <c r="AB1030" s="69"/>
      <c r="AC1030" s="91"/>
      <c r="AD1030" s="91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1"/>
      <c r="AD1031" s="91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8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1"/>
      <c r="AD1032" s="91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1"/>
      <c r="AB1033" s="69"/>
      <c r="AC1033" s="91"/>
      <c r="AD1033" s="91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8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1"/>
      <c r="AB1034" s="69"/>
      <c r="AC1034" s="91"/>
      <c r="AD1034" s="91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8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1"/>
      <c r="AD1035" s="91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8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1"/>
      <c r="AB1036" s="69"/>
      <c r="AC1036" s="91"/>
      <c r="AD1036" s="91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8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1"/>
      <c r="AB1037" s="69"/>
      <c r="AC1037" s="91"/>
      <c r="AD1037" s="91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1"/>
      <c r="AB1038" s="69"/>
      <c r="AC1038" s="91"/>
      <c r="AD1038" s="91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1"/>
      <c r="AB1039" s="69"/>
      <c r="AC1039" s="91"/>
      <c r="AD1039" s="91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1"/>
      <c r="AB1040" s="69"/>
      <c r="AC1040" s="91"/>
      <c r="AD1040" s="91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1"/>
      <c r="AD1041" s="91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1"/>
      <c r="AB1042" s="69"/>
      <c r="AC1042" s="91"/>
      <c r="AD1042" s="91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1"/>
      <c r="AA1043" s="91"/>
      <c r="AB1043" s="91"/>
      <c r="AC1043" s="91"/>
      <c r="AD1043" s="91"/>
      <c r="AE1043" s="91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1"/>
      <c r="AA1044" s="91"/>
      <c r="AB1044" s="91"/>
      <c r="AC1044" s="91"/>
      <c r="AD1044" s="91"/>
      <c r="AE1044" s="91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1"/>
      <c r="AA1045" s="91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1" t="s">
        <v>17</v>
      </c>
      <c r="E1055" s="121"/>
      <c r="F1055" s="112"/>
      <c r="G1055" s="27"/>
      <c r="I1055" s="124" t="s">
        <v>18</v>
      </c>
      <c r="J1055" s="125"/>
      <c r="K1055" s="122" t="s">
        <v>19</v>
      </c>
      <c r="N1055" s="25"/>
      <c r="O1055" s="26"/>
      <c r="P1055" s="121" t="s">
        <v>17</v>
      </c>
      <c r="Q1055" s="121"/>
      <c r="R1055" s="112"/>
      <c r="S1055" s="27"/>
      <c r="U1055" s="124" t="s">
        <v>18</v>
      </c>
      <c r="V1055" s="125"/>
      <c r="W1055" s="122" t="s">
        <v>19</v>
      </c>
      <c r="Z1055" s="25"/>
      <c r="AA1055" s="26"/>
      <c r="AB1055" s="121" t="s">
        <v>17</v>
      </c>
      <c r="AC1055" s="121"/>
      <c r="AD1055" s="112"/>
      <c r="AE1055" s="27"/>
      <c r="AG1055" s="124" t="s">
        <v>18</v>
      </c>
      <c r="AH1055" s="125"/>
      <c r="AI1055" s="122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3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3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3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88">
        <v>8530</v>
      </c>
      <c r="D1057" s="32">
        <f>650*18+622*3+9.5*21</f>
        <v>13765.5</v>
      </c>
      <c r="E1057" s="32"/>
      <c r="F1057" s="32"/>
      <c r="G1057" s="32">
        <f t="shared" ref="G1057:G1090" si="301">SUM(D1057:E1057)</f>
        <v>13765.5</v>
      </c>
      <c r="H1057" s="12"/>
      <c r="I1057" s="12"/>
      <c r="J1057" s="12"/>
      <c r="K1057" s="12">
        <f t="shared" ref="K1057:K1090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095" si="303">SUM(P1058:Q1058)</f>
        <v>5262</v>
      </c>
      <c r="T1058" s="12"/>
      <c r="U1058" s="12"/>
      <c r="V1058" s="12"/>
      <c r="W1058" s="12">
        <f t="shared" ref="W1058:W1098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69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63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67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8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8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8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8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8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F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100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100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98</v>
      </c>
      <c r="W1108" s="24"/>
      <c r="Y1108" s="21" t="s">
        <v>100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82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1" t="s">
        <v>17</v>
      </c>
      <c r="E1110" s="121"/>
      <c r="F1110" s="113"/>
      <c r="G1110" s="27"/>
      <c r="I1110" s="124" t="s">
        <v>18</v>
      </c>
      <c r="J1110" s="125"/>
      <c r="K1110" s="122" t="s">
        <v>19</v>
      </c>
      <c r="N1110" s="25"/>
      <c r="O1110" s="26"/>
      <c r="P1110" s="121" t="s">
        <v>17</v>
      </c>
      <c r="Q1110" s="121"/>
      <c r="R1110" s="113"/>
      <c r="S1110" s="27"/>
      <c r="U1110" s="124" t="s">
        <v>18</v>
      </c>
      <c r="V1110" s="125"/>
      <c r="W1110" s="122" t="s">
        <v>19</v>
      </c>
      <c r="Z1110" s="25"/>
      <c r="AA1110" s="26"/>
      <c r="AB1110" s="121" t="s">
        <v>17</v>
      </c>
      <c r="AC1110" s="121"/>
      <c r="AD1110" s="113"/>
      <c r="AE1110" s="27"/>
      <c r="AG1110" s="124" t="s">
        <v>18</v>
      </c>
      <c r="AH1110" s="125"/>
      <c r="AI1110" s="122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3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3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3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8">
        <v>8543</v>
      </c>
      <c r="D1112" s="32">
        <f>650*14+36*622+229*2</f>
        <v>31950</v>
      </c>
      <c r="E1112" s="32">
        <v>-300</v>
      </c>
      <c r="F1112" s="32"/>
      <c r="G1112" s="32">
        <f t="shared" ref="G1112:G1145" si="316">SUM(D1112:E1112)</f>
        <v>31650</v>
      </c>
      <c r="H1112" s="12"/>
      <c r="I1112" s="12">
        <f>5550+156</f>
        <v>5706</v>
      </c>
      <c r="J1112" s="12"/>
      <c r="K1112" s="12">
        <f t="shared" ref="K1112:K1145" si="317">SUM(G1112:J1112)</f>
        <v>37356</v>
      </c>
      <c r="M1112" s="10">
        <v>1</v>
      </c>
      <c r="N1112" s="30" t="s">
        <v>101</v>
      </c>
      <c r="O1112" s="31">
        <v>8726</v>
      </c>
      <c r="P1112" s="32">
        <f>650*3+670</f>
        <v>2620</v>
      </c>
      <c r="Q1112" s="32"/>
      <c r="R1112" s="32"/>
      <c r="S1112" s="32">
        <f>SUM(P1112:Q1112)</f>
        <v>2620</v>
      </c>
      <c r="T1112" s="12"/>
      <c r="U1112" s="12"/>
      <c r="V1112" s="12">
        <v>-777</v>
      </c>
      <c r="W1112" s="12">
        <f>SUM(S1112:V1112)</f>
        <v>1843</v>
      </c>
      <c r="Y1112" s="10">
        <v>1</v>
      </c>
      <c r="Z1112" s="30" t="s">
        <v>101</v>
      </c>
      <c r="AA1112" s="31">
        <v>8670</v>
      </c>
      <c r="AB1112" s="32">
        <f>650*25+622*5</f>
        <v>19360</v>
      </c>
      <c r="AC1112" s="32"/>
      <c r="AD1112" s="32"/>
      <c r="AE1112" s="32">
        <f>SUM(AB1112:AC1112)</f>
        <v>19360</v>
      </c>
      <c r="AF1112" s="12"/>
      <c r="AG1112" s="12"/>
      <c r="AH1112" s="12"/>
      <c r="AI1112" s="12">
        <f>SUM(AE1112:AH1112)</f>
        <v>19360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31">
        <f>C1112+1</f>
        <v>8544</v>
      </c>
      <c r="D1113" s="32">
        <f>650*8+9.5*8</f>
        <v>5276</v>
      </c>
      <c r="E1113" s="32"/>
      <c r="F1113" s="32"/>
      <c r="G1113" s="32">
        <f t="shared" si="316"/>
        <v>5276</v>
      </c>
      <c r="H1113" s="12"/>
      <c r="I1113" s="12"/>
      <c r="J1113" s="12"/>
      <c r="K1113" s="12">
        <f t="shared" si="317"/>
        <v>5276</v>
      </c>
      <c r="M1113" s="10">
        <v>2</v>
      </c>
      <c r="N1113" s="30" t="s">
        <v>101</v>
      </c>
      <c r="O1113" s="31">
        <f>O1112+1</f>
        <v>8727</v>
      </c>
      <c r="P1113" s="32">
        <f>3250+47.5</f>
        <v>3297.5</v>
      </c>
      <c r="Q1113" s="32"/>
      <c r="R1113" s="32"/>
      <c r="S1113" s="32">
        <f t="shared" ref="S1113:S1150" si="318">SUM(P1113:Q1113)</f>
        <v>3297.5</v>
      </c>
      <c r="T1113" s="12"/>
      <c r="U1113" s="12"/>
      <c r="V1113" s="12">
        <v>-1221</v>
      </c>
      <c r="W1113" s="12">
        <f t="shared" ref="W1113:W1153" si="319">SUM(S1113:V1113)</f>
        <v>2076.5</v>
      </c>
      <c r="Y1113" s="10">
        <v>2</v>
      </c>
      <c r="Z1113" s="30" t="s">
        <v>101</v>
      </c>
      <c r="AA1113" s="31">
        <f>AA1112+1</f>
        <v>8671</v>
      </c>
      <c r="AB1113" s="32">
        <f>650*200+670*15+622*20+229*2+650*2</f>
        <v>154248</v>
      </c>
      <c r="AC1113" s="32">
        <v>-1422</v>
      </c>
      <c r="AD1113" s="32"/>
      <c r="AE1113" s="32">
        <f t="shared" ref="AE1113:AE1144" si="320">SUM(AB1113:AC1113)</f>
        <v>152826</v>
      </c>
      <c r="AF1113" s="12"/>
      <c r="AG1113" s="12">
        <v>189</v>
      </c>
      <c r="AH1113" s="12"/>
      <c r="AI1113" s="12">
        <f t="shared" ref="AI1113:AI1153" si="321">SUM(AE1113:AH1113)</f>
        <v>153015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31">
        <f t="shared" ref="C1114:C1119" si="322">C1113+1</f>
        <v>8545</v>
      </c>
      <c r="D1114" s="33">
        <f>650*40</f>
        <v>26000</v>
      </c>
      <c r="E1114" s="33"/>
      <c r="F1114" s="33"/>
      <c r="G1114" s="33">
        <f t="shared" si="316"/>
        <v>26000</v>
      </c>
      <c r="H1114" s="34"/>
      <c r="I1114" s="34">
        <f>4.5*72</f>
        <v>324</v>
      </c>
      <c r="J1114" s="34"/>
      <c r="K1114" s="34">
        <f t="shared" si="317"/>
        <v>26324</v>
      </c>
      <c r="M1114" s="10">
        <v>3</v>
      </c>
      <c r="N1114" s="30" t="s">
        <v>101</v>
      </c>
      <c r="O1114" s="31">
        <f t="shared" ref="O1114" si="323">O1113+1</f>
        <v>8728</v>
      </c>
      <c r="P1114" s="32">
        <f>650*324+622*50+229*15</f>
        <v>245135</v>
      </c>
      <c r="Q1114" s="32">
        <v>-2244</v>
      </c>
      <c r="R1114" s="32"/>
      <c r="S1114" s="32">
        <f t="shared" si="318"/>
        <v>242891</v>
      </c>
      <c r="T1114" s="12"/>
      <c r="U1114" s="12">
        <v>624</v>
      </c>
      <c r="V1114" s="12">
        <f>-2997+-252</f>
        <v>-3249</v>
      </c>
      <c r="W1114" s="12">
        <f t="shared" si="319"/>
        <v>240266</v>
      </c>
      <c r="Y1114" s="10">
        <v>3</v>
      </c>
      <c r="Z1114" s="30" t="s">
        <v>101</v>
      </c>
      <c r="AA1114" s="31">
        <f t="shared" ref="AA1114:AA1116" si="324">AA1113+1</f>
        <v>8672</v>
      </c>
      <c r="AB1114" s="33">
        <f>650*50+622*10+229*2</f>
        <v>39178</v>
      </c>
      <c r="AC1114" s="33"/>
      <c r="AD1114" s="32"/>
      <c r="AE1114" s="32">
        <f t="shared" si="320"/>
        <v>39178</v>
      </c>
      <c r="AF1114" s="12"/>
      <c r="AG1114" s="12"/>
      <c r="AH1114" s="12"/>
      <c r="AI1114" s="12">
        <f t="shared" si="321"/>
        <v>39178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101</v>
      </c>
      <c r="C1115" s="31">
        <f t="shared" si="322"/>
        <v>8546</v>
      </c>
      <c r="D1115" s="32">
        <f>650*40+670*3+622*10+912+229</f>
        <v>35371</v>
      </c>
      <c r="E1115" s="32"/>
      <c r="F1115" s="32"/>
      <c r="G1115" s="32">
        <f t="shared" si="316"/>
        <v>35371</v>
      </c>
      <c r="H1115" s="12"/>
      <c r="I1115" s="12">
        <f>36+270</f>
        <v>306</v>
      </c>
      <c r="J1115" s="12"/>
      <c r="K1115" s="12">
        <f t="shared" si="317"/>
        <v>35677</v>
      </c>
      <c r="M1115" s="10">
        <v>4</v>
      </c>
      <c r="N1115" s="30"/>
      <c r="O1115" s="11" t="s">
        <v>27</v>
      </c>
      <c r="P1115" s="32"/>
      <c r="Q1115" s="32"/>
      <c r="R1115" s="32"/>
      <c r="S1115" s="32">
        <f t="shared" si="318"/>
        <v>0</v>
      </c>
      <c r="T1115" s="12"/>
      <c r="U1115" s="12"/>
      <c r="V1115" s="12"/>
      <c r="W1115" s="12">
        <f t="shared" si="319"/>
        <v>0</v>
      </c>
      <c r="Y1115" s="10">
        <v>4</v>
      </c>
      <c r="Z1115" s="30" t="s">
        <v>101</v>
      </c>
      <c r="AA1115" s="31">
        <f t="shared" si="324"/>
        <v>8673</v>
      </c>
      <c r="AB1115" s="32">
        <f>1340+872</f>
        <v>2212</v>
      </c>
      <c r="AC1115" s="32"/>
      <c r="AD1115" s="32"/>
      <c r="AE1115" s="32">
        <f t="shared" si="320"/>
        <v>2212</v>
      </c>
      <c r="AF1115" s="12"/>
      <c r="AH1115" s="12"/>
      <c r="AI1115" s="12">
        <f t="shared" si="321"/>
        <v>2212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101</v>
      </c>
      <c r="C1116" s="31">
        <f t="shared" si="322"/>
        <v>8547</v>
      </c>
      <c r="D1116" s="32">
        <f>650*14+622*2</f>
        <v>10344</v>
      </c>
      <c r="E1116" s="32"/>
      <c r="F1116" s="32"/>
      <c r="G1116" s="32">
        <f t="shared" si="316"/>
        <v>10344</v>
      </c>
      <c r="H1116" s="12"/>
      <c r="I1116" s="12"/>
      <c r="J1116" s="12"/>
      <c r="K1116" s="12">
        <f t="shared" si="317"/>
        <v>10344</v>
      </c>
      <c r="M1116" s="10">
        <v>5</v>
      </c>
      <c r="N1116" s="30"/>
      <c r="O1116" s="31"/>
      <c r="P1116" s="32"/>
      <c r="Q1116" s="32"/>
      <c r="R1116" s="32"/>
      <c r="S1116" s="32">
        <f t="shared" si="318"/>
        <v>0</v>
      </c>
      <c r="T1116" s="12"/>
      <c r="U1116" s="12"/>
      <c r="V1116" s="12"/>
      <c r="W1116" s="12">
        <f t="shared" si="319"/>
        <v>0</v>
      </c>
      <c r="Y1116" s="10">
        <v>5</v>
      </c>
      <c r="Z1116" s="30" t="s">
        <v>101</v>
      </c>
      <c r="AA1116" s="31">
        <f t="shared" si="324"/>
        <v>8674</v>
      </c>
      <c r="AB1116" s="32">
        <f>650*50+670*10+229</f>
        <v>39429</v>
      </c>
      <c r="AC1116" s="32"/>
      <c r="AD1116" s="32"/>
      <c r="AE1116" s="32">
        <f t="shared" si="320"/>
        <v>39429</v>
      </c>
      <c r="AF1116" s="12"/>
      <c r="AG1116" s="12"/>
      <c r="AH1116" s="12"/>
      <c r="AI1116" s="12">
        <f t="shared" si="321"/>
        <v>39429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101</v>
      </c>
      <c r="C1117" s="31">
        <f t="shared" si="322"/>
        <v>8548</v>
      </c>
      <c r="D1117" s="32">
        <f>650</f>
        <v>650</v>
      </c>
      <c r="E1117" s="32"/>
      <c r="F1117" s="32"/>
      <c r="G1117" s="32">
        <f t="shared" si="316"/>
        <v>650</v>
      </c>
      <c r="H1117" s="12"/>
      <c r="I1117" s="12"/>
      <c r="J1117" s="12"/>
      <c r="K1117" s="12">
        <f t="shared" si="317"/>
        <v>650</v>
      </c>
      <c r="M1117" s="10">
        <v>6</v>
      </c>
      <c r="N1117" s="30"/>
      <c r="O1117" s="31"/>
      <c r="P1117" s="32"/>
      <c r="Q1117" s="32"/>
      <c r="R1117" s="32"/>
      <c r="S1117" s="32">
        <f t="shared" si="318"/>
        <v>0</v>
      </c>
      <c r="T1117" s="12"/>
      <c r="U1117" s="12"/>
      <c r="V1117" s="10"/>
      <c r="W1117" s="12">
        <f t="shared" si="319"/>
        <v>0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20"/>
        <v>0</v>
      </c>
      <c r="AF1117" s="12"/>
      <c r="AG1117" s="12"/>
      <c r="AH1117" s="10"/>
      <c r="AI1117" s="12">
        <f t="shared" si="32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101</v>
      </c>
      <c r="C1118" s="31">
        <f t="shared" si="322"/>
        <v>8549</v>
      </c>
      <c r="D1118" s="32">
        <f>650*4+670*2+229*2</f>
        <v>4398</v>
      </c>
      <c r="E1118" s="32"/>
      <c r="F1118" s="32"/>
      <c r="G1118" s="32">
        <f t="shared" si="316"/>
        <v>4398</v>
      </c>
      <c r="H1118" s="12"/>
      <c r="I1118" s="12"/>
      <c r="J1118" s="12"/>
      <c r="K1118" s="12">
        <f t="shared" si="317"/>
        <v>4398</v>
      </c>
      <c r="M1118" s="10">
        <v>7</v>
      </c>
      <c r="N1118" s="30"/>
      <c r="O1118" s="31"/>
      <c r="P1118" s="32"/>
      <c r="Q1118" s="32"/>
      <c r="R1118" s="32"/>
      <c r="S1118" s="32">
        <f t="shared" si="318"/>
        <v>0</v>
      </c>
      <c r="T1118" s="12"/>
      <c r="U1118" s="12"/>
      <c r="V1118" s="12"/>
      <c r="W1118" s="12">
        <f t="shared" si="319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320"/>
        <v>0</v>
      </c>
      <c r="AF1118" s="12"/>
      <c r="AG1118" s="58"/>
      <c r="AH1118" s="12"/>
      <c r="AI1118" s="12">
        <f t="shared" si="32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101</v>
      </c>
      <c r="C1119" s="31">
        <f t="shared" si="322"/>
        <v>8550</v>
      </c>
      <c r="D1119" s="32">
        <f>650*2</f>
        <v>1300</v>
      </c>
      <c r="E1119" s="32"/>
      <c r="F1119" s="32"/>
      <c r="G1119" s="32">
        <f t="shared" si="316"/>
        <v>1300</v>
      </c>
      <c r="H1119" s="12"/>
      <c r="I1119" s="12"/>
      <c r="J1119" s="12">
        <v>-111</v>
      </c>
      <c r="K1119" s="12">
        <f t="shared" si="317"/>
        <v>1189</v>
      </c>
      <c r="M1119" s="10">
        <v>8</v>
      </c>
      <c r="N1119" s="30"/>
      <c r="P1119" s="32"/>
      <c r="Q1119" s="32"/>
      <c r="R1119" s="32"/>
      <c r="S1119" s="32">
        <f t="shared" si="318"/>
        <v>0</v>
      </c>
      <c r="T1119" s="12"/>
      <c r="U1119" s="12"/>
      <c r="V1119" s="12"/>
      <c r="W1119" s="12">
        <f t="shared" si="319"/>
        <v>0</v>
      </c>
      <c r="Y1119" s="10">
        <v>8</v>
      </c>
      <c r="Z1119" s="30"/>
      <c r="AA1119" s="31"/>
      <c r="AB1119" s="32"/>
      <c r="AC1119" s="32"/>
      <c r="AE1119" s="32">
        <f t="shared" si="320"/>
        <v>0</v>
      </c>
      <c r="AF1119" s="12"/>
      <c r="AG1119" s="12"/>
      <c r="AH1119" s="12"/>
      <c r="AI1119" s="12">
        <f t="shared" si="32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101</v>
      </c>
      <c r="C1120" s="31">
        <v>8751</v>
      </c>
      <c r="D1120" s="32">
        <f>650*200+622*50+229*10</f>
        <v>163390</v>
      </c>
      <c r="E1120" s="32">
        <v>-1500</v>
      </c>
      <c r="F1120" s="32"/>
      <c r="G1120" s="32">
        <f t="shared" si="316"/>
        <v>161890</v>
      </c>
      <c r="H1120" s="12"/>
      <c r="I1120" s="12">
        <f>7*111+8*78</f>
        <v>1401</v>
      </c>
      <c r="J1120" s="12">
        <f>-240+-840+-1218+-42+-11.25+-30</f>
        <v>-2381.25</v>
      </c>
      <c r="K1120" s="12">
        <f t="shared" si="317"/>
        <v>160909.75</v>
      </c>
      <c r="M1120" s="10">
        <v>9</v>
      </c>
      <c r="N1120" s="30"/>
      <c r="O1120" s="31"/>
      <c r="P1120" s="32"/>
      <c r="Q1120" s="32"/>
      <c r="R1120" s="32"/>
      <c r="S1120" s="32">
        <f t="shared" si="318"/>
        <v>0</v>
      </c>
      <c r="T1120" s="12"/>
      <c r="U1120" s="12"/>
      <c r="V1120" s="12"/>
      <c r="W1120" s="12">
        <f t="shared" si="319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20"/>
        <v>0</v>
      </c>
      <c r="AF1120" s="12"/>
      <c r="AH1120" s="12"/>
      <c r="AI1120" s="12">
        <f t="shared" si="32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11" t="s">
        <v>27</v>
      </c>
      <c r="D1121" s="32"/>
      <c r="E1121" s="32"/>
      <c r="F1121" s="32"/>
      <c r="G1121" s="32">
        <f t="shared" si="316"/>
        <v>0</v>
      </c>
      <c r="H1121" s="12"/>
      <c r="I1121" s="12"/>
      <c r="J1121" s="12"/>
      <c r="K1121" s="12">
        <f t="shared" si="317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18"/>
        <v>0</v>
      </c>
      <c r="T1121" s="12"/>
      <c r="U1121" s="12"/>
      <c r="V1121" s="12"/>
      <c r="W1121" s="12">
        <f t="shared" si="319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0"/>
        <v>0</v>
      </c>
      <c r="AF1121" s="12"/>
      <c r="AG1121" s="12"/>
      <c r="AH1121" s="12"/>
      <c r="AI1121" s="12">
        <f t="shared" si="32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316"/>
        <v>0</v>
      </c>
      <c r="H1122" s="12"/>
      <c r="I1122" s="12"/>
      <c r="J1122" s="12"/>
      <c r="K1122" s="12">
        <f t="shared" si="317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18"/>
        <v>0</v>
      </c>
      <c r="T1122" s="12"/>
      <c r="U1122" s="12"/>
      <c r="V1122" s="12"/>
      <c r="W1122" s="12">
        <f t="shared" si="319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20"/>
        <v>0</v>
      </c>
      <c r="AF1122" s="12"/>
      <c r="AG1122" s="12"/>
      <c r="AH1122" s="12"/>
      <c r="AI1122" s="12">
        <f t="shared" si="32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316"/>
        <v>0</v>
      </c>
      <c r="H1123" s="12"/>
      <c r="I1123" s="12"/>
      <c r="J1123" s="10"/>
      <c r="K1123" s="12">
        <f t="shared" si="317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18"/>
        <v>0</v>
      </c>
      <c r="T1123" s="12"/>
      <c r="U1123" s="12"/>
      <c r="V1123" s="12"/>
      <c r="W1123" s="12">
        <f t="shared" si="319"/>
        <v>0</v>
      </c>
      <c r="Y1123" s="10">
        <v>12</v>
      </c>
      <c r="Z1123" s="30"/>
      <c r="AB1123" s="32"/>
      <c r="AC1123" s="32"/>
      <c r="AD1123" s="32"/>
      <c r="AE1123" s="32">
        <f t="shared" si="320"/>
        <v>0</v>
      </c>
      <c r="AF1123" s="12"/>
      <c r="AG1123" s="12"/>
      <c r="AH1123" s="12"/>
      <c r="AI1123" s="12">
        <f t="shared" si="32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316"/>
        <v>0</v>
      </c>
      <c r="H1124" s="12"/>
      <c r="I1124" s="12"/>
      <c r="J1124" s="12"/>
      <c r="K1124" s="12">
        <f t="shared" si="317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18"/>
        <v>0</v>
      </c>
      <c r="T1124" s="12"/>
      <c r="U1124" s="12"/>
      <c r="V1124" s="12"/>
      <c r="W1124" s="12">
        <f t="shared" si="319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0"/>
        <v>0</v>
      </c>
      <c r="AF1124" s="12"/>
      <c r="AG1124" s="12"/>
      <c r="AH1124" s="12"/>
      <c r="AI1124" s="12">
        <f t="shared" si="32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D1125" s="32"/>
      <c r="E1125" s="32"/>
      <c r="F1125" s="32"/>
      <c r="G1125" s="32">
        <f t="shared" si="316"/>
        <v>0</v>
      </c>
      <c r="H1125" s="12"/>
      <c r="I1125" s="12"/>
      <c r="J1125" s="12"/>
      <c r="K1125" s="12">
        <f t="shared" si="31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18"/>
        <v>0</v>
      </c>
      <c r="T1125" s="12"/>
      <c r="U1125" s="12"/>
      <c r="V1125" s="12"/>
      <c r="W1125" s="12">
        <f t="shared" si="31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0"/>
        <v>0</v>
      </c>
      <c r="AF1125" s="12"/>
      <c r="AG1125" s="12"/>
      <c r="AH1125" s="12"/>
      <c r="AI1125" s="12">
        <f t="shared" si="32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57"/>
      <c r="D1126" s="32"/>
      <c r="E1126" s="32"/>
      <c r="F1126" s="32"/>
      <c r="G1126" s="32">
        <f t="shared" si="316"/>
        <v>0</v>
      </c>
      <c r="H1126" s="12"/>
      <c r="I1126" s="12"/>
      <c r="J1126" s="12"/>
      <c r="K1126" s="12">
        <f t="shared" si="31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18"/>
        <v>0</v>
      </c>
      <c r="T1126" s="12"/>
      <c r="U1126" s="12"/>
      <c r="V1126" s="12"/>
      <c r="W1126" s="12">
        <f t="shared" si="319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0"/>
        <v>0</v>
      </c>
      <c r="AF1126" s="12"/>
      <c r="AG1126" s="12"/>
      <c r="AH1126" s="12"/>
      <c r="AI1126" s="12">
        <f t="shared" si="32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316"/>
        <v>0</v>
      </c>
      <c r="H1127" s="12"/>
      <c r="I1127" s="12"/>
      <c r="J1127" s="12"/>
      <c r="K1127" s="12">
        <f t="shared" si="317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18"/>
        <v>0</v>
      </c>
      <c r="T1127" s="12"/>
      <c r="U1127" s="12"/>
      <c r="V1127" s="12"/>
      <c r="W1127" s="12">
        <f t="shared" si="31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20"/>
        <v>0</v>
      </c>
      <c r="AF1127" s="12"/>
      <c r="AG1127" s="12"/>
      <c r="AH1127" s="12"/>
      <c r="AI1127" s="12">
        <f t="shared" si="32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316"/>
        <v>0</v>
      </c>
      <c r="H1128" s="12"/>
      <c r="I1128" s="12"/>
      <c r="J1128" s="12"/>
      <c r="K1128" s="12">
        <f t="shared" si="31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18"/>
        <v>0</v>
      </c>
      <c r="T1128" s="12"/>
      <c r="U1128" s="12"/>
      <c r="V1128" s="12"/>
      <c r="W1128" s="12">
        <f t="shared" si="31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0"/>
        <v>0</v>
      </c>
      <c r="AF1128" s="12"/>
      <c r="AG1128" s="12"/>
      <c r="AH1128" s="12"/>
      <c r="AI1128" s="12">
        <f t="shared" si="32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316"/>
        <v>0</v>
      </c>
      <c r="H1129" s="12"/>
      <c r="I1129" s="12"/>
      <c r="J1129" s="12"/>
      <c r="K1129" s="12">
        <f t="shared" si="31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18"/>
        <v>0</v>
      </c>
      <c r="T1129" s="12"/>
      <c r="U1129" s="12"/>
      <c r="V1129" s="12"/>
      <c r="W1129" s="12">
        <f t="shared" si="31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0"/>
        <v>0</v>
      </c>
      <c r="AF1129" s="12"/>
      <c r="AG1129" s="12"/>
      <c r="AH1129" s="12"/>
      <c r="AI1129" s="12">
        <f t="shared" si="32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316"/>
        <v>0</v>
      </c>
      <c r="H1130" s="12"/>
      <c r="I1130" s="12"/>
      <c r="J1130" s="12"/>
      <c r="K1130" s="12">
        <f t="shared" si="31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18"/>
        <v>0</v>
      </c>
      <c r="T1130" s="12"/>
      <c r="U1130" s="12"/>
      <c r="V1130" s="12"/>
      <c r="W1130" s="12">
        <f t="shared" si="31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0"/>
        <v>0</v>
      </c>
      <c r="AF1130" s="12"/>
      <c r="AG1130" s="12"/>
      <c r="AH1130" s="12"/>
      <c r="AI1130" s="12">
        <f t="shared" si="32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316"/>
        <v>0</v>
      </c>
      <c r="H1131" s="12"/>
      <c r="I1131" s="12"/>
      <c r="J1131" s="12"/>
      <c r="K1131" s="12">
        <f t="shared" si="31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18"/>
        <v>0</v>
      </c>
      <c r="T1131" s="12"/>
      <c r="U1131" s="12"/>
      <c r="V1131" s="12"/>
      <c r="W1131" s="12">
        <f t="shared" si="31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0"/>
        <v>0</v>
      </c>
      <c r="AF1131" s="12"/>
      <c r="AG1131" s="12"/>
      <c r="AH1131" s="12"/>
      <c r="AI1131" s="12">
        <f t="shared" si="32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316"/>
        <v>0</v>
      </c>
      <c r="H1132" s="10"/>
      <c r="I1132" s="10"/>
      <c r="J1132" s="10"/>
      <c r="K1132" s="12">
        <f t="shared" si="317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18"/>
        <v>0</v>
      </c>
      <c r="T1132" s="10"/>
      <c r="U1132" s="10"/>
      <c r="V1132" s="10"/>
      <c r="W1132" s="12">
        <f t="shared" si="319"/>
        <v>0</v>
      </c>
      <c r="Y1132" s="10">
        <v>21</v>
      </c>
      <c r="Z1132" s="30"/>
      <c r="AB1132" s="46"/>
      <c r="AC1132" s="31"/>
      <c r="AD1132" s="31"/>
      <c r="AE1132" s="32">
        <f t="shared" si="320"/>
        <v>0</v>
      </c>
      <c r="AF1132" s="10"/>
      <c r="AG1132" s="10"/>
      <c r="AH1132" s="10"/>
      <c r="AI1132" s="12">
        <f t="shared" si="32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316"/>
        <v>0</v>
      </c>
      <c r="H1133" s="10"/>
      <c r="I1133" s="10"/>
      <c r="J1133" s="10"/>
      <c r="K1133" s="12">
        <f t="shared" si="317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18"/>
        <v>0</v>
      </c>
      <c r="T1133" s="10"/>
      <c r="U1133" s="10"/>
      <c r="V1133" s="10"/>
      <c r="W1133" s="12">
        <f t="shared" si="31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0"/>
        <v>0</v>
      </c>
      <c r="AF1133" s="10"/>
      <c r="AG1133" s="10"/>
      <c r="AH1133" s="10"/>
      <c r="AI1133" s="12">
        <f t="shared" si="32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16"/>
        <v>0</v>
      </c>
      <c r="H1134" s="10"/>
      <c r="I1134" s="10"/>
      <c r="J1134" s="12"/>
      <c r="K1134" s="12">
        <f t="shared" si="317"/>
        <v>0</v>
      </c>
      <c r="M1134" s="10">
        <v>23</v>
      </c>
      <c r="N1134" s="30"/>
      <c r="O1134" s="31"/>
      <c r="P1134" s="47"/>
      <c r="Q1134" s="31"/>
      <c r="S1134" s="32">
        <f t="shared" si="318"/>
        <v>0</v>
      </c>
      <c r="T1134" s="10"/>
      <c r="U1134" s="10"/>
      <c r="V1134" s="10"/>
      <c r="W1134" s="12">
        <f t="shared" si="319"/>
        <v>0</v>
      </c>
      <c r="Y1134" s="10">
        <v>23</v>
      </c>
      <c r="Z1134" s="30"/>
      <c r="AB1134" s="47"/>
      <c r="AC1134" s="31"/>
      <c r="AE1134" s="32">
        <f t="shared" si="320"/>
        <v>0</v>
      </c>
      <c r="AF1134" s="10"/>
      <c r="AG1134" s="10"/>
      <c r="AH1134" s="10"/>
      <c r="AI1134" s="12">
        <f t="shared" si="32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316"/>
        <v>0</v>
      </c>
      <c r="H1135" s="10"/>
      <c r="I1135" s="10"/>
      <c r="J1135" s="10"/>
      <c r="K1135" s="12">
        <f t="shared" si="317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18"/>
        <v>0</v>
      </c>
      <c r="T1135" s="10"/>
      <c r="U1135" s="10"/>
      <c r="V1135" s="10"/>
      <c r="W1135" s="12">
        <f t="shared" si="31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0"/>
        <v>0</v>
      </c>
      <c r="AF1135" s="10"/>
      <c r="AG1135" s="10"/>
      <c r="AH1135" s="10"/>
      <c r="AI1135" s="12">
        <f t="shared" si="32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16"/>
        <v>0</v>
      </c>
      <c r="H1136" s="10"/>
      <c r="I1136" s="10"/>
      <c r="J1136" s="10"/>
      <c r="K1136" s="12">
        <f t="shared" si="31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18"/>
        <v>0</v>
      </c>
      <c r="T1136" s="10"/>
      <c r="U1136" s="10"/>
      <c r="V1136" s="10"/>
      <c r="W1136" s="12">
        <f t="shared" si="31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20"/>
        <v>0</v>
      </c>
      <c r="AF1136" s="10"/>
      <c r="AG1136" s="10"/>
      <c r="AH1136" s="10"/>
      <c r="AI1136" s="12">
        <f t="shared" si="32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316"/>
        <v>0</v>
      </c>
      <c r="H1137" s="10"/>
      <c r="I1137" s="10"/>
      <c r="J1137" s="10"/>
      <c r="K1137" s="12">
        <f t="shared" si="31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18"/>
        <v>0</v>
      </c>
      <c r="T1137" s="10"/>
      <c r="U1137" s="10"/>
      <c r="V1137" s="10"/>
      <c r="W1137" s="12">
        <f t="shared" si="31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20"/>
        <v>0</v>
      </c>
      <c r="AF1137" s="10"/>
      <c r="AG1137" s="10"/>
      <c r="AH1137" s="10"/>
      <c r="AI1137" s="12">
        <f t="shared" si="32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316"/>
        <v>0</v>
      </c>
      <c r="H1138" s="10"/>
      <c r="I1138" s="10"/>
      <c r="J1138" s="10"/>
      <c r="K1138" s="12">
        <f t="shared" si="317"/>
        <v>0</v>
      </c>
      <c r="M1138" s="10">
        <v>27</v>
      </c>
      <c r="N1138" s="30"/>
      <c r="P1138" s="47"/>
      <c r="Q1138" s="31"/>
      <c r="R1138" s="31"/>
      <c r="S1138" s="32">
        <f t="shared" si="318"/>
        <v>0</v>
      </c>
      <c r="T1138" s="10"/>
      <c r="U1138" s="10"/>
      <c r="V1138" s="10"/>
      <c r="W1138" s="12">
        <f t="shared" si="31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0"/>
        <v>0</v>
      </c>
      <c r="AF1138" s="10"/>
      <c r="AG1138" s="10"/>
      <c r="AH1138" s="10"/>
      <c r="AI1138" s="12">
        <f t="shared" si="32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16"/>
        <v>0</v>
      </c>
      <c r="H1139" s="10"/>
      <c r="I1139" s="10"/>
      <c r="J1139" s="10"/>
      <c r="K1139" s="12">
        <f t="shared" si="31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18"/>
        <v>0</v>
      </c>
      <c r="T1139" s="10"/>
      <c r="U1139" s="10"/>
      <c r="V1139" s="10"/>
      <c r="W1139" s="12">
        <f t="shared" si="31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0"/>
        <v>0</v>
      </c>
      <c r="AF1139" s="10"/>
      <c r="AG1139" s="10"/>
      <c r="AH1139" s="10"/>
      <c r="AI1139" s="12">
        <f t="shared" si="32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16"/>
        <v>0</v>
      </c>
      <c r="H1140" s="10"/>
      <c r="I1140" s="10"/>
      <c r="J1140" s="10"/>
      <c r="K1140" s="12">
        <f t="shared" si="31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18"/>
        <v>0</v>
      </c>
      <c r="T1140" s="10"/>
      <c r="U1140" s="10"/>
      <c r="V1140" s="10"/>
      <c r="W1140" s="12">
        <f t="shared" si="31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0"/>
        <v>0</v>
      </c>
      <c r="AF1140" s="10"/>
      <c r="AG1140" s="10"/>
      <c r="AH1140" s="10"/>
      <c r="AI1140" s="12">
        <f t="shared" si="32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16"/>
        <v>0</v>
      </c>
      <c r="H1141" s="10"/>
      <c r="I1141" s="10"/>
      <c r="J1141" s="10"/>
      <c r="K1141" s="12">
        <f t="shared" si="317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18"/>
        <v>0</v>
      </c>
      <c r="T1141" s="10"/>
      <c r="U1141" s="10"/>
      <c r="V1141" s="10"/>
      <c r="W1141" s="12">
        <f t="shared" si="31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20"/>
        <v>0</v>
      </c>
      <c r="AF1141" s="10"/>
      <c r="AG1141" s="10"/>
      <c r="AH1141" s="10"/>
      <c r="AI1141" s="12">
        <f t="shared" si="32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8"/>
      <c r="D1142" s="32"/>
      <c r="E1142" s="32"/>
      <c r="F1142" s="32"/>
      <c r="G1142" s="32">
        <f t="shared" si="316"/>
        <v>0</v>
      </c>
      <c r="H1142" s="10"/>
      <c r="I1142" s="10"/>
      <c r="J1142" s="10"/>
      <c r="K1142" s="12">
        <f t="shared" si="317"/>
        <v>0</v>
      </c>
      <c r="M1142" s="10">
        <v>31</v>
      </c>
      <c r="N1142" s="30"/>
      <c r="P1142" s="47"/>
      <c r="Q1142" s="31"/>
      <c r="R1142" s="31"/>
      <c r="S1142" s="32">
        <f t="shared" si="318"/>
        <v>0</v>
      </c>
      <c r="T1142" s="10"/>
      <c r="U1142" s="10"/>
      <c r="V1142" s="10"/>
      <c r="W1142" s="12">
        <f t="shared" si="31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20"/>
        <v>0</v>
      </c>
      <c r="AF1142" s="10"/>
      <c r="AG1142" s="10"/>
      <c r="AH1142" s="10"/>
      <c r="AI1142" s="12">
        <f t="shared" si="32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57"/>
      <c r="D1143" s="32"/>
      <c r="E1143" s="32"/>
      <c r="F1143" s="32"/>
      <c r="G1143" s="32">
        <f t="shared" si="316"/>
        <v>0</v>
      </c>
      <c r="H1143" s="10"/>
      <c r="I1143" s="10"/>
      <c r="J1143" s="10"/>
      <c r="K1143" s="12">
        <f t="shared" si="31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18"/>
        <v>0</v>
      </c>
      <c r="T1143" s="10"/>
      <c r="U1143" s="10"/>
      <c r="V1143" s="10"/>
      <c r="W1143" s="12">
        <f t="shared" si="31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0"/>
        <v>0</v>
      </c>
      <c r="AF1143" s="10"/>
      <c r="AG1143" s="10"/>
      <c r="AH1143" s="10"/>
      <c r="AI1143" s="12">
        <f t="shared" si="32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8"/>
      <c r="D1144" s="32"/>
      <c r="E1144" s="32"/>
      <c r="F1144" s="32"/>
      <c r="G1144" s="32">
        <f t="shared" si="316"/>
        <v>0</v>
      </c>
      <c r="H1144" s="10"/>
      <c r="I1144" s="10"/>
      <c r="J1144" s="10"/>
      <c r="K1144" s="12">
        <f t="shared" si="31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18"/>
        <v>0</v>
      </c>
      <c r="T1144" s="10"/>
      <c r="U1144" s="10"/>
      <c r="V1144" s="10"/>
      <c r="W1144" s="12">
        <f t="shared" si="31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0"/>
        <v>0</v>
      </c>
      <c r="AF1144" s="10"/>
      <c r="AG1144" s="10"/>
      <c r="AH1144" s="10"/>
      <c r="AI1144" s="12">
        <f t="shared" si="32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8"/>
      <c r="D1145" s="32"/>
      <c r="E1145" s="32"/>
      <c r="F1145" s="32"/>
      <c r="G1145" s="32">
        <f t="shared" si="316"/>
        <v>0</v>
      </c>
      <c r="H1145" s="10"/>
      <c r="I1145" s="10"/>
      <c r="J1145" s="10"/>
      <c r="K1145" s="12">
        <f t="shared" si="31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18"/>
        <v>0</v>
      </c>
      <c r="T1145" s="10"/>
      <c r="U1145" s="10"/>
      <c r="V1145" s="10"/>
      <c r="W1145" s="12">
        <f t="shared" si="31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ref="AE1145:AE1150" si="325">SUM(AB1145:AC1145)</f>
        <v>0</v>
      </c>
      <c r="AF1145" s="10"/>
      <c r="AG1145" s="10"/>
      <c r="AH1145" s="10"/>
      <c r="AI1145" s="12">
        <f t="shared" si="32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8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18"/>
        <v>0</v>
      </c>
      <c r="T1146" s="10"/>
      <c r="U1146" s="10"/>
      <c r="V1146" s="10"/>
      <c r="W1146" s="12">
        <f t="shared" si="31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5"/>
        <v>0</v>
      </c>
      <c r="AF1146" s="10"/>
      <c r="AG1146" s="10"/>
      <c r="AH1146" s="10"/>
      <c r="AI1146" s="12">
        <f t="shared" si="32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8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18"/>
        <v>0</v>
      </c>
      <c r="T1147" s="10"/>
      <c r="U1147" s="10"/>
      <c r="V1147" s="10"/>
      <c r="W1147" s="12">
        <f t="shared" si="31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5"/>
        <v>0</v>
      </c>
      <c r="AF1147" s="10"/>
      <c r="AG1147" s="10"/>
      <c r="AH1147" s="10"/>
      <c r="AI1147" s="12">
        <f t="shared" si="32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18"/>
        <v>0</v>
      </c>
      <c r="T1148" s="10"/>
      <c r="U1148" s="10"/>
      <c r="V1148" s="10"/>
      <c r="W1148" s="12">
        <f t="shared" si="31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5"/>
        <v>0</v>
      </c>
      <c r="AF1148" s="10"/>
      <c r="AG1148" s="10"/>
      <c r="AH1148" s="10"/>
      <c r="AI1148" s="12">
        <f t="shared" si="32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18"/>
        <v>0</v>
      </c>
      <c r="T1149" s="10"/>
      <c r="U1149" s="10"/>
      <c r="V1149" s="10"/>
      <c r="W1149" s="12">
        <f t="shared" si="31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5"/>
        <v>0</v>
      </c>
      <c r="AF1149" s="10"/>
      <c r="AG1149" s="10"/>
      <c r="AH1149" s="10"/>
      <c r="AI1149" s="12">
        <f t="shared" si="32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18"/>
        <v>0</v>
      </c>
      <c r="T1150" s="10"/>
      <c r="U1150" s="10"/>
      <c r="V1150" s="10"/>
      <c r="W1150" s="12">
        <f t="shared" si="31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5"/>
        <v>0</v>
      </c>
      <c r="AF1150" s="10"/>
      <c r="AG1150" s="10"/>
      <c r="AH1150" s="10"/>
      <c r="AI1150" s="12">
        <f t="shared" si="32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1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26">SUM(D1152:E1152)</f>
        <v>0</v>
      </c>
      <c r="H1152" s="10"/>
      <c r="I1152" s="10"/>
      <c r="J1152" s="10"/>
      <c r="K1152" s="12">
        <f t="shared" ref="K1152" si="32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28">SUM(P1152:Q1152)</f>
        <v>0</v>
      </c>
      <c r="T1152" s="10"/>
      <c r="U1152" s="10"/>
      <c r="V1152" s="10"/>
      <c r="W1152" s="12">
        <f t="shared" si="319"/>
        <v>0</v>
      </c>
      <c r="Y1152" s="10"/>
      <c r="Z1152" s="30"/>
      <c r="AA1152" s="31"/>
      <c r="AB1152" s="47"/>
      <c r="AC1152" s="31"/>
      <c r="AD1152" s="31"/>
      <c r="AE1152" s="32">
        <f t="shared" ref="AE1152" si="329">SUM(AB1152:AC1152)</f>
        <v>0</v>
      </c>
      <c r="AF1152" s="10"/>
      <c r="AG1152" s="10"/>
      <c r="AH1152" s="10"/>
      <c r="AI1152" s="12">
        <f t="shared" si="32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1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278679</v>
      </c>
      <c r="E1155" s="38">
        <f t="shared" ref="E1155:F1155" si="330">SUM(E1112:E1152)</f>
        <v>-1800</v>
      </c>
      <c r="F1155" s="38">
        <f t="shared" si="330"/>
        <v>0</v>
      </c>
      <c r="G1155" s="38">
        <f>SUM(G1112:G1154)</f>
        <v>276879</v>
      </c>
      <c r="H1155" s="4"/>
      <c r="I1155" s="39">
        <f>SUM(I1112:I1154)</f>
        <v>7737</v>
      </c>
      <c r="J1155" s="39">
        <f>SUM(J1112:J1154)</f>
        <v>-2492.25</v>
      </c>
      <c r="K1155" s="40">
        <f>SUM(K1112:K1154)</f>
        <v>282123.75</v>
      </c>
      <c r="N1155" s="57"/>
      <c r="O1155" s="57"/>
      <c r="P1155" s="38">
        <f>SUM(P1112:P1154)</f>
        <v>251052.5</v>
      </c>
      <c r="Q1155" s="38">
        <f>SUM(Q1112:Q1136)</f>
        <v>-2244</v>
      </c>
      <c r="R1155" s="38">
        <f>SUM(R1112:R1136)</f>
        <v>0</v>
      </c>
      <c r="S1155" s="38">
        <f>SUM(S1112:S1154)</f>
        <v>248808.5</v>
      </c>
      <c r="T1155" s="4"/>
      <c r="U1155" s="41">
        <f>SUM(U1112:U1154)</f>
        <v>624</v>
      </c>
      <c r="V1155" s="41">
        <f>SUM(V1112:V1136)</f>
        <v>-5247</v>
      </c>
      <c r="W1155" s="42">
        <f>SUM(W1112:W1154)</f>
        <v>244185.5</v>
      </c>
      <c r="Z1155" s="57"/>
      <c r="AA1155" s="57"/>
      <c r="AB1155" s="38">
        <f>SUM(AB1112:AB1154)</f>
        <v>254427</v>
      </c>
      <c r="AC1155" s="38">
        <f>SUM(AC1112:AC1136)</f>
        <v>-1422</v>
      </c>
      <c r="AD1155" s="38">
        <f>SUM(AD1112:AD1136)</f>
        <v>0</v>
      </c>
      <c r="AE1155" s="38">
        <f>SUM(AE1112:AE1154)</f>
        <v>253005</v>
      </c>
      <c r="AF1155" s="4"/>
      <c r="AG1155" s="41">
        <f>SUM(AG1112:AG1154)</f>
        <v>189</v>
      </c>
      <c r="AH1155" s="41">
        <f>SUM(AH1112:AH1136)</f>
        <v>0</v>
      </c>
      <c r="AI1155" s="42">
        <f>SUM(AI1112:AI1154)</f>
        <v>253194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49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49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49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103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103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98</v>
      </c>
      <c r="W1163" s="24"/>
      <c r="Y1163" s="21" t="s">
        <v>103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54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1" t="s">
        <v>17</v>
      </c>
      <c r="E1165" s="121"/>
      <c r="F1165" s="114"/>
      <c r="G1165" s="27"/>
      <c r="I1165" s="124" t="s">
        <v>18</v>
      </c>
      <c r="J1165" s="125"/>
      <c r="K1165" s="122" t="s">
        <v>19</v>
      </c>
      <c r="N1165" s="25"/>
      <c r="O1165" s="26"/>
      <c r="P1165" s="121" t="s">
        <v>17</v>
      </c>
      <c r="Q1165" s="121"/>
      <c r="R1165" s="114"/>
      <c r="S1165" s="27"/>
      <c r="U1165" s="124" t="s">
        <v>18</v>
      </c>
      <c r="V1165" s="125"/>
      <c r="W1165" s="122" t="s">
        <v>19</v>
      </c>
      <c r="Z1165" s="25"/>
      <c r="AA1165" s="26"/>
      <c r="AB1165" s="121" t="s">
        <v>17</v>
      </c>
      <c r="AC1165" s="121"/>
      <c r="AD1165" s="114"/>
      <c r="AE1165" s="27"/>
      <c r="AG1165" s="124" t="s">
        <v>18</v>
      </c>
      <c r="AH1165" s="125"/>
      <c r="AI1165" s="122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3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3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3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104</v>
      </c>
      <c r="C1167" s="88">
        <v>8752</v>
      </c>
      <c r="D1167" s="32">
        <f>650*7</f>
        <v>4550</v>
      </c>
      <c r="E1167" s="32">
        <v>-42</v>
      </c>
      <c r="F1167" s="32"/>
      <c r="G1167" s="32">
        <f t="shared" ref="G1167:G1200" si="331">SUM(D1167:E1167)</f>
        <v>4508</v>
      </c>
      <c r="H1167" s="12"/>
      <c r="I1167" s="12"/>
      <c r="J1167" s="12"/>
      <c r="K1167" s="12">
        <f t="shared" ref="K1167:K1200" si="332">SUM(G1167:J1167)</f>
        <v>4508</v>
      </c>
      <c r="M1167" s="10">
        <v>1</v>
      </c>
      <c r="N1167" s="30" t="s">
        <v>104</v>
      </c>
      <c r="O1167" s="31">
        <v>8729</v>
      </c>
      <c r="P1167" s="32">
        <f>650*10+622*4+9.5*14</f>
        <v>9121</v>
      </c>
      <c r="Q1167" s="32"/>
      <c r="R1167" s="32"/>
      <c r="S1167" s="32">
        <f>SUM(P1167:Q1167)</f>
        <v>9121</v>
      </c>
      <c r="T1167" s="12"/>
      <c r="U1167" s="12"/>
      <c r="V1167" s="12"/>
      <c r="W1167" s="12">
        <f>SUM(S1167:V1167)</f>
        <v>9121</v>
      </c>
      <c r="Y1167" s="10">
        <v>1</v>
      </c>
      <c r="Z1167" s="30" t="s">
        <v>104</v>
      </c>
      <c r="AA1167" s="31">
        <v>8675</v>
      </c>
      <c r="AB1167" s="32">
        <f>650*324+670*20+622*30+229*14</f>
        <v>245866</v>
      </c>
      <c r="AC1167" s="32">
        <v>-2244</v>
      </c>
      <c r="AD1167" s="32"/>
      <c r="AE1167" s="32">
        <f>SUM(AB1167:AC1167)</f>
        <v>243622</v>
      </c>
      <c r="AF1167" s="12"/>
      <c r="AG1167" s="12"/>
      <c r="AH1167" s="12"/>
      <c r="AI1167" s="12">
        <f>SUM(AE1167:AH1167)</f>
        <v>243622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104</v>
      </c>
      <c r="C1168" s="31">
        <f>C1167+1</f>
        <v>8753</v>
      </c>
      <c r="D1168" s="32">
        <f>650*10+9.5*10</f>
        <v>6595</v>
      </c>
      <c r="E1168" s="32"/>
      <c r="F1168" s="32"/>
      <c r="G1168" s="32">
        <f t="shared" si="331"/>
        <v>6595</v>
      </c>
      <c r="H1168" s="12"/>
      <c r="I1168" s="12"/>
      <c r="J1168" s="12"/>
      <c r="K1168" s="12">
        <f t="shared" si="332"/>
        <v>6595</v>
      </c>
      <c r="M1168" s="10">
        <v>2</v>
      </c>
      <c r="N1168" s="30" t="s">
        <v>104</v>
      </c>
      <c r="O1168" s="31">
        <f>O1167+1</f>
        <v>8730</v>
      </c>
      <c r="P1168" s="32">
        <f>650*6+622+9.5*7</f>
        <v>4588.5</v>
      </c>
      <c r="Q1168" s="32"/>
      <c r="R1168" s="32"/>
      <c r="S1168" s="32">
        <f t="shared" ref="S1168:S1205" si="333">SUM(P1168:Q1168)</f>
        <v>4588.5</v>
      </c>
      <c r="T1168" s="12"/>
      <c r="U1168" s="12"/>
      <c r="V1168" s="12"/>
      <c r="W1168" s="12">
        <f t="shared" ref="W1168:W1208" si="334">SUM(S1168:V1168)</f>
        <v>4588.5</v>
      </c>
      <c r="Y1168" s="10">
        <v>2</v>
      </c>
      <c r="Z1168" s="30" t="s">
        <v>104</v>
      </c>
      <c r="AA1168" s="31">
        <f>AA1167+1</f>
        <v>8676</v>
      </c>
      <c r="AB1168" s="32">
        <f>650*42+622*8+229*2</f>
        <v>32734</v>
      </c>
      <c r="AC1168" s="32">
        <v>-300</v>
      </c>
      <c r="AD1168" s="32"/>
      <c r="AE1168" s="32">
        <f t="shared" ref="AE1168:AE1199" si="335">SUM(AB1168:AC1168)</f>
        <v>32434</v>
      </c>
      <c r="AF1168" s="12"/>
      <c r="AG1168" s="12">
        <v>156</v>
      </c>
      <c r="AH1168" s="12"/>
      <c r="AI1168" s="12">
        <f t="shared" ref="AI1168:AI1208" si="336">SUM(AE1168:AH1168)</f>
        <v>32590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104</v>
      </c>
      <c r="C1169" s="31">
        <f t="shared" ref="C1169:C1178" si="337">C1168+1</f>
        <v>8754</v>
      </c>
      <c r="D1169" s="33">
        <f>650*8+670*2+622*3+9.5*11</f>
        <v>8510.5</v>
      </c>
      <c r="E1169" s="33"/>
      <c r="F1169" s="33"/>
      <c r="G1169" s="33">
        <f t="shared" si="331"/>
        <v>8510.5</v>
      </c>
      <c r="H1169" s="34"/>
      <c r="I1169" s="34"/>
      <c r="J1169" s="34"/>
      <c r="K1169" s="34">
        <f t="shared" si="332"/>
        <v>8510.5</v>
      </c>
      <c r="M1169" s="10">
        <v>3</v>
      </c>
      <c r="N1169" s="30" t="s">
        <v>104</v>
      </c>
      <c r="O1169" s="31">
        <f t="shared" ref="O1169:O1181" si="338">O1168+1</f>
        <v>8731</v>
      </c>
      <c r="P1169" s="32">
        <f>650*36+9.5*6</f>
        <v>23457</v>
      </c>
      <c r="Q1169" s="32"/>
      <c r="R1169" s="32"/>
      <c r="S1169" s="32">
        <f t="shared" si="333"/>
        <v>23457</v>
      </c>
      <c r="T1169" s="12"/>
      <c r="U1169" s="12"/>
      <c r="V1169" s="12"/>
      <c r="W1169" s="12">
        <f t="shared" si="334"/>
        <v>23457</v>
      </c>
      <c r="Y1169" s="10">
        <v>3</v>
      </c>
      <c r="Z1169" s="30" t="s">
        <v>104</v>
      </c>
      <c r="AA1169" s="31">
        <f t="shared" ref="AA1169:AA1171" si="339">AA1168+1</f>
        <v>8677</v>
      </c>
      <c r="AB1169" s="33">
        <f>650*42+229*2</f>
        <v>27758</v>
      </c>
      <c r="AC1169" s="33"/>
      <c r="AD1169" s="32"/>
      <c r="AE1169" s="32">
        <f t="shared" si="335"/>
        <v>27758</v>
      </c>
      <c r="AF1169" s="12"/>
      <c r="AG1169" s="12">
        <v>189</v>
      </c>
      <c r="AH1169" s="12"/>
      <c r="AI1169" s="12">
        <f t="shared" si="336"/>
        <v>27947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104</v>
      </c>
      <c r="C1170" s="31">
        <f t="shared" si="337"/>
        <v>8755</v>
      </c>
      <c r="D1170" s="32">
        <f>650*8+670+622*2+9.5*10</f>
        <v>7209</v>
      </c>
      <c r="E1170" s="32"/>
      <c r="F1170" s="32"/>
      <c r="G1170" s="32">
        <f t="shared" si="331"/>
        <v>7209</v>
      </c>
      <c r="H1170" s="12"/>
      <c r="I1170" s="12"/>
      <c r="J1170" s="12"/>
      <c r="K1170" s="12">
        <f t="shared" si="332"/>
        <v>7209</v>
      </c>
      <c r="M1170" s="10">
        <v>4</v>
      </c>
      <c r="N1170" s="30" t="s">
        <v>104</v>
      </c>
      <c r="O1170" s="31">
        <f t="shared" si="338"/>
        <v>8732</v>
      </c>
      <c r="P1170" s="32">
        <f>650*50+622*6</f>
        <v>36232</v>
      </c>
      <c r="Q1170" s="32"/>
      <c r="R1170" s="32"/>
      <c r="S1170" s="32">
        <f t="shared" si="333"/>
        <v>36232</v>
      </c>
      <c r="T1170" s="12"/>
      <c r="U1170" s="12"/>
      <c r="V1170" s="12"/>
      <c r="W1170" s="12">
        <f t="shared" si="334"/>
        <v>36232</v>
      </c>
      <c r="Y1170" s="10">
        <v>4</v>
      </c>
      <c r="Z1170" s="30" t="s">
        <v>104</v>
      </c>
      <c r="AA1170" s="31">
        <f t="shared" si="339"/>
        <v>8678</v>
      </c>
      <c r="AB1170" s="32">
        <f>622+19</f>
        <v>641</v>
      </c>
      <c r="AC1170" s="32"/>
      <c r="AD1170" s="32"/>
      <c r="AE1170" s="32">
        <f t="shared" si="335"/>
        <v>641</v>
      </c>
      <c r="AF1170" s="12"/>
      <c r="AH1170" s="12">
        <v>-78</v>
      </c>
      <c r="AI1170" s="12">
        <f t="shared" si="336"/>
        <v>563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104</v>
      </c>
      <c r="C1171" s="31">
        <f t="shared" si="337"/>
        <v>8756</v>
      </c>
      <c r="D1171" s="32">
        <f>650*50+622*5+229*2</f>
        <v>36068</v>
      </c>
      <c r="E1171" s="32"/>
      <c r="F1171" s="32"/>
      <c r="G1171" s="32">
        <f t="shared" si="331"/>
        <v>36068</v>
      </c>
      <c r="H1171" s="12"/>
      <c r="I1171" s="12"/>
      <c r="J1171" s="12"/>
      <c r="K1171" s="12">
        <f t="shared" si="332"/>
        <v>36068</v>
      </c>
      <c r="M1171" s="10">
        <v>5</v>
      </c>
      <c r="N1171" s="30" t="s">
        <v>104</v>
      </c>
      <c r="O1171" s="31">
        <f t="shared" si="338"/>
        <v>8733</v>
      </c>
      <c r="P1171" s="32">
        <f>650*27</f>
        <v>17550</v>
      </c>
      <c r="Q1171" s="32"/>
      <c r="R1171" s="32"/>
      <c r="S1171" s="32">
        <f t="shared" si="333"/>
        <v>17550</v>
      </c>
      <c r="T1171" s="12"/>
      <c r="U1171" s="12"/>
      <c r="V1171" s="12"/>
      <c r="W1171" s="12">
        <f t="shared" si="334"/>
        <v>17550</v>
      </c>
      <c r="Y1171" s="10">
        <v>5</v>
      </c>
      <c r="Z1171" s="30" t="s">
        <v>104</v>
      </c>
      <c r="AA1171" s="31">
        <f t="shared" si="339"/>
        <v>8679</v>
      </c>
      <c r="AB1171" s="32">
        <f>650*19+622*10</f>
        <v>18570</v>
      </c>
      <c r="AC1171" s="32"/>
      <c r="AD1171" s="32"/>
      <c r="AE1171" s="32">
        <f t="shared" si="335"/>
        <v>18570</v>
      </c>
      <c r="AF1171" s="12"/>
      <c r="AG1171" s="12">
        <v>16.5</v>
      </c>
      <c r="AH1171" s="12"/>
      <c r="AI1171" s="12">
        <f t="shared" si="336"/>
        <v>18586.5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104</v>
      </c>
      <c r="C1172" s="31">
        <f t="shared" si="337"/>
        <v>8757</v>
      </c>
      <c r="D1172" s="32">
        <f>650*10+670+622*12+872+229</f>
        <v>15735</v>
      </c>
      <c r="E1172" s="32"/>
      <c r="F1172" s="32"/>
      <c r="G1172" s="32">
        <f t="shared" si="331"/>
        <v>15735</v>
      </c>
      <c r="H1172" s="12"/>
      <c r="I1172" s="12"/>
      <c r="J1172" s="12"/>
      <c r="K1172" s="12">
        <f t="shared" si="332"/>
        <v>15735</v>
      </c>
      <c r="M1172" s="10">
        <v>6</v>
      </c>
      <c r="N1172" s="30" t="s">
        <v>104</v>
      </c>
      <c r="O1172" s="31">
        <f t="shared" si="338"/>
        <v>8734</v>
      </c>
      <c r="P1172" s="32">
        <f>650*20+700+622*4</f>
        <v>16188</v>
      </c>
      <c r="Q1172" s="32"/>
      <c r="R1172" s="32"/>
      <c r="S1172" s="32">
        <f t="shared" si="333"/>
        <v>16188</v>
      </c>
      <c r="T1172" s="12"/>
      <c r="U1172" s="12">
        <v>111</v>
      </c>
      <c r="V1172" s="10"/>
      <c r="W1172" s="12">
        <f t="shared" si="334"/>
        <v>16299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35"/>
        <v>0</v>
      </c>
      <c r="AF1172" s="12"/>
      <c r="AG1172" s="12"/>
      <c r="AH1172" s="10"/>
      <c r="AI1172" s="12">
        <f t="shared" si="336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104</v>
      </c>
      <c r="C1173" s="31">
        <f t="shared" si="337"/>
        <v>8758</v>
      </c>
      <c r="D1173" s="32">
        <f>650*8</f>
        <v>5200</v>
      </c>
      <c r="E1173" s="32"/>
      <c r="F1173" s="32"/>
      <c r="G1173" s="32">
        <f t="shared" si="331"/>
        <v>5200</v>
      </c>
      <c r="H1173" s="12"/>
      <c r="I1173" s="12"/>
      <c r="J1173" s="12"/>
      <c r="K1173" s="12">
        <f t="shared" si="332"/>
        <v>5200</v>
      </c>
      <c r="M1173" s="10">
        <v>7</v>
      </c>
      <c r="N1173" s="30" t="s">
        <v>104</v>
      </c>
      <c r="O1173" s="31">
        <f t="shared" si="338"/>
        <v>8735</v>
      </c>
      <c r="P1173" s="32">
        <f>650*15+622*2+9.5*17</f>
        <v>11155.5</v>
      </c>
      <c r="Q1173" s="32"/>
      <c r="R1173" s="32"/>
      <c r="S1173" s="32">
        <f t="shared" si="333"/>
        <v>11155.5</v>
      </c>
      <c r="T1173" s="12"/>
      <c r="U1173" s="12"/>
      <c r="V1173" s="12"/>
      <c r="W1173" s="12">
        <f t="shared" si="334"/>
        <v>11155.5</v>
      </c>
      <c r="Y1173" s="10">
        <v>7</v>
      </c>
      <c r="Z1173" s="30"/>
      <c r="AA1173" s="31"/>
      <c r="AB1173" s="32"/>
      <c r="AC1173" s="32"/>
      <c r="AD1173" s="32"/>
      <c r="AE1173" s="32">
        <f t="shared" si="335"/>
        <v>0</v>
      </c>
      <c r="AF1173" s="12"/>
      <c r="AG1173" s="58"/>
      <c r="AH1173" s="12"/>
      <c r="AI1173" s="12">
        <f t="shared" si="33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104</v>
      </c>
      <c r="C1174" s="31">
        <f t="shared" si="337"/>
        <v>8759</v>
      </c>
      <c r="D1174" s="32">
        <f>622*5</f>
        <v>3110</v>
      </c>
      <c r="E1174" s="32"/>
      <c r="F1174" s="32"/>
      <c r="G1174" s="32">
        <f t="shared" si="331"/>
        <v>3110</v>
      </c>
      <c r="H1174" s="12"/>
      <c r="I1174" s="12"/>
      <c r="J1174" s="12"/>
      <c r="K1174" s="12">
        <f t="shared" si="332"/>
        <v>3110</v>
      </c>
      <c r="M1174" s="10">
        <v>8</v>
      </c>
      <c r="N1174" s="30" t="s">
        <v>104</v>
      </c>
      <c r="O1174" s="31">
        <f t="shared" si="338"/>
        <v>8736</v>
      </c>
      <c r="P1174" s="32">
        <f>650+9.5</f>
        <v>659.5</v>
      </c>
      <c r="Q1174" s="32"/>
      <c r="R1174" s="32"/>
      <c r="S1174" s="32">
        <f t="shared" si="333"/>
        <v>659.5</v>
      </c>
      <c r="T1174" s="12"/>
      <c r="U1174" s="12"/>
      <c r="V1174" s="12"/>
      <c r="W1174" s="12">
        <f t="shared" si="334"/>
        <v>659.5</v>
      </c>
      <c r="Y1174" s="10">
        <v>8</v>
      </c>
      <c r="Z1174" s="30"/>
      <c r="AA1174" s="31"/>
      <c r="AB1174" s="32"/>
      <c r="AC1174" s="32"/>
      <c r="AE1174" s="32">
        <f t="shared" si="335"/>
        <v>0</v>
      </c>
      <c r="AF1174" s="12"/>
      <c r="AG1174" s="12"/>
      <c r="AH1174" s="12"/>
      <c r="AI1174" s="12">
        <f t="shared" si="33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104</v>
      </c>
      <c r="C1175" s="31">
        <f t="shared" si="337"/>
        <v>8760</v>
      </c>
      <c r="D1175" s="32">
        <f>670+622*5+9.5*5</f>
        <v>3827.5</v>
      </c>
      <c r="E1175" s="32"/>
      <c r="F1175" s="32"/>
      <c r="G1175" s="32">
        <f t="shared" si="331"/>
        <v>3827.5</v>
      </c>
      <c r="H1175" s="12"/>
      <c r="I1175" s="12"/>
      <c r="J1175" s="12"/>
      <c r="K1175" s="12">
        <f t="shared" si="332"/>
        <v>3827.5</v>
      </c>
      <c r="M1175" s="10">
        <v>9</v>
      </c>
      <c r="N1175" s="30" t="s">
        <v>104</v>
      </c>
      <c r="O1175" s="31">
        <f t="shared" si="338"/>
        <v>8737</v>
      </c>
      <c r="P1175" s="32">
        <f>650*11+700+622*5</f>
        <v>10960</v>
      </c>
      <c r="Q1175" s="32"/>
      <c r="R1175" s="32"/>
      <c r="S1175" s="32">
        <f t="shared" si="333"/>
        <v>10960</v>
      </c>
      <c r="T1175" s="12"/>
      <c r="U1175" s="12"/>
      <c r="V1175" s="12"/>
      <c r="W1175" s="12">
        <f t="shared" si="334"/>
        <v>10960</v>
      </c>
      <c r="Y1175" s="10">
        <v>9</v>
      </c>
      <c r="Z1175" s="30"/>
      <c r="AA1175" s="31"/>
      <c r="AB1175" s="32"/>
      <c r="AC1175" s="32"/>
      <c r="AD1175" s="32"/>
      <c r="AE1175" s="32">
        <f t="shared" si="335"/>
        <v>0</v>
      </c>
      <c r="AF1175" s="12"/>
      <c r="AH1175" s="12"/>
      <c r="AI1175" s="12">
        <f t="shared" si="33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 t="s">
        <v>104</v>
      </c>
      <c r="C1176" s="31">
        <f t="shared" si="337"/>
        <v>8761</v>
      </c>
      <c r="D1176" s="32">
        <f>650*60+622*10+229*2</f>
        <v>45678</v>
      </c>
      <c r="E1176" s="32"/>
      <c r="F1176" s="32"/>
      <c r="G1176" s="32">
        <f t="shared" si="331"/>
        <v>45678</v>
      </c>
      <c r="H1176" s="12"/>
      <c r="I1176" s="12"/>
      <c r="J1176" s="12"/>
      <c r="K1176" s="12">
        <f t="shared" si="332"/>
        <v>45678</v>
      </c>
      <c r="M1176" s="10">
        <v>10</v>
      </c>
      <c r="N1176" s="30" t="s">
        <v>104</v>
      </c>
      <c r="O1176" s="31">
        <f t="shared" si="338"/>
        <v>8738</v>
      </c>
      <c r="P1176" s="32">
        <f>650*13+622</f>
        <v>9072</v>
      </c>
      <c r="Q1176" s="32"/>
      <c r="R1176" s="32"/>
      <c r="S1176" s="32">
        <f t="shared" si="333"/>
        <v>9072</v>
      </c>
      <c r="T1176" s="12"/>
      <c r="U1176" s="12"/>
      <c r="V1176" s="12"/>
      <c r="W1176" s="12">
        <f t="shared" si="334"/>
        <v>9072</v>
      </c>
      <c r="Y1176" s="10">
        <v>10</v>
      </c>
      <c r="Z1176" s="30"/>
      <c r="AA1176" s="31"/>
      <c r="AB1176" s="32"/>
      <c r="AC1176" s="32"/>
      <c r="AD1176" s="32"/>
      <c r="AE1176" s="32">
        <f t="shared" si="335"/>
        <v>0</v>
      </c>
      <c r="AF1176" s="12"/>
      <c r="AG1176" s="12"/>
      <c r="AH1176" s="12"/>
      <c r="AI1176" s="12">
        <f t="shared" si="33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 t="s">
        <v>104</v>
      </c>
      <c r="C1177" s="31">
        <f t="shared" si="337"/>
        <v>8762</v>
      </c>
      <c r="D1177" s="32">
        <f>650*59+670*5+622*30+912*2+500*2</f>
        <v>63184</v>
      </c>
      <c r="E1177" s="32"/>
      <c r="F1177" s="32"/>
      <c r="G1177" s="32">
        <f t="shared" si="331"/>
        <v>63184</v>
      </c>
      <c r="H1177" s="12"/>
      <c r="I1177" s="12">
        <f>555+18</f>
        <v>573</v>
      </c>
      <c r="J1177" s="12"/>
      <c r="K1177" s="12">
        <f t="shared" si="332"/>
        <v>63757</v>
      </c>
      <c r="M1177" s="10">
        <v>11</v>
      </c>
      <c r="N1177" s="30" t="s">
        <v>104</v>
      </c>
      <c r="O1177" s="31">
        <f t="shared" si="338"/>
        <v>8739</v>
      </c>
      <c r="P1177" s="32">
        <f>650*8+9.5*8</f>
        <v>5276</v>
      </c>
      <c r="Q1177" s="32"/>
      <c r="R1177" s="32"/>
      <c r="S1177" s="32">
        <f t="shared" si="333"/>
        <v>5276</v>
      </c>
      <c r="T1177" s="12"/>
      <c r="U1177" s="12"/>
      <c r="V1177" s="12"/>
      <c r="W1177" s="12">
        <f t="shared" si="334"/>
        <v>5276</v>
      </c>
      <c r="Y1177" s="10">
        <v>11</v>
      </c>
      <c r="Z1177" s="30"/>
      <c r="AA1177" s="31"/>
      <c r="AB1177" s="32"/>
      <c r="AC1177" s="32"/>
      <c r="AD1177" s="32"/>
      <c r="AE1177" s="32">
        <f t="shared" si="335"/>
        <v>0</v>
      </c>
      <c r="AF1177" s="12"/>
      <c r="AG1177" s="12"/>
      <c r="AH1177" s="12"/>
      <c r="AI1177" s="12">
        <f t="shared" si="33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 t="s">
        <v>104</v>
      </c>
      <c r="C1178" s="31">
        <f t="shared" si="337"/>
        <v>8763</v>
      </c>
      <c r="D1178" s="32">
        <f>650*3</f>
        <v>1950</v>
      </c>
      <c r="E1178" s="32"/>
      <c r="F1178" s="32"/>
      <c r="G1178" s="32">
        <f t="shared" si="331"/>
        <v>1950</v>
      </c>
      <c r="H1178" s="12"/>
      <c r="I1178" s="12"/>
      <c r="J1178" s="10">
        <f>-111*7</f>
        <v>-777</v>
      </c>
      <c r="K1178" s="12">
        <f t="shared" si="332"/>
        <v>1173</v>
      </c>
      <c r="M1178" s="10">
        <v>12</v>
      </c>
      <c r="N1178" s="30" t="s">
        <v>104</v>
      </c>
      <c r="O1178" s="31">
        <f t="shared" si="338"/>
        <v>8740</v>
      </c>
      <c r="P1178" s="32">
        <f>650*3</f>
        <v>1950</v>
      </c>
      <c r="Q1178" s="32"/>
      <c r="R1178" s="32"/>
      <c r="S1178" s="32">
        <f t="shared" si="333"/>
        <v>1950</v>
      </c>
      <c r="T1178" s="12"/>
      <c r="U1178" s="12"/>
      <c r="V1178" s="12"/>
      <c r="W1178" s="12">
        <f t="shared" si="334"/>
        <v>1950</v>
      </c>
      <c r="Y1178" s="10">
        <v>12</v>
      </c>
      <c r="Z1178" s="30"/>
      <c r="AB1178" s="32"/>
      <c r="AC1178" s="32"/>
      <c r="AD1178" s="32"/>
      <c r="AE1178" s="32">
        <f t="shared" si="335"/>
        <v>0</v>
      </c>
      <c r="AF1178" s="12"/>
      <c r="AG1178" s="12"/>
      <c r="AH1178" s="12"/>
      <c r="AI1178" s="12">
        <f t="shared" si="33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11" t="s">
        <v>27</v>
      </c>
      <c r="D1179" s="32"/>
      <c r="E1179" s="32"/>
      <c r="F1179" s="32"/>
      <c r="G1179" s="32">
        <f t="shared" si="331"/>
        <v>0</v>
      </c>
      <c r="H1179" s="12"/>
      <c r="I1179" s="12"/>
      <c r="J1179" s="12"/>
      <c r="K1179" s="12">
        <f t="shared" si="332"/>
        <v>0</v>
      </c>
      <c r="M1179" s="10">
        <v>13</v>
      </c>
      <c r="N1179" s="30" t="s">
        <v>104</v>
      </c>
      <c r="O1179" s="31">
        <f t="shared" si="338"/>
        <v>8741</v>
      </c>
      <c r="P1179" s="32">
        <f>650*16+622*5+1175+872+650</f>
        <v>16207</v>
      </c>
      <c r="Q1179" s="32"/>
      <c r="R1179" s="32"/>
      <c r="S1179" s="32">
        <f t="shared" si="333"/>
        <v>16207</v>
      </c>
      <c r="T1179" s="12"/>
      <c r="U1179" s="12"/>
      <c r="V1179" s="12"/>
      <c r="W1179" s="12">
        <f t="shared" si="334"/>
        <v>16207</v>
      </c>
      <c r="Y1179" s="10">
        <v>13</v>
      </c>
      <c r="Z1179" s="30"/>
      <c r="AA1179" s="31"/>
      <c r="AB1179" s="32"/>
      <c r="AC1179" s="32"/>
      <c r="AD1179" s="32"/>
      <c r="AE1179" s="32">
        <f t="shared" si="335"/>
        <v>0</v>
      </c>
      <c r="AF1179" s="12"/>
      <c r="AG1179" s="12"/>
      <c r="AH1179" s="12"/>
      <c r="AI1179" s="12">
        <f t="shared" si="33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331"/>
        <v>0</v>
      </c>
      <c r="H1180" s="12"/>
      <c r="I1180" s="12"/>
      <c r="J1180" s="12"/>
      <c r="K1180" s="12">
        <f t="shared" si="332"/>
        <v>0</v>
      </c>
      <c r="M1180" s="10">
        <v>14</v>
      </c>
      <c r="N1180" s="30" t="s">
        <v>104</v>
      </c>
      <c r="O1180" s="31">
        <f t="shared" si="338"/>
        <v>8742</v>
      </c>
      <c r="P1180" s="32">
        <f>650*2</f>
        <v>1300</v>
      </c>
      <c r="Q1180" s="32"/>
      <c r="R1180" s="32"/>
      <c r="S1180" s="32">
        <f t="shared" si="333"/>
        <v>1300</v>
      </c>
      <c r="T1180" s="12"/>
      <c r="U1180" s="12"/>
      <c r="V1180" s="12"/>
      <c r="W1180" s="12">
        <f t="shared" si="334"/>
        <v>1300</v>
      </c>
      <c r="Y1180" s="10">
        <v>14</v>
      </c>
      <c r="Z1180" s="30"/>
      <c r="AA1180" s="31"/>
      <c r="AB1180" s="32"/>
      <c r="AC1180" s="32"/>
      <c r="AD1180" s="32"/>
      <c r="AE1180" s="32">
        <f t="shared" si="335"/>
        <v>0</v>
      </c>
      <c r="AF1180" s="12"/>
      <c r="AG1180" s="12"/>
      <c r="AH1180" s="12"/>
      <c r="AI1180" s="12">
        <f t="shared" si="33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331"/>
        <v>0</v>
      </c>
      <c r="H1181" s="12"/>
      <c r="I1181" s="12"/>
      <c r="J1181" s="12"/>
      <c r="K1181" s="12">
        <f t="shared" si="332"/>
        <v>0</v>
      </c>
      <c r="M1181" s="10">
        <v>15</v>
      </c>
      <c r="N1181" s="30" t="s">
        <v>104</v>
      </c>
      <c r="O1181" s="31">
        <f t="shared" si="338"/>
        <v>8743</v>
      </c>
      <c r="P1181" s="32">
        <f>650*9+622+9.5*10</f>
        <v>6567</v>
      </c>
      <c r="Q1181" s="32"/>
      <c r="R1181" s="32"/>
      <c r="S1181" s="32">
        <f t="shared" si="333"/>
        <v>6567</v>
      </c>
      <c r="T1181" s="12"/>
      <c r="U1181" s="12"/>
      <c r="V1181" s="12"/>
      <c r="W1181" s="12">
        <f t="shared" si="334"/>
        <v>6567</v>
      </c>
      <c r="Y1181" s="10">
        <v>15</v>
      </c>
      <c r="Z1181" s="30"/>
      <c r="AA1181" s="31"/>
      <c r="AB1181" s="32"/>
      <c r="AC1181" s="32"/>
      <c r="AD1181" s="32"/>
      <c r="AE1181" s="32">
        <f t="shared" si="335"/>
        <v>0</v>
      </c>
      <c r="AF1181" s="12"/>
      <c r="AG1181" s="12"/>
      <c r="AH1181" s="12"/>
      <c r="AI1181" s="12">
        <f t="shared" si="33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31"/>
      <c r="D1182" s="32"/>
      <c r="E1182" s="32"/>
      <c r="F1182" s="32"/>
      <c r="G1182" s="32">
        <f t="shared" si="331"/>
        <v>0</v>
      </c>
      <c r="H1182" s="12"/>
      <c r="I1182" s="12"/>
      <c r="J1182" s="12"/>
      <c r="K1182" s="12">
        <f t="shared" si="332"/>
        <v>0</v>
      </c>
      <c r="M1182" s="10">
        <v>16</v>
      </c>
      <c r="N1182" s="30"/>
      <c r="O1182" s="11" t="s">
        <v>27</v>
      </c>
      <c r="P1182" s="32"/>
      <c r="Q1182" s="32"/>
      <c r="R1182" s="32"/>
      <c r="S1182" s="32">
        <f t="shared" si="333"/>
        <v>0</v>
      </c>
      <c r="T1182" s="12"/>
      <c r="U1182" s="12"/>
      <c r="V1182" s="12"/>
      <c r="W1182" s="12">
        <f t="shared" si="334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335"/>
        <v>0</v>
      </c>
      <c r="AF1182" s="12"/>
      <c r="AG1182" s="12"/>
      <c r="AH1182" s="12"/>
      <c r="AI1182" s="12">
        <f t="shared" si="33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331"/>
        <v>0</v>
      </c>
      <c r="H1183" s="12"/>
      <c r="I1183" s="12"/>
      <c r="J1183" s="12"/>
      <c r="K1183" s="12">
        <f t="shared" si="33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33"/>
        <v>0</v>
      </c>
      <c r="T1183" s="12"/>
      <c r="U1183" s="12"/>
      <c r="V1183" s="12"/>
      <c r="W1183" s="12">
        <f t="shared" si="33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5"/>
        <v>0</v>
      </c>
      <c r="AF1183" s="12"/>
      <c r="AG1183" s="12"/>
      <c r="AH1183" s="12"/>
      <c r="AI1183" s="12">
        <f t="shared" si="33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31"/>
        <v>0</v>
      </c>
      <c r="H1184" s="12"/>
      <c r="I1184" s="12"/>
      <c r="J1184" s="12"/>
      <c r="K1184" s="12">
        <f t="shared" si="33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33"/>
        <v>0</v>
      </c>
      <c r="T1184" s="12"/>
      <c r="U1184" s="12"/>
      <c r="V1184" s="12"/>
      <c r="W1184" s="12">
        <f t="shared" si="33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5"/>
        <v>0</v>
      </c>
      <c r="AF1184" s="12"/>
      <c r="AG1184" s="12"/>
      <c r="AH1184" s="12"/>
      <c r="AI1184" s="12">
        <f t="shared" si="33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331"/>
        <v>0</v>
      </c>
      <c r="H1185" s="12"/>
      <c r="I1185" s="12"/>
      <c r="J1185" s="12"/>
      <c r="K1185" s="12">
        <f t="shared" si="33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33"/>
        <v>0</v>
      </c>
      <c r="T1185" s="12"/>
      <c r="U1185" s="12"/>
      <c r="V1185" s="12"/>
      <c r="W1185" s="12">
        <f t="shared" si="33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5"/>
        <v>0</v>
      </c>
      <c r="AF1185" s="12"/>
      <c r="AG1185" s="12"/>
      <c r="AH1185" s="12"/>
      <c r="AI1185" s="12">
        <f t="shared" si="33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331"/>
        <v>0</v>
      </c>
      <c r="H1186" s="12"/>
      <c r="I1186" s="12"/>
      <c r="J1186" s="12"/>
      <c r="K1186" s="12">
        <f t="shared" si="332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33"/>
        <v>0</v>
      </c>
      <c r="T1186" s="12"/>
      <c r="U1186" s="12"/>
      <c r="V1186" s="12"/>
      <c r="W1186" s="12">
        <f t="shared" si="33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5"/>
        <v>0</v>
      </c>
      <c r="AF1186" s="12"/>
      <c r="AG1186" s="12"/>
      <c r="AH1186" s="12"/>
      <c r="AI1186" s="12">
        <f t="shared" si="33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331"/>
        <v>0</v>
      </c>
      <c r="H1187" s="10"/>
      <c r="I1187" s="10"/>
      <c r="J1187" s="10"/>
      <c r="K1187" s="12">
        <f t="shared" si="332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33"/>
        <v>0</v>
      </c>
      <c r="T1187" s="10"/>
      <c r="U1187" s="10"/>
      <c r="V1187" s="10"/>
      <c r="W1187" s="12">
        <f t="shared" si="334"/>
        <v>0</v>
      </c>
      <c r="Y1187" s="10">
        <v>21</v>
      </c>
      <c r="Z1187" s="30"/>
      <c r="AB1187" s="46"/>
      <c r="AC1187" s="31"/>
      <c r="AD1187" s="31"/>
      <c r="AE1187" s="32">
        <f t="shared" si="335"/>
        <v>0</v>
      </c>
      <c r="AF1187" s="10"/>
      <c r="AG1187" s="10"/>
      <c r="AH1187" s="10"/>
      <c r="AI1187" s="12">
        <f t="shared" si="33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331"/>
        <v>0</v>
      </c>
      <c r="H1188" s="10"/>
      <c r="I1188" s="10"/>
      <c r="J1188" s="10"/>
      <c r="K1188" s="12">
        <f t="shared" si="33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33"/>
        <v>0</v>
      </c>
      <c r="T1188" s="10"/>
      <c r="U1188" s="10"/>
      <c r="V1188" s="10"/>
      <c r="W1188" s="12">
        <f t="shared" si="33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5"/>
        <v>0</v>
      </c>
      <c r="AF1188" s="10"/>
      <c r="AG1188" s="10"/>
      <c r="AH1188" s="10"/>
      <c r="AI1188" s="12">
        <f t="shared" si="33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31"/>
        <v>0</v>
      </c>
      <c r="H1189" s="10"/>
      <c r="I1189" s="10"/>
      <c r="J1189" s="12"/>
      <c r="K1189" s="12">
        <f t="shared" si="332"/>
        <v>0</v>
      </c>
      <c r="M1189" s="10">
        <v>23</v>
      </c>
      <c r="N1189" s="30"/>
      <c r="O1189" s="31"/>
      <c r="P1189" s="47"/>
      <c r="Q1189" s="31"/>
      <c r="S1189" s="32">
        <f t="shared" si="333"/>
        <v>0</v>
      </c>
      <c r="T1189" s="10"/>
      <c r="U1189" s="10"/>
      <c r="V1189" s="10"/>
      <c r="W1189" s="12">
        <f t="shared" si="334"/>
        <v>0</v>
      </c>
      <c r="Y1189" s="10">
        <v>23</v>
      </c>
      <c r="Z1189" s="30"/>
      <c r="AB1189" s="47"/>
      <c r="AC1189" s="31"/>
      <c r="AE1189" s="32">
        <f t="shared" si="335"/>
        <v>0</v>
      </c>
      <c r="AF1189" s="10"/>
      <c r="AG1189" s="10"/>
      <c r="AH1189" s="10"/>
      <c r="AI1189" s="12">
        <f t="shared" si="33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331"/>
        <v>0</v>
      </c>
      <c r="H1190" s="10"/>
      <c r="I1190" s="10"/>
      <c r="J1190" s="10"/>
      <c r="K1190" s="12">
        <f t="shared" si="33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33"/>
        <v>0</v>
      </c>
      <c r="T1190" s="10"/>
      <c r="U1190" s="10"/>
      <c r="V1190" s="10"/>
      <c r="W1190" s="12">
        <f t="shared" si="33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5"/>
        <v>0</v>
      </c>
      <c r="AF1190" s="10"/>
      <c r="AG1190" s="10"/>
      <c r="AH1190" s="10"/>
      <c r="AI1190" s="12">
        <f t="shared" si="33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31"/>
        <v>0</v>
      </c>
      <c r="H1191" s="10"/>
      <c r="I1191" s="10"/>
      <c r="J1191" s="10"/>
      <c r="K1191" s="12">
        <f t="shared" si="332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33"/>
        <v>0</v>
      </c>
      <c r="T1191" s="10"/>
      <c r="U1191" s="10"/>
      <c r="V1191" s="10"/>
      <c r="W1191" s="12">
        <f t="shared" si="334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5"/>
        <v>0</v>
      </c>
      <c r="AF1191" s="10"/>
      <c r="AG1191" s="10"/>
      <c r="AH1191" s="10"/>
      <c r="AI1191" s="12">
        <f t="shared" si="33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331"/>
        <v>0</v>
      </c>
      <c r="H1192" s="10"/>
      <c r="I1192" s="10"/>
      <c r="J1192" s="10"/>
      <c r="K1192" s="12">
        <f t="shared" si="332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33"/>
        <v>0</v>
      </c>
      <c r="T1192" s="10"/>
      <c r="U1192" s="10"/>
      <c r="V1192" s="10"/>
      <c r="W1192" s="12">
        <f t="shared" si="334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5"/>
        <v>0</v>
      </c>
      <c r="AF1192" s="10"/>
      <c r="AG1192" s="10"/>
      <c r="AH1192" s="10"/>
      <c r="AI1192" s="12">
        <f t="shared" si="33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331"/>
        <v>0</v>
      </c>
      <c r="H1193" s="10"/>
      <c r="I1193" s="10"/>
      <c r="J1193" s="10"/>
      <c r="K1193" s="12">
        <f t="shared" si="33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33"/>
        <v>0</v>
      </c>
      <c r="T1193" s="10"/>
      <c r="U1193" s="10"/>
      <c r="V1193" s="10"/>
      <c r="W1193" s="12">
        <f t="shared" si="33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5"/>
        <v>0</v>
      </c>
      <c r="AF1193" s="10"/>
      <c r="AG1193" s="10"/>
      <c r="AH1193" s="10"/>
      <c r="AI1193" s="12">
        <f t="shared" si="33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31"/>
        <v>0</v>
      </c>
      <c r="H1194" s="10"/>
      <c r="I1194" s="10"/>
      <c r="J1194" s="10"/>
      <c r="K1194" s="12">
        <f t="shared" si="33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33"/>
        <v>0</v>
      </c>
      <c r="T1194" s="10"/>
      <c r="U1194" s="10"/>
      <c r="V1194" s="10"/>
      <c r="W1194" s="12">
        <f t="shared" si="33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5"/>
        <v>0</v>
      </c>
      <c r="AF1194" s="10"/>
      <c r="AG1194" s="10"/>
      <c r="AH1194" s="10"/>
      <c r="AI1194" s="12">
        <f t="shared" si="33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31"/>
        <v>0</v>
      </c>
      <c r="H1195" s="10"/>
      <c r="I1195" s="10"/>
      <c r="J1195" s="10"/>
      <c r="K1195" s="12">
        <f t="shared" si="332"/>
        <v>0</v>
      </c>
      <c r="M1195" s="10">
        <v>29</v>
      </c>
      <c r="N1195" s="30"/>
      <c r="P1195" s="47"/>
      <c r="Q1195" s="31"/>
      <c r="R1195" s="31"/>
      <c r="S1195" s="32">
        <f t="shared" si="333"/>
        <v>0</v>
      </c>
      <c r="T1195" s="10"/>
      <c r="U1195" s="10"/>
      <c r="V1195" s="10"/>
      <c r="W1195" s="12">
        <f t="shared" si="33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5"/>
        <v>0</v>
      </c>
      <c r="AF1195" s="10"/>
      <c r="AG1195" s="10"/>
      <c r="AH1195" s="10"/>
      <c r="AI1195" s="12">
        <f t="shared" si="33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31"/>
        <v>0</v>
      </c>
      <c r="H1196" s="10"/>
      <c r="I1196" s="10"/>
      <c r="J1196" s="10"/>
      <c r="K1196" s="12">
        <f t="shared" si="332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33"/>
        <v>0</v>
      </c>
      <c r="T1196" s="10"/>
      <c r="U1196" s="10"/>
      <c r="V1196" s="10"/>
      <c r="W1196" s="12">
        <f t="shared" si="334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5"/>
        <v>0</v>
      </c>
      <c r="AF1196" s="10"/>
      <c r="AG1196" s="10"/>
      <c r="AH1196" s="10"/>
      <c r="AI1196" s="12">
        <f t="shared" si="33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8"/>
      <c r="D1197" s="32"/>
      <c r="E1197" s="32"/>
      <c r="F1197" s="32"/>
      <c r="G1197" s="32">
        <f t="shared" si="331"/>
        <v>0</v>
      </c>
      <c r="H1197" s="10"/>
      <c r="I1197" s="10"/>
      <c r="J1197" s="10"/>
      <c r="K1197" s="12">
        <f t="shared" si="332"/>
        <v>0</v>
      </c>
      <c r="M1197" s="10">
        <v>31</v>
      </c>
      <c r="N1197" s="30"/>
      <c r="P1197" s="47"/>
      <c r="Q1197" s="31"/>
      <c r="R1197" s="31"/>
      <c r="S1197" s="32">
        <f t="shared" si="333"/>
        <v>0</v>
      </c>
      <c r="T1197" s="10"/>
      <c r="U1197" s="10"/>
      <c r="V1197" s="10"/>
      <c r="W1197" s="12">
        <f t="shared" si="334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5"/>
        <v>0</v>
      </c>
      <c r="AF1197" s="10"/>
      <c r="AG1197" s="10"/>
      <c r="AH1197" s="10"/>
      <c r="AI1197" s="12">
        <f t="shared" si="33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57"/>
      <c r="D1198" s="32"/>
      <c r="E1198" s="32"/>
      <c r="F1198" s="32"/>
      <c r="G1198" s="32">
        <f t="shared" si="331"/>
        <v>0</v>
      </c>
      <c r="H1198" s="10"/>
      <c r="I1198" s="10"/>
      <c r="J1198" s="10"/>
      <c r="K1198" s="12">
        <f t="shared" si="332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33"/>
        <v>0</v>
      </c>
      <c r="T1198" s="10"/>
      <c r="U1198" s="10"/>
      <c r="V1198" s="10"/>
      <c r="W1198" s="12">
        <f t="shared" si="33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5"/>
        <v>0</v>
      </c>
      <c r="AF1198" s="10"/>
      <c r="AG1198" s="10"/>
      <c r="AH1198" s="10"/>
      <c r="AI1198" s="12">
        <f t="shared" si="33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8"/>
      <c r="D1199" s="32"/>
      <c r="E1199" s="32"/>
      <c r="F1199" s="32"/>
      <c r="G1199" s="32">
        <f t="shared" si="331"/>
        <v>0</v>
      </c>
      <c r="H1199" s="10"/>
      <c r="I1199" s="10"/>
      <c r="J1199" s="10"/>
      <c r="K1199" s="12">
        <f t="shared" si="33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33"/>
        <v>0</v>
      </c>
      <c r="T1199" s="10"/>
      <c r="U1199" s="10"/>
      <c r="V1199" s="10"/>
      <c r="W1199" s="12">
        <f t="shared" si="33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5"/>
        <v>0</v>
      </c>
      <c r="AF1199" s="10"/>
      <c r="AG1199" s="10"/>
      <c r="AH1199" s="10"/>
      <c r="AI1199" s="12">
        <f t="shared" si="33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8"/>
      <c r="D1200" s="32"/>
      <c r="E1200" s="32"/>
      <c r="F1200" s="32"/>
      <c r="G1200" s="32">
        <f t="shared" si="331"/>
        <v>0</v>
      </c>
      <c r="H1200" s="10"/>
      <c r="I1200" s="10"/>
      <c r="J1200" s="10"/>
      <c r="K1200" s="12">
        <f t="shared" si="332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33"/>
        <v>0</v>
      </c>
      <c r="T1200" s="10"/>
      <c r="U1200" s="10"/>
      <c r="V1200" s="10"/>
      <c r="W1200" s="12">
        <f t="shared" si="334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ref="AE1200:AE1205" si="340">SUM(AB1200:AC1200)</f>
        <v>0</v>
      </c>
      <c r="AF1200" s="10"/>
      <c r="AG1200" s="10"/>
      <c r="AH1200" s="10"/>
      <c r="AI1200" s="12">
        <f t="shared" si="336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8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33"/>
        <v>0</v>
      </c>
      <c r="T1201" s="10"/>
      <c r="U1201" s="10"/>
      <c r="V1201" s="10"/>
      <c r="W1201" s="12">
        <f t="shared" si="33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0"/>
        <v>0</v>
      </c>
      <c r="AF1201" s="10"/>
      <c r="AG1201" s="10"/>
      <c r="AH1201" s="10"/>
      <c r="AI1201" s="12">
        <f t="shared" si="336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8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33"/>
        <v>0</v>
      </c>
      <c r="T1202" s="10"/>
      <c r="U1202" s="10"/>
      <c r="V1202" s="10"/>
      <c r="W1202" s="12">
        <f t="shared" si="33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0"/>
        <v>0</v>
      </c>
      <c r="AF1202" s="10"/>
      <c r="AG1202" s="10"/>
      <c r="AH1202" s="10"/>
      <c r="AI1202" s="12">
        <f t="shared" si="336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33"/>
        <v>0</v>
      </c>
      <c r="T1203" s="10"/>
      <c r="U1203" s="10"/>
      <c r="V1203" s="10"/>
      <c r="W1203" s="12">
        <f t="shared" si="33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0"/>
        <v>0</v>
      </c>
      <c r="AF1203" s="10"/>
      <c r="AG1203" s="10"/>
      <c r="AH1203" s="10"/>
      <c r="AI1203" s="12">
        <f t="shared" si="336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33"/>
        <v>0</v>
      </c>
      <c r="T1204" s="10"/>
      <c r="U1204" s="10"/>
      <c r="V1204" s="10"/>
      <c r="W1204" s="12">
        <f t="shared" si="33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0"/>
        <v>0</v>
      </c>
      <c r="AF1204" s="10"/>
      <c r="AG1204" s="10"/>
      <c r="AH1204" s="10"/>
      <c r="AI1204" s="12">
        <f t="shared" si="336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33"/>
        <v>0</v>
      </c>
      <c r="T1205" s="10"/>
      <c r="U1205" s="10"/>
      <c r="V1205" s="10"/>
      <c r="W1205" s="12">
        <f t="shared" si="33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0"/>
        <v>0</v>
      </c>
      <c r="AF1205" s="10"/>
      <c r="AG1205" s="10"/>
      <c r="AH1205" s="10"/>
      <c r="AI1205" s="12">
        <f t="shared" si="336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3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6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41">SUM(D1207:E1207)</f>
        <v>0</v>
      </c>
      <c r="H1207" s="10"/>
      <c r="I1207" s="10"/>
      <c r="J1207" s="10"/>
      <c r="K1207" s="12">
        <f t="shared" ref="K1207" si="342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43">SUM(P1207:Q1207)</f>
        <v>0</v>
      </c>
      <c r="T1207" s="10"/>
      <c r="U1207" s="10"/>
      <c r="V1207" s="10"/>
      <c r="W1207" s="12">
        <f t="shared" si="334"/>
        <v>0</v>
      </c>
      <c r="Y1207" s="10"/>
      <c r="Z1207" s="30"/>
      <c r="AA1207" s="31"/>
      <c r="AB1207" s="47"/>
      <c r="AC1207" s="31"/>
      <c r="AD1207" s="31"/>
      <c r="AE1207" s="32">
        <f t="shared" ref="AE1207" si="344">SUM(AB1207:AC1207)</f>
        <v>0</v>
      </c>
      <c r="AF1207" s="10"/>
      <c r="AG1207" s="10"/>
      <c r="AH1207" s="10"/>
      <c r="AI1207" s="12">
        <f t="shared" si="336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3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6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201617</v>
      </c>
      <c r="E1210" s="38">
        <f t="shared" ref="E1210:F1210" si="345">SUM(E1167:E1207)</f>
        <v>-42</v>
      </c>
      <c r="F1210" s="38">
        <f t="shared" si="345"/>
        <v>0</v>
      </c>
      <c r="G1210" s="38">
        <f>SUM(G1167:G1209)</f>
        <v>201575</v>
      </c>
      <c r="H1210" s="4"/>
      <c r="I1210" s="39">
        <f>SUM(I1167:I1209)</f>
        <v>573</v>
      </c>
      <c r="J1210" s="39">
        <f>SUM(J1167:J1209)</f>
        <v>-777</v>
      </c>
      <c r="K1210" s="40">
        <f>SUM(K1167:K1209)</f>
        <v>201371</v>
      </c>
      <c r="N1210" s="57"/>
      <c r="O1210" s="57"/>
      <c r="P1210" s="38">
        <f>SUM(P1167:P1209)</f>
        <v>170283.5</v>
      </c>
      <c r="Q1210" s="38">
        <f>SUM(Q1167:Q1191)</f>
        <v>0</v>
      </c>
      <c r="R1210" s="38">
        <f>SUM(R1167:R1191)</f>
        <v>0</v>
      </c>
      <c r="S1210" s="38">
        <f>SUM(S1167:S1209)</f>
        <v>170283.5</v>
      </c>
      <c r="T1210" s="4"/>
      <c r="U1210" s="41">
        <f>SUM(U1167:U1209)</f>
        <v>111</v>
      </c>
      <c r="V1210" s="41">
        <f>SUM(V1167:V1191)</f>
        <v>0</v>
      </c>
      <c r="W1210" s="42">
        <f>SUM(W1167:W1209)</f>
        <v>170394.5</v>
      </c>
      <c r="Z1210" s="57"/>
      <c r="AA1210" s="57"/>
      <c r="AB1210" s="38">
        <f>SUM(AB1167:AB1209)</f>
        <v>325569</v>
      </c>
      <c r="AC1210" s="38">
        <f>SUM(AC1167:AC1191)</f>
        <v>-2544</v>
      </c>
      <c r="AD1210" s="38">
        <f>SUM(AD1167:AD1191)</f>
        <v>0</v>
      </c>
      <c r="AE1210" s="38">
        <f>SUM(AE1167:AE1209)</f>
        <v>323025</v>
      </c>
      <c r="AF1210" s="4"/>
      <c r="AG1210" s="41">
        <f>SUM(AG1167:AG1209)</f>
        <v>361.5</v>
      </c>
      <c r="AH1210" s="41">
        <f>SUM(AH1167:AH1191)</f>
        <v>-78</v>
      </c>
      <c r="AI1210" s="42">
        <f>SUM(AI1167:AI1209)</f>
        <v>323308.5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52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106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106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98</v>
      </c>
      <c r="W1218" s="24"/>
      <c r="Y1218" s="21" t="s">
        <v>106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54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1" t="s">
        <v>17</v>
      </c>
      <c r="E1220" s="121"/>
      <c r="F1220" s="115"/>
      <c r="G1220" s="27"/>
      <c r="I1220" s="124" t="s">
        <v>18</v>
      </c>
      <c r="J1220" s="125"/>
      <c r="K1220" s="122" t="s">
        <v>19</v>
      </c>
      <c r="N1220" s="25"/>
      <c r="O1220" s="26"/>
      <c r="P1220" s="121" t="s">
        <v>17</v>
      </c>
      <c r="Q1220" s="121"/>
      <c r="R1220" s="115"/>
      <c r="S1220" s="27"/>
      <c r="U1220" s="124" t="s">
        <v>18</v>
      </c>
      <c r="V1220" s="125"/>
      <c r="W1220" s="122" t="s">
        <v>19</v>
      </c>
      <c r="Z1220" s="25"/>
      <c r="AA1220" s="26"/>
      <c r="AB1220" s="121" t="s">
        <v>17</v>
      </c>
      <c r="AC1220" s="121"/>
      <c r="AD1220" s="115"/>
      <c r="AE1220" s="27"/>
      <c r="AG1220" s="124" t="s">
        <v>18</v>
      </c>
      <c r="AH1220" s="125"/>
      <c r="AI1220" s="122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9" t="s">
        <v>22</v>
      </c>
      <c r="E1221" s="78" t="s">
        <v>23</v>
      </c>
      <c r="F1221" s="80" t="s">
        <v>32</v>
      </c>
      <c r="G1221" s="80" t="s">
        <v>24</v>
      </c>
      <c r="I1221" s="29" t="s">
        <v>25</v>
      </c>
      <c r="J1221" s="29" t="s">
        <v>26</v>
      </c>
      <c r="K1221" s="123"/>
      <c r="N1221" s="28" t="s">
        <v>20</v>
      </c>
      <c r="O1221" s="28" t="s">
        <v>21</v>
      </c>
      <c r="P1221" s="79" t="s">
        <v>22</v>
      </c>
      <c r="Q1221" s="80" t="s">
        <v>23</v>
      </c>
      <c r="R1221" s="80" t="s">
        <v>32</v>
      </c>
      <c r="S1221" s="80" t="s">
        <v>24</v>
      </c>
      <c r="U1221" s="29" t="s">
        <v>25</v>
      </c>
      <c r="V1221" s="29" t="s">
        <v>26</v>
      </c>
      <c r="W1221" s="123"/>
      <c r="Z1221" s="28" t="s">
        <v>20</v>
      </c>
      <c r="AA1221" s="28" t="s">
        <v>21</v>
      </c>
      <c r="AB1221" s="79" t="s">
        <v>22</v>
      </c>
      <c r="AC1221" s="80" t="s">
        <v>23</v>
      </c>
      <c r="AD1221" s="80" t="s">
        <v>32</v>
      </c>
      <c r="AE1221" s="80" t="s">
        <v>24</v>
      </c>
      <c r="AG1221" s="29" t="s">
        <v>25</v>
      </c>
      <c r="AH1221" s="29" t="s">
        <v>26</v>
      </c>
      <c r="AI1221" s="123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107</v>
      </c>
      <c r="C1222" s="88">
        <v>8764</v>
      </c>
      <c r="D1222" s="32">
        <f>650*7+670*3+622*2+9.5*10</f>
        <v>7899</v>
      </c>
      <c r="E1222" s="32"/>
      <c r="F1222" s="32"/>
      <c r="G1222" s="32">
        <f t="shared" ref="G1222:G1255" si="346">SUM(D1222:E1222)</f>
        <v>7899</v>
      </c>
      <c r="H1222" s="12"/>
      <c r="I1222" s="12"/>
      <c r="J1222" s="12"/>
      <c r="K1222" s="12">
        <f t="shared" ref="K1222:K1255" si="347">SUM(G1222:J1222)</f>
        <v>7899</v>
      </c>
      <c r="M1222" s="10">
        <v>1</v>
      </c>
      <c r="N1222" s="30" t="s">
        <v>107</v>
      </c>
      <c r="O1222" s="31">
        <v>8744</v>
      </c>
      <c r="P1222" s="32">
        <f>650*4+9.5*4</f>
        <v>2638</v>
      </c>
      <c r="Q1222" s="32"/>
      <c r="R1222" s="32"/>
      <c r="S1222" s="32">
        <f>SUM(P1222:Q1222)</f>
        <v>2638</v>
      </c>
      <c r="T1222" s="12"/>
      <c r="U1222" s="12"/>
      <c r="V1222" s="12"/>
      <c r="W1222" s="12">
        <f>SUM(S1222:V1222)</f>
        <v>2638</v>
      </c>
      <c r="Y1222" s="10">
        <v>1</v>
      </c>
      <c r="Z1222" s="30" t="s">
        <v>107</v>
      </c>
      <c r="AA1222" s="31">
        <v>8680</v>
      </c>
      <c r="AB1222" s="32">
        <f>650*100+670*15+622*50+229*6</f>
        <v>107524</v>
      </c>
      <c r="AC1222" s="32">
        <v>-990</v>
      </c>
      <c r="AD1222" s="32"/>
      <c r="AE1222" s="32">
        <f>SUM(AB1222:AC1222)</f>
        <v>106534</v>
      </c>
      <c r="AF1222" s="12"/>
      <c r="AG1222" s="12"/>
      <c r="AH1222" s="12"/>
      <c r="AI1222" s="12">
        <f>SUM(AE1222:AH1222)</f>
        <v>106534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107</v>
      </c>
      <c r="C1223" s="31">
        <f>C1222+1</f>
        <v>8765</v>
      </c>
      <c r="D1223" s="32">
        <f>650*2+670+622*2+9.5*4</f>
        <v>3252</v>
      </c>
      <c r="E1223" s="32"/>
      <c r="F1223" s="32"/>
      <c r="G1223" s="32">
        <f t="shared" si="346"/>
        <v>3252</v>
      </c>
      <c r="H1223" s="12"/>
      <c r="I1223" s="12">
        <v>111</v>
      </c>
      <c r="J1223" s="12"/>
      <c r="K1223" s="12">
        <f t="shared" si="347"/>
        <v>3363</v>
      </c>
      <c r="M1223" s="10">
        <v>2</v>
      </c>
      <c r="N1223" s="30" t="s">
        <v>107</v>
      </c>
      <c r="O1223" s="31">
        <f>O1222+1</f>
        <v>8745</v>
      </c>
      <c r="P1223" s="32">
        <f>650*100+622*20+229*2</f>
        <v>77898</v>
      </c>
      <c r="Q1223" s="32">
        <v>-720</v>
      </c>
      <c r="R1223" s="32"/>
      <c r="S1223" s="32">
        <f t="shared" ref="S1223:S1260" si="348">SUM(P1223:Q1223)</f>
        <v>77178</v>
      </c>
      <c r="T1223" s="12"/>
      <c r="U1223" s="12">
        <v>36</v>
      </c>
      <c r="V1223" s="12"/>
      <c r="W1223" s="12">
        <f t="shared" ref="W1223:W1263" si="349">SUM(S1223:V1223)</f>
        <v>77214</v>
      </c>
      <c r="Y1223" s="10">
        <v>2</v>
      </c>
      <c r="Z1223" s="30" t="s">
        <v>107</v>
      </c>
      <c r="AA1223" s="31">
        <f>AA1222+1</f>
        <v>8681</v>
      </c>
      <c r="AB1223" s="32">
        <f>650*100+670*5+622*15+229*4</f>
        <v>78596</v>
      </c>
      <c r="AC1223" s="32">
        <f>-120*6</f>
        <v>-720</v>
      </c>
      <c r="AD1223" s="32"/>
      <c r="AE1223" s="32">
        <f t="shared" ref="AE1223:AE1254" si="350">SUM(AB1223:AC1223)</f>
        <v>77876</v>
      </c>
      <c r="AF1223" s="12"/>
      <c r="AG1223" s="12"/>
      <c r="AH1223" s="12">
        <f>-47*111</f>
        <v>-5217</v>
      </c>
      <c r="AI1223" s="12">
        <f t="shared" ref="AI1223:AI1263" si="351">SUM(AE1223:AH1223)</f>
        <v>72659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107</v>
      </c>
      <c r="C1224" s="31">
        <f t="shared" ref="C1224:C1241" si="352">C1223+1</f>
        <v>8766</v>
      </c>
      <c r="D1224" s="33">
        <f>650*5+9.5*5</f>
        <v>3297.5</v>
      </c>
      <c r="E1224" s="33"/>
      <c r="F1224" s="33"/>
      <c r="G1224" s="33">
        <f t="shared" si="346"/>
        <v>3297.5</v>
      </c>
      <c r="H1224" s="34"/>
      <c r="I1224" s="34"/>
      <c r="J1224" s="34"/>
      <c r="K1224" s="34">
        <f t="shared" si="347"/>
        <v>3297.5</v>
      </c>
      <c r="M1224" s="10">
        <v>3</v>
      </c>
      <c r="N1224" s="30" t="s">
        <v>107</v>
      </c>
      <c r="O1224" s="31">
        <f t="shared" ref="O1224:O1228" si="353">O1223+1</f>
        <v>8746</v>
      </c>
      <c r="P1224" s="32">
        <f>650*10+622*9+9.5*19</f>
        <v>12278.5</v>
      </c>
      <c r="Q1224" s="32"/>
      <c r="R1224" s="32"/>
      <c r="S1224" s="32">
        <f t="shared" si="348"/>
        <v>12278.5</v>
      </c>
      <c r="T1224" s="12"/>
      <c r="U1224" s="12"/>
      <c r="V1224" s="12"/>
      <c r="W1224" s="12">
        <f t="shared" si="349"/>
        <v>12278.5</v>
      </c>
      <c r="Y1224" s="10">
        <v>3</v>
      </c>
      <c r="Z1224" s="30" t="s">
        <v>107</v>
      </c>
      <c r="AA1224" s="31">
        <f t="shared" ref="AA1224" si="354">AA1223+1</f>
        <v>8682</v>
      </c>
      <c r="AB1224" s="33">
        <f>650*10+622*5+9.5*15</f>
        <v>9752.5</v>
      </c>
      <c r="AC1224" s="33"/>
      <c r="AD1224" s="32"/>
      <c r="AE1224" s="32">
        <f t="shared" si="350"/>
        <v>9752.5</v>
      </c>
      <c r="AF1224" s="12"/>
      <c r="AG1224" s="12"/>
      <c r="AH1224" s="12"/>
      <c r="AI1224" s="12">
        <f t="shared" si="351"/>
        <v>9752.5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107</v>
      </c>
      <c r="C1225" s="31">
        <f t="shared" si="352"/>
        <v>8767</v>
      </c>
      <c r="D1225" s="32">
        <f>650*5+9.5*5</f>
        <v>3297.5</v>
      </c>
      <c r="E1225" s="32"/>
      <c r="F1225" s="32"/>
      <c r="G1225" s="32">
        <f t="shared" si="346"/>
        <v>3297.5</v>
      </c>
      <c r="H1225" s="12"/>
      <c r="I1225" s="12"/>
      <c r="J1225" s="12"/>
      <c r="K1225" s="12">
        <f t="shared" si="347"/>
        <v>3297.5</v>
      </c>
      <c r="M1225" s="10">
        <v>4</v>
      </c>
      <c r="N1225" s="30" t="s">
        <v>107</v>
      </c>
      <c r="O1225" s="31">
        <f t="shared" si="353"/>
        <v>8747</v>
      </c>
      <c r="P1225" s="32">
        <f>650*60+700+229*3</f>
        <v>40387</v>
      </c>
      <c r="Q1225" s="32"/>
      <c r="R1225" s="32"/>
      <c r="S1225" s="32">
        <f t="shared" si="348"/>
        <v>40387</v>
      </c>
      <c r="T1225" s="12"/>
      <c r="U1225" s="12"/>
      <c r="V1225" s="12"/>
      <c r="W1225" s="12">
        <f t="shared" si="349"/>
        <v>40387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50"/>
        <v>0</v>
      </c>
      <c r="AF1225" s="12"/>
      <c r="AH1225" s="12"/>
      <c r="AI1225" s="12">
        <f t="shared" si="351"/>
        <v>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107</v>
      </c>
      <c r="C1226" s="31">
        <f t="shared" si="352"/>
        <v>8768</v>
      </c>
      <c r="D1226" s="32">
        <f>650*5+622*2+9.5*7</f>
        <v>4560.5</v>
      </c>
      <c r="E1226" s="32"/>
      <c r="F1226" s="32"/>
      <c r="G1226" s="32">
        <f t="shared" si="346"/>
        <v>4560.5</v>
      </c>
      <c r="H1226" s="12"/>
      <c r="I1226" s="12"/>
      <c r="J1226" s="12"/>
      <c r="K1226" s="12">
        <f t="shared" si="347"/>
        <v>4560.5</v>
      </c>
      <c r="M1226" s="10">
        <v>5</v>
      </c>
      <c r="N1226" s="30" t="s">
        <v>107</v>
      </c>
      <c r="O1226" s="31">
        <f t="shared" si="353"/>
        <v>8748</v>
      </c>
      <c r="P1226" s="32">
        <f>650*14+9.5*14</f>
        <v>9233</v>
      </c>
      <c r="Q1226" s="32"/>
      <c r="R1226" s="32"/>
      <c r="S1226" s="32">
        <f t="shared" si="348"/>
        <v>9233</v>
      </c>
      <c r="T1226" s="12"/>
      <c r="U1226" s="12">
        <v>15</v>
      </c>
      <c r="V1226" s="12"/>
      <c r="W1226" s="12">
        <f t="shared" si="349"/>
        <v>9248</v>
      </c>
      <c r="Y1226" s="10">
        <v>5</v>
      </c>
      <c r="Z1226" s="30"/>
      <c r="AA1226" s="31"/>
      <c r="AB1226" s="32"/>
      <c r="AC1226" s="32"/>
      <c r="AD1226" s="32"/>
      <c r="AE1226" s="32">
        <f t="shared" si="350"/>
        <v>0</v>
      </c>
      <c r="AF1226" s="12"/>
      <c r="AG1226" s="12"/>
      <c r="AH1226" s="12"/>
      <c r="AI1226" s="12">
        <f t="shared" si="351"/>
        <v>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107</v>
      </c>
      <c r="C1227" s="31">
        <f t="shared" si="352"/>
        <v>8769</v>
      </c>
      <c r="D1227" s="32">
        <f>650*3+9.5*3</f>
        <v>1978.5</v>
      </c>
      <c r="E1227" s="32"/>
      <c r="F1227" s="32"/>
      <c r="G1227" s="32">
        <f t="shared" si="346"/>
        <v>1978.5</v>
      </c>
      <c r="H1227" s="12"/>
      <c r="I1227" s="12"/>
      <c r="J1227" s="12"/>
      <c r="K1227" s="12">
        <f t="shared" si="347"/>
        <v>1978.5</v>
      </c>
      <c r="M1227" s="10">
        <v>6</v>
      </c>
      <c r="N1227" s="30" t="s">
        <v>107</v>
      </c>
      <c r="O1227" s="31">
        <f t="shared" si="353"/>
        <v>8749</v>
      </c>
      <c r="P1227" s="32">
        <f>5850+622+872+95</f>
        <v>7439</v>
      </c>
      <c r="Q1227" s="32"/>
      <c r="R1227" s="32"/>
      <c r="S1227" s="32">
        <f t="shared" si="348"/>
        <v>7439</v>
      </c>
      <c r="T1227" s="12"/>
      <c r="U1227" s="12">
        <v>9</v>
      </c>
      <c r="V1227" s="10"/>
      <c r="W1227" s="12">
        <f t="shared" si="349"/>
        <v>7448</v>
      </c>
      <c r="Y1227" s="10">
        <v>6</v>
      </c>
      <c r="Z1227" s="30"/>
      <c r="AB1227" s="32"/>
      <c r="AC1227" s="32"/>
      <c r="AD1227" s="32"/>
      <c r="AE1227" s="32">
        <f t="shared" si="350"/>
        <v>0</v>
      </c>
      <c r="AF1227" s="12"/>
      <c r="AG1227" s="12"/>
      <c r="AH1227" s="10"/>
      <c r="AI1227" s="12">
        <f t="shared" si="351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107</v>
      </c>
      <c r="C1228" s="31">
        <f t="shared" si="352"/>
        <v>8770</v>
      </c>
      <c r="D1228" s="32">
        <f>650*2+622+9.5*3</f>
        <v>1950.5</v>
      </c>
      <c r="E1228" s="32"/>
      <c r="F1228" s="32"/>
      <c r="G1228" s="32">
        <f t="shared" si="346"/>
        <v>1950.5</v>
      </c>
      <c r="H1228" s="12"/>
      <c r="I1228" s="12"/>
      <c r="J1228" s="12"/>
      <c r="K1228" s="12">
        <f t="shared" si="347"/>
        <v>1950.5</v>
      </c>
      <c r="M1228" s="10">
        <v>7</v>
      </c>
      <c r="N1228" s="30" t="s">
        <v>107</v>
      </c>
      <c r="O1228" s="31">
        <f t="shared" si="353"/>
        <v>8750</v>
      </c>
      <c r="P1228" s="32">
        <f>650+9.5</f>
        <v>659.5</v>
      </c>
      <c r="Q1228" s="32"/>
      <c r="R1228" s="32"/>
      <c r="S1228" s="32">
        <f t="shared" si="348"/>
        <v>659.5</v>
      </c>
      <c r="T1228" s="12"/>
      <c r="U1228" s="12"/>
      <c r="V1228" s="12"/>
      <c r="W1228" s="12">
        <f t="shared" si="349"/>
        <v>659.5</v>
      </c>
      <c r="Y1228" s="10">
        <v>7</v>
      </c>
      <c r="Z1228" s="30"/>
      <c r="AA1228" s="31"/>
      <c r="AB1228" s="32"/>
      <c r="AC1228" s="32"/>
      <c r="AD1228" s="32"/>
      <c r="AE1228" s="32">
        <f t="shared" si="350"/>
        <v>0</v>
      </c>
      <c r="AF1228" s="12"/>
      <c r="AG1228" s="58"/>
      <c r="AH1228" s="12"/>
      <c r="AI1228" s="12">
        <f t="shared" si="351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107</v>
      </c>
      <c r="C1229" s="31">
        <f t="shared" si="352"/>
        <v>8771</v>
      </c>
      <c r="D1229" s="32">
        <f>650*25+670*6+973*2+622*3+912+1050+872*2+229+500*2</f>
        <v>29017</v>
      </c>
      <c r="E1229" s="32"/>
      <c r="F1229" s="32"/>
      <c r="G1229" s="32">
        <f t="shared" si="346"/>
        <v>29017</v>
      </c>
      <c r="H1229" s="12"/>
      <c r="I1229" s="12">
        <f>120*5+111*20</f>
        <v>2820</v>
      </c>
      <c r="J1229" s="12"/>
      <c r="K1229" s="12">
        <f t="shared" si="347"/>
        <v>31837</v>
      </c>
      <c r="M1229" s="10">
        <v>8</v>
      </c>
      <c r="N1229" s="30"/>
      <c r="O1229" s="11" t="s">
        <v>27</v>
      </c>
      <c r="P1229" s="32"/>
      <c r="Q1229" s="32"/>
      <c r="R1229" s="32"/>
      <c r="S1229" s="32">
        <f t="shared" si="348"/>
        <v>0</v>
      </c>
      <c r="T1229" s="12"/>
      <c r="U1229" s="12"/>
      <c r="V1229" s="12"/>
      <c r="W1229" s="12">
        <f t="shared" si="349"/>
        <v>0</v>
      </c>
      <c r="Y1229" s="10">
        <v>8</v>
      </c>
      <c r="Z1229" s="30"/>
      <c r="AA1229" s="31"/>
      <c r="AB1229" s="32"/>
      <c r="AC1229" s="32"/>
      <c r="AE1229" s="32">
        <f t="shared" si="350"/>
        <v>0</v>
      </c>
      <c r="AF1229" s="12"/>
      <c r="AG1229" s="12"/>
      <c r="AH1229" s="12"/>
      <c r="AI1229" s="12">
        <f t="shared" si="351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107</v>
      </c>
      <c r="C1230" s="31">
        <f t="shared" si="352"/>
        <v>8772</v>
      </c>
      <c r="D1230" s="32">
        <f>700*3+622*3+1175+1102+1300</f>
        <v>7543</v>
      </c>
      <c r="E1230" s="32"/>
      <c r="F1230" s="32"/>
      <c r="G1230" s="32">
        <f t="shared" si="346"/>
        <v>7543</v>
      </c>
      <c r="H1230" s="12"/>
      <c r="I1230" s="12"/>
      <c r="J1230" s="12"/>
      <c r="K1230" s="12">
        <f t="shared" si="347"/>
        <v>7543</v>
      </c>
      <c r="M1230" s="10">
        <v>9</v>
      </c>
      <c r="N1230" s="30"/>
      <c r="O1230" s="31"/>
      <c r="P1230" s="32"/>
      <c r="Q1230" s="32"/>
      <c r="R1230" s="32"/>
      <c r="S1230" s="32">
        <f t="shared" si="348"/>
        <v>0</v>
      </c>
      <c r="T1230" s="12"/>
      <c r="U1230" s="12"/>
      <c r="V1230" s="12"/>
      <c r="W1230" s="12">
        <f t="shared" si="349"/>
        <v>0</v>
      </c>
      <c r="Y1230" s="10">
        <v>9</v>
      </c>
      <c r="Z1230" s="30"/>
      <c r="AA1230" s="31"/>
      <c r="AB1230" s="32"/>
      <c r="AC1230" s="32"/>
      <c r="AD1230" s="32"/>
      <c r="AE1230" s="32">
        <f t="shared" si="350"/>
        <v>0</v>
      </c>
      <c r="AF1230" s="12"/>
      <c r="AH1230" s="12"/>
      <c r="AI1230" s="12">
        <f t="shared" si="351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107</v>
      </c>
      <c r="C1231" s="31">
        <f t="shared" si="352"/>
        <v>8773</v>
      </c>
      <c r="D1231" s="32">
        <f>650*10</f>
        <v>6500</v>
      </c>
      <c r="E1231" s="32"/>
      <c r="F1231" s="32"/>
      <c r="G1231" s="32">
        <f t="shared" si="346"/>
        <v>6500</v>
      </c>
      <c r="H1231" s="12"/>
      <c r="I1231" s="12"/>
      <c r="J1231" s="12"/>
      <c r="K1231" s="12">
        <f t="shared" si="347"/>
        <v>6500</v>
      </c>
      <c r="M1231" s="10">
        <v>10</v>
      </c>
      <c r="N1231" s="30"/>
      <c r="O1231" s="31"/>
      <c r="P1231" s="32"/>
      <c r="Q1231" s="32"/>
      <c r="R1231" s="32"/>
      <c r="S1231" s="32">
        <f t="shared" si="348"/>
        <v>0</v>
      </c>
      <c r="T1231" s="12"/>
      <c r="U1231" s="12"/>
      <c r="V1231" s="12"/>
      <c r="W1231" s="12">
        <f t="shared" si="349"/>
        <v>0</v>
      </c>
      <c r="Y1231" s="10">
        <v>10</v>
      </c>
      <c r="Z1231" s="30"/>
      <c r="AA1231" s="31"/>
      <c r="AB1231" s="32"/>
      <c r="AC1231" s="32"/>
      <c r="AD1231" s="32"/>
      <c r="AE1231" s="32">
        <f t="shared" si="350"/>
        <v>0</v>
      </c>
      <c r="AF1231" s="12"/>
      <c r="AG1231" s="12"/>
      <c r="AH1231" s="12"/>
      <c r="AI1231" s="12">
        <f t="shared" si="351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107</v>
      </c>
      <c r="C1232" s="31">
        <f t="shared" si="352"/>
        <v>8774</v>
      </c>
      <c r="D1232" s="32">
        <f>650*3+872+650</f>
        <v>3472</v>
      </c>
      <c r="E1232" s="32"/>
      <c r="F1232" s="32"/>
      <c r="G1232" s="32">
        <f t="shared" si="346"/>
        <v>3472</v>
      </c>
      <c r="H1232" s="12"/>
      <c r="I1232" s="12">
        <v>28.5</v>
      </c>
      <c r="J1232" s="12"/>
      <c r="K1232" s="12">
        <f t="shared" si="347"/>
        <v>3500.5</v>
      </c>
      <c r="M1232" s="10">
        <v>11</v>
      </c>
      <c r="N1232" s="30"/>
      <c r="O1232" s="31"/>
      <c r="P1232" s="32"/>
      <c r="Q1232" s="32"/>
      <c r="R1232" s="32"/>
      <c r="S1232" s="32">
        <f t="shared" si="348"/>
        <v>0</v>
      </c>
      <c r="T1232" s="12"/>
      <c r="U1232" s="12"/>
      <c r="V1232" s="12"/>
      <c r="W1232" s="12">
        <f t="shared" si="349"/>
        <v>0</v>
      </c>
      <c r="Y1232" s="10">
        <v>11</v>
      </c>
      <c r="Z1232" s="30"/>
      <c r="AB1232" s="32"/>
      <c r="AC1232" s="32"/>
      <c r="AD1232" s="32"/>
      <c r="AE1232" s="32">
        <f t="shared" si="350"/>
        <v>0</v>
      </c>
      <c r="AF1232" s="12"/>
      <c r="AG1232" s="12"/>
      <c r="AH1232" s="12"/>
      <c r="AI1232" s="12">
        <f t="shared" si="351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107</v>
      </c>
      <c r="C1233" s="31">
        <f t="shared" si="352"/>
        <v>8775</v>
      </c>
      <c r="D1233" s="32">
        <f>650*5+9.5*5</f>
        <v>3297.5</v>
      </c>
      <c r="E1233" s="32"/>
      <c r="F1233" s="32"/>
      <c r="G1233" s="32">
        <f t="shared" si="346"/>
        <v>3297.5</v>
      </c>
      <c r="H1233" s="12"/>
      <c r="I1233" s="12"/>
      <c r="J1233" s="10"/>
      <c r="K1233" s="12">
        <f t="shared" si="347"/>
        <v>3297.5</v>
      </c>
      <c r="M1233" s="10">
        <v>12</v>
      </c>
      <c r="N1233" s="30"/>
      <c r="O1233" s="31"/>
      <c r="P1233" s="32"/>
      <c r="Q1233" s="32"/>
      <c r="R1233" s="32"/>
      <c r="S1233" s="32">
        <f t="shared" si="348"/>
        <v>0</v>
      </c>
      <c r="T1233" s="12"/>
      <c r="U1233" s="12"/>
      <c r="V1233" s="12"/>
      <c r="W1233" s="12">
        <f t="shared" si="349"/>
        <v>0</v>
      </c>
      <c r="Y1233" s="10">
        <v>12</v>
      </c>
      <c r="Z1233" s="30"/>
      <c r="AB1233" s="32"/>
      <c r="AC1233" s="32"/>
      <c r="AD1233" s="32"/>
      <c r="AE1233" s="32">
        <f t="shared" si="350"/>
        <v>0</v>
      </c>
      <c r="AF1233" s="12"/>
      <c r="AG1233" s="12"/>
      <c r="AH1233" s="12"/>
      <c r="AI1233" s="12">
        <f t="shared" si="351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 t="s">
        <v>107</v>
      </c>
      <c r="C1234" s="31">
        <f t="shared" si="352"/>
        <v>8776</v>
      </c>
      <c r="D1234" s="32">
        <f>650*27</f>
        <v>17550</v>
      </c>
      <c r="E1234" s="32"/>
      <c r="F1234" s="32"/>
      <c r="G1234" s="32">
        <f t="shared" si="346"/>
        <v>17550</v>
      </c>
      <c r="H1234" s="12"/>
      <c r="I1234" s="12"/>
      <c r="J1234" s="12"/>
      <c r="K1234" s="12">
        <f t="shared" si="347"/>
        <v>17550</v>
      </c>
      <c r="M1234" s="10">
        <v>13</v>
      </c>
      <c r="N1234" s="30"/>
      <c r="O1234" s="31"/>
      <c r="P1234" s="32"/>
      <c r="Q1234" s="32"/>
      <c r="R1234" s="32"/>
      <c r="S1234" s="32">
        <f t="shared" si="348"/>
        <v>0</v>
      </c>
      <c r="T1234" s="12"/>
      <c r="U1234" s="12"/>
      <c r="V1234" s="12"/>
      <c r="W1234" s="12">
        <f t="shared" si="349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350"/>
        <v>0</v>
      </c>
      <c r="AF1234" s="12"/>
      <c r="AG1234" s="12"/>
      <c r="AH1234" s="12"/>
      <c r="AI1234" s="12">
        <f t="shared" si="351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 t="s">
        <v>107</v>
      </c>
      <c r="C1235" s="31">
        <f t="shared" si="352"/>
        <v>8777</v>
      </c>
      <c r="D1235" s="32">
        <f>650*5+670</f>
        <v>3920</v>
      </c>
      <c r="E1235" s="32"/>
      <c r="F1235" s="32"/>
      <c r="G1235" s="32">
        <f t="shared" si="346"/>
        <v>3920</v>
      </c>
      <c r="H1235" s="12"/>
      <c r="I1235" s="12"/>
      <c r="J1235" s="12"/>
      <c r="K1235" s="12">
        <f t="shared" si="347"/>
        <v>3920</v>
      </c>
      <c r="M1235" s="10">
        <v>14</v>
      </c>
      <c r="N1235" s="30"/>
      <c r="O1235" s="31"/>
      <c r="P1235" s="32"/>
      <c r="Q1235" s="32"/>
      <c r="R1235" s="32"/>
      <c r="S1235" s="32">
        <f t="shared" si="348"/>
        <v>0</v>
      </c>
      <c r="T1235" s="12"/>
      <c r="U1235" s="12"/>
      <c r="V1235" s="12"/>
      <c r="W1235" s="12">
        <f t="shared" si="349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350"/>
        <v>0</v>
      </c>
      <c r="AF1235" s="12"/>
      <c r="AG1235" s="12"/>
      <c r="AH1235" s="12"/>
      <c r="AI1235" s="12">
        <f t="shared" si="351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 t="s">
        <v>107</v>
      </c>
      <c r="C1236" s="31">
        <f t="shared" si="352"/>
        <v>8778</v>
      </c>
      <c r="D1236" s="32">
        <f>650*15+670+622*2</f>
        <v>11664</v>
      </c>
      <c r="E1236" s="32"/>
      <c r="F1236" s="32"/>
      <c r="G1236" s="32">
        <f t="shared" si="346"/>
        <v>11664</v>
      </c>
      <c r="H1236" s="12"/>
      <c r="I1236" s="12"/>
      <c r="J1236" s="12"/>
      <c r="K1236" s="12">
        <f t="shared" si="347"/>
        <v>11664</v>
      </c>
      <c r="M1236" s="10">
        <v>15</v>
      </c>
      <c r="N1236" s="30"/>
      <c r="O1236" s="31"/>
      <c r="P1236" s="32"/>
      <c r="Q1236" s="32"/>
      <c r="R1236" s="32"/>
      <c r="S1236" s="32">
        <f t="shared" si="348"/>
        <v>0</v>
      </c>
      <c r="T1236" s="12"/>
      <c r="U1236" s="12"/>
      <c r="V1236" s="12"/>
      <c r="W1236" s="12">
        <f t="shared" si="349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350"/>
        <v>0</v>
      </c>
      <c r="AF1236" s="12"/>
      <c r="AG1236" s="12"/>
      <c r="AH1236" s="12"/>
      <c r="AI1236" s="12">
        <f t="shared" si="351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 t="s">
        <v>107</v>
      </c>
      <c r="C1237" s="31">
        <f t="shared" si="352"/>
        <v>8779</v>
      </c>
      <c r="D1237" s="32">
        <f>650*4+9.5*4</f>
        <v>2638</v>
      </c>
      <c r="E1237" s="32"/>
      <c r="F1237" s="32"/>
      <c r="G1237" s="32">
        <f t="shared" si="346"/>
        <v>2638</v>
      </c>
      <c r="H1237" s="12"/>
      <c r="I1237" s="12"/>
      <c r="J1237" s="12"/>
      <c r="K1237" s="12">
        <f t="shared" si="347"/>
        <v>2638</v>
      </c>
      <c r="M1237" s="10">
        <v>16</v>
      </c>
      <c r="N1237" s="30"/>
      <c r="P1237" s="32"/>
      <c r="Q1237" s="32"/>
      <c r="R1237" s="32"/>
      <c r="S1237" s="32">
        <f t="shared" si="348"/>
        <v>0</v>
      </c>
      <c r="T1237" s="12"/>
      <c r="U1237" s="12"/>
      <c r="V1237" s="12"/>
      <c r="W1237" s="12">
        <f t="shared" si="349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350"/>
        <v>0</v>
      </c>
      <c r="AF1237" s="12"/>
      <c r="AG1237" s="12"/>
      <c r="AH1237" s="12"/>
      <c r="AI1237" s="12">
        <f t="shared" si="351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 t="s">
        <v>107</v>
      </c>
      <c r="C1238" s="31">
        <f t="shared" si="352"/>
        <v>8780</v>
      </c>
      <c r="D1238" s="32">
        <f>650*5</f>
        <v>3250</v>
      </c>
      <c r="E1238" s="32"/>
      <c r="F1238" s="32"/>
      <c r="G1238" s="32">
        <f t="shared" si="346"/>
        <v>3250</v>
      </c>
      <c r="H1238" s="12"/>
      <c r="I1238" s="12"/>
      <c r="J1238" s="12"/>
      <c r="K1238" s="12">
        <f t="shared" si="347"/>
        <v>3250</v>
      </c>
      <c r="M1238" s="10">
        <v>17</v>
      </c>
      <c r="N1238" s="30"/>
      <c r="O1238" s="31"/>
      <c r="P1238" s="35"/>
      <c r="Q1238" s="32"/>
      <c r="R1238" s="32"/>
      <c r="S1238" s="32">
        <f t="shared" si="348"/>
        <v>0</v>
      </c>
      <c r="T1238" s="12"/>
      <c r="U1238" s="12"/>
      <c r="V1238" s="12"/>
      <c r="W1238" s="12">
        <f t="shared" si="349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350"/>
        <v>0</v>
      </c>
      <c r="AF1238" s="12"/>
      <c r="AG1238" s="12"/>
      <c r="AH1238" s="12"/>
      <c r="AI1238" s="12">
        <f t="shared" si="351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 t="s">
        <v>107</v>
      </c>
      <c r="C1239" s="31">
        <f t="shared" si="352"/>
        <v>8781</v>
      </c>
      <c r="D1239" s="32">
        <f>650*12+912</f>
        <v>8712</v>
      </c>
      <c r="E1239" s="32"/>
      <c r="F1239" s="32"/>
      <c r="G1239" s="32">
        <f t="shared" si="346"/>
        <v>8712</v>
      </c>
      <c r="H1239" s="12"/>
      <c r="I1239" s="12"/>
      <c r="J1239" s="12"/>
      <c r="K1239" s="12">
        <f t="shared" si="347"/>
        <v>8712</v>
      </c>
      <c r="M1239" s="10">
        <v>18</v>
      </c>
      <c r="N1239" s="30"/>
      <c r="O1239" s="31"/>
      <c r="P1239" s="32"/>
      <c r="Q1239" s="32"/>
      <c r="R1239" s="32"/>
      <c r="S1239" s="32">
        <f t="shared" si="348"/>
        <v>0</v>
      </c>
      <c r="T1239" s="12"/>
      <c r="U1239" s="12"/>
      <c r="V1239" s="12"/>
      <c r="W1239" s="12">
        <f t="shared" si="349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350"/>
        <v>0</v>
      </c>
      <c r="AF1239" s="12"/>
      <c r="AG1239" s="12"/>
      <c r="AH1239" s="12"/>
      <c r="AI1239" s="12">
        <f t="shared" si="351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 t="s">
        <v>107</v>
      </c>
      <c r="C1240" s="31">
        <f t="shared" si="352"/>
        <v>8782</v>
      </c>
      <c r="D1240" s="32">
        <f>650*10</f>
        <v>6500</v>
      </c>
      <c r="E1240" s="32"/>
      <c r="F1240" s="32"/>
      <c r="G1240" s="32">
        <f t="shared" si="346"/>
        <v>6500</v>
      </c>
      <c r="H1240" s="12"/>
      <c r="I1240" s="12"/>
      <c r="J1240" s="12"/>
      <c r="K1240" s="12">
        <f t="shared" si="347"/>
        <v>6500</v>
      </c>
      <c r="M1240" s="10">
        <v>19</v>
      </c>
      <c r="N1240" s="30"/>
      <c r="O1240" s="31"/>
      <c r="P1240" s="32"/>
      <c r="Q1240" s="32"/>
      <c r="R1240" s="32"/>
      <c r="S1240" s="32">
        <f t="shared" si="348"/>
        <v>0</v>
      </c>
      <c r="T1240" s="12"/>
      <c r="U1240" s="12"/>
      <c r="V1240" s="12"/>
      <c r="W1240" s="12">
        <f t="shared" si="349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50"/>
        <v>0</v>
      </c>
      <c r="AF1240" s="12"/>
      <c r="AG1240" s="12"/>
      <c r="AH1240" s="12"/>
      <c r="AI1240" s="12">
        <f t="shared" si="351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 t="s">
        <v>107</v>
      </c>
      <c r="C1241" s="31">
        <f t="shared" si="352"/>
        <v>8783</v>
      </c>
      <c r="D1241" s="32">
        <f>650*7+670</f>
        <v>5220</v>
      </c>
      <c r="E1241" s="32"/>
      <c r="F1241" s="32"/>
      <c r="G1241" s="32">
        <f t="shared" si="346"/>
        <v>5220</v>
      </c>
      <c r="H1241" s="12"/>
      <c r="I1241" s="12"/>
      <c r="J1241" s="12">
        <f>-111*2</f>
        <v>-222</v>
      </c>
      <c r="K1241" s="12">
        <f t="shared" si="347"/>
        <v>4998</v>
      </c>
      <c r="M1241" s="10">
        <v>20</v>
      </c>
      <c r="N1241" s="30"/>
      <c r="O1241" s="31"/>
      <c r="P1241" s="32"/>
      <c r="Q1241" s="32"/>
      <c r="R1241" s="32"/>
      <c r="S1241" s="32">
        <f t="shared" si="348"/>
        <v>0</v>
      </c>
      <c r="T1241" s="12"/>
      <c r="U1241" s="12"/>
      <c r="V1241" s="12"/>
      <c r="W1241" s="12">
        <f t="shared" si="349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50"/>
        <v>0</v>
      </c>
      <c r="AF1241" s="12"/>
      <c r="AG1241" s="12"/>
      <c r="AH1241" s="12"/>
      <c r="AI1241" s="12">
        <f t="shared" si="351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11" t="s">
        <v>27</v>
      </c>
      <c r="D1242" s="32"/>
      <c r="E1242" s="32"/>
      <c r="F1242" s="32"/>
      <c r="G1242" s="32">
        <f t="shared" si="346"/>
        <v>0</v>
      </c>
      <c r="H1242" s="10"/>
      <c r="I1242" s="10"/>
      <c r="J1242" s="10"/>
      <c r="K1242" s="12">
        <f t="shared" si="347"/>
        <v>0</v>
      </c>
      <c r="M1242" s="10">
        <v>21</v>
      </c>
      <c r="N1242" s="30"/>
      <c r="O1242" s="31"/>
      <c r="P1242" s="46"/>
      <c r="Q1242" s="31"/>
      <c r="R1242" s="31"/>
      <c r="S1242" s="32">
        <f t="shared" si="348"/>
        <v>0</v>
      </c>
      <c r="T1242" s="10"/>
      <c r="U1242" s="10"/>
      <c r="V1242" s="10"/>
      <c r="W1242" s="12">
        <f t="shared" si="349"/>
        <v>0</v>
      </c>
      <c r="Y1242" s="10">
        <v>21</v>
      </c>
      <c r="Z1242" s="30"/>
      <c r="AB1242" s="46"/>
      <c r="AC1242" s="31"/>
      <c r="AD1242" s="31"/>
      <c r="AE1242" s="32">
        <f t="shared" si="350"/>
        <v>0</v>
      </c>
      <c r="AF1242" s="10"/>
      <c r="AG1242" s="10"/>
      <c r="AH1242" s="10"/>
      <c r="AI1242" s="12">
        <f t="shared" si="351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346"/>
        <v>0</v>
      </c>
      <c r="H1243" s="10"/>
      <c r="I1243" s="10"/>
      <c r="J1243" s="10"/>
      <c r="K1243" s="12">
        <f t="shared" si="347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48"/>
        <v>0</v>
      </c>
      <c r="T1243" s="10"/>
      <c r="U1243" s="10"/>
      <c r="V1243" s="10"/>
      <c r="W1243" s="12">
        <f t="shared" si="349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50"/>
        <v>0</v>
      </c>
      <c r="AF1243" s="10"/>
      <c r="AG1243" s="10"/>
      <c r="AH1243" s="10"/>
      <c r="AI1243" s="12">
        <f t="shared" si="351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346"/>
        <v>0</v>
      </c>
      <c r="H1244" s="10"/>
      <c r="I1244" s="10"/>
      <c r="J1244" s="12"/>
      <c r="K1244" s="12">
        <f t="shared" si="347"/>
        <v>0</v>
      </c>
      <c r="M1244" s="10">
        <v>23</v>
      </c>
      <c r="N1244" s="30"/>
      <c r="O1244" s="31"/>
      <c r="P1244" s="47"/>
      <c r="Q1244" s="31"/>
      <c r="S1244" s="32">
        <f t="shared" si="348"/>
        <v>0</v>
      </c>
      <c r="T1244" s="10"/>
      <c r="U1244" s="10"/>
      <c r="V1244" s="10"/>
      <c r="W1244" s="12">
        <f t="shared" si="349"/>
        <v>0</v>
      </c>
      <c r="Y1244" s="10">
        <v>23</v>
      </c>
      <c r="Z1244" s="30"/>
      <c r="AB1244" s="47"/>
      <c r="AC1244" s="31"/>
      <c r="AE1244" s="32">
        <f t="shared" si="350"/>
        <v>0</v>
      </c>
      <c r="AF1244" s="10"/>
      <c r="AG1244" s="10"/>
      <c r="AH1244" s="10"/>
      <c r="AI1244" s="12">
        <f t="shared" si="351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346"/>
        <v>0</v>
      </c>
      <c r="H1245" s="10"/>
      <c r="I1245" s="10"/>
      <c r="J1245" s="10"/>
      <c r="K1245" s="12">
        <f t="shared" si="347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8"/>
        <v>0</v>
      </c>
      <c r="T1245" s="10"/>
      <c r="U1245" s="10"/>
      <c r="V1245" s="10"/>
      <c r="W1245" s="12">
        <f t="shared" si="349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50"/>
        <v>0</v>
      </c>
      <c r="AF1245" s="10"/>
      <c r="AG1245" s="10"/>
      <c r="AH1245" s="10"/>
      <c r="AI1245" s="12">
        <f t="shared" si="351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46"/>
        <v>0</v>
      </c>
      <c r="H1246" s="10"/>
      <c r="I1246" s="10"/>
      <c r="J1246" s="10"/>
      <c r="K1246" s="12">
        <f t="shared" si="347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8"/>
        <v>0</v>
      </c>
      <c r="T1246" s="10"/>
      <c r="U1246" s="10"/>
      <c r="V1246" s="10"/>
      <c r="W1246" s="12">
        <f t="shared" si="349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50"/>
        <v>0</v>
      </c>
      <c r="AF1246" s="10"/>
      <c r="AG1246" s="10"/>
      <c r="AH1246" s="10"/>
      <c r="AI1246" s="12">
        <f t="shared" si="351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D1247" s="32"/>
      <c r="E1247" s="32"/>
      <c r="F1247" s="32"/>
      <c r="G1247" s="32">
        <f t="shared" si="346"/>
        <v>0</v>
      </c>
      <c r="H1247" s="10"/>
      <c r="I1247" s="10"/>
      <c r="J1247" s="10"/>
      <c r="K1247" s="12">
        <f t="shared" si="347"/>
        <v>0</v>
      </c>
      <c r="M1247" s="10">
        <v>26</v>
      </c>
      <c r="N1247" s="30"/>
      <c r="O1247" s="31"/>
      <c r="P1247" s="47"/>
      <c r="Q1247" s="31"/>
      <c r="R1247" s="31"/>
      <c r="S1247" s="32">
        <f t="shared" si="348"/>
        <v>0</v>
      </c>
      <c r="T1247" s="10"/>
      <c r="U1247" s="10"/>
      <c r="V1247" s="10"/>
      <c r="W1247" s="12">
        <f t="shared" si="349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50"/>
        <v>0</v>
      </c>
      <c r="AF1247" s="10"/>
      <c r="AG1247" s="10"/>
      <c r="AH1247" s="10"/>
      <c r="AI1247" s="12">
        <f t="shared" si="351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346"/>
        <v>0</v>
      </c>
      <c r="H1248" s="10"/>
      <c r="I1248" s="10"/>
      <c r="J1248" s="10"/>
      <c r="K1248" s="12">
        <f t="shared" si="347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8"/>
        <v>0</v>
      </c>
      <c r="T1248" s="10"/>
      <c r="U1248" s="10"/>
      <c r="V1248" s="10"/>
      <c r="W1248" s="12">
        <f t="shared" si="349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50"/>
        <v>0</v>
      </c>
      <c r="AF1248" s="10"/>
      <c r="AG1248" s="10"/>
      <c r="AH1248" s="10"/>
      <c r="AI1248" s="12">
        <f t="shared" si="351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46"/>
        <v>0</v>
      </c>
      <c r="H1249" s="10"/>
      <c r="I1249" s="10"/>
      <c r="J1249" s="10"/>
      <c r="K1249" s="12">
        <f t="shared" si="347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8"/>
        <v>0</v>
      </c>
      <c r="T1249" s="10"/>
      <c r="U1249" s="10"/>
      <c r="V1249" s="10"/>
      <c r="W1249" s="12">
        <f t="shared" si="349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50"/>
        <v>0</v>
      </c>
      <c r="AF1249" s="10"/>
      <c r="AG1249" s="10"/>
      <c r="AH1249" s="10"/>
      <c r="AI1249" s="12">
        <f t="shared" si="351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46"/>
        <v>0</v>
      </c>
      <c r="H1250" s="10"/>
      <c r="I1250" s="10"/>
      <c r="J1250" s="10"/>
      <c r="K1250" s="12">
        <f t="shared" si="347"/>
        <v>0</v>
      </c>
      <c r="M1250" s="10">
        <v>29</v>
      </c>
      <c r="N1250" s="30"/>
      <c r="P1250" s="47"/>
      <c r="Q1250" s="31"/>
      <c r="R1250" s="31"/>
      <c r="S1250" s="32">
        <f t="shared" si="348"/>
        <v>0</v>
      </c>
      <c r="T1250" s="10"/>
      <c r="U1250" s="10"/>
      <c r="V1250" s="10"/>
      <c r="W1250" s="12">
        <f t="shared" si="349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50"/>
        <v>0</v>
      </c>
      <c r="AF1250" s="10"/>
      <c r="AG1250" s="10"/>
      <c r="AH1250" s="10"/>
      <c r="AI1250" s="12">
        <f t="shared" si="351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46"/>
        <v>0</v>
      </c>
      <c r="H1251" s="10"/>
      <c r="I1251" s="10"/>
      <c r="J1251" s="10"/>
      <c r="K1251" s="12">
        <f t="shared" si="347"/>
        <v>0</v>
      </c>
      <c r="M1251" s="10">
        <v>30</v>
      </c>
      <c r="N1251" s="30"/>
      <c r="O1251" s="31"/>
      <c r="P1251" s="47"/>
      <c r="Q1251" s="31"/>
      <c r="R1251" s="31"/>
      <c r="S1251" s="32">
        <f t="shared" si="348"/>
        <v>0</v>
      </c>
      <c r="T1251" s="10"/>
      <c r="U1251" s="10"/>
      <c r="V1251" s="10"/>
      <c r="W1251" s="12">
        <f t="shared" si="349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50"/>
        <v>0</v>
      </c>
      <c r="AF1251" s="10"/>
      <c r="AG1251" s="10"/>
      <c r="AH1251" s="10"/>
      <c r="AI1251" s="12">
        <f t="shared" si="351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88"/>
      <c r="D1252" s="32"/>
      <c r="E1252" s="32"/>
      <c r="F1252" s="32"/>
      <c r="G1252" s="32">
        <f t="shared" si="346"/>
        <v>0</v>
      </c>
      <c r="H1252" s="10"/>
      <c r="I1252" s="10"/>
      <c r="J1252" s="10"/>
      <c r="K1252" s="12">
        <f t="shared" si="347"/>
        <v>0</v>
      </c>
      <c r="M1252" s="10">
        <v>31</v>
      </c>
      <c r="N1252" s="30"/>
      <c r="P1252" s="47"/>
      <c r="Q1252" s="31"/>
      <c r="R1252" s="31"/>
      <c r="S1252" s="32">
        <f t="shared" si="348"/>
        <v>0</v>
      </c>
      <c r="T1252" s="10"/>
      <c r="U1252" s="10"/>
      <c r="V1252" s="10"/>
      <c r="W1252" s="12">
        <f t="shared" si="349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50"/>
        <v>0</v>
      </c>
      <c r="AF1252" s="10"/>
      <c r="AG1252" s="10"/>
      <c r="AH1252" s="10"/>
      <c r="AI1252" s="12">
        <f t="shared" si="351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57"/>
      <c r="D1253" s="32"/>
      <c r="E1253" s="32"/>
      <c r="F1253" s="32"/>
      <c r="G1253" s="32">
        <f t="shared" si="346"/>
        <v>0</v>
      </c>
      <c r="H1253" s="10"/>
      <c r="I1253" s="10"/>
      <c r="J1253" s="10"/>
      <c r="K1253" s="12">
        <f t="shared" si="347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8"/>
        <v>0</v>
      </c>
      <c r="T1253" s="10"/>
      <c r="U1253" s="10"/>
      <c r="V1253" s="10"/>
      <c r="W1253" s="12">
        <f t="shared" si="349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50"/>
        <v>0</v>
      </c>
      <c r="AF1253" s="10"/>
      <c r="AG1253" s="10"/>
      <c r="AH1253" s="10"/>
      <c r="AI1253" s="12">
        <f t="shared" si="351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8"/>
      <c r="D1254" s="32"/>
      <c r="E1254" s="32"/>
      <c r="F1254" s="32"/>
      <c r="G1254" s="32">
        <f t="shared" si="346"/>
        <v>0</v>
      </c>
      <c r="H1254" s="10"/>
      <c r="I1254" s="10"/>
      <c r="J1254" s="10"/>
      <c r="K1254" s="12">
        <f t="shared" si="347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8"/>
        <v>0</v>
      </c>
      <c r="T1254" s="10"/>
      <c r="U1254" s="10"/>
      <c r="V1254" s="10"/>
      <c r="W1254" s="12">
        <f t="shared" si="349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50"/>
        <v>0</v>
      </c>
      <c r="AF1254" s="10"/>
      <c r="AG1254" s="10"/>
      <c r="AH1254" s="10"/>
      <c r="AI1254" s="12">
        <f t="shared" si="351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8"/>
      <c r="D1255" s="32"/>
      <c r="E1255" s="32"/>
      <c r="F1255" s="32"/>
      <c r="G1255" s="32">
        <f t="shared" si="346"/>
        <v>0</v>
      </c>
      <c r="H1255" s="10"/>
      <c r="I1255" s="10"/>
      <c r="J1255" s="10"/>
      <c r="K1255" s="12">
        <f t="shared" si="347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8"/>
        <v>0</v>
      </c>
      <c r="T1255" s="10"/>
      <c r="U1255" s="10"/>
      <c r="V1255" s="10"/>
      <c r="W1255" s="12">
        <f t="shared" si="349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0" si="355">SUM(AB1255:AC1255)</f>
        <v>0</v>
      </c>
      <c r="AF1255" s="10"/>
      <c r="AG1255" s="10"/>
      <c r="AH1255" s="10"/>
      <c r="AI1255" s="12">
        <f t="shared" si="351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8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8"/>
        <v>0</v>
      </c>
      <c r="T1256" s="10"/>
      <c r="U1256" s="10"/>
      <c r="V1256" s="10"/>
      <c r="W1256" s="12">
        <f t="shared" si="349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55"/>
        <v>0</v>
      </c>
      <c r="AF1256" s="10"/>
      <c r="AG1256" s="10"/>
      <c r="AH1256" s="10"/>
      <c r="AI1256" s="12">
        <f t="shared" si="351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8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8"/>
        <v>0</v>
      </c>
      <c r="T1257" s="10"/>
      <c r="U1257" s="10"/>
      <c r="V1257" s="10"/>
      <c r="W1257" s="12">
        <f t="shared" si="349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55"/>
        <v>0</v>
      </c>
      <c r="AF1257" s="10"/>
      <c r="AG1257" s="10"/>
      <c r="AH1257" s="10"/>
      <c r="AI1257" s="12">
        <f t="shared" si="351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8"/>
        <v>0</v>
      </c>
      <c r="T1258" s="10"/>
      <c r="U1258" s="10"/>
      <c r="V1258" s="10"/>
      <c r="W1258" s="12">
        <f t="shared" si="349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55"/>
        <v>0</v>
      </c>
      <c r="AF1258" s="10"/>
      <c r="AG1258" s="10"/>
      <c r="AH1258" s="10"/>
      <c r="AI1258" s="12">
        <f t="shared" si="351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8"/>
        <v>0</v>
      </c>
      <c r="T1259" s="10"/>
      <c r="U1259" s="10"/>
      <c r="V1259" s="10"/>
      <c r="W1259" s="12">
        <f t="shared" si="349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55"/>
        <v>0</v>
      </c>
      <c r="AF1259" s="10"/>
      <c r="AG1259" s="10"/>
      <c r="AH1259" s="10"/>
      <c r="AI1259" s="12">
        <f t="shared" si="351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8"/>
        <v>0</v>
      </c>
      <c r="T1260" s="10"/>
      <c r="U1260" s="10"/>
      <c r="V1260" s="10"/>
      <c r="W1260" s="12">
        <f t="shared" si="349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55"/>
        <v>0</v>
      </c>
      <c r="AF1260" s="10"/>
      <c r="AG1260" s="10"/>
      <c r="AH1260" s="10"/>
      <c r="AI1260" s="12">
        <f t="shared" si="351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9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51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56">SUM(D1262:E1262)</f>
        <v>0</v>
      </c>
      <c r="H1262" s="10"/>
      <c r="I1262" s="10"/>
      <c r="J1262" s="10"/>
      <c r="K1262" s="12">
        <f t="shared" ref="K1262" si="357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8">SUM(P1262:Q1262)</f>
        <v>0</v>
      </c>
      <c r="T1262" s="10"/>
      <c r="U1262" s="10"/>
      <c r="V1262" s="10"/>
      <c r="W1262" s="12">
        <f t="shared" si="349"/>
        <v>0</v>
      </c>
      <c r="Y1262" s="10"/>
      <c r="Z1262" s="30"/>
      <c r="AA1262" s="31"/>
      <c r="AB1262" s="47"/>
      <c r="AC1262" s="31"/>
      <c r="AD1262" s="31"/>
      <c r="AE1262" s="32">
        <f t="shared" ref="AE1262" si="359">SUM(AB1262:AC1262)</f>
        <v>0</v>
      </c>
      <c r="AF1262" s="10"/>
      <c r="AG1262" s="10"/>
      <c r="AH1262" s="10"/>
      <c r="AI1262" s="12">
        <f t="shared" si="351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9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51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135519</v>
      </c>
      <c r="E1265" s="38">
        <f t="shared" ref="E1265:F1265" si="360">SUM(E1222:E1262)</f>
        <v>0</v>
      </c>
      <c r="F1265" s="38">
        <f t="shared" si="360"/>
        <v>0</v>
      </c>
      <c r="G1265" s="38">
        <f>SUM(G1222:G1264)</f>
        <v>135519</v>
      </c>
      <c r="H1265" s="4"/>
      <c r="I1265" s="39">
        <f>SUM(I1222:I1264)</f>
        <v>2959.5</v>
      </c>
      <c r="J1265" s="39">
        <f>SUM(J1222:J1264)</f>
        <v>-222</v>
      </c>
      <c r="K1265" s="40">
        <f>SUM(K1222:K1264)</f>
        <v>138256.5</v>
      </c>
      <c r="N1265" s="57"/>
      <c r="O1265" s="57"/>
      <c r="P1265" s="38">
        <f>SUM(P1222:P1264)</f>
        <v>150533</v>
      </c>
      <c r="Q1265" s="38">
        <f>SUM(Q1222:Q1246)</f>
        <v>-720</v>
      </c>
      <c r="R1265" s="38">
        <f>SUM(R1222:R1246)</f>
        <v>0</v>
      </c>
      <c r="S1265" s="38">
        <f>SUM(S1222:S1264)</f>
        <v>149813</v>
      </c>
      <c r="T1265" s="4"/>
      <c r="U1265" s="41">
        <f>SUM(U1222:U1264)</f>
        <v>60</v>
      </c>
      <c r="V1265" s="41">
        <f>SUM(V1222:V1246)</f>
        <v>0</v>
      </c>
      <c r="W1265" s="42">
        <f>SUM(W1222:W1264)</f>
        <v>149873</v>
      </c>
      <c r="Z1265" s="57"/>
      <c r="AA1265" s="57"/>
      <c r="AB1265" s="38">
        <f>SUM(AB1222:AB1264)</f>
        <v>195872.5</v>
      </c>
      <c r="AC1265" s="38">
        <f>SUM(AC1222:AC1246)</f>
        <v>-1710</v>
      </c>
      <c r="AD1265" s="38">
        <f>SUM(AD1222:AD1246)</f>
        <v>0</v>
      </c>
      <c r="AE1265" s="38">
        <f>SUM(AE1222:AE1264)</f>
        <v>194162.5</v>
      </c>
      <c r="AF1265" s="4"/>
      <c r="AG1265" s="41">
        <f>SUM(AG1222:AG1264)</f>
        <v>0</v>
      </c>
      <c r="AH1265" s="41">
        <f>SUM(AH1222:AH1246)</f>
        <v>-5217</v>
      </c>
      <c r="AI1265" s="42">
        <f>SUM(AI1222:AI1264)</f>
        <v>188945.5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t="s">
        <v>28</v>
      </c>
      <c r="N1268" s="57"/>
      <c r="O1268" s="57"/>
      <c r="P1268" s="57"/>
      <c r="Q1268" s="57"/>
      <c r="R1268" s="57"/>
      <c r="S1268" s="57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4" t="s">
        <v>14</v>
      </c>
      <c r="N1270" s="57"/>
      <c r="O1270" s="57"/>
      <c r="P1270" s="57"/>
      <c r="Q1270" s="57"/>
      <c r="R1270" s="57"/>
      <c r="S1270" s="57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56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t="s">
        <v>56</v>
      </c>
      <c r="N1272" s="57"/>
      <c r="O1272" s="57"/>
      <c r="P1272" s="57"/>
      <c r="Q1272" s="57"/>
      <c r="R1272" s="57"/>
      <c r="S1272" s="57"/>
      <c r="U1272" s="57" t="s">
        <v>15</v>
      </c>
      <c r="V1272" s="19">
        <v>2</v>
      </c>
      <c r="Y1272" t="s">
        <v>56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109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21" t="s">
        <v>109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98</v>
      </c>
      <c r="W1273" s="24"/>
      <c r="Y1273" s="21" t="s">
        <v>109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54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1" t="s">
        <v>17</v>
      </c>
      <c r="E1275" s="121"/>
      <c r="F1275" s="116"/>
      <c r="G1275" s="27"/>
      <c r="I1275" s="124" t="s">
        <v>18</v>
      </c>
      <c r="J1275" s="125"/>
      <c r="K1275" s="122" t="s">
        <v>19</v>
      </c>
      <c r="N1275" s="25"/>
      <c r="O1275" s="26"/>
      <c r="P1275" s="121" t="s">
        <v>17</v>
      </c>
      <c r="Q1275" s="121"/>
      <c r="R1275" s="116"/>
      <c r="S1275" s="27"/>
      <c r="U1275" s="124" t="s">
        <v>18</v>
      </c>
      <c r="V1275" s="125"/>
      <c r="W1275" s="122" t="s">
        <v>19</v>
      </c>
      <c r="Z1275" s="25"/>
      <c r="AA1275" s="26"/>
      <c r="AB1275" s="121" t="s">
        <v>17</v>
      </c>
      <c r="AC1275" s="121"/>
      <c r="AD1275" s="116"/>
      <c r="AE1275" s="27"/>
      <c r="AG1275" s="124" t="s">
        <v>18</v>
      </c>
      <c r="AH1275" s="125"/>
      <c r="AI1275" s="122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9" t="s">
        <v>22</v>
      </c>
      <c r="E1276" s="78" t="s">
        <v>23</v>
      </c>
      <c r="F1276" s="80" t="s">
        <v>32</v>
      </c>
      <c r="G1276" s="80" t="s">
        <v>24</v>
      </c>
      <c r="I1276" s="29" t="s">
        <v>25</v>
      </c>
      <c r="J1276" s="29" t="s">
        <v>26</v>
      </c>
      <c r="K1276" s="123"/>
      <c r="N1276" s="28" t="s">
        <v>20</v>
      </c>
      <c r="O1276" s="28" t="s">
        <v>21</v>
      </c>
      <c r="P1276" s="79" t="s">
        <v>22</v>
      </c>
      <c r="Q1276" s="80" t="s">
        <v>23</v>
      </c>
      <c r="R1276" s="80" t="s">
        <v>32</v>
      </c>
      <c r="S1276" s="80" t="s">
        <v>24</v>
      </c>
      <c r="U1276" s="29" t="s">
        <v>25</v>
      </c>
      <c r="V1276" s="29" t="s">
        <v>26</v>
      </c>
      <c r="W1276" s="123"/>
      <c r="Z1276" s="28" t="s">
        <v>20</v>
      </c>
      <c r="AA1276" s="28" t="s">
        <v>21</v>
      </c>
      <c r="AB1276" s="79" t="s">
        <v>22</v>
      </c>
      <c r="AC1276" s="80" t="s">
        <v>23</v>
      </c>
      <c r="AD1276" s="80" t="s">
        <v>32</v>
      </c>
      <c r="AE1276" s="80" t="s">
        <v>24</v>
      </c>
      <c r="AG1276" s="29" t="s">
        <v>25</v>
      </c>
      <c r="AH1276" s="29" t="s">
        <v>26</v>
      </c>
      <c r="AI1276" s="123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110</v>
      </c>
      <c r="C1277" s="88">
        <v>8784</v>
      </c>
      <c r="D1277" s="32">
        <f>229*10</f>
        <v>2290</v>
      </c>
      <c r="E1277" s="32"/>
      <c r="F1277" s="32"/>
      <c r="G1277" s="32">
        <f t="shared" ref="G1277:G1310" si="361">SUM(D1277:E1277)</f>
        <v>2290</v>
      </c>
      <c r="H1277" s="12"/>
      <c r="I1277" s="12"/>
      <c r="J1277" s="12"/>
      <c r="K1277" s="12">
        <f t="shared" ref="K1277:K1310" si="362">SUM(G1277:J1277)</f>
        <v>2290</v>
      </c>
      <c r="M1277" s="10">
        <v>1</v>
      </c>
      <c r="N1277" s="30" t="s">
        <v>110</v>
      </c>
      <c r="O1277" s="31">
        <v>8801</v>
      </c>
      <c r="P1277" s="32">
        <f>650*6+9.5*6</f>
        <v>3957</v>
      </c>
      <c r="Q1277" s="32"/>
      <c r="R1277" s="32"/>
      <c r="S1277" s="32">
        <f>SUM(P1277:Q1277)</f>
        <v>3957</v>
      </c>
      <c r="T1277" s="12"/>
      <c r="U1277" s="12"/>
      <c r="V1277" s="12">
        <v>-333</v>
      </c>
      <c r="W1277" s="12">
        <f>SUM(S1277:V1277)</f>
        <v>3624</v>
      </c>
      <c r="Y1277" s="10">
        <v>1</v>
      </c>
      <c r="Z1277" s="30" t="s">
        <v>110</v>
      </c>
      <c r="AA1277" s="31">
        <v>8684</v>
      </c>
      <c r="AB1277" s="32">
        <f>650*15+670*2+622*5+229</f>
        <v>14429</v>
      </c>
      <c r="AC1277" s="32"/>
      <c r="AD1277" s="32"/>
      <c r="AE1277" s="32">
        <f>SUM(AB1277:AC1277)</f>
        <v>14429</v>
      </c>
      <c r="AF1277" s="12"/>
      <c r="AG1277" s="12">
        <f>111*6+4.5*12</f>
        <v>720</v>
      </c>
      <c r="AH1277" s="12"/>
      <c r="AI1277" s="12">
        <f>SUM(AE1277:AH1277)</f>
        <v>15149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110</v>
      </c>
      <c r="C1278" s="31">
        <f>C1277+1</f>
        <v>8785</v>
      </c>
      <c r="D1278" s="32">
        <f>650*108+622*30</f>
        <v>88860</v>
      </c>
      <c r="E1278" s="32"/>
      <c r="F1278" s="32"/>
      <c r="G1278" s="32">
        <f t="shared" si="361"/>
        <v>88860</v>
      </c>
      <c r="H1278" s="12"/>
      <c r="I1278" s="12">
        <v>108</v>
      </c>
      <c r="J1278" s="12"/>
      <c r="K1278" s="12">
        <f t="shared" si="362"/>
        <v>88968</v>
      </c>
      <c r="M1278" s="10">
        <v>2</v>
      </c>
      <c r="N1278" s="30" t="s">
        <v>110</v>
      </c>
      <c r="O1278" s="31">
        <f>O1277+1</f>
        <v>8802</v>
      </c>
      <c r="P1278" s="32">
        <f>650*200+650+1175+229*8</f>
        <v>133657</v>
      </c>
      <c r="Q1278" s="32">
        <v>-1200</v>
      </c>
      <c r="R1278" s="32"/>
      <c r="S1278" s="32">
        <f t="shared" ref="S1278:S1315" si="363">SUM(P1278:Q1278)</f>
        <v>132457</v>
      </c>
      <c r="T1278" s="12"/>
      <c r="U1278" s="12"/>
      <c r="V1278" s="12">
        <f>-111*108</f>
        <v>-11988</v>
      </c>
      <c r="W1278" s="12">
        <f t="shared" ref="W1278:W1318" si="364">SUM(S1278:V1278)</f>
        <v>120469</v>
      </c>
      <c r="Y1278" s="10">
        <v>2</v>
      </c>
      <c r="Z1278" s="30" t="s">
        <v>110</v>
      </c>
      <c r="AA1278" s="31">
        <f>AA1277+1</f>
        <v>8685</v>
      </c>
      <c r="AB1278" s="32">
        <f>650*30+622*10+229</f>
        <v>25949</v>
      </c>
      <c r="AC1278" s="32"/>
      <c r="AD1278" s="32"/>
      <c r="AE1278" s="32">
        <f t="shared" ref="AE1278:AE1309" si="365">SUM(AB1278:AC1278)</f>
        <v>25949</v>
      </c>
      <c r="AF1278" s="12"/>
      <c r="AG1278" s="12"/>
      <c r="AH1278" s="12"/>
      <c r="AI1278" s="12">
        <f t="shared" ref="AI1278:AI1318" si="366">SUM(AE1278:AH1278)</f>
        <v>25949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110</v>
      </c>
      <c r="C1279" s="31">
        <f t="shared" ref="C1279:C1282" si="367">C1278+1</f>
        <v>8786</v>
      </c>
      <c r="D1279" s="33">
        <f>650*20+670*3+872+650</f>
        <v>16532</v>
      </c>
      <c r="E1279" s="33"/>
      <c r="F1279" s="33"/>
      <c r="G1279" s="33">
        <f t="shared" si="361"/>
        <v>16532</v>
      </c>
      <c r="H1279" s="34"/>
      <c r="I1279" s="34">
        <f>111*2+4.5*32</f>
        <v>366</v>
      </c>
      <c r="J1279" s="34"/>
      <c r="K1279" s="34">
        <f t="shared" si="362"/>
        <v>16898</v>
      </c>
      <c r="M1279" s="10">
        <v>3</v>
      </c>
      <c r="N1279" s="30" t="s">
        <v>110</v>
      </c>
      <c r="O1279" s="31">
        <f t="shared" ref="O1279" si="368">O1278+1</f>
        <v>8803</v>
      </c>
      <c r="P1279" s="32">
        <f>650+9.5</f>
        <v>659.5</v>
      </c>
      <c r="Q1279" s="32"/>
      <c r="R1279" s="32"/>
      <c r="S1279" s="32">
        <f t="shared" si="363"/>
        <v>659.5</v>
      </c>
      <c r="T1279" s="12"/>
      <c r="U1279" s="12"/>
      <c r="V1279" s="12"/>
      <c r="W1279" s="12">
        <f t="shared" si="364"/>
        <v>659.5</v>
      </c>
      <c r="Y1279" s="10">
        <v>3</v>
      </c>
      <c r="Z1279" s="30" t="s">
        <v>110</v>
      </c>
      <c r="AA1279" s="31">
        <f t="shared" ref="AA1279:AA1282" si="369">AA1278+1</f>
        <v>8686</v>
      </c>
      <c r="AB1279" s="33">
        <f>650*125+622*25+229*6</f>
        <v>98174</v>
      </c>
      <c r="AC1279" s="33">
        <v>-900</v>
      </c>
      <c r="AD1279" s="32"/>
      <c r="AE1279" s="32">
        <f t="shared" si="365"/>
        <v>97274</v>
      </c>
      <c r="AF1279" s="12"/>
      <c r="AG1279" s="12">
        <v>49.5</v>
      </c>
      <c r="AH1279" s="12"/>
      <c r="AI1279" s="12">
        <f t="shared" si="366"/>
        <v>97323.5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110</v>
      </c>
      <c r="C1280" s="31">
        <f t="shared" si="367"/>
        <v>8787</v>
      </c>
      <c r="D1280" s="32">
        <f>650*15</f>
        <v>9750</v>
      </c>
      <c r="E1280" s="32"/>
      <c r="F1280" s="32"/>
      <c r="G1280" s="32">
        <f t="shared" si="361"/>
        <v>9750</v>
      </c>
      <c r="H1280" s="12"/>
      <c r="I1280" s="12"/>
      <c r="J1280" s="12"/>
      <c r="K1280" s="12">
        <f t="shared" si="362"/>
        <v>9750</v>
      </c>
      <c r="M1280" s="10">
        <v>4</v>
      </c>
      <c r="N1280" s="30"/>
      <c r="O1280" s="11" t="s">
        <v>27</v>
      </c>
      <c r="P1280" s="32"/>
      <c r="Q1280" s="32"/>
      <c r="R1280" s="32"/>
      <c r="S1280" s="32">
        <f t="shared" si="363"/>
        <v>0</v>
      </c>
      <c r="T1280" s="12"/>
      <c r="U1280" s="12"/>
      <c r="V1280" s="12"/>
      <c r="W1280" s="12">
        <f t="shared" si="364"/>
        <v>0</v>
      </c>
      <c r="Y1280" s="10">
        <v>4</v>
      </c>
      <c r="Z1280" s="30" t="s">
        <v>110</v>
      </c>
      <c r="AA1280" s="31">
        <f t="shared" si="369"/>
        <v>8687</v>
      </c>
      <c r="AB1280" s="32">
        <f>650*57+670*3+229*2</f>
        <v>39518</v>
      </c>
      <c r="AC1280" s="32">
        <v>-360</v>
      </c>
      <c r="AD1280" s="32"/>
      <c r="AE1280" s="32">
        <f t="shared" si="365"/>
        <v>39158</v>
      </c>
      <c r="AF1280" s="12"/>
      <c r="AH1280" s="12">
        <v>-1110</v>
      </c>
      <c r="AI1280" s="12">
        <f t="shared" si="366"/>
        <v>38048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110</v>
      </c>
      <c r="C1281" s="31">
        <f t="shared" si="367"/>
        <v>8788</v>
      </c>
      <c r="D1281" s="32">
        <f>650*112+622*6</f>
        <v>76532</v>
      </c>
      <c r="E1281" s="32"/>
      <c r="F1281" s="32"/>
      <c r="G1281" s="32">
        <f t="shared" si="361"/>
        <v>76532</v>
      </c>
      <c r="H1281" s="12"/>
      <c r="I1281" s="12"/>
      <c r="J1281" s="12"/>
      <c r="K1281" s="12">
        <f t="shared" si="362"/>
        <v>76532</v>
      </c>
      <c r="M1281" s="10">
        <v>5</v>
      </c>
      <c r="N1281" s="30"/>
      <c r="O1281" s="31"/>
      <c r="P1281" s="32"/>
      <c r="Q1281" s="32"/>
      <c r="R1281" s="32"/>
      <c r="S1281" s="32">
        <f t="shared" si="363"/>
        <v>0</v>
      </c>
      <c r="T1281" s="12"/>
      <c r="U1281" s="12"/>
      <c r="V1281" s="12"/>
      <c r="W1281" s="12">
        <f t="shared" si="364"/>
        <v>0</v>
      </c>
      <c r="Y1281" s="10">
        <v>5</v>
      </c>
      <c r="Z1281" s="30" t="s">
        <v>110</v>
      </c>
      <c r="AA1281" s="31">
        <f t="shared" si="369"/>
        <v>8688</v>
      </c>
      <c r="AB1281" s="32">
        <f>650+670</f>
        <v>1320</v>
      </c>
      <c r="AC1281" s="32"/>
      <c r="AD1281" s="32"/>
      <c r="AE1281" s="32">
        <f t="shared" si="365"/>
        <v>1320</v>
      </c>
      <c r="AF1281" s="12"/>
      <c r="AG1281" s="12"/>
      <c r="AH1281" s="12"/>
      <c r="AI1281" s="12">
        <f t="shared" si="366"/>
        <v>1320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110</v>
      </c>
      <c r="C1282" s="31">
        <f t="shared" si="367"/>
        <v>8789</v>
      </c>
      <c r="D1282" s="32">
        <f>650*18+622*4</f>
        <v>14188</v>
      </c>
      <c r="E1282" s="32"/>
      <c r="F1282" s="32"/>
      <c r="G1282" s="32">
        <f t="shared" si="361"/>
        <v>14188</v>
      </c>
      <c r="H1282" s="12"/>
      <c r="I1282" s="12"/>
      <c r="J1282" s="12">
        <v>-222</v>
      </c>
      <c r="K1282" s="12">
        <f t="shared" si="362"/>
        <v>13966</v>
      </c>
      <c r="M1282" s="10">
        <v>6</v>
      </c>
      <c r="N1282" s="30"/>
      <c r="O1282" s="31"/>
      <c r="P1282" s="32"/>
      <c r="Q1282" s="32"/>
      <c r="R1282" s="32"/>
      <c r="S1282" s="32">
        <f t="shared" si="363"/>
        <v>0</v>
      </c>
      <c r="T1282" s="12"/>
      <c r="U1282" s="12"/>
      <c r="V1282" s="10"/>
      <c r="W1282" s="12">
        <f t="shared" si="364"/>
        <v>0</v>
      </c>
      <c r="Y1282" s="10">
        <v>6</v>
      </c>
      <c r="Z1282" s="30" t="s">
        <v>110</v>
      </c>
      <c r="AA1282" s="31">
        <f t="shared" si="369"/>
        <v>8689</v>
      </c>
      <c r="AB1282" s="32">
        <f>1744</f>
        <v>1744</v>
      </c>
      <c r="AC1282" s="32"/>
      <c r="AD1282" s="32"/>
      <c r="AE1282" s="32">
        <f t="shared" si="365"/>
        <v>1744</v>
      </c>
      <c r="AF1282" s="12"/>
      <c r="AG1282" s="12"/>
      <c r="AH1282" s="10"/>
      <c r="AI1282" s="12">
        <f t="shared" si="366"/>
        <v>1744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/>
      <c r="C1283" s="11" t="s">
        <v>27</v>
      </c>
      <c r="D1283" s="32"/>
      <c r="E1283" s="32"/>
      <c r="F1283" s="32"/>
      <c r="G1283" s="32">
        <f t="shared" si="361"/>
        <v>0</v>
      </c>
      <c r="H1283" s="12"/>
      <c r="I1283" s="12"/>
      <c r="J1283" s="12"/>
      <c r="K1283" s="12">
        <f t="shared" si="362"/>
        <v>0</v>
      </c>
      <c r="M1283" s="10">
        <v>7</v>
      </c>
      <c r="N1283" s="30"/>
      <c r="O1283" s="31"/>
      <c r="P1283" s="32"/>
      <c r="Q1283" s="32"/>
      <c r="R1283" s="32"/>
      <c r="S1283" s="32">
        <f t="shared" si="363"/>
        <v>0</v>
      </c>
      <c r="T1283" s="12"/>
      <c r="U1283" s="12"/>
      <c r="V1283" s="12"/>
      <c r="W1283" s="12">
        <f t="shared" si="364"/>
        <v>0</v>
      </c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5"/>
        <v>0</v>
      </c>
      <c r="AF1283" s="12"/>
      <c r="AG1283" s="58"/>
      <c r="AH1283" s="12"/>
      <c r="AI1283" s="12">
        <f t="shared" si="366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/>
      <c r="C1284" s="31"/>
      <c r="D1284" s="32"/>
      <c r="E1284" s="32"/>
      <c r="F1284" s="32"/>
      <c r="G1284" s="32">
        <f t="shared" si="361"/>
        <v>0</v>
      </c>
      <c r="H1284" s="12"/>
      <c r="I1284" s="12"/>
      <c r="J1284" s="12"/>
      <c r="K1284" s="12">
        <f t="shared" si="362"/>
        <v>0</v>
      </c>
      <c r="M1284" s="10">
        <v>8</v>
      </c>
      <c r="N1284" s="30"/>
      <c r="P1284" s="32"/>
      <c r="Q1284" s="32"/>
      <c r="R1284" s="32"/>
      <c r="S1284" s="32">
        <f t="shared" si="363"/>
        <v>0</v>
      </c>
      <c r="T1284" s="12"/>
      <c r="U1284" s="12"/>
      <c r="V1284" s="12"/>
      <c r="W1284" s="12">
        <f t="shared" si="364"/>
        <v>0</v>
      </c>
      <c r="Y1284" s="10">
        <v>8</v>
      </c>
      <c r="Z1284" s="30"/>
      <c r="AA1284" s="31"/>
      <c r="AB1284" s="32"/>
      <c r="AC1284" s="32"/>
      <c r="AE1284" s="32">
        <f t="shared" si="365"/>
        <v>0</v>
      </c>
      <c r="AF1284" s="12"/>
      <c r="AG1284" s="12"/>
      <c r="AH1284" s="12"/>
      <c r="AI1284" s="12">
        <f t="shared" si="366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/>
      <c r="C1285" s="31"/>
      <c r="D1285" s="32"/>
      <c r="E1285" s="32"/>
      <c r="F1285" s="32"/>
      <c r="G1285" s="32">
        <f t="shared" si="361"/>
        <v>0</v>
      </c>
      <c r="H1285" s="12"/>
      <c r="I1285" s="12"/>
      <c r="J1285" s="12"/>
      <c r="K1285" s="12">
        <f t="shared" si="362"/>
        <v>0</v>
      </c>
      <c r="M1285" s="10">
        <v>9</v>
      </c>
      <c r="N1285" s="30"/>
      <c r="O1285" s="31"/>
      <c r="P1285" s="32"/>
      <c r="Q1285" s="32"/>
      <c r="R1285" s="32"/>
      <c r="S1285" s="32">
        <f t="shared" si="363"/>
        <v>0</v>
      </c>
      <c r="T1285" s="12"/>
      <c r="U1285" s="12"/>
      <c r="V1285" s="12"/>
      <c r="W1285" s="12">
        <f t="shared" si="364"/>
        <v>0</v>
      </c>
      <c r="Y1285" s="10">
        <v>9</v>
      </c>
      <c r="Z1285" s="30"/>
      <c r="AA1285" s="31"/>
      <c r="AB1285" s="32"/>
      <c r="AC1285" s="32"/>
      <c r="AD1285" s="32"/>
      <c r="AE1285" s="32">
        <f t="shared" si="365"/>
        <v>0</v>
      </c>
      <c r="AF1285" s="12"/>
      <c r="AH1285" s="12"/>
      <c r="AI1285" s="12">
        <f t="shared" si="366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/>
      <c r="C1286" s="31"/>
      <c r="D1286" s="32"/>
      <c r="E1286" s="32"/>
      <c r="F1286" s="32"/>
      <c r="G1286" s="32">
        <f t="shared" si="361"/>
        <v>0</v>
      </c>
      <c r="H1286" s="12"/>
      <c r="I1286" s="12"/>
      <c r="J1286" s="12"/>
      <c r="K1286" s="12">
        <f t="shared" si="362"/>
        <v>0</v>
      </c>
      <c r="M1286" s="10">
        <v>10</v>
      </c>
      <c r="N1286" s="30"/>
      <c r="O1286" s="31"/>
      <c r="P1286" s="32"/>
      <c r="Q1286" s="32"/>
      <c r="R1286" s="32"/>
      <c r="S1286" s="32">
        <f t="shared" si="363"/>
        <v>0</v>
      </c>
      <c r="T1286" s="12"/>
      <c r="U1286" s="12"/>
      <c r="V1286" s="12"/>
      <c r="W1286" s="12">
        <f t="shared" si="364"/>
        <v>0</v>
      </c>
      <c r="Y1286" s="10">
        <v>10</v>
      </c>
      <c r="Z1286" s="30"/>
      <c r="AB1286" s="32"/>
      <c r="AC1286" s="32"/>
      <c r="AD1286" s="32"/>
      <c r="AE1286" s="32">
        <f t="shared" si="365"/>
        <v>0</v>
      </c>
      <c r="AF1286" s="12"/>
      <c r="AG1286" s="12"/>
      <c r="AH1286" s="12"/>
      <c r="AI1286" s="12">
        <f t="shared" si="366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/>
      <c r="C1287" s="31"/>
      <c r="D1287" s="32"/>
      <c r="E1287" s="32"/>
      <c r="F1287" s="32"/>
      <c r="G1287" s="32">
        <f t="shared" si="361"/>
        <v>0</v>
      </c>
      <c r="H1287" s="12"/>
      <c r="I1287" s="12"/>
      <c r="J1287" s="12"/>
      <c r="K1287" s="12">
        <f t="shared" si="362"/>
        <v>0</v>
      </c>
      <c r="M1287" s="10">
        <v>11</v>
      </c>
      <c r="N1287" s="30"/>
      <c r="O1287" s="31"/>
      <c r="P1287" s="32"/>
      <c r="Q1287" s="32"/>
      <c r="R1287" s="32"/>
      <c r="S1287" s="32">
        <f t="shared" si="363"/>
        <v>0</v>
      </c>
      <c r="T1287" s="12"/>
      <c r="U1287" s="12"/>
      <c r="V1287" s="12"/>
      <c r="W1287" s="12">
        <f t="shared" si="364"/>
        <v>0</v>
      </c>
      <c r="Y1287" s="10">
        <v>11</v>
      </c>
      <c r="Z1287" s="30"/>
      <c r="AA1287" s="31"/>
      <c r="AB1287" s="32"/>
      <c r="AC1287" s="32"/>
      <c r="AD1287" s="32"/>
      <c r="AE1287" s="32">
        <f t="shared" si="365"/>
        <v>0</v>
      </c>
      <c r="AF1287" s="12"/>
      <c r="AG1287" s="12"/>
      <c r="AH1287" s="12"/>
      <c r="AI1287" s="12">
        <f t="shared" si="366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/>
      <c r="C1288" s="31"/>
      <c r="D1288" s="32"/>
      <c r="E1288" s="32"/>
      <c r="F1288" s="32"/>
      <c r="G1288" s="32">
        <f t="shared" si="361"/>
        <v>0</v>
      </c>
      <c r="H1288" s="12"/>
      <c r="I1288" s="12"/>
      <c r="J1288" s="10"/>
      <c r="K1288" s="12">
        <f t="shared" si="362"/>
        <v>0</v>
      </c>
      <c r="M1288" s="10">
        <v>12</v>
      </c>
      <c r="N1288" s="30"/>
      <c r="O1288" s="31"/>
      <c r="P1288" s="32"/>
      <c r="Q1288" s="32"/>
      <c r="R1288" s="32"/>
      <c r="S1288" s="32">
        <f t="shared" si="363"/>
        <v>0</v>
      </c>
      <c r="T1288" s="12"/>
      <c r="U1288" s="12"/>
      <c r="V1288" s="12"/>
      <c r="W1288" s="12">
        <f t="shared" si="364"/>
        <v>0</v>
      </c>
      <c r="Y1288" s="10">
        <v>12</v>
      </c>
      <c r="Z1288" s="30"/>
      <c r="AA1288" s="31"/>
      <c r="AB1288" s="32"/>
      <c r="AC1288" s="32"/>
      <c r="AD1288" s="32"/>
      <c r="AE1288" s="32">
        <f t="shared" si="365"/>
        <v>0</v>
      </c>
      <c r="AF1288" s="12"/>
      <c r="AG1288" s="12"/>
      <c r="AH1288" s="12"/>
      <c r="AI1288" s="12">
        <f t="shared" si="366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31"/>
      <c r="D1289" s="32"/>
      <c r="E1289" s="32"/>
      <c r="F1289" s="32"/>
      <c r="G1289" s="32">
        <f t="shared" si="361"/>
        <v>0</v>
      </c>
      <c r="H1289" s="12"/>
      <c r="I1289" s="12"/>
      <c r="J1289" s="12"/>
      <c r="K1289" s="12">
        <f t="shared" si="362"/>
        <v>0</v>
      </c>
      <c r="M1289" s="10">
        <v>13</v>
      </c>
      <c r="N1289" s="30"/>
      <c r="O1289" s="31"/>
      <c r="P1289" s="32"/>
      <c r="Q1289" s="32"/>
      <c r="R1289" s="32"/>
      <c r="S1289" s="32">
        <f t="shared" si="363"/>
        <v>0</v>
      </c>
      <c r="T1289" s="12"/>
      <c r="U1289" s="12"/>
      <c r="V1289" s="12"/>
      <c r="W1289" s="12">
        <f t="shared" si="364"/>
        <v>0</v>
      </c>
      <c r="Y1289" s="10">
        <v>13</v>
      </c>
      <c r="Z1289" s="30"/>
      <c r="AA1289" s="31"/>
      <c r="AB1289" s="32"/>
      <c r="AC1289" s="32"/>
      <c r="AD1289" s="32"/>
      <c r="AE1289" s="32">
        <f t="shared" si="365"/>
        <v>0</v>
      </c>
      <c r="AF1289" s="12"/>
      <c r="AG1289" s="12"/>
      <c r="AH1289" s="12"/>
      <c r="AI1289" s="12">
        <f t="shared" si="366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31"/>
      <c r="D1290" s="32"/>
      <c r="E1290" s="32"/>
      <c r="F1290" s="32"/>
      <c r="G1290" s="32">
        <f t="shared" si="361"/>
        <v>0</v>
      </c>
      <c r="H1290" s="12"/>
      <c r="I1290" s="12"/>
      <c r="J1290" s="12"/>
      <c r="K1290" s="12">
        <f t="shared" si="362"/>
        <v>0</v>
      </c>
      <c r="M1290" s="10">
        <v>14</v>
      </c>
      <c r="N1290" s="30"/>
      <c r="O1290" s="31"/>
      <c r="P1290" s="32"/>
      <c r="Q1290" s="32"/>
      <c r="R1290" s="32"/>
      <c r="S1290" s="32">
        <f t="shared" si="363"/>
        <v>0</v>
      </c>
      <c r="T1290" s="12"/>
      <c r="U1290" s="12"/>
      <c r="V1290" s="12"/>
      <c r="W1290" s="12">
        <f t="shared" si="364"/>
        <v>0</v>
      </c>
      <c r="Y1290" s="10">
        <v>14</v>
      </c>
      <c r="Z1290" s="30"/>
      <c r="AA1290" s="31"/>
      <c r="AB1290" s="32"/>
      <c r="AC1290" s="32"/>
      <c r="AD1290" s="32"/>
      <c r="AE1290" s="32">
        <f t="shared" si="365"/>
        <v>0</v>
      </c>
      <c r="AF1290" s="12"/>
      <c r="AG1290" s="12"/>
      <c r="AH1290" s="12"/>
      <c r="AI1290" s="12">
        <f t="shared" si="366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31"/>
      <c r="D1291" s="32"/>
      <c r="E1291" s="32"/>
      <c r="F1291" s="32"/>
      <c r="G1291" s="32">
        <f t="shared" si="361"/>
        <v>0</v>
      </c>
      <c r="H1291" s="12"/>
      <c r="I1291" s="12"/>
      <c r="J1291" s="12"/>
      <c r="K1291" s="12">
        <f t="shared" si="362"/>
        <v>0</v>
      </c>
      <c r="M1291" s="10">
        <v>15</v>
      </c>
      <c r="N1291" s="30"/>
      <c r="O1291" s="31"/>
      <c r="P1291" s="32"/>
      <c r="Q1291" s="32"/>
      <c r="R1291" s="32"/>
      <c r="S1291" s="32">
        <f t="shared" si="363"/>
        <v>0</v>
      </c>
      <c r="T1291" s="12"/>
      <c r="U1291" s="12"/>
      <c r="V1291" s="12"/>
      <c r="W1291" s="12">
        <f t="shared" si="364"/>
        <v>0</v>
      </c>
      <c r="Y1291" s="10">
        <v>15</v>
      </c>
      <c r="Z1291" s="30"/>
      <c r="AA1291" s="31"/>
      <c r="AB1291" s="32"/>
      <c r="AC1291" s="32"/>
      <c r="AD1291" s="32"/>
      <c r="AE1291" s="32">
        <f t="shared" si="365"/>
        <v>0</v>
      </c>
      <c r="AF1291" s="12"/>
      <c r="AG1291" s="12"/>
      <c r="AH1291" s="12"/>
      <c r="AI1291" s="12">
        <f t="shared" si="366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31"/>
      <c r="D1292" s="32"/>
      <c r="E1292" s="32"/>
      <c r="F1292" s="32"/>
      <c r="G1292" s="32">
        <f t="shared" si="361"/>
        <v>0</v>
      </c>
      <c r="H1292" s="12"/>
      <c r="I1292" s="12"/>
      <c r="J1292" s="12"/>
      <c r="K1292" s="12">
        <f t="shared" si="362"/>
        <v>0</v>
      </c>
      <c r="M1292" s="10">
        <v>16</v>
      </c>
      <c r="N1292" s="30"/>
      <c r="P1292" s="32"/>
      <c r="Q1292" s="32"/>
      <c r="R1292" s="32"/>
      <c r="S1292" s="32">
        <f t="shared" si="363"/>
        <v>0</v>
      </c>
      <c r="T1292" s="12"/>
      <c r="U1292" s="12"/>
      <c r="V1292" s="12"/>
      <c r="W1292" s="12">
        <f t="shared" si="364"/>
        <v>0</v>
      </c>
      <c r="Y1292" s="10">
        <v>16</v>
      </c>
      <c r="Z1292" s="30"/>
      <c r="AA1292" s="31"/>
      <c r="AB1292" s="32"/>
      <c r="AC1292" s="32"/>
      <c r="AD1292" s="32"/>
      <c r="AE1292" s="32">
        <f t="shared" si="365"/>
        <v>0</v>
      </c>
      <c r="AF1292" s="12"/>
      <c r="AG1292" s="12"/>
      <c r="AH1292" s="12"/>
      <c r="AI1292" s="12">
        <f t="shared" si="366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31"/>
      <c r="D1293" s="32"/>
      <c r="E1293" s="32"/>
      <c r="F1293" s="32"/>
      <c r="G1293" s="32">
        <f t="shared" si="361"/>
        <v>0</v>
      </c>
      <c r="H1293" s="12"/>
      <c r="I1293" s="12"/>
      <c r="J1293" s="12"/>
      <c r="K1293" s="12">
        <f t="shared" si="362"/>
        <v>0</v>
      </c>
      <c r="M1293" s="10">
        <v>17</v>
      </c>
      <c r="N1293" s="30"/>
      <c r="O1293" s="31"/>
      <c r="P1293" s="35"/>
      <c r="Q1293" s="32"/>
      <c r="R1293" s="32"/>
      <c r="S1293" s="32">
        <f t="shared" si="363"/>
        <v>0</v>
      </c>
      <c r="T1293" s="12"/>
      <c r="U1293" s="12"/>
      <c r="V1293" s="12"/>
      <c r="W1293" s="12">
        <f t="shared" si="364"/>
        <v>0</v>
      </c>
      <c r="Y1293" s="10">
        <v>17</v>
      </c>
      <c r="Z1293" s="30"/>
      <c r="AA1293" s="31"/>
      <c r="AB1293" s="35"/>
      <c r="AC1293" s="32"/>
      <c r="AD1293" s="32"/>
      <c r="AE1293" s="32">
        <f t="shared" si="365"/>
        <v>0</v>
      </c>
      <c r="AF1293" s="12"/>
      <c r="AG1293" s="12"/>
      <c r="AH1293" s="12"/>
      <c r="AI1293" s="12">
        <f t="shared" si="366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31"/>
      <c r="D1294" s="32"/>
      <c r="E1294" s="32"/>
      <c r="F1294" s="32"/>
      <c r="G1294" s="32">
        <f t="shared" si="361"/>
        <v>0</v>
      </c>
      <c r="H1294" s="12"/>
      <c r="I1294" s="12"/>
      <c r="J1294" s="12"/>
      <c r="K1294" s="12">
        <f t="shared" si="362"/>
        <v>0</v>
      </c>
      <c r="M1294" s="10">
        <v>18</v>
      </c>
      <c r="N1294" s="30"/>
      <c r="O1294" s="31"/>
      <c r="P1294" s="32"/>
      <c r="Q1294" s="32"/>
      <c r="R1294" s="32"/>
      <c r="S1294" s="32">
        <f t="shared" si="363"/>
        <v>0</v>
      </c>
      <c r="T1294" s="12"/>
      <c r="U1294" s="12"/>
      <c r="V1294" s="12"/>
      <c r="W1294" s="12">
        <f t="shared" si="364"/>
        <v>0</v>
      </c>
      <c r="Y1294" s="10">
        <v>18</v>
      </c>
      <c r="Z1294" s="30"/>
      <c r="AA1294" s="31"/>
      <c r="AB1294" s="32"/>
      <c r="AC1294" s="32"/>
      <c r="AD1294" s="32"/>
      <c r="AE1294" s="32">
        <f t="shared" si="365"/>
        <v>0</v>
      </c>
      <c r="AF1294" s="12"/>
      <c r="AG1294" s="12"/>
      <c r="AH1294" s="12"/>
      <c r="AI1294" s="12">
        <f t="shared" si="366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31"/>
      <c r="D1295" s="32"/>
      <c r="E1295" s="32"/>
      <c r="F1295" s="32"/>
      <c r="G1295" s="32">
        <f t="shared" si="361"/>
        <v>0</v>
      </c>
      <c r="H1295" s="12"/>
      <c r="I1295" s="12"/>
      <c r="J1295" s="12"/>
      <c r="K1295" s="12">
        <f t="shared" si="362"/>
        <v>0</v>
      </c>
      <c r="M1295" s="10">
        <v>19</v>
      </c>
      <c r="N1295" s="30"/>
      <c r="O1295" s="31"/>
      <c r="P1295" s="32"/>
      <c r="Q1295" s="32"/>
      <c r="R1295" s="32"/>
      <c r="S1295" s="32">
        <f t="shared" si="363"/>
        <v>0</v>
      </c>
      <c r="T1295" s="12"/>
      <c r="U1295" s="12"/>
      <c r="V1295" s="12"/>
      <c r="W1295" s="12">
        <f t="shared" si="364"/>
        <v>0</v>
      </c>
      <c r="Y1295" s="10">
        <v>19</v>
      </c>
      <c r="Z1295" s="30"/>
      <c r="AA1295" s="31"/>
      <c r="AB1295" s="32"/>
      <c r="AC1295" s="32"/>
      <c r="AD1295" s="32"/>
      <c r="AE1295" s="32">
        <f t="shared" si="365"/>
        <v>0</v>
      </c>
      <c r="AF1295" s="12"/>
      <c r="AG1295" s="12"/>
      <c r="AH1295" s="12"/>
      <c r="AI1295" s="12">
        <f t="shared" si="366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31"/>
      <c r="D1296" s="32"/>
      <c r="E1296" s="32"/>
      <c r="F1296" s="32"/>
      <c r="G1296" s="32">
        <f t="shared" si="361"/>
        <v>0</v>
      </c>
      <c r="H1296" s="12"/>
      <c r="I1296" s="12"/>
      <c r="J1296" s="12"/>
      <c r="K1296" s="12">
        <f t="shared" si="362"/>
        <v>0</v>
      </c>
      <c r="M1296" s="10">
        <v>20</v>
      </c>
      <c r="N1296" s="30"/>
      <c r="O1296" s="31"/>
      <c r="P1296" s="32"/>
      <c r="Q1296" s="32"/>
      <c r="R1296" s="32"/>
      <c r="S1296" s="32">
        <f t="shared" si="363"/>
        <v>0</v>
      </c>
      <c r="T1296" s="12"/>
      <c r="U1296" s="12"/>
      <c r="V1296" s="12"/>
      <c r="W1296" s="12">
        <f t="shared" si="364"/>
        <v>0</v>
      </c>
      <c r="Y1296" s="10">
        <v>20</v>
      </c>
      <c r="Z1296" s="30"/>
      <c r="AA1296" s="31"/>
      <c r="AB1296" s="32"/>
      <c r="AC1296" s="32"/>
      <c r="AD1296" s="32"/>
      <c r="AE1296" s="32">
        <f t="shared" si="365"/>
        <v>0</v>
      </c>
      <c r="AF1296" s="12"/>
      <c r="AG1296" s="12"/>
      <c r="AH1296" s="12"/>
      <c r="AI1296" s="12">
        <f t="shared" si="366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D1297" s="32"/>
      <c r="E1297" s="32"/>
      <c r="F1297" s="32"/>
      <c r="G1297" s="32">
        <f t="shared" si="361"/>
        <v>0</v>
      </c>
      <c r="H1297" s="10"/>
      <c r="I1297" s="10"/>
      <c r="J1297" s="10"/>
      <c r="K1297" s="12">
        <f t="shared" si="362"/>
        <v>0</v>
      </c>
      <c r="M1297" s="10">
        <v>21</v>
      </c>
      <c r="N1297" s="30"/>
      <c r="O1297" s="31"/>
      <c r="P1297" s="46"/>
      <c r="Q1297" s="31"/>
      <c r="R1297" s="31"/>
      <c r="S1297" s="32">
        <f t="shared" si="363"/>
        <v>0</v>
      </c>
      <c r="T1297" s="10"/>
      <c r="U1297" s="10"/>
      <c r="V1297" s="10"/>
      <c r="W1297" s="12">
        <f t="shared" si="364"/>
        <v>0</v>
      </c>
      <c r="Y1297" s="10">
        <v>21</v>
      </c>
      <c r="Z1297" s="30"/>
      <c r="AB1297" s="46"/>
      <c r="AC1297" s="31"/>
      <c r="AD1297" s="31"/>
      <c r="AE1297" s="32">
        <f t="shared" si="365"/>
        <v>0</v>
      </c>
      <c r="AF1297" s="10"/>
      <c r="AG1297" s="10"/>
      <c r="AH1297" s="10"/>
      <c r="AI1297" s="12">
        <f t="shared" si="366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31"/>
      <c r="D1298" s="32"/>
      <c r="E1298" s="32"/>
      <c r="F1298" s="32"/>
      <c r="G1298" s="32">
        <f t="shared" si="361"/>
        <v>0</v>
      </c>
      <c r="H1298" s="10"/>
      <c r="I1298" s="10"/>
      <c r="J1298" s="10"/>
      <c r="K1298" s="12">
        <f t="shared" si="362"/>
        <v>0</v>
      </c>
      <c r="M1298" s="10">
        <v>22</v>
      </c>
      <c r="N1298" s="30"/>
      <c r="O1298" s="31"/>
      <c r="P1298" s="45"/>
      <c r="Q1298" s="31"/>
      <c r="R1298" s="31"/>
      <c r="S1298" s="32">
        <f t="shared" si="363"/>
        <v>0</v>
      </c>
      <c r="T1298" s="10"/>
      <c r="U1298" s="10"/>
      <c r="V1298" s="10"/>
      <c r="W1298" s="12">
        <f t="shared" si="364"/>
        <v>0</v>
      </c>
      <c r="Y1298" s="10">
        <v>22</v>
      </c>
      <c r="Z1298" s="30"/>
      <c r="AA1298" s="31"/>
      <c r="AB1298" s="45"/>
      <c r="AC1298" s="31"/>
      <c r="AD1298" s="31"/>
      <c r="AE1298" s="32">
        <f t="shared" si="365"/>
        <v>0</v>
      </c>
      <c r="AF1298" s="10"/>
      <c r="AG1298" s="10"/>
      <c r="AH1298" s="10"/>
      <c r="AI1298" s="12">
        <f t="shared" si="366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31"/>
      <c r="D1299" s="32"/>
      <c r="E1299" s="32"/>
      <c r="F1299" s="32"/>
      <c r="G1299" s="32">
        <f t="shared" si="361"/>
        <v>0</v>
      </c>
      <c r="H1299" s="10"/>
      <c r="I1299" s="10"/>
      <c r="J1299" s="12"/>
      <c r="K1299" s="12">
        <f t="shared" si="362"/>
        <v>0</v>
      </c>
      <c r="M1299" s="10">
        <v>23</v>
      </c>
      <c r="N1299" s="30"/>
      <c r="O1299" s="31"/>
      <c r="P1299" s="47"/>
      <c r="Q1299" s="31"/>
      <c r="S1299" s="32">
        <f t="shared" si="363"/>
        <v>0</v>
      </c>
      <c r="T1299" s="10"/>
      <c r="U1299" s="10"/>
      <c r="V1299" s="10"/>
      <c r="W1299" s="12">
        <f t="shared" si="364"/>
        <v>0</v>
      </c>
      <c r="Y1299" s="10">
        <v>23</v>
      </c>
      <c r="Z1299" s="30"/>
      <c r="AB1299" s="47"/>
      <c r="AC1299" s="31"/>
      <c r="AE1299" s="32">
        <f t="shared" si="365"/>
        <v>0</v>
      </c>
      <c r="AF1299" s="10"/>
      <c r="AG1299" s="10"/>
      <c r="AH1299" s="10"/>
      <c r="AI1299" s="12">
        <f t="shared" si="366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31"/>
      <c r="D1300" s="32"/>
      <c r="E1300" s="32"/>
      <c r="F1300" s="32"/>
      <c r="G1300" s="32">
        <f t="shared" si="361"/>
        <v>0</v>
      </c>
      <c r="H1300" s="10"/>
      <c r="I1300" s="10"/>
      <c r="J1300" s="10"/>
      <c r="K1300" s="12">
        <f t="shared" si="362"/>
        <v>0</v>
      </c>
      <c r="M1300" s="10">
        <v>24</v>
      </c>
      <c r="N1300" s="30"/>
      <c r="O1300" s="31"/>
      <c r="P1300" s="47"/>
      <c r="Q1300" s="31"/>
      <c r="R1300" s="31"/>
      <c r="S1300" s="32">
        <f t="shared" si="363"/>
        <v>0</v>
      </c>
      <c r="T1300" s="10"/>
      <c r="U1300" s="10"/>
      <c r="V1300" s="10"/>
      <c r="W1300" s="12">
        <f t="shared" si="364"/>
        <v>0</v>
      </c>
      <c r="Y1300" s="10">
        <v>24</v>
      </c>
      <c r="Z1300" s="30"/>
      <c r="AA1300" s="31"/>
      <c r="AB1300" s="47"/>
      <c r="AC1300" s="31"/>
      <c r="AD1300" s="31"/>
      <c r="AE1300" s="32">
        <f t="shared" si="365"/>
        <v>0</v>
      </c>
      <c r="AF1300" s="10"/>
      <c r="AG1300" s="10"/>
      <c r="AH1300" s="10"/>
      <c r="AI1300" s="12">
        <f t="shared" si="366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31"/>
      <c r="D1301" s="32"/>
      <c r="E1301" s="32"/>
      <c r="F1301" s="32"/>
      <c r="G1301" s="32">
        <f t="shared" si="361"/>
        <v>0</v>
      </c>
      <c r="H1301" s="10"/>
      <c r="I1301" s="10"/>
      <c r="J1301" s="10"/>
      <c r="K1301" s="12">
        <f t="shared" si="362"/>
        <v>0</v>
      </c>
      <c r="M1301" s="10">
        <v>25</v>
      </c>
      <c r="N1301" s="30"/>
      <c r="O1301" s="31"/>
      <c r="P1301" s="47"/>
      <c r="Q1301" s="31"/>
      <c r="R1301" s="31"/>
      <c r="S1301" s="32">
        <f t="shared" si="363"/>
        <v>0</v>
      </c>
      <c r="T1301" s="10"/>
      <c r="U1301" s="10"/>
      <c r="V1301" s="10"/>
      <c r="W1301" s="12">
        <f t="shared" si="364"/>
        <v>0</v>
      </c>
      <c r="Y1301" s="10">
        <v>25</v>
      </c>
      <c r="Z1301" s="30"/>
      <c r="AA1301" s="31"/>
      <c r="AB1301" s="47"/>
      <c r="AC1301" s="31"/>
      <c r="AD1301" s="31"/>
      <c r="AE1301" s="32">
        <f t="shared" si="365"/>
        <v>0</v>
      </c>
      <c r="AF1301" s="10"/>
      <c r="AG1301" s="10"/>
      <c r="AH1301" s="10"/>
      <c r="AI1301" s="12">
        <f t="shared" si="366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61"/>
        <v>0</v>
      </c>
      <c r="H1302" s="10"/>
      <c r="I1302" s="10"/>
      <c r="J1302" s="10"/>
      <c r="K1302" s="12">
        <f t="shared" si="362"/>
        <v>0</v>
      </c>
      <c r="M1302" s="10">
        <v>26</v>
      </c>
      <c r="N1302" s="30"/>
      <c r="O1302" s="31"/>
      <c r="P1302" s="47"/>
      <c r="Q1302" s="31"/>
      <c r="R1302" s="31"/>
      <c r="S1302" s="32">
        <f t="shared" si="363"/>
        <v>0</v>
      </c>
      <c r="T1302" s="10"/>
      <c r="U1302" s="10"/>
      <c r="V1302" s="10"/>
      <c r="W1302" s="12">
        <f t="shared" si="364"/>
        <v>0</v>
      </c>
      <c r="Y1302" s="10">
        <v>26</v>
      </c>
      <c r="Z1302" s="30"/>
      <c r="AA1302" s="31"/>
      <c r="AB1302" s="47"/>
      <c r="AC1302" s="31"/>
      <c r="AD1302" s="31"/>
      <c r="AE1302" s="32">
        <f t="shared" si="365"/>
        <v>0</v>
      </c>
      <c r="AF1302" s="10"/>
      <c r="AG1302" s="10"/>
      <c r="AH1302" s="10"/>
      <c r="AI1302" s="12">
        <f t="shared" si="366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31"/>
      <c r="D1303" s="32"/>
      <c r="E1303" s="32"/>
      <c r="F1303" s="32"/>
      <c r="G1303" s="32">
        <f t="shared" si="361"/>
        <v>0</v>
      </c>
      <c r="H1303" s="10"/>
      <c r="I1303" s="10"/>
      <c r="J1303" s="10"/>
      <c r="K1303" s="12">
        <f t="shared" si="362"/>
        <v>0</v>
      </c>
      <c r="M1303" s="10">
        <v>27</v>
      </c>
      <c r="N1303" s="30"/>
      <c r="O1303" s="31"/>
      <c r="P1303" s="47"/>
      <c r="Q1303" s="31"/>
      <c r="R1303" s="31"/>
      <c r="S1303" s="32">
        <f t="shared" si="363"/>
        <v>0</v>
      </c>
      <c r="T1303" s="10"/>
      <c r="U1303" s="10"/>
      <c r="V1303" s="10"/>
      <c r="W1303" s="12">
        <f t="shared" si="364"/>
        <v>0</v>
      </c>
      <c r="Y1303" s="10">
        <v>27</v>
      </c>
      <c r="Z1303" s="30"/>
      <c r="AA1303" s="31"/>
      <c r="AB1303" s="47"/>
      <c r="AC1303" s="31"/>
      <c r="AD1303" s="31"/>
      <c r="AE1303" s="32">
        <f t="shared" si="365"/>
        <v>0</v>
      </c>
      <c r="AF1303" s="10"/>
      <c r="AG1303" s="10"/>
      <c r="AH1303" s="10"/>
      <c r="AI1303" s="12">
        <f t="shared" si="366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31"/>
      <c r="D1304" s="32"/>
      <c r="E1304" s="32"/>
      <c r="F1304" s="32"/>
      <c r="G1304" s="32">
        <f t="shared" si="361"/>
        <v>0</v>
      </c>
      <c r="H1304" s="10"/>
      <c r="I1304" s="10"/>
      <c r="J1304" s="10"/>
      <c r="K1304" s="12">
        <f t="shared" si="362"/>
        <v>0</v>
      </c>
      <c r="M1304" s="10">
        <v>28</v>
      </c>
      <c r="N1304" s="30"/>
      <c r="O1304" s="31"/>
      <c r="P1304" s="47"/>
      <c r="Q1304" s="31"/>
      <c r="R1304" s="31"/>
      <c r="S1304" s="32">
        <f t="shared" si="363"/>
        <v>0</v>
      </c>
      <c r="T1304" s="10"/>
      <c r="U1304" s="10"/>
      <c r="V1304" s="10"/>
      <c r="W1304" s="12">
        <f t="shared" si="364"/>
        <v>0</v>
      </c>
      <c r="Y1304" s="10">
        <v>28</v>
      </c>
      <c r="Z1304" s="30"/>
      <c r="AA1304" s="31"/>
      <c r="AB1304" s="47"/>
      <c r="AC1304" s="31"/>
      <c r="AD1304" s="31"/>
      <c r="AE1304" s="32">
        <f t="shared" si="365"/>
        <v>0</v>
      </c>
      <c r="AF1304" s="10"/>
      <c r="AG1304" s="10"/>
      <c r="AH1304" s="10"/>
      <c r="AI1304" s="12">
        <f t="shared" si="366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31"/>
      <c r="D1305" s="32"/>
      <c r="E1305" s="32"/>
      <c r="F1305" s="32"/>
      <c r="G1305" s="32">
        <f t="shared" si="361"/>
        <v>0</v>
      </c>
      <c r="H1305" s="10"/>
      <c r="I1305" s="10"/>
      <c r="J1305" s="10"/>
      <c r="K1305" s="12">
        <f t="shared" si="362"/>
        <v>0</v>
      </c>
      <c r="M1305" s="10">
        <v>29</v>
      </c>
      <c r="N1305" s="30"/>
      <c r="P1305" s="47"/>
      <c r="Q1305" s="31"/>
      <c r="R1305" s="31"/>
      <c r="S1305" s="32">
        <f t="shared" si="363"/>
        <v>0</v>
      </c>
      <c r="T1305" s="10"/>
      <c r="U1305" s="10"/>
      <c r="V1305" s="10"/>
      <c r="W1305" s="12">
        <f t="shared" si="364"/>
        <v>0</v>
      </c>
      <c r="Y1305" s="10">
        <v>29</v>
      </c>
      <c r="Z1305" s="30"/>
      <c r="AA1305" s="31"/>
      <c r="AB1305" s="47"/>
      <c r="AC1305" s="31"/>
      <c r="AD1305" s="31"/>
      <c r="AE1305" s="32">
        <f t="shared" si="365"/>
        <v>0</v>
      </c>
      <c r="AF1305" s="10"/>
      <c r="AG1305" s="10"/>
      <c r="AH1305" s="10"/>
      <c r="AI1305" s="12">
        <f t="shared" si="366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61"/>
        <v>0</v>
      </c>
      <c r="H1306" s="10"/>
      <c r="I1306" s="10"/>
      <c r="J1306" s="10"/>
      <c r="K1306" s="12">
        <f t="shared" si="362"/>
        <v>0</v>
      </c>
      <c r="M1306" s="10">
        <v>30</v>
      </c>
      <c r="N1306" s="30"/>
      <c r="O1306" s="31"/>
      <c r="P1306" s="47"/>
      <c r="Q1306" s="31"/>
      <c r="R1306" s="31"/>
      <c r="S1306" s="32">
        <f t="shared" si="363"/>
        <v>0</v>
      </c>
      <c r="T1306" s="10"/>
      <c r="U1306" s="10"/>
      <c r="V1306" s="10"/>
      <c r="W1306" s="12">
        <f t="shared" si="364"/>
        <v>0</v>
      </c>
      <c r="Y1306" s="10">
        <v>30</v>
      </c>
      <c r="Z1306" s="30"/>
      <c r="AA1306" s="31"/>
      <c r="AB1306" s="47"/>
      <c r="AC1306" s="31"/>
      <c r="AD1306" s="31"/>
      <c r="AE1306" s="32">
        <f t="shared" si="365"/>
        <v>0</v>
      </c>
      <c r="AF1306" s="10"/>
      <c r="AG1306" s="10"/>
      <c r="AH1306" s="10"/>
      <c r="AI1306" s="12">
        <f t="shared" si="366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88"/>
      <c r="D1307" s="32"/>
      <c r="E1307" s="32"/>
      <c r="F1307" s="32"/>
      <c r="G1307" s="32">
        <f t="shared" si="361"/>
        <v>0</v>
      </c>
      <c r="H1307" s="10"/>
      <c r="I1307" s="10"/>
      <c r="J1307" s="10"/>
      <c r="K1307" s="12">
        <f t="shared" si="362"/>
        <v>0</v>
      </c>
      <c r="M1307" s="10">
        <v>31</v>
      </c>
      <c r="N1307" s="30"/>
      <c r="P1307" s="47"/>
      <c r="Q1307" s="31"/>
      <c r="R1307" s="31"/>
      <c r="S1307" s="32">
        <f t="shared" si="363"/>
        <v>0</v>
      </c>
      <c r="T1307" s="10"/>
      <c r="U1307" s="10"/>
      <c r="V1307" s="10"/>
      <c r="W1307" s="12">
        <f t="shared" si="364"/>
        <v>0</v>
      </c>
      <c r="Y1307" s="10">
        <v>31</v>
      </c>
      <c r="Z1307" s="30"/>
      <c r="AA1307" s="31"/>
      <c r="AB1307" s="47"/>
      <c r="AC1307" s="31"/>
      <c r="AD1307" s="31"/>
      <c r="AE1307" s="32">
        <f t="shared" si="365"/>
        <v>0</v>
      </c>
      <c r="AF1307" s="10"/>
      <c r="AG1307" s="10"/>
      <c r="AH1307" s="10"/>
      <c r="AI1307" s="12">
        <f t="shared" si="366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57"/>
      <c r="D1308" s="32"/>
      <c r="E1308" s="32"/>
      <c r="F1308" s="32"/>
      <c r="G1308" s="32">
        <f t="shared" si="361"/>
        <v>0</v>
      </c>
      <c r="H1308" s="10"/>
      <c r="I1308" s="10"/>
      <c r="J1308" s="10"/>
      <c r="K1308" s="12">
        <f t="shared" si="362"/>
        <v>0</v>
      </c>
      <c r="M1308" s="10">
        <v>32</v>
      </c>
      <c r="N1308" s="30"/>
      <c r="O1308" s="31"/>
      <c r="P1308" s="47"/>
      <c r="Q1308" s="31"/>
      <c r="R1308" s="31"/>
      <c r="S1308" s="32">
        <f t="shared" si="363"/>
        <v>0</v>
      </c>
      <c r="T1308" s="10"/>
      <c r="U1308" s="10"/>
      <c r="V1308" s="10"/>
      <c r="W1308" s="12">
        <f t="shared" si="364"/>
        <v>0</v>
      </c>
      <c r="Y1308" s="10">
        <v>32</v>
      </c>
      <c r="Z1308" s="30"/>
      <c r="AA1308" s="31"/>
      <c r="AB1308" s="47"/>
      <c r="AC1308" s="31"/>
      <c r="AD1308" s="31"/>
      <c r="AE1308" s="32">
        <f t="shared" si="365"/>
        <v>0</v>
      </c>
      <c r="AF1308" s="10"/>
      <c r="AG1308" s="10"/>
      <c r="AH1308" s="10"/>
      <c r="AI1308" s="12">
        <f t="shared" si="366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8"/>
      <c r="D1309" s="32"/>
      <c r="E1309" s="32"/>
      <c r="F1309" s="32"/>
      <c r="G1309" s="32">
        <f t="shared" si="361"/>
        <v>0</v>
      </c>
      <c r="H1309" s="10"/>
      <c r="I1309" s="10"/>
      <c r="J1309" s="10"/>
      <c r="K1309" s="12">
        <f t="shared" si="362"/>
        <v>0</v>
      </c>
      <c r="M1309" s="10">
        <v>33</v>
      </c>
      <c r="N1309" s="30"/>
      <c r="O1309" s="31"/>
      <c r="P1309" s="47"/>
      <c r="Q1309" s="31"/>
      <c r="R1309" s="31"/>
      <c r="S1309" s="32">
        <f t="shared" si="363"/>
        <v>0</v>
      </c>
      <c r="T1309" s="10"/>
      <c r="U1309" s="10"/>
      <c r="V1309" s="10"/>
      <c r="W1309" s="12">
        <f t="shared" si="364"/>
        <v>0</v>
      </c>
      <c r="Y1309" s="10">
        <v>33</v>
      </c>
      <c r="Z1309" s="30"/>
      <c r="AA1309" s="31"/>
      <c r="AB1309" s="47"/>
      <c r="AC1309" s="31"/>
      <c r="AD1309" s="31"/>
      <c r="AE1309" s="32">
        <f t="shared" si="365"/>
        <v>0</v>
      </c>
      <c r="AF1309" s="10"/>
      <c r="AG1309" s="10"/>
      <c r="AH1309" s="10"/>
      <c r="AI1309" s="12">
        <f t="shared" si="366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8"/>
      <c r="D1310" s="32"/>
      <c r="E1310" s="32"/>
      <c r="F1310" s="32"/>
      <c r="G1310" s="32">
        <f t="shared" si="361"/>
        <v>0</v>
      </c>
      <c r="H1310" s="10"/>
      <c r="I1310" s="10"/>
      <c r="J1310" s="10"/>
      <c r="K1310" s="12">
        <f t="shared" si="362"/>
        <v>0</v>
      </c>
      <c r="M1310" s="10">
        <v>34</v>
      </c>
      <c r="N1310" s="30"/>
      <c r="O1310" s="31"/>
      <c r="P1310" s="47"/>
      <c r="Q1310" s="31"/>
      <c r="R1310" s="31"/>
      <c r="S1310" s="32">
        <f t="shared" si="363"/>
        <v>0</v>
      </c>
      <c r="T1310" s="10"/>
      <c r="U1310" s="10"/>
      <c r="V1310" s="10"/>
      <c r="W1310" s="12">
        <f t="shared" si="364"/>
        <v>0</v>
      </c>
      <c r="Y1310" s="10">
        <v>34</v>
      </c>
      <c r="Z1310" s="30"/>
      <c r="AA1310" s="31"/>
      <c r="AB1310" s="47"/>
      <c r="AC1310" s="31"/>
      <c r="AD1310" s="31"/>
      <c r="AE1310" s="32">
        <f t="shared" ref="AE1310:AE1315" si="370">SUM(AB1310:AC1310)</f>
        <v>0</v>
      </c>
      <c r="AF1310" s="10"/>
      <c r="AG1310" s="10"/>
      <c r="AH1310" s="10"/>
      <c r="AI1310" s="12">
        <f t="shared" si="366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8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/>
      <c r="O1311" s="31"/>
      <c r="P1311" s="47"/>
      <c r="Q1311" s="31"/>
      <c r="R1311" s="31"/>
      <c r="S1311" s="32">
        <f t="shared" si="363"/>
        <v>0</v>
      </c>
      <c r="T1311" s="10"/>
      <c r="U1311" s="10"/>
      <c r="V1311" s="10"/>
      <c r="W1311" s="12">
        <f t="shared" si="364"/>
        <v>0</v>
      </c>
      <c r="Y1311" s="10">
        <v>35</v>
      </c>
      <c r="Z1311" s="30"/>
      <c r="AA1311" s="31"/>
      <c r="AB1311" s="47"/>
      <c r="AC1311" s="31"/>
      <c r="AD1311" s="31"/>
      <c r="AE1311" s="32">
        <f t="shared" si="370"/>
        <v>0</v>
      </c>
      <c r="AF1311" s="10"/>
      <c r="AG1311" s="10"/>
      <c r="AH1311" s="10"/>
      <c r="AI1311" s="12">
        <f t="shared" si="366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8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/>
      <c r="O1312" s="31"/>
      <c r="P1312" s="47"/>
      <c r="Q1312" s="31"/>
      <c r="R1312" s="31"/>
      <c r="S1312" s="32">
        <f t="shared" si="363"/>
        <v>0</v>
      </c>
      <c r="T1312" s="10"/>
      <c r="U1312" s="10"/>
      <c r="V1312" s="10"/>
      <c r="W1312" s="12">
        <f t="shared" si="364"/>
        <v>0</v>
      </c>
      <c r="Y1312" s="10">
        <v>36</v>
      </c>
      <c r="Z1312" s="30"/>
      <c r="AA1312" s="31"/>
      <c r="AB1312" s="47"/>
      <c r="AC1312" s="31"/>
      <c r="AD1312" s="31"/>
      <c r="AE1312" s="32">
        <f t="shared" si="370"/>
        <v>0</v>
      </c>
      <c r="AF1312" s="10"/>
      <c r="AG1312" s="10"/>
      <c r="AH1312" s="10"/>
      <c r="AI1312" s="12">
        <f t="shared" si="366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/>
      <c r="P1313" s="47"/>
      <c r="Q1313" s="31"/>
      <c r="R1313" s="31"/>
      <c r="S1313" s="32">
        <f t="shared" si="363"/>
        <v>0</v>
      </c>
      <c r="T1313" s="10"/>
      <c r="U1313" s="10"/>
      <c r="V1313" s="10"/>
      <c r="W1313" s="12">
        <f t="shared" si="364"/>
        <v>0</v>
      </c>
      <c r="Y1313" s="10">
        <v>37</v>
      </c>
      <c r="Z1313" s="30"/>
      <c r="AA1313" s="31"/>
      <c r="AB1313" s="47"/>
      <c r="AC1313" s="31"/>
      <c r="AD1313" s="31"/>
      <c r="AE1313" s="32">
        <f t="shared" si="370"/>
        <v>0</v>
      </c>
      <c r="AF1313" s="10"/>
      <c r="AG1313" s="10"/>
      <c r="AH1313" s="10"/>
      <c r="AI1313" s="12">
        <f t="shared" si="366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31"/>
      <c r="P1314" s="47"/>
      <c r="Q1314" s="31"/>
      <c r="R1314" s="31"/>
      <c r="S1314" s="32">
        <f t="shared" si="363"/>
        <v>0</v>
      </c>
      <c r="T1314" s="10"/>
      <c r="U1314" s="10"/>
      <c r="V1314" s="10"/>
      <c r="W1314" s="12">
        <f t="shared" si="364"/>
        <v>0</v>
      </c>
      <c r="Y1314" s="10">
        <v>38</v>
      </c>
      <c r="Z1314" s="30"/>
      <c r="AA1314" s="31"/>
      <c r="AB1314" s="47"/>
      <c r="AC1314" s="31"/>
      <c r="AD1314" s="31"/>
      <c r="AE1314" s="32">
        <f t="shared" si="370"/>
        <v>0</v>
      </c>
      <c r="AF1314" s="10"/>
      <c r="AG1314" s="10"/>
      <c r="AH1314" s="10"/>
      <c r="AI1314" s="12">
        <f t="shared" si="366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363"/>
        <v>0</v>
      </c>
      <c r="T1315" s="10"/>
      <c r="U1315" s="10"/>
      <c r="V1315" s="10"/>
      <c r="W1315" s="12">
        <f t="shared" si="364"/>
        <v>0</v>
      </c>
      <c r="Y1315" s="10">
        <v>39</v>
      </c>
      <c r="Z1315" s="30"/>
      <c r="AA1315" s="31"/>
      <c r="AB1315" s="47"/>
      <c r="AC1315" s="31"/>
      <c r="AD1315" s="31"/>
      <c r="AE1315" s="32">
        <f t="shared" si="370"/>
        <v>0</v>
      </c>
      <c r="AF1315" s="10"/>
      <c r="AG1315" s="10"/>
      <c r="AH1315" s="10"/>
      <c r="AI1315" s="12">
        <f t="shared" si="366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64"/>
        <v>0</v>
      </c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6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71">SUM(D1317:E1317)</f>
        <v>0</v>
      </c>
      <c r="H1317" s="10"/>
      <c r="I1317" s="10"/>
      <c r="J1317" s="10"/>
      <c r="K1317" s="12">
        <f t="shared" ref="K1317" si="372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373">SUM(P1317:Q1317)</f>
        <v>0</v>
      </c>
      <c r="T1317" s="10"/>
      <c r="U1317" s="10"/>
      <c r="V1317" s="10"/>
      <c r="W1317" s="12">
        <f t="shared" si="364"/>
        <v>0</v>
      </c>
      <c r="Y1317" s="10"/>
      <c r="Z1317" s="30"/>
      <c r="AA1317" s="31"/>
      <c r="AB1317" s="47"/>
      <c r="AC1317" s="31"/>
      <c r="AD1317" s="31"/>
      <c r="AE1317" s="32">
        <f t="shared" ref="AE1317" si="374">SUM(AB1317:AC1317)</f>
        <v>0</v>
      </c>
      <c r="AF1317" s="10"/>
      <c r="AG1317" s="10"/>
      <c r="AH1317" s="10"/>
      <c r="AI1317" s="12">
        <f t="shared" si="366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64"/>
        <v>0</v>
      </c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6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208152</v>
      </c>
      <c r="E1320" s="38">
        <f t="shared" ref="E1320:F1320" si="375">SUM(E1277:E1317)</f>
        <v>0</v>
      </c>
      <c r="F1320" s="38">
        <f t="shared" si="375"/>
        <v>0</v>
      </c>
      <c r="G1320" s="38">
        <f>SUM(G1277:G1319)</f>
        <v>208152</v>
      </c>
      <c r="H1320" s="4"/>
      <c r="I1320" s="39">
        <f>SUM(I1277:I1319)</f>
        <v>474</v>
      </c>
      <c r="J1320" s="39">
        <f>SUM(J1277:J1319)</f>
        <v>-222</v>
      </c>
      <c r="K1320" s="40">
        <f>SUM(K1277:K1319)</f>
        <v>208404</v>
      </c>
      <c r="N1320" s="57"/>
      <c r="O1320" s="57"/>
      <c r="P1320" s="38">
        <f>SUM(P1277:P1319)</f>
        <v>138273.5</v>
      </c>
      <c r="Q1320" s="38">
        <f>SUM(Q1277:Q1301)</f>
        <v>-1200</v>
      </c>
      <c r="R1320" s="38">
        <f>SUM(R1277:R1301)</f>
        <v>0</v>
      </c>
      <c r="S1320" s="38">
        <f>SUM(S1277:S1319)</f>
        <v>137073.5</v>
      </c>
      <c r="T1320" s="4"/>
      <c r="U1320" s="41">
        <f>SUM(U1277:U1319)</f>
        <v>0</v>
      </c>
      <c r="V1320" s="41">
        <f>SUM(V1277:V1301)</f>
        <v>-12321</v>
      </c>
      <c r="W1320" s="42">
        <f>SUM(W1277:W1319)</f>
        <v>124752.5</v>
      </c>
      <c r="Z1320" s="57"/>
      <c r="AA1320" s="57"/>
      <c r="AB1320" s="38">
        <f>SUM(AB1277:AB1319)</f>
        <v>181134</v>
      </c>
      <c r="AC1320" s="38">
        <f>SUM(AC1277:AC1301)</f>
        <v>-1260</v>
      </c>
      <c r="AD1320" s="38">
        <f>SUM(AD1277:AD1301)</f>
        <v>0</v>
      </c>
      <c r="AE1320" s="38">
        <f>SUM(AE1277:AE1319)</f>
        <v>179874</v>
      </c>
      <c r="AF1320" s="4"/>
      <c r="AG1320" s="41">
        <f>SUM(AG1277:AG1319)</f>
        <v>769.5</v>
      </c>
      <c r="AH1320" s="41">
        <f>SUM(AH1277:AH1301)</f>
        <v>-1110</v>
      </c>
      <c r="AI1320" s="42">
        <f>SUM(AI1277:AI1319)</f>
        <v>179533.5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D1220:E1220"/>
    <mergeCell ref="W1220:W1221"/>
    <mergeCell ref="U1220:V1220"/>
    <mergeCell ref="P1220:Q1220"/>
    <mergeCell ref="K1275:K1276"/>
    <mergeCell ref="I1275:J1275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W65:W66"/>
    <mergeCell ref="U65:V65"/>
    <mergeCell ref="I65:J65"/>
    <mergeCell ref="U120:V120"/>
    <mergeCell ref="U340:V340"/>
    <mergeCell ref="U945:V945"/>
    <mergeCell ref="D1110:E1110"/>
    <mergeCell ref="W1110:W1111"/>
    <mergeCell ref="U1110:V1110"/>
    <mergeCell ref="P1110:Q1110"/>
    <mergeCell ref="D395:E395"/>
    <mergeCell ref="K1110:K1111"/>
    <mergeCell ref="I1110:J1110"/>
    <mergeCell ref="D1275:E1275"/>
    <mergeCell ref="W1275:W1276"/>
    <mergeCell ref="U1275:V1275"/>
    <mergeCell ref="P1275:Q1275"/>
    <mergeCell ref="AI1275:AI1276"/>
    <mergeCell ref="AG1275:AH1275"/>
    <mergeCell ref="AB1275:AC1275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AI1220:AI1221"/>
    <mergeCell ref="AG1220:AH1220"/>
    <mergeCell ref="AB1220:AC1220"/>
    <mergeCell ref="K1220:K1221"/>
    <mergeCell ref="I1220:J122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2026-01-30T02:51:19Z</dcterms:modified>
</cp:coreProperties>
</file>