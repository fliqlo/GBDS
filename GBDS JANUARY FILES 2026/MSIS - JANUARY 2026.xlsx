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5E41410-2788-4A66-980B-ACAB88F3A085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82" i="2" l="1"/>
  <c r="AB1281" i="2"/>
  <c r="AB1280" i="2"/>
  <c r="AE1280" i="2" s="1"/>
  <c r="AI1280" i="2" s="1"/>
  <c r="AB1279" i="2"/>
  <c r="AE1279" i="2" s="1"/>
  <c r="AI1279" i="2" s="1"/>
  <c r="AB1278" i="2"/>
  <c r="AE1278" i="2" s="1"/>
  <c r="AI1278" i="2" s="1"/>
  <c r="AG1277" i="2"/>
  <c r="AG1320" i="2" s="1"/>
  <c r="AB1277" i="2"/>
  <c r="AE1277" i="2"/>
  <c r="AA1278" i="2"/>
  <c r="AA1279" i="2" s="1"/>
  <c r="AA1280" i="2" s="1"/>
  <c r="AA1281" i="2" s="1"/>
  <c r="AA1282" i="2" s="1"/>
  <c r="AE1281" i="2"/>
  <c r="AI1281" i="2"/>
  <c r="AE1282" i="2"/>
  <c r="AI1282" i="2" s="1"/>
  <c r="AE1283" i="2"/>
  <c r="AI1283" i="2"/>
  <c r="AE1284" i="2"/>
  <c r="AI1284" i="2"/>
  <c r="AE1285" i="2"/>
  <c r="AI1285" i="2"/>
  <c r="AE1286" i="2"/>
  <c r="AI1286" i="2"/>
  <c r="AE1287" i="2"/>
  <c r="AI1287" i="2"/>
  <c r="AE1288" i="2"/>
  <c r="AI1288" i="2" s="1"/>
  <c r="AE1289" i="2"/>
  <c r="AI1289" i="2"/>
  <c r="AE1290" i="2"/>
  <c r="AI1290" i="2" s="1"/>
  <c r="AE1291" i="2"/>
  <c r="AI1291" i="2"/>
  <c r="AE1292" i="2"/>
  <c r="AI1292" i="2"/>
  <c r="AE1293" i="2"/>
  <c r="AI1293" i="2"/>
  <c r="AE1294" i="2"/>
  <c r="AI1294" i="2"/>
  <c r="AE1295" i="2"/>
  <c r="AI1295" i="2"/>
  <c r="AE1296" i="2"/>
  <c r="AI1296" i="2" s="1"/>
  <c r="AE1297" i="2"/>
  <c r="AI1297" i="2"/>
  <c r="AE1298" i="2"/>
  <c r="AI1298" i="2" s="1"/>
  <c r="AE1299" i="2"/>
  <c r="AI1299" i="2"/>
  <c r="AE1300" i="2"/>
  <c r="AI1300" i="2"/>
  <c r="AE1301" i="2"/>
  <c r="AI1301" i="2"/>
  <c r="AE1302" i="2"/>
  <c r="AI1302" i="2"/>
  <c r="AE1303" i="2"/>
  <c r="AI1303" i="2"/>
  <c r="AE1304" i="2"/>
  <c r="AI1304" i="2" s="1"/>
  <c r="AE1305" i="2"/>
  <c r="AI1305" i="2"/>
  <c r="AE1306" i="2"/>
  <c r="AI1306" i="2" s="1"/>
  <c r="AE1307" i="2"/>
  <c r="AI1307" i="2"/>
  <c r="AE1308" i="2"/>
  <c r="AI1308" i="2"/>
  <c r="AE1309" i="2"/>
  <c r="AI1309" i="2"/>
  <c r="AE1310" i="2"/>
  <c r="AI1310" i="2"/>
  <c r="AE1311" i="2"/>
  <c r="AI1311" i="2"/>
  <c r="AE1312" i="2"/>
  <c r="AI1312" i="2" s="1"/>
  <c r="AE1313" i="2"/>
  <c r="AI1313" i="2"/>
  <c r="AE1314" i="2"/>
  <c r="AI1314" i="2" s="1"/>
  <c r="AE1315" i="2"/>
  <c r="AI1315" i="2"/>
  <c r="AI1316" i="2"/>
  <c r="AE1317" i="2"/>
  <c r="AI1317" i="2"/>
  <c r="AI1318" i="2"/>
  <c r="AC1320" i="2"/>
  <c r="AD1320" i="2"/>
  <c r="AH1320" i="2"/>
  <c r="P1279" i="2"/>
  <c r="S1279" i="2" s="1"/>
  <c r="W1279" i="2" s="1"/>
  <c r="V1278" i="2"/>
  <c r="V1320" i="2" s="1"/>
  <c r="P1278" i="2"/>
  <c r="S1278" i="2" s="1"/>
  <c r="P1277" i="2"/>
  <c r="S1277" i="2"/>
  <c r="O1278" i="2"/>
  <c r="O1279" i="2" s="1"/>
  <c r="S1280" i="2"/>
  <c r="W1280" i="2" s="1"/>
  <c r="S1281" i="2"/>
  <c r="W1281" i="2" s="1"/>
  <c r="S1282" i="2"/>
  <c r="W1282" i="2"/>
  <c r="S1283" i="2"/>
  <c r="W1283" i="2"/>
  <c r="S1284" i="2"/>
  <c r="W1284" i="2"/>
  <c r="S1285" i="2"/>
  <c r="W1285" i="2"/>
  <c r="S1286" i="2"/>
  <c r="W1286" i="2" s="1"/>
  <c r="S1287" i="2"/>
  <c r="W1287" i="2" s="1"/>
  <c r="S1288" i="2"/>
  <c r="W1288" i="2"/>
  <c r="S1289" i="2"/>
  <c r="W1289" i="2"/>
  <c r="S1290" i="2"/>
  <c r="W1290" i="2"/>
  <c r="S1291" i="2"/>
  <c r="W1291" i="2"/>
  <c r="S1292" i="2"/>
  <c r="W1292" i="2"/>
  <c r="S1293" i="2"/>
  <c r="W1293" i="2"/>
  <c r="S1294" i="2"/>
  <c r="W1294" i="2" s="1"/>
  <c r="S1295" i="2"/>
  <c r="W1295" i="2" s="1"/>
  <c r="S1296" i="2"/>
  <c r="W1296" i="2"/>
  <c r="S1297" i="2"/>
  <c r="W1297" i="2"/>
  <c r="S1298" i="2"/>
  <c r="W1298" i="2"/>
  <c r="S1299" i="2"/>
  <c r="W1299" i="2"/>
  <c r="S1300" i="2"/>
  <c r="W1300" i="2"/>
  <c r="S1301" i="2"/>
  <c r="W1301" i="2"/>
  <c r="S1302" i="2"/>
  <c r="W1302" i="2" s="1"/>
  <c r="S1303" i="2"/>
  <c r="W1303" i="2" s="1"/>
  <c r="S1304" i="2"/>
  <c r="W1304" i="2"/>
  <c r="S1305" i="2"/>
  <c r="W1305" i="2"/>
  <c r="S1306" i="2"/>
  <c r="W1306" i="2"/>
  <c r="S1307" i="2"/>
  <c r="W1307" i="2"/>
  <c r="S1308" i="2"/>
  <c r="W1308" i="2"/>
  <c r="S1309" i="2"/>
  <c r="W1309" i="2"/>
  <c r="S1310" i="2"/>
  <c r="W1310" i="2" s="1"/>
  <c r="S1311" i="2"/>
  <c r="W1311" i="2" s="1"/>
  <c r="S1312" i="2"/>
  <c r="W1312" i="2"/>
  <c r="S1313" i="2"/>
  <c r="W1313" i="2"/>
  <c r="S1314" i="2"/>
  <c r="W1314" i="2"/>
  <c r="S1315" i="2"/>
  <c r="W1315" i="2"/>
  <c r="W1316" i="2"/>
  <c r="S1317" i="2"/>
  <c r="W1317" i="2"/>
  <c r="W1318" i="2"/>
  <c r="Q1320" i="2"/>
  <c r="R1320" i="2"/>
  <c r="U1320" i="2"/>
  <c r="D1282" i="2"/>
  <c r="G1282" i="2" s="1"/>
  <c r="K1282" i="2" s="1"/>
  <c r="D1281" i="2"/>
  <c r="D1280" i="2"/>
  <c r="G1280" i="2" s="1"/>
  <c r="K1280" i="2" s="1"/>
  <c r="I1279" i="2"/>
  <c r="I1320" i="2" s="1"/>
  <c r="D1279" i="2"/>
  <c r="D1278" i="2"/>
  <c r="D1277" i="2"/>
  <c r="C1278" i="2"/>
  <c r="C1279" i="2" s="1"/>
  <c r="C1280" i="2" s="1"/>
  <c r="C1281" i="2" s="1"/>
  <c r="C1282" i="2" s="1"/>
  <c r="G1278" i="2"/>
  <c r="K1278" i="2"/>
  <c r="G1281" i="2"/>
  <c r="K1281" i="2" s="1"/>
  <c r="G1283" i="2"/>
  <c r="K1283" i="2"/>
  <c r="G1284" i="2"/>
  <c r="K1284" i="2" s="1"/>
  <c r="G1285" i="2"/>
  <c r="K1285" i="2" s="1"/>
  <c r="G1286" i="2"/>
  <c r="K1286" i="2" s="1"/>
  <c r="G1287" i="2"/>
  <c r="K1287" i="2" s="1"/>
  <c r="G1288" i="2"/>
  <c r="K1288" i="2" s="1"/>
  <c r="G1289" i="2"/>
  <c r="K1289" i="2" s="1"/>
  <c r="G1290" i="2"/>
  <c r="K1290" i="2"/>
  <c r="G1291" i="2"/>
  <c r="K1291" i="2"/>
  <c r="G1292" i="2"/>
  <c r="K1292" i="2"/>
  <c r="G1293" i="2"/>
  <c r="K1293" i="2" s="1"/>
  <c r="G1294" i="2"/>
  <c r="K1294" i="2" s="1"/>
  <c r="G1295" i="2"/>
  <c r="K1295" i="2"/>
  <c r="G1296" i="2"/>
  <c r="K1296" i="2" s="1"/>
  <c r="J1320" i="2"/>
  <c r="G1297" i="2"/>
  <c r="K1297" i="2"/>
  <c r="G1298" i="2"/>
  <c r="K1298" i="2"/>
  <c r="G1299" i="2"/>
  <c r="K1299" i="2"/>
  <c r="G1300" i="2"/>
  <c r="K1300" i="2"/>
  <c r="G1301" i="2"/>
  <c r="K1301" i="2"/>
  <c r="G1302" i="2"/>
  <c r="K1302" i="2"/>
  <c r="G1303" i="2"/>
  <c r="K1303" i="2"/>
  <c r="G1304" i="2"/>
  <c r="K1304" i="2" s="1"/>
  <c r="G1305" i="2"/>
  <c r="K1305" i="2"/>
  <c r="G1306" i="2"/>
  <c r="K1306" i="2"/>
  <c r="G1307" i="2"/>
  <c r="K1307" i="2"/>
  <c r="G1308" i="2"/>
  <c r="K1308" i="2"/>
  <c r="G1309" i="2"/>
  <c r="K1309" i="2"/>
  <c r="G1310" i="2"/>
  <c r="K1310" i="2"/>
  <c r="G1317" i="2"/>
  <c r="K1317" i="2"/>
  <c r="E1320" i="2"/>
  <c r="F1320" i="2"/>
  <c r="AI1277" i="2" l="1"/>
  <c r="AI1320" i="2" s="1"/>
  <c r="AE1320" i="2"/>
  <c r="AB1320" i="2"/>
  <c r="W1278" i="2"/>
  <c r="P1320" i="2"/>
  <c r="W1277" i="2"/>
  <c r="W1320" i="2" s="1"/>
  <c r="S1320" i="2"/>
  <c r="D1320" i="2"/>
  <c r="G1277" i="2"/>
  <c r="K1277" i="2"/>
  <c r="G1279" i="2"/>
  <c r="K1279" i="2" s="1"/>
  <c r="AB1224" i="2"/>
  <c r="AH1223" i="2"/>
  <c r="AC1223" i="2"/>
  <c r="AE1223" i="2"/>
  <c r="AI1223" i="2" s="1"/>
  <c r="AB1223" i="2"/>
  <c r="AB1222" i="2"/>
  <c r="AE1222" i="2" s="1"/>
  <c r="AA1223" i="2"/>
  <c r="AA1224" i="2" s="1"/>
  <c r="AE1224" i="2"/>
  <c r="AI1224" i="2" s="1"/>
  <c r="AE1226" i="2"/>
  <c r="AI1226" i="2"/>
  <c r="AE1227" i="2"/>
  <c r="AI1227" i="2" s="1"/>
  <c r="AE1228" i="2"/>
  <c r="AI1228" i="2"/>
  <c r="AE1229" i="2"/>
  <c r="AI1229" i="2" s="1"/>
  <c r="AE1230" i="2"/>
  <c r="AI1230" i="2"/>
  <c r="AE1231" i="2"/>
  <c r="AI1231" i="2"/>
  <c r="AE1232" i="2"/>
  <c r="AI1232" i="2"/>
  <c r="AE1233" i="2"/>
  <c r="AI1233" i="2" s="1"/>
  <c r="AE1234" i="2"/>
  <c r="AI1234" i="2"/>
  <c r="AE1235" i="2"/>
  <c r="AI1235" i="2" s="1"/>
  <c r="AE1236" i="2"/>
  <c r="AI1236" i="2"/>
  <c r="AE1237" i="2"/>
  <c r="AI1237" i="2"/>
  <c r="AE1238" i="2"/>
  <c r="AI1238" i="2"/>
  <c r="AE1239" i="2"/>
  <c r="AI1239" i="2"/>
  <c r="AE1240" i="2"/>
  <c r="AI1240" i="2"/>
  <c r="AE1241" i="2"/>
  <c r="AI1241" i="2" s="1"/>
  <c r="AE1242" i="2"/>
  <c r="AI1242" i="2"/>
  <c r="AE1243" i="2"/>
  <c r="AI1243" i="2" s="1"/>
  <c r="AE1244" i="2"/>
  <c r="AI1244" i="2"/>
  <c r="AE1245" i="2"/>
  <c r="AI1245" i="2"/>
  <c r="AE1246" i="2"/>
  <c r="AI1246" i="2"/>
  <c r="AE1247" i="2"/>
  <c r="AI1247" i="2"/>
  <c r="AE1248" i="2"/>
  <c r="AI1248" i="2"/>
  <c r="AE1249" i="2"/>
  <c r="AI1249" i="2" s="1"/>
  <c r="AE1250" i="2"/>
  <c r="AI1250" i="2"/>
  <c r="AE1251" i="2"/>
  <c r="AI1251" i="2" s="1"/>
  <c r="AE1252" i="2"/>
  <c r="AI1252" i="2"/>
  <c r="AE1253" i="2"/>
  <c r="AI1253" i="2"/>
  <c r="AE1254" i="2"/>
  <c r="AI1254" i="2"/>
  <c r="AE1255" i="2"/>
  <c r="AI1255" i="2"/>
  <c r="AE1256" i="2"/>
  <c r="AI1256" i="2"/>
  <c r="AE1257" i="2"/>
  <c r="AI1257" i="2" s="1"/>
  <c r="AE1258" i="2"/>
  <c r="AI1258" i="2"/>
  <c r="AE1259" i="2"/>
  <c r="AI1259" i="2" s="1"/>
  <c r="AE1260" i="2"/>
  <c r="AI1260" i="2"/>
  <c r="AI1261" i="2"/>
  <c r="AE1262" i="2"/>
  <c r="AI1262" i="2"/>
  <c r="AI1263" i="2"/>
  <c r="AD1265" i="2"/>
  <c r="AG1265" i="2"/>
  <c r="AH1265" i="2"/>
  <c r="P1228" i="2"/>
  <c r="P1227" i="2"/>
  <c r="S1227" i="2" s="1"/>
  <c r="W1227" i="2" s="1"/>
  <c r="P1226" i="2"/>
  <c r="P1225" i="2"/>
  <c r="P1224" i="2"/>
  <c r="S1224" i="2" s="1"/>
  <c r="W1224" i="2" s="1"/>
  <c r="P1223" i="2"/>
  <c r="P1222" i="2"/>
  <c r="S1222" i="2" s="1"/>
  <c r="O1223" i="2"/>
  <c r="S1223" i="2"/>
  <c r="W1223" i="2" s="1"/>
  <c r="O1224" i="2"/>
  <c r="O1225" i="2" s="1"/>
  <c r="O1226" i="2" s="1"/>
  <c r="O1227" i="2" s="1"/>
  <c r="O1228" i="2" s="1"/>
  <c r="S1225" i="2"/>
  <c r="W1225" i="2" s="1"/>
  <c r="S1226" i="2"/>
  <c r="W1226" i="2" s="1"/>
  <c r="S1228" i="2"/>
  <c r="W1228" i="2"/>
  <c r="S1229" i="2"/>
  <c r="W1229" i="2" s="1"/>
  <c r="S1230" i="2"/>
  <c r="W1230" i="2" s="1"/>
  <c r="S1231" i="2"/>
  <c r="W1231" i="2" s="1"/>
  <c r="S1232" i="2"/>
  <c r="W1232" i="2"/>
  <c r="S1233" i="2"/>
  <c r="W1233" i="2"/>
  <c r="S1234" i="2"/>
  <c r="W1234" i="2"/>
  <c r="S1235" i="2"/>
  <c r="W1235" i="2" s="1"/>
  <c r="S1236" i="2"/>
  <c r="W1236" i="2"/>
  <c r="S1237" i="2"/>
  <c r="W1237" i="2"/>
  <c r="S1238" i="2"/>
  <c r="W1238" i="2"/>
  <c r="S1239" i="2"/>
  <c r="W1239" i="2" s="1"/>
  <c r="S1240" i="2"/>
  <c r="W1240" i="2"/>
  <c r="S1241" i="2"/>
  <c r="W1241" i="2"/>
  <c r="S1242" i="2"/>
  <c r="W1242" i="2" s="1"/>
  <c r="S1243" i="2"/>
  <c r="W1243" i="2"/>
  <c r="S1244" i="2"/>
  <c r="W1244" i="2"/>
  <c r="S1245" i="2"/>
  <c r="W1245" i="2"/>
  <c r="S1246" i="2"/>
  <c r="W1246" i="2"/>
  <c r="S1247" i="2"/>
  <c r="W1247" i="2" s="1"/>
  <c r="S1248" i="2"/>
  <c r="W1248" i="2"/>
  <c r="S1249" i="2"/>
  <c r="W1249" i="2"/>
  <c r="S1250" i="2"/>
  <c r="W1250" i="2" s="1"/>
  <c r="S1251" i="2"/>
  <c r="W1251" i="2"/>
  <c r="S1252" i="2"/>
  <c r="W1252" i="2"/>
  <c r="S1253" i="2"/>
  <c r="W1253" i="2"/>
  <c r="S1254" i="2"/>
  <c r="W1254" i="2"/>
  <c r="S1255" i="2"/>
  <c r="W1255" i="2" s="1"/>
  <c r="S1256" i="2"/>
  <c r="W1256" i="2"/>
  <c r="S1257" i="2"/>
  <c r="W1257" i="2"/>
  <c r="S1258" i="2"/>
  <c r="W1258" i="2" s="1"/>
  <c r="S1259" i="2"/>
  <c r="W1259" i="2"/>
  <c r="S1260" i="2"/>
  <c r="W1260" i="2"/>
  <c r="W1261" i="2"/>
  <c r="S1262" i="2"/>
  <c r="W1262" i="2"/>
  <c r="W1263" i="2"/>
  <c r="Q1265" i="2"/>
  <c r="R1265" i="2"/>
  <c r="U1265" i="2"/>
  <c r="V1265" i="2"/>
  <c r="J1241" i="2"/>
  <c r="D1241" i="2"/>
  <c r="G1241" i="2" s="1"/>
  <c r="K1241" i="2" s="1"/>
  <c r="D1240" i="2"/>
  <c r="G1240" i="2" s="1"/>
  <c r="K1240" i="2" s="1"/>
  <c r="D1239" i="2"/>
  <c r="G1239" i="2" s="1"/>
  <c r="K1239" i="2" s="1"/>
  <c r="D1238" i="2"/>
  <c r="D1237" i="2"/>
  <c r="G1237" i="2" s="1"/>
  <c r="K1237" i="2" s="1"/>
  <c r="D1236" i="2"/>
  <c r="G1236" i="2" s="1"/>
  <c r="K1236" i="2" s="1"/>
  <c r="D1235" i="2"/>
  <c r="G1235" i="2" s="1"/>
  <c r="K1235" i="2" s="1"/>
  <c r="D1234" i="2"/>
  <c r="G1234" i="2" s="1"/>
  <c r="K1234" i="2" s="1"/>
  <c r="D1233" i="2"/>
  <c r="D1232" i="2"/>
  <c r="G1232" i="2" s="1"/>
  <c r="K1232" i="2" s="1"/>
  <c r="D1231" i="2"/>
  <c r="D1230" i="2"/>
  <c r="I1229" i="2"/>
  <c r="I1265" i="2" s="1"/>
  <c r="D1229" i="2"/>
  <c r="D1228" i="2"/>
  <c r="D1227" i="2"/>
  <c r="G1227" i="2"/>
  <c r="K1227" i="2" s="1"/>
  <c r="D1226" i="2"/>
  <c r="D1225" i="2"/>
  <c r="G1225" i="2" s="1"/>
  <c r="K1225" i="2" s="1"/>
  <c r="D1224" i="2"/>
  <c r="D1223" i="2"/>
  <c r="G1223" i="2" s="1"/>
  <c r="D1222" i="2"/>
  <c r="C1223" i="2"/>
  <c r="C1224" i="2"/>
  <c r="C1225" i="2"/>
  <c r="C1226" i="2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G1226" i="2"/>
  <c r="K1226" i="2"/>
  <c r="G1228" i="2"/>
  <c r="K1228" i="2"/>
  <c r="G1229" i="2"/>
  <c r="G1230" i="2"/>
  <c r="K1230" i="2" s="1"/>
  <c r="G1231" i="2"/>
  <c r="K1231" i="2" s="1"/>
  <c r="G1233" i="2"/>
  <c r="K1233" i="2" s="1"/>
  <c r="J1265" i="2"/>
  <c r="G1238" i="2"/>
  <c r="K1238" i="2" s="1"/>
  <c r="G1242" i="2"/>
  <c r="K1242" i="2"/>
  <c r="G1243" i="2"/>
  <c r="K1243" i="2"/>
  <c r="G1244" i="2"/>
  <c r="K1244" i="2" s="1"/>
  <c r="G1245" i="2"/>
  <c r="K1245" i="2"/>
  <c r="G1246" i="2"/>
  <c r="K1246" i="2"/>
  <c r="G1247" i="2"/>
  <c r="K1247" i="2"/>
  <c r="G1248" i="2"/>
  <c r="K1248" i="2"/>
  <c r="G1249" i="2"/>
  <c r="K1249" i="2" s="1"/>
  <c r="G1250" i="2"/>
  <c r="K1250" i="2"/>
  <c r="G1251" i="2"/>
  <c r="K1251" i="2"/>
  <c r="G1252" i="2"/>
  <c r="K1252" i="2" s="1"/>
  <c r="G1253" i="2"/>
  <c r="K1253" i="2"/>
  <c r="G1254" i="2"/>
  <c r="K1254" i="2"/>
  <c r="G1255" i="2"/>
  <c r="K1255" i="2"/>
  <c r="G1262" i="2"/>
  <c r="K1262" i="2"/>
  <c r="E1265" i="2"/>
  <c r="F1265" i="2"/>
  <c r="K1320" i="2" l="1"/>
  <c r="G1320" i="2"/>
  <c r="AC1265" i="2"/>
  <c r="AB1265" i="2"/>
  <c r="AI1222" i="2"/>
  <c r="AE1225" i="2"/>
  <c r="AI1225" i="2" s="1"/>
  <c r="P1265" i="2"/>
  <c r="W1222" i="2"/>
  <c r="W1265" i="2" s="1"/>
  <c r="S1265" i="2"/>
  <c r="K1229" i="2"/>
  <c r="D1265" i="2"/>
  <c r="G1222" i="2"/>
  <c r="K1222" i="2" s="1"/>
  <c r="G1224" i="2"/>
  <c r="K1224" i="2" s="1"/>
  <c r="K1223" i="2"/>
  <c r="K1265" i="2" s="1"/>
  <c r="AB1171" i="2"/>
  <c r="AB1170" i="2"/>
  <c r="AE1170" i="2" s="1"/>
  <c r="AI1170" i="2" s="1"/>
  <c r="AB1169" i="2"/>
  <c r="AB1168" i="2"/>
  <c r="AB1167" i="2"/>
  <c r="AB1210" i="2" s="1"/>
  <c r="AE1167" i="2"/>
  <c r="AI1167" i="2" s="1"/>
  <c r="AA1168" i="2"/>
  <c r="AE1168" i="2"/>
  <c r="AA1169" i="2"/>
  <c r="AE1169" i="2"/>
  <c r="AI1169" i="2" s="1"/>
  <c r="AA1170" i="2"/>
  <c r="AA1171" i="2"/>
  <c r="AE1171" i="2"/>
  <c r="AI1171" i="2"/>
  <c r="AE1172" i="2"/>
  <c r="AI1172" i="2"/>
  <c r="AE1173" i="2"/>
  <c r="AI1173" i="2"/>
  <c r="AE1174" i="2"/>
  <c r="AI1174" i="2"/>
  <c r="AE1175" i="2"/>
  <c r="AI1175" i="2"/>
  <c r="AE1176" i="2"/>
  <c r="AI1176" i="2"/>
  <c r="AE1177" i="2"/>
  <c r="AI1177" i="2"/>
  <c r="AE1178" i="2"/>
  <c r="AI1178" i="2" s="1"/>
  <c r="AE1179" i="2"/>
  <c r="AI1179" i="2"/>
  <c r="AE1180" i="2"/>
  <c r="AI1180" i="2"/>
  <c r="AE1181" i="2"/>
  <c r="AI1181" i="2"/>
  <c r="AE1182" i="2"/>
  <c r="AI1182" i="2"/>
  <c r="AE1183" i="2"/>
  <c r="AI1183" i="2"/>
  <c r="AE1184" i="2"/>
  <c r="AI1184" i="2"/>
  <c r="AE1185" i="2"/>
  <c r="AI1185" i="2"/>
  <c r="AE1186" i="2"/>
  <c r="AI1186" i="2" s="1"/>
  <c r="AE1187" i="2"/>
  <c r="AI1187" i="2"/>
  <c r="AE1188" i="2"/>
  <c r="AI1188" i="2"/>
  <c r="AE1189" i="2"/>
  <c r="AI1189" i="2"/>
  <c r="AE1190" i="2"/>
  <c r="AI1190" i="2"/>
  <c r="AE1191" i="2"/>
  <c r="AI1191" i="2"/>
  <c r="AE1192" i="2"/>
  <c r="AI1192" i="2"/>
  <c r="AE1193" i="2"/>
  <c r="AI1193" i="2"/>
  <c r="AE1194" i="2"/>
  <c r="AI1194" i="2" s="1"/>
  <c r="AE1195" i="2"/>
  <c r="AI1195" i="2"/>
  <c r="AE1196" i="2"/>
  <c r="AI1196" i="2"/>
  <c r="AE1197" i="2"/>
  <c r="AI1197" i="2"/>
  <c r="AE1198" i="2"/>
  <c r="AI1198" i="2"/>
  <c r="AE1199" i="2"/>
  <c r="AI1199" i="2"/>
  <c r="AE1200" i="2"/>
  <c r="AI1200" i="2"/>
  <c r="AE1201" i="2"/>
  <c r="AI1201" i="2"/>
  <c r="AE1202" i="2"/>
  <c r="AI1202" i="2" s="1"/>
  <c r="AE1203" i="2"/>
  <c r="AI1203" i="2"/>
  <c r="AE1204" i="2"/>
  <c r="AI1204" i="2"/>
  <c r="AE1205" i="2"/>
  <c r="AI1205" i="2"/>
  <c r="AI1206" i="2"/>
  <c r="AE1207" i="2"/>
  <c r="AI1207" i="2"/>
  <c r="AI1208" i="2"/>
  <c r="AC1210" i="2"/>
  <c r="AD1210" i="2"/>
  <c r="AG1210" i="2"/>
  <c r="AH1210" i="2"/>
  <c r="P1181" i="2"/>
  <c r="S1181" i="2" s="1"/>
  <c r="W1181" i="2" s="1"/>
  <c r="P1180" i="2"/>
  <c r="S1180" i="2" s="1"/>
  <c r="W1180" i="2" s="1"/>
  <c r="P1179" i="2"/>
  <c r="P1178" i="2"/>
  <c r="S1178" i="2" s="1"/>
  <c r="W1178" i="2" s="1"/>
  <c r="P1177" i="2"/>
  <c r="S1177" i="2" s="1"/>
  <c r="W1177" i="2" s="1"/>
  <c r="P1176" i="2"/>
  <c r="P1175" i="2"/>
  <c r="P1174" i="2"/>
  <c r="S1174" i="2" s="1"/>
  <c r="W1174" i="2" s="1"/>
  <c r="P1173" i="2"/>
  <c r="S1173" i="2" s="1"/>
  <c r="W1173" i="2" s="1"/>
  <c r="P1172" i="2"/>
  <c r="P1171" i="2"/>
  <c r="S1171" i="2" s="1"/>
  <c r="W1171" i="2" s="1"/>
  <c r="P1170" i="2"/>
  <c r="S1170" i="2" s="1"/>
  <c r="W1170" i="2" s="1"/>
  <c r="P1169" i="2"/>
  <c r="S1169" i="2" s="1"/>
  <c r="W1169" i="2" s="1"/>
  <c r="P1168" i="2"/>
  <c r="P1167" i="2"/>
  <c r="S1167" i="2"/>
  <c r="W1167" i="2" s="1"/>
  <c r="O1168" i="2"/>
  <c r="S1168" i="2"/>
  <c r="W1168" i="2" s="1"/>
  <c r="O1169" i="2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S1172" i="2"/>
  <c r="W1172" i="2" s="1"/>
  <c r="S1175" i="2"/>
  <c r="W1175" i="2"/>
  <c r="S1176" i="2"/>
  <c r="W1176" i="2" s="1"/>
  <c r="S1179" i="2"/>
  <c r="W1179" i="2" s="1"/>
  <c r="S1182" i="2"/>
  <c r="W1182" i="2"/>
  <c r="S1183" i="2"/>
  <c r="W1183" i="2"/>
  <c r="S1184" i="2"/>
  <c r="W1184" i="2"/>
  <c r="S1185" i="2"/>
  <c r="W1185" i="2"/>
  <c r="S1186" i="2"/>
  <c r="W1186" i="2" s="1"/>
  <c r="S1187" i="2"/>
  <c r="W1187" i="2" s="1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 s="1"/>
  <c r="S1203" i="2"/>
  <c r="W1203" i="2"/>
  <c r="S1204" i="2"/>
  <c r="W1204" i="2"/>
  <c r="S1205" i="2"/>
  <c r="W1205" i="2"/>
  <c r="W1206" i="2"/>
  <c r="S1207" i="2"/>
  <c r="W1207" i="2" s="1"/>
  <c r="W1208" i="2"/>
  <c r="Q1210" i="2"/>
  <c r="R1210" i="2"/>
  <c r="U1210" i="2"/>
  <c r="V1210" i="2"/>
  <c r="J1178" i="2"/>
  <c r="J1210" i="2" s="1"/>
  <c r="D1178" i="2"/>
  <c r="G1178" i="2" s="1"/>
  <c r="K1178" i="2" s="1"/>
  <c r="I1177" i="2"/>
  <c r="D1177" i="2"/>
  <c r="G1177" i="2" s="1"/>
  <c r="K1177" i="2" s="1"/>
  <c r="D1176" i="2"/>
  <c r="G1176" i="2" s="1"/>
  <c r="K1176" i="2" s="1"/>
  <c r="D1175" i="2"/>
  <c r="G1175" i="2" s="1"/>
  <c r="K1175" i="2" s="1"/>
  <c r="D1174" i="2"/>
  <c r="G1174" i="2" s="1"/>
  <c r="K1174" i="2" s="1"/>
  <c r="D1173" i="2"/>
  <c r="G1173" i="2" s="1"/>
  <c r="K1173" i="2" s="1"/>
  <c r="D1172" i="2"/>
  <c r="D1171" i="2"/>
  <c r="G1171" i="2" s="1"/>
  <c r="K1171" i="2" s="1"/>
  <c r="D1170" i="2"/>
  <c r="G1170" i="2"/>
  <c r="K1170" i="2" s="1"/>
  <c r="D1169" i="2"/>
  <c r="D1168" i="2"/>
  <c r="G1168" i="2" s="1"/>
  <c r="K1168" i="2" s="1"/>
  <c r="D1167" i="2"/>
  <c r="G1167" i="2" s="1"/>
  <c r="C1168" i="2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G1169" i="2"/>
  <c r="K1169" i="2" s="1"/>
  <c r="G1172" i="2"/>
  <c r="K1172" i="2" s="1"/>
  <c r="G1179" i="2"/>
  <c r="K1179" i="2"/>
  <c r="G1180" i="2"/>
  <c r="K1180" i="2" s="1"/>
  <c r="G1181" i="2"/>
  <c r="K1181" i="2" s="1"/>
  <c r="G1182" i="2"/>
  <c r="K1182" i="2"/>
  <c r="G1183" i="2"/>
  <c r="K1183" i="2" s="1"/>
  <c r="G1184" i="2"/>
  <c r="K1184" i="2" s="1"/>
  <c r="G1185" i="2"/>
  <c r="K1185" i="2" s="1"/>
  <c r="G1186" i="2"/>
  <c r="K1186" i="2"/>
  <c r="G1187" i="2"/>
  <c r="K1187" i="2"/>
  <c r="G1188" i="2"/>
  <c r="K1188" i="2" s="1"/>
  <c r="G1189" i="2"/>
  <c r="K1189" i="2"/>
  <c r="G1190" i="2"/>
  <c r="K1190" i="2"/>
  <c r="G1191" i="2"/>
  <c r="K1191" i="2"/>
  <c r="G1192" i="2"/>
  <c r="K1192" i="2" s="1"/>
  <c r="G1193" i="2"/>
  <c r="K1193" i="2" s="1"/>
  <c r="G1194" i="2"/>
  <c r="K1194" i="2"/>
  <c r="G1195" i="2"/>
  <c r="K1195" i="2"/>
  <c r="G1196" i="2"/>
  <c r="K1196" i="2" s="1"/>
  <c r="G1197" i="2"/>
  <c r="K1197" i="2"/>
  <c r="G1198" i="2"/>
  <c r="K1198" i="2"/>
  <c r="G1199" i="2"/>
  <c r="K1199" i="2"/>
  <c r="G1200" i="2"/>
  <c r="K1200" i="2" s="1"/>
  <c r="G1207" i="2"/>
  <c r="K1207" i="2" s="1"/>
  <c r="E1210" i="2"/>
  <c r="F1210" i="2"/>
  <c r="I1210" i="2"/>
  <c r="AE1265" i="2" l="1"/>
  <c r="AI1265" i="2"/>
  <c r="G1265" i="2"/>
  <c r="AE1210" i="2"/>
  <c r="AI1168" i="2"/>
  <c r="AI1210" i="2" s="1"/>
  <c r="P1210" i="2"/>
  <c r="S1210" i="2"/>
  <c r="W1210" i="2"/>
  <c r="K1167" i="2"/>
  <c r="K1210" i="2" s="1"/>
  <c r="G1210" i="2"/>
  <c r="D1210" i="2"/>
  <c r="AB1116" i="2"/>
  <c r="AE1116" i="2" s="1"/>
  <c r="AI1116" i="2" s="1"/>
  <c r="AB1115" i="2"/>
  <c r="AB1114" i="2"/>
  <c r="AB1113" i="2"/>
  <c r="AE1113" i="2" s="1"/>
  <c r="AI1113" i="2" s="1"/>
  <c r="AB1112" i="2"/>
  <c r="AA1113" i="2"/>
  <c r="AA1114" i="2" s="1"/>
  <c r="AA1115" i="2" s="1"/>
  <c r="AA1116" i="2" s="1"/>
  <c r="AE1114" i="2"/>
  <c r="AI1114" i="2" s="1"/>
  <c r="AE1115" i="2"/>
  <c r="AI1115" i="2" s="1"/>
  <c r="AE1117" i="2"/>
  <c r="AI1117" i="2" s="1"/>
  <c r="AE1118" i="2"/>
  <c r="AI1118" i="2" s="1"/>
  <c r="AE1119" i="2"/>
  <c r="AI1119" i="2" s="1"/>
  <c r="AE1120" i="2"/>
  <c r="AI1120" i="2" s="1"/>
  <c r="AE1121" i="2"/>
  <c r="AI1121" i="2"/>
  <c r="AE1122" i="2"/>
  <c r="AI1122" i="2"/>
  <c r="AE1123" i="2"/>
  <c r="AI1123" i="2"/>
  <c r="AE1124" i="2"/>
  <c r="AI1124" i="2"/>
  <c r="AE1125" i="2"/>
  <c r="AI1125" i="2"/>
  <c r="AE1126" i="2"/>
  <c r="AI1126" i="2" s="1"/>
  <c r="AE1127" i="2"/>
  <c r="AI1127" i="2"/>
  <c r="AE1128" i="2"/>
  <c r="AI1128" i="2"/>
  <c r="AE1129" i="2"/>
  <c r="AI1129" i="2"/>
  <c r="AE1130" i="2"/>
  <c r="AI1130" i="2"/>
  <c r="AE1131" i="2"/>
  <c r="AI1131" i="2"/>
  <c r="AE1132" i="2"/>
  <c r="AI1132" i="2"/>
  <c r="AE1133" i="2"/>
  <c r="AI1133" i="2"/>
  <c r="AE1134" i="2"/>
  <c r="AI1134" i="2" s="1"/>
  <c r="AE1135" i="2"/>
  <c r="AI1135" i="2"/>
  <c r="AE1136" i="2"/>
  <c r="AI1136" i="2" s="1"/>
  <c r="AE1137" i="2"/>
  <c r="AI1137" i="2"/>
  <c r="AE1138" i="2"/>
  <c r="AI1138" i="2"/>
  <c r="AE1139" i="2"/>
  <c r="AI1139" i="2"/>
  <c r="AE1140" i="2"/>
  <c r="AI1140" i="2"/>
  <c r="AE1141" i="2"/>
  <c r="AI1141" i="2"/>
  <c r="AE1142" i="2"/>
  <c r="AI1142" i="2" s="1"/>
  <c r="AE1143" i="2"/>
  <c r="AI1143" i="2"/>
  <c r="AE1144" i="2"/>
  <c r="AI1144" i="2"/>
  <c r="AE1145" i="2"/>
  <c r="AI1145" i="2"/>
  <c r="AE1146" i="2"/>
  <c r="AI1146" i="2"/>
  <c r="AE1147" i="2"/>
  <c r="AI1147" i="2"/>
  <c r="AE1148" i="2"/>
  <c r="AI1148" i="2"/>
  <c r="AE1149" i="2"/>
  <c r="AI1149" i="2"/>
  <c r="AE1150" i="2"/>
  <c r="AI1150" i="2" s="1"/>
  <c r="AI1151" i="2"/>
  <c r="AE1152" i="2"/>
  <c r="AI1152" i="2"/>
  <c r="AI1153" i="2"/>
  <c r="AC1155" i="2"/>
  <c r="AD1155" i="2"/>
  <c r="AG1155" i="2"/>
  <c r="AH1155" i="2"/>
  <c r="V1114" i="2"/>
  <c r="P1114" i="2"/>
  <c r="P1113" i="2"/>
  <c r="S1113" i="2" s="1"/>
  <c r="P1112" i="2"/>
  <c r="S1112" i="2" s="1"/>
  <c r="W1112" i="2" s="1"/>
  <c r="O1113" i="2"/>
  <c r="O1114" i="2" s="1"/>
  <c r="S1114" i="2"/>
  <c r="W1114" i="2"/>
  <c r="S1115" i="2"/>
  <c r="W1115" i="2" s="1"/>
  <c r="U1155" i="2"/>
  <c r="V1155" i="2"/>
  <c r="S1116" i="2"/>
  <c r="W1116" i="2" s="1"/>
  <c r="S1117" i="2"/>
  <c r="W1117" i="2" s="1"/>
  <c r="S1118" i="2"/>
  <c r="W1118" i="2" s="1"/>
  <c r="S1119" i="2"/>
  <c r="W1119" i="2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 s="1"/>
  <c r="S1133" i="2"/>
  <c r="W1133" i="2"/>
  <c r="S1134" i="2"/>
  <c r="W1134" i="2"/>
  <c r="S1135" i="2"/>
  <c r="W1135" i="2"/>
  <c r="S1136" i="2"/>
  <c r="W1136" i="2" s="1"/>
  <c r="S1137" i="2"/>
  <c r="W1137" i="2" s="1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/>
  <c r="S1144" i="2"/>
  <c r="W1144" i="2" s="1"/>
  <c r="S1145" i="2"/>
  <c r="W1145" i="2" s="1"/>
  <c r="S1146" i="2"/>
  <c r="W1146" i="2"/>
  <c r="S1147" i="2"/>
  <c r="W1147" i="2" s="1"/>
  <c r="S1148" i="2"/>
  <c r="W1148" i="2"/>
  <c r="S1149" i="2"/>
  <c r="W1149" i="2"/>
  <c r="S1150" i="2"/>
  <c r="W1150" i="2"/>
  <c r="W1151" i="2"/>
  <c r="S1152" i="2"/>
  <c r="W1152" i="2"/>
  <c r="W1153" i="2"/>
  <c r="Q1155" i="2"/>
  <c r="R1155" i="2"/>
  <c r="J1120" i="2"/>
  <c r="J1155" i="2" s="1"/>
  <c r="I1120" i="2"/>
  <c r="D1120" i="2"/>
  <c r="G1120" i="2" s="1"/>
  <c r="D1119" i="2"/>
  <c r="G1119" i="2" s="1"/>
  <c r="K1119" i="2" s="1"/>
  <c r="D1118" i="2"/>
  <c r="G1118" i="2" s="1"/>
  <c r="K1118" i="2" s="1"/>
  <c r="D1117" i="2"/>
  <c r="G1117" i="2" s="1"/>
  <c r="K1117" i="2" s="1"/>
  <c r="D1116" i="2"/>
  <c r="G1116" i="2" s="1"/>
  <c r="K1116" i="2" s="1"/>
  <c r="D1115" i="2"/>
  <c r="G1115" i="2" s="1"/>
  <c r="K1115" i="2" s="1"/>
  <c r="I1115" i="2"/>
  <c r="I1114" i="2"/>
  <c r="D1114" i="2"/>
  <c r="G1114" i="2" s="1"/>
  <c r="D1113" i="2"/>
  <c r="G1113" i="2" s="1"/>
  <c r="I1112" i="2"/>
  <c r="D1112" i="2"/>
  <c r="C1113" i="2"/>
  <c r="C1114" i="2" s="1"/>
  <c r="C1115" i="2" s="1"/>
  <c r="C1116" i="2" s="1"/>
  <c r="C1117" i="2" s="1"/>
  <c r="C1118" i="2" s="1"/>
  <c r="C1119" i="2" s="1"/>
  <c r="G1121" i="2"/>
  <c r="K1121" i="2" s="1"/>
  <c r="G1122" i="2"/>
  <c r="K1122" i="2" s="1"/>
  <c r="G1123" i="2"/>
  <c r="K1123" i="2"/>
  <c r="G1124" i="2"/>
  <c r="K1124" i="2"/>
  <c r="G1125" i="2"/>
  <c r="K1125" i="2"/>
  <c r="G1126" i="2"/>
  <c r="K1126" i="2"/>
  <c r="G1127" i="2"/>
  <c r="K1127" i="2"/>
  <c r="G1128" i="2"/>
  <c r="K1128" i="2"/>
  <c r="G1129" i="2"/>
  <c r="K1129" i="2"/>
  <c r="G1130" i="2"/>
  <c r="K1130" i="2"/>
  <c r="G1131" i="2"/>
  <c r="K1131" i="2"/>
  <c r="G1132" i="2"/>
  <c r="K1132" i="2"/>
  <c r="G1133" i="2"/>
  <c r="K1133" i="2"/>
  <c r="G1134" i="2"/>
  <c r="K1134" i="2"/>
  <c r="G1135" i="2"/>
  <c r="K1135" i="2"/>
  <c r="G1136" i="2"/>
  <c r="K1136" i="2"/>
  <c r="G1137" i="2"/>
  <c r="K1137" i="2"/>
  <c r="G1138" i="2"/>
  <c r="K1138" i="2"/>
  <c r="G1139" i="2"/>
  <c r="K1139" i="2"/>
  <c r="G1140" i="2"/>
  <c r="K1140" i="2"/>
  <c r="G1141" i="2"/>
  <c r="K1141" i="2"/>
  <c r="G1142" i="2"/>
  <c r="K1142" i="2"/>
  <c r="G1143" i="2"/>
  <c r="K1143" i="2"/>
  <c r="G1144" i="2"/>
  <c r="K1144" i="2"/>
  <c r="G1145" i="2"/>
  <c r="K1145" i="2"/>
  <c r="G1152" i="2"/>
  <c r="K1152" i="2"/>
  <c r="E1155" i="2"/>
  <c r="F1155" i="2"/>
  <c r="AB1155" i="2" l="1"/>
  <c r="AE1112" i="2"/>
  <c r="AI1112" i="2" s="1"/>
  <c r="AE1155" i="2"/>
  <c r="AI1155" i="2"/>
  <c r="P1155" i="2"/>
  <c r="S1155" i="2"/>
  <c r="W1113" i="2"/>
  <c r="W1155" i="2" s="1"/>
  <c r="K1120" i="2"/>
  <c r="I1155" i="2"/>
  <c r="K1114" i="2"/>
  <c r="D1155" i="2"/>
  <c r="G1112" i="2"/>
  <c r="K1112" i="2" s="1"/>
  <c r="K1113" i="2"/>
  <c r="AB1067" i="2"/>
  <c r="AE1067" i="2" s="1"/>
  <c r="AI1067" i="2" s="1"/>
  <c r="AB1066" i="2"/>
  <c r="AB1065" i="2"/>
  <c r="AB1064" i="2"/>
  <c r="AE1064" i="2" s="1"/>
  <c r="AI1064" i="2" s="1"/>
  <c r="AG1063" i="2"/>
  <c r="AG1100" i="2" s="1"/>
  <c r="AB1063" i="2"/>
  <c r="AH1062" i="2"/>
  <c r="AB1062" i="2"/>
  <c r="AB1061" i="2"/>
  <c r="AE1061" i="2" s="1"/>
  <c r="AI1061" i="2" s="1"/>
  <c r="AB1060" i="2"/>
  <c r="AE1060" i="2"/>
  <c r="AI1060" i="2" s="1"/>
  <c r="AB1059" i="2"/>
  <c r="AB1058" i="2"/>
  <c r="AE1058" i="2" s="1"/>
  <c r="AI1058" i="2" s="1"/>
  <c r="AH1057" i="2"/>
  <c r="AH1100" i="2"/>
  <c r="AB1057" i="2"/>
  <c r="AA1060" i="2"/>
  <c r="AA1061" i="2" s="1"/>
  <c r="AA1062" i="2" s="1"/>
  <c r="AA1063" i="2" s="1"/>
  <c r="AA1064" i="2" s="1"/>
  <c r="AA1065" i="2" s="1"/>
  <c r="AA1066" i="2" s="1"/>
  <c r="AA1067" i="2" s="1"/>
  <c r="AD1100" i="2"/>
  <c r="AC1100" i="2"/>
  <c r="AI1098" i="2"/>
  <c r="AE1097" i="2"/>
  <c r="AI1097" i="2" s="1"/>
  <c r="AI1096" i="2"/>
  <c r="AE1095" i="2"/>
  <c r="AI1095" i="2" s="1"/>
  <c r="AE1094" i="2"/>
  <c r="AI1094" i="2" s="1"/>
  <c r="AI1093" i="2"/>
  <c r="AE1093" i="2"/>
  <c r="AE1092" i="2"/>
  <c r="AI1092" i="2" s="1"/>
  <c r="AE1091" i="2"/>
  <c r="AI1091" i="2" s="1"/>
  <c r="AI1090" i="2"/>
  <c r="AE1090" i="2"/>
  <c r="AE1089" i="2"/>
  <c r="AI1089" i="2" s="1"/>
  <c r="AI1088" i="2"/>
  <c r="AE1088" i="2"/>
  <c r="AE1087" i="2"/>
  <c r="AI1087" i="2" s="1"/>
  <c r="AE1086" i="2"/>
  <c r="AI1086" i="2" s="1"/>
  <c r="AI1085" i="2"/>
  <c r="AE1085" i="2"/>
  <c r="AE1084" i="2"/>
  <c r="AI1084" i="2" s="1"/>
  <c r="AE1083" i="2"/>
  <c r="AI1083" i="2" s="1"/>
  <c r="AI1082" i="2"/>
  <c r="AE1082" i="2"/>
  <c r="AE1081" i="2"/>
  <c r="AI1081" i="2" s="1"/>
  <c r="AI1080" i="2"/>
  <c r="AE1080" i="2"/>
  <c r="AE1079" i="2"/>
  <c r="AI1079" i="2" s="1"/>
  <c r="AE1078" i="2"/>
  <c r="AI1078" i="2" s="1"/>
  <c r="AI1077" i="2"/>
  <c r="AE1077" i="2"/>
  <c r="AE1076" i="2"/>
  <c r="AI1076" i="2" s="1"/>
  <c r="AE1075" i="2"/>
  <c r="AI1075" i="2" s="1"/>
  <c r="AI1074" i="2"/>
  <c r="AE1074" i="2"/>
  <c r="AE1073" i="2"/>
  <c r="AI1073" i="2" s="1"/>
  <c r="AE1072" i="2"/>
  <c r="AI1072" i="2" s="1"/>
  <c r="AE1071" i="2"/>
  <c r="AI1071" i="2" s="1"/>
  <c r="AE1070" i="2"/>
  <c r="AI1070" i="2" s="1"/>
  <c r="AI1069" i="2"/>
  <c r="AE1069" i="2"/>
  <c r="AE1068" i="2"/>
  <c r="AI1068" i="2" s="1"/>
  <c r="AI1066" i="2"/>
  <c r="AE1066" i="2"/>
  <c r="AE1065" i="2"/>
  <c r="AI1065" i="2" s="1"/>
  <c r="AE1063" i="2"/>
  <c r="AI1063" i="2" s="1"/>
  <c r="AE1062" i="2"/>
  <c r="AI1062" i="2" s="1"/>
  <c r="AE1059" i="2"/>
  <c r="AI1059" i="2" s="1"/>
  <c r="AA1058" i="2"/>
  <c r="AA1059" i="2" s="1"/>
  <c r="P1063" i="2"/>
  <c r="S1063" i="2" s="1"/>
  <c r="W1063" i="2" s="1"/>
  <c r="P1062" i="2"/>
  <c r="P1061" i="2"/>
  <c r="S1061" i="2" s="1"/>
  <c r="W1061" i="2" s="1"/>
  <c r="V1060" i="2"/>
  <c r="V1100" i="2" s="1"/>
  <c r="U1060" i="2"/>
  <c r="U1100" i="2" s="1"/>
  <c r="P1060" i="2"/>
  <c r="P1059" i="2"/>
  <c r="P1058" i="2"/>
  <c r="S1058" i="2" s="1"/>
  <c r="W1058" i="2" s="1"/>
  <c r="P1057" i="2"/>
  <c r="S1057" i="2"/>
  <c r="O1058" i="2"/>
  <c r="O1059" i="2" s="1"/>
  <c r="O1060" i="2" s="1"/>
  <c r="O1061" i="2" s="1"/>
  <c r="O1062" i="2" s="1"/>
  <c r="O1063" i="2" s="1"/>
  <c r="S1059" i="2"/>
  <c r="W1059" i="2" s="1"/>
  <c r="S1060" i="2"/>
  <c r="S1062" i="2"/>
  <c r="W1062" i="2"/>
  <c r="S1064" i="2"/>
  <c r="W1064" i="2" s="1"/>
  <c r="S1065" i="2"/>
  <c r="W1065" i="2" s="1"/>
  <c r="S1066" i="2"/>
  <c r="W1066" i="2"/>
  <c r="S1067" i="2"/>
  <c r="W1067" i="2" s="1"/>
  <c r="S1068" i="2"/>
  <c r="W1068" i="2" s="1"/>
  <c r="S1069" i="2"/>
  <c r="W1069" i="2" s="1"/>
  <c r="S1070" i="2"/>
  <c r="W1070" i="2" s="1"/>
  <c r="S1071" i="2"/>
  <c r="W1071" i="2" s="1"/>
  <c r="S1072" i="2"/>
  <c r="W1072" i="2"/>
  <c r="S1073" i="2"/>
  <c r="W1073" i="2" s="1"/>
  <c r="S1074" i="2"/>
  <c r="W1074" i="2" s="1"/>
  <c r="S1075" i="2"/>
  <c r="W1075" i="2" s="1"/>
  <c r="S1076" i="2"/>
  <c r="W1076" i="2"/>
  <c r="S1077" i="2"/>
  <c r="W1077" i="2" s="1"/>
  <c r="S1078" i="2"/>
  <c r="W1078" i="2"/>
  <c r="S1079" i="2"/>
  <c r="W1079" i="2" s="1"/>
  <c r="S1080" i="2"/>
  <c r="W1080" i="2" s="1"/>
  <c r="S1081" i="2"/>
  <c r="W1081" i="2" s="1"/>
  <c r="S1082" i="2"/>
  <c r="W1082" i="2" s="1"/>
  <c r="S1083" i="2"/>
  <c r="W1083" i="2" s="1"/>
  <c r="S1084" i="2"/>
  <c r="W1084" i="2" s="1"/>
  <c r="S1085" i="2"/>
  <c r="W1085" i="2" s="1"/>
  <c r="S1086" i="2"/>
  <c r="W1086" i="2"/>
  <c r="S1087" i="2"/>
  <c r="W1087" i="2"/>
  <c r="S1088" i="2"/>
  <c r="W1088" i="2" s="1"/>
  <c r="S1089" i="2"/>
  <c r="W1089" i="2"/>
  <c r="S1090" i="2"/>
  <c r="W1090" i="2"/>
  <c r="S1091" i="2"/>
  <c r="W1091" i="2" s="1"/>
  <c r="S1092" i="2"/>
  <c r="W1092" i="2" s="1"/>
  <c r="S1093" i="2"/>
  <c r="W1093" i="2" s="1"/>
  <c r="S1094" i="2"/>
  <c r="W1094" i="2"/>
  <c r="S1095" i="2"/>
  <c r="W1095" i="2"/>
  <c r="W1096" i="2"/>
  <c r="S1097" i="2"/>
  <c r="W1097" i="2"/>
  <c r="W1098" i="2"/>
  <c r="Q1100" i="2"/>
  <c r="R1100" i="2"/>
  <c r="D1069" i="2"/>
  <c r="D1068" i="2"/>
  <c r="G1068" i="2" s="1"/>
  <c r="K1068" i="2" s="1"/>
  <c r="D1067" i="2"/>
  <c r="G1067" i="2" s="1"/>
  <c r="K1067" i="2" s="1"/>
  <c r="D1066" i="2"/>
  <c r="G1066" i="2" s="1"/>
  <c r="K1066" i="2" s="1"/>
  <c r="I1065" i="2"/>
  <c r="D1065" i="2"/>
  <c r="G1065" i="2" s="1"/>
  <c r="K1065" i="2" s="1"/>
  <c r="D1064" i="2"/>
  <c r="D1063" i="2"/>
  <c r="G1063" i="2" s="1"/>
  <c r="K1063" i="2" s="1"/>
  <c r="D1062" i="2"/>
  <c r="G1062" i="2" s="1"/>
  <c r="K1062" i="2" s="1"/>
  <c r="D1061" i="2"/>
  <c r="D1060" i="2"/>
  <c r="G1060" i="2" s="1"/>
  <c r="K1060" i="2" s="1"/>
  <c r="D1059" i="2"/>
  <c r="G1059" i="2" s="1"/>
  <c r="K1059" i="2" s="1"/>
  <c r="D1058" i="2"/>
  <c r="D1057" i="2"/>
  <c r="C1063" i="2"/>
  <c r="C1064" i="2"/>
  <c r="C1065" i="2" s="1"/>
  <c r="C1066" i="2" s="1"/>
  <c r="C1067" i="2" s="1"/>
  <c r="C1068" i="2" s="1"/>
  <c r="C1069" i="2" s="1"/>
  <c r="G1057" i="2"/>
  <c r="C1058" i="2"/>
  <c r="C1059" i="2" s="1"/>
  <c r="C1060" i="2" s="1"/>
  <c r="C1061" i="2" s="1"/>
  <c r="C1062" i="2" s="1"/>
  <c r="G1058" i="2"/>
  <c r="K1058" i="2" s="1"/>
  <c r="G1061" i="2"/>
  <c r="K1061" i="2" s="1"/>
  <c r="G1064" i="2"/>
  <c r="K1064" i="2"/>
  <c r="I1100" i="2"/>
  <c r="G1069" i="2"/>
  <c r="K1069" i="2" s="1"/>
  <c r="G1070" i="2"/>
  <c r="K1070" i="2" s="1"/>
  <c r="G1071" i="2"/>
  <c r="K1071" i="2"/>
  <c r="G1072" i="2"/>
  <c r="K1072" i="2" s="1"/>
  <c r="G1073" i="2"/>
  <c r="K1073" i="2"/>
  <c r="G1074" i="2"/>
  <c r="K1074" i="2"/>
  <c r="G1075" i="2"/>
  <c r="K1075" i="2" s="1"/>
  <c r="G1076" i="2"/>
  <c r="K1076" i="2" s="1"/>
  <c r="G1077" i="2"/>
  <c r="K1077" i="2"/>
  <c r="G1078" i="2"/>
  <c r="K1078" i="2" s="1"/>
  <c r="G1079" i="2"/>
  <c r="K1079" i="2"/>
  <c r="G1080" i="2"/>
  <c r="K1080" i="2" s="1"/>
  <c r="G1081" i="2"/>
  <c r="K1081" i="2"/>
  <c r="G1082" i="2"/>
  <c r="K1082" i="2"/>
  <c r="G1083" i="2"/>
  <c r="K1083" i="2" s="1"/>
  <c r="G1084" i="2"/>
  <c r="K1084" i="2" s="1"/>
  <c r="G1085" i="2"/>
  <c r="K1085" i="2"/>
  <c r="G1086" i="2"/>
  <c r="K1086" i="2" s="1"/>
  <c r="G1087" i="2"/>
  <c r="K1087" i="2"/>
  <c r="G1088" i="2"/>
  <c r="K1088" i="2" s="1"/>
  <c r="G1089" i="2"/>
  <c r="K1089" i="2"/>
  <c r="G1090" i="2"/>
  <c r="K1090" i="2"/>
  <c r="G1097" i="2"/>
  <c r="K1097" i="2" s="1"/>
  <c r="E1100" i="2"/>
  <c r="F1100" i="2"/>
  <c r="J1100" i="2"/>
  <c r="K1155" i="2" l="1"/>
  <c r="G1155" i="2"/>
  <c r="AB1100" i="2"/>
  <c r="AE1057" i="2"/>
  <c r="W1060" i="2"/>
  <c r="W1057" i="2"/>
  <c r="S1100" i="2"/>
  <c r="P1100" i="2"/>
  <c r="D1100" i="2"/>
  <c r="K1057" i="2"/>
  <c r="K1100" i="2" s="1"/>
  <c r="G1100" i="2"/>
  <c r="P1027" i="2"/>
  <c r="P1026" i="2"/>
  <c r="S1026" i="2" s="1"/>
  <c r="W1026" i="2" s="1"/>
  <c r="P1025" i="2"/>
  <c r="S1025" i="2" s="1"/>
  <c r="W1025" i="2" s="1"/>
  <c r="P1024" i="2"/>
  <c r="S1024" i="2" s="1"/>
  <c r="W1024" i="2" s="1"/>
  <c r="P1023" i="2"/>
  <c r="S1023" i="2" s="1"/>
  <c r="W1023" i="2" s="1"/>
  <c r="P1022" i="2"/>
  <c r="S1022" i="2" s="1"/>
  <c r="W1022" i="2" s="1"/>
  <c r="P1021" i="2"/>
  <c r="S1021" i="2" s="1"/>
  <c r="W1021" i="2" s="1"/>
  <c r="P1020" i="2"/>
  <c r="S1020" i="2" s="1"/>
  <c r="W1020" i="2" s="1"/>
  <c r="P1019" i="2"/>
  <c r="S1019" i="2" s="1"/>
  <c r="W1019" i="2" s="1"/>
  <c r="P1018" i="2"/>
  <c r="P1017" i="2"/>
  <c r="P1016" i="2"/>
  <c r="S1016" i="2" s="1"/>
  <c r="W1016" i="2" s="1"/>
  <c r="P1015" i="2"/>
  <c r="S1015" i="2" s="1"/>
  <c r="W1015" i="2" s="1"/>
  <c r="P1014" i="2"/>
  <c r="S1014" i="2" s="1"/>
  <c r="W1014" i="2" s="1"/>
  <c r="P1013" i="2"/>
  <c r="S1013" i="2" s="1"/>
  <c r="W1013" i="2" s="1"/>
  <c r="P1012" i="2"/>
  <c r="S1012" i="2" s="1"/>
  <c r="W1012" i="2" s="1"/>
  <c r="P1011" i="2"/>
  <c r="S1011" i="2" s="1"/>
  <c r="W1011" i="2" s="1"/>
  <c r="P1010" i="2"/>
  <c r="S1010" i="2" s="1"/>
  <c r="W1010" i="2" s="1"/>
  <c r="P1009" i="2"/>
  <c r="S1009" i="2" s="1"/>
  <c r="W1009" i="2" s="1"/>
  <c r="P1008" i="2"/>
  <c r="S1008" i="2" s="1"/>
  <c r="W1008" i="2" s="1"/>
  <c r="P1007" i="2"/>
  <c r="P1006" i="2"/>
  <c r="P1005" i="2"/>
  <c r="S1005" i="2" s="1"/>
  <c r="W1005" i="2" s="1"/>
  <c r="P1004" i="2"/>
  <c r="S1004" i="2" s="1"/>
  <c r="W1004" i="2" s="1"/>
  <c r="P1003" i="2"/>
  <c r="S1003" i="2" s="1"/>
  <c r="W1003" i="2" s="1"/>
  <c r="P1002" i="2"/>
  <c r="O1003" i="2"/>
  <c r="O1004" i="2" s="1"/>
  <c r="O1005" i="2" s="1"/>
  <c r="O1006" i="2" s="1"/>
  <c r="O1007" i="2" s="1"/>
  <c r="O1008" i="2" s="1"/>
  <c r="O1009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S1006" i="2"/>
  <c r="W1006" i="2" s="1"/>
  <c r="S1007" i="2"/>
  <c r="W1007" i="2" s="1"/>
  <c r="S1017" i="2"/>
  <c r="W1017" i="2"/>
  <c r="S1018" i="2"/>
  <c r="W1018" i="2" s="1"/>
  <c r="S1027" i="2"/>
  <c r="W1027" i="2"/>
  <c r="S1028" i="2"/>
  <c r="W1028" i="2"/>
  <c r="S1029" i="2"/>
  <c r="W1029" i="2"/>
  <c r="S1030" i="2"/>
  <c r="W1030" i="2"/>
  <c r="S1031" i="2"/>
  <c r="W1031" i="2"/>
  <c r="S1032" i="2"/>
  <c r="W1032" i="2"/>
  <c r="S1033" i="2"/>
  <c r="W1033" i="2"/>
  <c r="S1034" i="2"/>
  <c r="W1034" i="2"/>
  <c r="S1035" i="2"/>
  <c r="W1035" i="2"/>
  <c r="S1036" i="2"/>
  <c r="W1036" i="2"/>
  <c r="S1037" i="2"/>
  <c r="W1037" i="2"/>
  <c r="S1038" i="2"/>
  <c r="W1038" i="2"/>
  <c r="S1039" i="2"/>
  <c r="W1039" i="2"/>
  <c r="S1040" i="2"/>
  <c r="W1040" i="2"/>
  <c r="W1041" i="2"/>
  <c r="S1042" i="2"/>
  <c r="W1042" i="2"/>
  <c r="W1043" i="2"/>
  <c r="Q1045" i="2"/>
  <c r="R1045" i="2"/>
  <c r="U1045" i="2"/>
  <c r="V1045" i="2"/>
  <c r="D1015" i="2"/>
  <c r="G1015" i="2" s="1"/>
  <c r="K1015" i="2" s="1"/>
  <c r="D1014" i="2"/>
  <c r="G1014" i="2" s="1"/>
  <c r="K1014" i="2" s="1"/>
  <c r="I1013" i="2"/>
  <c r="I1045" i="2" s="1"/>
  <c r="D1013" i="2"/>
  <c r="D1012" i="2"/>
  <c r="G1012" i="2" s="1"/>
  <c r="K1012" i="2" s="1"/>
  <c r="D1011" i="2"/>
  <c r="D1010" i="2"/>
  <c r="D1009" i="2"/>
  <c r="D1008" i="2"/>
  <c r="D1007" i="2"/>
  <c r="G1007" i="2" s="1"/>
  <c r="K1007" i="2" s="1"/>
  <c r="D1006" i="2"/>
  <c r="G1006" i="2" s="1"/>
  <c r="K1006" i="2" s="1"/>
  <c r="D1005" i="2"/>
  <c r="G1005" i="2"/>
  <c r="K1005" i="2" s="1"/>
  <c r="D1004" i="2"/>
  <c r="D1003" i="2"/>
  <c r="D1002" i="2"/>
  <c r="C1003" i="2"/>
  <c r="C1004" i="2" s="1"/>
  <c r="C1005" i="2" s="1"/>
  <c r="C1006" i="2" s="1"/>
  <c r="C1007" i="2" s="1"/>
  <c r="C1009" i="2" s="1"/>
  <c r="C1010" i="2" s="1"/>
  <c r="C1011" i="2" s="1"/>
  <c r="C1012" i="2" s="1"/>
  <c r="C1013" i="2" s="1"/>
  <c r="C1014" i="2" s="1"/>
  <c r="C1015" i="2" s="1"/>
  <c r="G1003" i="2"/>
  <c r="K1003" i="2" s="1"/>
  <c r="G1004" i="2"/>
  <c r="K1004" i="2" s="1"/>
  <c r="G1008" i="2"/>
  <c r="K1008" i="2"/>
  <c r="G1009" i="2"/>
  <c r="K1009" i="2" s="1"/>
  <c r="G1010" i="2"/>
  <c r="K1010" i="2" s="1"/>
  <c r="G1011" i="2"/>
  <c r="K1011" i="2" s="1"/>
  <c r="G1013" i="2"/>
  <c r="G1016" i="2"/>
  <c r="K1016" i="2"/>
  <c r="G1017" i="2"/>
  <c r="K1017" i="2" s="1"/>
  <c r="G1018" i="2"/>
  <c r="K1018" i="2"/>
  <c r="G1019" i="2"/>
  <c r="K1019" i="2" s="1"/>
  <c r="G1020" i="2"/>
  <c r="K1020" i="2"/>
  <c r="G1021" i="2"/>
  <c r="K1021" i="2" s="1"/>
  <c r="G1022" i="2"/>
  <c r="K1022" i="2" s="1"/>
  <c r="G1023" i="2"/>
  <c r="K1023" i="2"/>
  <c r="G1024" i="2"/>
  <c r="K1024" i="2"/>
  <c r="G1025" i="2"/>
  <c r="K1025" i="2" s="1"/>
  <c r="G1026" i="2"/>
  <c r="K1026" i="2"/>
  <c r="G1027" i="2"/>
  <c r="K1027" i="2"/>
  <c r="G1028" i="2"/>
  <c r="K1028" i="2"/>
  <c r="G1029" i="2"/>
  <c r="K1029" i="2"/>
  <c r="G1030" i="2"/>
  <c r="K1030" i="2" s="1"/>
  <c r="G1031" i="2"/>
  <c r="K1031" i="2"/>
  <c r="G1032" i="2"/>
  <c r="K1032" i="2"/>
  <c r="G1033" i="2"/>
  <c r="K1033" i="2" s="1"/>
  <c r="G1034" i="2"/>
  <c r="K1034" i="2"/>
  <c r="G1035" i="2"/>
  <c r="K1035" i="2"/>
  <c r="G1042" i="2"/>
  <c r="K1042" i="2"/>
  <c r="E1045" i="2"/>
  <c r="F1045" i="2"/>
  <c r="J1045" i="2"/>
  <c r="AE1100" i="2" l="1"/>
  <c r="AI1057" i="2"/>
  <c r="AI1100" i="2" s="1"/>
  <c r="W1100" i="2"/>
  <c r="P1045" i="2"/>
  <c r="S1002" i="2"/>
  <c r="W1002" i="2" s="1"/>
  <c r="W1045" i="2" s="1"/>
  <c r="K1013" i="2"/>
  <c r="D1045" i="2"/>
  <c r="G1002" i="2"/>
  <c r="G1045" i="2" s="1"/>
  <c r="AB949" i="2"/>
  <c r="AE949" i="2" s="1"/>
  <c r="AI949" i="2" s="1"/>
  <c r="AB948" i="2"/>
  <c r="AB947" i="2"/>
  <c r="AE947" i="2"/>
  <c r="AA948" i="2"/>
  <c r="AA949" i="2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E958" i="2"/>
  <c r="AI958" i="2"/>
  <c r="AE959" i="2"/>
  <c r="AI959" i="2"/>
  <c r="AE960" i="2"/>
  <c r="AI960" i="2"/>
  <c r="AE961" i="2"/>
  <c r="AI961" i="2" s="1"/>
  <c r="AE962" i="2"/>
  <c r="AI962" i="2" s="1"/>
  <c r="AE963" i="2"/>
  <c r="AI963" i="2"/>
  <c r="AE964" i="2"/>
  <c r="AI964" i="2"/>
  <c r="AE965" i="2"/>
  <c r="AI965" i="2" s="1"/>
  <c r="AE966" i="2"/>
  <c r="AI966" i="2"/>
  <c r="AE967" i="2"/>
  <c r="AI967" i="2"/>
  <c r="AE968" i="2"/>
  <c r="AI968" i="2"/>
  <c r="AE969" i="2"/>
  <c r="AI969" i="2" s="1"/>
  <c r="AE970" i="2"/>
  <c r="AI970" i="2" s="1"/>
  <c r="AE971" i="2"/>
  <c r="AI971" i="2"/>
  <c r="AE972" i="2"/>
  <c r="AI972" i="2"/>
  <c r="AE973" i="2"/>
  <c r="AI973" i="2" s="1"/>
  <c r="AE974" i="2"/>
  <c r="AI974" i="2"/>
  <c r="AE975" i="2"/>
  <c r="AI975" i="2"/>
  <c r="AE976" i="2"/>
  <c r="AI976" i="2"/>
  <c r="AE977" i="2"/>
  <c r="AI977" i="2" s="1"/>
  <c r="AE978" i="2"/>
  <c r="AI978" i="2" s="1"/>
  <c r="AE979" i="2"/>
  <c r="AI979" i="2"/>
  <c r="AE980" i="2"/>
  <c r="AI980" i="2"/>
  <c r="AE981" i="2"/>
  <c r="AI981" i="2" s="1"/>
  <c r="AE982" i="2"/>
  <c r="AI982" i="2"/>
  <c r="AE983" i="2"/>
  <c r="AI983" i="2"/>
  <c r="AE984" i="2"/>
  <c r="AI984" i="2"/>
  <c r="AE985" i="2"/>
  <c r="AI985" i="2" s="1"/>
  <c r="AI986" i="2"/>
  <c r="AE987" i="2"/>
  <c r="AI987" i="2"/>
  <c r="AI988" i="2"/>
  <c r="AC990" i="2"/>
  <c r="AD990" i="2"/>
  <c r="AG990" i="2"/>
  <c r="AH990" i="2"/>
  <c r="V951" i="2"/>
  <c r="V990" i="2" s="1"/>
  <c r="P951" i="2"/>
  <c r="S951" i="2" s="1"/>
  <c r="W951" i="2" s="1"/>
  <c r="P950" i="2"/>
  <c r="P949" i="2"/>
  <c r="S949" i="2" s="1"/>
  <c r="W949" i="2" s="1"/>
  <c r="P948" i="2"/>
  <c r="P947" i="2"/>
  <c r="S947" i="2"/>
  <c r="W947" i="2" s="1"/>
  <c r="O948" i="2"/>
  <c r="O949" i="2" s="1"/>
  <c r="O950" i="2" s="1"/>
  <c r="O951" i="2" s="1"/>
  <c r="S948" i="2"/>
  <c r="W948" i="2"/>
  <c r="S950" i="2"/>
  <c r="S952" i="2"/>
  <c r="W952" i="2" s="1"/>
  <c r="S953" i="2"/>
  <c r="U990" i="2"/>
  <c r="W953" i="2"/>
  <c r="S954" i="2"/>
  <c r="W954" i="2" s="1"/>
  <c r="S955" i="2"/>
  <c r="W955" i="2"/>
  <c r="S956" i="2"/>
  <c r="W956" i="2" s="1"/>
  <c r="S957" i="2"/>
  <c r="W957" i="2"/>
  <c r="S958" i="2"/>
  <c r="W958" i="2"/>
  <c r="S959" i="2"/>
  <c r="W959" i="2"/>
  <c r="S960" i="2"/>
  <c r="W960" i="2" s="1"/>
  <c r="S961" i="2"/>
  <c r="W961" i="2" s="1"/>
  <c r="S962" i="2"/>
  <c r="W962" i="2"/>
  <c r="S963" i="2"/>
  <c r="W963" i="2"/>
  <c r="S964" i="2"/>
  <c r="W964" i="2" s="1"/>
  <c r="S965" i="2"/>
  <c r="W965" i="2"/>
  <c r="S966" i="2"/>
  <c r="W966" i="2"/>
  <c r="S967" i="2"/>
  <c r="W967" i="2"/>
  <c r="S968" i="2"/>
  <c r="W968" i="2"/>
  <c r="S969" i="2"/>
  <c r="W969" i="2" s="1"/>
  <c r="S970" i="2"/>
  <c r="W970" i="2"/>
  <c r="S971" i="2"/>
  <c r="W971" i="2"/>
  <c r="S972" i="2"/>
  <c r="W972" i="2" s="1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 s="1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D949" i="2"/>
  <c r="D948" i="2"/>
  <c r="G948" i="2" s="1"/>
  <c r="J947" i="2"/>
  <c r="J990" i="2" s="1"/>
  <c r="I947" i="2"/>
  <c r="I990" i="2" s="1"/>
  <c r="D947" i="2"/>
  <c r="C948" i="2"/>
  <c r="C949" i="2" s="1"/>
  <c r="G949" i="2"/>
  <c r="K949" i="2" s="1"/>
  <c r="G950" i="2"/>
  <c r="K950" i="2" s="1"/>
  <c r="G951" i="2"/>
  <c r="K951" i="2"/>
  <c r="G952" i="2"/>
  <c r="K952" i="2"/>
  <c r="G953" i="2"/>
  <c r="K953" i="2"/>
  <c r="G954" i="2"/>
  <c r="K954" i="2" s="1"/>
  <c r="G955" i="2"/>
  <c r="K955" i="2"/>
  <c r="G956" i="2"/>
  <c r="K956" i="2"/>
  <c r="G957" i="2"/>
  <c r="K957" i="2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S1045" i="2" l="1"/>
  <c r="K1002" i="2"/>
  <c r="K1045" i="2" s="1"/>
  <c r="AB990" i="2"/>
  <c r="AE948" i="2"/>
  <c r="AI948" i="2" s="1"/>
  <c r="AI947" i="2"/>
  <c r="P990" i="2"/>
  <c r="S990" i="2"/>
  <c r="W950" i="2"/>
  <c r="W990" i="2" s="1"/>
  <c r="D990" i="2"/>
  <c r="G947" i="2"/>
  <c r="K947" i="2" s="1"/>
  <c r="G990" i="2"/>
  <c r="K948" i="2"/>
  <c r="U898" i="2"/>
  <c r="AE990" i="2" l="1"/>
  <c r="AI990" i="2"/>
  <c r="K990" i="2"/>
  <c r="AB901" i="2"/>
  <c r="AB900" i="2"/>
  <c r="AE900" i="2" s="1"/>
  <c r="AI900" i="2" s="1"/>
  <c r="AB899" i="2"/>
  <c r="AE899" i="2" s="1"/>
  <c r="AI899" i="2" s="1"/>
  <c r="AB898" i="2"/>
  <c r="AB897" i="2"/>
  <c r="AE897" i="2" s="1"/>
  <c r="AI897" i="2" s="1"/>
  <c r="AB896" i="2"/>
  <c r="AB895" i="2"/>
  <c r="AE895" i="2" s="1"/>
  <c r="AI895" i="2" s="1"/>
  <c r="AG894" i="2"/>
  <c r="AG935" i="2" s="1"/>
  <c r="AB894" i="2"/>
  <c r="AB893" i="2"/>
  <c r="AE893" i="2" s="1"/>
  <c r="AI893" i="2" s="1"/>
  <c r="AB892" i="2"/>
  <c r="AE892" i="2"/>
  <c r="AI892" i="2" s="1"/>
  <c r="AA893" i="2"/>
  <c r="AA894" i="2" s="1"/>
  <c r="AA895" i="2" s="1"/>
  <c r="AA896" i="2" s="1"/>
  <c r="AA897" i="2" s="1"/>
  <c r="AA898" i="2" s="1"/>
  <c r="AA899" i="2" s="1"/>
  <c r="AA900" i="2" s="1"/>
  <c r="AA901" i="2" s="1"/>
  <c r="AE894" i="2"/>
  <c r="AE896" i="2"/>
  <c r="AI896" i="2" s="1"/>
  <c r="AE898" i="2"/>
  <c r="AI898" i="2"/>
  <c r="AE901" i="2"/>
  <c r="AI901" i="2" s="1"/>
  <c r="AE902" i="2"/>
  <c r="AI902" i="2"/>
  <c r="AE903" i="2"/>
  <c r="AI903" i="2" s="1"/>
  <c r="AE904" i="2"/>
  <c r="AI904" i="2" s="1"/>
  <c r="AE905" i="2"/>
  <c r="AI905" i="2"/>
  <c r="AE906" i="2"/>
  <c r="AI906" i="2"/>
  <c r="AE907" i="2"/>
  <c r="AI907" i="2"/>
  <c r="AE908" i="2"/>
  <c r="AI908" i="2"/>
  <c r="AE909" i="2"/>
  <c r="AI909" i="2"/>
  <c r="AE910" i="2"/>
  <c r="AI910" i="2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/>
  <c r="AE918" i="2"/>
  <c r="AI918" i="2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/>
  <c r="AE926" i="2"/>
  <c r="AI926" i="2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C935" i="2"/>
  <c r="AD935" i="2"/>
  <c r="AH935" i="2"/>
  <c r="V898" i="2"/>
  <c r="P898" i="2"/>
  <c r="S898" i="2" s="1"/>
  <c r="P900" i="2"/>
  <c r="S900" i="2" s="1"/>
  <c r="W900" i="2" s="1"/>
  <c r="P899" i="2"/>
  <c r="V935" i="2"/>
  <c r="U897" i="2"/>
  <c r="P897" i="2"/>
  <c r="P896" i="2"/>
  <c r="P895" i="2"/>
  <c r="P894" i="2"/>
  <c r="P893" i="2"/>
  <c r="P892" i="2"/>
  <c r="S892" i="2"/>
  <c r="W892" i="2" s="1"/>
  <c r="O893" i="2"/>
  <c r="O894" i="2" s="1"/>
  <c r="O895" i="2" s="1"/>
  <c r="O896" i="2" s="1"/>
  <c r="O897" i="2" s="1"/>
  <c r="O898" i="2" s="1"/>
  <c r="O899" i="2" s="1"/>
  <c r="O900" i="2" s="1"/>
  <c r="S893" i="2"/>
  <c r="S894" i="2"/>
  <c r="W894" i="2" s="1"/>
  <c r="S895" i="2"/>
  <c r="W895" i="2" s="1"/>
  <c r="S896" i="2"/>
  <c r="W896" i="2" s="1"/>
  <c r="S899" i="2"/>
  <c r="W899" i="2"/>
  <c r="S901" i="2"/>
  <c r="W901" i="2" s="1"/>
  <c r="S902" i="2"/>
  <c r="W902" i="2" s="1"/>
  <c r="S903" i="2"/>
  <c r="W903" i="2"/>
  <c r="S904" i="2"/>
  <c r="W904" i="2"/>
  <c r="S905" i="2"/>
  <c r="W905" i="2" s="1"/>
  <c r="S906" i="2"/>
  <c r="W906" i="2"/>
  <c r="S907" i="2"/>
  <c r="W907" i="2"/>
  <c r="S908" i="2"/>
  <c r="W908" i="2"/>
  <c r="S909" i="2"/>
  <c r="W909" i="2"/>
  <c r="S910" i="2"/>
  <c r="W910" i="2" s="1"/>
  <c r="S911" i="2"/>
  <c r="W911" i="2" s="1"/>
  <c r="S912" i="2"/>
  <c r="W912" i="2"/>
  <c r="S913" i="2"/>
  <c r="W913" i="2" s="1"/>
  <c r="S914" i="2"/>
  <c r="W914" i="2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D894" i="2"/>
  <c r="J893" i="2"/>
  <c r="J935" i="2" s="1"/>
  <c r="D893" i="2"/>
  <c r="D892" i="2"/>
  <c r="G892" i="2" s="1"/>
  <c r="K892" i="2" s="1"/>
  <c r="C893" i="2"/>
  <c r="C894" i="2" s="1"/>
  <c r="G893" i="2"/>
  <c r="G894" i="2"/>
  <c r="G895" i="2"/>
  <c r="K895" i="2" s="1"/>
  <c r="G896" i="2"/>
  <c r="K896" i="2" s="1"/>
  <c r="G897" i="2"/>
  <c r="K897" i="2" s="1"/>
  <c r="G898" i="2"/>
  <c r="K898" i="2" s="1"/>
  <c r="G899" i="2"/>
  <c r="K899" i="2"/>
  <c r="G900" i="2"/>
  <c r="K900" i="2"/>
  <c r="G901" i="2"/>
  <c r="K901" i="2"/>
  <c r="G902" i="2"/>
  <c r="K902" i="2"/>
  <c r="G903" i="2"/>
  <c r="K903" i="2" s="1"/>
  <c r="G904" i="2"/>
  <c r="K904" i="2"/>
  <c r="G905" i="2"/>
  <c r="K905" i="2" s="1"/>
  <c r="G906" i="2"/>
  <c r="K906" i="2" s="1"/>
  <c r="G907" i="2"/>
  <c r="K907" i="2"/>
  <c r="G908" i="2"/>
  <c r="K908" i="2"/>
  <c r="G909" i="2"/>
  <c r="K909" i="2"/>
  <c r="G910" i="2"/>
  <c r="K910" i="2" s="1"/>
  <c r="G911" i="2"/>
  <c r="K911" i="2" s="1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 s="1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I935" i="2"/>
  <c r="AB935" i="2" l="1"/>
  <c r="AE935" i="2"/>
  <c r="AI894" i="2"/>
  <c r="AI935" i="2" s="1"/>
  <c r="U935" i="2"/>
  <c r="W898" i="2"/>
  <c r="P935" i="2"/>
  <c r="S897" i="2"/>
  <c r="W897" i="2" s="1"/>
  <c r="W893" i="2"/>
  <c r="W935" i="2" s="1"/>
  <c r="D935" i="2"/>
  <c r="G935" i="2"/>
  <c r="K893" i="2"/>
  <c r="K894" i="2"/>
  <c r="AB841" i="2"/>
  <c r="AE841" i="2" s="1"/>
  <c r="AI841" i="2" s="1"/>
  <c r="AG840" i="2"/>
  <c r="AB840" i="2"/>
  <c r="AE840" i="2" s="1"/>
  <c r="AI840" i="2" s="1"/>
  <c r="AB839" i="2"/>
  <c r="AE839" i="2" s="1"/>
  <c r="AB838" i="2"/>
  <c r="AB837" i="2"/>
  <c r="AE837" i="2"/>
  <c r="AA838" i="2"/>
  <c r="AE838" i="2"/>
  <c r="AI838" i="2" s="1"/>
  <c r="AA839" i="2"/>
  <c r="AA840" i="2" s="1"/>
  <c r="AA841" i="2" s="1"/>
  <c r="AH880" i="2"/>
  <c r="AE842" i="2"/>
  <c r="AI842" i="2" s="1"/>
  <c r="AE843" i="2"/>
  <c r="AI843" i="2" s="1"/>
  <c r="AE844" i="2"/>
  <c r="AI844" i="2"/>
  <c r="AE845" i="2"/>
  <c r="AI845" i="2"/>
  <c r="AE846" i="2"/>
  <c r="AI846" i="2"/>
  <c r="AE847" i="2"/>
  <c r="AI847" i="2" s="1"/>
  <c r="AE848" i="2"/>
  <c r="AI848" i="2" s="1"/>
  <c r="AE849" i="2"/>
  <c r="AI849" i="2"/>
  <c r="AE850" i="2"/>
  <c r="AI850" i="2" s="1"/>
  <c r="AE851" i="2"/>
  <c r="AI851" i="2" s="1"/>
  <c r="AE852" i="2"/>
  <c r="AI852" i="2"/>
  <c r="AE853" i="2"/>
  <c r="AI853" i="2"/>
  <c r="AE854" i="2"/>
  <c r="AI854" i="2"/>
  <c r="AE855" i="2"/>
  <c r="AI855" i="2" s="1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 s="1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 s="1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C880" i="2"/>
  <c r="AD880" i="2"/>
  <c r="AG880" i="2"/>
  <c r="U841" i="2"/>
  <c r="U880" i="2" s="1"/>
  <c r="P841" i="2"/>
  <c r="S841" i="2" s="1"/>
  <c r="W841" i="2" s="1"/>
  <c r="P840" i="2"/>
  <c r="S840" i="2" s="1"/>
  <c r="W840" i="2" s="1"/>
  <c r="P839" i="2"/>
  <c r="P838" i="2"/>
  <c r="U837" i="2"/>
  <c r="P837" i="2"/>
  <c r="S837" i="2"/>
  <c r="W837" i="2" s="1"/>
  <c r="O838" i="2"/>
  <c r="O839" i="2" s="1"/>
  <c r="O840" i="2" s="1"/>
  <c r="O841" i="2" s="1"/>
  <c r="S838" i="2"/>
  <c r="S839" i="2"/>
  <c r="W839" i="2" s="1"/>
  <c r="S842" i="2"/>
  <c r="W842" i="2" s="1"/>
  <c r="S843" i="2"/>
  <c r="W843" i="2"/>
  <c r="S844" i="2"/>
  <c r="W844" i="2"/>
  <c r="S845" i="2"/>
  <c r="W845" i="2"/>
  <c r="S846" i="2"/>
  <c r="W846" i="2"/>
  <c r="S847" i="2"/>
  <c r="W847" i="2" s="1"/>
  <c r="S848" i="2"/>
  <c r="W848" i="2"/>
  <c r="S849" i="2"/>
  <c r="W849" i="2"/>
  <c r="S850" i="2"/>
  <c r="W850" i="2"/>
  <c r="S851" i="2"/>
  <c r="W851" i="2"/>
  <c r="S852" i="2"/>
  <c r="W852" i="2"/>
  <c r="S853" i="2"/>
  <c r="W853" i="2"/>
  <c r="S854" i="2"/>
  <c r="W854" i="2" s="1"/>
  <c r="S855" i="2"/>
  <c r="W855" i="2" s="1"/>
  <c r="S856" i="2"/>
  <c r="W856" i="2"/>
  <c r="S857" i="2"/>
  <c r="W857" i="2"/>
  <c r="S858" i="2"/>
  <c r="W858" i="2"/>
  <c r="S859" i="2"/>
  <c r="W859" i="2"/>
  <c r="S860" i="2"/>
  <c r="W860" i="2"/>
  <c r="S861" i="2"/>
  <c r="W861" i="2"/>
  <c r="S862" i="2"/>
  <c r="W862" i="2"/>
  <c r="S863" i="2"/>
  <c r="W863" i="2" s="1"/>
  <c r="S864" i="2"/>
  <c r="W864" i="2"/>
  <c r="S865" i="2"/>
  <c r="W865" i="2"/>
  <c r="S866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/>
  <c r="W878" i="2"/>
  <c r="Q880" i="2"/>
  <c r="R880" i="2"/>
  <c r="V880" i="2"/>
  <c r="I839" i="2"/>
  <c r="J839" i="2"/>
  <c r="J880" i="2" s="1"/>
  <c r="D839" i="2"/>
  <c r="D880" i="2" s="1"/>
  <c r="J838" i="2"/>
  <c r="I838" i="2"/>
  <c r="D838" i="2"/>
  <c r="D837" i="2"/>
  <c r="G837" i="2"/>
  <c r="C838" i="2"/>
  <c r="C839" i="2" s="1"/>
  <c r="G838" i="2"/>
  <c r="G839" i="2"/>
  <c r="G840" i="2"/>
  <c r="K840" i="2" s="1"/>
  <c r="G841" i="2"/>
  <c r="K841" i="2" s="1"/>
  <c r="G842" i="2"/>
  <c r="K842" i="2" s="1"/>
  <c r="G843" i="2"/>
  <c r="K843" i="2" s="1"/>
  <c r="G844" i="2"/>
  <c r="K844" i="2" s="1"/>
  <c r="G845" i="2"/>
  <c r="K845" i="2" s="1"/>
  <c r="G846" i="2"/>
  <c r="K846" i="2" s="1"/>
  <c r="G847" i="2"/>
  <c r="K847" i="2" s="1"/>
  <c r="G848" i="2"/>
  <c r="K848" i="2" s="1"/>
  <c r="G849" i="2"/>
  <c r="K849" i="2" s="1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 s="1"/>
  <c r="G857" i="2"/>
  <c r="K857" i="2" s="1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 s="1"/>
  <c r="G865" i="2"/>
  <c r="K865" i="2" s="1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S935" i="2" l="1"/>
  <c r="K935" i="2"/>
  <c r="AB880" i="2"/>
  <c r="AE880" i="2"/>
  <c r="AI837" i="2"/>
  <c r="AI839" i="2"/>
  <c r="P880" i="2"/>
  <c r="S880" i="2"/>
  <c r="W838" i="2"/>
  <c r="W880" i="2" s="1"/>
  <c r="K839" i="2"/>
  <c r="I880" i="2"/>
  <c r="K838" i="2"/>
  <c r="K837" i="2"/>
  <c r="G880" i="2"/>
  <c r="AB786" i="2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880" i="2" l="1"/>
  <c r="K880" i="2"/>
  <c r="AI786" i="2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D38" i="1" s="1"/>
  <c r="J39" i="1"/>
  <c r="J40" i="1"/>
  <c r="J30" i="1"/>
  <c r="D30" i="1" s="1"/>
  <c r="J31" i="1"/>
  <c r="D31" i="1" s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9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D36" i="1" s="1"/>
  <c r="J37" i="1"/>
  <c r="D37" i="1" s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family val="2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837" authorId="0" shapeId="0" xr:uid="{DFFB8EE6-63AD-4C29-9BB5-38A03DDFCB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 STORE
DICOYONG, SINDANGAN</t>
        </r>
      </text>
    </comment>
    <comment ref="O837" authorId="0" shapeId="0" xr:uid="{6BA3A827-BEAE-4C8C-9BE1-0D0396D6CB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MARTY STORE
POB, SINDANGAN</t>
        </r>
      </text>
    </comment>
    <comment ref="AA837" authorId="0" shapeId="0" xr:uid="{88342DAC-5E23-4318-901E-2A009E1EE7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838" authorId="0" shapeId="0" xr:uid="{42F9E9C7-8985-49C2-9BF1-2BC7EC3738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838" authorId="0" shapeId="0" xr:uid="{3E3D7E35-2DFF-45D2-9D89-C2624373DC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STORE
GOLEO, SINDANGAN</t>
        </r>
      </text>
    </comment>
    <comment ref="AA838" authorId="0" shapeId="0" xr:uid="{7FEB433F-E855-4B34-9429-531E9F4C31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
SLPA 2
BACONG, SALUG</t>
        </r>
      </text>
    </comment>
    <comment ref="C839" authorId="0" shapeId="0" xr:uid="{A588CA6F-5D48-4C95-8D96-4D80E3320A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EDNA TAMPUS</t>
        </r>
      </text>
    </comment>
    <comment ref="O839" authorId="0" shapeId="0" xr:uid="{B081E353-85EC-45B8-8988-66A97D5C69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TOBIAS STORE
DATU TANGKILAN, SINDANGAN</t>
        </r>
      </text>
    </comment>
    <comment ref="AA839" authorId="0" shapeId="0" xr:uid="{E28CF90F-98F8-4FCC-9366-7338D8DE3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840" authorId="0" shapeId="0" xr:uid="{C8491011-C731-4DF1-B8CF-9C26A43E77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BANDICO
GOLEO, SINDANGAN</t>
        </r>
      </text>
    </comment>
    <comment ref="AA840" authorId="0" shapeId="0" xr:uid="{5EB44E45-242E-4894-BCE3-AA2D6F2F5A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O841" authorId="0" shapeId="0" xr:uid="{BE82F6BF-1EE1-47F5-8F2A-710041F791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841" authorId="0" shapeId="0" xr:uid="{88B8C853-DBAA-4A23-9F7D-6FCB5860DD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ANTONIO BALASUELA
BAYBAY, LILOY</t>
        </r>
      </text>
    </comment>
    <comment ref="C892" authorId="0" shapeId="0" xr:uid="{906CA8B3-6F3F-45F5-B825-65BE3C998D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892" authorId="0" shapeId="0" xr:uid="{9B1486A6-2AA1-46A1-8719-57DAAA22D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CRYSTAL STORE
MARAS, SINDANGAN</t>
        </r>
      </text>
    </comment>
    <comment ref="AA892" authorId="0" shapeId="0" xr:uid="{39F18268-1080-4B5D-9E65-E7FE6B8DC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893" authorId="0" shapeId="0" xr:uid="{A51FBB01-A6CB-4185-8D1C-EC78F19F8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893" authorId="0" shapeId="0" xr:uid="{1CEFD5C7-D9ED-4F7D-B3BB-A9B21F5DF7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MITCHEL STORE
MARAS, SINDANGAN</t>
        </r>
      </text>
    </comment>
    <comment ref="AA893" authorId="0" shapeId="0" xr:uid="{3ADBEB63-EE96-4887-9257-2882D7F24A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C894" authorId="0" shapeId="0" xr:uid="{C09C7613-36CA-4E89-9293-F8050A378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894" authorId="0" shapeId="0" xr:uid="{3314EE7D-57C0-4D41-B896-801A162A21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DON STORE
</t>
        </r>
      </text>
    </comment>
    <comment ref="AA894" authorId="0" shapeId="0" xr:uid="{8D17EF3C-53F2-4B36-BE00-B1970AE1BB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895" authorId="0" shapeId="0" xr:uid="{792FEA43-EB5A-4D7D-8B83-869616A753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LEIZEL STORE
MARAS, SINDANGAN</t>
        </r>
      </text>
    </comment>
    <comment ref="AA895" authorId="0" shapeId="0" xr:uid="{DF6BD878-5C1D-4C3D-A241-967AC878BE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O896" authorId="0" shapeId="0" xr:uid="{BA2F78B4-38EA-479D-838F-7635117838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896" authorId="0" shapeId="0" xr:uid="{F55FAB53-EAE8-4E5C-9AC1-20EA5DA3B4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MIRACLE BEB'S
POB, SALUG</t>
        </r>
      </text>
    </comment>
    <comment ref="O897" authorId="0" shapeId="0" xr:uid="{2E09C10E-42B8-43A9-A2FE-9EB48A95CC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897" authorId="0" shapeId="0" xr:uid="{408E68AD-41B0-406D-AB6A-C06829FEB2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898" authorId="0" shapeId="0" xr:uid="{0CDC604B-84D4-49E2-A9B7-BF65E52D27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AA898" authorId="0" shapeId="0" xr:uid="{4F27C8D3-98D7-4D10-A1A7-A751E8DA42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COMENDADOR
POB, SALUG</t>
        </r>
      </text>
    </comment>
    <comment ref="O899" authorId="0" shapeId="0" xr:uid="{CC41ACE8-867E-455C-9D69-0307644FB2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 STORE
TALINGA, SINDANGAN</t>
        </r>
      </text>
    </comment>
    <comment ref="AA899" authorId="0" shapeId="0" xr:uid="{63FCB8BC-6082-4B4E-A04E-000E3C253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900" authorId="0" shapeId="0" xr:uid="{8F0900AA-47DD-4DD4-AF97-61255F82B0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900" authorId="0" shapeId="0" xr:uid="{57D4EC3C-B9D1-4B9D-817D-2A871779CC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SALUG NATIONAL HIGH SCHOOL
POB, SALUG</t>
        </r>
      </text>
    </comment>
    <comment ref="AA901" authorId="0" shapeId="0" xr:uid="{9B31684D-E5DC-4AA9-956C-87E48EDCD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DIVINO
LIPAKAN, SALUG</t>
        </r>
      </text>
    </comment>
    <comment ref="C947" authorId="0" shapeId="0" xr:uid="{0BCCE6E3-B33F-4E83-96DB-8D115F0B7E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STORE
GUNYAN, SIAYAN</t>
        </r>
      </text>
    </comment>
    <comment ref="O947" authorId="0" shapeId="0" xr:uid="{BDF2086E-22F9-4770-8724-0C92A98B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GOLEO, SINDANGAN</t>
        </r>
      </text>
    </comment>
    <comment ref="AA947" authorId="0" shapeId="0" xr:uid="{B303F80F-A89E-4FC7-90B6-091A9F8F81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48" authorId="0" shapeId="0" xr:uid="{9E4E28A5-63D8-4089-8FF4-23E4FB6E5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948" authorId="0" shapeId="0" xr:uid="{43A238E8-2553-47F1-95E1-872CB757E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948" authorId="0" shapeId="0" xr:uid="{BF617E63-898F-4AD9-903D-F69A4D64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949" authorId="0" shapeId="0" xr:uid="{5737C87A-C45A-47C6-B2E1-0B1D745916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949" authorId="0" shapeId="0" xr:uid="{A9BAF84A-F1CA-46BA-B3BB-379D0B2793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KAN-ANAN SA HIGHWAY
TALINGA, BACUNGAN</t>
        </r>
      </text>
    </comment>
    <comment ref="AA949" authorId="0" shapeId="0" xr:uid="{108DFCFB-F414-4B9E-9AE3-E44DBF720F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0" authorId="0" shapeId="0" xr:uid="{56522C6D-B59C-4CAF-AA36-DB57A5BE9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O951" authorId="0" shapeId="0" xr:uid="{CB6D16E8-5DCB-41B7-852F-996CD12AC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1002" authorId="0" shapeId="0" xr:uid="{4782F7FC-C384-4506-A5DB-D9541D8A2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O1002" authorId="0" shapeId="0" xr:uid="{B16603E3-2C18-4336-A7D0-335E022A9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003" authorId="0" shapeId="0" xr:uid="{64F35F23-F719-4FA2-B6B1-C49705413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KOKOY STORE
POB, SINDANGAN</t>
        </r>
      </text>
    </comment>
    <comment ref="O1003" authorId="0" shapeId="0" xr:uid="{F0078EAA-2BBB-413C-9866-39D0B13E8B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ELLEN MANOS
TALINGA, BACUNGAN</t>
        </r>
      </text>
    </comment>
    <comment ref="C1004" authorId="0" shapeId="0" xr:uid="{A0BCF551-2BE6-4922-AE72-04BD4A9D9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POB, SINDANGAN</t>
        </r>
      </text>
    </comment>
    <comment ref="O1004" authorId="0" shapeId="0" xr:uid="{245E9C72-0BA4-4445-946B-CDD9BE8E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1005" authorId="0" shapeId="0" xr:uid="{73E8308A-90BB-4D00-9F72-46AE7FFE5C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1005" authorId="0" shapeId="0" xr:uid="{E93632A5-17F5-4E35-AA54-F7C0D81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QUIMNO
RM, SALUG</t>
        </r>
      </text>
    </comment>
    <comment ref="C1006" authorId="0" shapeId="0" xr:uid="{3AC8FC6F-3004-4B20-A682-1B5F3724F9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PROCOPIO STORE
DAPAON, SINDANGAN</t>
        </r>
      </text>
    </comment>
    <comment ref="O1006" authorId="0" shapeId="0" xr:uid="{87534150-794E-4456-87D9-1E4E5C0D0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1007" authorId="0" shapeId="0" xr:uid="{565F1A90-1A2E-4425-A5D8-D27FA37869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PBC STORE
DISUD, SINDANGAN</t>
        </r>
      </text>
    </comment>
    <comment ref="O1007" authorId="0" shapeId="0" xr:uid="{032D878B-1F22-4083-8F24-82F1A382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MOSQUEDA STORE
PALANDOK, BACUNGAN</t>
        </r>
      </text>
    </comment>
    <comment ref="C1008" authorId="0" shapeId="0" xr:uid="{30C5161C-448B-41EF-B443-DF0AD993AE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08" authorId="0" shapeId="0" xr:uid="{470800BA-B1DF-4F31-82A9-CD6F33D62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TRIPLE-Z STORE
PALANDOK, BACUNGAN</t>
        </r>
      </text>
    </comment>
    <comment ref="C1009" authorId="0" shapeId="0" xr:uid="{C109B3EE-344E-4ED8-A554-C24F233CC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09" authorId="0" shapeId="0" xr:uid="{D3548261-2A2B-45B3-B374-C19245DB3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C1010" authorId="0" shapeId="0" xr:uid="{8FB1A8D8-4A5D-4CFD-A66D-DDB9FE029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MORANOS STORE
DISUD, SINDANGAN</t>
        </r>
      </text>
    </comment>
    <comment ref="O1010" authorId="0" shapeId="0" xr:uid="{4765D5BA-B34E-4AE0-92F9-AED7420C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ARLENE LAMPAWOG
MANGOP, BACUNGAN</t>
        </r>
      </text>
    </comment>
    <comment ref="C1011" authorId="0" shapeId="0" xr:uid="{A41CC199-B87D-4A31-B4E1-C70E322991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 STORE
LABAKID, SINDANGAN</t>
        </r>
      </text>
    </comment>
    <comment ref="O1011" authorId="0" shapeId="0" xr:uid="{1AACFB12-3BE0-43F5-A40C-0CF7F71D1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TEVES STORE
MANGOP, BACUNGAN</t>
        </r>
      </text>
    </comment>
    <comment ref="C1012" authorId="0" shapeId="0" xr:uid="{1727DB97-2866-4642-95CD-B1F638109A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012" authorId="0" shapeId="0" xr:uid="{55A42061-573F-4582-B13C-F76B563A4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1013" authorId="0" shapeId="0" xr:uid="{4FB83D81-1484-46F2-AA55-EFE8FAC541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STORE
LABAKID, SINDANGAN</t>
        </r>
      </text>
    </comment>
    <comment ref="O1013" authorId="0" shapeId="0" xr:uid="{31B05730-3830-4C85-B145-A8A14D407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ELVE BAEL
BOGABONGAN, BACUNGAN</t>
        </r>
      </text>
    </comment>
    <comment ref="C1014" authorId="0" shapeId="0" xr:uid="{769828CA-2F40-439D-B065-F1A3F4387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ISTONG STORE
PIAO, SINDANGAN</t>
        </r>
      </text>
    </comment>
    <comment ref="O1014" authorId="0" shapeId="0" xr:uid="{C30BFCC0-5CD0-48F9-B1D8-7E38028A92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RAFLES
BOGABONGAN, BACUNGAN</t>
        </r>
      </text>
    </comment>
    <comment ref="C1015" authorId="0" shapeId="0" xr:uid="{5AFD3E97-6056-4E17-8624-9145D65A23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TORRES STORE
PIAO, SINDANGAN</t>
        </r>
      </text>
    </comment>
    <comment ref="O1015" authorId="0" shapeId="0" xr:uid="{57AF3457-D788-432D-A560-1E23B5108F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DURAN STORE
BOGABONGAN, BACUNGAN</t>
        </r>
      </text>
    </comment>
    <comment ref="O1016" authorId="0" shapeId="0" xr:uid="{3F690A3A-4EE3-4CE8-B876-85C21AE9C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GOMEZ
BOGABONGAN, BACUNGAN</t>
        </r>
      </text>
    </comment>
    <comment ref="O1017" authorId="0" shapeId="0" xr:uid="{0FFAADE0-18A8-4604-B4AA-9B9F174BD4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1018" authorId="0" shapeId="0" xr:uid="{A2ABA841-9F35-468F-A527-F3A9654B23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JEANIA'S STORE
BOGABONGAN, BACUNGAN</t>
        </r>
      </text>
    </comment>
    <comment ref="O1019" authorId="0" shapeId="0" xr:uid="{F5DCCAA3-8F6E-44BB-8D72-B7401016F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O1020" authorId="0" shapeId="0" xr:uid="{BC40B8A6-40A2-493C-BCED-9990595CEB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021" authorId="0" shapeId="0" xr:uid="{5397128B-F9B0-491E-9F2A-E3D8D6E3B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022" authorId="0" shapeId="0" xr:uid="{03EADC7B-F8F8-4F72-97C8-65F72A069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023" authorId="0" shapeId="0" xr:uid="{821C10C7-7831-45CB-B380-4396A20008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024" authorId="0" shapeId="0" xr:uid="{1DDDEA21-51DB-4494-948A-FA04E5E962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O1025" authorId="0" shapeId="0" xr:uid="{129293D8-D590-42C9-BBF8-673A95261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1026" authorId="0" shapeId="0" xr:uid="{32CB6FB1-A643-417B-A146-D2832B5167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REDERA
TALINGA, SINDANGAN</t>
        </r>
      </text>
    </comment>
    <comment ref="O1027" authorId="0" shapeId="0" xr:uid="{B800E550-F35C-4DE3-B6E1-683335ADF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C1057" authorId="0" shapeId="0" xr:uid="{A1DA104A-9F66-4ABA-9813-2EEBF1911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057" authorId="0" shapeId="0" xr:uid="{41AD9234-192F-417B-849B-F61549D0C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MANGAN
MANGAN STORE
MANDIH, SINDANGAN</t>
        </r>
      </text>
    </comment>
    <comment ref="AA1057" authorId="0" shapeId="0" xr:uid="{182F4315-5A29-4E28-8972-624E59C88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8" authorId="0" shapeId="0" xr:uid="{020B2965-3277-412C-8D2B-032E9996C5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PIALA, EVIA
PIAO, SINDANGAN</t>
        </r>
      </text>
    </comment>
    <comment ref="O1058" authorId="0" shapeId="0" xr:uid="{83363C87-D56D-4116-845D-1794EF735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058" authorId="0" shapeId="0" xr:uid="{A1AE3C2A-F2D8-49B9-93A4-C2BCEEE8D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WINDYL STORE
CARACOL, SALUG</t>
        </r>
      </text>
    </comment>
    <comment ref="C1059" authorId="0" shapeId="0" xr:uid="{B2744232-7A18-430A-8DFD-8301B59C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GOLDIE ZIGA
PIAO, SINDANGAN</t>
        </r>
      </text>
    </comment>
    <comment ref="O1059" authorId="0" shapeId="0" xr:uid="{8654DF95-75E3-4FA0-9980-4880ED5F20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059" authorId="0" shapeId="0" xr:uid="{FF6AFBAA-55DD-44F4-BAA5-B35B4A7CAA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JING JING STORE
CARACOL, SALUG</t>
        </r>
      </text>
    </comment>
    <comment ref="C1060" authorId="0" shapeId="0" xr:uid="{425E5DED-9B93-4A6D-8673-965FEA8CD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ALEJANDRA, MAQUILING
BALOK, SINDANGAN</t>
        </r>
      </text>
    </comment>
    <comment ref="O1060" authorId="0" shapeId="0" xr:uid="{866E5BA9-AA9F-44D5-9013-4A59618CE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060" authorId="0" shapeId="0" xr:uid="{901F3E80-2702-4915-8462-5075BE1024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1061" authorId="0" shapeId="0" xr:uid="{84BF57DB-52B9-4BCA-887A-4B077F08A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061" authorId="0" shapeId="0" xr:uid="{39338ECE-CC30-4A19-9852-CDFAB95A1F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061" authorId="0" shapeId="0" xr:uid="{E9849B1D-693D-40CA-8C40-D65F68C576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CHUCK STORE
BAYBAY, LILOY</t>
        </r>
      </text>
    </comment>
    <comment ref="C1062" authorId="0" shapeId="0" xr:uid="{5015676C-BE12-4368-8C60-C3871B4BB9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1062" authorId="0" shapeId="0" xr:uid="{FF8BE8AC-1DA5-4F9A-85C2-C25B53A703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LAN-LYN STORE
LAGAG, SINDANGAN</t>
        </r>
      </text>
    </comment>
    <comment ref="AA1062" authorId="0" shapeId="0" xr:uid="{47481A61-16B5-461D-B3F7-B06FDE0EE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063" authorId="0" shapeId="0" xr:uid="{E7D6B585-7E83-4EA8-99C1-DD5DE95B5D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063" authorId="0" shapeId="0" xr:uid="{584C2840-F1DD-4A49-AEF3-D11D05976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063" authorId="0" shapeId="0" xr:uid="{3B7316F1-B15E-4415-BB8A-DB89848FA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STORE
BAYBAY, LILOY</t>
        </r>
      </text>
    </comment>
    <comment ref="C1064" authorId="0" shapeId="0" xr:uid="{B5822DA4-5E08-4F74-9551-DA2FEB4AFA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SALUG</t>
        </r>
      </text>
    </comment>
    <comment ref="AA1064" authorId="0" shapeId="0" xr:uid="{53003C9F-0D5D-4E48-9DDC-0A9E02224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HADJAN
BAYBAY, LILOY</t>
        </r>
      </text>
    </comment>
    <comment ref="C1065" authorId="0" shapeId="0" xr:uid="{6AA0C799-761C-4058-8A6A-E1A457C6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AA1065" authorId="0" shapeId="0" xr:uid="{B27A39EB-ED9E-4B9E-8C12-3258B942AD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STORE
BAYBAY, LILOY</t>
        </r>
      </text>
    </comment>
    <comment ref="C1066" authorId="0" shapeId="0" xr:uid="{D7A17E7A-0B84-4D38-8EEC-5D50E20E01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ROMEO, OMAO
RIVERSIDE, SIAYAN</t>
        </r>
      </text>
    </comment>
    <comment ref="AA1066" authorId="0" shapeId="0" xr:uid="{50EA01D6-0FA4-41F7-8749-E2E4C00D16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7" authorId="0" shapeId="0" xr:uid="{2BB7BAFB-D9D5-4327-A999-A38F5C187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ALEJANDRO PIZON
POB, SIAYAN</t>
        </r>
      </text>
    </comment>
    <comment ref="AA1067" authorId="0" shapeId="0" xr:uid="{53E376ED-8A06-46CD-AECB-6B8D5AFCB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1068" authorId="0" shapeId="0" xr:uid="{A9B4EBDD-38F9-4E62-8C28-E67134849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069" authorId="0" shapeId="0" xr:uid="{11AE482A-AAD9-4D15-8F14-6E1E24045D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1112" authorId="0" shapeId="0" xr:uid="{3C7AE163-0CFF-4B4E-A9B7-25F26306B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 YEN STORE
POB, SINDANGAN</t>
        </r>
      </text>
    </comment>
    <comment ref="O1112" authorId="0" shapeId="0" xr:uid="{D108139C-02F7-46B1-B49F-0686D8A71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NICTES
GOLEO, SINDANGAN</t>
        </r>
      </text>
    </comment>
    <comment ref="AA1112" authorId="0" shapeId="0" xr:uid="{203725DF-1159-4F23-86B1-C1EC3CE33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113" authorId="0" shapeId="0" xr:uid="{2398C5D4-4EA5-4D05-901E-5CC6D0AA5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JOVIN BATION
PIAO, SINDANGAN</t>
        </r>
      </text>
    </comment>
    <comment ref="O1113" authorId="0" shapeId="0" xr:uid="{313A919A-0826-49B6-B069-11D6375D2F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113" authorId="0" shapeId="0" xr:uid="{A5B34573-9B90-4426-B56E-931C826155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72B6281-3964-495D-BFD6-E77923C5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1114" authorId="0" shapeId="0" xr:uid="{3573CFBB-1D9A-4D48-8E9C-4B1F2A06A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ELUMBA STORE
POB, BACUNGAN</t>
        </r>
      </text>
    </comment>
    <comment ref="AA1114" authorId="0" shapeId="0" xr:uid="{6EB905ED-670A-4629-8A9D-66D97EEC2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
POB, SALUG</t>
        </r>
      </text>
    </comment>
    <comment ref="C1115" authorId="0" shapeId="0" xr:uid="{44EA239D-B768-463D-AB99-C57637FE2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1115" authorId="0" shapeId="0" xr:uid="{7ABC243B-0872-45AE-8F78-B549AB8A3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1116" authorId="0" shapeId="0" xr:uid="{A73E51C3-49C6-4DC2-BD2A-E5311D153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SUMALINOG, CONCHITA
DAPAON, SINDANGAN</t>
        </r>
      </text>
    </comment>
    <comment ref="AA1116" authorId="0" shapeId="0" xr:uid="{006E4338-224B-42A3-AF46-8FAB345BE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1117" authorId="0" shapeId="0" xr:uid="{C31DC4C0-87B9-4CBF-9586-BD90836F41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STEVES ARTHUR
DAPAON, SINDANGAN</t>
        </r>
      </text>
    </comment>
    <comment ref="C1118" authorId="0" shapeId="0" xr:uid="{97508307-A125-420A-B5A8-B22A14F02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GOOBLIE
POB, SINDANGAN</t>
        </r>
      </text>
    </comment>
    <comment ref="C1119" authorId="0" shapeId="0" xr:uid="{52F3F067-989D-4A33-89EE-96225FBC8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1120" authorId="0" shapeId="0" xr:uid="{1E308876-9838-4F1B-BA60-A48D1489D6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C1167" authorId="0" shapeId="0" xr:uid="{A4D6B836-A2BE-4609-85F3-E372C1D1F0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RONNEL ABUSADO</t>
        </r>
      </text>
    </comment>
    <comment ref="O1167" authorId="0" shapeId="0" xr:uid="{6EA54CDB-3429-4B8D-AAEF-3BB8A0706F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ANCELITO BOGANOTAN
UPPER INUMAN, SINDANGAN</t>
        </r>
      </text>
    </comment>
    <comment ref="AA1167" authorId="0" shapeId="0" xr:uid="{FB74C310-3DA7-4032-9648-A190FA99B2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68" authorId="0" shapeId="0" xr:uid="{072D9F89-599A-4B65-82D7-A36C6BF00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1168" authorId="0" shapeId="0" xr:uid="{62F3FCC6-55A1-4648-80DD-49B1B30BEC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1168" authorId="0" shapeId="0" xr:uid="{CD6151BA-5E43-4298-926A-E6D66CD80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169" authorId="0" shapeId="0" xr:uid="{4E424FF7-B49E-406B-98B2-0C8DD5521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169" authorId="0" shapeId="0" xr:uid="{3DE50791-9345-4209-8E0C-6FC5FB04BC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ROMAR ASENTESTA
YASSI STORE
TALINGA, BACUNGAN</t>
        </r>
      </text>
    </comment>
    <comment ref="AA1169" authorId="0" shapeId="0" xr:uid="{C3F38C83-5E45-4080-9636-C42EE366B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1170" authorId="0" shapeId="0" xr:uid="{52DB415A-B39C-410D-9BED-9B2CB5916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170" authorId="0" shapeId="0" xr:uid="{932B0BE4-66AE-4B4F-BD98-1CAC6B9F19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DADAN
TALINGA, BACUNGAN</t>
        </r>
      </text>
    </comment>
    <comment ref="AA1170" authorId="0" shapeId="0" xr:uid="{4A5089B6-25E7-44E5-965F-AA7C4B0E8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KAYOK, LILOY</t>
        </r>
      </text>
    </comment>
    <comment ref="C1171" authorId="0" shapeId="0" xr:uid="{FC96E0D1-DDE3-4B73-A3EC-92BFEF6FD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WENELYN MERCULLIO
POB, SIAYAN</t>
        </r>
      </text>
    </comment>
    <comment ref="O1171" authorId="0" shapeId="0" xr:uid="{925A1BA5-D325-42A5-8D42-CAAAA4A136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71" authorId="0" shapeId="0" xr:uid="{BAD48199-3209-48E3-876B-3D35EC49F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1172" authorId="0" shapeId="0" xr:uid="{BEF71B2B-9E47-4E11-9A83-D8E11FC19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172" authorId="0" shapeId="0" xr:uid="{348DA4CC-0211-4332-8ABD-C5F3F6D838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PAJ
POB, BACUNGAN</t>
        </r>
      </text>
    </comment>
    <comment ref="C1173" authorId="0" shapeId="0" xr:uid="{E4F21EFB-6529-490D-B04A-4F57A4FFD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1173" authorId="0" shapeId="0" xr:uid="{F14EC976-7B08-472F-9C12-7F2F889EE8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C1174" authorId="0" shapeId="0" xr:uid="{5C03B089-9B2C-43F0-888F-778832554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174" authorId="0" shapeId="0" xr:uid="{BF98854F-A053-40E1-9360-6AD12A01EE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C1175" authorId="0" shapeId="0" xr:uid="{0CCF8890-FC71-4B9B-8C4B-BF4465ABD4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ADOZA DEY
POB, SIAYAN</t>
        </r>
      </text>
    </comment>
    <comment ref="O1175" authorId="0" shapeId="0" xr:uid="{C0E05851-0DBD-4E4C-AB6F-F43F06F00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C1176" authorId="0" shapeId="0" xr:uid="{996E61FF-0D97-47DD-A8E9-4C14B7C4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176" authorId="0" shapeId="0" xr:uid="{44E76190-98C2-47E3-8F26-B477E80E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MELIANA ANSELING
CALUAN, SINDANGAN</t>
        </r>
      </text>
    </comment>
    <comment ref="C1177" authorId="0" shapeId="0" xr:uid="{83A8E858-4A31-4D9F-B393-ECACD7C82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1177" authorId="0" shapeId="0" xr:uid="{442EBF80-FEA1-44E8-96BF-7235E58E51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INUMAN, SINDANGAN</t>
        </r>
      </text>
    </comment>
    <comment ref="C1178" authorId="0" shapeId="0" xr:uid="{6B8BB996-1269-4CEE-A638-8104467E09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1178" authorId="0" shapeId="0" xr:uid="{C98E0F33-DB2D-4834-9C42-77F27463B8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JOEL HANDA
UPPER INUMAN, SINDANGAN</t>
        </r>
      </text>
    </comment>
    <comment ref="O1179" authorId="0" shapeId="0" xr:uid="{92C8D712-72A5-4EAA-AF57-A1EEE10F9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180" authorId="0" shapeId="0" xr:uid="{31363273-572A-42BF-BE52-37CE893E7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181" authorId="0" shapeId="0" xr:uid="{43B54674-1A3C-4D7E-84BD-421A932B14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222" authorId="0" shapeId="0" xr:uid="{39D2F2DA-AD07-446C-A200-1D282A5D5A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VILLAESPIN
DAPAON, SINDANGAN</t>
        </r>
      </text>
    </comment>
    <comment ref="O1222" authorId="0" shapeId="0" xr:uid="{9F807144-48B4-4CDC-A0F1-D582D1C41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 ALIB
GOLEO, SINDANGAN</t>
        </r>
      </text>
    </comment>
    <comment ref="AA1222" authorId="0" shapeId="0" xr:uid="{62FF99AD-5E10-4696-89B3-98899958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INOCENSIO
POB, SALUG</t>
        </r>
      </text>
    </comment>
    <comment ref="C1223" authorId="0" shapeId="0" xr:uid="{03966FBC-4323-40D6-BB9A-C122DC94D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
DAPAON, SINDANGAN</t>
        </r>
      </text>
    </comment>
    <comment ref="O1223" authorId="0" shapeId="0" xr:uid="{B8F2E91B-E912-4EE5-9616-3B1DB46CAA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223" authorId="0" shapeId="0" xr:uid="{7B347A5F-90C3-4A25-BF5E-533FDDFFC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224" authorId="0" shapeId="0" xr:uid="{49BA5E2E-33C0-441B-A983-B73C74843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MANGGO LODGE
DAPAON, SINDANGAN</t>
        </r>
      </text>
    </comment>
    <comment ref="O1224" authorId="0" shapeId="0" xr:uid="{65F0C9F9-4F9B-40C3-ABF3-DFC529620C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HARANAY
POB, BACUNGAN</t>
        </r>
      </text>
    </comment>
    <comment ref="AA1224" authorId="0" shapeId="0" xr:uid="{68D44CFA-915B-47B1-B0BB-DED8D83EF5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1225" authorId="0" shapeId="0" xr:uid="{4C05CB33-3769-4AE3-B34C-AC0C90480B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O1225" authorId="0" shapeId="0" xr:uid="{8D7CD6D3-BB48-48AD-BF5A-3AAFA690F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1226" authorId="0" shapeId="0" xr:uid="{A876CC7C-CCCA-49BC-B69C-8DAAC94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DIONISIA MORANO
DISUD, SINDANGAN</t>
        </r>
      </text>
    </comment>
    <comment ref="O1226" authorId="0" shapeId="0" xr:uid="{FFE5D708-FFB2-406E-A950-5B71DB1A3A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JAY-AR PADILLA
MANDIH, SINDANGAN</t>
        </r>
      </text>
    </comment>
    <comment ref="C1227" authorId="0" shapeId="0" xr:uid="{E3A3D14A-D6B5-4540-961D-6C9164B772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227" authorId="0" shapeId="0" xr:uid="{EE9C90AA-9522-4558-AA4F-8CF10B243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1228" authorId="0" shapeId="0" xr:uid="{D6AB0CE9-4BED-463B-A268-90CD77CE4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CALING RAZIEL
DAPAON, SINDANGAN</t>
        </r>
      </text>
    </comment>
    <comment ref="O1228" authorId="0" shapeId="0" xr:uid="{5A508A52-E05F-4B5B-9068-373C4C9FDB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229" authorId="0" shapeId="0" xr:uid="{0E1203EB-7627-41B8-9C80-DE445E348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RONA DENIEGA
DAPAON, SINDANGAN</t>
        </r>
      </text>
    </comment>
    <comment ref="C1230" authorId="0" shapeId="0" xr:uid="{CB289E0A-4605-465A-8017-6C2C07383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C1231" authorId="0" shapeId="0" xr:uid="{E8FCD05E-C2E9-45CB-B646-A3EE196654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C1232" authorId="0" shapeId="0" xr:uid="{98F63B47-6072-4135-A53A-DF02891161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
LABAKID, SINDANGAN</t>
        </r>
      </text>
    </comment>
    <comment ref="C1233" authorId="0" shapeId="0" xr:uid="{9900BFC7-FBAF-44DF-9AE5-308C18D9F2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SAAVEDRA
LABAKID, SINDANGAN</t>
        </r>
      </text>
    </comment>
    <comment ref="C1234" authorId="0" shapeId="0" xr:uid="{DF31F5D2-4BEC-4D7E-8B76-C3F8EF066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C1235" authorId="0" shapeId="0" xr:uid="{DC1E8073-D52D-45E8-8B1E-08273C3CA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C1236" authorId="0" shapeId="0" xr:uid="{EB9FA1FC-9F35-4EAE-9720-2D2187BB8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
DICOYONG, SINDANGAN</t>
        </r>
      </text>
    </comment>
    <comment ref="C1237" authorId="0" shapeId="0" xr:uid="{0CFB6955-F336-49B2-95E2-0931E03CC6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GRANTON STORE
DICOYONG, SINDANGAN</t>
        </r>
      </text>
    </comment>
    <comment ref="C1238" authorId="0" shapeId="0" xr:uid="{8B5E1E52-F5CA-47D2-89C6-26A3F95C6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C1239" authorId="0" shapeId="0" xr:uid="{CCCCBF92-6844-4190-84AE-5D97B752F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1240" authorId="0" shapeId="0" xr:uid="{AA43B459-9B3E-40D2-866C-912B5EE333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C1241" authorId="0" shapeId="0" xr:uid="{1D7542BB-56EA-4C94-ABEE-DE54382AD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POB, SINDANGAN</t>
        </r>
      </text>
    </comment>
    <comment ref="C1277" authorId="0" shapeId="0" xr:uid="{341D715E-64AF-40BC-A479-60BC94C6C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 COLLEGE
RM, SINDANGAN</t>
        </r>
      </text>
    </comment>
    <comment ref="O1277" authorId="0" shapeId="0" xr:uid="{56A4FB9F-3E94-4B4E-BD33-FCE940366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1277" authorId="0" shapeId="0" xr:uid="{A012BEF6-0E27-47C5-B42E-5630593E0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RBJ
BACONG, SALUG</t>
        </r>
      </text>
    </comment>
    <comment ref="C1278" authorId="0" shapeId="0" xr:uid="{655E29C4-8E3C-45AF-B38B-F0D4F2F76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O1278" authorId="0" shapeId="0" xr:uid="{CB1193CD-9B44-4752-9293-F98557655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278" authorId="0" shapeId="0" xr:uid="{731EC2EB-F215-408E-9892-26E406C43B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1279" authorId="0" shapeId="0" xr:uid="{D591545B-FBEE-4AD0-A76D-8F2E25EF0A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279" authorId="0" shapeId="0" xr:uid="{7223F0C4-7DD6-48F7-8F71-361D12D3E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AA1279" authorId="0" shapeId="0" xr:uid="{AB54836B-2A11-438B-B974-045B7864E8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MIRACLE STORE
POB, SALUG</t>
        </r>
      </text>
    </comment>
    <comment ref="C1280" authorId="0" shapeId="0" xr:uid="{DF6CE9D8-3801-4305-92D0-6D2458D21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AA1280" authorId="0" shapeId="0" xr:uid="{33730BA9-9D23-42A4-942D-82B51A9EB4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281" authorId="0" shapeId="0" xr:uid="{C5114399-C967-405D-AB33-D9FD6FB75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SINDANGAN</t>
        </r>
      </text>
    </comment>
    <comment ref="AA1281" authorId="0" shapeId="0" xr:uid="{F611A4EC-B425-43F2-BFD1-CADEF8ECC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PAPART
GOLEO, SINDANGAN</t>
        </r>
      </text>
    </comment>
    <comment ref="C1282" authorId="0" shapeId="0" xr:uid="{AA6A7509-1C13-4348-B6A5-55F7997326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AA1282" authorId="0" shapeId="0" xr:uid="{6EFAB9CA-6081-4AB2-84B3-537244FA64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</commentList>
</comments>
</file>

<file path=xl/sharedStrings.xml><?xml version="1.0" encoding="utf-8"?>
<sst xmlns="http://schemas.openxmlformats.org/spreadsheetml/2006/main" count="1825" uniqueCount="112">
  <si>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</si>
  <si>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</si>
  <si>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</si>
  <si>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</si>
  <si>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</si>
  <si>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</si>
  <si>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</si>
  <si>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</si>
  <si>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</si>
  <si>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</si>
  <si>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</si>
  <si>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</si>
  <si>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</si>
  <si>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</si>
  <si>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</si>
  <si>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</si>
  <si>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</si>
  <si>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</si>
  <si>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</si>
  <si>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</si>
  <si>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</si>
  <si>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</si>
  <si>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</si>
  <si>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</si>
  <si>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</si>
  <si>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</si>
  <si>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</si>
  <si>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</si>
  <si>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</si>
  <si>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</si>
  <si>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</si>
  <si>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</si>
  <si>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</si>
  <si>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</si>
  <si>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</si>
  <si>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</si>
  <si>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</si>
  <si>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</si>
  <si>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</si>
  <si>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</si>
  <si>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</si>
  <si>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</si>
  <si>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</si>
  <si>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</si>
  <si>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</si>
  <si>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</si>
  <si>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</si>
  <si>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</si>
  <si>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</si>
  <si>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</si>
  <si>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</si>
  <si>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</si>
  <si>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</si>
  <si>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</si>
  <si>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</si>
  <si>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</si>
  <si>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</si>
  <si>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</si>
  <si>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</si>
  <si>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</si>
  <si>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</si>
  <si>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</si>
  <si>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</si>
  <si>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</si>
  <si>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</si>
  <si>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</si>
  <si>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</si>
  <si>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</si>
  <si>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</si>
  <si>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</si>
  <si>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</si>
  <si>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</si>
  <si>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</si>
  <si>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</si>
  <si>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</si>
  <si>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</si>
  <si>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</si>
  <si>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</si>
  <si>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</si>
  <si>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</si>
  <si>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</si>
  <si>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</si>
  <si>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</si>
  <si>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</si>
  <si>
    <t>JANUARY 20, 2026</t>
  </si>
  <si>
    <t>01/20/2026</t>
  </si>
  <si>
    <t>8634-8636/8576-8580/8512-8516</t>
  </si>
  <si>
    <t>JANUARY 21, 2026</t>
  </si>
  <si>
    <t>01/21/2026</t>
  </si>
  <si>
    <t>8637-8639/8581-8589/8517-8526</t>
  </si>
  <si>
    <t>JANUARY 22, 2026</t>
  </si>
  <si>
    <t>01/22/2026</t>
  </si>
  <si>
    <t>8640-8642/8590-8594/8527-8529</t>
  </si>
  <si>
    <t>JANUARY 23, 2026</t>
  </si>
  <si>
    <t>01/23/2026</t>
  </si>
  <si>
    <t>8595-8599,8600,8651-8658/8643-8650,8701-8718/</t>
  </si>
  <si>
    <t>JANUARY 24, 2026</t>
  </si>
  <si>
    <t>01/24/2026</t>
  </si>
  <si>
    <t>ESTEMARK, PORMENTO</t>
  </si>
  <si>
    <t>8530-8542/8719-8725/8659-8669</t>
  </si>
  <si>
    <t>JANUARY 26, 2026</t>
  </si>
  <si>
    <t>01/26/2026</t>
  </si>
  <si>
    <t>8543-8550,8751/8726-8728/8670-8674</t>
  </si>
  <si>
    <t>JANUARY 27, 2026</t>
  </si>
  <si>
    <t>01/27/2026</t>
  </si>
  <si>
    <t>8752-8763/8729-8743/8675-8679</t>
  </si>
  <si>
    <t>JANUARY 28, 2026</t>
  </si>
  <si>
    <t>01/28/2026</t>
  </si>
  <si>
    <t>8764-8783/8744-8750/8680-8682</t>
  </si>
  <si>
    <t>JANUARY 29, 2026</t>
  </si>
  <si>
    <t>01/29/2026</t>
  </si>
  <si>
    <t>8784-8789/8801-8803/8684-8689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</si>
</sst>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H38" sqref="H3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7" t="s">
        <v>37</v>
      </c>
      <c r="B6" s="11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 t="s">
        <v>86</v>
      </c>
      <c r="D29" s="16">
        <f t="shared" ref="D29:D39" si="4">J29</f>
        <v>995759</v>
      </c>
      <c r="F29" s="14">
        <v>578178</v>
      </c>
      <c r="G29" s="14">
        <v>284738</v>
      </c>
      <c r="H29" s="14">
        <v>132843</v>
      </c>
      <c r="I29" s="14"/>
      <c r="J29" s="17">
        <f t="shared" si="0"/>
        <v>995759</v>
      </c>
    </row>
    <row r="30" spans="1:10" x14ac:dyDescent="0.25">
      <c r="A30" s="10">
        <f t="shared" si="2"/>
        <v>21</v>
      </c>
      <c r="B30" s="56" t="s">
        <v>9</v>
      </c>
      <c r="C30" s="12" t="s">
        <v>89</v>
      </c>
      <c r="D30" s="16">
        <f t="shared" si="4"/>
        <v>1013011.5</v>
      </c>
      <c r="F30" s="14">
        <v>422426</v>
      </c>
      <c r="G30" s="14">
        <v>239421.5</v>
      </c>
      <c r="H30" s="14">
        <v>351164</v>
      </c>
      <c r="I30" s="14"/>
      <c r="J30" s="17">
        <f t="shared" si="0"/>
        <v>1013011.5</v>
      </c>
    </row>
    <row r="31" spans="1:10" x14ac:dyDescent="0.25">
      <c r="A31" s="10">
        <f t="shared" si="2"/>
        <v>22</v>
      </c>
      <c r="B31" s="11" t="s">
        <v>30</v>
      </c>
      <c r="C31" s="12" t="s">
        <v>92</v>
      </c>
      <c r="D31" s="16">
        <f t="shared" si="4"/>
        <v>1149543</v>
      </c>
      <c r="E31" s="14"/>
      <c r="F31" s="14">
        <v>465043.5</v>
      </c>
      <c r="G31" s="14">
        <v>247375.5</v>
      </c>
      <c r="H31" s="14">
        <v>437124</v>
      </c>
      <c r="I31" s="14"/>
      <c r="J31" s="17">
        <f t="shared" si="0"/>
        <v>1149543</v>
      </c>
    </row>
    <row r="32" spans="1:10" x14ac:dyDescent="0.25">
      <c r="A32" s="10">
        <f t="shared" si="2"/>
        <v>23</v>
      </c>
      <c r="B32" s="43" t="s">
        <v>4</v>
      </c>
      <c r="C32" s="12" t="s">
        <v>95</v>
      </c>
      <c r="D32" s="16">
        <f t="shared" si="4"/>
        <v>249034.5</v>
      </c>
      <c r="E32" s="15"/>
      <c r="F32" s="15">
        <v>105259.5</v>
      </c>
      <c r="G32" s="14">
        <v>143775</v>
      </c>
      <c r="H32" s="54"/>
      <c r="I32" s="54"/>
      <c r="J32" s="17">
        <f t="shared" si="0"/>
        <v>249034.5</v>
      </c>
    </row>
    <row r="33" spans="1:10" x14ac:dyDescent="0.25">
      <c r="A33" s="10">
        <f t="shared" si="2"/>
        <v>24</v>
      </c>
      <c r="B33" s="56" t="s">
        <v>5</v>
      </c>
      <c r="C33" s="12" t="s">
        <v>99</v>
      </c>
      <c r="D33" s="16">
        <f t="shared" si="4"/>
        <v>756841.5</v>
      </c>
      <c r="E33" s="15"/>
      <c r="F33" s="15">
        <v>290088.5</v>
      </c>
      <c r="G33" s="14">
        <v>142539.5</v>
      </c>
      <c r="H33" s="14">
        <v>324213.5</v>
      </c>
      <c r="I33" s="14"/>
      <c r="J33" s="17">
        <f t="shared" si="0"/>
        <v>756841.5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 t="s">
        <v>102</v>
      </c>
      <c r="D35" s="16">
        <f t="shared" si="4"/>
        <v>778692.5</v>
      </c>
      <c r="E35" s="14"/>
      <c r="F35" s="14">
        <v>276879</v>
      </c>
      <c r="G35" s="14">
        <v>248808.5</v>
      </c>
      <c r="H35" s="14">
        <v>253005</v>
      </c>
      <c r="I35" s="14"/>
      <c r="J35" s="17">
        <f t="shared" si="0"/>
        <v>778692.5</v>
      </c>
    </row>
    <row r="36" spans="1:10" x14ac:dyDescent="0.25">
      <c r="A36" s="10">
        <f t="shared" si="2"/>
        <v>27</v>
      </c>
      <c r="B36" s="43" t="s">
        <v>8</v>
      </c>
      <c r="C36" s="12" t="s">
        <v>105</v>
      </c>
      <c r="D36" s="16">
        <f t="shared" si="4"/>
        <v>694883.5</v>
      </c>
      <c r="E36" s="14"/>
      <c r="F36" s="14">
        <v>201575</v>
      </c>
      <c r="G36" s="14">
        <v>170283.5</v>
      </c>
      <c r="H36" s="14">
        <v>323025</v>
      </c>
      <c r="I36" s="14"/>
      <c r="J36" s="17">
        <f t="shared" si="0"/>
        <v>694883.5</v>
      </c>
    </row>
    <row r="37" spans="1:10" x14ac:dyDescent="0.25">
      <c r="A37" s="10">
        <f t="shared" si="2"/>
        <v>28</v>
      </c>
      <c r="B37" s="56" t="s">
        <v>9</v>
      </c>
      <c r="C37" s="12" t="s">
        <v>108</v>
      </c>
      <c r="D37" s="16">
        <f t="shared" si="4"/>
        <v>479494.5</v>
      </c>
      <c r="E37" s="14"/>
      <c r="F37" s="14">
        <v>135519</v>
      </c>
      <c r="G37" s="14">
        <v>149813</v>
      </c>
      <c r="H37" s="14">
        <v>194162.5</v>
      </c>
      <c r="I37" s="14"/>
      <c r="J37" s="17">
        <f t="shared" si="0"/>
        <v>479494.5</v>
      </c>
    </row>
    <row r="38" spans="1:10" x14ac:dyDescent="0.25">
      <c r="A38" s="10">
        <f t="shared" si="2"/>
        <v>29</v>
      </c>
      <c r="B38" s="11" t="s">
        <v>30</v>
      </c>
      <c r="C38" s="12" t="s">
        <v>111</v>
      </c>
      <c r="D38" s="16">
        <f t="shared" si="4"/>
        <v>525099.5</v>
      </c>
      <c r="E38" s="14"/>
      <c r="F38" s="14">
        <v>208152</v>
      </c>
      <c r="G38" s="14">
        <v>137073.5</v>
      </c>
      <c r="H38" s="14">
        <v>179874</v>
      </c>
      <c r="I38" s="14"/>
      <c r="J38" s="17">
        <f t="shared" si="0"/>
        <v>525099.5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8" t="s">
        <v>10</v>
      </c>
      <c r="B42" s="119"/>
      <c r="C42" s="120"/>
      <c r="D42" s="48">
        <f>SUM(D2:D41)</f>
        <v>19424558.060000002</v>
      </c>
      <c r="J42" s="49">
        <f>SUM(J10:J41)</f>
        <v>19424558.060000002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1292" zoomScaleNormal="100" workbookViewId="0">
      <selection activeCell="AE1320" sqref="AE132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5" t="s">
        <v>17</v>
      </c>
      <c r="E10" s="125"/>
      <c r="F10" s="77"/>
      <c r="G10" s="27"/>
      <c r="I10" s="123" t="s">
        <v>18</v>
      </c>
      <c r="J10" s="124"/>
      <c r="K10" s="121" t="s">
        <v>19</v>
      </c>
      <c r="N10" s="25"/>
      <c r="O10" s="26"/>
      <c r="P10" s="125" t="s">
        <v>17</v>
      </c>
      <c r="Q10" s="125"/>
      <c r="R10" s="77"/>
      <c r="S10" s="27"/>
      <c r="U10" s="123" t="s">
        <v>18</v>
      </c>
      <c r="V10" s="124"/>
      <c r="W10" s="121" t="s">
        <v>19</v>
      </c>
      <c r="Z10" s="25"/>
      <c r="AA10" s="26"/>
      <c r="AB10" s="125" t="s">
        <v>17</v>
      </c>
      <c r="AC10" s="125"/>
      <c r="AD10" s="77"/>
      <c r="AE10" s="27"/>
      <c r="AG10" s="123" t="s">
        <v>18</v>
      </c>
      <c r="AH10" s="124"/>
      <c r="AI10" s="121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2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2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2"/>
    </row>
    <row r="12" spans="1:35" x14ac:dyDescent="0.25">
      <c r="A12" s="10">
        <v>1</v>
      </c>
      <c r="B12" s="30">
        <v>46054</v>
      </c>
      <c r="C12" s="88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88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88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88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88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88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88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88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8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8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8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8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8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8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8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8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8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8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8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8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8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8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8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8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8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8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8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8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8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8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8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8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8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8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4"/>
      <c r="O57" s="94"/>
      <c r="P57" s="94"/>
      <c r="Q57" s="94"/>
      <c r="R57" s="94"/>
      <c r="S57" s="94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4"/>
      <c r="O58" s="94"/>
      <c r="P58" s="94"/>
      <c r="Q58" s="94"/>
      <c r="R58" s="94"/>
      <c r="S58" s="94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4"/>
      <c r="O59" s="94"/>
      <c r="P59" s="94"/>
      <c r="Q59" s="94"/>
      <c r="R59" s="94"/>
      <c r="S59" s="94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4"/>
      <c r="O60" s="94"/>
      <c r="P60" s="94"/>
      <c r="Q60" s="94"/>
      <c r="R60" s="94"/>
      <c r="S60" s="94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4"/>
      <c r="O61" s="94"/>
      <c r="P61" s="94"/>
      <c r="Q61" s="94"/>
      <c r="R61" s="94"/>
      <c r="S61" s="94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4"/>
      <c r="O62" s="94"/>
      <c r="P62" s="94"/>
      <c r="Q62" s="94"/>
      <c r="R62" s="94"/>
      <c r="S62" s="94"/>
      <c r="T62" s="62"/>
      <c r="U62" s="94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4"/>
      <c r="O63" s="94"/>
      <c r="P63" s="94"/>
      <c r="Q63" s="94"/>
      <c r="R63" s="94"/>
      <c r="S63" s="94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4"/>
      <c r="O64" s="94"/>
      <c r="P64" s="94"/>
      <c r="Q64" s="94"/>
      <c r="R64" s="94"/>
      <c r="S64" s="94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5" t="s">
        <v>17</v>
      </c>
      <c r="E65" s="125"/>
      <c r="F65" s="92"/>
      <c r="G65" s="27"/>
      <c r="I65" s="123" t="s">
        <v>18</v>
      </c>
      <c r="J65" s="124"/>
      <c r="K65" s="121" t="s">
        <v>19</v>
      </c>
      <c r="M65" s="62"/>
      <c r="N65" s="65"/>
      <c r="O65" s="94"/>
      <c r="P65" s="127"/>
      <c r="Q65" s="127"/>
      <c r="R65" s="94"/>
      <c r="S65" s="94"/>
      <c r="T65" s="62"/>
      <c r="U65" s="127"/>
      <c r="V65" s="127"/>
      <c r="W65" s="126"/>
      <c r="Z65" s="25"/>
      <c r="AA65" s="26"/>
      <c r="AB65" s="125" t="s">
        <v>17</v>
      </c>
      <c r="AC65" s="125"/>
      <c r="AD65" s="92"/>
      <c r="AE65" s="27"/>
      <c r="AG65" s="123" t="s">
        <v>18</v>
      </c>
      <c r="AH65" s="124"/>
      <c r="AI65" s="121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2"/>
      <c r="M66" s="62"/>
      <c r="N66" s="94"/>
      <c r="O66" s="94"/>
      <c r="P66" s="81"/>
      <c r="Q66" s="83"/>
      <c r="R66" s="83"/>
      <c r="S66" s="83"/>
      <c r="T66" s="62"/>
      <c r="U66" s="93"/>
      <c r="V66" s="93"/>
      <c r="W66" s="126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2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88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4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27"/>
      <c r="AO67" s="127"/>
      <c r="AP67" s="87"/>
      <c r="AQ67" s="62"/>
      <c r="AR67" s="127"/>
      <c r="AS67" s="127"/>
      <c r="AT67" s="12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88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4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88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4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88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4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88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88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4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88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4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88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4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88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4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88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4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88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4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4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8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4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8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4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8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4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8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4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8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4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8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4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8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4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4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8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4"/>
      <c r="R87" s="94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8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4"/>
      <c r="R88" s="94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8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4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8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4"/>
      <c r="R90" s="94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8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4"/>
      <c r="P91" s="69"/>
      <c r="Q91" s="94"/>
      <c r="R91" s="94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8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4"/>
      <c r="P92" s="69"/>
      <c r="Q92" s="94"/>
      <c r="R92" s="94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8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4"/>
      <c r="P93" s="69"/>
      <c r="Q93" s="94"/>
      <c r="R93" s="94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8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4"/>
      <c r="P94" s="69"/>
      <c r="Q94" s="94"/>
      <c r="R94" s="94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8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4"/>
      <c r="R95" s="94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8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4"/>
      <c r="R96" s="94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8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4"/>
      <c r="P97" s="69"/>
      <c r="Q97" s="94"/>
      <c r="R97" s="94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8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4"/>
      <c r="R98" s="94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8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4"/>
      <c r="P99" s="69"/>
      <c r="Q99" s="94"/>
      <c r="R99" s="94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8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4"/>
      <c r="P100" s="69"/>
      <c r="Q100" s="94"/>
      <c r="R100" s="94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8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4"/>
      <c r="P101" s="69"/>
      <c r="Q101" s="94"/>
      <c r="R101" s="94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8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4"/>
      <c r="P102" s="69"/>
      <c r="Q102" s="94"/>
      <c r="R102" s="94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4"/>
      <c r="R103" s="94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4"/>
      <c r="P104" s="69"/>
      <c r="Q104" s="94"/>
      <c r="R104" s="94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4"/>
      <c r="P105" s="69"/>
      <c r="Q105" s="94"/>
      <c r="R105" s="94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4"/>
      <c r="R106" s="94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4"/>
      <c r="P107" s="69"/>
      <c r="Q107" s="94"/>
      <c r="R107" s="94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4"/>
      <c r="O108" s="94"/>
      <c r="P108" s="94"/>
      <c r="Q108" s="94"/>
      <c r="R108" s="94"/>
      <c r="S108" s="94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4"/>
      <c r="O109" s="94"/>
      <c r="P109" s="94"/>
      <c r="Q109" s="94"/>
      <c r="R109" s="94"/>
      <c r="S109" s="94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4"/>
      <c r="O110" s="94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5" t="s">
        <v>17</v>
      </c>
      <c r="E120" s="125"/>
      <c r="F120" s="95"/>
      <c r="G120" s="27"/>
      <c r="I120" s="123" t="s">
        <v>18</v>
      </c>
      <c r="J120" s="124"/>
      <c r="K120" s="121" t="s">
        <v>19</v>
      </c>
      <c r="N120" s="25"/>
      <c r="O120" s="26"/>
      <c r="P120" s="125" t="s">
        <v>17</v>
      </c>
      <c r="Q120" s="125"/>
      <c r="R120" s="95"/>
      <c r="S120" s="27"/>
      <c r="U120" s="123" t="s">
        <v>18</v>
      </c>
      <c r="V120" s="124"/>
      <c r="W120" s="121" t="s">
        <v>19</v>
      </c>
      <c r="Z120" s="25"/>
      <c r="AA120" s="26"/>
      <c r="AB120" s="125" t="s">
        <v>17</v>
      </c>
      <c r="AC120" s="125"/>
      <c r="AD120" s="95"/>
      <c r="AE120" s="27"/>
      <c r="AG120" s="123" t="s">
        <v>18</v>
      </c>
      <c r="AH120" s="124"/>
      <c r="AI120" s="12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2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2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88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88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88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88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88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8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8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8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8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8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8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8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8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8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8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8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8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8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8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8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8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8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8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8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8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8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8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8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8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8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8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8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8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5" t="s">
        <v>17</v>
      </c>
      <c r="E175" s="125"/>
      <c r="F175" s="96"/>
      <c r="G175" s="27"/>
      <c r="I175" s="123" t="s">
        <v>18</v>
      </c>
      <c r="J175" s="124"/>
      <c r="K175" s="121" t="s">
        <v>19</v>
      </c>
      <c r="N175" s="25"/>
      <c r="O175" s="26"/>
      <c r="P175" s="125" t="s">
        <v>17</v>
      </c>
      <c r="Q175" s="125"/>
      <c r="R175" s="96"/>
      <c r="S175" s="27"/>
      <c r="U175" s="123" t="s">
        <v>18</v>
      </c>
      <c r="V175" s="124"/>
      <c r="W175" s="121" t="s">
        <v>19</v>
      </c>
      <c r="Z175" s="25"/>
      <c r="AA175" s="26"/>
      <c r="AB175" s="125" t="s">
        <v>17</v>
      </c>
      <c r="AC175" s="125"/>
      <c r="AD175" s="96"/>
      <c r="AE175" s="27"/>
      <c r="AG175" s="123" t="s">
        <v>18</v>
      </c>
      <c r="AH175" s="124"/>
      <c r="AI175" s="121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2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2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88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88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88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88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88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27"/>
      <c r="AO181" s="127"/>
      <c r="AP181" s="87"/>
      <c r="AQ181" s="62"/>
      <c r="AR181" s="127"/>
      <c r="AS181" s="127"/>
      <c r="AT181" s="12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88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88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88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8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8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8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8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8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8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8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8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8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8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8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8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8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8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8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8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8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8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8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8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8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8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8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8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8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8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5" t="s">
        <v>17</v>
      </c>
      <c r="E230" s="125"/>
      <c r="F230" s="97"/>
      <c r="G230" s="27"/>
      <c r="I230" s="123" t="s">
        <v>18</v>
      </c>
      <c r="J230" s="124"/>
      <c r="K230" s="121" t="s">
        <v>19</v>
      </c>
      <c r="N230" s="25"/>
      <c r="O230" s="26"/>
      <c r="P230" s="125" t="s">
        <v>17</v>
      </c>
      <c r="Q230" s="125"/>
      <c r="R230" s="97"/>
      <c r="S230" s="27"/>
      <c r="U230" s="123" t="s">
        <v>18</v>
      </c>
      <c r="V230" s="124"/>
      <c r="W230" s="121" t="s">
        <v>19</v>
      </c>
      <c r="Z230" s="25"/>
      <c r="AA230" s="26"/>
      <c r="AB230" s="125" t="s">
        <v>17</v>
      </c>
      <c r="AC230" s="125"/>
      <c r="AD230" s="97"/>
      <c r="AE230" s="27"/>
      <c r="AG230" s="123" t="s">
        <v>18</v>
      </c>
      <c r="AH230" s="124"/>
      <c r="AI230" s="12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2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2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88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88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88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88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88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88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88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88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8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8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8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8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8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8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8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8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8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8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8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8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8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8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8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8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8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8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8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8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8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8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8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8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8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5" t="s">
        <v>17</v>
      </c>
      <c r="E285" s="125"/>
      <c r="F285" s="98"/>
      <c r="G285" s="27"/>
      <c r="I285" s="123" t="s">
        <v>18</v>
      </c>
      <c r="J285" s="124"/>
      <c r="K285" s="121" t="s">
        <v>19</v>
      </c>
      <c r="N285" s="25"/>
      <c r="O285" s="26"/>
      <c r="P285" s="125" t="s">
        <v>17</v>
      </c>
      <c r="Q285" s="125"/>
      <c r="R285" s="98"/>
      <c r="S285" s="27"/>
      <c r="U285" s="123" t="s">
        <v>18</v>
      </c>
      <c r="V285" s="124"/>
      <c r="W285" s="121" t="s">
        <v>19</v>
      </c>
      <c r="Z285" s="25"/>
      <c r="AA285" s="26"/>
      <c r="AB285" s="125" t="s">
        <v>17</v>
      </c>
      <c r="AC285" s="125"/>
      <c r="AD285" s="98"/>
      <c r="AE285" s="27"/>
      <c r="AG285" s="123" t="s">
        <v>18</v>
      </c>
      <c r="AH285" s="124"/>
      <c r="AI285" s="12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2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2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88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88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88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88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88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8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8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8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8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8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8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8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8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8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8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8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8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8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8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8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8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8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8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8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8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8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8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8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8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8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8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8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8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5" t="s">
        <v>17</v>
      </c>
      <c r="E340" s="125"/>
      <c r="F340" s="99"/>
      <c r="G340" s="27"/>
      <c r="I340" s="123" t="s">
        <v>18</v>
      </c>
      <c r="J340" s="124"/>
      <c r="K340" s="121" t="s">
        <v>19</v>
      </c>
      <c r="N340" s="25"/>
      <c r="O340" s="26"/>
      <c r="P340" s="125" t="s">
        <v>17</v>
      </c>
      <c r="Q340" s="125"/>
      <c r="R340" s="99"/>
      <c r="S340" s="27"/>
      <c r="U340" s="123" t="s">
        <v>18</v>
      </c>
      <c r="V340" s="124"/>
      <c r="W340" s="121" t="s">
        <v>19</v>
      </c>
      <c r="Z340" s="25"/>
      <c r="AA340" s="26"/>
      <c r="AB340" s="125" t="s">
        <v>17</v>
      </c>
      <c r="AC340" s="125"/>
      <c r="AD340" s="99"/>
      <c r="AE340" s="27"/>
      <c r="AG340" s="123" t="s">
        <v>18</v>
      </c>
      <c r="AH340" s="124"/>
      <c r="AI340" s="12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2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2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88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88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88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88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88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8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8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8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8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8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8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8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8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8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8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8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8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8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8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8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8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8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8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8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8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8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8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8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8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8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8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8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5" t="s">
        <v>17</v>
      </c>
      <c r="E395" s="125"/>
      <c r="F395" s="100"/>
      <c r="G395" s="27"/>
      <c r="I395" s="123" t="s">
        <v>18</v>
      </c>
      <c r="J395" s="124"/>
      <c r="K395" s="121" t="s">
        <v>19</v>
      </c>
      <c r="N395" s="25"/>
      <c r="O395" s="26"/>
      <c r="P395" s="125" t="s">
        <v>17</v>
      </c>
      <c r="Q395" s="125"/>
      <c r="R395" s="100"/>
      <c r="S395" s="27"/>
      <c r="U395" s="123" t="s">
        <v>18</v>
      </c>
      <c r="V395" s="124"/>
      <c r="W395" s="121" t="s">
        <v>19</v>
      </c>
      <c r="Z395" s="25"/>
      <c r="AA395" s="26"/>
      <c r="AB395" s="125" t="s">
        <v>17</v>
      </c>
      <c r="AC395" s="125"/>
      <c r="AD395" s="100"/>
      <c r="AE395" s="27"/>
      <c r="AG395" s="123" t="s">
        <v>18</v>
      </c>
      <c r="AH395" s="124"/>
      <c r="AI395" s="12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2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2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88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8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8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8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8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8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8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8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5" t="s">
        <v>17</v>
      </c>
      <c r="E450" s="125"/>
      <c r="F450" s="101"/>
      <c r="G450" s="27"/>
      <c r="I450" s="123" t="s">
        <v>18</v>
      </c>
      <c r="J450" s="124"/>
      <c r="K450" s="121" t="s">
        <v>19</v>
      </c>
      <c r="N450" s="25"/>
      <c r="O450" s="26"/>
      <c r="P450" s="125" t="s">
        <v>17</v>
      </c>
      <c r="Q450" s="125"/>
      <c r="R450" s="101"/>
      <c r="S450" s="27"/>
      <c r="U450" s="123" t="s">
        <v>18</v>
      </c>
      <c r="V450" s="124"/>
      <c r="W450" s="121" t="s">
        <v>19</v>
      </c>
      <c r="Z450" s="25"/>
      <c r="AA450" s="26"/>
      <c r="AB450" s="125" t="s">
        <v>17</v>
      </c>
      <c r="AC450" s="125"/>
      <c r="AD450" s="101"/>
      <c r="AE450" s="27"/>
      <c r="AG450" s="123" t="s">
        <v>18</v>
      </c>
      <c r="AH450" s="124"/>
      <c r="AI450" s="12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2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2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88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8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8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8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8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8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8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8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5" t="s">
        <v>17</v>
      </c>
      <c r="E505" s="125"/>
      <c r="F505" s="102"/>
      <c r="G505" s="27"/>
      <c r="I505" s="123" t="s">
        <v>18</v>
      </c>
      <c r="J505" s="124"/>
      <c r="K505" s="121" t="s">
        <v>19</v>
      </c>
      <c r="N505" s="25"/>
      <c r="O505" s="26"/>
      <c r="P505" s="125" t="s">
        <v>17</v>
      </c>
      <c r="Q505" s="125"/>
      <c r="R505" s="102"/>
      <c r="S505" s="27"/>
      <c r="U505" s="123" t="s">
        <v>18</v>
      </c>
      <c r="V505" s="124"/>
      <c r="W505" s="121" t="s">
        <v>19</v>
      </c>
      <c r="Z505" s="25"/>
      <c r="AA505" s="26"/>
      <c r="AB505" s="125" t="s">
        <v>17</v>
      </c>
      <c r="AC505" s="125"/>
      <c r="AD505" s="102"/>
      <c r="AE505" s="27"/>
      <c r="AG505" s="123" t="s">
        <v>18</v>
      </c>
      <c r="AH505" s="124"/>
      <c r="AI505" s="12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2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2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8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8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8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8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8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8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8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8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27"/>
      <c r="E560" s="127"/>
      <c r="F560" s="91"/>
      <c r="G560" s="91"/>
      <c r="H560" s="62"/>
      <c r="I560" s="127"/>
      <c r="J560" s="127"/>
      <c r="K560" s="126"/>
      <c r="N560" s="25"/>
      <c r="O560" s="26"/>
      <c r="P560" s="125" t="s">
        <v>17</v>
      </c>
      <c r="Q560" s="125"/>
      <c r="R560" s="103"/>
      <c r="S560" s="27"/>
      <c r="U560" s="123" t="s">
        <v>18</v>
      </c>
      <c r="V560" s="124"/>
      <c r="W560" s="121" t="s">
        <v>19</v>
      </c>
      <c r="Z560" s="25"/>
      <c r="AA560" s="26"/>
      <c r="AB560" s="125" t="s">
        <v>17</v>
      </c>
      <c r="AC560" s="125"/>
      <c r="AD560" s="103"/>
      <c r="AE560" s="27"/>
      <c r="AG560" s="123" t="s">
        <v>18</v>
      </c>
      <c r="AH560" s="124"/>
      <c r="AI560" s="12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1"/>
      <c r="C561" s="91"/>
      <c r="D561" s="81"/>
      <c r="E561" s="82"/>
      <c r="F561" s="83"/>
      <c r="G561" s="83"/>
      <c r="H561" s="62"/>
      <c r="I561" s="90"/>
      <c r="J561" s="90"/>
      <c r="K561" s="126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2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9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9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9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1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9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9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9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9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9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1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9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9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9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9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1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9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1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1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9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9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1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1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1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1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1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1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1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1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1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1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1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1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1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5" t="s">
        <v>17</v>
      </c>
      <c r="E615" s="125"/>
      <c r="F615" s="104"/>
      <c r="G615" s="27"/>
      <c r="I615" s="123" t="s">
        <v>18</v>
      </c>
      <c r="J615" s="124"/>
      <c r="K615" s="121" t="s">
        <v>19</v>
      </c>
      <c r="N615" s="25"/>
      <c r="O615" s="26"/>
      <c r="P615" s="125" t="s">
        <v>17</v>
      </c>
      <c r="Q615" s="125"/>
      <c r="R615" s="104"/>
      <c r="S615" s="27"/>
      <c r="U615" s="123" t="s">
        <v>18</v>
      </c>
      <c r="V615" s="124"/>
      <c r="W615" s="121" t="s">
        <v>19</v>
      </c>
      <c r="Z615" s="25"/>
      <c r="AA615" s="26"/>
      <c r="AB615" s="125" t="s">
        <v>17</v>
      </c>
      <c r="AC615" s="125"/>
      <c r="AD615" s="104"/>
      <c r="AE615" s="27"/>
      <c r="AG615" s="123" t="s">
        <v>18</v>
      </c>
      <c r="AH615" s="124"/>
      <c r="AI615" s="12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2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2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88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8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8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8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8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8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8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8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5" t="s">
        <v>17</v>
      </c>
      <c r="E670" s="125"/>
      <c r="F670" s="105"/>
      <c r="G670" s="27"/>
      <c r="I670" s="123" t="s">
        <v>18</v>
      </c>
      <c r="J670" s="124"/>
      <c r="K670" s="121" t="s">
        <v>19</v>
      </c>
      <c r="N670" s="25"/>
      <c r="O670" s="26"/>
      <c r="P670" s="125" t="s">
        <v>17</v>
      </c>
      <c r="Q670" s="125"/>
      <c r="R670" s="105"/>
      <c r="S670" s="27"/>
      <c r="U670" s="123" t="s">
        <v>18</v>
      </c>
      <c r="V670" s="124"/>
      <c r="W670" s="121" t="s">
        <v>19</v>
      </c>
      <c r="Z670" s="25"/>
      <c r="AA670" s="26"/>
      <c r="AB670" s="125" t="s">
        <v>17</v>
      </c>
      <c r="AC670" s="125"/>
      <c r="AD670" s="105"/>
      <c r="AE670" s="27"/>
      <c r="AG670" s="123" t="s">
        <v>18</v>
      </c>
      <c r="AH670" s="124"/>
      <c r="AI670" s="12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2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2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8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8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8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8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8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8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8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8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5" t="s">
        <v>17</v>
      </c>
      <c r="E725" s="125"/>
      <c r="F725" s="106"/>
      <c r="G725" s="27"/>
      <c r="I725" s="123" t="s">
        <v>18</v>
      </c>
      <c r="J725" s="124"/>
      <c r="K725" s="121" t="s">
        <v>19</v>
      </c>
      <c r="N725" s="25"/>
      <c r="O725" s="26"/>
      <c r="P725" s="125" t="s">
        <v>17</v>
      </c>
      <c r="Q725" s="125"/>
      <c r="R725" s="106"/>
      <c r="S725" s="27"/>
      <c r="U725" s="123" t="s">
        <v>18</v>
      </c>
      <c r="V725" s="124"/>
      <c r="W725" s="121" t="s">
        <v>19</v>
      </c>
      <c r="Z725" s="25"/>
      <c r="AA725" s="26"/>
      <c r="AB725" s="125" t="s">
        <v>17</v>
      </c>
      <c r="AC725" s="125"/>
      <c r="AD725" s="106"/>
      <c r="AE725" s="27"/>
      <c r="AG725" s="123" t="s">
        <v>18</v>
      </c>
      <c r="AH725" s="124"/>
      <c r="AI725" s="121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2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2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8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8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8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8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8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8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5" t="s">
        <v>17</v>
      </c>
      <c r="E780" s="125"/>
      <c r="F780" s="107"/>
      <c r="G780" s="27"/>
      <c r="I780" s="123" t="s">
        <v>18</v>
      </c>
      <c r="J780" s="124"/>
      <c r="K780" s="121" t="s">
        <v>19</v>
      </c>
      <c r="N780" s="25"/>
      <c r="O780" s="26"/>
      <c r="P780" s="125" t="s">
        <v>17</v>
      </c>
      <c r="Q780" s="125"/>
      <c r="R780" s="107"/>
      <c r="S780" s="27"/>
      <c r="U780" s="123" t="s">
        <v>18</v>
      </c>
      <c r="V780" s="124"/>
      <c r="W780" s="121" t="s">
        <v>19</v>
      </c>
      <c r="Z780" s="25"/>
      <c r="AA780" s="26"/>
      <c r="AB780" s="125" t="s">
        <v>17</v>
      </c>
      <c r="AC780" s="125"/>
      <c r="AD780" s="107"/>
      <c r="AE780" s="27"/>
      <c r="AG780" s="123" t="s">
        <v>18</v>
      </c>
      <c r="AH780" s="124"/>
      <c r="AI780" s="121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2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2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88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15" si="231">SUM(D782:E782)</f>
        <v>154910</v>
      </c>
      <c r="H782" s="12"/>
      <c r="I782" s="12"/>
      <c r="J782" s="12"/>
      <c r="K782" s="12">
        <f t="shared" ref="K782:K815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0" si="233">SUM(P783:Q783)</f>
        <v>6595</v>
      </c>
      <c r="T783" s="12"/>
      <c r="U783" s="12"/>
      <c r="V783" s="12"/>
      <c r="W783" s="12">
        <f t="shared" ref="W783:W823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14" si="235">SUM(AB783:AC783)</f>
        <v>20442</v>
      </c>
      <c r="AF783" s="12"/>
      <c r="AG783" s="12"/>
      <c r="AH783" s="12"/>
      <c r="AI783" s="12">
        <f t="shared" ref="AI783:AI823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792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87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8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8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8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8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8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49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49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49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82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5" t="s">
        <v>17</v>
      </c>
      <c r="E835" s="125"/>
      <c r="F835" s="108"/>
      <c r="G835" s="27"/>
      <c r="I835" s="123" t="s">
        <v>18</v>
      </c>
      <c r="J835" s="124"/>
      <c r="K835" s="121" t="s">
        <v>19</v>
      </c>
      <c r="N835" s="25"/>
      <c r="O835" s="26"/>
      <c r="P835" s="125" t="s">
        <v>17</v>
      </c>
      <c r="Q835" s="125"/>
      <c r="R835" s="108"/>
      <c r="S835" s="27"/>
      <c r="U835" s="123" t="s">
        <v>18</v>
      </c>
      <c r="V835" s="124"/>
      <c r="W835" s="121" t="s">
        <v>19</v>
      </c>
      <c r="Z835" s="25"/>
      <c r="AA835" s="26"/>
      <c r="AB835" s="125" t="s">
        <v>17</v>
      </c>
      <c r="AC835" s="125"/>
      <c r="AD835" s="108"/>
      <c r="AE835" s="27"/>
      <c r="AG835" s="123" t="s">
        <v>18</v>
      </c>
      <c r="AH835" s="124"/>
      <c r="AI835" s="121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22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22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2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8">
        <v>8634</v>
      </c>
      <c r="D837" s="32">
        <f>650*17+622*3</f>
        <v>12916</v>
      </c>
      <c r="E837" s="32"/>
      <c r="F837" s="32"/>
      <c r="G837" s="32">
        <f t="shared" ref="G837:G870" si="246">SUM(D837:E837)</f>
        <v>12916</v>
      </c>
      <c r="H837" s="12"/>
      <c r="I837" s="12"/>
      <c r="J837" s="12">
        <v>-2664</v>
      </c>
      <c r="K837" s="12">
        <f t="shared" ref="K837:K870" si="247">SUM(G837:J837)</f>
        <v>10252</v>
      </c>
      <c r="M837" s="10">
        <v>1</v>
      </c>
      <c r="N837" s="30" t="s">
        <v>85</v>
      </c>
      <c r="O837" s="31">
        <v>8576</v>
      </c>
      <c r="P837" s="32">
        <f>650*10</f>
        <v>6500</v>
      </c>
      <c r="Q837" s="32"/>
      <c r="R837" s="32"/>
      <c r="S837" s="32">
        <f>SUM(P837:Q837)</f>
        <v>6500</v>
      </c>
      <c r="T837" s="12"/>
      <c r="U837" s="12">
        <f>10*111</f>
        <v>1110</v>
      </c>
      <c r="V837" s="12"/>
      <c r="W837" s="12">
        <f>SUM(S837:V837)</f>
        <v>7610</v>
      </c>
      <c r="Y837" s="10">
        <v>1</v>
      </c>
      <c r="Z837" s="30" t="s">
        <v>85</v>
      </c>
      <c r="AA837" s="31">
        <v>8512</v>
      </c>
      <c r="AB837" s="32">
        <f>650*27+670+622*10+229</f>
        <v>24669</v>
      </c>
      <c r="AC837" s="32"/>
      <c r="AD837" s="32"/>
      <c r="AE837" s="32">
        <f>SUM(AB837:AC837)</f>
        <v>24669</v>
      </c>
      <c r="AF837" s="12"/>
      <c r="AG837" s="12"/>
      <c r="AH837" s="12"/>
      <c r="AI837" s="12">
        <f>SUM(AE837:AH837)</f>
        <v>24669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31">
        <f>C837+1</f>
        <v>8635</v>
      </c>
      <c r="D838" s="32">
        <f>650*431+622*10+229*15</f>
        <v>289805</v>
      </c>
      <c r="E838" s="32">
        <v>-2646</v>
      </c>
      <c r="F838" s="32"/>
      <c r="G838" s="32">
        <f t="shared" si="246"/>
        <v>287159</v>
      </c>
      <c r="H838" s="12"/>
      <c r="I838" s="12">
        <f>7770+624</f>
        <v>8394</v>
      </c>
      <c r="J838" s="12">
        <f>-777+-672+-2352+-3150+-480</f>
        <v>-7431</v>
      </c>
      <c r="K838" s="12">
        <f t="shared" si="247"/>
        <v>288122</v>
      </c>
      <c r="M838" s="10">
        <v>2</v>
      </c>
      <c r="N838" s="30" t="s">
        <v>85</v>
      </c>
      <c r="O838" s="31">
        <f>O837+1</f>
        <v>8577</v>
      </c>
      <c r="P838" s="32">
        <f>1989</f>
        <v>1989</v>
      </c>
      <c r="Q838" s="32"/>
      <c r="R838" s="32"/>
      <c r="S838" s="32">
        <f t="shared" ref="S838:S875" si="248">SUM(P838:Q838)</f>
        <v>1989</v>
      </c>
      <c r="T838" s="12"/>
      <c r="U838" s="12"/>
      <c r="V838" s="12"/>
      <c r="W838" s="12">
        <f t="shared" ref="W838:W878" si="249">SUM(S838:V838)</f>
        <v>1989</v>
      </c>
      <c r="Y838" s="10">
        <v>2</v>
      </c>
      <c r="Z838" s="30" t="s">
        <v>85</v>
      </c>
      <c r="AA838" s="31">
        <f>AA837+1</f>
        <v>8513</v>
      </c>
      <c r="AB838" s="32">
        <f>650*35+670*4+622*12+229*2</f>
        <v>33352</v>
      </c>
      <c r="AC838" s="32"/>
      <c r="AD838" s="32"/>
      <c r="AE838" s="32">
        <f t="shared" ref="AE838:AE869" si="250">SUM(AB838:AC838)</f>
        <v>33352</v>
      </c>
      <c r="AF838" s="12"/>
      <c r="AG838" s="12">
        <v>117</v>
      </c>
      <c r="AH838" s="12"/>
      <c r="AI838" s="12">
        <f t="shared" ref="AI838:AI878" si="251">SUM(AE838:AH838)</f>
        <v>33469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31">
        <f t="shared" ref="C839" si="252">C838+1</f>
        <v>8636</v>
      </c>
      <c r="D839" s="33">
        <f>650*324+670*50+622*50+229*13+500*5</f>
        <v>280677</v>
      </c>
      <c r="E839" s="33">
        <v>-2574</v>
      </c>
      <c r="F839" s="33"/>
      <c r="G839" s="33">
        <f t="shared" si="246"/>
        <v>278103</v>
      </c>
      <c r="H839" s="34"/>
      <c r="I839" s="34">
        <f>780+5550</f>
        <v>6330</v>
      </c>
      <c r="J839" s="34">
        <f>-720+-60717+-120</f>
        <v>-61557</v>
      </c>
      <c r="K839" s="34">
        <f t="shared" si="247"/>
        <v>222876</v>
      </c>
      <c r="M839" s="10">
        <v>3</v>
      </c>
      <c r="N839" s="30" t="s">
        <v>85</v>
      </c>
      <c r="O839" s="31">
        <f t="shared" ref="O839:O841" si="253">O838+1</f>
        <v>8578</v>
      </c>
      <c r="P839" s="32">
        <f>650*216+229*9</f>
        <v>142461</v>
      </c>
      <c r="Q839" s="32">
        <v>-1296</v>
      </c>
      <c r="R839" s="32"/>
      <c r="S839" s="32">
        <f t="shared" si="248"/>
        <v>141165</v>
      </c>
      <c r="T839" s="12"/>
      <c r="U839" s="12">
        <v>324</v>
      </c>
      <c r="V839" s="12">
        <v>-23976</v>
      </c>
      <c r="W839" s="12">
        <f t="shared" si="249"/>
        <v>117513</v>
      </c>
      <c r="Y839" s="10">
        <v>3</v>
      </c>
      <c r="Z839" s="30" t="s">
        <v>85</v>
      </c>
      <c r="AA839" s="31">
        <f t="shared" ref="AA839:AA841" si="254">AA838+1</f>
        <v>8514</v>
      </c>
      <c r="AB839" s="33">
        <f>35750+2680+1866</f>
        <v>40296</v>
      </c>
      <c r="AC839" s="33">
        <v>-372</v>
      </c>
      <c r="AD839" s="32"/>
      <c r="AE839" s="32">
        <f t="shared" si="250"/>
        <v>39924</v>
      </c>
      <c r="AF839" s="12"/>
      <c r="AG839" s="12"/>
      <c r="AH839" s="12"/>
      <c r="AI839" s="12">
        <f t="shared" si="251"/>
        <v>39924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85</v>
      </c>
      <c r="O840" s="31">
        <f t="shared" si="253"/>
        <v>8579</v>
      </c>
      <c r="P840" s="32">
        <f>1300+670+22</f>
        <v>1992</v>
      </c>
      <c r="Q840" s="32"/>
      <c r="R840" s="32"/>
      <c r="S840" s="32">
        <f t="shared" si="248"/>
        <v>1992</v>
      </c>
      <c r="T840" s="12"/>
      <c r="U840" s="12">
        <v>222</v>
      </c>
      <c r="V840" s="12"/>
      <c r="W840" s="12">
        <f t="shared" si="249"/>
        <v>2214</v>
      </c>
      <c r="Y840" s="10">
        <v>4</v>
      </c>
      <c r="Z840" s="30" t="s">
        <v>85</v>
      </c>
      <c r="AA840" s="31">
        <f t="shared" si="254"/>
        <v>8515</v>
      </c>
      <c r="AB840" s="32">
        <f>650*45+229+650</f>
        <v>30129</v>
      </c>
      <c r="AC840" s="32"/>
      <c r="AD840" s="32"/>
      <c r="AE840" s="32">
        <f t="shared" si="250"/>
        <v>30129</v>
      </c>
      <c r="AF840" s="12"/>
      <c r="AG840">
        <f>1221+121.5</f>
        <v>1342.5</v>
      </c>
      <c r="AH840" s="12"/>
      <c r="AI840" s="12">
        <f t="shared" si="251"/>
        <v>31471.5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3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85</v>
      </c>
      <c r="O841" s="31">
        <f t="shared" si="253"/>
        <v>8580</v>
      </c>
      <c r="P841" s="32">
        <f>650*180+622*20+872*2+229*8+650*2</f>
        <v>134316</v>
      </c>
      <c r="Q841" s="32">
        <v>-1224</v>
      </c>
      <c r="R841" s="32"/>
      <c r="S841" s="32">
        <f t="shared" si="248"/>
        <v>133092</v>
      </c>
      <c r="T841" s="12"/>
      <c r="U841" s="12">
        <f>252+36</f>
        <v>288</v>
      </c>
      <c r="V841" s="12">
        <v>-1776</v>
      </c>
      <c r="W841" s="12">
        <f t="shared" si="249"/>
        <v>131604</v>
      </c>
      <c r="Y841" s="10">
        <v>5</v>
      </c>
      <c r="Z841" s="30" t="s">
        <v>85</v>
      </c>
      <c r="AA841" s="31">
        <f t="shared" si="254"/>
        <v>8516</v>
      </c>
      <c r="AB841" s="32">
        <f>972+3110+687</f>
        <v>4769</v>
      </c>
      <c r="AC841" s="32"/>
      <c r="AD841" s="32"/>
      <c r="AE841" s="32">
        <f t="shared" si="250"/>
        <v>4769</v>
      </c>
      <c r="AF841" s="12"/>
      <c r="AG841" s="12"/>
      <c r="AH841" s="12">
        <v>-555</v>
      </c>
      <c r="AI841" s="12">
        <f t="shared" si="251"/>
        <v>4214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3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48"/>
        <v>0</v>
      </c>
      <c r="T842" s="12"/>
      <c r="U842" s="12"/>
      <c r="V842" s="10"/>
      <c r="W842" s="12">
        <f t="shared" si="249"/>
        <v>0</v>
      </c>
      <c r="Y842" s="10">
        <v>6</v>
      </c>
      <c r="Z842" s="30"/>
      <c r="AA842" s="11" t="s">
        <v>27</v>
      </c>
      <c r="AB842" s="32"/>
      <c r="AC842" s="32"/>
      <c r="AD842" s="32"/>
      <c r="AE842" s="32">
        <f t="shared" si="250"/>
        <v>0</v>
      </c>
      <c r="AF842" s="12"/>
      <c r="AG842" s="12"/>
      <c r="AH842" s="10"/>
      <c r="AI842" s="12">
        <f t="shared" si="251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3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/>
      <c r="P843" s="32"/>
      <c r="Q843" s="32"/>
      <c r="R843" s="32"/>
      <c r="S843" s="32">
        <f t="shared" si="248"/>
        <v>0</v>
      </c>
      <c r="T843" s="12"/>
      <c r="U843" s="12"/>
      <c r="V843" s="12"/>
      <c r="W843" s="12">
        <f t="shared" si="249"/>
        <v>0</v>
      </c>
      <c r="Y843" s="10">
        <v>7</v>
      </c>
      <c r="Z843" s="30"/>
      <c r="AA843" s="31"/>
      <c r="AB843" s="32"/>
      <c r="AC843" s="32"/>
      <c r="AD843" s="32"/>
      <c r="AE843" s="32">
        <f t="shared" si="250"/>
        <v>0</v>
      </c>
      <c r="AF843" s="12"/>
      <c r="AG843" s="58"/>
      <c r="AH843" s="12"/>
      <c r="AI843" s="12">
        <f t="shared" si="251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3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/>
      <c r="O844" s="31"/>
      <c r="P844" s="32"/>
      <c r="Q844" s="32"/>
      <c r="R844" s="32"/>
      <c r="S844" s="32">
        <f t="shared" si="248"/>
        <v>0</v>
      </c>
      <c r="T844" s="12"/>
      <c r="U844" s="12"/>
      <c r="V844" s="12"/>
      <c r="W844" s="12">
        <f t="shared" si="249"/>
        <v>0</v>
      </c>
      <c r="Y844" s="10">
        <v>8</v>
      </c>
      <c r="Z844" s="30"/>
      <c r="AA844" s="31"/>
      <c r="AB844" s="32"/>
      <c r="AC844" s="32"/>
      <c r="AE844" s="32">
        <f t="shared" si="250"/>
        <v>0</v>
      </c>
      <c r="AF844" s="12"/>
      <c r="AG844" s="12"/>
      <c r="AH844" s="12"/>
      <c r="AI844" s="12">
        <f t="shared" si="251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3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/>
      <c r="O845" s="31"/>
      <c r="P845" s="32"/>
      <c r="Q845" s="32"/>
      <c r="R845" s="32"/>
      <c r="S845" s="32">
        <f t="shared" si="248"/>
        <v>0</v>
      </c>
      <c r="T845" s="12"/>
      <c r="U845" s="12"/>
      <c r="V845" s="12"/>
      <c r="W845" s="12">
        <f t="shared" si="249"/>
        <v>0</v>
      </c>
      <c r="Y845" s="10">
        <v>9</v>
      </c>
      <c r="Z845" s="30"/>
      <c r="AA845" s="31"/>
      <c r="AB845" s="32"/>
      <c r="AC845" s="32"/>
      <c r="AD845" s="32"/>
      <c r="AE845" s="32">
        <f t="shared" si="250"/>
        <v>0</v>
      </c>
      <c r="AF845" s="12"/>
      <c r="AH845" s="12"/>
      <c r="AI845" s="12">
        <f t="shared" si="251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3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/>
      <c r="O846" s="31"/>
      <c r="P846" s="32"/>
      <c r="Q846" s="32"/>
      <c r="R846" s="32"/>
      <c r="S846" s="32">
        <f t="shared" si="248"/>
        <v>0</v>
      </c>
      <c r="T846" s="12"/>
      <c r="U846" s="12"/>
      <c r="V846" s="12"/>
      <c r="W846" s="12">
        <f t="shared" si="249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50"/>
        <v>0</v>
      </c>
      <c r="AF846" s="12"/>
      <c r="AG846" s="12"/>
      <c r="AH846" s="12"/>
      <c r="AI846" s="12">
        <f t="shared" si="251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31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/>
      <c r="O847" s="31"/>
      <c r="P847" s="32"/>
      <c r="Q847" s="32"/>
      <c r="R847" s="32"/>
      <c r="S847" s="32">
        <f t="shared" si="248"/>
        <v>0</v>
      </c>
      <c r="T847" s="12"/>
      <c r="U847" s="12"/>
      <c r="V847" s="12"/>
      <c r="W847" s="12">
        <f t="shared" si="249"/>
        <v>0</v>
      </c>
      <c r="Y847" s="10">
        <v>11</v>
      </c>
      <c r="Z847" s="30"/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1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/>
      <c r="O848" s="31"/>
      <c r="P848" s="32"/>
      <c r="Q848" s="32"/>
      <c r="R848" s="32"/>
      <c r="S848" s="32">
        <f t="shared" si="248"/>
        <v>0</v>
      </c>
      <c r="T848" s="12"/>
      <c r="U848" s="12"/>
      <c r="V848" s="12"/>
      <c r="W848" s="12">
        <f t="shared" si="249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3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/>
      <c r="P849" s="32"/>
      <c r="Q849" s="32"/>
      <c r="R849" s="32"/>
      <c r="S849" s="32">
        <f t="shared" si="248"/>
        <v>0</v>
      </c>
      <c r="T849" s="12"/>
      <c r="U849" s="12"/>
      <c r="V849" s="12"/>
      <c r="W849" s="12">
        <f t="shared" si="249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3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/>
      <c r="O850" s="31"/>
      <c r="P850" s="32"/>
      <c r="Q850" s="32"/>
      <c r="R850" s="32"/>
      <c r="S850" s="32">
        <f t="shared" si="248"/>
        <v>0</v>
      </c>
      <c r="T850" s="12"/>
      <c r="U850" s="12"/>
      <c r="V850" s="12"/>
      <c r="W850" s="12">
        <f t="shared" si="249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3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/>
      <c r="O851" s="31"/>
      <c r="P851" s="32"/>
      <c r="Q851" s="32"/>
      <c r="R851" s="32"/>
      <c r="S851" s="32">
        <f t="shared" si="248"/>
        <v>0</v>
      </c>
      <c r="T851" s="12"/>
      <c r="U851" s="12"/>
      <c r="V851" s="12"/>
      <c r="W851" s="12">
        <f t="shared" si="249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3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/>
      <c r="O852" s="31"/>
      <c r="P852" s="32"/>
      <c r="Q852" s="32"/>
      <c r="R852" s="32"/>
      <c r="S852" s="32">
        <f t="shared" si="248"/>
        <v>0</v>
      </c>
      <c r="T852" s="12"/>
      <c r="U852" s="12"/>
      <c r="V852" s="12"/>
      <c r="W852" s="12">
        <f t="shared" si="249"/>
        <v>0</v>
      </c>
      <c r="Y852" s="10">
        <v>16</v>
      </c>
      <c r="Z852" s="30"/>
      <c r="AA852" s="31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3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/>
      <c r="O853" s="31"/>
      <c r="P853" s="35"/>
      <c r="Q853" s="32"/>
      <c r="R853" s="32"/>
      <c r="S853" s="32">
        <f t="shared" si="248"/>
        <v>0</v>
      </c>
      <c r="T853" s="12"/>
      <c r="U853" s="12"/>
      <c r="V853" s="12"/>
      <c r="W853" s="12">
        <f t="shared" si="249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31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/>
      <c r="O854" s="31"/>
      <c r="P854" s="32"/>
      <c r="Q854" s="32"/>
      <c r="R854" s="32"/>
      <c r="S854" s="32">
        <f t="shared" si="248"/>
        <v>0</v>
      </c>
      <c r="T854" s="12"/>
      <c r="U854" s="12"/>
      <c r="V854" s="12"/>
      <c r="W854" s="12">
        <f t="shared" si="249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/>
      <c r="O855" s="31"/>
      <c r="P855" s="32"/>
      <c r="Q855" s="32"/>
      <c r="R855" s="32"/>
      <c r="S855" s="32">
        <f t="shared" si="248"/>
        <v>0</v>
      </c>
      <c r="T855" s="12"/>
      <c r="U855" s="12"/>
      <c r="V855" s="12"/>
      <c r="W855" s="12">
        <f t="shared" si="249"/>
        <v>0</v>
      </c>
      <c r="Y855" s="10">
        <v>19</v>
      </c>
      <c r="Z855" s="30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31"/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Q859" s="31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C859" s="31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O861" s="31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O862" s="31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O866" s="31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8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57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O868" s="31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8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8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si="248"/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55">SUM(AB870:AC870)</f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8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8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5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8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8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5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8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5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8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5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8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5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583398</v>
      </c>
      <c r="E880" s="38">
        <f t="shared" ref="E880:F880" si="260">SUM(E837:E877)</f>
        <v>-5220</v>
      </c>
      <c r="F880" s="38">
        <f t="shared" si="260"/>
        <v>0</v>
      </c>
      <c r="G880" s="38">
        <f>SUM(G837:G879)</f>
        <v>578178</v>
      </c>
      <c r="H880" s="4"/>
      <c r="I880" s="39">
        <f>SUM(I837:I879)</f>
        <v>14724</v>
      </c>
      <c r="J880" s="39">
        <f>SUM(J837:J879)</f>
        <v>-71652</v>
      </c>
      <c r="K880" s="40">
        <f>SUM(K837:K879)</f>
        <v>521250</v>
      </c>
      <c r="N880" s="57"/>
      <c r="O880" s="57"/>
      <c r="P880" s="38">
        <f>SUM(P837:P879)</f>
        <v>287258</v>
      </c>
      <c r="Q880" s="38">
        <f>SUM(Q837:Q861)</f>
        <v>-2520</v>
      </c>
      <c r="R880" s="38">
        <f>SUM(R837:R861)</f>
        <v>0</v>
      </c>
      <c r="S880" s="38">
        <f>SUM(S837:S879)</f>
        <v>284738</v>
      </c>
      <c r="T880" s="4"/>
      <c r="U880" s="41">
        <f>SUM(U837:U879)</f>
        <v>1944</v>
      </c>
      <c r="V880" s="41">
        <f>SUM(V837:V861)</f>
        <v>-25752</v>
      </c>
      <c r="W880" s="42">
        <f>SUM(W837:W879)</f>
        <v>260930</v>
      </c>
      <c r="Z880" s="57"/>
      <c r="AA880" s="57"/>
      <c r="AB880" s="38">
        <f>SUM(AB837:AB879)</f>
        <v>133215</v>
      </c>
      <c r="AC880" s="38">
        <f>SUM(AC837:AC861)</f>
        <v>-372</v>
      </c>
      <c r="AD880" s="38">
        <f>SUM(AD837:AD861)</f>
        <v>0</v>
      </c>
      <c r="AE880" s="38">
        <f>SUM(AE837:AE879)</f>
        <v>132843</v>
      </c>
      <c r="AF880" s="4"/>
      <c r="AG880" s="41">
        <f>SUM(AG837:AG879)</f>
        <v>1459.5</v>
      </c>
      <c r="AH880" s="41">
        <f>SUM(AH837:AH861)</f>
        <v>-555</v>
      </c>
      <c r="AI880" s="42">
        <f>SUM(AI837:AI879)</f>
        <v>133747.5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87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87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82</v>
      </c>
      <c r="W888" s="24"/>
      <c r="Y888" s="21" t="s">
        <v>87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5" t="s">
        <v>17</v>
      </c>
      <c r="E890" s="125"/>
      <c r="F890" s="109"/>
      <c r="G890" s="27"/>
      <c r="I890" s="123" t="s">
        <v>18</v>
      </c>
      <c r="J890" s="124"/>
      <c r="K890" s="121" t="s">
        <v>19</v>
      </c>
      <c r="N890" s="25"/>
      <c r="O890" s="26"/>
      <c r="P890" s="125" t="s">
        <v>17</v>
      </c>
      <c r="Q890" s="125"/>
      <c r="R890" s="109"/>
      <c r="S890" s="27"/>
      <c r="U890" s="123" t="s">
        <v>18</v>
      </c>
      <c r="V890" s="124"/>
      <c r="W890" s="121" t="s">
        <v>19</v>
      </c>
      <c r="Z890" s="25"/>
      <c r="AA890" s="26"/>
      <c r="AB890" s="125" t="s">
        <v>17</v>
      </c>
      <c r="AC890" s="125"/>
      <c r="AD890" s="109"/>
      <c r="AE890" s="27"/>
      <c r="AG890" s="123" t="s">
        <v>18</v>
      </c>
      <c r="AH890" s="124"/>
      <c r="AI890" s="121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22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22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2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88</v>
      </c>
      <c r="C892" s="88">
        <v>8637</v>
      </c>
      <c r="D892" s="32">
        <f>650*45+622*5+500</f>
        <v>32860</v>
      </c>
      <c r="E892" s="32"/>
      <c r="F892" s="32"/>
      <c r="G892" s="32">
        <f t="shared" ref="G892:G925" si="261">SUM(D892:E892)</f>
        <v>32860</v>
      </c>
      <c r="H892" s="12"/>
      <c r="I892" s="12"/>
      <c r="J892" s="12"/>
      <c r="K892" s="12">
        <f t="shared" ref="K892:K925" si="262">SUM(G892:J892)</f>
        <v>32860</v>
      </c>
      <c r="M892" s="10">
        <v>1</v>
      </c>
      <c r="N892" s="30" t="s">
        <v>88</v>
      </c>
      <c r="O892" s="31">
        <v>8581</v>
      </c>
      <c r="P892" s="32">
        <f>650*6+670+66.5</f>
        <v>4636.5</v>
      </c>
      <c r="Q892" s="32"/>
      <c r="R892" s="32"/>
      <c r="S892" s="32">
        <f>SUM(P892:Q892)</f>
        <v>4636.5</v>
      </c>
      <c r="T892" s="12"/>
      <c r="U892" s="12"/>
      <c r="V892" s="12"/>
      <c r="W892" s="12">
        <f>SUM(S892:V892)</f>
        <v>4636.5</v>
      </c>
      <c r="Y892" s="10">
        <v>1</v>
      </c>
      <c r="Z892" s="30" t="s">
        <v>88</v>
      </c>
      <c r="AA892" s="31">
        <v>8517</v>
      </c>
      <c r="AB892" s="32">
        <f>650*19+700</f>
        <v>13050</v>
      </c>
      <c r="AC892" s="32"/>
      <c r="AD892" s="32"/>
      <c r="AE892" s="32">
        <f>SUM(AB892:AC892)</f>
        <v>13050</v>
      </c>
      <c r="AF892" s="12"/>
      <c r="AG892" s="12"/>
      <c r="AH892" s="12"/>
      <c r="AI892" s="12">
        <f>SUM(AE892:AH892)</f>
        <v>13050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88</v>
      </c>
      <c r="C893" s="31">
        <f>C892+1</f>
        <v>8638</v>
      </c>
      <c r="D893" s="32">
        <f>431*650+622*36+229*16</f>
        <v>306206</v>
      </c>
      <c r="E893" s="32">
        <v>-2802</v>
      </c>
      <c r="F893" s="32"/>
      <c r="G893" s="32">
        <f t="shared" si="261"/>
        <v>303404</v>
      </c>
      <c r="H893" s="12"/>
      <c r="I893" s="12"/>
      <c r="J893" s="12">
        <f>-44067+-672</f>
        <v>-44739</v>
      </c>
      <c r="K893" s="12">
        <f t="shared" si="262"/>
        <v>258665</v>
      </c>
      <c r="M893" s="10">
        <v>2</v>
      </c>
      <c r="N893" s="30" t="s">
        <v>88</v>
      </c>
      <c r="O893" s="31">
        <f>O892+1</f>
        <v>8582</v>
      </c>
      <c r="P893" s="32">
        <f>650+9.5</f>
        <v>659.5</v>
      </c>
      <c r="Q893" s="32"/>
      <c r="R893" s="32"/>
      <c r="S893" s="32">
        <f t="shared" ref="S893:S930" si="263">SUM(P893:Q893)</f>
        <v>659.5</v>
      </c>
      <c r="T893" s="12"/>
      <c r="U893" s="12"/>
      <c r="V893" s="12"/>
      <c r="W893" s="12">
        <f t="shared" ref="W893:W933" si="264">SUM(S893:V893)</f>
        <v>659.5</v>
      </c>
      <c r="Y893" s="10">
        <v>2</v>
      </c>
      <c r="Z893" s="30" t="s">
        <v>88</v>
      </c>
      <c r="AA893" s="31">
        <f>AA892+1</f>
        <v>8518</v>
      </c>
      <c r="AB893" s="32">
        <f>650*10+670*5+700*2+622*5+9.5*15</f>
        <v>14502.5</v>
      </c>
      <c r="AC893" s="32"/>
      <c r="AD893" s="32"/>
      <c r="AE893" s="32">
        <f t="shared" ref="AE893:AE924" si="265">SUM(AB893:AC893)</f>
        <v>14502.5</v>
      </c>
      <c r="AF893" s="12"/>
      <c r="AG893" s="12"/>
      <c r="AH893" s="12"/>
      <c r="AI893" s="12">
        <f t="shared" ref="AI893:AI933" si="266">SUM(AE893:AH893)</f>
        <v>14502.5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88</v>
      </c>
      <c r="C894" s="31">
        <f t="shared" ref="C894" si="267">C893+1</f>
        <v>8639</v>
      </c>
      <c r="D894" s="33">
        <f>650*108+670*5+973+622*5+912+1175+872+229*5+500+650+1175+2100</f>
        <v>86162</v>
      </c>
      <c r="E894" s="33"/>
      <c r="F894" s="33"/>
      <c r="G894" s="33">
        <f t="shared" si="261"/>
        <v>86162</v>
      </c>
      <c r="H894" s="34"/>
      <c r="I894" s="34">
        <v>162</v>
      </c>
      <c r="J894" s="34"/>
      <c r="K894" s="34">
        <f t="shared" si="262"/>
        <v>86324</v>
      </c>
      <c r="M894" s="10">
        <v>3</v>
      </c>
      <c r="N894" s="30" t="s">
        <v>88</v>
      </c>
      <c r="O894" s="31">
        <f t="shared" ref="O894:O900" si="268">O893+1</f>
        <v>8583</v>
      </c>
      <c r="P894" s="32">
        <f>650+9.5</f>
        <v>659.5</v>
      </c>
      <c r="Q894" s="32"/>
      <c r="R894" s="32"/>
      <c r="S894" s="32">
        <f t="shared" si="263"/>
        <v>659.5</v>
      </c>
      <c r="T894" s="12"/>
      <c r="U894" s="12"/>
      <c r="V894" s="12"/>
      <c r="W894" s="12">
        <f t="shared" si="264"/>
        <v>659.5</v>
      </c>
      <c r="Y894" s="10">
        <v>3</v>
      </c>
      <c r="Z894" s="30" t="s">
        <v>88</v>
      </c>
      <c r="AA894" s="31">
        <f t="shared" ref="AA894:AA901" si="269">AA893+1</f>
        <v>8519</v>
      </c>
      <c r="AB894" s="33">
        <f>650*70+670*10+622*20+229*4</f>
        <v>65556</v>
      </c>
      <c r="AC894" s="33">
        <v>-600</v>
      </c>
      <c r="AD894" s="32"/>
      <c r="AE894" s="32">
        <f t="shared" si="265"/>
        <v>64956</v>
      </c>
      <c r="AF894" s="12"/>
      <c r="AG894" s="12">
        <f>1887+144</f>
        <v>2031</v>
      </c>
      <c r="AH894" s="12"/>
      <c r="AI894" s="12">
        <f t="shared" si="266"/>
        <v>66987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/>
      <c r="C895" s="11" t="s">
        <v>27</v>
      </c>
      <c r="D895" s="32"/>
      <c r="E895" s="32"/>
      <c r="F895" s="32"/>
      <c r="G895" s="32">
        <f t="shared" si="261"/>
        <v>0</v>
      </c>
      <c r="H895" s="12"/>
      <c r="I895" s="12"/>
      <c r="J895" s="12"/>
      <c r="K895" s="12">
        <f t="shared" si="262"/>
        <v>0</v>
      </c>
      <c r="M895" s="10">
        <v>4</v>
      </c>
      <c r="N895" s="30" t="s">
        <v>88</v>
      </c>
      <c r="O895" s="31">
        <f t="shared" si="268"/>
        <v>8584</v>
      </c>
      <c r="P895" s="32">
        <f>650+9.5</f>
        <v>659.5</v>
      </c>
      <c r="Q895" s="32"/>
      <c r="R895" s="32"/>
      <c r="S895" s="32">
        <f t="shared" si="263"/>
        <v>659.5</v>
      </c>
      <c r="T895" s="12"/>
      <c r="U895" s="12"/>
      <c r="V895" s="12"/>
      <c r="W895" s="12">
        <f t="shared" si="264"/>
        <v>659.5</v>
      </c>
      <c r="Y895" s="10">
        <v>4</v>
      </c>
      <c r="Z895" s="30" t="s">
        <v>88</v>
      </c>
      <c r="AA895" s="31">
        <f t="shared" si="269"/>
        <v>8520</v>
      </c>
      <c r="AB895" s="32">
        <f>650*5+9.5*5</f>
        <v>3297.5</v>
      </c>
      <c r="AC895" s="32"/>
      <c r="AD895" s="32"/>
      <c r="AE895" s="32">
        <f t="shared" si="265"/>
        <v>3297.5</v>
      </c>
      <c r="AF895" s="12"/>
      <c r="AH895" s="12"/>
      <c r="AI895" s="12">
        <f t="shared" si="266"/>
        <v>3297.5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/>
      <c r="C896" s="31"/>
      <c r="D896" s="32"/>
      <c r="E896" s="32"/>
      <c r="F896" s="32"/>
      <c r="G896" s="32">
        <f t="shared" si="261"/>
        <v>0</v>
      </c>
      <c r="H896" s="12"/>
      <c r="I896" s="12"/>
      <c r="J896" s="12"/>
      <c r="K896" s="12">
        <f t="shared" si="262"/>
        <v>0</v>
      </c>
      <c r="M896" s="10">
        <v>5</v>
      </c>
      <c r="N896" s="30" t="s">
        <v>88</v>
      </c>
      <c r="O896" s="31">
        <f t="shared" si="268"/>
        <v>8585</v>
      </c>
      <c r="P896" s="32">
        <f>181*650+622*27+229*8</f>
        <v>136276</v>
      </c>
      <c r="Q896" s="32">
        <v>-1248</v>
      </c>
      <c r="R896" s="32"/>
      <c r="S896" s="32">
        <f t="shared" si="263"/>
        <v>135028</v>
      </c>
      <c r="T896" s="12"/>
      <c r="U896" s="12">
        <v>252</v>
      </c>
      <c r="V896" s="12"/>
      <c r="W896" s="12">
        <f t="shared" si="264"/>
        <v>135280</v>
      </c>
      <c r="Y896" s="10">
        <v>5</v>
      </c>
      <c r="Z896" s="30" t="s">
        <v>88</v>
      </c>
      <c r="AA896" s="31">
        <f t="shared" si="269"/>
        <v>8521</v>
      </c>
      <c r="AB896" s="32">
        <f>650*100+670*5+229*4</f>
        <v>69266</v>
      </c>
      <c r="AC896" s="32">
        <v>-630</v>
      </c>
      <c r="AD896" s="32"/>
      <c r="AE896" s="32">
        <f t="shared" si="265"/>
        <v>68636</v>
      </c>
      <c r="AF896" s="12"/>
      <c r="AG896" s="12"/>
      <c r="AH896" s="12"/>
      <c r="AI896" s="12">
        <f t="shared" si="266"/>
        <v>68636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31"/>
      <c r="D897" s="32"/>
      <c r="E897" s="32"/>
      <c r="F897" s="32"/>
      <c r="G897" s="32">
        <f t="shared" si="261"/>
        <v>0</v>
      </c>
      <c r="H897" s="12"/>
      <c r="I897" s="12"/>
      <c r="J897" s="12"/>
      <c r="K897" s="12">
        <f t="shared" si="262"/>
        <v>0</v>
      </c>
      <c r="M897" s="10">
        <v>6</v>
      </c>
      <c r="N897" s="30" t="s">
        <v>88</v>
      </c>
      <c r="O897" s="31">
        <f t="shared" si="268"/>
        <v>8586</v>
      </c>
      <c r="P897" s="32">
        <f>650*68+700*2</f>
        <v>45600</v>
      </c>
      <c r="Q897" s="32"/>
      <c r="R897" s="32"/>
      <c r="S897" s="32">
        <f t="shared" si="263"/>
        <v>45600</v>
      </c>
      <c r="T897" s="12"/>
      <c r="U897" s="12">
        <f>4.5+222</f>
        <v>226.5</v>
      </c>
      <c r="V897" s="10"/>
      <c r="W897" s="12">
        <f t="shared" si="264"/>
        <v>45826.5</v>
      </c>
      <c r="Y897" s="10">
        <v>6</v>
      </c>
      <c r="Z897" s="30" t="s">
        <v>88</v>
      </c>
      <c r="AA897" s="31">
        <f t="shared" si="269"/>
        <v>8522</v>
      </c>
      <c r="AB897" s="32">
        <f>650*158+622*50</f>
        <v>133800</v>
      </c>
      <c r="AC897" s="32">
        <v>-1248</v>
      </c>
      <c r="AD897" s="32"/>
      <c r="AE897" s="32">
        <f t="shared" si="265"/>
        <v>132552</v>
      </c>
      <c r="AF897" s="12"/>
      <c r="AG897" s="12"/>
      <c r="AH897" s="10"/>
      <c r="AI897" s="12">
        <f t="shared" si="266"/>
        <v>132552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C898" s="31"/>
      <c r="D898" s="32"/>
      <c r="E898" s="32"/>
      <c r="F898" s="32"/>
      <c r="G898" s="32">
        <f t="shared" si="261"/>
        <v>0</v>
      </c>
      <c r="H898" s="12"/>
      <c r="I898" s="12"/>
      <c r="J898" s="12"/>
      <c r="K898" s="12">
        <f t="shared" si="262"/>
        <v>0</v>
      </c>
      <c r="M898" s="10">
        <v>7</v>
      </c>
      <c r="N898" s="30" t="s">
        <v>88</v>
      </c>
      <c r="O898" s="31">
        <f t="shared" si="268"/>
        <v>8587</v>
      </c>
      <c r="P898" s="32">
        <f>650*50+973+229</f>
        <v>33702</v>
      </c>
      <c r="Q898" s="32"/>
      <c r="R898" s="32"/>
      <c r="S898" s="32">
        <f t="shared" si="263"/>
        <v>33702</v>
      </c>
      <c r="T898" s="12"/>
      <c r="U898" s="12">
        <f>5550+40.5+15</f>
        <v>5605.5</v>
      </c>
      <c r="V898" s="12">
        <f>-1443</f>
        <v>-1443</v>
      </c>
      <c r="W898" s="12">
        <f t="shared" si="264"/>
        <v>37864.5</v>
      </c>
      <c r="Y898" s="10">
        <v>7</v>
      </c>
      <c r="Z898" s="30" t="s">
        <v>88</v>
      </c>
      <c r="AA898" s="31">
        <f t="shared" si="269"/>
        <v>8523</v>
      </c>
      <c r="AB898" s="32">
        <f>650*50</f>
        <v>32500</v>
      </c>
      <c r="AC898" s="32"/>
      <c r="AD898" s="32"/>
      <c r="AE898" s="32">
        <f t="shared" si="265"/>
        <v>32500</v>
      </c>
      <c r="AF898" s="12"/>
      <c r="AG898" s="58"/>
      <c r="AH898" s="12">
        <v>-7992</v>
      </c>
      <c r="AI898" s="12">
        <f t="shared" si="266"/>
        <v>24508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31"/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88</v>
      </c>
      <c r="O899" s="31">
        <f t="shared" si="268"/>
        <v>8588</v>
      </c>
      <c r="P899" s="32">
        <f>650*5+9.5*5</f>
        <v>3297.5</v>
      </c>
      <c r="Q899" s="32"/>
      <c r="R899" s="32"/>
      <c r="S899" s="32">
        <f t="shared" si="263"/>
        <v>3297.5</v>
      </c>
      <c r="T899" s="12"/>
      <c r="U899" s="12"/>
      <c r="V899" s="12"/>
      <c r="W899" s="12">
        <f t="shared" si="264"/>
        <v>3297.5</v>
      </c>
      <c r="Y899" s="10">
        <v>8</v>
      </c>
      <c r="Z899" s="30" t="s">
        <v>88</v>
      </c>
      <c r="AA899" s="31">
        <f t="shared" si="269"/>
        <v>8524</v>
      </c>
      <c r="AB899" s="32">
        <f>650*20+622*5</f>
        <v>16110</v>
      </c>
      <c r="AC899" s="32"/>
      <c r="AE899" s="32">
        <f t="shared" si="265"/>
        <v>16110</v>
      </c>
      <c r="AF899" s="12"/>
      <c r="AG899" s="12"/>
      <c r="AH899" s="12"/>
      <c r="AI899" s="12">
        <f t="shared" si="266"/>
        <v>16110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88</v>
      </c>
      <c r="O900" s="31">
        <f t="shared" si="268"/>
        <v>8589</v>
      </c>
      <c r="P900" s="32">
        <f>14950+229</f>
        <v>15179</v>
      </c>
      <c r="Q900" s="32"/>
      <c r="R900" s="32"/>
      <c r="S900" s="32">
        <f t="shared" si="263"/>
        <v>15179</v>
      </c>
      <c r="T900" s="12"/>
      <c r="U900" s="12">
        <v>78</v>
      </c>
      <c r="V900" s="12"/>
      <c r="W900" s="12">
        <f t="shared" si="264"/>
        <v>15257</v>
      </c>
      <c r="Y900" s="10">
        <v>9</v>
      </c>
      <c r="Z900" s="30" t="s">
        <v>88</v>
      </c>
      <c r="AA900" s="31">
        <f t="shared" si="269"/>
        <v>8525</v>
      </c>
      <c r="AB900" s="32">
        <f>650*3+500</f>
        <v>2450</v>
      </c>
      <c r="AC900" s="32"/>
      <c r="AD900" s="32"/>
      <c r="AE900" s="32">
        <f t="shared" si="265"/>
        <v>2450</v>
      </c>
      <c r="AF900" s="12"/>
      <c r="AH900" s="12"/>
      <c r="AI900" s="12">
        <f t="shared" si="266"/>
        <v>2450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/>
      <c r="O901" s="11" t="s">
        <v>27</v>
      </c>
      <c r="P901" s="32"/>
      <c r="Q901" s="32"/>
      <c r="R901" s="32"/>
      <c r="S901" s="32">
        <f t="shared" si="263"/>
        <v>0</v>
      </c>
      <c r="T901" s="12"/>
      <c r="U901" s="12"/>
      <c r="V901" s="12"/>
      <c r="W901" s="12">
        <f t="shared" si="264"/>
        <v>0</v>
      </c>
      <c r="Y901" s="10">
        <v>10</v>
      </c>
      <c r="Z901" s="30" t="s">
        <v>88</v>
      </c>
      <c r="AA901" s="31">
        <f t="shared" si="269"/>
        <v>8526</v>
      </c>
      <c r="AB901" s="32">
        <f>622*5</f>
        <v>3110</v>
      </c>
      <c r="AC901" s="32"/>
      <c r="AD901" s="32"/>
      <c r="AE901" s="32">
        <f t="shared" si="265"/>
        <v>3110</v>
      </c>
      <c r="AF901" s="12"/>
      <c r="AG901" s="12"/>
      <c r="AH901" s="12"/>
      <c r="AI901" s="12">
        <f t="shared" si="266"/>
        <v>3110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/>
      <c r="O902" s="31"/>
      <c r="P902" s="32"/>
      <c r="Q902" s="32"/>
      <c r="R902" s="32"/>
      <c r="S902" s="32">
        <f t="shared" si="263"/>
        <v>0</v>
      </c>
      <c r="T902" s="12"/>
      <c r="U902" s="12"/>
      <c r="V902" s="12"/>
      <c r="W902" s="12">
        <f t="shared" si="264"/>
        <v>0</v>
      </c>
      <c r="Y902" s="10">
        <v>11</v>
      </c>
      <c r="Z902" s="30"/>
      <c r="AA902" s="11" t="s">
        <v>27</v>
      </c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/>
      <c r="O903" s="31"/>
      <c r="P903" s="32"/>
      <c r="Q903" s="32"/>
      <c r="R903" s="32"/>
      <c r="S903" s="32">
        <f t="shared" si="263"/>
        <v>0</v>
      </c>
      <c r="T903" s="12"/>
      <c r="U903" s="12"/>
      <c r="V903" s="12"/>
      <c r="W903" s="12">
        <f t="shared" si="26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/>
      <c r="O904" s="31"/>
      <c r="P904" s="32"/>
      <c r="Q904" s="32"/>
      <c r="R904" s="32"/>
      <c r="S904" s="32">
        <f t="shared" si="263"/>
        <v>0</v>
      </c>
      <c r="T904" s="12"/>
      <c r="U904" s="12"/>
      <c r="V904" s="12"/>
      <c r="W904" s="12">
        <f t="shared" si="264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/>
      <c r="O905" s="31"/>
      <c r="P905" s="32"/>
      <c r="Q905" s="32"/>
      <c r="R905" s="32"/>
      <c r="S905" s="32">
        <f t="shared" si="263"/>
        <v>0</v>
      </c>
      <c r="T905" s="12"/>
      <c r="U905" s="12"/>
      <c r="V905" s="12"/>
      <c r="W905" s="12">
        <f t="shared" si="26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/>
      <c r="O906" s="31"/>
      <c r="P906" s="32"/>
      <c r="Q906" s="32"/>
      <c r="R906" s="32"/>
      <c r="S906" s="32">
        <f t="shared" si="263"/>
        <v>0</v>
      </c>
      <c r="T906" s="12"/>
      <c r="U906" s="12"/>
      <c r="V906" s="12"/>
      <c r="W906" s="12">
        <f t="shared" si="26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/>
      <c r="O907" s="31"/>
      <c r="P907" s="32"/>
      <c r="Q907" s="32"/>
      <c r="R907" s="32"/>
      <c r="S907" s="32">
        <f t="shared" si="263"/>
        <v>0</v>
      </c>
      <c r="T907" s="12"/>
      <c r="U907" s="12"/>
      <c r="V907" s="12"/>
      <c r="W907" s="12">
        <f t="shared" si="264"/>
        <v>0</v>
      </c>
      <c r="Y907" s="10">
        <v>16</v>
      </c>
      <c r="Z907" s="30"/>
      <c r="AA907" s="31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/>
      <c r="O908" s="31"/>
      <c r="P908" s="35"/>
      <c r="Q908" s="32"/>
      <c r="R908" s="32"/>
      <c r="S908" s="32">
        <f t="shared" si="263"/>
        <v>0</v>
      </c>
      <c r="T908" s="12"/>
      <c r="U908" s="12"/>
      <c r="V908" s="12"/>
      <c r="W908" s="12">
        <f t="shared" si="26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/>
      <c r="O909" s="31"/>
      <c r="P909" s="32"/>
      <c r="Q909" s="32"/>
      <c r="R909" s="32"/>
      <c r="S909" s="32">
        <f t="shared" si="263"/>
        <v>0</v>
      </c>
      <c r="T909" s="12"/>
      <c r="U909" s="12"/>
      <c r="V909" s="12"/>
      <c r="W909" s="12">
        <f t="shared" si="264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/>
      <c r="O910" s="31"/>
      <c r="P910" s="32"/>
      <c r="Q910" s="32"/>
      <c r="R910" s="32"/>
      <c r="S910" s="32">
        <f t="shared" si="263"/>
        <v>0</v>
      </c>
      <c r="T910" s="12"/>
      <c r="U910" s="12"/>
      <c r="V910" s="12"/>
      <c r="W910" s="12">
        <f t="shared" si="26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/>
      <c r="O911" s="31"/>
      <c r="P911" s="32"/>
      <c r="Q911" s="32"/>
      <c r="R911" s="32"/>
      <c r="S911" s="32">
        <f t="shared" si="263"/>
        <v>0</v>
      </c>
      <c r="T911" s="12"/>
      <c r="U911" s="12"/>
      <c r="V911" s="12"/>
      <c r="W911" s="12">
        <f t="shared" si="26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Q914" s="31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B914" s="47"/>
      <c r="AC914" s="31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O916" s="31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O917" s="31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O921" s="31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8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57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O923" s="31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8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8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si="263"/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70">SUM(AB925:AC925)</f>
        <v>0</v>
      </c>
      <c r="AF925" s="10"/>
      <c r="AG925" s="10"/>
      <c r="AH925" s="10"/>
      <c r="AI925" s="12">
        <f t="shared" si="26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8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3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70"/>
        <v>0</v>
      </c>
      <c r="AF926" s="10"/>
      <c r="AG926" s="10"/>
      <c r="AH926" s="10"/>
      <c r="AI926" s="12">
        <f t="shared" si="26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8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3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70"/>
        <v>0</v>
      </c>
      <c r="AF927" s="10"/>
      <c r="AG927" s="10"/>
      <c r="AH927" s="10"/>
      <c r="AI927" s="12">
        <f t="shared" si="26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3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70"/>
        <v>0</v>
      </c>
      <c r="AF928" s="10"/>
      <c r="AG928" s="10"/>
      <c r="AH928" s="10"/>
      <c r="AI928" s="12">
        <f t="shared" si="26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3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70"/>
        <v>0</v>
      </c>
      <c r="AF929" s="10"/>
      <c r="AG929" s="10"/>
      <c r="AH929" s="10"/>
      <c r="AI929" s="12">
        <f t="shared" si="26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3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70"/>
        <v>0</v>
      </c>
      <c r="AF930" s="10"/>
      <c r="AG930" s="10"/>
      <c r="AH930" s="10"/>
      <c r="AI930" s="12">
        <f t="shared" si="26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1">SUM(D932:E932)</f>
        <v>0</v>
      </c>
      <c r="H932" s="10"/>
      <c r="I932" s="10"/>
      <c r="J932" s="10"/>
      <c r="K932" s="12">
        <f t="shared" ref="K932" si="272">SUM(G932:J932)</f>
        <v>0</v>
      </c>
      <c r="M932" s="10"/>
      <c r="N932" s="30"/>
      <c r="O932" s="31"/>
      <c r="P932" s="47"/>
      <c r="Q932" s="31"/>
      <c r="R932" s="31"/>
      <c r="S932" s="32">
        <f t="shared" ref="S932" si="273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4">SUM(AB932:AC932)</f>
        <v>0</v>
      </c>
      <c r="AF932" s="10"/>
      <c r="AG932" s="10"/>
      <c r="AH932" s="10"/>
      <c r="AI932" s="12">
        <f t="shared" si="26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425228</v>
      </c>
      <c r="E935" s="38">
        <f t="shared" ref="E935:F935" si="275">SUM(E892:E932)</f>
        <v>-2802</v>
      </c>
      <c r="F935" s="38">
        <f t="shared" si="275"/>
        <v>0</v>
      </c>
      <c r="G935" s="38">
        <f>SUM(G892:G934)</f>
        <v>422426</v>
      </c>
      <c r="H935" s="4"/>
      <c r="I935" s="39">
        <f>SUM(I892:I934)</f>
        <v>162</v>
      </c>
      <c r="J935" s="39">
        <f>SUM(J892:J934)</f>
        <v>-44739</v>
      </c>
      <c r="K935" s="40">
        <f>SUM(K892:K934)</f>
        <v>377849</v>
      </c>
      <c r="N935" s="57"/>
      <c r="O935" s="57"/>
      <c r="P935" s="38">
        <f>SUM(P892:P934)</f>
        <v>240669.5</v>
      </c>
      <c r="Q935" s="38">
        <f>SUM(Q892:Q916)</f>
        <v>-1248</v>
      </c>
      <c r="R935" s="38">
        <f>SUM(R892:R916)</f>
        <v>0</v>
      </c>
      <c r="S935" s="38">
        <f>SUM(S892:S934)</f>
        <v>239421.5</v>
      </c>
      <c r="T935" s="4"/>
      <c r="U935" s="41">
        <f>SUM(U892:U934)</f>
        <v>6162</v>
      </c>
      <c r="V935" s="41">
        <f>SUM(V892:V916)</f>
        <v>-1443</v>
      </c>
      <c r="W935" s="42">
        <f>SUM(W892:W934)</f>
        <v>244140.5</v>
      </c>
      <c r="Z935" s="57"/>
      <c r="AA935" s="57"/>
      <c r="AB935" s="38">
        <f>SUM(AB892:AB934)</f>
        <v>353642</v>
      </c>
      <c r="AC935" s="38">
        <f>SUM(AC892:AC916)</f>
        <v>-2478</v>
      </c>
      <c r="AD935" s="38">
        <f>SUM(AD892:AD916)</f>
        <v>0</v>
      </c>
      <c r="AE935" s="38">
        <f>SUM(AE892:AE934)</f>
        <v>351164</v>
      </c>
      <c r="AF935" s="4"/>
      <c r="AG935" s="41">
        <f>SUM(AG892:AG934)</f>
        <v>2031</v>
      </c>
      <c r="AH935" s="41">
        <f>SUM(AH892:AH916)</f>
        <v>-7992</v>
      </c>
      <c r="AI935" s="42">
        <f>SUM(AI892:AI934)</f>
        <v>345203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56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56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56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90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90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82</v>
      </c>
      <c r="W943" s="24"/>
      <c r="Y943" s="21" t="s">
        <v>90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5" t="s">
        <v>17</v>
      </c>
      <c r="E945" s="125"/>
      <c r="F945" s="110"/>
      <c r="G945" s="27"/>
      <c r="I945" s="123" t="s">
        <v>18</v>
      </c>
      <c r="J945" s="124"/>
      <c r="K945" s="121" t="s">
        <v>19</v>
      </c>
      <c r="N945" s="25"/>
      <c r="O945" s="26"/>
      <c r="P945" s="125" t="s">
        <v>17</v>
      </c>
      <c r="Q945" s="125"/>
      <c r="R945" s="110"/>
      <c r="S945" s="27"/>
      <c r="U945" s="123" t="s">
        <v>18</v>
      </c>
      <c r="V945" s="124"/>
      <c r="W945" s="121" t="s">
        <v>19</v>
      </c>
      <c r="Z945" s="25"/>
      <c r="AA945" s="26"/>
      <c r="AB945" s="125" t="s">
        <v>17</v>
      </c>
      <c r="AC945" s="125"/>
      <c r="AD945" s="110"/>
      <c r="AE945" s="27"/>
      <c r="AG945" s="123" t="s">
        <v>18</v>
      </c>
      <c r="AH945" s="124"/>
      <c r="AI945" s="121" t="s">
        <v>19</v>
      </c>
      <c r="AK945" s="62"/>
      <c r="AL945" s="65"/>
      <c r="AM945" s="87"/>
      <c r="AN945" s="127"/>
      <c r="AO945" s="127"/>
      <c r="AP945" s="87"/>
      <c r="AQ945" s="84"/>
      <c r="AR945" s="62"/>
      <c r="AS945" s="127"/>
      <c r="AT945" s="127"/>
      <c r="AU945" s="126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22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22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2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6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91</v>
      </c>
      <c r="C947" s="88">
        <v>8640</v>
      </c>
      <c r="D947" s="32">
        <f>647*650+622*50+229*20</f>
        <v>456230</v>
      </c>
      <c r="E947" s="32">
        <v>-4182</v>
      </c>
      <c r="F947" s="32"/>
      <c r="G947" s="32">
        <f t="shared" ref="G947:G980" si="276">SUM(D947:E947)</f>
        <v>452048</v>
      </c>
      <c r="H947" s="12"/>
      <c r="I947" s="12">
        <f>1404</f>
        <v>1404</v>
      </c>
      <c r="J947" s="12">
        <f>-6771+-1008+-756</f>
        <v>-8535</v>
      </c>
      <c r="K947" s="12">
        <f t="shared" ref="K947:K980" si="277">SUM(G947:J947)</f>
        <v>444917</v>
      </c>
      <c r="M947" s="10">
        <v>1</v>
      </c>
      <c r="N947" s="30" t="s">
        <v>91</v>
      </c>
      <c r="O947" s="31">
        <v>8590</v>
      </c>
      <c r="P947" s="32">
        <f>650*4+670+9.5*4</f>
        <v>3308</v>
      </c>
      <c r="Q947" s="32"/>
      <c r="R947" s="32"/>
      <c r="S947" s="32">
        <f>SUM(P947:Q947)</f>
        <v>3308</v>
      </c>
      <c r="T947" s="12"/>
      <c r="U947" s="12"/>
      <c r="V947" s="12"/>
      <c r="W947" s="12">
        <f>SUM(S947:V947)</f>
        <v>3308</v>
      </c>
      <c r="Y947" s="10">
        <v>1</v>
      </c>
      <c r="Z947" s="30" t="s">
        <v>91</v>
      </c>
      <c r="AA947" s="31">
        <v>8527</v>
      </c>
      <c r="AB947" s="32">
        <f>650*324+622*80+229*17+500*3</f>
        <v>265753</v>
      </c>
      <c r="AC947" s="32">
        <v>-2424</v>
      </c>
      <c r="AD947" s="32"/>
      <c r="AE947" s="32">
        <f>SUM(AB947:AC947)</f>
        <v>263329</v>
      </c>
      <c r="AF947" s="12"/>
      <c r="AG947" s="12"/>
      <c r="AH947" s="12"/>
      <c r="AI947" s="12">
        <f>SUM(AE947:AH947)</f>
        <v>263329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91</v>
      </c>
      <c r="C948" s="31">
        <f>C947+1</f>
        <v>8641</v>
      </c>
      <c r="D948" s="32">
        <f>650*15+670*2+622*2+9.5*17</f>
        <v>12495.5</v>
      </c>
      <c r="E948" s="32"/>
      <c r="F948" s="32"/>
      <c r="G948" s="32">
        <f t="shared" si="276"/>
        <v>12495.5</v>
      </c>
      <c r="H948" s="12"/>
      <c r="I948" s="12"/>
      <c r="J948" s="12">
        <v>-1332</v>
      </c>
      <c r="K948" s="12">
        <f t="shared" si="277"/>
        <v>11163.5</v>
      </c>
      <c r="M948" s="10">
        <v>2</v>
      </c>
      <c r="N948" s="30" t="s">
        <v>91</v>
      </c>
      <c r="O948" s="31">
        <f>O947+1</f>
        <v>8591</v>
      </c>
      <c r="P948" s="32">
        <f>650*2+670+2*9.5</f>
        <v>1989</v>
      </c>
      <c r="Q948" s="32"/>
      <c r="R948" s="32"/>
      <c r="S948" s="32">
        <f t="shared" ref="S948:S985" si="278">SUM(P948:Q948)</f>
        <v>1989</v>
      </c>
      <c r="T948" s="12"/>
      <c r="U948" s="12"/>
      <c r="V948" s="12"/>
      <c r="W948" s="12">
        <f t="shared" ref="W948:W988" si="279">SUM(S948:V948)</f>
        <v>1989</v>
      </c>
      <c r="Y948" s="10">
        <v>2</v>
      </c>
      <c r="Z948" s="30" t="s">
        <v>91</v>
      </c>
      <c r="AA948" s="31">
        <f>AA947+1</f>
        <v>8528</v>
      </c>
      <c r="AB948" s="32">
        <f>650*216+229*9</f>
        <v>142461</v>
      </c>
      <c r="AC948" s="32">
        <v>-1296</v>
      </c>
      <c r="AD948" s="32"/>
      <c r="AE948" s="32">
        <f t="shared" ref="AE948:AE979" si="280">SUM(AB948:AC948)</f>
        <v>141165</v>
      </c>
      <c r="AF948" s="12"/>
      <c r="AG948" s="12"/>
      <c r="AH948" s="12"/>
      <c r="AI948" s="12">
        <f t="shared" ref="AI948:AI988" si="281">SUM(AE948:AH948)</f>
        <v>141165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91</v>
      </c>
      <c r="C949" s="31">
        <f t="shared" ref="C949" si="282">C948+1</f>
        <v>8642</v>
      </c>
      <c r="D949" s="33">
        <f>500</f>
        <v>500</v>
      </c>
      <c r="E949" s="33"/>
      <c r="F949" s="33"/>
      <c r="G949" s="33">
        <f t="shared" si="276"/>
        <v>500</v>
      </c>
      <c r="H949" s="34"/>
      <c r="I949" s="34"/>
      <c r="J949" s="34"/>
      <c r="K949" s="34">
        <f t="shared" si="277"/>
        <v>500</v>
      </c>
      <c r="M949" s="10">
        <v>3</v>
      </c>
      <c r="N949" s="30" t="s">
        <v>91</v>
      </c>
      <c r="O949" s="31">
        <f t="shared" ref="O949:O951" si="283">O948+1</f>
        <v>8592</v>
      </c>
      <c r="P949" s="32">
        <f>650+9.5</f>
        <v>659.5</v>
      </c>
      <c r="Q949" s="32"/>
      <c r="R949" s="32"/>
      <c r="S949" s="32">
        <f t="shared" si="278"/>
        <v>659.5</v>
      </c>
      <c r="T949" s="12"/>
      <c r="U949" s="12"/>
      <c r="V949" s="12"/>
      <c r="W949" s="12">
        <f t="shared" si="279"/>
        <v>659.5</v>
      </c>
      <c r="Y949" s="10">
        <v>3</v>
      </c>
      <c r="Z949" s="30" t="s">
        <v>91</v>
      </c>
      <c r="AA949" s="31">
        <f t="shared" ref="AA949" si="284">AA948+1</f>
        <v>8529</v>
      </c>
      <c r="AB949" s="33">
        <f>650*47+670*2+622+9.5*44</f>
        <v>32930</v>
      </c>
      <c r="AC949" s="33">
        <v>-300</v>
      </c>
      <c r="AD949" s="32"/>
      <c r="AE949" s="32">
        <f t="shared" si="280"/>
        <v>32630</v>
      </c>
      <c r="AF949" s="12"/>
      <c r="AG949" s="12"/>
      <c r="AH949" s="12">
        <v>-2220</v>
      </c>
      <c r="AI949" s="12">
        <f t="shared" si="281"/>
        <v>30410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76"/>
        <v>0</v>
      </c>
      <c r="H950" s="12"/>
      <c r="I950" s="12"/>
      <c r="J950" s="12"/>
      <c r="K950" s="12">
        <f t="shared" si="277"/>
        <v>0</v>
      </c>
      <c r="M950" s="10">
        <v>4</v>
      </c>
      <c r="N950" s="30" t="s">
        <v>91</v>
      </c>
      <c r="O950" s="31">
        <f t="shared" si="283"/>
        <v>8593</v>
      </c>
      <c r="P950" s="32">
        <f>650*324+229*11</f>
        <v>213119</v>
      </c>
      <c r="Q950" s="32">
        <v>-1944</v>
      </c>
      <c r="R950" s="32"/>
      <c r="S950" s="32">
        <f t="shared" si="278"/>
        <v>211175</v>
      </c>
      <c r="T950" s="12"/>
      <c r="U950" s="12">
        <v>396</v>
      </c>
      <c r="V950" s="12"/>
      <c r="W950" s="12">
        <f t="shared" si="279"/>
        <v>211571</v>
      </c>
      <c r="Y950" s="10">
        <v>4</v>
      </c>
      <c r="Z950" s="30"/>
      <c r="AA950" s="11" t="s">
        <v>27</v>
      </c>
      <c r="AB950" s="32"/>
      <c r="AC950" s="32"/>
      <c r="AD950" s="32"/>
      <c r="AE950" s="32">
        <f t="shared" si="280"/>
        <v>0</v>
      </c>
      <c r="AF950" s="12"/>
      <c r="AH950" s="12"/>
      <c r="AI950" s="12">
        <f t="shared" si="281"/>
        <v>0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76"/>
        <v>0</v>
      </c>
      <c r="H951" s="12"/>
      <c r="I951" s="12"/>
      <c r="J951" s="12"/>
      <c r="K951" s="12">
        <f t="shared" si="277"/>
        <v>0</v>
      </c>
      <c r="M951" s="10">
        <v>5</v>
      </c>
      <c r="N951" s="30" t="s">
        <v>91</v>
      </c>
      <c r="O951" s="31">
        <f t="shared" si="283"/>
        <v>8594</v>
      </c>
      <c r="P951" s="32">
        <f>32*650+622*15+9.5*12</f>
        <v>30244</v>
      </c>
      <c r="Q951" s="32"/>
      <c r="R951" s="32"/>
      <c r="S951" s="32">
        <f t="shared" si="278"/>
        <v>30244</v>
      </c>
      <c r="T951" s="12"/>
      <c r="U951" s="12"/>
      <c r="V951" s="12">
        <f>-4.5+-1221</f>
        <v>-1225.5</v>
      </c>
      <c r="W951" s="12">
        <f t="shared" si="279"/>
        <v>29018.5</v>
      </c>
      <c r="Y951" s="10">
        <v>5</v>
      </c>
      <c r="Z951" s="30"/>
      <c r="AA951" s="31"/>
      <c r="AB951" s="32"/>
      <c r="AC951" s="32"/>
      <c r="AD951" s="32"/>
      <c r="AE951" s="32">
        <f t="shared" si="280"/>
        <v>0</v>
      </c>
      <c r="AF951" s="12"/>
      <c r="AG951" s="12"/>
      <c r="AH951" s="12"/>
      <c r="AI951" s="12">
        <f t="shared" si="281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76"/>
        <v>0</v>
      </c>
      <c r="H952" s="12"/>
      <c r="I952" s="12"/>
      <c r="J952" s="12"/>
      <c r="K952" s="12">
        <f t="shared" si="277"/>
        <v>0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8"/>
        <v>0</v>
      </c>
      <c r="T952" s="12"/>
      <c r="U952" s="12"/>
      <c r="V952" s="10"/>
      <c r="W952" s="12">
        <f t="shared" si="279"/>
        <v>0</v>
      </c>
      <c r="Y952" s="10">
        <v>6</v>
      </c>
      <c r="Z952" s="30"/>
      <c r="AA952" s="31"/>
      <c r="AB952" s="32"/>
      <c r="AC952" s="32"/>
      <c r="AD952" s="32"/>
      <c r="AE952" s="32">
        <f t="shared" si="280"/>
        <v>0</v>
      </c>
      <c r="AF952" s="12"/>
      <c r="AG952" s="12"/>
      <c r="AH952" s="10"/>
      <c r="AI952" s="12">
        <f t="shared" si="281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76"/>
        <v>0</v>
      </c>
      <c r="H953" s="12"/>
      <c r="I953" s="12"/>
      <c r="J953" s="12"/>
      <c r="K953" s="12">
        <f t="shared" si="277"/>
        <v>0</v>
      </c>
      <c r="M953" s="10">
        <v>7</v>
      </c>
      <c r="N953" s="30"/>
      <c r="O953" s="31"/>
      <c r="P953" s="32"/>
      <c r="Q953" s="32"/>
      <c r="R953" s="32"/>
      <c r="S953" s="32">
        <f t="shared" si="278"/>
        <v>0</v>
      </c>
      <c r="T953" s="12"/>
      <c r="U953" s="12"/>
      <c r="V953" s="12"/>
      <c r="W953" s="12">
        <f t="shared" si="279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0"/>
        <v>0</v>
      </c>
      <c r="AF953" s="12"/>
      <c r="AG953" s="58"/>
      <c r="AH953" s="12"/>
      <c r="AI953" s="12">
        <f t="shared" si="281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76"/>
        <v>0</v>
      </c>
      <c r="H954" s="12"/>
      <c r="I954" s="12"/>
      <c r="J954" s="12"/>
      <c r="K954" s="12">
        <f t="shared" si="277"/>
        <v>0</v>
      </c>
      <c r="M954" s="10">
        <v>8</v>
      </c>
      <c r="N954" s="30"/>
      <c r="O954" s="31"/>
      <c r="P954" s="32"/>
      <c r="Q954" s="32"/>
      <c r="R954" s="32"/>
      <c r="S954" s="32">
        <f t="shared" si="278"/>
        <v>0</v>
      </c>
      <c r="T954" s="12"/>
      <c r="U954" s="12"/>
      <c r="V954" s="12"/>
      <c r="W954" s="12">
        <f t="shared" si="279"/>
        <v>0</v>
      </c>
      <c r="Y954" s="10">
        <v>8</v>
      </c>
      <c r="Z954" s="30"/>
      <c r="AA954" s="31"/>
      <c r="AB954" s="32"/>
      <c r="AC954" s="32"/>
      <c r="AE954" s="32">
        <f t="shared" si="280"/>
        <v>0</v>
      </c>
      <c r="AF954" s="12"/>
      <c r="AG954" s="12"/>
      <c r="AH954" s="12"/>
      <c r="AI954" s="12">
        <f t="shared" si="281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76"/>
        <v>0</v>
      </c>
      <c r="H955" s="12"/>
      <c r="I955" s="12"/>
      <c r="J955" s="12"/>
      <c r="K955" s="12">
        <f t="shared" si="277"/>
        <v>0</v>
      </c>
      <c r="M955" s="10">
        <v>9</v>
      </c>
      <c r="N955" s="30"/>
      <c r="O955" s="31"/>
      <c r="P955" s="32"/>
      <c r="Q955" s="32"/>
      <c r="R955" s="32"/>
      <c r="S955" s="32">
        <f t="shared" si="278"/>
        <v>0</v>
      </c>
      <c r="T955" s="12"/>
      <c r="U955" s="12"/>
      <c r="V955" s="12"/>
      <c r="W955" s="12">
        <f t="shared" si="279"/>
        <v>0</v>
      </c>
      <c r="Y955" s="10">
        <v>9</v>
      </c>
      <c r="Z955" s="30"/>
      <c r="AA955" s="31"/>
      <c r="AB955" s="32"/>
      <c r="AC955" s="32"/>
      <c r="AD955" s="32"/>
      <c r="AE955" s="32">
        <f t="shared" si="280"/>
        <v>0</v>
      </c>
      <c r="AF955" s="12"/>
      <c r="AH955" s="12"/>
      <c r="AI955" s="12">
        <f t="shared" si="281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76"/>
        <v>0</v>
      </c>
      <c r="H956" s="12"/>
      <c r="I956" s="12"/>
      <c r="J956" s="12"/>
      <c r="K956" s="12">
        <f t="shared" si="277"/>
        <v>0</v>
      </c>
      <c r="M956" s="10">
        <v>10</v>
      </c>
      <c r="N956" s="30"/>
      <c r="P956" s="32"/>
      <c r="Q956" s="32"/>
      <c r="R956" s="32"/>
      <c r="S956" s="32">
        <f t="shared" si="278"/>
        <v>0</v>
      </c>
      <c r="T956" s="12"/>
      <c r="U956" s="12"/>
      <c r="V956" s="12"/>
      <c r="W956" s="12">
        <f t="shared" si="279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0"/>
        <v>0</v>
      </c>
      <c r="AF956" s="12"/>
      <c r="AG956" s="12"/>
      <c r="AH956" s="12"/>
      <c r="AI956" s="12">
        <f t="shared" si="281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D957" s="32"/>
      <c r="E957" s="32"/>
      <c r="F957" s="32"/>
      <c r="G957" s="32">
        <f t="shared" si="276"/>
        <v>0</v>
      </c>
      <c r="H957" s="12"/>
      <c r="I957" s="12"/>
      <c r="J957" s="12"/>
      <c r="K957" s="12">
        <f t="shared" si="277"/>
        <v>0</v>
      </c>
      <c r="M957" s="10">
        <v>11</v>
      </c>
      <c r="N957" s="30"/>
      <c r="O957" s="31"/>
      <c r="P957" s="32"/>
      <c r="Q957" s="32"/>
      <c r="R957" s="32"/>
      <c r="S957" s="32">
        <f t="shared" si="278"/>
        <v>0</v>
      </c>
      <c r="T957" s="12"/>
      <c r="U957" s="12"/>
      <c r="V957" s="12"/>
      <c r="W957" s="12">
        <f t="shared" si="279"/>
        <v>0</v>
      </c>
      <c r="Y957" s="10">
        <v>11</v>
      </c>
      <c r="Z957" s="30"/>
      <c r="AB957" s="32"/>
      <c r="AC957" s="32"/>
      <c r="AD957" s="32"/>
      <c r="AE957" s="32">
        <f t="shared" si="280"/>
        <v>0</v>
      </c>
      <c r="AF957" s="12"/>
      <c r="AG957" s="12"/>
      <c r="AH957" s="12"/>
      <c r="AI957" s="12">
        <f t="shared" si="281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76"/>
        <v>0</v>
      </c>
      <c r="H958" s="12"/>
      <c r="I958" s="12"/>
      <c r="J958" s="10"/>
      <c r="K958" s="12">
        <f t="shared" si="277"/>
        <v>0</v>
      </c>
      <c r="M958" s="10">
        <v>12</v>
      </c>
      <c r="N958" s="30"/>
      <c r="O958" s="31"/>
      <c r="P958" s="32"/>
      <c r="Q958" s="32"/>
      <c r="R958" s="32"/>
      <c r="S958" s="32">
        <f t="shared" si="278"/>
        <v>0</v>
      </c>
      <c r="T958" s="12"/>
      <c r="U958" s="12"/>
      <c r="V958" s="12"/>
      <c r="W958" s="12">
        <f t="shared" si="279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0"/>
        <v>0</v>
      </c>
      <c r="AF958" s="12"/>
      <c r="AG958" s="12"/>
      <c r="AH958" s="12"/>
      <c r="AI958" s="12">
        <f t="shared" si="281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76"/>
        <v>0</v>
      </c>
      <c r="H959" s="12"/>
      <c r="I959" s="12"/>
      <c r="J959" s="12"/>
      <c r="K959" s="12">
        <f t="shared" si="277"/>
        <v>0</v>
      </c>
      <c r="M959" s="10">
        <v>13</v>
      </c>
      <c r="N959" s="30"/>
      <c r="O959" s="31"/>
      <c r="P959" s="32"/>
      <c r="Q959" s="32"/>
      <c r="R959" s="32"/>
      <c r="S959" s="32">
        <f t="shared" si="278"/>
        <v>0</v>
      </c>
      <c r="T959" s="12"/>
      <c r="U959" s="12"/>
      <c r="V959" s="12"/>
      <c r="W959" s="12">
        <f t="shared" si="279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0"/>
        <v>0</v>
      </c>
      <c r="AF959" s="12"/>
      <c r="AG959" s="12"/>
      <c r="AH959" s="12"/>
      <c r="AI959" s="12">
        <f t="shared" si="281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76"/>
        <v>0</v>
      </c>
      <c r="H960" s="12"/>
      <c r="I960" s="12"/>
      <c r="J960" s="12"/>
      <c r="K960" s="12">
        <f t="shared" si="277"/>
        <v>0</v>
      </c>
      <c r="M960" s="10">
        <v>14</v>
      </c>
      <c r="N960" s="30"/>
      <c r="O960" s="31"/>
      <c r="P960" s="32"/>
      <c r="Q960" s="32"/>
      <c r="R960" s="32"/>
      <c r="S960" s="32">
        <f t="shared" si="278"/>
        <v>0</v>
      </c>
      <c r="T960" s="12"/>
      <c r="U960" s="12"/>
      <c r="V960" s="12"/>
      <c r="W960" s="12">
        <f t="shared" si="279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0"/>
        <v>0</v>
      </c>
      <c r="AF960" s="12"/>
      <c r="AG960" s="12"/>
      <c r="AH960" s="12"/>
      <c r="AI960" s="12">
        <f t="shared" si="281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76"/>
        <v>0</v>
      </c>
      <c r="H961" s="12"/>
      <c r="I961" s="12"/>
      <c r="J961" s="12"/>
      <c r="K961" s="12">
        <f t="shared" si="277"/>
        <v>0</v>
      </c>
      <c r="M961" s="10">
        <v>15</v>
      </c>
      <c r="N961" s="30"/>
      <c r="O961" s="31"/>
      <c r="P961" s="32"/>
      <c r="Q961" s="32"/>
      <c r="R961" s="32"/>
      <c r="S961" s="32">
        <f t="shared" si="278"/>
        <v>0</v>
      </c>
      <c r="T961" s="12"/>
      <c r="U961" s="12"/>
      <c r="V961" s="12"/>
      <c r="W961" s="12">
        <f t="shared" si="279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0"/>
        <v>0</v>
      </c>
      <c r="AF961" s="12"/>
      <c r="AG961" s="12"/>
      <c r="AH961" s="12"/>
      <c r="AI961" s="12">
        <f t="shared" si="281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31"/>
      <c r="D962" s="32"/>
      <c r="E962" s="32"/>
      <c r="F962" s="32"/>
      <c r="G962" s="32">
        <f t="shared" si="276"/>
        <v>0</v>
      </c>
      <c r="H962" s="12"/>
      <c r="I962" s="12"/>
      <c r="J962" s="12"/>
      <c r="K962" s="12">
        <f t="shared" si="277"/>
        <v>0</v>
      </c>
      <c r="M962" s="10">
        <v>16</v>
      </c>
      <c r="N962" s="30"/>
      <c r="O962" s="31"/>
      <c r="P962" s="32"/>
      <c r="Q962" s="32"/>
      <c r="R962" s="32"/>
      <c r="S962" s="32">
        <f t="shared" si="278"/>
        <v>0</v>
      </c>
      <c r="T962" s="12"/>
      <c r="U962" s="12"/>
      <c r="V962" s="12"/>
      <c r="W962" s="12">
        <f t="shared" si="279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0"/>
        <v>0</v>
      </c>
      <c r="AF962" s="12"/>
      <c r="AG962" s="12"/>
      <c r="AH962" s="12"/>
      <c r="AI962" s="12">
        <f t="shared" si="281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76"/>
        <v>0</v>
      </c>
      <c r="H963" s="12"/>
      <c r="I963" s="12"/>
      <c r="J963" s="12"/>
      <c r="K963" s="12">
        <f t="shared" si="277"/>
        <v>0</v>
      </c>
      <c r="M963" s="10">
        <v>17</v>
      </c>
      <c r="N963" s="30"/>
      <c r="O963" s="31"/>
      <c r="P963" s="35"/>
      <c r="Q963" s="32"/>
      <c r="R963" s="32"/>
      <c r="S963" s="32">
        <f t="shared" si="278"/>
        <v>0</v>
      </c>
      <c r="T963" s="12"/>
      <c r="U963" s="12"/>
      <c r="V963" s="12"/>
      <c r="W963" s="12">
        <f t="shared" si="279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0"/>
        <v>0</v>
      </c>
      <c r="AF963" s="12"/>
      <c r="AG963" s="12"/>
      <c r="AH963" s="12"/>
      <c r="AI963" s="12">
        <f t="shared" si="281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76"/>
        <v>0</v>
      </c>
      <c r="H964" s="12"/>
      <c r="I964" s="12"/>
      <c r="J964" s="12"/>
      <c r="K964" s="12">
        <f t="shared" si="277"/>
        <v>0</v>
      </c>
      <c r="M964" s="10">
        <v>18</v>
      </c>
      <c r="N964" s="30"/>
      <c r="O964" s="31"/>
      <c r="P964" s="32"/>
      <c r="Q964" s="32"/>
      <c r="R964" s="32"/>
      <c r="S964" s="32">
        <f t="shared" si="278"/>
        <v>0</v>
      </c>
      <c r="T964" s="12"/>
      <c r="U964" s="12"/>
      <c r="V964" s="12"/>
      <c r="W964" s="12">
        <f t="shared" si="279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0"/>
        <v>0</v>
      </c>
      <c r="AF964" s="12"/>
      <c r="AG964" s="12"/>
      <c r="AH964" s="12"/>
      <c r="AI964" s="12">
        <f t="shared" si="281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76"/>
        <v>0</v>
      </c>
      <c r="H965" s="12"/>
      <c r="I965" s="12"/>
      <c r="J965" s="12"/>
      <c r="K965" s="12">
        <f t="shared" si="277"/>
        <v>0</v>
      </c>
      <c r="M965" s="10">
        <v>19</v>
      </c>
      <c r="N965" s="30"/>
      <c r="O965" s="31"/>
      <c r="P965" s="32"/>
      <c r="Q965" s="32"/>
      <c r="R965" s="32"/>
      <c r="S965" s="32">
        <f t="shared" si="278"/>
        <v>0</v>
      </c>
      <c r="T965" s="12"/>
      <c r="U965" s="12"/>
      <c r="V965" s="12"/>
      <c r="W965" s="12">
        <f t="shared" si="279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0"/>
        <v>0</v>
      </c>
      <c r="AF965" s="12"/>
      <c r="AG965" s="12"/>
      <c r="AH965" s="12"/>
      <c r="AI965" s="12">
        <f t="shared" si="281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76"/>
        <v>0</v>
      </c>
      <c r="H966" s="12"/>
      <c r="I966" s="12"/>
      <c r="J966" s="12"/>
      <c r="K966" s="12">
        <f t="shared" si="277"/>
        <v>0</v>
      </c>
      <c r="M966" s="10">
        <v>20</v>
      </c>
      <c r="N966" s="30"/>
      <c r="O966" s="31"/>
      <c r="P966" s="32"/>
      <c r="Q966" s="32"/>
      <c r="R966" s="32"/>
      <c r="S966" s="32">
        <f t="shared" si="278"/>
        <v>0</v>
      </c>
      <c r="T966" s="12"/>
      <c r="U966" s="12"/>
      <c r="V966" s="12"/>
      <c r="W966" s="12">
        <f t="shared" si="279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0"/>
        <v>0</v>
      </c>
      <c r="AF966" s="12"/>
      <c r="AG966" s="12"/>
      <c r="AH966" s="12"/>
      <c r="AI966" s="12">
        <f t="shared" si="281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76"/>
        <v>0</v>
      </c>
      <c r="H967" s="10"/>
      <c r="I967" s="10"/>
      <c r="J967" s="10"/>
      <c r="K967" s="12">
        <f t="shared" si="277"/>
        <v>0</v>
      </c>
      <c r="M967" s="10">
        <v>21</v>
      </c>
      <c r="N967" s="30"/>
      <c r="P967" s="46"/>
      <c r="Q967" s="31"/>
      <c r="R967" s="31"/>
      <c r="S967" s="32">
        <f t="shared" si="278"/>
        <v>0</v>
      </c>
      <c r="T967" s="10"/>
      <c r="U967" s="10"/>
      <c r="V967" s="10"/>
      <c r="W967" s="12">
        <f t="shared" si="279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0"/>
        <v>0</v>
      </c>
      <c r="AF967" s="10"/>
      <c r="AG967" s="10"/>
      <c r="AH967" s="10"/>
      <c r="AI967" s="12">
        <f t="shared" si="281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76"/>
        <v>0</v>
      </c>
      <c r="H968" s="10"/>
      <c r="I968" s="10"/>
      <c r="J968" s="10"/>
      <c r="K968" s="12">
        <f t="shared" si="277"/>
        <v>0</v>
      </c>
      <c r="M968" s="10">
        <v>22</v>
      </c>
      <c r="N968" s="30"/>
      <c r="O968" s="31"/>
      <c r="P968" s="45"/>
      <c r="Q968" s="31"/>
      <c r="R968" s="31"/>
      <c r="S968" s="32">
        <f t="shared" si="278"/>
        <v>0</v>
      </c>
      <c r="T968" s="10"/>
      <c r="U968" s="10"/>
      <c r="V968" s="10"/>
      <c r="W968" s="12">
        <f t="shared" si="279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0"/>
        <v>0</v>
      </c>
      <c r="AF968" s="10"/>
      <c r="AG968" s="10"/>
      <c r="AH968" s="10"/>
      <c r="AI968" s="12">
        <f t="shared" si="281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76"/>
        <v>0</v>
      </c>
      <c r="H969" s="10"/>
      <c r="I969" s="10"/>
      <c r="J969" s="12"/>
      <c r="K969" s="12">
        <f t="shared" si="277"/>
        <v>0</v>
      </c>
      <c r="M969" s="10">
        <v>23</v>
      </c>
      <c r="N969" s="30"/>
      <c r="O969" s="31"/>
      <c r="P969" s="47"/>
      <c r="Q969" s="31"/>
      <c r="S969" s="32">
        <f t="shared" si="278"/>
        <v>0</v>
      </c>
      <c r="T969" s="10"/>
      <c r="U969" s="10"/>
      <c r="V969" s="10"/>
      <c r="W969" s="12">
        <f t="shared" si="279"/>
        <v>0</v>
      </c>
      <c r="Y969" s="10">
        <v>23</v>
      </c>
      <c r="Z969" s="30"/>
      <c r="AB969" s="47"/>
      <c r="AC969" s="31"/>
      <c r="AE969" s="32">
        <f t="shared" si="280"/>
        <v>0</v>
      </c>
      <c r="AF969" s="10"/>
      <c r="AG969" s="10"/>
      <c r="AH969" s="10"/>
      <c r="AI969" s="12">
        <f t="shared" si="281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76"/>
        <v>0</v>
      </c>
      <c r="H970" s="10"/>
      <c r="I970" s="10"/>
      <c r="J970" s="10"/>
      <c r="K970" s="12">
        <f t="shared" si="277"/>
        <v>0</v>
      </c>
      <c r="M970" s="10">
        <v>24</v>
      </c>
      <c r="N970" s="30"/>
      <c r="O970" s="31"/>
      <c r="P970" s="47"/>
      <c r="Q970" s="31"/>
      <c r="R970" s="31"/>
      <c r="S970" s="32">
        <f t="shared" si="278"/>
        <v>0</v>
      </c>
      <c r="T970" s="10"/>
      <c r="U970" s="10"/>
      <c r="V970" s="10"/>
      <c r="W970" s="12">
        <f t="shared" si="279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0"/>
        <v>0</v>
      </c>
      <c r="AF970" s="10"/>
      <c r="AG970" s="10"/>
      <c r="AH970" s="10"/>
      <c r="AI970" s="12">
        <f t="shared" si="281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6"/>
        <v>0</v>
      </c>
      <c r="H971" s="10"/>
      <c r="I971" s="10"/>
      <c r="J971" s="10"/>
      <c r="K971" s="12">
        <f t="shared" si="277"/>
        <v>0</v>
      </c>
      <c r="M971" s="10">
        <v>25</v>
      </c>
      <c r="N971" s="30"/>
      <c r="O971" s="31"/>
      <c r="P971" s="47"/>
      <c r="Q971" s="31"/>
      <c r="R971" s="31"/>
      <c r="S971" s="32">
        <f t="shared" si="278"/>
        <v>0</v>
      </c>
      <c r="T971" s="10"/>
      <c r="U971" s="10"/>
      <c r="V971" s="10"/>
      <c r="W971" s="12">
        <f t="shared" si="279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0"/>
        <v>0</v>
      </c>
      <c r="AF971" s="10"/>
      <c r="AG971" s="10"/>
      <c r="AH971" s="10"/>
      <c r="AI971" s="12">
        <f t="shared" si="281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76"/>
        <v>0</v>
      </c>
      <c r="H972" s="10"/>
      <c r="I972" s="10"/>
      <c r="J972" s="10"/>
      <c r="K972" s="12">
        <f t="shared" si="277"/>
        <v>0</v>
      </c>
      <c r="M972" s="10">
        <v>26</v>
      </c>
      <c r="N972" s="30"/>
      <c r="O972" s="31"/>
      <c r="P972" s="47"/>
      <c r="Q972" s="31"/>
      <c r="R972" s="31"/>
      <c r="S972" s="32">
        <f t="shared" si="278"/>
        <v>0</v>
      </c>
      <c r="T972" s="10"/>
      <c r="U972" s="10"/>
      <c r="V972" s="10"/>
      <c r="W972" s="12">
        <f t="shared" si="279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0"/>
        <v>0</v>
      </c>
      <c r="AF972" s="10"/>
      <c r="AG972" s="10"/>
      <c r="AH972" s="10"/>
      <c r="AI972" s="12">
        <f t="shared" si="281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76"/>
        <v>0</v>
      </c>
      <c r="H973" s="10"/>
      <c r="I973" s="10"/>
      <c r="J973" s="10"/>
      <c r="K973" s="12">
        <f t="shared" si="277"/>
        <v>0</v>
      </c>
      <c r="M973" s="10">
        <v>27</v>
      </c>
      <c r="N973" s="30"/>
      <c r="O973" s="31"/>
      <c r="P973" s="47"/>
      <c r="Q973" s="31"/>
      <c r="R973" s="31"/>
      <c r="S973" s="32">
        <f t="shared" si="278"/>
        <v>0</v>
      </c>
      <c r="T973" s="10"/>
      <c r="U973" s="10"/>
      <c r="V973" s="10"/>
      <c r="W973" s="12">
        <f t="shared" si="279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0"/>
        <v>0</v>
      </c>
      <c r="AF973" s="10"/>
      <c r="AG973" s="10"/>
      <c r="AH973" s="10"/>
      <c r="AI973" s="12">
        <f t="shared" si="281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6"/>
        <v>0</v>
      </c>
      <c r="H974" s="10"/>
      <c r="I974" s="10"/>
      <c r="J974" s="10"/>
      <c r="K974" s="12">
        <f t="shared" si="277"/>
        <v>0</v>
      </c>
      <c r="M974" s="10">
        <v>28</v>
      </c>
      <c r="N974" s="30"/>
      <c r="O974" s="31"/>
      <c r="P974" s="47"/>
      <c r="Q974" s="31"/>
      <c r="R974" s="31"/>
      <c r="S974" s="32">
        <f t="shared" si="278"/>
        <v>0</v>
      </c>
      <c r="T974" s="10"/>
      <c r="U974" s="10"/>
      <c r="V974" s="10"/>
      <c r="W974" s="12">
        <f t="shared" si="279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0"/>
        <v>0</v>
      </c>
      <c r="AF974" s="10"/>
      <c r="AG974" s="10"/>
      <c r="AH974" s="10"/>
      <c r="AI974" s="12">
        <f t="shared" si="281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6"/>
        <v>0</v>
      </c>
      <c r="H975" s="10"/>
      <c r="I975" s="10"/>
      <c r="J975" s="10"/>
      <c r="K975" s="12">
        <f t="shared" si="277"/>
        <v>0</v>
      </c>
      <c r="M975" s="10">
        <v>29</v>
      </c>
      <c r="N975" s="30"/>
      <c r="P975" s="47"/>
      <c r="Q975" s="31"/>
      <c r="R975" s="31"/>
      <c r="S975" s="32">
        <f t="shared" si="278"/>
        <v>0</v>
      </c>
      <c r="T975" s="10"/>
      <c r="U975" s="10"/>
      <c r="V975" s="10"/>
      <c r="W975" s="12">
        <f t="shared" si="279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0"/>
        <v>0</v>
      </c>
      <c r="AF975" s="10"/>
      <c r="AG975" s="10"/>
      <c r="AH975" s="10"/>
      <c r="AI975" s="12">
        <f t="shared" si="281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6"/>
        <v>0</v>
      </c>
      <c r="H976" s="10"/>
      <c r="I976" s="10"/>
      <c r="J976" s="10"/>
      <c r="K976" s="12">
        <f t="shared" si="277"/>
        <v>0</v>
      </c>
      <c r="M976" s="10">
        <v>30</v>
      </c>
      <c r="N976" s="30"/>
      <c r="O976" s="31"/>
      <c r="P976" s="47"/>
      <c r="Q976" s="31"/>
      <c r="R976" s="31"/>
      <c r="S976" s="32">
        <f t="shared" si="278"/>
        <v>0</v>
      </c>
      <c r="T976" s="10"/>
      <c r="U976" s="10"/>
      <c r="V976" s="10"/>
      <c r="W976" s="12">
        <f t="shared" si="279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0"/>
        <v>0</v>
      </c>
      <c r="AF976" s="10"/>
      <c r="AG976" s="10"/>
      <c r="AH976" s="10"/>
      <c r="AI976" s="12">
        <f t="shared" si="281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8"/>
      <c r="D977" s="32"/>
      <c r="E977" s="32"/>
      <c r="F977" s="32"/>
      <c r="G977" s="32">
        <f t="shared" si="276"/>
        <v>0</v>
      </c>
      <c r="H977" s="10"/>
      <c r="I977" s="10"/>
      <c r="J977" s="10"/>
      <c r="K977" s="12">
        <f t="shared" si="277"/>
        <v>0</v>
      </c>
      <c r="M977" s="10">
        <v>31</v>
      </c>
      <c r="N977" s="30"/>
      <c r="O977" s="31"/>
      <c r="P977" s="47"/>
      <c r="Q977" s="31"/>
      <c r="R977" s="31"/>
      <c r="S977" s="32">
        <f t="shared" si="278"/>
        <v>0</v>
      </c>
      <c r="T977" s="10"/>
      <c r="U977" s="10"/>
      <c r="V977" s="10"/>
      <c r="W977" s="12">
        <f t="shared" si="279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0"/>
        <v>0</v>
      </c>
      <c r="AF977" s="10"/>
      <c r="AG977" s="10"/>
      <c r="AH977" s="10"/>
      <c r="AI977" s="12">
        <f t="shared" si="281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57"/>
      <c r="D978" s="32"/>
      <c r="E978" s="32"/>
      <c r="F978" s="32"/>
      <c r="G978" s="32">
        <f t="shared" si="276"/>
        <v>0</v>
      </c>
      <c r="H978" s="10"/>
      <c r="I978" s="10"/>
      <c r="J978" s="10"/>
      <c r="K978" s="12">
        <f t="shared" si="277"/>
        <v>0</v>
      </c>
      <c r="M978" s="10">
        <v>32</v>
      </c>
      <c r="N978" s="30"/>
      <c r="O978" s="31"/>
      <c r="P978" s="47"/>
      <c r="Q978" s="31"/>
      <c r="R978" s="31"/>
      <c r="S978" s="32">
        <f t="shared" si="278"/>
        <v>0</v>
      </c>
      <c r="T978" s="10"/>
      <c r="U978" s="10"/>
      <c r="V978" s="10"/>
      <c r="W978" s="12">
        <f t="shared" si="279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0"/>
        <v>0</v>
      </c>
      <c r="AF978" s="10"/>
      <c r="AG978" s="10"/>
      <c r="AH978" s="10"/>
      <c r="AI978" s="12">
        <f t="shared" si="281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8"/>
      <c r="D979" s="32"/>
      <c r="E979" s="32"/>
      <c r="F979" s="32"/>
      <c r="G979" s="32">
        <f t="shared" si="276"/>
        <v>0</v>
      </c>
      <c r="H979" s="10"/>
      <c r="I979" s="10"/>
      <c r="J979" s="10"/>
      <c r="K979" s="12">
        <f t="shared" si="277"/>
        <v>0</v>
      </c>
      <c r="M979" s="10">
        <v>33</v>
      </c>
      <c r="N979" s="30"/>
      <c r="O979" s="31"/>
      <c r="P979" s="47"/>
      <c r="Q979" s="31"/>
      <c r="R979" s="31"/>
      <c r="S979" s="32">
        <f t="shared" si="278"/>
        <v>0</v>
      </c>
      <c r="T979" s="10"/>
      <c r="U979" s="10"/>
      <c r="V979" s="10"/>
      <c r="W979" s="12">
        <f t="shared" si="279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0"/>
        <v>0</v>
      </c>
      <c r="AF979" s="10"/>
      <c r="AG979" s="10"/>
      <c r="AH979" s="10"/>
      <c r="AI979" s="12">
        <f t="shared" si="281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8"/>
      <c r="D980" s="32"/>
      <c r="E980" s="32"/>
      <c r="F980" s="32"/>
      <c r="G980" s="32">
        <f t="shared" si="276"/>
        <v>0</v>
      </c>
      <c r="H980" s="10"/>
      <c r="I980" s="10"/>
      <c r="J980" s="10"/>
      <c r="K980" s="12">
        <f t="shared" si="277"/>
        <v>0</v>
      </c>
      <c r="M980" s="10">
        <v>34</v>
      </c>
      <c r="N980" s="30"/>
      <c r="O980" s="31"/>
      <c r="P980" s="47"/>
      <c r="Q980" s="31"/>
      <c r="R980" s="31"/>
      <c r="S980" s="32">
        <f t="shared" si="278"/>
        <v>0</v>
      </c>
      <c r="T980" s="10"/>
      <c r="U980" s="10"/>
      <c r="V980" s="10"/>
      <c r="W980" s="12">
        <f t="shared" si="279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85">SUM(AB980:AC980)</f>
        <v>0</v>
      </c>
      <c r="AF980" s="10"/>
      <c r="AG980" s="10"/>
      <c r="AH980" s="10"/>
      <c r="AI980" s="12">
        <f t="shared" si="281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8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8"/>
        <v>0</v>
      </c>
      <c r="T981" s="10"/>
      <c r="U981" s="10"/>
      <c r="V981" s="10"/>
      <c r="W981" s="12">
        <f t="shared" si="279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5"/>
        <v>0</v>
      </c>
      <c r="AF981" s="10"/>
      <c r="AG981" s="10"/>
      <c r="AH981" s="10"/>
      <c r="AI981" s="12">
        <f t="shared" si="281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8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8"/>
        <v>0</v>
      </c>
      <c r="T982" s="10"/>
      <c r="U982" s="10"/>
      <c r="V982" s="10"/>
      <c r="W982" s="12">
        <f t="shared" si="279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5"/>
        <v>0</v>
      </c>
      <c r="AF982" s="10"/>
      <c r="AG982" s="10"/>
      <c r="AH982" s="10"/>
      <c r="AI982" s="12">
        <f t="shared" si="281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8"/>
        <v>0</v>
      </c>
      <c r="T983" s="10"/>
      <c r="U983" s="10"/>
      <c r="V983" s="10"/>
      <c r="W983" s="12">
        <f t="shared" si="279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5"/>
        <v>0</v>
      </c>
      <c r="AF983" s="10"/>
      <c r="AG983" s="10"/>
      <c r="AH983" s="10"/>
      <c r="AI983" s="12">
        <f t="shared" si="281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8"/>
        <v>0</v>
      </c>
      <c r="T984" s="10"/>
      <c r="U984" s="10"/>
      <c r="V984" s="10"/>
      <c r="W984" s="12">
        <f t="shared" si="279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5"/>
        <v>0</v>
      </c>
      <c r="AF984" s="10"/>
      <c r="AG984" s="10"/>
      <c r="AH984" s="10"/>
      <c r="AI984" s="12">
        <f t="shared" si="281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8"/>
        <v>0</v>
      </c>
      <c r="T985" s="10"/>
      <c r="U985" s="10"/>
      <c r="V985" s="10"/>
      <c r="W985" s="12">
        <f t="shared" si="279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5"/>
        <v>0</v>
      </c>
      <c r="AF985" s="10"/>
      <c r="AG985" s="10"/>
      <c r="AH985" s="10"/>
      <c r="AI985" s="12">
        <f t="shared" si="281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9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1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6">SUM(D987:E987)</f>
        <v>0</v>
      </c>
      <c r="H987" s="10"/>
      <c r="I987" s="10"/>
      <c r="J987" s="10"/>
      <c r="K987" s="12">
        <f t="shared" ref="K987" si="287">SUM(G987:J987)</f>
        <v>0</v>
      </c>
      <c r="M987" s="10"/>
      <c r="N987" s="30"/>
      <c r="O987" s="31"/>
      <c r="P987" s="47"/>
      <c r="Q987" s="31"/>
      <c r="R987" s="31"/>
      <c r="S987" s="32">
        <f t="shared" ref="S987" si="288">SUM(P987:Q987)</f>
        <v>0</v>
      </c>
      <c r="T987" s="10"/>
      <c r="U987" s="10"/>
      <c r="V987" s="10"/>
      <c r="W987" s="12">
        <f t="shared" si="279"/>
        <v>0</v>
      </c>
      <c r="Y987" s="10"/>
      <c r="Z987" s="30"/>
      <c r="AA987" s="31"/>
      <c r="AB987" s="47"/>
      <c r="AC987" s="31"/>
      <c r="AD987" s="31"/>
      <c r="AE987" s="32">
        <f t="shared" ref="AE987" si="289">SUM(AB987:AC987)</f>
        <v>0</v>
      </c>
      <c r="AF987" s="10"/>
      <c r="AG987" s="10"/>
      <c r="AH987" s="10"/>
      <c r="AI987" s="12">
        <f t="shared" si="281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9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1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469225.5</v>
      </c>
      <c r="E990" s="38">
        <f t="shared" ref="E990:F990" si="290">SUM(E947:E987)</f>
        <v>-4182</v>
      </c>
      <c r="F990" s="38">
        <f t="shared" si="290"/>
        <v>0</v>
      </c>
      <c r="G990" s="38">
        <f>SUM(G947:G989)</f>
        <v>465043.5</v>
      </c>
      <c r="H990" s="4"/>
      <c r="I990" s="39">
        <f>SUM(I947:I989)</f>
        <v>1404</v>
      </c>
      <c r="J990" s="39">
        <f>SUM(J947:J989)</f>
        <v>-9867</v>
      </c>
      <c r="K990" s="40">
        <f>SUM(K947:K989)</f>
        <v>456580.5</v>
      </c>
      <c r="N990" s="57"/>
      <c r="O990" s="57"/>
      <c r="P990" s="38">
        <f>SUM(P947:P989)</f>
        <v>249319.5</v>
      </c>
      <c r="Q990" s="38">
        <f>SUM(Q947:Q971)</f>
        <v>-1944</v>
      </c>
      <c r="R990" s="38">
        <f>SUM(R947:R971)</f>
        <v>0</v>
      </c>
      <c r="S990" s="38">
        <f>SUM(S947:S989)</f>
        <v>247375.5</v>
      </c>
      <c r="T990" s="4"/>
      <c r="U990" s="41">
        <f>SUM(U947:U989)</f>
        <v>396</v>
      </c>
      <c r="V990" s="41">
        <f>SUM(V947:V971)</f>
        <v>-1225.5</v>
      </c>
      <c r="W990" s="42">
        <f>SUM(W947:W989)</f>
        <v>246546</v>
      </c>
      <c r="Z990" s="57"/>
      <c r="AA990" s="57"/>
      <c r="AB990" s="38">
        <f>SUM(AB947:AB989)</f>
        <v>441144</v>
      </c>
      <c r="AC990" s="38">
        <f>SUM(AC947:AC971)</f>
        <v>-4020</v>
      </c>
      <c r="AD990" s="38">
        <f>SUM(AD947:AD971)</f>
        <v>0</v>
      </c>
      <c r="AE990" s="38">
        <f>SUM(AE947:AE989)</f>
        <v>437124</v>
      </c>
      <c r="AF990" s="4"/>
      <c r="AG990" s="41">
        <f>SUM(AG947:AG989)</f>
        <v>0</v>
      </c>
      <c r="AH990" s="41">
        <f>SUM(AH947:AH971)</f>
        <v>-2220</v>
      </c>
      <c r="AI990" s="42">
        <f>SUM(AI947:AI989)</f>
        <v>434904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s="62"/>
      <c r="Z992" s="91"/>
      <c r="AA992" s="91"/>
      <c r="AB992" s="91"/>
      <c r="AC992" s="91"/>
      <c r="AD992" s="91"/>
      <c r="AE992" s="91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s="62"/>
      <c r="Z993" s="91"/>
      <c r="AA993" s="91"/>
      <c r="AB993" s="91"/>
      <c r="AC993" s="91"/>
      <c r="AD993" s="91"/>
      <c r="AE993" s="91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Y994" s="62"/>
      <c r="Z994" s="91"/>
      <c r="AA994" s="91"/>
      <c r="AB994" s="91"/>
      <c r="AC994" s="91"/>
      <c r="AD994" s="91"/>
      <c r="AE994" s="91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63"/>
      <c r="Z995" s="91"/>
      <c r="AA995" s="91"/>
      <c r="AB995" s="91"/>
      <c r="AC995" s="91"/>
      <c r="AD995" s="91"/>
      <c r="AE995" s="91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Y996" s="62"/>
      <c r="Z996" s="91"/>
      <c r="AA996" s="91"/>
      <c r="AB996" s="91"/>
      <c r="AC996" s="91"/>
      <c r="AD996" s="91"/>
      <c r="AE996" s="91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40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40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s="62"/>
      <c r="Z997" s="91"/>
      <c r="AA997" s="91"/>
      <c r="AB997" s="91"/>
      <c r="AC997" s="91"/>
      <c r="AD997" s="91"/>
      <c r="AE997" s="91"/>
      <c r="AF997" s="62"/>
      <c r="AG997" s="91"/>
      <c r="AH997" s="91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93</v>
      </c>
      <c r="B998" s="20"/>
      <c r="C998" s="57"/>
      <c r="D998" s="57"/>
      <c r="E998" s="57"/>
      <c r="G998" s="57"/>
      <c r="I998" s="22" t="s">
        <v>16</v>
      </c>
      <c r="J998" s="23" t="s">
        <v>33</v>
      </c>
      <c r="K998" s="24"/>
      <c r="M998" s="21" t="s">
        <v>93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82</v>
      </c>
      <c r="W998" s="24"/>
      <c r="Y998" s="64"/>
      <c r="Z998" s="91"/>
      <c r="AA998" s="91"/>
      <c r="AB998" s="91"/>
      <c r="AC998" s="91"/>
      <c r="AD998" s="91"/>
      <c r="AE998" s="91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Y999" s="62"/>
      <c r="Z999" s="91"/>
      <c r="AA999" s="91"/>
      <c r="AB999" s="91"/>
      <c r="AC999" s="91"/>
      <c r="AD999" s="91"/>
      <c r="AE999" s="91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5" t="s">
        <v>17</v>
      </c>
      <c r="E1000" s="125"/>
      <c r="F1000" s="111"/>
      <c r="G1000" s="27"/>
      <c r="I1000" s="123" t="s">
        <v>18</v>
      </c>
      <c r="J1000" s="124"/>
      <c r="K1000" s="121" t="s">
        <v>19</v>
      </c>
      <c r="N1000" s="25"/>
      <c r="O1000" s="26"/>
      <c r="P1000" s="125" t="s">
        <v>17</v>
      </c>
      <c r="Q1000" s="125"/>
      <c r="R1000" s="111"/>
      <c r="S1000" s="27"/>
      <c r="U1000" s="123" t="s">
        <v>18</v>
      </c>
      <c r="V1000" s="124"/>
      <c r="W1000" s="121" t="s">
        <v>19</v>
      </c>
      <c r="Y1000" s="62"/>
      <c r="Z1000" s="65"/>
      <c r="AA1000" s="91"/>
      <c r="AB1000" s="127"/>
      <c r="AC1000" s="127"/>
      <c r="AD1000" s="91"/>
      <c r="AE1000" s="91"/>
      <c r="AF1000" s="62"/>
      <c r="AG1000" s="127"/>
      <c r="AH1000" s="127"/>
      <c r="AI1000" s="12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9" t="s">
        <v>22</v>
      </c>
      <c r="E1001" s="78" t="s">
        <v>23</v>
      </c>
      <c r="F1001" s="80" t="s">
        <v>32</v>
      </c>
      <c r="G1001" s="80" t="s">
        <v>24</v>
      </c>
      <c r="I1001" s="29" t="s">
        <v>25</v>
      </c>
      <c r="J1001" s="29" t="s">
        <v>26</v>
      </c>
      <c r="K1001" s="122"/>
      <c r="N1001" s="28" t="s">
        <v>20</v>
      </c>
      <c r="O1001" s="28" t="s">
        <v>21</v>
      </c>
      <c r="P1001" s="79" t="s">
        <v>22</v>
      </c>
      <c r="Q1001" s="80" t="s">
        <v>23</v>
      </c>
      <c r="R1001" s="80" t="s">
        <v>32</v>
      </c>
      <c r="S1001" s="80" t="s">
        <v>24</v>
      </c>
      <c r="U1001" s="29" t="s">
        <v>25</v>
      </c>
      <c r="V1001" s="29" t="s">
        <v>26</v>
      </c>
      <c r="W1001" s="122"/>
      <c r="Y1001" s="62"/>
      <c r="Z1001" s="91"/>
      <c r="AA1001" s="91"/>
      <c r="AB1001" s="81"/>
      <c r="AC1001" s="83"/>
      <c r="AD1001" s="83"/>
      <c r="AE1001" s="83"/>
      <c r="AF1001" s="62"/>
      <c r="AG1001" s="90"/>
      <c r="AH1001" s="90"/>
      <c r="AI1001" s="12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94</v>
      </c>
      <c r="C1002" s="88">
        <v>8595</v>
      </c>
      <c r="D1002" s="32">
        <f>650*36+670*2+622*5</f>
        <v>27850</v>
      </c>
      <c r="E1002" s="32"/>
      <c r="F1002" s="32"/>
      <c r="G1002" s="32">
        <f t="shared" ref="G1002:G1035" si="291">SUM(D1002:E1002)</f>
        <v>27850</v>
      </c>
      <c r="H1002" s="12"/>
      <c r="I1002" s="12"/>
      <c r="J1002" s="12"/>
      <c r="K1002" s="12">
        <f t="shared" ref="K1002:K1035" si="292">SUM(G1002:J1002)</f>
        <v>27850</v>
      </c>
      <c r="M1002" s="10">
        <v>1</v>
      </c>
      <c r="N1002" s="30" t="s">
        <v>94</v>
      </c>
      <c r="O1002" s="31">
        <v>8643</v>
      </c>
      <c r="P1002" s="32">
        <f>650*3+622+9.5*4</f>
        <v>2610</v>
      </c>
      <c r="Q1002" s="32"/>
      <c r="R1002" s="32"/>
      <c r="S1002" s="32">
        <f>SUM(P1002:Q1002)</f>
        <v>2610</v>
      </c>
      <c r="T1002" s="12"/>
      <c r="U1002" s="12"/>
      <c r="V1002" s="12"/>
      <c r="W1002" s="12">
        <f>SUM(S1002:V1002)</f>
        <v>2610</v>
      </c>
      <c r="Y1002" s="62"/>
      <c r="Z1002" s="66"/>
      <c r="AA1002" s="91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94</v>
      </c>
      <c r="C1003" s="31">
        <f>C1002+1</f>
        <v>8596</v>
      </c>
      <c r="D1003" s="32">
        <f>650</f>
        <v>650</v>
      </c>
      <c r="E1003" s="32"/>
      <c r="F1003" s="32"/>
      <c r="G1003" s="32">
        <f t="shared" si="291"/>
        <v>650</v>
      </c>
      <c r="H1003" s="12"/>
      <c r="I1003" s="12"/>
      <c r="J1003" s="12"/>
      <c r="K1003" s="12">
        <f t="shared" si="292"/>
        <v>650</v>
      </c>
      <c r="M1003" s="10">
        <v>2</v>
      </c>
      <c r="N1003" s="30" t="s">
        <v>94</v>
      </c>
      <c r="O1003" s="31">
        <f>O1002+1</f>
        <v>8644</v>
      </c>
      <c r="P1003" s="32">
        <f>650*6+9.5*6</f>
        <v>3957</v>
      </c>
      <c r="Q1003" s="32"/>
      <c r="R1003" s="32"/>
      <c r="S1003" s="32">
        <f t="shared" ref="S1003:S1040" si="293">SUM(P1003:Q1003)</f>
        <v>3957</v>
      </c>
      <c r="T1003" s="12"/>
      <c r="U1003" s="12"/>
      <c r="V1003" s="12"/>
      <c r="W1003" s="12">
        <f t="shared" ref="W1003:W1043" si="294">SUM(S1003:V1003)</f>
        <v>3957</v>
      </c>
      <c r="Y1003" s="62"/>
      <c r="Z1003" s="66"/>
      <c r="AA1003" s="91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94</v>
      </c>
      <c r="C1004" s="31">
        <f t="shared" ref="C1004:C1015" si="295">C1003+1</f>
        <v>8597</v>
      </c>
      <c r="D1004" s="33">
        <f>650*32+670*3+622*5</f>
        <v>25920</v>
      </c>
      <c r="E1004" s="33"/>
      <c r="F1004" s="33"/>
      <c r="G1004" s="33">
        <f t="shared" si="291"/>
        <v>25920</v>
      </c>
      <c r="H1004" s="34"/>
      <c r="I1004" s="34"/>
      <c r="J1004" s="34"/>
      <c r="K1004" s="34">
        <f t="shared" si="292"/>
        <v>25920</v>
      </c>
      <c r="M1004" s="10">
        <v>3</v>
      </c>
      <c r="N1004" s="30" t="s">
        <v>94</v>
      </c>
      <c r="O1004" s="31">
        <f t="shared" ref="O1004:O1027" si="296">O1003+1</f>
        <v>8645</v>
      </c>
      <c r="P1004" s="32">
        <f>650*47+622*15+229*2</f>
        <v>40338</v>
      </c>
      <c r="Q1004" s="32"/>
      <c r="R1004" s="32"/>
      <c r="S1004" s="32">
        <f t="shared" si="293"/>
        <v>40338</v>
      </c>
      <c r="T1004" s="12"/>
      <c r="U1004" s="12">
        <v>72</v>
      </c>
      <c r="V1004" s="12"/>
      <c r="W1004" s="12">
        <f t="shared" si="294"/>
        <v>40410</v>
      </c>
      <c r="Y1004" s="62"/>
      <c r="Z1004" s="66"/>
      <c r="AA1004" s="91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94</v>
      </c>
      <c r="C1005" s="31">
        <f t="shared" si="295"/>
        <v>8598</v>
      </c>
      <c r="D1005" s="32">
        <f>650*4+622*2+6*9.5</f>
        <v>3901</v>
      </c>
      <c r="E1005" s="32"/>
      <c r="F1005" s="32"/>
      <c r="G1005" s="32">
        <f t="shared" si="291"/>
        <v>3901</v>
      </c>
      <c r="H1005" s="12"/>
      <c r="I1005" s="12"/>
      <c r="J1005" s="12"/>
      <c r="K1005" s="12">
        <f t="shared" si="292"/>
        <v>3901</v>
      </c>
      <c r="M1005" s="10">
        <v>4</v>
      </c>
      <c r="N1005" s="30" t="s">
        <v>94</v>
      </c>
      <c r="O1005" s="31">
        <f t="shared" si="296"/>
        <v>8646</v>
      </c>
      <c r="P1005" s="32">
        <f>650*6+670+57</f>
        <v>4627</v>
      </c>
      <c r="Q1005" s="32"/>
      <c r="R1005" s="32"/>
      <c r="S1005" s="32">
        <f t="shared" si="293"/>
        <v>4627</v>
      </c>
      <c r="T1005" s="12"/>
      <c r="U1005" s="12"/>
      <c r="V1005" s="12"/>
      <c r="W1005" s="12">
        <f t="shared" si="294"/>
        <v>4627</v>
      </c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94</v>
      </c>
      <c r="C1006" s="31">
        <f t="shared" si="295"/>
        <v>8599</v>
      </c>
      <c r="D1006" s="32">
        <f>650*2+622+9.5*3</f>
        <v>1950.5</v>
      </c>
      <c r="E1006" s="32"/>
      <c r="F1006" s="32"/>
      <c r="G1006" s="32">
        <f t="shared" si="291"/>
        <v>1950.5</v>
      </c>
      <c r="H1006" s="12"/>
      <c r="I1006" s="12"/>
      <c r="J1006" s="12"/>
      <c r="K1006" s="12">
        <f t="shared" si="292"/>
        <v>1950.5</v>
      </c>
      <c r="M1006" s="10">
        <v>5</v>
      </c>
      <c r="N1006" s="30" t="s">
        <v>94</v>
      </c>
      <c r="O1006" s="31">
        <f t="shared" si="296"/>
        <v>8647</v>
      </c>
      <c r="P1006" s="32">
        <f>650*3+9.5*3</f>
        <v>1978.5</v>
      </c>
      <c r="Q1006" s="32"/>
      <c r="R1006" s="32"/>
      <c r="S1006" s="32">
        <f t="shared" si="293"/>
        <v>1978.5</v>
      </c>
      <c r="T1006" s="12"/>
      <c r="U1006" s="12"/>
      <c r="V1006" s="12"/>
      <c r="W1006" s="12">
        <f t="shared" si="294"/>
        <v>1978.5</v>
      </c>
      <c r="Y1006" s="62"/>
      <c r="Z1006" s="66"/>
      <c r="AA1006" s="91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94</v>
      </c>
      <c r="C1007" s="31">
        <f t="shared" si="295"/>
        <v>8600</v>
      </c>
      <c r="D1007" s="32">
        <f>650*8+670+9.5*8</f>
        <v>5946</v>
      </c>
      <c r="E1007" s="32"/>
      <c r="F1007" s="32"/>
      <c r="G1007" s="32">
        <f t="shared" si="291"/>
        <v>5946</v>
      </c>
      <c r="H1007" s="12"/>
      <c r="I1007" s="12"/>
      <c r="J1007" s="12"/>
      <c r="K1007" s="12">
        <f t="shared" si="292"/>
        <v>5946</v>
      </c>
      <c r="M1007" s="10">
        <v>6</v>
      </c>
      <c r="N1007" s="30" t="s">
        <v>94</v>
      </c>
      <c r="O1007" s="31">
        <f t="shared" si="296"/>
        <v>8648</v>
      </c>
      <c r="P1007" s="32">
        <f>650*10+622*2</f>
        <v>7744</v>
      </c>
      <c r="Q1007" s="32"/>
      <c r="R1007" s="32"/>
      <c r="S1007" s="32">
        <f t="shared" si="293"/>
        <v>7744</v>
      </c>
      <c r="T1007" s="12"/>
      <c r="U1007" s="12">
        <v>54</v>
      </c>
      <c r="V1007" s="10"/>
      <c r="W1007" s="12">
        <f t="shared" si="294"/>
        <v>7798</v>
      </c>
      <c r="Y1007" s="62"/>
      <c r="Z1007" s="66"/>
      <c r="AA1007" s="91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94</v>
      </c>
      <c r="C1008" s="31">
        <v>8651</v>
      </c>
      <c r="D1008" s="32">
        <f>650+9.5</f>
        <v>659.5</v>
      </c>
      <c r="E1008" s="32"/>
      <c r="F1008" s="32"/>
      <c r="G1008" s="32">
        <f t="shared" si="291"/>
        <v>659.5</v>
      </c>
      <c r="H1008" s="12"/>
      <c r="I1008" s="12"/>
      <c r="J1008" s="12"/>
      <c r="K1008" s="12">
        <f t="shared" si="292"/>
        <v>659.5</v>
      </c>
      <c r="M1008" s="10">
        <v>7</v>
      </c>
      <c r="N1008" s="30" t="s">
        <v>94</v>
      </c>
      <c r="O1008" s="31">
        <f t="shared" si="296"/>
        <v>8649</v>
      </c>
      <c r="P1008" s="32">
        <f>650*6+622+9.5*7</f>
        <v>4588.5</v>
      </c>
      <c r="Q1008" s="32"/>
      <c r="R1008" s="32"/>
      <c r="S1008" s="32">
        <f t="shared" si="293"/>
        <v>4588.5</v>
      </c>
      <c r="T1008" s="12"/>
      <c r="U1008" s="12">
        <v>9</v>
      </c>
      <c r="V1008" s="12"/>
      <c r="W1008" s="12">
        <f t="shared" si="294"/>
        <v>4597.5</v>
      </c>
      <c r="Y1008" s="62"/>
      <c r="Z1008" s="66"/>
      <c r="AA1008" s="91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 t="s">
        <v>94</v>
      </c>
      <c r="C1009" s="31">
        <f t="shared" si="295"/>
        <v>8652</v>
      </c>
      <c r="D1009" s="32">
        <f>650*4+622+9.5*5</f>
        <v>3269.5</v>
      </c>
      <c r="E1009" s="32"/>
      <c r="F1009" s="32"/>
      <c r="G1009" s="32">
        <f t="shared" si="291"/>
        <v>3269.5</v>
      </c>
      <c r="H1009" s="12"/>
      <c r="I1009" s="12"/>
      <c r="J1009" s="12"/>
      <c r="K1009" s="12">
        <f t="shared" si="292"/>
        <v>3269.5</v>
      </c>
      <c r="M1009" s="10">
        <v>8</v>
      </c>
      <c r="N1009" s="30" t="s">
        <v>94</v>
      </c>
      <c r="O1009" s="31">
        <f t="shared" si="296"/>
        <v>8650</v>
      </c>
      <c r="P1009" s="32">
        <f>650*5+9.5*5</f>
        <v>3297.5</v>
      </c>
      <c r="Q1009" s="32"/>
      <c r="R1009" s="32"/>
      <c r="S1009" s="32">
        <f t="shared" si="293"/>
        <v>3297.5</v>
      </c>
      <c r="T1009" s="12"/>
      <c r="U1009" s="12"/>
      <c r="V1009" s="12"/>
      <c r="W1009" s="12">
        <f t="shared" si="294"/>
        <v>3297.5</v>
      </c>
      <c r="Y1009" s="62"/>
      <c r="Z1009" s="66"/>
      <c r="AA1009" s="91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 t="s">
        <v>94</v>
      </c>
      <c r="C1010" s="31">
        <f t="shared" si="295"/>
        <v>8653</v>
      </c>
      <c r="D1010" s="32">
        <f>650*6+622*2+9.5*8</f>
        <v>5220</v>
      </c>
      <c r="E1010" s="32"/>
      <c r="F1010" s="32"/>
      <c r="G1010" s="32">
        <f t="shared" si="291"/>
        <v>5220</v>
      </c>
      <c r="H1010" s="12"/>
      <c r="I1010" s="12"/>
      <c r="J1010" s="12"/>
      <c r="K1010" s="12">
        <f t="shared" si="292"/>
        <v>5220</v>
      </c>
      <c r="M1010" s="10">
        <v>9</v>
      </c>
      <c r="N1010" s="30" t="s">
        <v>94</v>
      </c>
      <c r="O1010" s="31">
        <v>8701</v>
      </c>
      <c r="P1010" s="32">
        <f>650*10+670+9.5*10</f>
        <v>7265</v>
      </c>
      <c r="Q1010" s="32"/>
      <c r="R1010" s="32"/>
      <c r="S1010" s="32">
        <f t="shared" si="293"/>
        <v>7265</v>
      </c>
      <c r="T1010" s="12"/>
      <c r="U1010" s="12"/>
      <c r="V1010" s="12"/>
      <c r="W1010" s="12">
        <f t="shared" si="294"/>
        <v>7265</v>
      </c>
      <c r="Y1010" s="62"/>
      <c r="Z1010" s="66"/>
      <c r="AA1010" s="91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 t="s">
        <v>94</v>
      </c>
      <c r="C1011" s="31">
        <f t="shared" si="295"/>
        <v>8654</v>
      </c>
      <c r="D1011" s="32">
        <f>650*19+670*2+622*3</f>
        <v>15556</v>
      </c>
      <c r="E1011" s="32"/>
      <c r="F1011" s="32"/>
      <c r="G1011" s="32">
        <f t="shared" si="291"/>
        <v>15556</v>
      </c>
      <c r="H1011" s="12"/>
      <c r="I1011" s="12"/>
      <c r="J1011" s="12"/>
      <c r="K1011" s="12">
        <f t="shared" si="292"/>
        <v>15556</v>
      </c>
      <c r="M1011" s="10">
        <v>10</v>
      </c>
      <c r="N1011" s="30" t="s">
        <v>94</v>
      </c>
      <c r="O1011" s="31">
        <f t="shared" si="296"/>
        <v>8702</v>
      </c>
      <c r="P1011" s="32">
        <f>650*3+9.5*3</f>
        <v>1978.5</v>
      </c>
      <c r="Q1011" s="32"/>
      <c r="R1011" s="32"/>
      <c r="S1011" s="32">
        <f t="shared" si="293"/>
        <v>1978.5</v>
      </c>
      <c r="T1011" s="12"/>
      <c r="U1011" s="12"/>
      <c r="V1011" s="12"/>
      <c r="W1011" s="12">
        <f t="shared" si="294"/>
        <v>1978.5</v>
      </c>
      <c r="Y1011" s="62"/>
      <c r="Z1011" s="66"/>
      <c r="AA1011" s="91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 t="s">
        <v>94</v>
      </c>
      <c r="C1012" s="31">
        <f t="shared" si="295"/>
        <v>8655</v>
      </c>
      <c r="D1012" s="32">
        <f>650*8+9.5*8</f>
        <v>5276</v>
      </c>
      <c r="E1012" s="32"/>
      <c r="F1012" s="32"/>
      <c r="G1012" s="32">
        <f t="shared" si="291"/>
        <v>5276</v>
      </c>
      <c r="H1012" s="12"/>
      <c r="I1012" s="12"/>
      <c r="J1012" s="12"/>
      <c r="K1012" s="12">
        <f t="shared" si="292"/>
        <v>5276</v>
      </c>
      <c r="M1012" s="10">
        <v>11</v>
      </c>
      <c r="N1012" s="30" t="s">
        <v>94</v>
      </c>
      <c r="O1012" s="31">
        <f t="shared" si="296"/>
        <v>8703</v>
      </c>
      <c r="P1012" s="32">
        <f>650*4</f>
        <v>2600</v>
      </c>
      <c r="Q1012" s="32"/>
      <c r="R1012" s="32"/>
      <c r="S1012" s="32">
        <f t="shared" si="293"/>
        <v>2600</v>
      </c>
      <c r="T1012" s="12"/>
      <c r="U1012" s="12"/>
      <c r="V1012" s="12"/>
      <c r="W1012" s="12">
        <f t="shared" si="294"/>
        <v>2600</v>
      </c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 t="s">
        <v>94</v>
      </c>
      <c r="C1013" s="31">
        <f t="shared" si="295"/>
        <v>8656</v>
      </c>
      <c r="D1013" s="32">
        <f>650*8+1175+9.5*8</f>
        <v>6451</v>
      </c>
      <c r="E1013" s="32"/>
      <c r="F1013" s="32"/>
      <c r="G1013" s="32">
        <f t="shared" si="291"/>
        <v>6451</v>
      </c>
      <c r="H1013" s="12"/>
      <c r="I1013" s="12">
        <f>49.5+4.5</f>
        <v>54</v>
      </c>
      <c r="J1013" s="10"/>
      <c r="K1013" s="12">
        <f t="shared" si="292"/>
        <v>6505</v>
      </c>
      <c r="M1013" s="10">
        <v>12</v>
      </c>
      <c r="N1013" s="30" t="s">
        <v>94</v>
      </c>
      <c r="O1013" s="31">
        <f t="shared" si="296"/>
        <v>8704</v>
      </c>
      <c r="P1013" s="32">
        <f>650*4+9.5*4</f>
        <v>2638</v>
      </c>
      <c r="Q1013" s="32"/>
      <c r="R1013" s="32"/>
      <c r="S1013" s="32">
        <f t="shared" si="293"/>
        <v>2638</v>
      </c>
      <c r="T1013" s="12"/>
      <c r="U1013" s="12"/>
      <c r="V1013" s="12"/>
      <c r="W1013" s="12">
        <f t="shared" si="294"/>
        <v>2638</v>
      </c>
      <c r="Y1013" s="62"/>
      <c r="Z1013" s="66"/>
      <c r="AA1013" s="91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 t="s">
        <v>94</v>
      </c>
      <c r="C1014" s="31">
        <f t="shared" si="295"/>
        <v>8657</v>
      </c>
      <c r="D1014" s="32">
        <f>650*2+9.5*2</f>
        <v>1319</v>
      </c>
      <c r="E1014" s="32"/>
      <c r="F1014" s="32"/>
      <c r="G1014" s="32">
        <f t="shared" si="291"/>
        <v>1319</v>
      </c>
      <c r="H1014" s="12"/>
      <c r="I1014" s="12"/>
      <c r="J1014" s="12"/>
      <c r="K1014" s="12">
        <f t="shared" si="292"/>
        <v>1319</v>
      </c>
      <c r="M1014" s="10">
        <v>13</v>
      </c>
      <c r="N1014" s="30" t="s">
        <v>94</v>
      </c>
      <c r="O1014" s="31">
        <f t="shared" si="296"/>
        <v>8705</v>
      </c>
      <c r="P1014" s="32">
        <f>650+622+9.5*2</f>
        <v>1291</v>
      </c>
      <c r="Q1014" s="32"/>
      <c r="R1014" s="32"/>
      <c r="S1014" s="32">
        <f t="shared" si="293"/>
        <v>1291</v>
      </c>
      <c r="T1014" s="12"/>
      <c r="U1014" s="12"/>
      <c r="V1014" s="12"/>
      <c r="W1014" s="12">
        <f t="shared" si="294"/>
        <v>1291</v>
      </c>
      <c r="Y1014" s="62"/>
      <c r="Z1014" s="66"/>
      <c r="AA1014" s="91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 t="s">
        <v>94</v>
      </c>
      <c r="C1015" s="31">
        <f t="shared" si="295"/>
        <v>8658</v>
      </c>
      <c r="D1015" s="32">
        <f>650+622+9.5*2</f>
        <v>1291</v>
      </c>
      <c r="E1015" s="32"/>
      <c r="F1015" s="32"/>
      <c r="G1015" s="32">
        <f t="shared" si="291"/>
        <v>1291</v>
      </c>
      <c r="H1015" s="12"/>
      <c r="I1015" s="12"/>
      <c r="J1015" s="12"/>
      <c r="K1015" s="12">
        <f t="shared" si="292"/>
        <v>1291</v>
      </c>
      <c r="M1015" s="10">
        <v>14</v>
      </c>
      <c r="N1015" s="30" t="s">
        <v>94</v>
      </c>
      <c r="O1015" s="31">
        <f t="shared" si="296"/>
        <v>8706</v>
      </c>
      <c r="P1015" s="32">
        <f>650*7+9.5*7</f>
        <v>4616.5</v>
      </c>
      <c r="Q1015" s="32"/>
      <c r="R1015" s="32"/>
      <c r="S1015" s="32">
        <f t="shared" si="293"/>
        <v>4616.5</v>
      </c>
      <c r="T1015" s="12"/>
      <c r="U1015" s="12"/>
      <c r="V1015" s="12"/>
      <c r="W1015" s="12">
        <f t="shared" si="294"/>
        <v>4616.5</v>
      </c>
      <c r="Y1015" s="62"/>
      <c r="Z1015" s="66"/>
      <c r="AA1015" s="91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11" t="s">
        <v>27</v>
      </c>
      <c r="D1016" s="32"/>
      <c r="E1016" s="32"/>
      <c r="F1016" s="32"/>
      <c r="G1016" s="32">
        <f t="shared" si="291"/>
        <v>0</v>
      </c>
      <c r="H1016" s="12"/>
      <c r="I1016" s="12"/>
      <c r="J1016" s="12"/>
      <c r="K1016" s="12">
        <f t="shared" si="292"/>
        <v>0</v>
      </c>
      <c r="M1016" s="10">
        <v>15</v>
      </c>
      <c r="N1016" s="30" t="s">
        <v>94</v>
      </c>
      <c r="O1016" s="31">
        <f t="shared" si="296"/>
        <v>8707</v>
      </c>
      <c r="P1016" s="32">
        <f>650*8+9.5*8</f>
        <v>5276</v>
      </c>
      <c r="Q1016" s="32"/>
      <c r="R1016" s="32"/>
      <c r="S1016" s="32">
        <f t="shared" si="293"/>
        <v>5276</v>
      </c>
      <c r="T1016" s="12"/>
      <c r="U1016" s="12"/>
      <c r="V1016" s="12"/>
      <c r="W1016" s="12">
        <f t="shared" si="294"/>
        <v>5276</v>
      </c>
      <c r="Y1016" s="62"/>
      <c r="Z1016" s="66"/>
      <c r="AA1016" s="91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31"/>
      <c r="D1017" s="32"/>
      <c r="E1017" s="32"/>
      <c r="F1017" s="32"/>
      <c r="G1017" s="32">
        <f t="shared" si="291"/>
        <v>0</v>
      </c>
      <c r="H1017" s="12"/>
      <c r="I1017" s="12"/>
      <c r="J1017" s="12"/>
      <c r="K1017" s="12">
        <f t="shared" si="292"/>
        <v>0</v>
      </c>
      <c r="M1017" s="10">
        <v>16</v>
      </c>
      <c r="N1017" s="30" t="s">
        <v>94</v>
      </c>
      <c r="O1017" s="31">
        <f t="shared" si="296"/>
        <v>8708</v>
      </c>
      <c r="P1017" s="32">
        <f>650*5+9.5*5</f>
        <v>3297.5</v>
      </c>
      <c r="Q1017" s="32"/>
      <c r="R1017" s="32"/>
      <c r="S1017" s="32">
        <f t="shared" si="293"/>
        <v>3297.5</v>
      </c>
      <c r="T1017" s="12"/>
      <c r="U1017" s="12"/>
      <c r="V1017" s="12"/>
      <c r="W1017" s="12">
        <f t="shared" si="294"/>
        <v>3297.5</v>
      </c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91"/>
        <v>0</v>
      </c>
      <c r="H1018" s="12"/>
      <c r="I1018" s="12"/>
      <c r="J1018" s="12"/>
      <c r="K1018" s="12">
        <f t="shared" si="292"/>
        <v>0</v>
      </c>
      <c r="M1018" s="10">
        <v>17</v>
      </c>
      <c r="N1018" s="30" t="s">
        <v>94</v>
      </c>
      <c r="O1018" s="31">
        <f t="shared" si="296"/>
        <v>8709</v>
      </c>
      <c r="P1018" s="35">
        <f>650*4+622+9.5*5</f>
        <v>3269.5</v>
      </c>
      <c r="Q1018" s="32"/>
      <c r="R1018" s="32"/>
      <c r="S1018" s="32">
        <f t="shared" si="293"/>
        <v>3269.5</v>
      </c>
      <c r="T1018" s="12"/>
      <c r="U1018" s="12"/>
      <c r="V1018" s="12"/>
      <c r="W1018" s="12">
        <f t="shared" si="294"/>
        <v>3269.5</v>
      </c>
      <c r="Y1018" s="62"/>
      <c r="Z1018" s="66"/>
      <c r="AA1018" s="91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91"/>
        <v>0</v>
      </c>
      <c r="H1019" s="12"/>
      <c r="I1019" s="12"/>
      <c r="J1019" s="12"/>
      <c r="K1019" s="12">
        <f t="shared" si="292"/>
        <v>0</v>
      </c>
      <c r="M1019" s="10">
        <v>18</v>
      </c>
      <c r="N1019" s="30" t="s">
        <v>94</v>
      </c>
      <c r="O1019" s="31">
        <f t="shared" si="296"/>
        <v>8710</v>
      </c>
      <c r="P1019" s="32">
        <f>650*6+9.5*6</f>
        <v>3957</v>
      </c>
      <c r="Q1019" s="32"/>
      <c r="R1019" s="32"/>
      <c r="S1019" s="32">
        <f t="shared" si="293"/>
        <v>3957</v>
      </c>
      <c r="T1019" s="12"/>
      <c r="U1019" s="12"/>
      <c r="V1019" s="12"/>
      <c r="W1019" s="12">
        <f t="shared" si="294"/>
        <v>3957</v>
      </c>
      <c r="Y1019" s="62"/>
      <c r="Z1019" s="66"/>
      <c r="AA1019" s="91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91"/>
        <v>0</v>
      </c>
      <c r="H1020" s="12"/>
      <c r="I1020" s="12"/>
      <c r="J1020" s="12"/>
      <c r="K1020" s="12">
        <f t="shared" si="292"/>
        <v>0</v>
      </c>
      <c r="M1020" s="10">
        <v>19</v>
      </c>
      <c r="N1020" s="30" t="s">
        <v>94</v>
      </c>
      <c r="O1020" s="31">
        <f t="shared" si="296"/>
        <v>8711</v>
      </c>
      <c r="P1020" s="32">
        <f>650*10+622*2</f>
        <v>7744</v>
      </c>
      <c r="Q1020" s="32"/>
      <c r="R1020" s="32"/>
      <c r="S1020" s="32">
        <f t="shared" si="293"/>
        <v>7744</v>
      </c>
      <c r="T1020" s="12"/>
      <c r="U1020" s="12"/>
      <c r="V1020" s="12"/>
      <c r="W1020" s="12">
        <f t="shared" si="294"/>
        <v>7744</v>
      </c>
      <c r="Y1020" s="62"/>
      <c r="Z1020" s="66"/>
      <c r="AA1020" s="91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91"/>
        <v>0</v>
      </c>
      <c r="H1021" s="12"/>
      <c r="I1021" s="12"/>
      <c r="J1021" s="12"/>
      <c r="K1021" s="12">
        <f t="shared" si="292"/>
        <v>0</v>
      </c>
      <c r="M1021" s="10">
        <v>20</v>
      </c>
      <c r="N1021" s="30" t="s">
        <v>94</v>
      </c>
      <c r="O1021" s="31">
        <f t="shared" si="296"/>
        <v>8712</v>
      </c>
      <c r="P1021" s="32">
        <f>650*9+670*2+622*3</f>
        <v>9056</v>
      </c>
      <c r="Q1021" s="32"/>
      <c r="R1021" s="32"/>
      <c r="S1021" s="32">
        <f t="shared" si="293"/>
        <v>9056</v>
      </c>
      <c r="T1021" s="12"/>
      <c r="U1021" s="12">
        <v>72</v>
      </c>
      <c r="V1021" s="12"/>
      <c r="W1021" s="12">
        <f t="shared" si="294"/>
        <v>9128</v>
      </c>
      <c r="Y1021" s="62"/>
      <c r="Z1021" s="66"/>
      <c r="AA1021" s="91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91"/>
        <v>0</v>
      </c>
      <c r="H1022" s="10"/>
      <c r="I1022" s="10"/>
      <c r="J1022" s="10"/>
      <c r="K1022" s="12">
        <f t="shared" si="292"/>
        <v>0</v>
      </c>
      <c r="M1022" s="10">
        <v>21</v>
      </c>
      <c r="N1022" s="30" t="s">
        <v>94</v>
      </c>
      <c r="O1022" s="31">
        <f t="shared" si="296"/>
        <v>8713</v>
      </c>
      <c r="P1022" s="46">
        <f>650*4+973+912+9.5*4</f>
        <v>4523</v>
      </c>
      <c r="Q1022" s="31"/>
      <c r="R1022" s="31"/>
      <c r="S1022" s="32">
        <f t="shared" si="293"/>
        <v>4523</v>
      </c>
      <c r="T1022" s="10"/>
      <c r="U1022" s="10">
        <v>19.5</v>
      </c>
      <c r="V1022" s="10"/>
      <c r="W1022" s="12">
        <f t="shared" si="294"/>
        <v>4542.5</v>
      </c>
      <c r="Y1022" s="62"/>
      <c r="Z1022" s="66"/>
      <c r="AA1022" s="91"/>
      <c r="AB1022" s="67"/>
      <c r="AC1022" s="91"/>
      <c r="AD1022" s="91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91"/>
        <v>0</v>
      </c>
      <c r="H1023" s="10"/>
      <c r="I1023" s="10"/>
      <c r="J1023" s="10"/>
      <c r="K1023" s="12">
        <f t="shared" si="292"/>
        <v>0</v>
      </c>
      <c r="M1023" s="10">
        <v>22</v>
      </c>
      <c r="N1023" s="30" t="s">
        <v>94</v>
      </c>
      <c r="O1023" s="31">
        <f t="shared" si="296"/>
        <v>8714</v>
      </c>
      <c r="P1023" s="45">
        <f>650*5+9.5*5</f>
        <v>3297.5</v>
      </c>
      <c r="Q1023" s="31"/>
      <c r="R1023" s="31"/>
      <c r="S1023" s="32">
        <f t="shared" si="293"/>
        <v>3297.5</v>
      </c>
      <c r="T1023" s="10"/>
      <c r="U1023" s="10"/>
      <c r="V1023" s="10"/>
      <c r="W1023" s="12">
        <f t="shared" si="294"/>
        <v>3297.5</v>
      </c>
      <c r="Y1023" s="62"/>
      <c r="Z1023" s="66"/>
      <c r="AA1023" s="91"/>
      <c r="AB1023" s="68"/>
      <c r="AC1023" s="91"/>
      <c r="AD1023" s="91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57"/>
      <c r="D1024" s="32"/>
      <c r="E1024" s="32"/>
      <c r="F1024" s="32"/>
      <c r="G1024" s="32">
        <f t="shared" si="291"/>
        <v>0</v>
      </c>
      <c r="H1024" s="10"/>
      <c r="I1024" s="10"/>
      <c r="J1024" s="12"/>
      <c r="K1024" s="12">
        <f t="shared" si="292"/>
        <v>0</v>
      </c>
      <c r="M1024" s="10">
        <v>23</v>
      </c>
      <c r="N1024" s="30" t="s">
        <v>94</v>
      </c>
      <c r="O1024" s="31">
        <f t="shared" si="296"/>
        <v>8715</v>
      </c>
      <c r="P1024" s="47">
        <f>650*5+622+9.5*6</f>
        <v>3929</v>
      </c>
      <c r="Q1024" s="31"/>
      <c r="S1024" s="32">
        <f t="shared" si="293"/>
        <v>3929</v>
      </c>
      <c r="T1024" s="10"/>
      <c r="U1024" s="10"/>
      <c r="V1024" s="10"/>
      <c r="W1024" s="12">
        <f t="shared" si="294"/>
        <v>3929</v>
      </c>
      <c r="Y1024" s="62"/>
      <c r="Z1024" s="66"/>
      <c r="AA1024" s="91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91"/>
        <v>0</v>
      </c>
      <c r="H1025" s="10"/>
      <c r="I1025" s="10"/>
      <c r="J1025" s="10"/>
      <c r="K1025" s="12">
        <f t="shared" si="292"/>
        <v>0</v>
      </c>
      <c r="M1025" s="10">
        <v>24</v>
      </c>
      <c r="N1025" s="30" t="s">
        <v>94</v>
      </c>
      <c r="O1025" s="31">
        <f t="shared" si="296"/>
        <v>8716</v>
      </c>
      <c r="P1025" s="47">
        <f>650*5+670+700</f>
        <v>4620</v>
      </c>
      <c r="Q1025" s="31"/>
      <c r="R1025" s="31"/>
      <c r="S1025" s="32">
        <f t="shared" si="293"/>
        <v>4620</v>
      </c>
      <c r="T1025" s="10"/>
      <c r="U1025" s="10"/>
      <c r="V1025" s="10"/>
      <c r="W1025" s="12">
        <f t="shared" si="294"/>
        <v>4620</v>
      </c>
      <c r="Y1025" s="62"/>
      <c r="Z1025" s="66"/>
      <c r="AA1025" s="91"/>
      <c r="AB1025" s="69"/>
      <c r="AC1025" s="91"/>
      <c r="AD1025" s="91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31"/>
      <c r="D1026" s="32"/>
      <c r="E1026" s="32"/>
      <c r="F1026" s="32"/>
      <c r="G1026" s="32">
        <f t="shared" si="291"/>
        <v>0</v>
      </c>
      <c r="H1026" s="10"/>
      <c r="I1026" s="10"/>
      <c r="J1026" s="10"/>
      <c r="K1026" s="12">
        <f t="shared" si="292"/>
        <v>0</v>
      </c>
      <c r="M1026" s="10">
        <v>25</v>
      </c>
      <c r="N1026" s="30" t="s">
        <v>94</v>
      </c>
      <c r="O1026" s="31">
        <f t="shared" si="296"/>
        <v>8717</v>
      </c>
      <c r="P1026" s="47">
        <f>650*4+9.5*4</f>
        <v>2638</v>
      </c>
      <c r="Q1026" s="31"/>
      <c r="R1026" s="31"/>
      <c r="S1026" s="32">
        <f t="shared" si="293"/>
        <v>2638</v>
      </c>
      <c r="T1026" s="10"/>
      <c r="U1026" s="10"/>
      <c r="V1026" s="10"/>
      <c r="W1026" s="12">
        <f t="shared" si="294"/>
        <v>2638</v>
      </c>
      <c r="Y1026" s="62"/>
      <c r="Z1026" s="66"/>
      <c r="AA1026" s="62"/>
      <c r="AB1026" s="69"/>
      <c r="AC1026" s="91"/>
      <c r="AD1026" s="91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91"/>
        <v>0</v>
      </c>
      <c r="H1027" s="10"/>
      <c r="I1027" s="10"/>
      <c r="J1027" s="10"/>
      <c r="K1027" s="12">
        <f t="shared" si="292"/>
        <v>0</v>
      </c>
      <c r="M1027" s="10">
        <v>26</v>
      </c>
      <c r="N1027" s="30" t="s">
        <v>94</v>
      </c>
      <c r="O1027" s="31">
        <f t="shared" si="296"/>
        <v>8718</v>
      </c>
      <c r="P1027" s="47">
        <f>650*4+9.5*4</f>
        <v>2638</v>
      </c>
      <c r="Q1027" s="31"/>
      <c r="R1027" s="31"/>
      <c r="S1027" s="32">
        <f t="shared" si="293"/>
        <v>2638</v>
      </c>
      <c r="T1027" s="10"/>
      <c r="U1027" s="10"/>
      <c r="V1027" s="10"/>
      <c r="W1027" s="12">
        <f t="shared" si="294"/>
        <v>2638</v>
      </c>
      <c r="Y1027" s="62"/>
      <c r="Z1027" s="66"/>
      <c r="AA1027" s="62"/>
      <c r="AB1027" s="69"/>
      <c r="AC1027" s="91"/>
      <c r="AD1027" s="91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91"/>
        <v>0</v>
      </c>
      <c r="H1028" s="10"/>
      <c r="I1028" s="10"/>
      <c r="J1028" s="10"/>
      <c r="K1028" s="12">
        <f t="shared" si="292"/>
        <v>0</v>
      </c>
      <c r="M1028" s="10">
        <v>27</v>
      </c>
      <c r="N1028" s="30"/>
      <c r="O1028" s="11" t="s">
        <v>27</v>
      </c>
      <c r="P1028" s="47"/>
      <c r="Q1028" s="31"/>
      <c r="R1028" s="31"/>
      <c r="S1028" s="32">
        <f t="shared" si="293"/>
        <v>0</v>
      </c>
      <c r="T1028" s="10"/>
      <c r="U1028" s="10"/>
      <c r="V1028" s="10"/>
      <c r="W1028" s="12">
        <f t="shared" si="294"/>
        <v>0</v>
      </c>
      <c r="Y1028" s="62"/>
      <c r="Z1028" s="66"/>
      <c r="AA1028" s="91"/>
      <c r="AB1028" s="69"/>
      <c r="AC1028" s="91"/>
      <c r="AD1028" s="91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31"/>
      <c r="D1029" s="32"/>
      <c r="E1029" s="32"/>
      <c r="F1029" s="32"/>
      <c r="G1029" s="32">
        <f t="shared" si="291"/>
        <v>0</v>
      </c>
      <c r="H1029" s="10"/>
      <c r="I1029" s="10"/>
      <c r="J1029" s="10"/>
      <c r="K1029" s="12">
        <f t="shared" si="292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93"/>
        <v>0</v>
      </c>
      <c r="T1029" s="10"/>
      <c r="U1029" s="10"/>
      <c r="V1029" s="10"/>
      <c r="W1029" s="12">
        <f t="shared" si="294"/>
        <v>0</v>
      </c>
      <c r="Y1029" s="62"/>
      <c r="Z1029" s="66"/>
      <c r="AA1029" s="91"/>
      <c r="AB1029" s="69"/>
      <c r="AC1029" s="91"/>
      <c r="AD1029" s="91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31"/>
      <c r="D1030" s="32"/>
      <c r="E1030" s="32"/>
      <c r="F1030" s="32"/>
      <c r="G1030" s="32">
        <f t="shared" si="291"/>
        <v>0</v>
      </c>
      <c r="H1030" s="10"/>
      <c r="I1030" s="10"/>
      <c r="J1030" s="10"/>
      <c r="K1030" s="12">
        <f t="shared" si="292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93"/>
        <v>0</v>
      </c>
      <c r="T1030" s="10"/>
      <c r="U1030" s="10"/>
      <c r="V1030" s="10"/>
      <c r="W1030" s="12">
        <f t="shared" si="294"/>
        <v>0</v>
      </c>
      <c r="Y1030" s="62"/>
      <c r="Z1030" s="66"/>
      <c r="AA1030" s="91"/>
      <c r="AB1030" s="69"/>
      <c r="AC1030" s="91"/>
      <c r="AD1030" s="91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D1031" s="32"/>
      <c r="E1031" s="32"/>
      <c r="F1031" s="32"/>
      <c r="G1031" s="32">
        <f t="shared" si="291"/>
        <v>0</v>
      </c>
      <c r="H1031" s="10"/>
      <c r="I1031" s="10"/>
      <c r="J1031" s="10"/>
      <c r="K1031" s="12">
        <f t="shared" si="292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93"/>
        <v>0</v>
      </c>
      <c r="T1031" s="10"/>
      <c r="U1031" s="10"/>
      <c r="V1031" s="10"/>
      <c r="W1031" s="12">
        <f t="shared" si="294"/>
        <v>0</v>
      </c>
      <c r="Y1031" s="62"/>
      <c r="Z1031" s="66"/>
      <c r="AA1031" s="62"/>
      <c r="AB1031" s="69"/>
      <c r="AC1031" s="91"/>
      <c r="AD1031" s="91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88"/>
      <c r="D1032" s="32"/>
      <c r="E1032" s="32"/>
      <c r="F1032" s="32"/>
      <c r="G1032" s="32">
        <f t="shared" si="291"/>
        <v>0</v>
      </c>
      <c r="H1032" s="10"/>
      <c r="I1032" s="10"/>
      <c r="J1032" s="10"/>
      <c r="K1032" s="12">
        <f t="shared" si="292"/>
        <v>0</v>
      </c>
      <c r="M1032" s="10">
        <v>31</v>
      </c>
      <c r="N1032" s="30"/>
      <c r="P1032" s="47"/>
      <c r="Q1032" s="31"/>
      <c r="R1032" s="31"/>
      <c r="S1032" s="32">
        <f t="shared" si="293"/>
        <v>0</v>
      </c>
      <c r="T1032" s="10"/>
      <c r="U1032" s="10"/>
      <c r="V1032" s="10"/>
      <c r="W1032" s="12">
        <f t="shared" si="294"/>
        <v>0</v>
      </c>
      <c r="Y1032" s="62"/>
      <c r="Z1032" s="66"/>
      <c r="AA1032" s="62"/>
      <c r="AB1032" s="69"/>
      <c r="AC1032" s="91"/>
      <c r="AD1032" s="91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57"/>
      <c r="D1033" s="32"/>
      <c r="E1033" s="32"/>
      <c r="F1033" s="32"/>
      <c r="G1033" s="32">
        <f t="shared" si="291"/>
        <v>0</v>
      </c>
      <c r="H1033" s="10"/>
      <c r="I1033" s="10"/>
      <c r="J1033" s="10"/>
      <c r="K1033" s="12">
        <f t="shared" si="292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93"/>
        <v>0</v>
      </c>
      <c r="T1033" s="10"/>
      <c r="U1033" s="10"/>
      <c r="V1033" s="10"/>
      <c r="W1033" s="12">
        <f t="shared" si="294"/>
        <v>0</v>
      </c>
      <c r="Y1033" s="62"/>
      <c r="Z1033" s="66"/>
      <c r="AA1033" s="91"/>
      <c r="AB1033" s="69"/>
      <c r="AC1033" s="91"/>
      <c r="AD1033" s="91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8"/>
      <c r="D1034" s="32"/>
      <c r="E1034" s="32"/>
      <c r="F1034" s="32"/>
      <c r="G1034" s="32">
        <f t="shared" si="291"/>
        <v>0</v>
      </c>
      <c r="H1034" s="10"/>
      <c r="I1034" s="10"/>
      <c r="J1034" s="10"/>
      <c r="K1034" s="12">
        <f t="shared" si="292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93"/>
        <v>0</v>
      </c>
      <c r="T1034" s="10"/>
      <c r="U1034" s="10"/>
      <c r="V1034" s="10"/>
      <c r="W1034" s="12">
        <f t="shared" si="294"/>
        <v>0</v>
      </c>
      <c r="Y1034" s="62"/>
      <c r="Z1034" s="66"/>
      <c r="AA1034" s="91"/>
      <c r="AB1034" s="69"/>
      <c r="AC1034" s="91"/>
      <c r="AD1034" s="91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8"/>
      <c r="D1035" s="32"/>
      <c r="E1035" s="32"/>
      <c r="F1035" s="32"/>
      <c r="G1035" s="32">
        <f t="shared" si="291"/>
        <v>0</v>
      </c>
      <c r="H1035" s="10"/>
      <c r="I1035" s="10"/>
      <c r="J1035" s="10"/>
      <c r="K1035" s="12">
        <f t="shared" si="292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93"/>
        <v>0</v>
      </c>
      <c r="T1035" s="10"/>
      <c r="U1035" s="10"/>
      <c r="V1035" s="10"/>
      <c r="W1035" s="12">
        <f t="shared" si="294"/>
        <v>0</v>
      </c>
      <c r="Y1035" s="62"/>
      <c r="Z1035" s="66"/>
      <c r="AA1035" s="62"/>
      <c r="AB1035" s="69"/>
      <c r="AC1035" s="91"/>
      <c r="AD1035" s="91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8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93"/>
        <v>0</v>
      </c>
      <c r="T1036" s="10"/>
      <c r="U1036" s="10"/>
      <c r="V1036" s="10"/>
      <c r="W1036" s="12">
        <f t="shared" si="294"/>
        <v>0</v>
      </c>
      <c r="Y1036" s="62"/>
      <c r="Z1036" s="66"/>
      <c r="AA1036" s="91"/>
      <c r="AB1036" s="69"/>
      <c r="AC1036" s="91"/>
      <c r="AD1036" s="91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8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93"/>
        <v>0</v>
      </c>
      <c r="T1037" s="10"/>
      <c r="U1037" s="10"/>
      <c r="V1037" s="10"/>
      <c r="W1037" s="12">
        <f t="shared" si="294"/>
        <v>0</v>
      </c>
      <c r="Y1037" s="62"/>
      <c r="Z1037" s="66"/>
      <c r="AA1037" s="91"/>
      <c r="AB1037" s="69"/>
      <c r="AC1037" s="91"/>
      <c r="AD1037" s="91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93"/>
        <v>0</v>
      </c>
      <c r="T1038" s="10"/>
      <c r="U1038" s="10"/>
      <c r="V1038" s="10"/>
      <c r="W1038" s="12">
        <f t="shared" si="294"/>
        <v>0</v>
      </c>
      <c r="Y1038" s="62"/>
      <c r="Z1038" s="66"/>
      <c r="AA1038" s="91"/>
      <c r="AB1038" s="69"/>
      <c r="AC1038" s="91"/>
      <c r="AD1038" s="91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93"/>
        <v>0</v>
      </c>
      <c r="T1039" s="10"/>
      <c r="U1039" s="10"/>
      <c r="V1039" s="10"/>
      <c r="W1039" s="12">
        <f t="shared" si="294"/>
        <v>0</v>
      </c>
      <c r="Y1039" s="62"/>
      <c r="Z1039" s="66"/>
      <c r="AA1039" s="91"/>
      <c r="AB1039" s="69"/>
      <c r="AC1039" s="91"/>
      <c r="AD1039" s="91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93"/>
        <v>0</v>
      </c>
      <c r="T1040" s="10"/>
      <c r="U1040" s="10"/>
      <c r="V1040" s="10"/>
      <c r="W1040" s="12">
        <f t="shared" si="294"/>
        <v>0</v>
      </c>
      <c r="Y1040" s="62"/>
      <c r="Z1040" s="66"/>
      <c r="AA1040" s="91"/>
      <c r="AB1040" s="69"/>
      <c r="AC1040" s="91"/>
      <c r="AD1040" s="91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4"/>
        <v>0</v>
      </c>
      <c r="Y1041" s="62"/>
      <c r="Z1041" s="66"/>
      <c r="AA1041" s="62"/>
      <c r="AB1041" s="69"/>
      <c r="AC1041" s="91"/>
      <c r="AD1041" s="91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7">SUM(D1042:E1042)</f>
        <v>0</v>
      </c>
      <c r="H1042" s="10"/>
      <c r="I1042" s="10"/>
      <c r="J1042" s="10"/>
      <c r="K1042" s="12">
        <f t="shared" ref="K1042" si="298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99">SUM(P1042:Q1042)</f>
        <v>0</v>
      </c>
      <c r="T1042" s="10"/>
      <c r="U1042" s="10"/>
      <c r="V1042" s="10"/>
      <c r="W1042" s="12">
        <f t="shared" si="294"/>
        <v>0</v>
      </c>
      <c r="Y1042" s="62"/>
      <c r="Z1042" s="66"/>
      <c r="AA1042" s="91"/>
      <c r="AB1042" s="69"/>
      <c r="AC1042" s="91"/>
      <c r="AD1042" s="91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4"/>
        <v>0</v>
      </c>
      <c r="Y1043" s="62"/>
      <c r="Z1043" s="91"/>
      <c r="AA1043" s="91"/>
      <c r="AB1043" s="91"/>
      <c r="AC1043" s="91"/>
      <c r="AD1043" s="91"/>
      <c r="AE1043" s="91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Y1044" s="62"/>
      <c r="Z1044" s="91"/>
      <c r="AA1044" s="91"/>
      <c r="AB1044" s="91"/>
      <c r="AC1044" s="91"/>
      <c r="AD1044" s="91"/>
      <c r="AE1044" s="91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105259.5</v>
      </c>
      <c r="E1045" s="38">
        <f t="shared" ref="E1045:F1045" si="300">SUM(E1002:E1042)</f>
        <v>0</v>
      </c>
      <c r="F1045" s="38">
        <f t="shared" si="300"/>
        <v>0</v>
      </c>
      <c r="G1045" s="38">
        <f>SUM(G1002:G1044)</f>
        <v>105259.5</v>
      </c>
      <c r="H1045" s="4"/>
      <c r="I1045" s="39">
        <f>SUM(I1002:I1044)</f>
        <v>54</v>
      </c>
      <c r="J1045" s="39">
        <f>SUM(J1002:J1044)</f>
        <v>0</v>
      </c>
      <c r="K1045" s="40">
        <f>SUM(K1002:K1044)</f>
        <v>105313.5</v>
      </c>
      <c r="N1045" s="57"/>
      <c r="O1045" s="57"/>
      <c r="P1045" s="38">
        <f>SUM(P1002:P1044)</f>
        <v>143775</v>
      </c>
      <c r="Q1045" s="38">
        <f>SUM(Q1002:Q1026)</f>
        <v>0</v>
      </c>
      <c r="R1045" s="38">
        <f>SUM(R1002:R1026)</f>
        <v>0</v>
      </c>
      <c r="S1045" s="38">
        <f>SUM(S1002:S1044)</f>
        <v>143775</v>
      </c>
      <c r="T1045" s="4"/>
      <c r="U1045" s="41">
        <f>SUM(U1002:U1044)</f>
        <v>226.5</v>
      </c>
      <c r="V1045" s="41">
        <f>SUM(V1002:V1026)</f>
        <v>0</v>
      </c>
      <c r="W1045" s="42">
        <f>SUM(W1002:W1044)</f>
        <v>144001.5</v>
      </c>
      <c r="Y1045" s="62"/>
      <c r="Z1045" s="91"/>
      <c r="AA1045" s="91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41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41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41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96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96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98</v>
      </c>
      <c r="W1053" s="24"/>
      <c r="Y1053" s="21" t="s">
        <v>96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82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5" t="s">
        <v>17</v>
      </c>
      <c r="E1055" s="125"/>
      <c r="F1055" s="112"/>
      <c r="G1055" s="27"/>
      <c r="I1055" s="123" t="s">
        <v>18</v>
      </c>
      <c r="J1055" s="124"/>
      <c r="K1055" s="121" t="s">
        <v>19</v>
      </c>
      <c r="N1055" s="25"/>
      <c r="O1055" s="26"/>
      <c r="P1055" s="125" t="s">
        <v>17</v>
      </c>
      <c r="Q1055" s="125"/>
      <c r="R1055" s="112"/>
      <c r="S1055" s="27"/>
      <c r="U1055" s="123" t="s">
        <v>18</v>
      </c>
      <c r="V1055" s="124"/>
      <c r="W1055" s="121" t="s">
        <v>19</v>
      </c>
      <c r="Z1055" s="25"/>
      <c r="AA1055" s="26"/>
      <c r="AB1055" s="125" t="s">
        <v>17</v>
      </c>
      <c r="AC1055" s="125"/>
      <c r="AD1055" s="112"/>
      <c r="AE1055" s="27"/>
      <c r="AG1055" s="123" t="s">
        <v>18</v>
      </c>
      <c r="AH1055" s="124"/>
      <c r="AI1055" s="121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9" t="s">
        <v>22</v>
      </c>
      <c r="E1056" s="78" t="s">
        <v>23</v>
      </c>
      <c r="F1056" s="80" t="s">
        <v>32</v>
      </c>
      <c r="G1056" s="80" t="s">
        <v>24</v>
      </c>
      <c r="I1056" s="29" t="s">
        <v>25</v>
      </c>
      <c r="J1056" s="29" t="s">
        <v>26</v>
      </c>
      <c r="K1056" s="122"/>
      <c r="N1056" s="28" t="s">
        <v>20</v>
      </c>
      <c r="O1056" s="28" t="s">
        <v>21</v>
      </c>
      <c r="P1056" s="79" t="s">
        <v>22</v>
      </c>
      <c r="Q1056" s="80" t="s">
        <v>23</v>
      </c>
      <c r="R1056" s="80" t="s">
        <v>32</v>
      </c>
      <c r="S1056" s="80" t="s">
        <v>24</v>
      </c>
      <c r="U1056" s="29" t="s">
        <v>25</v>
      </c>
      <c r="V1056" s="29" t="s">
        <v>26</v>
      </c>
      <c r="W1056" s="122"/>
      <c r="Z1056" s="28" t="s">
        <v>20</v>
      </c>
      <c r="AA1056" s="28" t="s">
        <v>21</v>
      </c>
      <c r="AB1056" s="79" t="s">
        <v>22</v>
      </c>
      <c r="AC1056" s="80" t="s">
        <v>23</v>
      </c>
      <c r="AD1056" s="80" t="s">
        <v>32</v>
      </c>
      <c r="AE1056" s="80" t="s">
        <v>24</v>
      </c>
      <c r="AG1056" s="29" t="s">
        <v>25</v>
      </c>
      <c r="AH1056" s="29" t="s">
        <v>26</v>
      </c>
      <c r="AI1056" s="12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97</v>
      </c>
      <c r="C1057" s="88">
        <v>8530</v>
      </c>
      <c r="D1057" s="32">
        <f>650*18+622*3+9.5*21</f>
        <v>13765.5</v>
      </c>
      <c r="E1057" s="32"/>
      <c r="F1057" s="32"/>
      <c r="G1057" s="32">
        <f t="shared" ref="G1057:G1090" si="301">SUM(D1057:E1057)</f>
        <v>13765.5</v>
      </c>
      <c r="H1057" s="12"/>
      <c r="I1057" s="12"/>
      <c r="J1057" s="12"/>
      <c r="K1057" s="12">
        <f t="shared" ref="K1057:K1090" si="302">SUM(G1057:J1057)</f>
        <v>13765.5</v>
      </c>
      <c r="M1057" s="10">
        <v>1</v>
      </c>
      <c r="N1057" s="30" t="s">
        <v>97</v>
      </c>
      <c r="O1057" s="31">
        <v>8719</v>
      </c>
      <c r="P1057" s="32">
        <f>650*7+9.5*7</f>
        <v>4616.5</v>
      </c>
      <c r="Q1057" s="32"/>
      <c r="R1057" s="32"/>
      <c r="S1057" s="32">
        <f>SUM(P1057:Q1057)</f>
        <v>4616.5</v>
      </c>
      <c r="T1057" s="12"/>
      <c r="U1057" s="12"/>
      <c r="V1057" s="12"/>
      <c r="W1057" s="12">
        <f>SUM(S1057:V1057)</f>
        <v>4616.5</v>
      </c>
      <c r="Y1057" s="10">
        <v>1</v>
      </c>
      <c r="Z1057" s="30" t="s">
        <v>97</v>
      </c>
      <c r="AA1057" s="31">
        <v>8659</v>
      </c>
      <c r="AB1057" s="32">
        <f>650*150+622*50+229*9+700*5</f>
        <v>134161</v>
      </c>
      <c r="AC1057" s="32"/>
      <c r="AD1057" s="32"/>
      <c r="AE1057" s="32">
        <f>SUM(AB1057:AC1057)</f>
        <v>134161</v>
      </c>
      <c r="AF1057" s="12"/>
      <c r="AG1057" s="12"/>
      <c r="AH1057" s="12">
        <f>-111*40+-1200+-504</f>
        <v>-6144</v>
      </c>
      <c r="AI1057" s="12">
        <f>SUM(AE1057:AH1057)</f>
        <v>128017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97</v>
      </c>
      <c r="C1058" s="31">
        <f>C1057+1</f>
        <v>8531</v>
      </c>
      <c r="D1058" s="32">
        <f>650*3+9.5*3</f>
        <v>1978.5</v>
      </c>
      <c r="E1058" s="32"/>
      <c r="F1058" s="32"/>
      <c r="G1058" s="32">
        <f t="shared" si="301"/>
        <v>1978.5</v>
      </c>
      <c r="H1058" s="12"/>
      <c r="I1058" s="12"/>
      <c r="J1058" s="12"/>
      <c r="K1058" s="12">
        <f t="shared" si="302"/>
        <v>1978.5</v>
      </c>
      <c r="M1058" s="10">
        <v>2</v>
      </c>
      <c r="N1058" s="30" t="s">
        <v>97</v>
      </c>
      <c r="O1058" s="31">
        <f>O1057+1</f>
        <v>8720</v>
      </c>
      <c r="P1058" s="32">
        <f>650*2+670*4+622*2+9.5*4</f>
        <v>5262</v>
      </c>
      <c r="Q1058" s="32"/>
      <c r="R1058" s="32"/>
      <c r="S1058" s="32">
        <f t="shared" ref="S1058:S1095" si="303">SUM(P1058:Q1058)</f>
        <v>5262</v>
      </c>
      <c r="T1058" s="12"/>
      <c r="U1058" s="12"/>
      <c r="V1058" s="12"/>
      <c r="W1058" s="12">
        <f t="shared" ref="W1058:W1098" si="304">SUM(S1058:V1058)</f>
        <v>5262</v>
      </c>
      <c r="Y1058" s="10">
        <v>2</v>
      </c>
      <c r="Z1058" s="30" t="s">
        <v>97</v>
      </c>
      <c r="AA1058" s="31">
        <f>AA1057+1</f>
        <v>8660</v>
      </c>
      <c r="AB1058" s="32">
        <f>650*6</f>
        <v>3900</v>
      </c>
      <c r="AC1058" s="32"/>
      <c r="AD1058" s="32"/>
      <c r="AE1058" s="32">
        <f t="shared" ref="AE1058:AE1089" si="305">SUM(AB1058:AC1058)</f>
        <v>3900</v>
      </c>
      <c r="AF1058" s="12"/>
      <c r="AG1058" s="12"/>
      <c r="AH1058" s="12"/>
      <c r="AI1058" s="12">
        <f t="shared" ref="AI1058:AI1098" si="306">SUM(AE1058:AH1058)</f>
        <v>3900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97</v>
      </c>
      <c r="C1059" s="31">
        <f t="shared" ref="C1059:C1069" si="307">C1058+1</f>
        <v>8532</v>
      </c>
      <c r="D1059" s="33">
        <f>650*3+9.5*3</f>
        <v>1978.5</v>
      </c>
      <c r="E1059" s="33"/>
      <c r="F1059" s="33"/>
      <c r="G1059" s="33">
        <f t="shared" si="301"/>
        <v>1978.5</v>
      </c>
      <c r="H1059" s="34"/>
      <c r="I1059" s="34"/>
      <c r="J1059" s="34"/>
      <c r="K1059" s="34">
        <f t="shared" si="302"/>
        <v>1978.5</v>
      </c>
      <c r="M1059" s="10">
        <v>3</v>
      </c>
      <c r="N1059" s="30" t="s">
        <v>97</v>
      </c>
      <c r="O1059" s="31">
        <f t="shared" ref="O1059:O1063" si="308">O1058+1</f>
        <v>8721</v>
      </c>
      <c r="P1059" s="32">
        <f>650*33</f>
        <v>21450</v>
      </c>
      <c r="Q1059" s="32"/>
      <c r="R1059" s="32"/>
      <c r="S1059" s="32">
        <f t="shared" si="303"/>
        <v>21450</v>
      </c>
      <c r="T1059" s="12"/>
      <c r="U1059" s="12"/>
      <c r="V1059" s="12"/>
      <c r="W1059" s="12">
        <f t="shared" si="304"/>
        <v>21450</v>
      </c>
      <c r="Y1059" s="10">
        <v>3</v>
      </c>
      <c r="Z1059" s="30" t="s">
        <v>97</v>
      </c>
      <c r="AA1059" s="31">
        <f t="shared" ref="AA1059:AA1067" si="309">AA1058+1</f>
        <v>8661</v>
      </c>
      <c r="AB1059" s="33">
        <f>650*6</f>
        <v>3900</v>
      </c>
      <c r="AC1059" s="33"/>
      <c r="AD1059" s="32"/>
      <c r="AE1059" s="32">
        <f t="shared" si="305"/>
        <v>3900</v>
      </c>
      <c r="AF1059" s="12"/>
      <c r="AG1059" s="12"/>
      <c r="AH1059" s="12"/>
      <c r="AI1059" s="12">
        <f t="shared" si="306"/>
        <v>3900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97</v>
      </c>
      <c r="C1060" s="31">
        <f t="shared" si="307"/>
        <v>8533</v>
      </c>
      <c r="D1060" s="32">
        <f>650*12+670*2+9.5*12</f>
        <v>9254</v>
      </c>
      <c r="E1060" s="32"/>
      <c r="F1060" s="32"/>
      <c r="G1060" s="32">
        <f t="shared" si="301"/>
        <v>9254</v>
      </c>
      <c r="H1060" s="12"/>
      <c r="I1060" s="12"/>
      <c r="J1060" s="12"/>
      <c r="K1060" s="12">
        <f t="shared" si="302"/>
        <v>9254</v>
      </c>
      <c r="M1060" s="10">
        <v>4</v>
      </c>
      <c r="N1060" s="30" t="s">
        <v>97</v>
      </c>
      <c r="O1060" s="31">
        <f t="shared" si="308"/>
        <v>8722</v>
      </c>
      <c r="P1060" s="32">
        <f>650*120+622*20+229*6</f>
        <v>91814</v>
      </c>
      <c r="Q1060" s="32">
        <v>-840</v>
      </c>
      <c r="R1060" s="32"/>
      <c r="S1060" s="32">
        <f t="shared" si="303"/>
        <v>90974</v>
      </c>
      <c r="T1060" s="12"/>
      <c r="U1060" s="12">
        <f>390+54</f>
        <v>444</v>
      </c>
      <c r="V1060" s="12">
        <f>-588+-252</f>
        <v>-840</v>
      </c>
      <c r="W1060" s="12">
        <f t="shared" si="304"/>
        <v>90578</v>
      </c>
      <c r="Y1060" s="10">
        <v>4</v>
      </c>
      <c r="Z1060" s="30" t="s">
        <v>97</v>
      </c>
      <c r="AA1060" s="31">
        <f t="shared" si="309"/>
        <v>8662</v>
      </c>
      <c r="AB1060" s="32">
        <f>650*41+5598+229</f>
        <v>32477</v>
      </c>
      <c r="AC1060" s="32"/>
      <c r="AD1060" s="32"/>
      <c r="AE1060" s="32">
        <f t="shared" si="305"/>
        <v>32477</v>
      </c>
      <c r="AF1060" s="12"/>
      <c r="AH1060" s="12"/>
      <c r="AI1060" s="12">
        <f t="shared" si="306"/>
        <v>32477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97</v>
      </c>
      <c r="C1061" s="31">
        <f t="shared" si="307"/>
        <v>8534</v>
      </c>
      <c r="D1061" s="32">
        <f>650*2+670*3+9.5*2</f>
        <v>3329</v>
      </c>
      <c r="E1061" s="32"/>
      <c r="F1061" s="32"/>
      <c r="G1061" s="32">
        <f t="shared" si="301"/>
        <v>3329</v>
      </c>
      <c r="H1061" s="12"/>
      <c r="I1061" s="12"/>
      <c r="J1061" s="12"/>
      <c r="K1061" s="12">
        <f t="shared" si="302"/>
        <v>3329</v>
      </c>
      <c r="M1061" s="10">
        <v>5</v>
      </c>
      <c r="N1061" s="30" t="s">
        <v>97</v>
      </c>
      <c r="O1061" s="31">
        <f t="shared" si="308"/>
        <v>8723</v>
      </c>
      <c r="P1061" s="32">
        <f>650*3+622*2+9.5*5</f>
        <v>3241.5</v>
      </c>
      <c r="Q1061" s="32"/>
      <c r="R1061" s="32"/>
      <c r="S1061" s="32">
        <f t="shared" si="303"/>
        <v>3241.5</v>
      </c>
      <c r="T1061" s="12"/>
      <c r="U1061" s="12"/>
      <c r="V1061" s="12"/>
      <c r="W1061" s="12">
        <f t="shared" si="304"/>
        <v>3241.5</v>
      </c>
      <c r="Y1061" s="10">
        <v>5</v>
      </c>
      <c r="Z1061" s="30" t="s">
        <v>97</v>
      </c>
      <c r="AA1061" s="31">
        <f t="shared" si="309"/>
        <v>8663</v>
      </c>
      <c r="AB1061" s="32">
        <f>650*9+9.5*9</f>
        <v>5935.5</v>
      </c>
      <c r="AC1061" s="32"/>
      <c r="AD1061" s="32"/>
      <c r="AE1061" s="32">
        <f t="shared" si="305"/>
        <v>5935.5</v>
      </c>
      <c r="AF1061" s="12"/>
      <c r="AG1061" s="12">
        <v>36</v>
      </c>
      <c r="AH1061" s="12"/>
      <c r="AI1061" s="12">
        <f t="shared" si="306"/>
        <v>5971.5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97</v>
      </c>
      <c r="C1062" s="31">
        <f t="shared" si="307"/>
        <v>8535</v>
      </c>
      <c r="D1062" s="32">
        <f>650*33</f>
        <v>21450</v>
      </c>
      <c r="E1062" s="32"/>
      <c r="F1062" s="32"/>
      <c r="G1062" s="32">
        <f t="shared" si="301"/>
        <v>21450</v>
      </c>
      <c r="H1062" s="12"/>
      <c r="I1062" s="12">
        <v>13.5</v>
      </c>
      <c r="J1062" s="12"/>
      <c r="K1062" s="12">
        <f t="shared" si="302"/>
        <v>21463.5</v>
      </c>
      <c r="M1062" s="10">
        <v>6</v>
      </c>
      <c r="N1062" s="30" t="s">
        <v>97</v>
      </c>
      <c r="O1062" s="31">
        <f t="shared" si="308"/>
        <v>8724</v>
      </c>
      <c r="P1062" s="32">
        <f>650*13</f>
        <v>8450</v>
      </c>
      <c r="Q1062" s="32"/>
      <c r="R1062" s="32"/>
      <c r="S1062" s="32">
        <f t="shared" si="303"/>
        <v>8450</v>
      </c>
      <c r="T1062" s="12"/>
      <c r="U1062" s="12"/>
      <c r="V1062" s="10"/>
      <c r="W1062" s="12">
        <f t="shared" si="304"/>
        <v>8450</v>
      </c>
      <c r="Y1062" s="10">
        <v>6</v>
      </c>
      <c r="Z1062" s="30" t="s">
        <v>97</v>
      </c>
      <c r="AA1062" s="31">
        <f t="shared" si="309"/>
        <v>8664</v>
      </c>
      <c r="AB1062" s="32">
        <f>650*47+670*3+229</f>
        <v>32789</v>
      </c>
      <c r="AC1062" s="32">
        <v>-300</v>
      </c>
      <c r="AD1062" s="32"/>
      <c r="AE1062" s="32">
        <f t="shared" si="305"/>
        <v>32489</v>
      </c>
      <c r="AF1062" s="12"/>
      <c r="AG1062" s="12"/>
      <c r="AH1062" s="10">
        <f>-4.5*80+-111*20</f>
        <v>-2580</v>
      </c>
      <c r="AI1062" s="12">
        <f t="shared" si="306"/>
        <v>29909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97</v>
      </c>
      <c r="C1063" s="31">
        <f t="shared" si="307"/>
        <v>8536</v>
      </c>
      <c r="D1063" s="32">
        <f>650*10+622*5+9.5*16</f>
        <v>9762</v>
      </c>
      <c r="E1063" s="32"/>
      <c r="F1063" s="32"/>
      <c r="G1063" s="32">
        <f t="shared" si="301"/>
        <v>9762</v>
      </c>
      <c r="H1063" s="12"/>
      <c r="I1063" s="12"/>
      <c r="J1063" s="12"/>
      <c r="K1063" s="12">
        <f t="shared" si="302"/>
        <v>9762</v>
      </c>
      <c r="M1063" s="10">
        <v>7</v>
      </c>
      <c r="N1063" s="30" t="s">
        <v>97</v>
      </c>
      <c r="O1063" s="31">
        <f t="shared" si="308"/>
        <v>8725</v>
      </c>
      <c r="P1063" s="32">
        <f>650*12+622+9.5*13</f>
        <v>8545.5</v>
      </c>
      <c r="Q1063" s="32"/>
      <c r="R1063" s="32"/>
      <c r="S1063" s="32">
        <f t="shared" si="303"/>
        <v>8545.5</v>
      </c>
      <c r="T1063" s="12"/>
      <c r="U1063" s="12"/>
      <c r="V1063" s="12"/>
      <c r="W1063" s="12">
        <f t="shared" si="304"/>
        <v>8545.5</v>
      </c>
      <c r="Y1063" s="10">
        <v>7</v>
      </c>
      <c r="Z1063" s="30" t="s">
        <v>97</v>
      </c>
      <c r="AA1063" s="31">
        <f t="shared" si="309"/>
        <v>8665</v>
      </c>
      <c r="AB1063" s="32">
        <f>650*105+700*2</f>
        <v>69650</v>
      </c>
      <c r="AC1063" s="32"/>
      <c r="AD1063" s="32"/>
      <c r="AE1063" s="32">
        <f t="shared" si="305"/>
        <v>69650</v>
      </c>
      <c r="AF1063" s="12"/>
      <c r="AG1063" s="58">
        <f>4.5*13</f>
        <v>58.5</v>
      </c>
      <c r="AH1063" s="12"/>
      <c r="AI1063" s="12">
        <f t="shared" si="306"/>
        <v>69708.5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97</v>
      </c>
      <c r="C1064" s="31">
        <f t="shared" si="307"/>
        <v>8537</v>
      </c>
      <c r="D1064" s="32">
        <f>650*60+622*10+229*2</f>
        <v>45678</v>
      </c>
      <c r="E1064" s="32"/>
      <c r="F1064" s="32"/>
      <c r="G1064" s="32">
        <f t="shared" si="301"/>
        <v>45678</v>
      </c>
      <c r="H1064" s="12"/>
      <c r="I1064" s="12"/>
      <c r="J1064" s="12"/>
      <c r="K1064" s="12">
        <f t="shared" si="302"/>
        <v>45678</v>
      </c>
      <c r="M1064" s="10">
        <v>8</v>
      </c>
      <c r="N1064" s="30"/>
      <c r="O1064" s="11" t="s">
        <v>27</v>
      </c>
      <c r="P1064" s="32"/>
      <c r="Q1064" s="32"/>
      <c r="R1064" s="32"/>
      <c r="S1064" s="32">
        <f t="shared" si="303"/>
        <v>0</v>
      </c>
      <c r="T1064" s="12"/>
      <c r="U1064" s="12"/>
      <c r="V1064" s="12"/>
      <c r="W1064" s="12">
        <f t="shared" si="304"/>
        <v>0</v>
      </c>
      <c r="Y1064" s="10">
        <v>8</v>
      </c>
      <c r="Z1064" s="30" t="s">
        <v>97</v>
      </c>
      <c r="AA1064" s="31">
        <f t="shared" si="309"/>
        <v>8666</v>
      </c>
      <c r="AB1064" s="32">
        <f>650*8+670*2+229</f>
        <v>6769</v>
      </c>
      <c r="AC1064" s="32"/>
      <c r="AE1064" s="32">
        <f t="shared" si="305"/>
        <v>6769</v>
      </c>
      <c r="AF1064" s="12"/>
      <c r="AG1064" s="12"/>
      <c r="AH1064" s="12"/>
      <c r="AI1064" s="12">
        <f t="shared" si="306"/>
        <v>6769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97</v>
      </c>
      <c r="C1065" s="31">
        <f t="shared" si="307"/>
        <v>8538</v>
      </c>
      <c r="D1065" s="32">
        <f>650*96+670*5+700*5+622*2+912*2+500</f>
        <v>72818</v>
      </c>
      <c r="E1065" s="32"/>
      <c r="F1065" s="32"/>
      <c r="G1065" s="32">
        <f t="shared" si="301"/>
        <v>72818</v>
      </c>
      <c r="H1065" s="12"/>
      <c r="I1065" s="12">
        <f>111*7+4*2.25+4.5*30</f>
        <v>921</v>
      </c>
      <c r="J1065" s="12"/>
      <c r="K1065" s="12">
        <f t="shared" si="302"/>
        <v>73739</v>
      </c>
      <c r="M1065" s="10">
        <v>9</v>
      </c>
      <c r="N1065" s="30"/>
      <c r="O1065" s="31"/>
      <c r="P1065" s="32"/>
      <c r="Q1065" s="32"/>
      <c r="R1065" s="32"/>
      <c r="S1065" s="32">
        <f t="shared" si="303"/>
        <v>0</v>
      </c>
      <c r="T1065" s="12"/>
      <c r="U1065" s="12"/>
      <c r="V1065" s="12"/>
      <c r="W1065" s="12">
        <f t="shared" si="304"/>
        <v>0</v>
      </c>
      <c r="Y1065" s="10">
        <v>9</v>
      </c>
      <c r="Z1065" s="30" t="s">
        <v>97</v>
      </c>
      <c r="AA1065" s="31">
        <f t="shared" si="309"/>
        <v>8667</v>
      </c>
      <c r="AB1065" s="32">
        <f>650*4</f>
        <v>2600</v>
      </c>
      <c r="AC1065" s="32"/>
      <c r="AD1065" s="32"/>
      <c r="AE1065" s="32">
        <f t="shared" si="305"/>
        <v>2600</v>
      </c>
      <c r="AF1065" s="12"/>
      <c r="AH1065" s="12"/>
      <c r="AI1065" s="12">
        <f t="shared" si="306"/>
        <v>2600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97</v>
      </c>
      <c r="C1066" s="31">
        <f t="shared" si="307"/>
        <v>8539</v>
      </c>
      <c r="D1066" s="32">
        <f>650*2</f>
        <v>1300</v>
      </c>
      <c r="E1066" s="32"/>
      <c r="F1066" s="32"/>
      <c r="G1066" s="32">
        <f t="shared" si="301"/>
        <v>1300</v>
      </c>
      <c r="H1066" s="12"/>
      <c r="I1066" s="12"/>
      <c r="J1066" s="12"/>
      <c r="K1066" s="12">
        <f t="shared" si="302"/>
        <v>1300</v>
      </c>
      <c r="M1066" s="10">
        <v>10</v>
      </c>
      <c r="N1066" s="30"/>
      <c r="O1066" s="31"/>
      <c r="P1066" s="32"/>
      <c r="Q1066" s="32"/>
      <c r="R1066" s="32"/>
      <c r="S1066" s="32">
        <f t="shared" si="303"/>
        <v>0</v>
      </c>
      <c r="T1066" s="12"/>
      <c r="U1066" s="12"/>
      <c r="V1066" s="12"/>
      <c r="W1066" s="12">
        <f t="shared" si="304"/>
        <v>0</v>
      </c>
      <c r="Y1066" s="10">
        <v>10</v>
      </c>
      <c r="Z1066" s="30" t="s">
        <v>97</v>
      </c>
      <c r="AA1066" s="31">
        <f t="shared" si="309"/>
        <v>8668</v>
      </c>
      <c r="AB1066" s="32">
        <f>650*24+622*6</f>
        <v>19332</v>
      </c>
      <c r="AC1066" s="32"/>
      <c r="AD1066" s="32"/>
      <c r="AE1066" s="32">
        <f t="shared" si="305"/>
        <v>19332</v>
      </c>
      <c r="AF1066" s="12"/>
      <c r="AG1066" s="12"/>
      <c r="AH1066" s="12"/>
      <c r="AI1066" s="12">
        <f t="shared" si="306"/>
        <v>19332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97</v>
      </c>
      <c r="C1067" s="31">
        <f t="shared" si="307"/>
        <v>8540</v>
      </c>
      <c r="D1067" s="32">
        <f>650*62+700*5</f>
        <v>43800</v>
      </c>
      <c r="E1067" s="32"/>
      <c r="F1067" s="32"/>
      <c r="G1067" s="32">
        <f t="shared" si="301"/>
        <v>43800</v>
      </c>
      <c r="H1067" s="12"/>
      <c r="I1067" s="12"/>
      <c r="J1067" s="12">
        <v>-312</v>
      </c>
      <c r="K1067" s="12">
        <f t="shared" si="302"/>
        <v>43488</v>
      </c>
      <c r="M1067" s="10">
        <v>11</v>
      </c>
      <c r="N1067" s="30"/>
      <c r="O1067" s="31"/>
      <c r="P1067" s="32"/>
      <c r="Q1067" s="32"/>
      <c r="R1067" s="32"/>
      <c r="S1067" s="32">
        <f t="shared" si="303"/>
        <v>0</v>
      </c>
      <c r="T1067" s="12"/>
      <c r="U1067" s="12"/>
      <c r="V1067" s="12"/>
      <c r="W1067" s="12">
        <f t="shared" si="304"/>
        <v>0</v>
      </c>
      <c r="Y1067" s="10">
        <v>11</v>
      </c>
      <c r="Z1067" s="30" t="s">
        <v>97</v>
      </c>
      <c r="AA1067" s="31">
        <f t="shared" si="309"/>
        <v>8669</v>
      </c>
      <c r="AB1067" s="32">
        <f>650*20</f>
        <v>13000</v>
      </c>
      <c r="AC1067" s="32"/>
      <c r="AD1067" s="32"/>
      <c r="AE1067" s="32">
        <f t="shared" si="305"/>
        <v>13000</v>
      </c>
      <c r="AF1067" s="12"/>
      <c r="AG1067" s="12"/>
      <c r="AH1067" s="12"/>
      <c r="AI1067" s="12">
        <f t="shared" si="306"/>
        <v>13000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97</v>
      </c>
      <c r="C1068" s="31">
        <f t="shared" si="307"/>
        <v>8541</v>
      </c>
      <c r="D1068" s="32">
        <f>60*973</f>
        <v>58380</v>
      </c>
      <c r="E1068" s="32"/>
      <c r="F1068" s="32"/>
      <c r="G1068" s="32">
        <f t="shared" si="301"/>
        <v>58380</v>
      </c>
      <c r="H1068" s="12"/>
      <c r="I1068" s="12"/>
      <c r="J1068" s="10"/>
      <c r="K1068" s="12">
        <f t="shared" si="302"/>
        <v>58380</v>
      </c>
      <c r="M1068" s="10">
        <v>12</v>
      </c>
      <c r="N1068" s="30"/>
      <c r="O1068" s="31"/>
      <c r="P1068" s="32"/>
      <c r="Q1068" s="32"/>
      <c r="R1068" s="32"/>
      <c r="S1068" s="32">
        <f t="shared" si="303"/>
        <v>0</v>
      </c>
      <c r="T1068" s="12"/>
      <c r="U1068" s="12"/>
      <c r="V1068" s="12"/>
      <c r="W1068" s="12">
        <f t="shared" si="304"/>
        <v>0</v>
      </c>
      <c r="Y1068" s="10">
        <v>12</v>
      </c>
      <c r="Z1068" s="30"/>
      <c r="AA1068" s="11" t="s">
        <v>27</v>
      </c>
      <c r="AB1068" s="32"/>
      <c r="AC1068" s="32"/>
      <c r="AD1068" s="32"/>
      <c r="AE1068" s="32">
        <f t="shared" si="305"/>
        <v>0</v>
      </c>
      <c r="AF1068" s="12"/>
      <c r="AG1068" s="12"/>
      <c r="AH1068" s="12"/>
      <c r="AI1068" s="12">
        <f t="shared" si="306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97</v>
      </c>
      <c r="C1069" s="31">
        <f t="shared" si="307"/>
        <v>8542</v>
      </c>
      <c r="D1069" s="32">
        <f>650*10+9.5*10</f>
        <v>6595</v>
      </c>
      <c r="E1069" s="32"/>
      <c r="F1069" s="32"/>
      <c r="G1069" s="32">
        <f t="shared" si="301"/>
        <v>6595</v>
      </c>
      <c r="H1069" s="12"/>
      <c r="I1069" s="12"/>
      <c r="J1069" s="12"/>
      <c r="K1069" s="12">
        <f t="shared" si="302"/>
        <v>6595</v>
      </c>
      <c r="M1069" s="10">
        <v>13</v>
      </c>
      <c r="N1069" s="30"/>
      <c r="O1069" s="31"/>
      <c r="P1069" s="32"/>
      <c r="Q1069" s="32"/>
      <c r="R1069" s="32"/>
      <c r="S1069" s="32">
        <f t="shared" si="303"/>
        <v>0</v>
      </c>
      <c r="T1069" s="12"/>
      <c r="U1069" s="12"/>
      <c r="V1069" s="12"/>
      <c r="W1069" s="12">
        <f t="shared" si="304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05"/>
        <v>0</v>
      </c>
      <c r="AF1069" s="12"/>
      <c r="AG1069" s="12"/>
      <c r="AH1069" s="12"/>
      <c r="AI1069" s="12">
        <f t="shared" si="306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11" t="s">
        <v>27</v>
      </c>
      <c r="D1070" s="32"/>
      <c r="E1070" s="32"/>
      <c r="F1070" s="32"/>
      <c r="G1070" s="32">
        <f t="shared" si="301"/>
        <v>0</v>
      </c>
      <c r="H1070" s="12"/>
      <c r="I1070" s="12"/>
      <c r="J1070" s="12"/>
      <c r="K1070" s="12">
        <f t="shared" si="302"/>
        <v>0</v>
      </c>
      <c r="M1070" s="10">
        <v>14</v>
      </c>
      <c r="N1070" s="30"/>
      <c r="O1070" s="31"/>
      <c r="P1070" s="32"/>
      <c r="Q1070" s="32"/>
      <c r="R1070" s="32"/>
      <c r="S1070" s="32">
        <f t="shared" si="303"/>
        <v>0</v>
      </c>
      <c r="T1070" s="12"/>
      <c r="U1070" s="12"/>
      <c r="V1070" s="12"/>
      <c r="W1070" s="12">
        <f t="shared" si="304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05"/>
        <v>0</v>
      </c>
      <c r="AF1070" s="12"/>
      <c r="AG1070" s="12"/>
      <c r="AH1070" s="12"/>
      <c r="AI1070" s="12">
        <f t="shared" si="306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D1071" s="32"/>
      <c r="E1071" s="32"/>
      <c r="F1071" s="32"/>
      <c r="G1071" s="32">
        <f t="shared" si="301"/>
        <v>0</v>
      </c>
      <c r="H1071" s="12"/>
      <c r="I1071" s="12"/>
      <c r="J1071" s="12"/>
      <c r="K1071" s="12">
        <f t="shared" si="302"/>
        <v>0</v>
      </c>
      <c r="M1071" s="10">
        <v>15</v>
      </c>
      <c r="N1071" s="30"/>
      <c r="O1071" s="31"/>
      <c r="P1071" s="32"/>
      <c r="Q1071" s="32"/>
      <c r="R1071" s="32"/>
      <c r="S1071" s="32">
        <f t="shared" si="303"/>
        <v>0</v>
      </c>
      <c r="T1071" s="12"/>
      <c r="U1071" s="12"/>
      <c r="V1071" s="12"/>
      <c r="W1071" s="12">
        <f t="shared" si="304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05"/>
        <v>0</v>
      </c>
      <c r="AF1071" s="12"/>
      <c r="AG1071" s="12"/>
      <c r="AH1071" s="12"/>
      <c r="AI1071" s="12">
        <f t="shared" si="306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C1072" s="31"/>
      <c r="D1072" s="32"/>
      <c r="E1072" s="32"/>
      <c r="F1072" s="32"/>
      <c r="G1072" s="32">
        <f t="shared" si="301"/>
        <v>0</v>
      </c>
      <c r="H1072" s="12"/>
      <c r="I1072" s="12"/>
      <c r="J1072" s="12"/>
      <c r="K1072" s="12">
        <f t="shared" si="302"/>
        <v>0</v>
      </c>
      <c r="M1072" s="10">
        <v>16</v>
      </c>
      <c r="N1072" s="30"/>
      <c r="O1072" s="31"/>
      <c r="P1072" s="32"/>
      <c r="Q1072" s="32"/>
      <c r="R1072" s="32"/>
      <c r="S1072" s="32">
        <f t="shared" si="303"/>
        <v>0</v>
      </c>
      <c r="T1072" s="12"/>
      <c r="U1072" s="12"/>
      <c r="V1072" s="12"/>
      <c r="W1072" s="12">
        <f t="shared" si="304"/>
        <v>0</v>
      </c>
      <c r="Y1072" s="10">
        <v>16</v>
      </c>
      <c r="Z1072" s="30"/>
      <c r="AA1072" s="31"/>
      <c r="AB1072" s="32"/>
      <c r="AC1072" s="32"/>
      <c r="AD1072" s="32"/>
      <c r="AE1072" s="32">
        <f t="shared" si="305"/>
        <v>0</v>
      </c>
      <c r="AF1072" s="12"/>
      <c r="AG1072" s="12"/>
      <c r="AH1072" s="12"/>
      <c r="AI1072" s="12">
        <f t="shared" si="306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301"/>
        <v>0</v>
      </c>
      <c r="H1073" s="12"/>
      <c r="I1073" s="12"/>
      <c r="J1073" s="12"/>
      <c r="K1073" s="12">
        <f t="shared" si="302"/>
        <v>0</v>
      </c>
      <c r="M1073" s="10">
        <v>17</v>
      </c>
      <c r="N1073" s="30"/>
      <c r="O1073" s="31"/>
      <c r="P1073" s="35"/>
      <c r="Q1073" s="32"/>
      <c r="R1073" s="32"/>
      <c r="S1073" s="32">
        <f t="shared" si="303"/>
        <v>0</v>
      </c>
      <c r="T1073" s="12"/>
      <c r="U1073" s="12"/>
      <c r="V1073" s="12"/>
      <c r="W1073" s="12">
        <f t="shared" si="304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05"/>
        <v>0</v>
      </c>
      <c r="AF1073" s="12"/>
      <c r="AG1073" s="12"/>
      <c r="AH1073" s="12"/>
      <c r="AI1073" s="12">
        <f t="shared" si="306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301"/>
        <v>0</v>
      </c>
      <c r="H1074" s="12"/>
      <c r="I1074" s="12"/>
      <c r="J1074" s="12"/>
      <c r="K1074" s="12">
        <f t="shared" si="302"/>
        <v>0</v>
      </c>
      <c r="M1074" s="10">
        <v>18</v>
      </c>
      <c r="N1074" s="30"/>
      <c r="O1074" s="31"/>
      <c r="P1074" s="32"/>
      <c r="Q1074" s="32"/>
      <c r="R1074" s="32"/>
      <c r="S1074" s="32">
        <f t="shared" si="303"/>
        <v>0</v>
      </c>
      <c r="T1074" s="12"/>
      <c r="U1074" s="12"/>
      <c r="V1074" s="12"/>
      <c r="W1074" s="12">
        <f t="shared" si="304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05"/>
        <v>0</v>
      </c>
      <c r="AF1074" s="12"/>
      <c r="AG1074" s="12"/>
      <c r="AH1074" s="12"/>
      <c r="AI1074" s="12">
        <f t="shared" si="306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301"/>
        <v>0</v>
      </c>
      <c r="H1075" s="12"/>
      <c r="I1075" s="12"/>
      <c r="J1075" s="12"/>
      <c r="K1075" s="12">
        <f t="shared" si="302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303"/>
        <v>0</v>
      </c>
      <c r="T1075" s="12"/>
      <c r="U1075" s="12"/>
      <c r="V1075" s="12"/>
      <c r="W1075" s="12">
        <f t="shared" si="304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05"/>
        <v>0</v>
      </c>
      <c r="AF1075" s="12"/>
      <c r="AG1075" s="12"/>
      <c r="AH1075" s="12"/>
      <c r="AI1075" s="12">
        <f t="shared" si="306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301"/>
        <v>0</v>
      </c>
      <c r="H1076" s="12"/>
      <c r="I1076" s="12"/>
      <c r="J1076" s="12"/>
      <c r="K1076" s="12">
        <f t="shared" si="302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303"/>
        <v>0</v>
      </c>
      <c r="T1076" s="12"/>
      <c r="U1076" s="12"/>
      <c r="V1076" s="12"/>
      <c r="W1076" s="12">
        <f t="shared" si="304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305"/>
        <v>0</v>
      </c>
      <c r="AF1076" s="12"/>
      <c r="AG1076" s="12"/>
      <c r="AH1076" s="12"/>
      <c r="AI1076" s="12">
        <f t="shared" si="306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301"/>
        <v>0</v>
      </c>
      <c r="H1077" s="10"/>
      <c r="I1077" s="10"/>
      <c r="J1077" s="10"/>
      <c r="K1077" s="12">
        <f t="shared" si="302"/>
        <v>0</v>
      </c>
      <c r="M1077" s="10">
        <v>21</v>
      </c>
      <c r="N1077" s="30"/>
      <c r="O1077" s="31"/>
      <c r="P1077" s="46"/>
      <c r="Q1077" s="31"/>
      <c r="R1077" s="31"/>
      <c r="S1077" s="32">
        <f t="shared" si="303"/>
        <v>0</v>
      </c>
      <c r="T1077" s="10"/>
      <c r="U1077" s="10"/>
      <c r="V1077" s="10"/>
      <c r="W1077" s="12">
        <f t="shared" si="304"/>
        <v>0</v>
      </c>
      <c r="Y1077" s="10">
        <v>21</v>
      </c>
      <c r="Z1077" s="30"/>
      <c r="AB1077" s="46"/>
      <c r="AC1077" s="31"/>
      <c r="AD1077" s="31"/>
      <c r="AE1077" s="32">
        <f t="shared" si="305"/>
        <v>0</v>
      </c>
      <c r="AF1077" s="10"/>
      <c r="AG1077" s="10"/>
      <c r="AH1077" s="10"/>
      <c r="AI1077" s="12">
        <f t="shared" si="306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301"/>
        <v>0</v>
      </c>
      <c r="H1078" s="10"/>
      <c r="I1078" s="10"/>
      <c r="J1078" s="10"/>
      <c r="K1078" s="12">
        <f t="shared" si="302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303"/>
        <v>0</v>
      </c>
      <c r="T1078" s="10"/>
      <c r="U1078" s="10"/>
      <c r="V1078" s="10"/>
      <c r="W1078" s="12">
        <f t="shared" si="304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05"/>
        <v>0</v>
      </c>
      <c r="AF1078" s="10"/>
      <c r="AG1078" s="10"/>
      <c r="AH1078" s="10"/>
      <c r="AI1078" s="12">
        <f t="shared" si="306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57"/>
      <c r="D1079" s="32"/>
      <c r="E1079" s="32"/>
      <c r="F1079" s="32"/>
      <c r="G1079" s="32">
        <f t="shared" si="301"/>
        <v>0</v>
      </c>
      <c r="H1079" s="10"/>
      <c r="I1079" s="10"/>
      <c r="J1079" s="12"/>
      <c r="K1079" s="12">
        <f t="shared" si="302"/>
        <v>0</v>
      </c>
      <c r="M1079" s="10">
        <v>23</v>
      </c>
      <c r="N1079" s="30"/>
      <c r="O1079" s="31"/>
      <c r="P1079" s="47"/>
      <c r="Q1079" s="31"/>
      <c r="S1079" s="32">
        <f t="shared" si="303"/>
        <v>0</v>
      </c>
      <c r="T1079" s="10"/>
      <c r="U1079" s="10"/>
      <c r="V1079" s="10"/>
      <c r="W1079" s="12">
        <f t="shared" si="304"/>
        <v>0</v>
      </c>
      <c r="Y1079" s="10">
        <v>23</v>
      </c>
      <c r="Z1079" s="30"/>
      <c r="AB1079" s="47"/>
      <c r="AC1079" s="31"/>
      <c r="AE1079" s="32">
        <f t="shared" si="305"/>
        <v>0</v>
      </c>
      <c r="AF1079" s="10"/>
      <c r="AG1079" s="10"/>
      <c r="AH1079" s="10"/>
      <c r="AI1079" s="12">
        <f t="shared" si="306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301"/>
        <v>0</v>
      </c>
      <c r="H1080" s="10"/>
      <c r="I1080" s="10"/>
      <c r="J1080" s="10"/>
      <c r="K1080" s="12">
        <f t="shared" si="302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303"/>
        <v>0</v>
      </c>
      <c r="T1080" s="10"/>
      <c r="U1080" s="10"/>
      <c r="V1080" s="10"/>
      <c r="W1080" s="12">
        <f t="shared" si="304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05"/>
        <v>0</v>
      </c>
      <c r="AF1080" s="10"/>
      <c r="AG1080" s="10"/>
      <c r="AH1080" s="10"/>
      <c r="AI1080" s="12">
        <f t="shared" si="306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31"/>
      <c r="D1081" s="32"/>
      <c r="E1081" s="32"/>
      <c r="F1081" s="32"/>
      <c r="G1081" s="32">
        <f t="shared" si="301"/>
        <v>0</v>
      </c>
      <c r="H1081" s="10"/>
      <c r="I1081" s="10"/>
      <c r="J1081" s="10"/>
      <c r="K1081" s="12">
        <f t="shared" si="302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303"/>
        <v>0</v>
      </c>
      <c r="T1081" s="10"/>
      <c r="U1081" s="10"/>
      <c r="V1081" s="10"/>
      <c r="W1081" s="12">
        <f t="shared" si="304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05"/>
        <v>0</v>
      </c>
      <c r="AF1081" s="10"/>
      <c r="AG1081" s="10"/>
      <c r="AH1081" s="10"/>
      <c r="AI1081" s="12">
        <f t="shared" si="306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301"/>
        <v>0</v>
      </c>
      <c r="H1082" s="10"/>
      <c r="I1082" s="10"/>
      <c r="J1082" s="10"/>
      <c r="K1082" s="12">
        <f t="shared" si="302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303"/>
        <v>0</v>
      </c>
      <c r="T1082" s="10"/>
      <c r="U1082" s="10"/>
      <c r="V1082" s="10"/>
      <c r="W1082" s="12">
        <f t="shared" si="304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05"/>
        <v>0</v>
      </c>
      <c r="AF1082" s="10"/>
      <c r="AG1082" s="10"/>
      <c r="AH1082" s="10"/>
      <c r="AI1082" s="12">
        <f t="shared" si="306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301"/>
        <v>0</v>
      </c>
      <c r="H1083" s="10"/>
      <c r="I1083" s="10"/>
      <c r="J1083" s="10"/>
      <c r="K1083" s="12">
        <f t="shared" si="302"/>
        <v>0</v>
      </c>
      <c r="M1083" s="10">
        <v>27</v>
      </c>
      <c r="N1083" s="30"/>
      <c r="P1083" s="47"/>
      <c r="Q1083" s="31"/>
      <c r="R1083" s="31"/>
      <c r="S1083" s="32">
        <f t="shared" si="303"/>
        <v>0</v>
      </c>
      <c r="T1083" s="10"/>
      <c r="U1083" s="10"/>
      <c r="V1083" s="10"/>
      <c r="W1083" s="12">
        <f t="shared" si="304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05"/>
        <v>0</v>
      </c>
      <c r="AF1083" s="10"/>
      <c r="AG1083" s="10"/>
      <c r="AH1083" s="10"/>
      <c r="AI1083" s="12">
        <f t="shared" si="306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31"/>
      <c r="D1084" s="32"/>
      <c r="E1084" s="32"/>
      <c r="F1084" s="32"/>
      <c r="G1084" s="32">
        <f t="shared" si="301"/>
        <v>0</v>
      </c>
      <c r="H1084" s="10"/>
      <c r="I1084" s="10"/>
      <c r="J1084" s="10"/>
      <c r="K1084" s="12">
        <f t="shared" si="302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303"/>
        <v>0</v>
      </c>
      <c r="T1084" s="10"/>
      <c r="U1084" s="10"/>
      <c r="V1084" s="10"/>
      <c r="W1084" s="12">
        <f t="shared" si="304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05"/>
        <v>0</v>
      </c>
      <c r="AF1084" s="10"/>
      <c r="AG1084" s="10"/>
      <c r="AH1084" s="10"/>
      <c r="AI1084" s="12">
        <f t="shared" si="306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31"/>
      <c r="D1085" s="32"/>
      <c r="E1085" s="32"/>
      <c r="F1085" s="32"/>
      <c r="G1085" s="32">
        <f t="shared" si="301"/>
        <v>0</v>
      </c>
      <c r="H1085" s="10"/>
      <c r="I1085" s="10"/>
      <c r="J1085" s="10"/>
      <c r="K1085" s="12">
        <f t="shared" si="302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303"/>
        <v>0</v>
      </c>
      <c r="T1085" s="10"/>
      <c r="U1085" s="10"/>
      <c r="V1085" s="10"/>
      <c r="W1085" s="12">
        <f t="shared" si="304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05"/>
        <v>0</v>
      </c>
      <c r="AF1085" s="10"/>
      <c r="AG1085" s="10"/>
      <c r="AH1085" s="10"/>
      <c r="AI1085" s="12">
        <f t="shared" si="306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301"/>
        <v>0</v>
      </c>
      <c r="H1086" s="10"/>
      <c r="I1086" s="10"/>
      <c r="J1086" s="10"/>
      <c r="K1086" s="12">
        <f t="shared" si="302"/>
        <v>0</v>
      </c>
      <c r="M1086" s="10">
        <v>30</v>
      </c>
      <c r="N1086" s="30"/>
      <c r="O1086" s="31"/>
      <c r="P1086" s="47"/>
      <c r="Q1086" s="31"/>
      <c r="R1086" s="31"/>
      <c r="S1086" s="32">
        <f t="shared" si="303"/>
        <v>0</v>
      </c>
      <c r="T1086" s="10"/>
      <c r="U1086" s="10"/>
      <c r="V1086" s="10"/>
      <c r="W1086" s="12">
        <f t="shared" si="304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05"/>
        <v>0</v>
      </c>
      <c r="AF1086" s="10"/>
      <c r="AG1086" s="10"/>
      <c r="AH1086" s="10"/>
      <c r="AI1086" s="12">
        <f t="shared" si="306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88"/>
      <c r="D1087" s="32"/>
      <c r="E1087" s="32"/>
      <c r="F1087" s="32"/>
      <c r="G1087" s="32">
        <f t="shared" si="301"/>
        <v>0</v>
      </c>
      <c r="H1087" s="10"/>
      <c r="I1087" s="10"/>
      <c r="J1087" s="10"/>
      <c r="K1087" s="12">
        <f t="shared" si="302"/>
        <v>0</v>
      </c>
      <c r="M1087" s="10">
        <v>31</v>
      </c>
      <c r="N1087" s="30"/>
      <c r="P1087" s="47"/>
      <c r="Q1087" s="31"/>
      <c r="R1087" s="31"/>
      <c r="S1087" s="32">
        <f t="shared" si="303"/>
        <v>0</v>
      </c>
      <c r="T1087" s="10"/>
      <c r="U1087" s="10"/>
      <c r="V1087" s="10"/>
      <c r="W1087" s="12">
        <f t="shared" si="304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05"/>
        <v>0</v>
      </c>
      <c r="AF1087" s="10"/>
      <c r="AG1087" s="10"/>
      <c r="AH1087" s="10"/>
      <c r="AI1087" s="12">
        <f t="shared" si="306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57"/>
      <c r="D1088" s="32"/>
      <c r="E1088" s="32"/>
      <c r="F1088" s="32"/>
      <c r="G1088" s="32">
        <f t="shared" si="301"/>
        <v>0</v>
      </c>
      <c r="H1088" s="10"/>
      <c r="I1088" s="10"/>
      <c r="J1088" s="10"/>
      <c r="K1088" s="12">
        <f t="shared" si="302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303"/>
        <v>0</v>
      </c>
      <c r="T1088" s="10"/>
      <c r="U1088" s="10"/>
      <c r="V1088" s="10"/>
      <c r="W1088" s="12">
        <f t="shared" si="304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05"/>
        <v>0</v>
      </c>
      <c r="AF1088" s="10"/>
      <c r="AG1088" s="10"/>
      <c r="AH1088" s="10"/>
      <c r="AI1088" s="12">
        <f t="shared" si="306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8"/>
      <c r="D1089" s="32"/>
      <c r="E1089" s="32"/>
      <c r="F1089" s="32"/>
      <c r="G1089" s="32">
        <f t="shared" si="301"/>
        <v>0</v>
      </c>
      <c r="H1089" s="10"/>
      <c r="I1089" s="10"/>
      <c r="J1089" s="10"/>
      <c r="K1089" s="12">
        <f t="shared" si="302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303"/>
        <v>0</v>
      </c>
      <c r="T1089" s="10"/>
      <c r="U1089" s="10"/>
      <c r="V1089" s="10"/>
      <c r="W1089" s="12">
        <f t="shared" si="304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05"/>
        <v>0</v>
      </c>
      <c r="AF1089" s="10"/>
      <c r="AG1089" s="10"/>
      <c r="AH1089" s="10"/>
      <c r="AI1089" s="12">
        <f t="shared" si="306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8"/>
      <c r="D1090" s="32"/>
      <c r="E1090" s="32"/>
      <c r="F1090" s="32"/>
      <c r="G1090" s="32">
        <f t="shared" si="301"/>
        <v>0</v>
      </c>
      <c r="H1090" s="10"/>
      <c r="I1090" s="10"/>
      <c r="J1090" s="10"/>
      <c r="K1090" s="12">
        <f t="shared" si="302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303"/>
        <v>0</v>
      </c>
      <c r="T1090" s="10"/>
      <c r="U1090" s="10"/>
      <c r="V1090" s="10"/>
      <c r="W1090" s="12">
        <f t="shared" si="304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0">SUM(AB1090:AC1090)</f>
        <v>0</v>
      </c>
      <c r="AF1090" s="10"/>
      <c r="AG1090" s="10"/>
      <c r="AH1090" s="10"/>
      <c r="AI1090" s="12">
        <f t="shared" si="306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8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303"/>
        <v>0</v>
      </c>
      <c r="T1091" s="10"/>
      <c r="U1091" s="10"/>
      <c r="V1091" s="10"/>
      <c r="W1091" s="12">
        <f t="shared" si="304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0"/>
        <v>0</v>
      </c>
      <c r="AF1091" s="10"/>
      <c r="AG1091" s="10"/>
      <c r="AH1091" s="10"/>
      <c r="AI1091" s="12">
        <f t="shared" si="306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8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303"/>
        <v>0</v>
      </c>
      <c r="T1092" s="10"/>
      <c r="U1092" s="10"/>
      <c r="V1092" s="10"/>
      <c r="W1092" s="12">
        <f t="shared" si="304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0"/>
        <v>0</v>
      </c>
      <c r="AF1092" s="10"/>
      <c r="AG1092" s="10"/>
      <c r="AH1092" s="10"/>
      <c r="AI1092" s="12">
        <f t="shared" si="306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303"/>
        <v>0</v>
      </c>
      <c r="T1093" s="10"/>
      <c r="U1093" s="10"/>
      <c r="V1093" s="10"/>
      <c r="W1093" s="12">
        <f t="shared" si="304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0"/>
        <v>0</v>
      </c>
      <c r="AF1093" s="10"/>
      <c r="AG1093" s="10"/>
      <c r="AH1093" s="10"/>
      <c r="AI1093" s="12">
        <f t="shared" si="306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303"/>
        <v>0</v>
      </c>
      <c r="T1094" s="10"/>
      <c r="U1094" s="10"/>
      <c r="V1094" s="10"/>
      <c r="W1094" s="12">
        <f t="shared" si="304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0"/>
        <v>0</v>
      </c>
      <c r="AF1094" s="10"/>
      <c r="AG1094" s="10"/>
      <c r="AH1094" s="10"/>
      <c r="AI1094" s="12">
        <f t="shared" si="306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303"/>
        <v>0</v>
      </c>
      <c r="T1095" s="10"/>
      <c r="U1095" s="10"/>
      <c r="V1095" s="10"/>
      <c r="W1095" s="12">
        <f t="shared" si="304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0"/>
        <v>0</v>
      </c>
      <c r="AF1095" s="10"/>
      <c r="AG1095" s="10"/>
      <c r="AH1095" s="10"/>
      <c r="AI1095" s="12">
        <f t="shared" si="306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04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06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11">SUM(D1097:E1097)</f>
        <v>0</v>
      </c>
      <c r="H1097" s="10"/>
      <c r="I1097" s="10"/>
      <c r="J1097" s="10"/>
      <c r="K1097" s="12">
        <f t="shared" ref="K1097" si="312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13">SUM(P1097:Q1097)</f>
        <v>0</v>
      </c>
      <c r="T1097" s="10"/>
      <c r="U1097" s="10"/>
      <c r="V1097" s="10"/>
      <c r="W1097" s="12">
        <f t="shared" si="304"/>
        <v>0</v>
      </c>
      <c r="Y1097" s="10"/>
      <c r="Z1097" s="30"/>
      <c r="AA1097" s="31"/>
      <c r="AB1097" s="47"/>
      <c r="AC1097" s="31"/>
      <c r="AD1097" s="31"/>
      <c r="AE1097" s="32">
        <f t="shared" ref="AE1097" si="314">SUM(AB1097:AC1097)</f>
        <v>0</v>
      </c>
      <c r="AF1097" s="10"/>
      <c r="AG1097" s="10"/>
      <c r="AH1097" s="10"/>
      <c r="AI1097" s="12">
        <f t="shared" si="306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04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06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290088.5</v>
      </c>
      <c r="E1100" s="38">
        <f t="shared" ref="E1100:F1100" si="315">SUM(E1057:E1097)</f>
        <v>0</v>
      </c>
      <c r="F1100" s="38">
        <f t="shared" si="315"/>
        <v>0</v>
      </c>
      <c r="G1100" s="38">
        <f>SUM(G1057:G1099)</f>
        <v>290088.5</v>
      </c>
      <c r="H1100" s="4"/>
      <c r="I1100" s="39">
        <f>SUM(I1057:I1099)</f>
        <v>934.5</v>
      </c>
      <c r="J1100" s="39">
        <f>SUM(J1057:J1099)</f>
        <v>-312</v>
      </c>
      <c r="K1100" s="40">
        <f>SUM(K1057:K1099)</f>
        <v>290711</v>
      </c>
      <c r="N1100" s="57"/>
      <c r="O1100" s="57"/>
      <c r="P1100" s="38">
        <f>SUM(P1057:P1099)</f>
        <v>143379.5</v>
      </c>
      <c r="Q1100" s="38">
        <f>SUM(Q1057:Q1081)</f>
        <v>-840</v>
      </c>
      <c r="R1100" s="38">
        <f>SUM(R1057:R1081)</f>
        <v>0</v>
      </c>
      <c r="S1100" s="38">
        <f>SUM(S1057:S1099)</f>
        <v>142539.5</v>
      </c>
      <c r="T1100" s="4"/>
      <c r="U1100" s="41">
        <f>SUM(U1057:U1099)</f>
        <v>444</v>
      </c>
      <c r="V1100" s="41">
        <f>SUM(V1057:V1081)</f>
        <v>-840</v>
      </c>
      <c r="W1100" s="42">
        <f>SUM(W1057:W1099)</f>
        <v>142143.5</v>
      </c>
      <c r="Z1100" s="57"/>
      <c r="AA1100" s="57"/>
      <c r="AB1100" s="38">
        <f>SUM(AB1057:AB1099)</f>
        <v>324513.5</v>
      </c>
      <c r="AC1100" s="38">
        <f>SUM(AC1057:AC1081)</f>
        <v>-300</v>
      </c>
      <c r="AD1100" s="38">
        <f>SUM(AD1057:AD1081)</f>
        <v>0</v>
      </c>
      <c r="AE1100" s="38">
        <f>SUM(AE1057:AE1099)</f>
        <v>324213.5</v>
      </c>
      <c r="AF1100" s="4"/>
      <c r="AG1100" s="41">
        <f>SUM(AG1057:AG1099)</f>
        <v>94.5</v>
      </c>
      <c r="AH1100" s="41">
        <f>SUM(AH1057:AH1081)</f>
        <v>-8724</v>
      </c>
      <c r="AI1100" s="42">
        <f>SUM(AI1057:AI1099)</f>
        <v>315584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100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100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98</v>
      </c>
      <c r="W1108" s="24"/>
      <c r="Y1108" s="21" t="s">
        <v>100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82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5" t="s">
        <v>17</v>
      </c>
      <c r="E1110" s="125"/>
      <c r="F1110" s="113"/>
      <c r="G1110" s="27"/>
      <c r="I1110" s="123" t="s">
        <v>18</v>
      </c>
      <c r="J1110" s="124"/>
      <c r="K1110" s="121" t="s">
        <v>19</v>
      </c>
      <c r="N1110" s="25"/>
      <c r="O1110" s="26"/>
      <c r="P1110" s="125" t="s">
        <v>17</v>
      </c>
      <c r="Q1110" s="125"/>
      <c r="R1110" s="113"/>
      <c r="S1110" s="27"/>
      <c r="U1110" s="123" t="s">
        <v>18</v>
      </c>
      <c r="V1110" s="124"/>
      <c r="W1110" s="121" t="s">
        <v>19</v>
      </c>
      <c r="Z1110" s="25"/>
      <c r="AA1110" s="26"/>
      <c r="AB1110" s="125" t="s">
        <v>17</v>
      </c>
      <c r="AC1110" s="125"/>
      <c r="AD1110" s="113"/>
      <c r="AE1110" s="27"/>
      <c r="AG1110" s="123" t="s">
        <v>18</v>
      </c>
      <c r="AH1110" s="124"/>
      <c r="AI1110" s="121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9" t="s">
        <v>22</v>
      </c>
      <c r="E1111" s="78" t="s">
        <v>23</v>
      </c>
      <c r="F1111" s="80" t="s">
        <v>32</v>
      </c>
      <c r="G1111" s="80" t="s">
        <v>24</v>
      </c>
      <c r="I1111" s="29" t="s">
        <v>25</v>
      </c>
      <c r="J1111" s="29" t="s">
        <v>26</v>
      </c>
      <c r="K1111" s="122"/>
      <c r="N1111" s="28" t="s">
        <v>20</v>
      </c>
      <c r="O1111" s="28" t="s">
        <v>21</v>
      </c>
      <c r="P1111" s="79" t="s">
        <v>22</v>
      </c>
      <c r="Q1111" s="80" t="s">
        <v>23</v>
      </c>
      <c r="R1111" s="80" t="s">
        <v>32</v>
      </c>
      <c r="S1111" s="80" t="s">
        <v>24</v>
      </c>
      <c r="U1111" s="29" t="s">
        <v>25</v>
      </c>
      <c r="V1111" s="29" t="s">
        <v>26</v>
      </c>
      <c r="W1111" s="122"/>
      <c r="Z1111" s="28" t="s">
        <v>20</v>
      </c>
      <c r="AA1111" s="28" t="s">
        <v>21</v>
      </c>
      <c r="AB1111" s="79" t="s">
        <v>22</v>
      </c>
      <c r="AC1111" s="80" t="s">
        <v>23</v>
      </c>
      <c r="AD1111" s="80" t="s">
        <v>32</v>
      </c>
      <c r="AE1111" s="80" t="s">
        <v>24</v>
      </c>
      <c r="AG1111" s="29" t="s">
        <v>25</v>
      </c>
      <c r="AH1111" s="29" t="s">
        <v>26</v>
      </c>
      <c r="AI1111" s="12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101</v>
      </c>
      <c r="C1112" s="88">
        <v>8543</v>
      </c>
      <c r="D1112" s="32">
        <f>650*14+36*622+229*2</f>
        <v>31950</v>
      </c>
      <c r="E1112" s="32">
        <v>-300</v>
      </c>
      <c r="F1112" s="32"/>
      <c r="G1112" s="32">
        <f t="shared" ref="G1112:G1145" si="316">SUM(D1112:E1112)</f>
        <v>31650</v>
      </c>
      <c r="H1112" s="12"/>
      <c r="I1112" s="12">
        <f>5550+156</f>
        <v>5706</v>
      </c>
      <c r="J1112" s="12"/>
      <c r="K1112" s="12">
        <f t="shared" ref="K1112:K1145" si="317">SUM(G1112:J1112)</f>
        <v>37356</v>
      </c>
      <c r="M1112" s="10">
        <v>1</v>
      </c>
      <c r="N1112" s="30" t="s">
        <v>101</v>
      </c>
      <c r="O1112" s="31">
        <v>8726</v>
      </c>
      <c r="P1112" s="32">
        <f>650*3+670</f>
        <v>2620</v>
      </c>
      <c r="Q1112" s="32"/>
      <c r="R1112" s="32"/>
      <c r="S1112" s="32">
        <f>SUM(P1112:Q1112)</f>
        <v>2620</v>
      </c>
      <c r="T1112" s="12"/>
      <c r="U1112" s="12"/>
      <c r="V1112" s="12">
        <v>-777</v>
      </c>
      <c r="W1112" s="12">
        <f>SUM(S1112:V1112)</f>
        <v>1843</v>
      </c>
      <c r="Y1112" s="10">
        <v>1</v>
      </c>
      <c r="Z1112" s="30" t="s">
        <v>101</v>
      </c>
      <c r="AA1112" s="31">
        <v>8670</v>
      </c>
      <c r="AB1112" s="32">
        <f>650*25+622*5</f>
        <v>19360</v>
      </c>
      <c r="AC1112" s="32"/>
      <c r="AD1112" s="32"/>
      <c r="AE1112" s="32">
        <f>SUM(AB1112:AC1112)</f>
        <v>19360</v>
      </c>
      <c r="AF1112" s="12"/>
      <c r="AG1112" s="12"/>
      <c r="AH1112" s="12"/>
      <c r="AI1112" s="12">
        <f>SUM(AE1112:AH1112)</f>
        <v>19360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101</v>
      </c>
      <c r="C1113" s="31">
        <f>C1112+1</f>
        <v>8544</v>
      </c>
      <c r="D1113" s="32">
        <f>650*8+9.5*8</f>
        <v>5276</v>
      </c>
      <c r="E1113" s="32"/>
      <c r="F1113" s="32"/>
      <c r="G1113" s="32">
        <f t="shared" si="316"/>
        <v>5276</v>
      </c>
      <c r="H1113" s="12"/>
      <c r="I1113" s="12"/>
      <c r="J1113" s="12"/>
      <c r="K1113" s="12">
        <f t="shared" si="317"/>
        <v>5276</v>
      </c>
      <c r="M1113" s="10">
        <v>2</v>
      </c>
      <c r="N1113" s="30" t="s">
        <v>101</v>
      </c>
      <c r="O1113" s="31">
        <f>O1112+1</f>
        <v>8727</v>
      </c>
      <c r="P1113" s="32">
        <f>3250+47.5</f>
        <v>3297.5</v>
      </c>
      <c r="Q1113" s="32"/>
      <c r="R1113" s="32"/>
      <c r="S1113" s="32">
        <f t="shared" ref="S1113:S1150" si="318">SUM(P1113:Q1113)</f>
        <v>3297.5</v>
      </c>
      <c r="T1113" s="12"/>
      <c r="U1113" s="12"/>
      <c r="V1113" s="12">
        <v>-1221</v>
      </c>
      <c r="W1113" s="12">
        <f t="shared" ref="W1113:W1153" si="319">SUM(S1113:V1113)</f>
        <v>2076.5</v>
      </c>
      <c r="Y1113" s="10">
        <v>2</v>
      </c>
      <c r="Z1113" s="30" t="s">
        <v>101</v>
      </c>
      <c r="AA1113" s="31">
        <f>AA1112+1</f>
        <v>8671</v>
      </c>
      <c r="AB1113" s="32">
        <f>650*200+670*15+622*20+229*2+650*2</f>
        <v>154248</v>
      </c>
      <c r="AC1113" s="32">
        <v>-1422</v>
      </c>
      <c r="AD1113" s="32"/>
      <c r="AE1113" s="32">
        <f t="shared" ref="AE1113:AE1144" si="320">SUM(AB1113:AC1113)</f>
        <v>152826</v>
      </c>
      <c r="AF1113" s="12"/>
      <c r="AG1113" s="12">
        <v>189</v>
      </c>
      <c r="AH1113" s="12"/>
      <c r="AI1113" s="12">
        <f t="shared" ref="AI1113:AI1153" si="321">SUM(AE1113:AH1113)</f>
        <v>153015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101</v>
      </c>
      <c r="C1114" s="31">
        <f t="shared" ref="C1114:C1119" si="322">C1113+1</f>
        <v>8545</v>
      </c>
      <c r="D1114" s="33">
        <f>650*40</f>
        <v>26000</v>
      </c>
      <c r="E1114" s="33"/>
      <c r="F1114" s="33"/>
      <c r="G1114" s="33">
        <f t="shared" si="316"/>
        <v>26000</v>
      </c>
      <c r="H1114" s="34"/>
      <c r="I1114" s="34">
        <f>4.5*72</f>
        <v>324</v>
      </c>
      <c r="J1114" s="34"/>
      <c r="K1114" s="34">
        <f t="shared" si="317"/>
        <v>26324</v>
      </c>
      <c r="M1114" s="10">
        <v>3</v>
      </c>
      <c r="N1114" s="30" t="s">
        <v>101</v>
      </c>
      <c r="O1114" s="31">
        <f t="shared" ref="O1114" si="323">O1113+1</f>
        <v>8728</v>
      </c>
      <c r="P1114" s="32">
        <f>650*324+622*50+229*15</f>
        <v>245135</v>
      </c>
      <c r="Q1114" s="32">
        <v>-2244</v>
      </c>
      <c r="R1114" s="32"/>
      <c r="S1114" s="32">
        <f t="shared" si="318"/>
        <v>242891</v>
      </c>
      <c r="T1114" s="12"/>
      <c r="U1114" s="12">
        <v>624</v>
      </c>
      <c r="V1114" s="12">
        <f>-2997+-252</f>
        <v>-3249</v>
      </c>
      <c r="W1114" s="12">
        <f t="shared" si="319"/>
        <v>240266</v>
      </c>
      <c r="Y1114" s="10">
        <v>3</v>
      </c>
      <c r="Z1114" s="30" t="s">
        <v>101</v>
      </c>
      <c r="AA1114" s="31">
        <f t="shared" ref="AA1114:AA1116" si="324">AA1113+1</f>
        <v>8672</v>
      </c>
      <c r="AB1114" s="33">
        <f>650*50+622*10+229*2</f>
        <v>39178</v>
      </c>
      <c r="AC1114" s="33"/>
      <c r="AD1114" s="32"/>
      <c r="AE1114" s="32">
        <f t="shared" si="320"/>
        <v>39178</v>
      </c>
      <c r="AF1114" s="12"/>
      <c r="AG1114" s="12"/>
      <c r="AH1114" s="12"/>
      <c r="AI1114" s="12">
        <f t="shared" si="321"/>
        <v>39178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101</v>
      </c>
      <c r="C1115" s="31">
        <f t="shared" si="322"/>
        <v>8546</v>
      </c>
      <c r="D1115" s="32">
        <f>650*40+670*3+622*10+912+229</f>
        <v>35371</v>
      </c>
      <c r="E1115" s="32"/>
      <c r="F1115" s="32"/>
      <c r="G1115" s="32">
        <f t="shared" si="316"/>
        <v>35371</v>
      </c>
      <c r="H1115" s="12"/>
      <c r="I1115" s="12">
        <f>36+270</f>
        <v>306</v>
      </c>
      <c r="J1115" s="12"/>
      <c r="K1115" s="12">
        <f t="shared" si="317"/>
        <v>35677</v>
      </c>
      <c r="M1115" s="10">
        <v>4</v>
      </c>
      <c r="N1115" s="30"/>
      <c r="O1115" s="11" t="s">
        <v>27</v>
      </c>
      <c r="P1115" s="32"/>
      <c r="Q1115" s="32"/>
      <c r="R1115" s="32"/>
      <c r="S1115" s="32">
        <f t="shared" si="318"/>
        <v>0</v>
      </c>
      <c r="T1115" s="12"/>
      <c r="U1115" s="12"/>
      <c r="V1115" s="12"/>
      <c r="W1115" s="12">
        <f t="shared" si="319"/>
        <v>0</v>
      </c>
      <c r="Y1115" s="10">
        <v>4</v>
      </c>
      <c r="Z1115" s="30" t="s">
        <v>101</v>
      </c>
      <c r="AA1115" s="31">
        <f t="shared" si="324"/>
        <v>8673</v>
      </c>
      <c r="AB1115" s="32">
        <f>1340+872</f>
        <v>2212</v>
      </c>
      <c r="AC1115" s="32"/>
      <c r="AD1115" s="32"/>
      <c r="AE1115" s="32">
        <f t="shared" si="320"/>
        <v>2212</v>
      </c>
      <c r="AF1115" s="12"/>
      <c r="AH1115" s="12"/>
      <c r="AI1115" s="12">
        <f t="shared" si="321"/>
        <v>2212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101</v>
      </c>
      <c r="C1116" s="31">
        <f t="shared" si="322"/>
        <v>8547</v>
      </c>
      <c r="D1116" s="32">
        <f>650*14+622*2</f>
        <v>10344</v>
      </c>
      <c r="E1116" s="32"/>
      <c r="F1116" s="32"/>
      <c r="G1116" s="32">
        <f t="shared" si="316"/>
        <v>10344</v>
      </c>
      <c r="H1116" s="12"/>
      <c r="I1116" s="12"/>
      <c r="J1116" s="12"/>
      <c r="K1116" s="12">
        <f t="shared" si="317"/>
        <v>10344</v>
      </c>
      <c r="M1116" s="10">
        <v>5</v>
      </c>
      <c r="N1116" s="30"/>
      <c r="O1116" s="31"/>
      <c r="P1116" s="32"/>
      <c r="Q1116" s="32"/>
      <c r="R1116" s="32"/>
      <c r="S1116" s="32">
        <f t="shared" si="318"/>
        <v>0</v>
      </c>
      <c r="T1116" s="12"/>
      <c r="U1116" s="12"/>
      <c r="V1116" s="12"/>
      <c r="W1116" s="12">
        <f t="shared" si="319"/>
        <v>0</v>
      </c>
      <c r="Y1116" s="10">
        <v>5</v>
      </c>
      <c r="Z1116" s="30" t="s">
        <v>101</v>
      </c>
      <c r="AA1116" s="31">
        <f t="shared" si="324"/>
        <v>8674</v>
      </c>
      <c r="AB1116" s="32">
        <f>650*50+670*10+229</f>
        <v>39429</v>
      </c>
      <c r="AC1116" s="32"/>
      <c r="AD1116" s="32"/>
      <c r="AE1116" s="32">
        <f t="shared" si="320"/>
        <v>39429</v>
      </c>
      <c r="AF1116" s="12"/>
      <c r="AG1116" s="12"/>
      <c r="AH1116" s="12"/>
      <c r="AI1116" s="12">
        <f t="shared" si="321"/>
        <v>39429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101</v>
      </c>
      <c r="C1117" s="31">
        <f t="shared" si="322"/>
        <v>8548</v>
      </c>
      <c r="D1117" s="32">
        <f>650</f>
        <v>650</v>
      </c>
      <c r="E1117" s="32"/>
      <c r="F1117" s="32"/>
      <c r="G1117" s="32">
        <f t="shared" si="316"/>
        <v>650</v>
      </c>
      <c r="H1117" s="12"/>
      <c r="I1117" s="12"/>
      <c r="J1117" s="12"/>
      <c r="K1117" s="12">
        <f t="shared" si="317"/>
        <v>650</v>
      </c>
      <c r="M1117" s="10">
        <v>6</v>
      </c>
      <c r="N1117" s="30"/>
      <c r="O1117" s="31"/>
      <c r="P1117" s="32"/>
      <c r="Q1117" s="32"/>
      <c r="R1117" s="32"/>
      <c r="S1117" s="32">
        <f t="shared" si="318"/>
        <v>0</v>
      </c>
      <c r="T1117" s="12"/>
      <c r="U1117" s="12"/>
      <c r="V1117" s="10"/>
      <c r="W1117" s="12">
        <f t="shared" si="319"/>
        <v>0</v>
      </c>
      <c r="Y1117" s="10">
        <v>6</v>
      </c>
      <c r="Z1117" s="30"/>
      <c r="AA1117" s="11" t="s">
        <v>27</v>
      </c>
      <c r="AB1117" s="32"/>
      <c r="AC1117" s="32"/>
      <c r="AD1117" s="32"/>
      <c r="AE1117" s="32">
        <f t="shared" si="320"/>
        <v>0</v>
      </c>
      <c r="AF1117" s="12"/>
      <c r="AG1117" s="12"/>
      <c r="AH1117" s="10"/>
      <c r="AI1117" s="12">
        <f t="shared" si="321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101</v>
      </c>
      <c r="C1118" s="31">
        <f t="shared" si="322"/>
        <v>8549</v>
      </c>
      <c r="D1118" s="32">
        <f>650*4+670*2+229*2</f>
        <v>4398</v>
      </c>
      <c r="E1118" s="32"/>
      <c r="F1118" s="32"/>
      <c r="G1118" s="32">
        <f t="shared" si="316"/>
        <v>4398</v>
      </c>
      <c r="H1118" s="12"/>
      <c r="I1118" s="12"/>
      <c r="J1118" s="12"/>
      <c r="K1118" s="12">
        <f t="shared" si="317"/>
        <v>4398</v>
      </c>
      <c r="M1118" s="10">
        <v>7</v>
      </c>
      <c r="N1118" s="30"/>
      <c r="O1118" s="31"/>
      <c r="P1118" s="32"/>
      <c r="Q1118" s="32"/>
      <c r="R1118" s="32"/>
      <c r="S1118" s="32">
        <f t="shared" si="318"/>
        <v>0</v>
      </c>
      <c r="T1118" s="12"/>
      <c r="U1118" s="12"/>
      <c r="V1118" s="12"/>
      <c r="W1118" s="12">
        <f t="shared" si="319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320"/>
        <v>0</v>
      </c>
      <c r="AF1118" s="12"/>
      <c r="AG1118" s="58"/>
      <c r="AH1118" s="12"/>
      <c r="AI1118" s="12">
        <f t="shared" si="321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101</v>
      </c>
      <c r="C1119" s="31">
        <f t="shared" si="322"/>
        <v>8550</v>
      </c>
      <c r="D1119" s="32">
        <f>650*2</f>
        <v>1300</v>
      </c>
      <c r="E1119" s="32"/>
      <c r="F1119" s="32"/>
      <c r="G1119" s="32">
        <f t="shared" si="316"/>
        <v>1300</v>
      </c>
      <c r="H1119" s="12"/>
      <c r="I1119" s="12"/>
      <c r="J1119" s="12">
        <v>-111</v>
      </c>
      <c r="K1119" s="12">
        <f t="shared" si="317"/>
        <v>1189</v>
      </c>
      <c r="M1119" s="10">
        <v>8</v>
      </c>
      <c r="N1119" s="30"/>
      <c r="P1119" s="32"/>
      <c r="Q1119" s="32"/>
      <c r="R1119" s="32"/>
      <c r="S1119" s="32">
        <f t="shared" si="318"/>
        <v>0</v>
      </c>
      <c r="T1119" s="12"/>
      <c r="U1119" s="12"/>
      <c r="V1119" s="12"/>
      <c r="W1119" s="12">
        <f t="shared" si="319"/>
        <v>0</v>
      </c>
      <c r="Y1119" s="10">
        <v>8</v>
      </c>
      <c r="Z1119" s="30"/>
      <c r="AA1119" s="31"/>
      <c r="AB1119" s="32"/>
      <c r="AC1119" s="32"/>
      <c r="AE1119" s="32">
        <f t="shared" si="320"/>
        <v>0</v>
      </c>
      <c r="AF1119" s="12"/>
      <c r="AG1119" s="12"/>
      <c r="AH1119" s="12"/>
      <c r="AI1119" s="12">
        <f t="shared" si="321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101</v>
      </c>
      <c r="C1120" s="31">
        <v>8751</v>
      </c>
      <c r="D1120" s="32">
        <f>650*200+622*50+229*10</f>
        <v>163390</v>
      </c>
      <c r="E1120" s="32">
        <v>-1500</v>
      </c>
      <c r="F1120" s="32"/>
      <c r="G1120" s="32">
        <f t="shared" si="316"/>
        <v>161890</v>
      </c>
      <c r="H1120" s="12"/>
      <c r="I1120" s="12">
        <f>7*111+8*78</f>
        <v>1401</v>
      </c>
      <c r="J1120" s="12">
        <f>-240+-840+-1218+-42+-11.25+-30</f>
        <v>-2381.25</v>
      </c>
      <c r="K1120" s="12">
        <f t="shared" si="317"/>
        <v>160909.75</v>
      </c>
      <c r="M1120" s="10">
        <v>9</v>
      </c>
      <c r="N1120" s="30"/>
      <c r="O1120" s="31"/>
      <c r="P1120" s="32"/>
      <c r="Q1120" s="32"/>
      <c r="R1120" s="32"/>
      <c r="S1120" s="32">
        <f t="shared" si="318"/>
        <v>0</v>
      </c>
      <c r="T1120" s="12"/>
      <c r="U1120" s="12"/>
      <c r="V1120" s="12"/>
      <c r="W1120" s="12">
        <f t="shared" si="319"/>
        <v>0</v>
      </c>
      <c r="Y1120" s="10">
        <v>9</v>
      </c>
      <c r="Z1120" s="30"/>
      <c r="AA1120" s="31"/>
      <c r="AB1120" s="32"/>
      <c r="AC1120" s="32"/>
      <c r="AD1120" s="32"/>
      <c r="AE1120" s="32">
        <f t="shared" si="320"/>
        <v>0</v>
      </c>
      <c r="AF1120" s="12"/>
      <c r="AH1120" s="12"/>
      <c r="AI1120" s="12">
        <f t="shared" si="321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11" t="s">
        <v>27</v>
      </c>
      <c r="D1121" s="32"/>
      <c r="E1121" s="32"/>
      <c r="F1121" s="32"/>
      <c r="G1121" s="32">
        <f t="shared" si="316"/>
        <v>0</v>
      </c>
      <c r="H1121" s="12"/>
      <c r="I1121" s="12"/>
      <c r="J1121" s="12"/>
      <c r="K1121" s="12">
        <f t="shared" si="317"/>
        <v>0</v>
      </c>
      <c r="M1121" s="10">
        <v>10</v>
      </c>
      <c r="N1121" s="30"/>
      <c r="O1121" s="31"/>
      <c r="P1121" s="32"/>
      <c r="Q1121" s="32"/>
      <c r="R1121" s="32"/>
      <c r="S1121" s="32">
        <f t="shared" si="318"/>
        <v>0</v>
      </c>
      <c r="T1121" s="12"/>
      <c r="U1121" s="12"/>
      <c r="V1121" s="12"/>
      <c r="W1121" s="12">
        <f t="shared" si="319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320"/>
        <v>0</v>
      </c>
      <c r="AF1121" s="12"/>
      <c r="AG1121" s="12"/>
      <c r="AH1121" s="12"/>
      <c r="AI1121" s="12">
        <f t="shared" si="321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31"/>
      <c r="D1122" s="32"/>
      <c r="E1122" s="32"/>
      <c r="F1122" s="32"/>
      <c r="G1122" s="32">
        <f t="shared" si="316"/>
        <v>0</v>
      </c>
      <c r="H1122" s="12"/>
      <c r="I1122" s="12"/>
      <c r="J1122" s="12"/>
      <c r="K1122" s="12">
        <f t="shared" si="317"/>
        <v>0</v>
      </c>
      <c r="M1122" s="10">
        <v>11</v>
      </c>
      <c r="N1122" s="30"/>
      <c r="O1122" s="31"/>
      <c r="P1122" s="32"/>
      <c r="Q1122" s="32"/>
      <c r="R1122" s="32"/>
      <c r="S1122" s="32">
        <f t="shared" si="318"/>
        <v>0</v>
      </c>
      <c r="T1122" s="12"/>
      <c r="U1122" s="12"/>
      <c r="V1122" s="12"/>
      <c r="W1122" s="12">
        <f t="shared" si="319"/>
        <v>0</v>
      </c>
      <c r="Y1122" s="10">
        <v>11</v>
      </c>
      <c r="Z1122" s="30"/>
      <c r="AA1122" s="31"/>
      <c r="AB1122" s="32"/>
      <c r="AC1122" s="32"/>
      <c r="AD1122" s="32"/>
      <c r="AE1122" s="32">
        <f t="shared" si="320"/>
        <v>0</v>
      </c>
      <c r="AF1122" s="12"/>
      <c r="AG1122" s="12"/>
      <c r="AH1122" s="12"/>
      <c r="AI1122" s="12">
        <f t="shared" si="321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31"/>
      <c r="D1123" s="32"/>
      <c r="E1123" s="32"/>
      <c r="F1123" s="32"/>
      <c r="G1123" s="32">
        <f t="shared" si="316"/>
        <v>0</v>
      </c>
      <c r="H1123" s="12"/>
      <c r="I1123" s="12"/>
      <c r="J1123" s="10"/>
      <c r="K1123" s="12">
        <f t="shared" si="317"/>
        <v>0</v>
      </c>
      <c r="M1123" s="10">
        <v>12</v>
      </c>
      <c r="N1123" s="30"/>
      <c r="O1123" s="31"/>
      <c r="P1123" s="32"/>
      <c r="Q1123" s="32"/>
      <c r="R1123" s="32"/>
      <c r="S1123" s="32">
        <f t="shared" si="318"/>
        <v>0</v>
      </c>
      <c r="T1123" s="12"/>
      <c r="U1123" s="12"/>
      <c r="V1123" s="12"/>
      <c r="W1123" s="12">
        <f t="shared" si="319"/>
        <v>0</v>
      </c>
      <c r="Y1123" s="10">
        <v>12</v>
      </c>
      <c r="Z1123" s="30"/>
      <c r="AB1123" s="32"/>
      <c r="AC1123" s="32"/>
      <c r="AD1123" s="32"/>
      <c r="AE1123" s="32">
        <f t="shared" si="320"/>
        <v>0</v>
      </c>
      <c r="AF1123" s="12"/>
      <c r="AG1123" s="12"/>
      <c r="AH1123" s="12"/>
      <c r="AI1123" s="12">
        <f t="shared" si="321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31"/>
      <c r="D1124" s="32"/>
      <c r="E1124" s="32"/>
      <c r="F1124" s="32"/>
      <c r="G1124" s="32">
        <f t="shared" si="316"/>
        <v>0</v>
      </c>
      <c r="H1124" s="12"/>
      <c r="I1124" s="12"/>
      <c r="J1124" s="12"/>
      <c r="K1124" s="12">
        <f t="shared" si="317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318"/>
        <v>0</v>
      </c>
      <c r="T1124" s="12"/>
      <c r="U1124" s="12"/>
      <c r="V1124" s="12"/>
      <c r="W1124" s="12">
        <f t="shared" si="319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320"/>
        <v>0</v>
      </c>
      <c r="AF1124" s="12"/>
      <c r="AG1124" s="12"/>
      <c r="AH1124" s="12"/>
      <c r="AI1124" s="12">
        <f t="shared" si="321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D1125" s="32"/>
      <c r="E1125" s="32"/>
      <c r="F1125" s="32"/>
      <c r="G1125" s="32">
        <f t="shared" si="316"/>
        <v>0</v>
      </c>
      <c r="H1125" s="12"/>
      <c r="I1125" s="12"/>
      <c r="J1125" s="12"/>
      <c r="K1125" s="12">
        <f t="shared" si="31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18"/>
        <v>0</v>
      </c>
      <c r="T1125" s="12"/>
      <c r="U1125" s="12"/>
      <c r="V1125" s="12"/>
      <c r="W1125" s="12">
        <f t="shared" si="31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20"/>
        <v>0</v>
      </c>
      <c r="AF1125" s="12"/>
      <c r="AG1125" s="12"/>
      <c r="AH1125" s="12"/>
      <c r="AI1125" s="12">
        <f t="shared" si="321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57"/>
      <c r="D1126" s="32"/>
      <c r="E1126" s="32"/>
      <c r="F1126" s="32"/>
      <c r="G1126" s="32">
        <f t="shared" si="316"/>
        <v>0</v>
      </c>
      <c r="H1126" s="12"/>
      <c r="I1126" s="12"/>
      <c r="J1126" s="12"/>
      <c r="K1126" s="12">
        <f t="shared" si="31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18"/>
        <v>0</v>
      </c>
      <c r="T1126" s="12"/>
      <c r="U1126" s="12"/>
      <c r="V1126" s="12"/>
      <c r="W1126" s="12">
        <f t="shared" si="319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320"/>
        <v>0</v>
      </c>
      <c r="AF1126" s="12"/>
      <c r="AG1126" s="12"/>
      <c r="AH1126" s="12"/>
      <c r="AI1126" s="12">
        <f t="shared" si="321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31"/>
      <c r="D1127" s="32"/>
      <c r="E1127" s="32"/>
      <c r="F1127" s="32"/>
      <c r="G1127" s="32">
        <f t="shared" si="316"/>
        <v>0</v>
      </c>
      <c r="H1127" s="12"/>
      <c r="I1127" s="12"/>
      <c r="J1127" s="12"/>
      <c r="K1127" s="12">
        <f t="shared" si="317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318"/>
        <v>0</v>
      </c>
      <c r="T1127" s="12"/>
      <c r="U1127" s="12"/>
      <c r="V1127" s="12"/>
      <c r="W1127" s="12">
        <f t="shared" si="31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20"/>
        <v>0</v>
      </c>
      <c r="AF1127" s="12"/>
      <c r="AG1127" s="12"/>
      <c r="AH1127" s="12"/>
      <c r="AI1127" s="12">
        <f t="shared" si="321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316"/>
        <v>0</v>
      </c>
      <c r="H1128" s="12"/>
      <c r="I1128" s="12"/>
      <c r="J1128" s="12"/>
      <c r="K1128" s="12">
        <f t="shared" si="31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18"/>
        <v>0</v>
      </c>
      <c r="T1128" s="12"/>
      <c r="U1128" s="12"/>
      <c r="V1128" s="12"/>
      <c r="W1128" s="12">
        <f t="shared" si="31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20"/>
        <v>0</v>
      </c>
      <c r="AF1128" s="12"/>
      <c r="AG1128" s="12"/>
      <c r="AH1128" s="12"/>
      <c r="AI1128" s="12">
        <f t="shared" si="321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316"/>
        <v>0</v>
      </c>
      <c r="H1129" s="12"/>
      <c r="I1129" s="12"/>
      <c r="J1129" s="12"/>
      <c r="K1129" s="12">
        <f t="shared" si="31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18"/>
        <v>0</v>
      </c>
      <c r="T1129" s="12"/>
      <c r="U1129" s="12"/>
      <c r="V1129" s="12"/>
      <c r="W1129" s="12">
        <f t="shared" si="31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20"/>
        <v>0</v>
      </c>
      <c r="AF1129" s="12"/>
      <c r="AG1129" s="12"/>
      <c r="AH1129" s="12"/>
      <c r="AI1129" s="12">
        <f t="shared" si="321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316"/>
        <v>0</v>
      </c>
      <c r="H1130" s="12"/>
      <c r="I1130" s="12"/>
      <c r="J1130" s="12"/>
      <c r="K1130" s="12">
        <f t="shared" si="31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18"/>
        <v>0</v>
      </c>
      <c r="T1130" s="12"/>
      <c r="U1130" s="12"/>
      <c r="V1130" s="12"/>
      <c r="W1130" s="12">
        <f t="shared" si="31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20"/>
        <v>0</v>
      </c>
      <c r="AF1130" s="12"/>
      <c r="AG1130" s="12"/>
      <c r="AH1130" s="12"/>
      <c r="AI1130" s="12">
        <f t="shared" si="321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316"/>
        <v>0</v>
      </c>
      <c r="H1131" s="12"/>
      <c r="I1131" s="12"/>
      <c r="J1131" s="12"/>
      <c r="K1131" s="12">
        <f t="shared" si="31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18"/>
        <v>0</v>
      </c>
      <c r="T1131" s="12"/>
      <c r="U1131" s="12"/>
      <c r="V1131" s="12"/>
      <c r="W1131" s="12">
        <f t="shared" si="31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20"/>
        <v>0</v>
      </c>
      <c r="AF1131" s="12"/>
      <c r="AG1131" s="12"/>
      <c r="AH1131" s="12"/>
      <c r="AI1131" s="12">
        <f t="shared" si="321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316"/>
        <v>0</v>
      </c>
      <c r="H1132" s="10"/>
      <c r="I1132" s="10"/>
      <c r="J1132" s="10"/>
      <c r="K1132" s="12">
        <f t="shared" si="317"/>
        <v>0</v>
      </c>
      <c r="M1132" s="10">
        <v>21</v>
      </c>
      <c r="N1132" s="30"/>
      <c r="O1132" s="31"/>
      <c r="P1132" s="46"/>
      <c r="Q1132" s="31"/>
      <c r="R1132" s="31"/>
      <c r="S1132" s="32">
        <f t="shared" si="318"/>
        <v>0</v>
      </c>
      <c r="T1132" s="10"/>
      <c r="U1132" s="10"/>
      <c r="V1132" s="10"/>
      <c r="W1132" s="12">
        <f t="shared" si="319"/>
        <v>0</v>
      </c>
      <c r="Y1132" s="10">
        <v>21</v>
      </c>
      <c r="Z1132" s="30"/>
      <c r="AB1132" s="46"/>
      <c r="AC1132" s="31"/>
      <c r="AD1132" s="31"/>
      <c r="AE1132" s="32">
        <f t="shared" si="320"/>
        <v>0</v>
      </c>
      <c r="AF1132" s="10"/>
      <c r="AG1132" s="10"/>
      <c r="AH1132" s="10"/>
      <c r="AI1132" s="12">
        <f t="shared" si="321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316"/>
        <v>0</v>
      </c>
      <c r="H1133" s="10"/>
      <c r="I1133" s="10"/>
      <c r="J1133" s="10"/>
      <c r="K1133" s="12">
        <f t="shared" si="317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318"/>
        <v>0</v>
      </c>
      <c r="T1133" s="10"/>
      <c r="U1133" s="10"/>
      <c r="V1133" s="10"/>
      <c r="W1133" s="12">
        <f t="shared" si="31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20"/>
        <v>0</v>
      </c>
      <c r="AF1133" s="10"/>
      <c r="AG1133" s="10"/>
      <c r="AH1133" s="10"/>
      <c r="AI1133" s="12">
        <f t="shared" si="321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57"/>
      <c r="D1134" s="32"/>
      <c r="E1134" s="32"/>
      <c r="F1134" s="32"/>
      <c r="G1134" s="32">
        <f t="shared" si="316"/>
        <v>0</v>
      </c>
      <c r="H1134" s="10"/>
      <c r="I1134" s="10"/>
      <c r="J1134" s="12"/>
      <c r="K1134" s="12">
        <f t="shared" si="317"/>
        <v>0</v>
      </c>
      <c r="M1134" s="10">
        <v>23</v>
      </c>
      <c r="N1134" s="30"/>
      <c r="O1134" s="31"/>
      <c r="P1134" s="47"/>
      <c r="Q1134" s="31"/>
      <c r="S1134" s="32">
        <f t="shared" si="318"/>
        <v>0</v>
      </c>
      <c r="T1134" s="10"/>
      <c r="U1134" s="10"/>
      <c r="V1134" s="10"/>
      <c r="W1134" s="12">
        <f t="shared" si="319"/>
        <v>0</v>
      </c>
      <c r="Y1134" s="10">
        <v>23</v>
      </c>
      <c r="Z1134" s="30"/>
      <c r="AB1134" s="47"/>
      <c r="AC1134" s="31"/>
      <c r="AE1134" s="32">
        <f t="shared" si="320"/>
        <v>0</v>
      </c>
      <c r="AF1134" s="10"/>
      <c r="AG1134" s="10"/>
      <c r="AH1134" s="10"/>
      <c r="AI1134" s="12">
        <f t="shared" si="321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316"/>
        <v>0</v>
      </c>
      <c r="H1135" s="10"/>
      <c r="I1135" s="10"/>
      <c r="J1135" s="10"/>
      <c r="K1135" s="12">
        <f t="shared" si="317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318"/>
        <v>0</v>
      </c>
      <c r="T1135" s="10"/>
      <c r="U1135" s="10"/>
      <c r="V1135" s="10"/>
      <c r="W1135" s="12">
        <f t="shared" si="31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20"/>
        <v>0</v>
      </c>
      <c r="AF1135" s="10"/>
      <c r="AG1135" s="10"/>
      <c r="AH1135" s="10"/>
      <c r="AI1135" s="12">
        <f t="shared" si="321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31"/>
      <c r="D1136" s="32"/>
      <c r="E1136" s="32"/>
      <c r="F1136" s="32"/>
      <c r="G1136" s="32">
        <f t="shared" si="316"/>
        <v>0</v>
      </c>
      <c r="H1136" s="10"/>
      <c r="I1136" s="10"/>
      <c r="J1136" s="10"/>
      <c r="K1136" s="12">
        <f t="shared" si="31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18"/>
        <v>0</v>
      </c>
      <c r="T1136" s="10"/>
      <c r="U1136" s="10"/>
      <c r="V1136" s="10"/>
      <c r="W1136" s="12">
        <f t="shared" si="31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20"/>
        <v>0</v>
      </c>
      <c r="AF1136" s="10"/>
      <c r="AG1136" s="10"/>
      <c r="AH1136" s="10"/>
      <c r="AI1136" s="12">
        <f t="shared" si="321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316"/>
        <v>0</v>
      </c>
      <c r="H1137" s="10"/>
      <c r="I1137" s="10"/>
      <c r="J1137" s="10"/>
      <c r="K1137" s="12">
        <f t="shared" si="31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18"/>
        <v>0</v>
      </c>
      <c r="T1137" s="10"/>
      <c r="U1137" s="10"/>
      <c r="V1137" s="10"/>
      <c r="W1137" s="12">
        <f t="shared" si="31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20"/>
        <v>0</v>
      </c>
      <c r="AF1137" s="10"/>
      <c r="AG1137" s="10"/>
      <c r="AH1137" s="10"/>
      <c r="AI1137" s="12">
        <f t="shared" si="321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316"/>
        <v>0</v>
      </c>
      <c r="H1138" s="10"/>
      <c r="I1138" s="10"/>
      <c r="J1138" s="10"/>
      <c r="K1138" s="12">
        <f t="shared" si="317"/>
        <v>0</v>
      </c>
      <c r="M1138" s="10">
        <v>27</v>
      </c>
      <c r="N1138" s="30"/>
      <c r="P1138" s="47"/>
      <c r="Q1138" s="31"/>
      <c r="R1138" s="31"/>
      <c r="S1138" s="32">
        <f t="shared" si="318"/>
        <v>0</v>
      </c>
      <c r="T1138" s="10"/>
      <c r="U1138" s="10"/>
      <c r="V1138" s="10"/>
      <c r="W1138" s="12">
        <f t="shared" si="31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20"/>
        <v>0</v>
      </c>
      <c r="AF1138" s="10"/>
      <c r="AG1138" s="10"/>
      <c r="AH1138" s="10"/>
      <c r="AI1138" s="12">
        <f t="shared" si="321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31"/>
      <c r="D1139" s="32"/>
      <c r="E1139" s="32"/>
      <c r="F1139" s="32"/>
      <c r="G1139" s="32">
        <f t="shared" si="316"/>
        <v>0</v>
      </c>
      <c r="H1139" s="10"/>
      <c r="I1139" s="10"/>
      <c r="J1139" s="10"/>
      <c r="K1139" s="12">
        <f t="shared" si="31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18"/>
        <v>0</v>
      </c>
      <c r="T1139" s="10"/>
      <c r="U1139" s="10"/>
      <c r="V1139" s="10"/>
      <c r="W1139" s="12">
        <f t="shared" si="31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20"/>
        <v>0</v>
      </c>
      <c r="AF1139" s="10"/>
      <c r="AG1139" s="10"/>
      <c r="AH1139" s="10"/>
      <c r="AI1139" s="12">
        <f t="shared" si="321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31"/>
      <c r="D1140" s="32"/>
      <c r="E1140" s="32"/>
      <c r="F1140" s="32"/>
      <c r="G1140" s="32">
        <f t="shared" si="316"/>
        <v>0</v>
      </c>
      <c r="H1140" s="10"/>
      <c r="I1140" s="10"/>
      <c r="J1140" s="10"/>
      <c r="K1140" s="12">
        <f t="shared" si="31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18"/>
        <v>0</v>
      </c>
      <c r="T1140" s="10"/>
      <c r="U1140" s="10"/>
      <c r="V1140" s="10"/>
      <c r="W1140" s="12">
        <f t="shared" si="31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20"/>
        <v>0</v>
      </c>
      <c r="AF1140" s="10"/>
      <c r="AG1140" s="10"/>
      <c r="AH1140" s="10"/>
      <c r="AI1140" s="12">
        <f t="shared" si="321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16"/>
        <v>0</v>
      </c>
      <c r="H1141" s="10"/>
      <c r="I1141" s="10"/>
      <c r="J1141" s="10"/>
      <c r="K1141" s="12">
        <f t="shared" si="317"/>
        <v>0</v>
      </c>
      <c r="M1141" s="10">
        <v>30</v>
      </c>
      <c r="N1141" s="30"/>
      <c r="O1141" s="31"/>
      <c r="P1141" s="47"/>
      <c r="Q1141" s="31"/>
      <c r="R1141" s="31"/>
      <c r="S1141" s="32">
        <f t="shared" si="318"/>
        <v>0</v>
      </c>
      <c r="T1141" s="10"/>
      <c r="U1141" s="10"/>
      <c r="V1141" s="10"/>
      <c r="W1141" s="12">
        <f t="shared" si="31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20"/>
        <v>0</v>
      </c>
      <c r="AF1141" s="10"/>
      <c r="AG1141" s="10"/>
      <c r="AH1141" s="10"/>
      <c r="AI1141" s="12">
        <f t="shared" si="321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88"/>
      <c r="D1142" s="32"/>
      <c r="E1142" s="32"/>
      <c r="F1142" s="32"/>
      <c r="G1142" s="32">
        <f t="shared" si="316"/>
        <v>0</v>
      </c>
      <c r="H1142" s="10"/>
      <c r="I1142" s="10"/>
      <c r="J1142" s="10"/>
      <c r="K1142" s="12">
        <f t="shared" si="317"/>
        <v>0</v>
      </c>
      <c r="M1142" s="10">
        <v>31</v>
      </c>
      <c r="N1142" s="30"/>
      <c r="P1142" s="47"/>
      <c r="Q1142" s="31"/>
      <c r="R1142" s="31"/>
      <c r="S1142" s="32">
        <f t="shared" si="318"/>
        <v>0</v>
      </c>
      <c r="T1142" s="10"/>
      <c r="U1142" s="10"/>
      <c r="V1142" s="10"/>
      <c r="W1142" s="12">
        <f t="shared" si="31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20"/>
        <v>0</v>
      </c>
      <c r="AF1142" s="10"/>
      <c r="AG1142" s="10"/>
      <c r="AH1142" s="10"/>
      <c r="AI1142" s="12">
        <f t="shared" si="321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57"/>
      <c r="D1143" s="32"/>
      <c r="E1143" s="32"/>
      <c r="F1143" s="32"/>
      <c r="G1143" s="32">
        <f t="shared" si="316"/>
        <v>0</v>
      </c>
      <c r="H1143" s="10"/>
      <c r="I1143" s="10"/>
      <c r="J1143" s="10"/>
      <c r="K1143" s="12">
        <f t="shared" si="31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18"/>
        <v>0</v>
      </c>
      <c r="T1143" s="10"/>
      <c r="U1143" s="10"/>
      <c r="V1143" s="10"/>
      <c r="W1143" s="12">
        <f t="shared" si="31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20"/>
        <v>0</v>
      </c>
      <c r="AF1143" s="10"/>
      <c r="AG1143" s="10"/>
      <c r="AH1143" s="10"/>
      <c r="AI1143" s="12">
        <f t="shared" si="321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8"/>
      <c r="D1144" s="32"/>
      <c r="E1144" s="32"/>
      <c r="F1144" s="32"/>
      <c r="G1144" s="32">
        <f t="shared" si="316"/>
        <v>0</v>
      </c>
      <c r="H1144" s="10"/>
      <c r="I1144" s="10"/>
      <c r="J1144" s="10"/>
      <c r="K1144" s="12">
        <f t="shared" si="31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18"/>
        <v>0</v>
      </c>
      <c r="T1144" s="10"/>
      <c r="U1144" s="10"/>
      <c r="V1144" s="10"/>
      <c r="W1144" s="12">
        <f t="shared" si="31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20"/>
        <v>0</v>
      </c>
      <c r="AF1144" s="10"/>
      <c r="AG1144" s="10"/>
      <c r="AH1144" s="10"/>
      <c r="AI1144" s="12">
        <f t="shared" si="321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8"/>
      <c r="D1145" s="32"/>
      <c r="E1145" s="32"/>
      <c r="F1145" s="32"/>
      <c r="G1145" s="32">
        <f t="shared" si="316"/>
        <v>0</v>
      </c>
      <c r="H1145" s="10"/>
      <c r="I1145" s="10"/>
      <c r="J1145" s="10"/>
      <c r="K1145" s="12">
        <f t="shared" si="31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18"/>
        <v>0</v>
      </c>
      <c r="T1145" s="10"/>
      <c r="U1145" s="10"/>
      <c r="V1145" s="10"/>
      <c r="W1145" s="12">
        <f t="shared" si="31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ref="AE1145:AE1150" si="325">SUM(AB1145:AC1145)</f>
        <v>0</v>
      </c>
      <c r="AF1145" s="10"/>
      <c r="AG1145" s="10"/>
      <c r="AH1145" s="10"/>
      <c r="AI1145" s="12">
        <f t="shared" si="321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8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18"/>
        <v>0</v>
      </c>
      <c r="T1146" s="10"/>
      <c r="U1146" s="10"/>
      <c r="V1146" s="10"/>
      <c r="W1146" s="12">
        <f t="shared" si="31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25"/>
        <v>0</v>
      </c>
      <c r="AF1146" s="10"/>
      <c r="AG1146" s="10"/>
      <c r="AH1146" s="10"/>
      <c r="AI1146" s="12">
        <f t="shared" si="321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8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18"/>
        <v>0</v>
      </c>
      <c r="T1147" s="10"/>
      <c r="U1147" s="10"/>
      <c r="V1147" s="10"/>
      <c r="W1147" s="12">
        <f t="shared" si="31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25"/>
        <v>0</v>
      </c>
      <c r="AF1147" s="10"/>
      <c r="AG1147" s="10"/>
      <c r="AH1147" s="10"/>
      <c r="AI1147" s="12">
        <f t="shared" si="321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18"/>
        <v>0</v>
      </c>
      <c r="T1148" s="10"/>
      <c r="U1148" s="10"/>
      <c r="V1148" s="10"/>
      <c r="W1148" s="12">
        <f t="shared" si="31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25"/>
        <v>0</v>
      </c>
      <c r="AF1148" s="10"/>
      <c r="AG1148" s="10"/>
      <c r="AH1148" s="10"/>
      <c r="AI1148" s="12">
        <f t="shared" si="321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18"/>
        <v>0</v>
      </c>
      <c r="T1149" s="10"/>
      <c r="U1149" s="10"/>
      <c r="V1149" s="10"/>
      <c r="W1149" s="12">
        <f t="shared" si="31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25"/>
        <v>0</v>
      </c>
      <c r="AF1149" s="10"/>
      <c r="AG1149" s="10"/>
      <c r="AH1149" s="10"/>
      <c r="AI1149" s="12">
        <f t="shared" si="321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18"/>
        <v>0</v>
      </c>
      <c r="T1150" s="10"/>
      <c r="U1150" s="10"/>
      <c r="V1150" s="10"/>
      <c r="W1150" s="12">
        <f t="shared" si="31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25"/>
        <v>0</v>
      </c>
      <c r="AF1150" s="10"/>
      <c r="AG1150" s="10"/>
      <c r="AH1150" s="10"/>
      <c r="AI1150" s="12">
        <f t="shared" si="321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1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21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26">SUM(D1152:E1152)</f>
        <v>0</v>
      </c>
      <c r="H1152" s="10"/>
      <c r="I1152" s="10"/>
      <c r="J1152" s="10"/>
      <c r="K1152" s="12">
        <f t="shared" ref="K1152" si="327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28">SUM(P1152:Q1152)</f>
        <v>0</v>
      </c>
      <c r="T1152" s="10"/>
      <c r="U1152" s="10"/>
      <c r="V1152" s="10"/>
      <c r="W1152" s="12">
        <f t="shared" si="319"/>
        <v>0</v>
      </c>
      <c r="Y1152" s="10"/>
      <c r="Z1152" s="30"/>
      <c r="AA1152" s="31"/>
      <c r="AB1152" s="47"/>
      <c r="AC1152" s="31"/>
      <c r="AD1152" s="31"/>
      <c r="AE1152" s="32">
        <f t="shared" ref="AE1152" si="329">SUM(AB1152:AC1152)</f>
        <v>0</v>
      </c>
      <c r="AF1152" s="10"/>
      <c r="AG1152" s="10"/>
      <c r="AH1152" s="10"/>
      <c r="AI1152" s="12">
        <f t="shared" si="321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1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21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278679</v>
      </c>
      <c r="E1155" s="38">
        <f t="shared" ref="E1155:F1155" si="330">SUM(E1112:E1152)</f>
        <v>-1800</v>
      </c>
      <c r="F1155" s="38">
        <f t="shared" si="330"/>
        <v>0</v>
      </c>
      <c r="G1155" s="38">
        <f>SUM(G1112:G1154)</f>
        <v>276879</v>
      </c>
      <c r="H1155" s="4"/>
      <c r="I1155" s="39">
        <f>SUM(I1112:I1154)</f>
        <v>7737</v>
      </c>
      <c r="J1155" s="39">
        <f>SUM(J1112:J1154)</f>
        <v>-2492.25</v>
      </c>
      <c r="K1155" s="40">
        <f>SUM(K1112:K1154)</f>
        <v>282123.75</v>
      </c>
      <c r="N1155" s="57"/>
      <c r="O1155" s="57"/>
      <c r="P1155" s="38">
        <f>SUM(P1112:P1154)</f>
        <v>251052.5</v>
      </c>
      <c r="Q1155" s="38">
        <f>SUM(Q1112:Q1136)</f>
        <v>-2244</v>
      </c>
      <c r="R1155" s="38">
        <f>SUM(R1112:R1136)</f>
        <v>0</v>
      </c>
      <c r="S1155" s="38">
        <f>SUM(S1112:S1154)</f>
        <v>248808.5</v>
      </c>
      <c r="T1155" s="4"/>
      <c r="U1155" s="41">
        <f>SUM(U1112:U1154)</f>
        <v>624</v>
      </c>
      <c r="V1155" s="41">
        <f>SUM(V1112:V1136)</f>
        <v>-5247</v>
      </c>
      <c r="W1155" s="42">
        <f>SUM(W1112:W1154)</f>
        <v>244185.5</v>
      </c>
      <c r="Z1155" s="57"/>
      <c r="AA1155" s="57"/>
      <c r="AB1155" s="38">
        <f>SUM(AB1112:AB1154)</f>
        <v>254427</v>
      </c>
      <c r="AC1155" s="38">
        <f>SUM(AC1112:AC1136)</f>
        <v>-1422</v>
      </c>
      <c r="AD1155" s="38">
        <f>SUM(AD1112:AD1136)</f>
        <v>0</v>
      </c>
      <c r="AE1155" s="38">
        <f>SUM(AE1112:AE1154)</f>
        <v>253005</v>
      </c>
      <c r="AF1155" s="4"/>
      <c r="AG1155" s="41">
        <f>SUM(AG1112:AG1154)</f>
        <v>189</v>
      </c>
      <c r="AH1155" s="41">
        <f>SUM(AH1112:AH1136)</f>
        <v>0</v>
      </c>
      <c r="AI1155" s="42">
        <f>SUM(AI1112:AI1154)</f>
        <v>253194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49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49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49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103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21" t="s">
        <v>103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98</v>
      </c>
      <c r="W1163" s="24"/>
      <c r="Y1163" s="21" t="s">
        <v>103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54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5" t="s">
        <v>17</v>
      </c>
      <c r="E1165" s="125"/>
      <c r="F1165" s="114"/>
      <c r="G1165" s="27"/>
      <c r="I1165" s="123" t="s">
        <v>18</v>
      </c>
      <c r="J1165" s="124"/>
      <c r="K1165" s="121" t="s">
        <v>19</v>
      </c>
      <c r="N1165" s="25"/>
      <c r="O1165" s="26"/>
      <c r="P1165" s="125" t="s">
        <v>17</v>
      </c>
      <c r="Q1165" s="125"/>
      <c r="R1165" s="114"/>
      <c r="S1165" s="27"/>
      <c r="U1165" s="123" t="s">
        <v>18</v>
      </c>
      <c r="V1165" s="124"/>
      <c r="W1165" s="121" t="s">
        <v>19</v>
      </c>
      <c r="Z1165" s="25"/>
      <c r="AA1165" s="26"/>
      <c r="AB1165" s="125" t="s">
        <v>17</v>
      </c>
      <c r="AC1165" s="125"/>
      <c r="AD1165" s="114"/>
      <c r="AE1165" s="27"/>
      <c r="AG1165" s="123" t="s">
        <v>18</v>
      </c>
      <c r="AH1165" s="124"/>
      <c r="AI1165" s="121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9" t="s">
        <v>22</v>
      </c>
      <c r="E1166" s="78" t="s">
        <v>23</v>
      </c>
      <c r="F1166" s="80" t="s">
        <v>32</v>
      </c>
      <c r="G1166" s="80" t="s">
        <v>24</v>
      </c>
      <c r="I1166" s="29" t="s">
        <v>25</v>
      </c>
      <c r="J1166" s="29" t="s">
        <v>26</v>
      </c>
      <c r="K1166" s="122"/>
      <c r="N1166" s="28" t="s">
        <v>20</v>
      </c>
      <c r="O1166" s="28" t="s">
        <v>21</v>
      </c>
      <c r="P1166" s="79" t="s">
        <v>22</v>
      </c>
      <c r="Q1166" s="80" t="s">
        <v>23</v>
      </c>
      <c r="R1166" s="80" t="s">
        <v>32</v>
      </c>
      <c r="S1166" s="80" t="s">
        <v>24</v>
      </c>
      <c r="U1166" s="29" t="s">
        <v>25</v>
      </c>
      <c r="V1166" s="29" t="s">
        <v>26</v>
      </c>
      <c r="W1166" s="122"/>
      <c r="Z1166" s="28" t="s">
        <v>20</v>
      </c>
      <c r="AA1166" s="28" t="s">
        <v>21</v>
      </c>
      <c r="AB1166" s="79" t="s">
        <v>22</v>
      </c>
      <c r="AC1166" s="80" t="s">
        <v>23</v>
      </c>
      <c r="AD1166" s="80" t="s">
        <v>32</v>
      </c>
      <c r="AE1166" s="80" t="s">
        <v>24</v>
      </c>
      <c r="AG1166" s="29" t="s">
        <v>25</v>
      </c>
      <c r="AH1166" s="29" t="s">
        <v>26</v>
      </c>
      <c r="AI1166" s="12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104</v>
      </c>
      <c r="C1167" s="88">
        <v>8752</v>
      </c>
      <c r="D1167" s="32">
        <f>650*7</f>
        <v>4550</v>
      </c>
      <c r="E1167" s="32">
        <v>-42</v>
      </c>
      <c r="F1167" s="32"/>
      <c r="G1167" s="32">
        <f t="shared" ref="G1167:G1200" si="331">SUM(D1167:E1167)</f>
        <v>4508</v>
      </c>
      <c r="H1167" s="12"/>
      <c r="I1167" s="12"/>
      <c r="J1167" s="12"/>
      <c r="K1167" s="12">
        <f t="shared" ref="K1167:K1200" si="332">SUM(G1167:J1167)</f>
        <v>4508</v>
      </c>
      <c r="M1167" s="10">
        <v>1</v>
      </c>
      <c r="N1167" s="30" t="s">
        <v>104</v>
      </c>
      <c r="O1167" s="31">
        <v>8729</v>
      </c>
      <c r="P1167" s="32">
        <f>650*10+622*4+9.5*14</f>
        <v>9121</v>
      </c>
      <c r="Q1167" s="32"/>
      <c r="R1167" s="32"/>
      <c r="S1167" s="32">
        <f>SUM(P1167:Q1167)</f>
        <v>9121</v>
      </c>
      <c r="T1167" s="12"/>
      <c r="U1167" s="12"/>
      <c r="V1167" s="12"/>
      <c r="W1167" s="12">
        <f>SUM(S1167:V1167)</f>
        <v>9121</v>
      </c>
      <c r="Y1167" s="10">
        <v>1</v>
      </c>
      <c r="Z1167" s="30" t="s">
        <v>104</v>
      </c>
      <c r="AA1167" s="31">
        <v>8675</v>
      </c>
      <c r="AB1167" s="32">
        <f>650*324+670*20+622*30+229*14</f>
        <v>245866</v>
      </c>
      <c r="AC1167" s="32">
        <v>-2244</v>
      </c>
      <c r="AD1167" s="32"/>
      <c r="AE1167" s="32">
        <f>SUM(AB1167:AC1167)</f>
        <v>243622</v>
      </c>
      <c r="AF1167" s="12"/>
      <c r="AG1167" s="12"/>
      <c r="AH1167" s="12"/>
      <c r="AI1167" s="12">
        <f>SUM(AE1167:AH1167)</f>
        <v>243622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104</v>
      </c>
      <c r="C1168" s="31">
        <f>C1167+1</f>
        <v>8753</v>
      </c>
      <c r="D1168" s="32">
        <f>650*10+9.5*10</f>
        <v>6595</v>
      </c>
      <c r="E1168" s="32"/>
      <c r="F1168" s="32"/>
      <c r="G1168" s="32">
        <f t="shared" si="331"/>
        <v>6595</v>
      </c>
      <c r="H1168" s="12"/>
      <c r="I1168" s="12"/>
      <c r="J1168" s="12"/>
      <c r="K1168" s="12">
        <f t="shared" si="332"/>
        <v>6595</v>
      </c>
      <c r="M1168" s="10">
        <v>2</v>
      </c>
      <c r="N1168" s="30" t="s">
        <v>104</v>
      </c>
      <c r="O1168" s="31">
        <f>O1167+1</f>
        <v>8730</v>
      </c>
      <c r="P1168" s="32">
        <f>650*6+622+9.5*7</f>
        <v>4588.5</v>
      </c>
      <c r="Q1168" s="32"/>
      <c r="R1168" s="32"/>
      <c r="S1168" s="32">
        <f t="shared" ref="S1168:S1205" si="333">SUM(P1168:Q1168)</f>
        <v>4588.5</v>
      </c>
      <c r="T1168" s="12"/>
      <c r="U1168" s="12"/>
      <c r="V1168" s="12"/>
      <c r="W1168" s="12">
        <f t="shared" ref="W1168:W1208" si="334">SUM(S1168:V1168)</f>
        <v>4588.5</v>
      </c>
      <c r="Y1168" s="10">
        <v>2</v>
      </c>
      <c r="Z1168" s="30" t="s">
        <v>104</v>
      </c>
      <c r="AA1168" s="31">
        <f>AA1167+1</f>
        <v>8676</v>
      </c>
      <c r="AB1168" s="32">
        <f>650*42+622*8+229*2</f>
        <v>32734</v>
      </c>
      <c r="AC1168" s="32">
        <v>-300</v>
      </c>
      <c r="AD1168" s="32"/>
      <c r="AE1168" s="32">
        <f t="shared" ref="AE1168:AE1199" si="335">SUM(AB1168:AC1168)</f>
        <v>32434</v>
      </c>
      <c r="AF1168" s="12"/>
      <c r="AG1168" s="12">
        <v>156</v>
      </c>
      <c r="AH1168" s="12"/>
      <c r="AI1168" s="12">
        <f t="shared" ref="AI1168:AI1208" si="336">SUM(AE1168:AH1168)</f>
        <v>32590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104</v>
      </c>
      <c r="C1169" s="31">
        <f t="shared" ref="C1169:C1178" si="337">C1168+1</f>
        <v>8754</v>
      </c>
      <c r="D1169" s="33">
        <f>650*8+670*2+622*3+9.5*11</f>
        <v>8510.5</v>
      </c>
      <c r="E1169" s="33"/>
      <c r="F1169" s="33"/>
      <c r="G1169" s="33">
        <f t="shared" si="331"/>
        <v>8510.5</v>
      </c>
      <c r="H1169" s="34"/>
      <c r="I1169" s="34"/>
      <c r="J1169" s="34"/>
      <c r="K1169" s="34">
        <f t="shared" si="332"/>
        <v>8510.5</v>
      </c>
      <c r="M1169" s="10">
        <v>3</v>
      </c>
      <c r="N1169" s="30" t="s">
        <v>104</v>
      </c>
      <c r="O1169" s="31">
        <f t="shared" ref="O1169:O1181" si="338">O1168+1</f>
        <v>8731</v>
      </c>
      <c r="P1169" s="32">
        <f>650*36+9.5*6</f>
        <v>23457</v>
      </c>
      <c r="Q1169" s="32"/>
      <c r="R1169" s="32"/>
      <c r="S1169" s="32">
        <f t="shared" si="333"/>
        <v>23457</v>
      </c>
      <c r="T1169" s="12"/>
      <c r="U1169" s="12"/>
      <c r="V1169" s="12"/>
      <c r="W1169" s="12">
        <f t="shared" si="334"/>
        <v>23457</v>
      </c>
      <c r="Y1169" s="10">
        <v>3</v>
      </c>
      <c r="Z1169" s="30" t="s">
        <v>104</v>
      </c>
      <c r="AA1169" s="31">
        <f t="shared" ref="AA1169:AA1171" si="339">AA1168+1</f>
        <v>8677</v>
      </c>
      <c r="AB1169" s="33">
        <f>650*42+229*2</f>
        <v>27758</v>
      </c>
      <c r="AC1169" s="33"/>
      <c r="AD1169" s="32"/>
      <c r="AE1169" s="32">
        <f t="shared" si="335"/>
        <v>27758</v>
      </c>
      <c r="AF1169" s="12"/>
      <c r="AG1169" s="12">
        <v>189</v>
      </c>
      <c r="AH1169" s="12"/>
      <c r="AI1169" s="12">
        <f t="shared" si="336"/>
        <v>27947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104</v>
      </c>
      <c r="C1170" s="31">
        <f t="shared" si="337"/>
        <v>8755</v>
      </c>
      <c r="D1170" s="32">
        <f>650*8+670+622*2+9.5*10</f>
        <v>7209</v>
      </c>
      <c r="E1170" s="32"/>
      <c r="F1170" s="32"/>
      <c r="G1170" s="32">
        <f t="shared" si="331"/>
        <v>7209</v>
      </c>
      <c r="H1170" s="12"/>
      <c r="I1170" s="12"/>
      <c r="J1170" s="12"/>
      <c r="K1170" s="12">
        <f t="shared" si="332"/>
        <v>7209</v>
      </c>
      <c r="M1170" s="10">
        <v>4</v>
      </c>
      <c r="N1170" s="30" t="s">
        <v>104</v>
      </c>
      <c r="O1170" s="31">
        <f t="shared" si="338"/>
        <v>8732</v>
      </c>
      <c r="P1170" s="32">
        <f>650*50+622*6</f>
        <v>36232</v>
      </c>
      <c r="Q1170" s="32"/>
      <c r="R1170" s="32"/>
      <c r="S1170" s="32">
        <f t="shared" si="333"/>
        <v>36232</v>
      </c>
      <c r="T1170" s="12"/>
      <c r="U1170" s="12"/>
      <c r="V1170" s="12"/>
      <c r="W1170" s="12">
        <f t="shared" si="334"/>
        <v>36232</v>
      </c>
      <c r="Y1170" s="10">
        <v>4</v>
      </c>
      <c r="Z1170" s="30" t="s">
        <v>104</v>
      </c>
      <c r="AA1170" s="31">
        <f t="shared" si="339"/>
        <v>8678</v>
      </c>
      <c r="AB1170" s="32">
        <f>622+19</f>
        <v>641</v>
      </c>
      <c r="AC1170" s="32"/>
      <c r="AD1170" s="32"/>
      <c r="AE1170" s="32">
        <f t="shared" si="335"/>
        <v>641</v>
      </c>
      <c r="AF1170" s="12"/>
      <c r="AH1170" s="12">
        <v>-78</v>
      </c>
      <c r="AI1170" s="12">
        <f t="shared" si="336"/>
        <v>563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104</v>
      </c>
      <c r="C1171" s="31">
        <f t="shared" si="337"/>
        <v>8756</v>
      </c>
      <c r="D1171" s="32">
        <f>650*50+622*5+229*2</f>
        <v>36068</v>
      </c>
      <c r="E1171" s="32"/>
      <c r="F1171" s="32"/>
      <c r="G1171" s="32">
        <f t="shared" si="331"/>
        <v>36068</v>
      </c>
      <c r="H1171" s="12"/>
      <c r="I1171" s="12"/>
      <c r="J1171" s="12"/>
      <c r="K1171" s="12">
        <f t="shared" si="332"/>
        <v>36068</v>
      </c>
      <c r="M1171" s="10">
        <v>5</v>
      </c>
      <c r="N1171" s="30" t="s">
        <v>104</v>
      </c>
      <c r="O1171" s="31">
        <f t="shared" si="338"/>
        <v>8733</v>
      </c>
      <c r="P1171" s="32">
        <f>650*27</f>
        <v>17550</v>
      </c>
      <c r="Q1171" s="32"/>
      <c r="R1171" s="32"/>
      <c r="S1171" s="32">
        <f t="shared" si="333"/>
        <v>17550</v>
      </c>
      <c r="T1171" s="12"/>
      <c r="U1171" s="12"/>
      <c r="V1171" s="12"/>
      <c r="W1171" s="12">
        <f t="shared" si="334"/>
        <v>17550</v>
      </c>
      <c r="Y1171" s="10">
        <v>5</v>
      </c>
      <c r="Z1171" s="30" t="s">
        <v>104</v>
      </c>
      <c r="AA1171" s="31">
        <f t="shared" si="339"/>
        <v>8679</v>
      </c>
      <c r="AB1171" s="32">
        <f>650*19+622*10</f>
        <v>18570</v>
      </c>
      <c r="AC1171" s="32"/>
      <c r="AD1171" s="32"/>
      <c r="AE1171" s="32">
        <f t="shared" si="335"/>
        <v>18570</v>
      </c>
      <c r="AF1171" s="12"/>
      <c r="AG1171" s="12">
        <v>16.5</v>
      </c>
      <c r="AH1171" s="12"/>
      <c r="AI1171" s="12">
        <f t="shared" si="336"/>
        <v>18586.5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104</v>
      </c>
      <c r="C1172" s="31">
        <f t="shared" si="337"/>
        <v>8757</v>
      </c>
      <c r="D1172" s="32">
        <f>650*10+670+622*12+872+229</f>
        <v>15735</v>
      </c>
      <c r="E1172" s="32"/>
      <c r="F1172" s="32"/>
      <c r="G1172" s="32">
        <f t="shared" si="331"/>
        <v>15735</v>
      </c>
      <c r="H1172" s="12"/>
      <c r="I1172" s="12"/>
      <c r="J1172" s="12"/>
      <c r="K1172" s="12">
        <f t="shared" si="332"/>
        <v>15735</v>
      </c>
      <c r="M1172" s="10">
        <v>6</v>
      </c>
      <c r="N1172" s="30" t="s">
        <v>104</v>
      </c>
      <c r="O1172" s="31">
        <f t="shared" si="338"/>
        <v>8734</v>
      </c>
      <c r="P1172" s="32">
        <f>650*20+700+622*4</f>
        <v>16188</v>
      </c>
      <c r="Q1172" s="32"/>
      <c r="R1172" s="32"/>
      <c r="S1172" s="32">
        <f t="shared" si="333"/>
        <v>16188</v>
      </c>
      <c r="T1172" s="12"/>
      <c r="U1172" s="12">
        <v>111</v>
      </c>
      <c r="V1172" s="10"/>
      <c r="W1172" s="12">
        <f t="shared" si="334"/>
        <v>16299</v>
      </c>
      <c r="Y1172" s="10">
        <v>6</v>
      </c>
      <c r="Z1172" s="30"/>
      <c r="AA1172" s="11" t="s">
        <v>27</v>
      </c>
      <c r="AB1172" s="32"/>
      <c r="AC1172" s="32"/>
      <c r="AD1172" s="32"/>
      <c r="AE1172" s="32">
        <f t="shared" si="335"/>
        <v>0</v>
      </c>
      <c r="AF1172" s="12"/>
      <c r="AG1172" s="12"/>
      <c r="AH1172" s="10"/>
      <c r="AI1172" s="12">
        <f t="shared" si="336"/>
        <v>0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104</v>
      </c>
      <c r="C1173" s="31">
        <f t="shared" si="337"/>
        <v>8758</v>
      </c>
      <c r="D1173" s="32">
        <f>650*8</f>
        <v>5200</v>
      </c>
      <c r="E1173" s="32"/>
      <c r="F1173" s="32"/>
      <c r="G1173" s="32">
        <f t="shared" si="331"/>
        <v>5200</v>
      </c>
      <c r="H1173" s="12"/>
      <c r="I1173" s="12"/>
      <c r="J1173" s="12"/>
      <c r="K1173" s="12">
        <f t="shared" si="332"/>
        <v>5200</v>
      </c>
      <c r="M1173" s="10">
        <v>7</v>
      </c>
      <c r="N1173" s="30" t="s">
        <v>104</v>
      </c>
      <c r="O1173" s="31">
        <f t="shared" si="338"/>
        <v>8735</v>
      </c>
      <c r="P1173" s="32">
        <f>650*15+622*2+9.5*17</f>
        <v>11155.5</v>
      </c>
      <c r="Q1173" s="32"/>
      <c r="R1173" s="32"/>
      <c r="S1173" s="32">
        <f t="shared" si="333"/>
        <v>11155.5</v>
      </c>
      <c r="T1173" s="12"/>
      <c r="U1173" s="12"/>
      <c r="V1173" s="12"/>
      <c r="W1173" s="12">
        <f t="shared" si="334"/>
        <v>11155.5</v>
      </c>
      <c r="Y1173" s="10">
        <v>7</v>
      </c>
      <c r="Z1173" s="30"/>
      <c r="AA1173" s="31"/>
      <c r="AB1173" s="32"/>
      <c r="AC1173" s="32"/>
      <c r="AD1173" s="32"/>
      <c r="AE1173" s="32">
        <f t="shared" si="335"/>
        <v>0</v>
      </c>
      <c r="AF1173" s="12"/>
      <c r="AG1173" s="58"/>
      <c r="AH1173" s="12"/>
      <c r="AI1173" s="12">
        <f t="shared" si="336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 t="s">
        <v>104</v>
      </c>
      <c r="C1174" s="31">
        <f t="shared" si="337"/>
        <v>8759</v>
      </c>
      <c r="D1174" s="32">
        <f>622*5</f>
        <v>3110</v>
      </c>
      <c r="E1174" s="32"/>
      <c r="F1174" s="32"/>
      <c r="G1174" s="32">
        <f t="shared" si="331"/>
        <v>3110</v>
      </c>
      <c r="H1174" s="12"/>
      <c r="I1174" s="12"/>
      <c r="J1174" s="12"/>
      <c r="K1174" s="12">
        <f t="shared" si="332"/>
        <v>3110</v>
      </c>
      <c r="M1174" s="10">
        <v>8</v>
      </c>
      <c r="N1174" s="30" t="s">
        <v>104</v>
      </c>
      <c r="O1174" s="31">
        <f t="shared" si="338"/>
        <v>8736</v>
      </c>
      <c r="P1174" s="32">
        <f>650+9.5</f>
        <v>659.5</v>
      </c>
      <c r="Q1174" s="32"/>
      <c r="R1174" s="32"/>
      <c r="S1174" s="32">
        <f t="shared" si="333"/>
        <v>659.5</v>
      </c>
      <c r="T1174" s="12"/>
      <c r="U1174" s="12"/>
      <c r="V1174" s="12"/>
      <c r="W1174" s="12">
        <f t="shared" si="334"/>
        <v>659.5</v>
      </c>
      <c r="Y1174" s="10">
        <v>8</v>
      </c>
      <c r="Z1174" s="30"/>
      <c r="AA1174" s="31"/>
      <c r="AB1174" s="32"/>
      <c r="AC1174" s="32"/>
      <c r="AE1174" s="32">
        <f t="shared" si="335"/>
        <v>0</v>
      </c>
      <c r="AF1174" s="12"/>
      <c r="AG1174" s="12"/>
      <c r="AH1174" s="12"/>
      <c r="AI1174" s="12">
        <f t="shared" si="336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 t="s">
        <v>104</v>
      </c>
      <c r="C1175" s="31">
        <f t="shared" si="337"/>
        <v>8760</v>
      </c>
      <c r="D1175" s="32">
        <f>670+622*5+9.5*5</f>
        <v>3827.5</v>
      </c>
      <c r="E1175" s="32"/>
      <c r="F1175" s="32"/>
      <c r="G1175" s="32">
        <f t="shared" si="331"/>
        <v>3827.5</v>
      </c>
      <c r="H1175" s="12"/>
      <c r="I1175" s="12"/>
      <c r="J1175" s="12"/>
      <c r="K1175" s="12">
        <f t="shared" si="332"/>
        <v>3827.5</v>
      </c>
      <c r="M1175" s="10">
        <v>9</v>
      </c>
      <c r="N1175" s="30" t="s">
        <v>104</v>
      </c>
      <c r="O1175" s="31">
        <f t="shared" si="338"/>
        <v>8737</v>
      </c>
      <c r="P1175" s="32">
        <f>650*11+700+622*5</f>
        <v>10960</v>
      </c>
      <c r="Q1175" s="32"/>
      <c r="R1175" s="32"/>
      <c r="S1175" s="32">
        <f t="shared" si="333"/>
        <v>10960</v>
      </c>
      <c r="T1175" s="12"/>
      <c r="U1175" s="12"/>
      <c r="V1175" s="12"/>
      <c r="W1175" s="12">
        <f t="shared" si="334"/>
        <v>10960</v>
      </c>
      <c r="Y1175" s="10">
        <v>9</v>
      </c>
      <c r="Z1175" s="30"/>
      <c r="AA1175" s="31"/>
      <c r="AB1175" s="32"/>
      <c r="AC1175" s="32"/>
      <c r="AD1175" s="32"/>
      <c r="AE1175" s="32">
        <f t="shared" si="335"/>
        <v>0</v>
      </c>
      <c r="AF1175" s="12"/>
      <c r="AH1175" s="12"/>
      <c r="AI1175" s="12">
        <f t="shared" si="336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 t="s">
        <v>104</v>
      </c>
      <c r="C1176" s="31">
        <f t="shared" si="337"/>
        <v>8761</v>
      </c>
      <c r="D1176" s="32">
        <f>650*60+622*10+229*2</f>
        <v>45678</v>
      </c>
      <c r="E1176" s="32"/>
      <c r="F1176" s="32"/>
      <c r="G1176" s="32">
        <f t="shared" si="331"/>
        <v>45678</v>
      </c>
      <c r="H1176" s="12"/>
      <c r="I1176" s="12"/>
      <c r="J1176" s="12"/>
      <c r="K1176" s="12">
        <f t="shared" si="332"/>
        <v>45678</v>
      </c>
      <c r="M1176" s="10">
        <v>10</v>
      </c>
      <c r="N1176" s="30" t="s">
        <v>104</v>
      </c>
      <c r="O1176" s="31">
        <f t="shared" si="338"/>
        <v>8738</v>
      </c>
      <c r="P1176" s="32">
        <f>650*13+622</f>
        <v>9072</v>
      </c>
      <c r="Q1176" s="32"/>
      <c r="R1176" s="32"/>
      <c r="S1176" s="32">
        <f t="shared" si="333"/>
        <v>9072</v>
      </c>
      <c r="T1176" s="12"/>
      <c r="U1176" s="12"/>
      <c r="V1176" s="12"/>
      <c r="W1176" s="12">
        <f t="shared" si="334"/>
        <v>9072</v>
      </c>
      <c r="Y1176" s="10">
        <v>10</v>
      </c>
      <c r="Z1176" s="30"/>
      <c r="AA1176" s="31"/>
      <c r="AB1176" s="32"/>
      <c r="AC1176" s="32"/>
      <c r="AD1176" s="32"/>
      <c r="AE1176" s="32">
        <f t="shared" si="335"/>
        <v>0</v>
      </c>
      <c r="AF1176" s="12"/>
      <c r="AG1176" s="12"/>
      <c r="AH1176" s="12"/>
      <c r="AI1176" s="12">
        <f t="shared" si="336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 t="s">
        <v>104</v>
      </c>
      <c r="C1177" s="31">
        <f t="shared" si="337"/>
        <v>8762</v>
      </c>
      <c r="D1177" s="32">
        <f>650*59+670*5+622*30+912*2+500*2</f>
        <v>63184</v>
      </c>
      <c r="E1177" s="32"/>
      <c r="F1177" s="32"/>
      <c r="G1177" s="32">
        <f t="shared" si="331"/>
        <v>63184</v>
      </c>
      <c r="H1177" s="12"/>
      <c r="I1177" s="12">
        <f>555+18</f>
        <v>573</v>
      </c>
      <c r="J1177" s="12"/>
      <c r="K1177" s="12">
        <f t="shared" si="332"/>
        <v>63757</v>
      </c>
      <c r="M1177" s="10">
        <v>11</v>
      </c>
      <c r="N1177" s="30" t="s">
        <v>104</v>
      </c>
      <c r="O1177" s="31">
        <f t="shared" si="338"/>
        <v>8739</v>
      </c>
      <c r="P1177" s="32">
        <f>650*8+9.5*8</f>
        <v>5276</v>
      </c>
      <c r="Q1177" s="32"/>
      <c r="R1177" s="32"/>
      <c r="S1177" s="32">
        <f t="shared" si="333"/>
        <v>5276</v>
      </c>
      <c r="T1177" s="12"/>
      <c r="U1177" s="12"/>
      <c r="V1177" s="12"/>
      <c r="W1177" s="12">
        <f t="shared" si="334"/>
        <v>5276</v>
      </c>
      <c r="Y1177" s="10">
        <v>11</v>
      </c>
      <c r="Z1177" s="30"/>
      <c r="AA1177" s="31"/>
      <c r="AB1177" s="32"/>
      <c r="AC1177" s="32"/>
      <c r="AD1177" s="32"/>
      <c r="AE1177" s="32">
        <f t="shared" si="335"/>
        <v>0</v>
      </c>
      <c r="AF1177" s="12"/>
      <c r="AG1177" s="12"/>
      <c r="AH1177" s="12"/>
      <c r="AI1177" s="12">
        <f t="shared" si="336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 t="s">
        <v>104</v>
      </c>
      <c r="C1178" s="31">
        <f t="shared" si="337"/>
        <v>8763</v>
      </c>
      <c r="D1178" s="32">
        <f>650*3</f>
        <v>1950</v>
      </c>
      <c r="E1178" s="32"/>
      <c r="F1178" s="32"/>
      <c r="G1178" s="32">
        <f t="shared" si="331"/>
        <v>1950</v>
      </c>
      <c r="H1178" s="12"/>
      <c r="I1178" s="12"/>
      <c r="J1178" s="10">
        <f>-111*7</f>
        <v>-777</v>
      </c>
      <c r="K1178" s="12">
        <f t="shared" si="332"/>
        <v>1173</v>
      </c>
      <c r="M1178" s="10">
        <v>12</v>
      </c>
      <c r="N1178" s="30" t="s">
        <v>104</v>
      </c>
      <c r="O1178" s="31">
        <f t="shared" si="338"/>
        <v>8740</v>
      </c>
      <c r="P1178" s="32">
        <f>650*3</f>
        <v>1950</v>
      </c>
      <c r="Q1178" s="32"/>
      <c r="R1178" s="32"/>
      <c r="S1178" s="32">
        <f t="shared" si="333"/>
        <v>1950</v>
      </c>
      <c r="T1178" s="12"/>
      <c r="U1178" s="12"/>
      <c r="V1178" s="12"/>
      <c r="W1178" s="12">
        <f t="shared" si="334"/>
        <v>1950</v>
      </c>
      <c r="Y1178" s="10">
        <v>12</v>
      </c>
      <c r="Z1178" s="30"/>
      <c r="AB1178" s="32"/>
      <c r="AC1178" s="32"/>
      <c r="AD1178" s="32"/>
      <c r="AE1178" s="32">
        <f t="shared" si="335"/>
        <v>0</v>
      </c>
      <c r="AF1178" s="12"/>
      <c r="AG1178" s="12"/>
      <c r="AH1178" s="12"/>
      <c r="AI1178" s="12">
        <f t="shared" si="336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11" t="s">
        <v>27</v>
      </c>
      <c r="D1179" s="32"/>
      <c r="E1179" s="32"/>
      <c r="F1179" s="32"/>
      <c r="G1179" s="32">
        <f t="shared" si="331"/>
        <v>0</v>
      </c>
      <c r="H1179" s="12"/>
      <c r="I1179" s="12"/>
      <c r="J1179" s="12"/>
      <c r="K1179" s="12">
        <f t="shared" si="332"/>
        <v>0</v>
      </c>
      <c r="M1179" s="10">
        <v>13</v>
      </c>
      <c r="N1179" s="30" t="s">
        <v>104</v>
      </c>
      <c r="O1179" s="31">
        <f t="shared" si="338"/>
        <v>8741</v>
      </c>
      <c r="P1179" s="32">
        <f>650*16+622*5+1175+872+650</f>
        <v>16207</v>
      </c>
      <c r="Q1179" s="32"/>
      <c r="R1179" s="32"/>
      <c r="S1179" s="32">
        <f t="shared" si="333"/>
        <v>16207</v>
      </c>
      <c r="T1179" s="12"/>
      <c r="U1179" s="12"/>
      <c r="V1179" s="12"/>
      <c r="W1179" s="12">
        <f t="shared" si="334"/>
        <v>16207</v>
      </c>
      <c r="Y1179" s="10">
        <v>13</v>
      </c>
      <c r="Z1179" s="30"/>
      <c r="AA1179" s="31"/>
      <c r="AB1179" s="32"/>
      <c r="AC1179" s="32"/>
      <c r="AD1179" s="32"/>
      <c r="AE1179" s="32">
        <f t="shared" si="335"/>
        <v>0</v>
      </c>
      <c r="AF1179" s="12"/>
      <c r="AG1179" s="12"/>
      <c r="AH1179" s="12"/>
      <c r="AI1179" s="12">
        <f t="shared" si="336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31"/>
      <c r="D1180" s="32"/>
      <c r="E1180" s="32"/>
      <c r="F1180" s="32"/>
      <c r="G1180" s="32">
        <f t="shared" si="331"/>
        <v>0</v>
      </c>
      <c r="H1180" s="12"/>
      <c r="I1180" s="12"/>
      <c r="J1180" s="12"/>
      <c r="K1180" s="12">
        <f t="shared" si="332"/>
        <v>0</v>
      </c>
      <c r="M1180" s="10">
        <v>14</v>
      </c>
      <c r="N1180" s="30" t="s">
        <v>104</v>
      </c>
      <c r="O1180" s="31">
        <f t="shared" si="338"/>
        <v>8742</v>
      </c>
      <c r="P1180" s="32">
        <f>650*2</f>
        <v>1300</v>
      </c>
      <c r="Q1180" s="32"/>
      <c r="R1180" s="32"/>
      <c r="S1180" s="32">
        <f t="shared" si="333"/>
        <v>1300</v>
      </c>
      <c r="T1180" s="12"/>
      <c r="U1180" s="12"/>
      <c r="V1180" s="12"/>
      <c r="W1180" s="12">
        <f t="shared" si="334"/>
        <v>1300</v>
      </c>
      <c r="Y1180" s="10">
        <v>14</v>
      </c>
      <c r="Z1180" s="30"/>
      <c r="AA1180" s="31"/>
      <c r="AB1180" s="32"/>
      <c r="AC1180" s="32"/>
      <c r="AD1180" s="32"/>
      <c r="AE1180" s="32">
        <f t="shared" si="335"/>
        <v>0</v>
      </c>
      <c r="AF1180" s="12"/>
      <c r="AG1180" s="12"/>
      <c r="AH1180" s="12"/>
      <c r="AI1180" s="12">
        <f t="shared" si="336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31"/>
      <c r="D1181" s="32"/>
      <c r="E1181" s="32"/>
      <c r="F1181" s="32"/>
      <c r="G1181" s="32">
        <f t="shared" si="331"/>
        <v>0</v>
      </c>
      <c r="H1181" s="12"/>
      <c r="I1181" s="12"/>
      <c r="J1181" s="12"/>
      <c r="K1181" s="12">
        <f t="shared" si="332"/>
        <v>0</v>
      </c>
      <c r="M1181" s="10">
        <v>15</v>
      </c>
      <c r="N1181" s="30" t="s">
        <v>104</v>
      </c>
      <c r="O1181" s="31">
        <f t="shared" si="338"/>
        <v>8743</v>
      </c>
      <c r="P1181" s="32">
        <f>650*9+622+9.5*10</f>
        <v>6567</v>
      </c>
      <c r="Q1181" s="32"/>
      <c r="R1181" s="32"/>
      <c r="S1181" s="32">
        <f t="shared" si="333"/>
        <v>6567</v>
      </c>
      <c r="T1181" s="12"/>
      <c r="U1181" s="12"/>
      <c r="V1181" s="12"/>
      <c r="W1181" s="12">
        <f t="shared" si="334"/>
        <v>6567</v>
      </c>
      <c r="Y1181" s="10">
        <v>15</v>
      </c>
      <c r="Z1181" s="30"/>
      <c r="AA1181" s="31"/>
      <c r="AB1181" s="32"/>
      <c r="AC1181" s="32"/>
      <c r="AD1181" s="32"/>
      <c r="AE1181" s="32">
        <f t="shared" si="335"/>
        <v>0</v>
      </c>
      <c r="AF1181" s="12"/>
      <c r="AG1181" s="12"/>
      <c r="AH1181" s="12"/>
      <c r="AI1181" s="12">
        <f t="shared" si="336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31"/>
      <c r="D1182" s="32"/>
      <c r="E1182" s="32"/>
      <c r="F1182" s="32"/>
      <c r="G1182" s="32">
        <f t="shared" si="331"/>
        <v>0</v>
      </c>
      <c r="H1182" s="12"/>
      <c r="I1182" s="12"/>
      <c r="J1182" s="12"/>
      <c r="K1182" s="12">
        <f t="shared" si="332"/>
        <v>0</v>
      </c>
      <c r="M1182" s="10">
        <v>16</v>
      </c>
      <c r="N1182" s="30"/>
      <c r="O1182" s="11" t="s">
        <v>27</v>
      </c>
      <c r="P1182" s="32"/>
      <c r="Q1182" s="32"/>
      <c r="R1182" s="32"/>
      <c r="S1182" s="32">
        <f t="shared" si="333"/>
        <v>0</v>
      </c>
      <c r="T1182" s="12"/>
      <c r="U1182" s="12"/>
      <c r="V1182" s="12"/>
      <c r="W1182" s="12">
        <f t="shared" si="334"/>
        <v>0</v>
      </c>
      <c r="Y1182" s="10">
        <v>16</v>
      </c>
      <c r="Z1182" s="30"/>
      <c r="AA1182" s="31"/>
      <c r="AB1182" s="32"/>
      <c r="AC1182" s="32"/>
      <c r="AD1182" s="32"/>
      <c r="AE1182" s="32">
        <f t="shared" si="335"/>
        <v>0</v>
      </c>
      <c r="AF1182" s="12"/>
      <c r="AG1182" s="12"/>
      <c r="AH1182" s="12"/>
      <c r="AI1182" s="12">
        <f t="shared" si="336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31"/>
      <c r="D1183" s="32"/>
      <c r="E1183" s="32"/>
      <c r="F1183" s="32"/>
      <c r="G1183" s="32">
        <f t="shared" si="331"/>
        <v>0</v>
      </c>
      <c r="H1183" s="12"/>
      <c r="I1183" s="12"/>
      <c r="J1183" s="12"/>
      <c r="K1183" s="12">
        <f t="shared" si="332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33"/>
        <v>0</v>
      </c>
      <c r="T1183" s="12"/>
      <c r="U1183" s="12"/>
      <c r="V1183" s="12"/>
      <c r="W1183" s="12">
        <f t="shared" si="334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35"/>
        <v>0</v>
      </c>
      <c r="AF1183" s="12"/>
      <c r="AG1183" s="12"/>
      <c r="AH1183" s="12"/>
      <c r="AI1183" s="12">
        <f t="shared" si="336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D1184" s="32"/>
      <c r="E1184" s="32"/>
      <c r="F1184" s="32"/>
      <c r="G1184" s="32">
        <f t="shared" si="331"/>
        <v>0</v>
      </c>
      <c r="H1184" s="12"/>
      <c r="I1184" s="12"/>
      <c r="J1184" s="12"/>
      <c r="K1184" s="12">
        <f t="shared" si="332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33"/>
        <v>0</v>
      </c>
      <c r="T1184" s="12"/>
      <c r="U1184" s="12"/>
      <c r="V1184" s="12"/>
      <c r="W1184" s="12">
        <f t="shared" si="334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35"/>
        <v>0</v>
      </c>
      <c r="AF1184" s="12"/>
      <c r="AG1184" s="12"/>
      <c r="AH1184" s="12"/>
      <c r="AI1184" s="12">
        <f t="shared" si="336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31"/>
      <c r="D1185" s="32"/>
      <c r="E1185" s="32"/>
      <c r="F1185" s="32"/>
      <c r="G1185" s="32">
        <f t="shared" si="331"/>
        <v>0</v>
      </c>
      <c r="H1185" s="12"/>
      <c r="I1185" s="12"/>
      <c r="J1185" s="12"/>
      <c r="K1185" s="12">
        <f t="shared" si="332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33"/>
        <v>0</v>
      </c>
      <c r="T1185" s="12"/>
      <c r="U1185" s="12"/>
      <c r="V1185" s="12"/>
      <c r="W1185" s="12">
        <f t="shared" si="334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35"/>
        <v>0</v>
      </c>
      <c r="AF1185" s="12"/>
      <c r="AG1185" s="12"/>
      <c r="AH1185" s="12"/>
      <c r="AI1185" s="12">
        <f t="shared" si="336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31"/>
      <c r="D1186" s="32"/>
      <c r="E1186" s="32"/>
      <c r="F1186" s="32"/>
      <c r="G1186" s="32">
        <f t="shared" si="331"/>
        <v>0</v>
      </c>
      <c r="H1186" s="12"/>
      <c r="I1186" s="12"/>
      <c r="J1186" s="12"/>
      <c r="K1186" s="12">
        <f t="shared" si="332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33"/>
        <v>0</v>
      </c>
      <c r="T1186" s="12"/>
      <c r="U1186" s="12"/>
      <c r="V1186" s="12"/>
      <c r="W1186" s="12">
        <f t="shared" si="334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35"/>
        <v>0</v>
      </c>
      <c r="AF1186" s="12"/>
      <c r="AG1186" s="12"/>
      <c r="AH1186" s="12"/>
      <c r="AI1186" s="12">
        <f t="shared" si="336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31"/>
      <c r="D1187" s="32"/>
      <c r="E1187" s="32"/>
      <c r="F1187" s="32"/>
      <c r="G1187" s="32">
        <f t="shared" si="331"/>
        <v>0</v>
      </c>
      <c r="H1187" s="10"/>
      <c r="I1187" s="10"/>
      <c r="J1187" s="10"/>
      <c r="K1187" s="12">
        <f t="shared" si="332"/>
        <v>0</v>
      </c>
      <c r="M1187" s="10">
        <v>21</v>
      </c>
      <c r="N1187" s="30"/>
      <c r="O1187" s="31"/>
      <c r="P1187" s="46"/>
      <c r="Q1187" s="31"/>
      <c r="R1187" s="31"/>
      <c r="S1187" s="32">
        <f t="shared" si="333"/>
        <v>0</v>
      </c>
      <c r="T1187" s="10"/>
      <c r="U1187" s="10"/>
      <c r="V1187" s="10"/>
      <c r="W1187" s="12">
        <f t="shared" si="334"/>
        <v>0</v>
      </c>
      <c r="Y1187" s="10">
        <v>21</v>
      </c>
      <c r="Z1187" s="30"/>
      <c r="AB1187" s="46"/>
      <c r="AC1187" s="31"/>
      <c r="AD1187" s="31"/>
      <c r="AE1187" s="32">
        <f t="shared" si="335"/>
        <v>0</v>
      </c>
      <c r="AF1187" s="10"/>
      <c r="AG1187" s="10"/>
      <c r="AH1187" s="10"/>
      <c r="AI1187" s="12">
        <f t="shared" si="336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31"/>
      <c r="D1188" s="32"/>
      <c r="E1188" s="32"/>
      <c r="F1188" s="32"/>
      <c r="G1188" s="32">
        <f t="shared" si="331"/>
        <v>0</v>
      </c>
      <c r="H1188" s="10"/>
      <c r="I1188" s="10"/>
      <c r="J1188" s="10"/>
      <c r="K1188" s="12">
        <f t="shared" si="332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333"/>
        <v>0</v>
      </c>
      <c r="T1188" s="10"/>
      <c r="U1188" s="10"/>
      <c r="V1188" s="10"/>
      <c r="W1188" s="12">
        <f t="shared" si="334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35"/>
        <v>0</v>
      </c>
      <c r="AF1188" s="10"/>
      <c r="AG1188" s="10"/>
      <c r="AH1188" s="10"/>
      <c r="AI1188" s="12">
        <f t="shared" si="336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57"/>
      <c r="D1189" s="32"/>
      <c r="E1189" s="32"/>
      <c r="F1189" s="32"/>
      <c r="G1189" s="32">
        <f t="shared" si="331"/>
        <v>0</v>
      </c>
      <c r="H1189" s="10"/>
      <c r="I1189" s="10"/>
      <c r="J1189" s="12"/>
      <c r="K1189" s="12">
        <f t="shared" si="332"/>
        <v>0</v>
      </c>
      <c r="M1189" s="10">
        <v>23</v>
      </c>
      <c r="N1189" s="30"/>
      <c r="O1189" s="31"/>
      <c r="P1189" s="47"/>
      <c r="Q1189" s="31"/>
      <c r="S1189" s="32">
        <f t="shared" si="333"/>
        <v>0</v>
      </c>
      <c r="T1189" s="10"/>
      <c r="U1189" s="10"/>
      <c r="V1189" s="10"/>
      <c r="W1189" s="12">
        <f t="shared" si="334"/>
        <v>0</v>
      </c>
      <c r="Y1189" s="10">
        <v>23</v>
      </c>
      <c r="Z1189" s="30"/>
      <c r="AB1189" s="47"/>
      <c r="AC1189" s="31"/>
      <c r="AE1189" s="32">
        <f t="shared" si="335"/>
        <v>0</v>
      </c>
      <c r="AF1189" s="10"/>
      <c r="AG1189" s="10"/>
      <c r="AH1189" s="10"/>
      <c r="AI1189" s="12">
        <f t="shared" si="336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31"/>
      <c r="D1190" s="32"/>
      <c r="E1190" s="32"/>
      <c r="F1190" s="32"/>
      <c r="G1190" s="32">
        <f t="shared" si="331"/>
        <v>0</v>
      </c>
      <c r="H1190" s="10"/>
      <c r="I1190" s="10"/>
      <c r="J1190" s="10"/>
      <c r="K1190" s="12">
        <f t="shared" si="332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333"/>
        <v>0</v>
      </c>
      <c r="T1190" s="10"/>
      <c r="U1190" s="10"/>
      <c r="V1190" s="10"/>
      <c r="W1190" s="12">
        <f t="shared" si="334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35"/>
        <v>0</v>
      </c>
      <c r="AF1190" s="10"/>
      <c r="AG1190" s="10"/>
      <c r="AH1190" s="10"/>
      <c r="AI1190" s="12">
        <f t="shared" si="336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31"/>
      <c r="D1191" s="32"/>
      <c r="E1191" s="32"/>
      <c r="F1191" s="32"/>
      <c r="G1191" s="32">
        <f t="shared" si="331"/>
        <v>0</v>
      </c>
      <c r="H1191" s="10"/>
      <c r="I1191" s="10"/>
      <c r="J1191" s="10"/>
      <c r="K1191" s="12">
        <f t="shared" si="332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33"/>
        <v>0</v>
      </c>
      <c r="T1191" s="10"/>
      <c r="U1191" s="10"/>
      <c r="V1191" s="10"/>
      <c r="W1191" s="12">
        <f t="shared" si="334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35"/>
        <v>0</v>
      </c>
      <c r="AF1191" s="10"/>
      <c r="AG1191" s="10"/>
      <c r="AH1191" s="10"/>
      <c r="AI1191" s="12">
        <f t="shared" si="336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31"/>
      <c r="D1192" s="32"/>
      <c r="E1192" s="32"/>
      <c r="F1192" s="32"/>
      <c r="G1192" s="32">
        <f t="shared" si="331"/>
        <v>0</v>
      </c>
      <c r="H1192" s="10"/>
      <c r="I1192" s="10"/>
      <c r="J1192" s="10"/>
      <c r="K1192" s="12">
        <f t="shared" si="332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33"/>
        <v>0</v>
      </c>
      <c r="T1192" s="10"/>
      <c r="U1192" s="10"/>
      <c r="V1192" s="10"/>
      <c r="W1192" s="12">
        <f t="shared" si="334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35"/>
        <v>0</v>
      </c>
      <c r="AF1192" s="10"/>
      <c r="AG1192" s="10"/>
      <c r="AH1192" s="10"/>
      <c r="AI1192" s="12">
        <f t="shared" si="336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31"/>
      <c r="D1193" s="32"/>
      <c r="E1193" s="32"/>
      <c r="F1193" s="32"/>
      <c r="G1193" s="32">
        <f t="shared" si="331"/>
        <v>0</v>
      </c>
      <c r="H1193" s="10"/>
      <c r="I1193" s="10"/>
      <c r="J1193" s="10"/>
      <c r="K1193" s="12">
        <f t="shared" si="332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33"/>
        <v>0</v>
      </c>
      <c r="T1193" s="10"/>
      <c r="U1193" s="10"/>
      <c r="V1193" s="10"/>
      <c r="W1193" s="12">
        <f t="shared" si="334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35"/>
        <v>0</v>
      </c>
      <c r="AF1193" s="10"/>
      <c r="AG1193" s="10"/>
      <c r="AH1193" s="10"/>
      <c r="AI1193" s="12">
        <f t="shared" si="336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31"/>
      <c r="D1194" s="32"/>
      <c r="E1194" s="32"/>
      <c r="F1194" s="32"/>
      <c r="G1194" s="32">
        <f t="shared" si="331"/>
        <v>0</v>
      </c>
      <c r="H1194" s="10"/>
      <c r="I1194" s="10"/>
      <c r="J1194" s="10"/>
      <c r="K1194" s="12">
        <f t="shared" si="332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33"/>
        <v>0</v>
      </c>
      <c r="T1194" s="10"/>
      <c r="U1194" s="10"/>
      <c r="V1194" s="10"/>
      <c r="W1194" s="12">
        <f t="shared" si="334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35"/>
        <v>0</v>
      </c>
      <c r="AF1194" s="10"/>
      <c r="AG1194" s="10"/>
      <c r="AH1194" s="10"/>
      <c r="AI1194" s="12">
        <f t="shared" si="336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31"/>
      <c r="D1195" s="32"/>
      <c r="E1195" s="32"/>
      <c r="F1195" s="32"/>
      <c r="G1195" s="32">
        <f t="shared" si="331"/>
        <v>0</v>
      </c>
      <c r="H1195" s="10"/>
      <c r="I1195" s="10"/>
      <c r="J1195" s="10"/>
      <c r="K1195" s="12">
        <f t="shared" si="332"/>
        <v>0</v>
      </c>
      <c r="M1195" s="10">
        <v>29</v>
      </c>
      <c r="N1195" s="30"/>
      <c r="P1195" s="47"/>
      <c r="Q1195" s="31"/>
      <c r="R1195" s="31"/>
      <c r="S1195" s="32">
        <f t="shared" si="333"/>
        <v>0</v>
      </c>
      <c r="T1195" s="10"/>
      <c r="U1195" s="10"/>
      <c r="V1195" s="10"/>
      <c r="W1195" s="12">
        <f t="shared" si="334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35"/>
        <v>0</v>
      </c>
      <c r="AF1195" s="10"/>
      <c r="AG1195" s="10"/>
      <c r="AH1195" s="10"/>
      <c r="AI1195" s="12">
        <f t="shared" si="336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31"/>
        <v>0</v>
      </c>
      <c r="H1196" s="10"/>
      <c r="I1196" s="10"/>
      <c r="J1196" s="10"/>
      <c r="K1196" s="12">
        <f t="shared" si="332"/>
        <v>0</v>
      </c>
      <c r="M1196" s="10">
        <v>30</v>
      </c>
      <c r="N1196" s="30"/>
      <c r="O1196" s="31"/>
      <c r="P1196" s="47"/>
      <c r="Q1196" s="31"/>
      <c r="R1196" s="31"/>
      <c r="S1196" s="32">
        <f t="shared" si="333"/>
        <v>0</v>
      </c>
      <c r="T1196" s="10"/>
      <c r="U1196" s="10"/>
      <c r="V1196" s="10"/>
      <c r="W1196" s="12">
        <f t="shared" si="334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35"/>
        <v>0</v>
      </c>
      <c r="AF1196" s="10"/>
      <c r="AG1196" s="10"/>
      <c r="AH1196" s="10"/>
      <c r="AI1196" s="12">
        <f t="shared" si="336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88"/>
      <c r="D1197" s="32"/>
      <c r="E1197" s="32"/>
      <c r="F1197" s="32"/>
      <c r="G1197" s="32">
        <f t="shared" si="331"/>
        <v>0</v>
      </c>
      <c r="H1197" s="10"/>
      <c r="I1197" s="10"/>
      <c r="J1197" s="10"/>
      <c r="K1197" s="12">
        <f t="shared" si="332"/>
        <v>0</v>
      </c>
      <c r="M1197" s="10">
        <v>31</v>
      </c>
      <c r="N1197" s="30"/>
      <c r="P1197" s="47"/>
      <c r="Q1197" s="31"/>
      <c r="R1197" s="31"/>
      <c r="S1197" s="32">
        <f t="shared" si="333"/>
        <v>0</v>
      </c>
      <c r="T1197" s="10"/>
      <c r="U1197" s="10"/>
      <c r="V1197" s="10"/>
      <c r="W1197" s="12">
        <f t="shared" si="334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35"/>
        <v>0</v>
      </c>
      <c r="AF1197" s="10"/>
      <c r="AG1197" s="10"/>
      <c r="AH1197" s="10"/>
      <c r="AI1197" s="12">
        <f t="shared" si="336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57"/>
      <c r="D1198" s="32"/>
      <c r="E1198" s="32"/>
      <c r="F1198" s="32"/>
      <c r="G1198" s="32">
        <f t="shared" si="331"/>
        <v>0</v>
      </c>
      <c r="H1198" s="10"/>
      <c r="I1198" s="10"/>
      <c r="J1198" s="10"/>
      <c r="K1198" s="12">
        <f t="shared" si="332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33"/>
        <v>0</v>
      </c>
      <c r="T1198" s="10"/>
      <c r="U1198" s="10"/>
      <c r="V1198" s="10"/>
      <c r="W1198" s="12">
        <f t="shared" si="334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35"/>
        <v>0</v>
      </c>
      <c r="AF1198" s="10"/>
      <c r="AG1198" s="10"/>
      <c r="AH1198" s="10"/>
      <c r="AI1198" s="12">
        <f t="shared" si="336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8"/>
      <c r="D1199" s="32"/>
      <c r="E1199" s="32"/>
      <c r="F1199" s="32"/>
      <c r="G1199" s="32">
        <f t="shared" si="331"/>
        <v>0</v>
      </c>
      <c r="H1199" s="10"/>
      <c r="I1199" s="10"/>
      <c r="J1199" s="10"/>
      <c r="K1199" s="12">
        <f t="shared" si="332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33"/>
        <v>0</v>
      </c>
      <c r="T1199" s="10"/>
      <c r="U1199" s="10"/>
      <c r="V1199" s="10"/>
      <c r="W1199" s="12">
        <f t="shared" si="334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35"/>
        <v>0</v>
      </c>
      <c r="AF1199" s="10"/>
      <c r="AG1199" s="10"/>
      <c r="AH1199" s="10"/>
      <c r="AI1199" s="12">
        <f t="shared" si="336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8"/>
      <c r="D1200" s="32"/>
      <c r="E1200" s="32"/>
      <c r="F1200" s="32"/>
      <c r="G1200" s="32">
        <f t="shared" si="331"/>
        <v>0</v>
      </c>
      <c r="H1200" s="10"/>
      <c r="I1200" s="10"/>
      <c r="J1200" s="10"/>
      <c r="K1200" s="12">
        <f t="shared" si="332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33"/>
        <v>0</v>
      </c>
      <c r="T1200" s="10"/>
      <c r="U1200" s="10"/>
      <c r="V1200" s="10"/>
      <c r="W1200" s="12">
        <f t="shared" si="334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ref="AE1200:AE1205" si="340">SUM(AB1200:AC1200)</f>
        <v>0</v>
      </c>
      <c r="AF1200" s="10"/>
      <c r="AG1200" s="10"/>
      <c r="AH1200" s="10"/>
      <c r="AI1200" s="12">
        <f t="shared" si="336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8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33"/>
        <v>0</v>
      </c>
      <c r="T1201" s="10"/>
      <c r="U1201" s="10"/>
      <c r="V1201" s="10"/>
      <c r="W1201" s="12">
        <f t="shared" si="334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40"/>
        <v>0</v>
      </c>
      <c r="AF1201" s="10"/>
      <c r="AG1201" s="10"/>
      <c r="AH1201" s="10"/>
      <c r="AI1201" s="12">
        <f t="shared" si="336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8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33"/>
        <v>0</v>
      </c>
      <c r="T1202" s="10"/>
      <c r="U1202" s="10"/>
      <c r="V1202" s="10"/>
      <c r="W1202" s="12">
        <f t="shared" si="334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40"/>
        <v>0</v>
      </c>
      <c r="AF1202" s="10"/>
      <c r="AG1202" s="10"/>
      <c r="AH1202" s="10"/>
      <c r="AI1202" s="12">
        <f t="shared" si="336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33"/>
        <v>0</v>
      </c>
      <c r="T1203" s="10"/>
      <c r="U1203" s="10"/>
      <c r="V1203" s="10"/>
      <c r="W1203" s="12">
        <f t="shared" si="334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40"/>
        <v>0</v>
      </c>
      <c r="AF1203" s="10"/>
      <c r="AG1203" s="10"/>
      <c r="AH1203" s="10"/>
      <c r="AI1203" s="12">
        <f t="shared" si="336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33"/>
        <v>0</v>
      </c>
      <c r="T1204" s="10"/>
      <c r="U1204" s="10"/>
      <c r="V1204" s="10"/>
      <c r="W1204" s="12">
        <f t="shared" si="334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40"/>
        <v>0</v>
      </c>
      <c r="AF1204" s="10"/>
      <c r="AG1204" s="10"/>
      <c r="AH1204" s="10"/>
      <c r="AI1204" s="12">
        <f t="shared" si="336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33"/>
        <v>0</v>
      </c>
      <c r="T1205" s="10"/>
      <c r="U1205" s="10"/>
      <c r="V1205" s="10"/>
      <c r="W1205" s="12">
        <f t="shared" si="334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40"/>
        <v>0</v>
      </c>
      <c r="AF1205" s="10"/>
      <c r="AG1205" s="10"/>
      <c r="AH1205" s="10"/>
      <c r="AI1205" s="12">
        <f t="shared" si="336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34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36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41">SUM(D1207:E1207)</f>
        <v>0</v>
      </c>
      <c r="H1207" s="10"/>
      <c r="I1207" s="10"/>
      <c r="J1207" s="10"/>
      <c r="K1207" s="12">
        <f t="shared" ref="K1207" si="342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43">SUM(P1207:Q1207)</f>
        <v>0</v>
      </c>
      <c r="T1207" s="10"/>
      <c r="U1207" s="10"/>
      <c r="V1207" s="10"/>
      <c r="W1207" s="12">
        <f t="shared" si="334"/>
        <v>0</v>
      </c>
      <c r="Y1207" s="10"/>
      <c r="Z1207" s="30"/>
      <c r="AA1207" s="31"/>
      <c r="AB1207" s="47"/>
      <c r="AC1207" s="31"/>
      <c r="AD1207" s="31"/>
      <c r="AE1207" s="32">
        <f t="shared" ref="AE1207" si="344">SUM(AB1207:AC1207)</f>
        <v>0</v>
      </c>
      <c r="AF1207" s="10"/>
      <c r="AG1207" s="10"/>
      <c r="AH1207" s="10"/>
      <c r="AI1207" s="12">
        <f t="shared" si="336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34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36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201617</v>
      </c>
      <c r="E1210" s="38">
        <f t="shared" ref="E1210:F1210" si="345">SUM(E1167:E1207)</f>
        <v>-42</v>
      </c>
      <c r="F1210" s="38">
        <f t="shared" si="345"/>
        <v>0</v>
      </c>
      <c r="G1210" s="38">
        <f>SUM(G1167:G1209)</f>
        <v>201575</v>
      </c>
      <c r="H1210" s="4"/>
      <c r="I1210" s="39">
        <f>SUM(I1167:I1209)</f>
        <v>573</v>
      </c>
      <c r="J1210" s="39">
        <f>SUM(J1167:J1209)</f>
        <v>-777</v>
      </c>
      <c r="K1210" s="40">
        <f>SUM(K1167:K1209)</f>
        <v>201371</v>
      </c>
      <c r="N1210" s="57"/>
      <c r="O1210" s="57"/>
      <c r="P1210" s="38">
        <f>SUM(P1167:P1209)</f>
        <v>170283.5</v>
      </c>
      <c r="Q1210" s="38">
        <f>SUM(Q1167:Q1191)</f>
        <v>0</v>
      </c>
      <c r="R1210" s="38">
        <f>SUM(R1167:R1191)</f>
        <v>0</v>
      </c>
      <c r="S1210" s="38">
        <f>SUM(S1167:S1209)</f>
        <v>170283.5</v>
      </c>
      <c r="T1210" s="4"/>
      <c r="U1210" s="41">
        <f>SUM(U1167:U1209)</f>
        <v>111</v>
      </c>
      <c r="V1210" s="41">
        <f>SUM(V1167:V1191)</f>
        <v>0</v>
      </c>
      <c r="W1210" s="42">
        <f>SUM(W1167:W1209)</f>
        <v>170394.5</v>
      </c>
      <c r="Z1210" s="57"/>
      <c r="AA1210" s="57"/>
      <c r="AB1210" s="38">
        <f>SUM(AB1167:AB1209)</f>
        <v>325569</v>
      </c>
      <c r="AC1210" s="38">
        <f>SUM(AC1167:AC1191)</f>
        <v>-2544</v>
      </c>
      <c r="AD1210" s="38">
        <f>SUM(AD1167:AD1191)</f>
        <v>0</v>
      </c>
      <c r="AE1210" s="38">
        <f>SUM(AE1167:AE1209)</f>
        <v>323025</v>
      </c>
      <c r="AF1210" s="4"/>
      <c r="AG1210" s="41">
        <f>SUM(AG1167:AG1209)</f>
        <v>361.5</v>
      </c>
      <c r="AH1210" s="41">
        <f>SUM(AH1167:AH1191)</f>
        <v>-78</v>
      </c>
      <c r="AI1210" s="42">
        <f>SUM(AI1167:AI1209)</f>
        <v>323308.5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28</v>
      </c>
      <c r="B1213" s="57"/>
      <c r="C1213" s="57"/>
      <c r="D1213" s="57"/>
      <c r="E1213" s="57"/>
      <c r="G1213" s="57"/>
      <c r="M1213" t="s">
        <v>28</v>
      </c>
      <c r="N1213" s="57"/>
      <c r="O1213" s="57"/>
      <c r="P1213" s="57"/>
      <c r="Q1213" s="57"/>
      <c r="R1213" s="57"/>
      <c r="S1213" s="57"/>
      <c r="Y1213" t="s">
        <v>28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14</v>
      </c>
      <c r="B1215" s="57"/>
      <c r="C1215" s="57"/>
      <c r="D1215" s="57"/>
      <c r="E1215" s="57"/>
      <c r="G1215" s="57"/>
      <c r="M1215" s="4" t="s">
        <v>14</v>
      </c>
      <c r="N1215" s="57"/>
      <c r="O1215" s="57"/>
      <c r="P1215" s="57"/>
      <c r="Q1215" s="57"/>
      <c r="R1215" s="57"/>
      <c r="S1215" s="57"/>
      <c r="Y1215" s="4" t="s">
        <v>14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52</v>
      </c>
      <c r="B1217" s="57"/>
      <c r="C1217" s="57"/>
      <c r="D1217" s="57"/>
      <c r="E1217" s="57"/>
      <c r="G1217" s="57"/>
      <c r="I1217" s="57" t="s">
        <v>15</v>
      </c>
      <c r="J1217" s="19">
        <v>1</v>
      </c>
      <c r="M1217" t="s">
        <v>52</v>
      </c>
      <c r="N1217" s="57"/>
      <c r="O1217" s="57"/>
      <c r="P1217" s="57"/>
      <c r="Q1217" s="57"/>
      <c r="R1217" s="57"/>
      <c r="S1217" s="57"/>
      <c r="U1217" s="57" t="s">
        <v>15</v>
      </c>
      <c r="V1217" s="19">
        <v>2</v>
      </c>
      <c r="Y1217" t="s">
        <v>52</v>
      </c>
      <c r="Z1217" s="57"/>
      <c r="AA1217" s="57"/>
      <c r="AB1217" s="57"/>
      <c r="AC1217" s="57"/>
      <c r="AD1217" s="57"/>
      <c r="AE1217" s="57"/>
      <c r="AG1217" s="57" t="s">
        <v>15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106</v>
      </c>
      <c r="B1218" s="20"/>
      <c r="C1218" s="57"/>
      <c r="D1218" s="57"/>
      <c r="E1218" s="57"/>
      <c r="G1218" s="57"/>
      <c r="I1218" s="22" t="s">
        <v>16</v>
      </c>
      <c r="J1218" s="23" t="s">
        <v>31</v>
      </c>
      <c r="K1218" s="24"/>
      <c r="M1218" s="21" t="s">
        <v>106</v>
      </c>
      <c r="N1218" s="20"/>
      <c r="O1218" s="57"/>
      <c r="P1218" s="57"/>
      <c r="Q1218" s="57"/>
      <c r="R1218" s="57"/>
      <c r="S1218" s="57"/>
      <c r="U1218" s="22" t="s">
        <v>16</v>
      </c>
      <c r="V1218" s="23" t="s">
        <v>98</v>
      </c>
      <c r="W1218" s="24"/>
      <c r="Y1218" s="21" t="s">
        <v>106</v>
      </c>
      <c r="Z1218" s="20"/>
      <c r="AA1218" s="57"/>
      <c r="AB1218" s="57"/>
      <c r="AC1218" s="57"/>
      <c r="AD1218" s="57"/>
      <c r="AE1218" s="57"/>
      <c r="AG1218" s="22" t="s">
        <v>16</v>
      </c>
      <c r="AH1218" s="23" t="s">
        <v>54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5" t="s">
        <v>17</v>
      </c>
      <c r="E1220" s="125"/>
      <c r="F1220" s="115"/>
      <c r="G1220" s="27"/>
      <c r="I1220" s="123" t="s">
        <v>18</v>
      </c>
      <c r="J1220" s="124"/>
      <c r="K1220" s="121" t="s">
        <v>19</v>
      </c>
      <c r="N1220" s="25"/>
      <c r="O1220" s="26"/>
      <c r="P1220" s="125" t="s">
        <v>17</v>
      </c>
      <c r="Q1220" s="125"/>
      <c r="R1220" s="115"/>
      <c r="S1220" s="27"/>
      <c r="U1220" s="123" t="s">
        <v>18</v>
      </c>
      <c r="V1220" s="124"/>
      <c r="W1220" s="121" t="s">
        <v>19</v>
      </c>
      <c r="Z1220" s="25"/>
      <c r="AA1220" s="26"/>
      <c r="AB1220" s="125" t="s">
        <v>17</v>
      </c>
      <c r="AC1220" s="125"/>
      <c r="AD1220" s="115"/>
      <c r="AE1220" s="27"/>
      <c r="AG1220" s="123" t="s">
        <v>18</v>
      </c>
      <c r="AH1220" s="124"/>
      <c r="AI1220" s="121" t="s">
        <v>19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20</v>
      </c>
      <c r="C1221" s="28" t="s">
        <v>21</v>
      </c>
      <c r="D1221" s="79" t="s">
        <v>22</v>
      </c>
      <c r="E1221" s="78" t="s">
        <v>23</v>
      </c>
      <c r="F1221" s="80" t="s">
        <v>32</v>
      </c>
      <c r="G1221" s="80" t="s">
        <v>24</v>
      </c>
      <c r="I1221" s="29" t="s">
        <v>25</v>
      </c>
      <c r="J1221" s="29" t="s">
        <v>26</v>
      </c>
      <c r="K1221" s="122"/>
      <c r="N1221" s="28" t="s">
        <v>20</v>
      </c>
      <c r="O1221" s="28" t="s">
        <v>21</v>
      </c>
      <c r="P1221" s="79" t="s">
        <v>22</v>
      </c>
      <c r="Q1221" s="80" t="s">
        <v>23</v>
      </c>
      <c r="R1221" s="80" t="s">
        <v>32</v>
      </c>
      <c r="S1221" s="80" t="s">
        <v>24</v>
      </c>
      <c r="U1221" s="29" t="s">
        <v>25</v>
      </c>
      <c r="V1221" s="29" t="s">
        <v>26</v>
      </c>
      <c r="W1221" s="122"/>
      <c r="Z1221" s="28" t="s">
        <v>20</v>
      </c>
      <c r="AA1221" s="28" t="s">
        <v>21</v>
      </c>
      <c r="AB1221" s="79" t="s">
        <v>22</v>
      </c>
      <c r="AC1221" s="80" t="s">
        <v>23</v>
      </c>
      <c r="AD1221" s="80" t="s">
        <v>32</v>
      </c>
      <c r="AE1221" s="80" t="s">
        <v>24</v>
      </c>
      <c r="AG1221" s="29" t="s">
        <v>25</v>
      </c>
      <c r="AH1221" s="29" t="s">
        <v>26</v>
      </c>
      <c r="AI1221" s="12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107</v>
      </c>
      <c r="C1222" s="88">
        <v>8764</v>
      </c>
      <c r="D1222" s="32">
        <f>650*7+670*3+622*2+9.5*10</f>
        <v>7899</v>
      </c>
      <c r="E1222" s="32"/>
      <c r="F1222" s="32"/>
      <c r="G1222" s="32">
        <f t="shared" ref="G1222:G1255" si="346">SUM(D1222:E1222)</f>
        <v>7899</v>
      </c>
      <c r="H1222" s="12"/>
      <c r="I1222" s="12"/>
      <c r="J1222" s="12"/>
      <c r="K1222" s="12">
        <f t="shared" ref="K1222:K1255" si="347">SUM(G1222:J1222)</f>
        <v>7899</v>
      </c>
      <c r="M1222" s="10">
        <v>1</v>
      </c>
      <c r="N1222" s="30" t="s">
        <v>107</v>
      </c>
      <c r="O1222" s="31">
        <v>8744</v>
      </c>
      <c r="P1222" s="32">
        <f>650*4+9.5*4</f>
        <v>2638</v>
      </c>
      <c r="Q1222" s="32"/>
      <c r="R1222" s="32"/>
      <c r="S1222" s="32">
        <f>SUM(P1222:Q1222)</f>
        <v>2638</v>
      </c>
      <c r="T1222" s="12"/>
      <c r="U1222" s="12"/>
      <c r="V1222" s="12"/>
      <c r="W1222" s="12">
        <f>SUM(S1222:V1222)</f>
        <v>2638</v>
      </c>
      <c r="Y1222" s="10">
        <v>1</v>
      </c>
      <c r="Z1222" s="30" t="s">
        <v>107</v>
      </c>
      <c r="AA1222" s="31">
        <v>8680</v>
      </c>
      <c r="AB1222" s="32">
        <f>650*100+670*15+622*50+229*6</f>
        <v>107524</v>
      </c>
      <c r="AC1222" s="32">
        <v>-990</v>
      </c>
      <c r="AD1222" s="32"/>
      <c r="AE1222" s="32">
        <f>SUM(AB1222:AC1222)</f>
        <v>106534</v>
      </c>
      <c r="AF1222" s="12"/>
      <c r="AG1222" s="12"/>
      <c r="AH1222" s="12"/>
      <c r="AI1222" s="12">
        <f>SUM(AE1222:AH1222)</f>
        <v>106534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107</v>
      </c>
      <c r="C1223" s="31">
        <f>C1222+1</f>
        <v>8765</v>
      </c>
      <c r="D1223" s="32">
        <f>650*2+670+622*2+9.5*4</f>
        <v>3252</v>
      </c>
      <c r="E1223" s="32"/>
      <c r="F1223" s="32"/>
      <c r="G1223" s="32">
        <f t="shared" si="346"/>
        <v>3252</v>
      </c>
      <c r="H1223" s="12"/>
      <c r="I1223" s="12">
        <v>111</v>
      </c>
      <c r="J1223" s="12"/>
      <c r="K1223" s="12">
        <f t="shared" si="347"/>
        <v>3363</v>
      </c>
      <c r="M1223" s="10">
        <v>2</v>
      </c>
      <c r="N1223" s="30" t="s">
        <v>107</v>
      </c>
      <c r="O1223" s="31">
        <f>O1222+1</f>
        <v>8745</v>
      </c>
      <c r="P1223" s="32">
        <f>650*100+622*20+229*2</f>
        <v>77898</v>
      </c>
      <c r="Q1223" s="32">
        <v>-720</v>
      </c>
      <c r="R1223" s="32"/>
      <c r="S1223" s="32">
        <f t="shared" ref="S1223:S1260" si="348">SUM(P1223:Q1223)</f>
        <v>77178</v>
      </c>
      <c r="T1223" s="12"/>
      <c r="U1223" s="12">
        <v>36</v>
      </c>
      <c r="V1223" s="12"/>
      <c r="W1223" s="12">
        <f t="shared" ref="W1223:W1263" si="349">SUM(S1223:V1223)</f>
        <v>77214</v>
      </c>
      <c r="Y1223" s="10">
        <v>2</v>
      </c>
      <c r="Z1223" s="30" t="s">
        <v>107</v>
      </c>
      <c r="AA1223" s="31">
        <f>AA1222+1</f>
        <v>8681</v>
      </c>
      <c r="AB1223" s="32">
        <f>650*100+670*5+622*15+229*4</f>
        <v>78596</v>
      </c>
      <c r="AC1223" s="32">
        <f>-120*6</f>
        <v>-720</v>
      </c>
      <c r="AD1223" s="32"/>
      <c r="AE1223" s="32">
        <f t="shared" ref="AE1223:AE1254" si="350">SUM(AB1223:AC1223)</f>
        <v>77876</v>
      </c>
      <c r="AF1223" s="12"/>
      <c r="AG1223" s="12"/>
      <c r="AH1223" s="12">
        <f>-47*111</f>
        <v>-5217</v>
      </c>
      <c r="AI1223" s="12">
        <f t="shared" ref="AI1223:AI1263" si="351">SUM(AE1223:AH1223)</f>
        <v>72659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107</v>
      </c>
      <c r="C1224" s="31">
        <f t="shared" ref="C1224:C1241" si="352">C1223+1</f>
        <v>8766</v>
      </c>
      <c r="D1224" s="33">
        <f>650*5+9.5*5</f>
        <v>3297.5</v>
      </c>
      <c r="E1224" s="33"/>
      <c r="F1224" s="33"/>
      <c r="G1224" s="33">
        <f t="shared" si="346"/>
        <v>3297.5</v>
      </c>
      <c r="H1224" s="34"/>
      <c r="I1224" s="34"/>
      <c r="J1224" s="34"/>
      <c r="K1224" s="34">
        <f t="shared" si="347"/>
        <v>3297.5</v>
      </c>
      <c r="M1224" s="10">
        <v>3</v>
      </c>
      <c r="N1224" s="30" t="s">
        <v>107</v>
      </c>
      <c r="O1224" s="31">
        <f t="shared" ref="O1224:O1228" si="353">O1223+1</f>
        <v>8746</v>
      </c>
      <c r="P1224" s="32">
        <f>650*10+622*9+9.5*19</f>
        <v>12278.5</v>
      </c>
      <c r="Q1224" s="32"/>
      <c r="R1224" s="32"/>
      <c r="S1224" s="32">
        <f t="shared" si="348"/>
        <v>12278.5</v>
      </c>
      <c r="T1224" s="12"/>
      <c r="U1224" s="12"/>
      <c r="V1224" s="12"/>
      <c r="W1224" s="12">
        <f t="shared" si="349"/>
        <v>12278.5</v>
      </c>
      <c r="Y1224" s="10">
        <v>3</v>
      </c>
      <c r="Z1224" s="30" t="s">
        <v>107</v>
      </c>
      <c r="AA1224" s="31">
        <f t="shared" ref="AA1224" si="354">AA1223+1</f>
        <v>8682</v>
      </c>
      <c r="AB1224" s="33">
        <f>650*10+622*5+9.5*15</f>
        <v>9752.5</v>
      </c>
      <c r="AC1224" s="33"/>
      <c r="AD1224" s="32"/>
      <c r="AE1224" s="32">
        <f t="shared" si="350"/>
        <v>9752.5</v>
      </c>
      <c r="AF1224" s="12"/>
      <c r="AG1224" s="12"/>
      <c r="AH1224" s="12"/>
      <c r="AI1224" s="12">
        <f t="shared" si="351"/>
        <v>9752.5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107</v>
      </c>
      <c r="C1225" s="31">
        <f t="shared" si="352"/>
        <v>8767</v>
      </c>
      <c r="D1225" s="32">
        <f>650*5+9.5*5</f>
        <v>3297.5</v>
      </c>
      <c r="E1225" s="32"/>
      <c r="F1225" s="32"/>
      <c r="G1225" s="32">
        <f t="shared" si="346"/>
        <v>3297.5</v>
      </c>
      <c r="H1225" s="12"/>
      <c r="I1225" s="12"/>
      <c r="J1225" s="12"/>
      <c r="K1225" s="12">
        <f t="shared" si="347"/>
        <v>3297.5</v>
      </c>
      <c r="M1225" s="10">
        <v>4</v>
      </c>
      <c r="N1225" s="30" t="s">
        <v>107</v>
      </c>
      <c r="O1225" s="31">
        <f t="shared" si="353"/>
        <v>8747</v>
      </c>
      <c r="P1225" s="32">
        <f>650*60+700+229*3</f>
        <v>40387</v>
      </c>
      <c r="Q1225" s="32"/>
      <c r="R1225" s="32"/>
      <c r="S1225" s="32">
        <f t="shared" si="348"/>
        <v>40387</v>
      </c>
      <c r="T1225" s="12"/>
      <c r="U1225" s="12"/>
      <c r="V1225" s="12"/>
      <c r="W1225" s="12">
        <f t="shared" si="349"/>
        <v>40387</v>
      </c>
      <c r="Y1225" s="10">
        <v>4</v>
      </c>
      <c r="Z1225" s="30"/>
      <c r="AA1225" s="11" t="s">
        <v>27</v>
      </c>
      <c r="AB1225" s="32"/>
      <c r="AC1225" s="32"/>
      <c r="AD1225" s="32"/>
      <c r="AE1225" s="32">
        <f t="shared" si="350"/>
        <v>0</v>
      </c>
      <c r="AF1225" s="12"/>
      <c r="AH1225" s="12"/>
      <c r="AI1225" s="12">
        <f t="shared" si="351"/>
        <v>0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107</v>
      </c>
      <c r="C1226" s="31">
        <f t="shared" si="352"/>
        <v>8768</v>
      </c>
      <c r="D1226" s="32">
        <f>650*5+622*2+9.5*7</f>
        <v>4560.5</v>
      </c>
      <c r="E1226" s="32"/>
      <c r="F1226" s="32"/>
      <c r="G1226" s="32">
        <f t="shared" si="346"/>
        <v>4560.5</v>
      </c>
      <c r="H1226" s="12"/>
      <c r="I1226" s="12"/>
      <c r="J1226" s="12"/>
      <c r="K1226" s="12">
        <f t="shared" si="347"/>
        <v>4560.5</v>
      </c>
      <c r="M1226" s="10">
        <v>5</v>
      </c>
      <c r="N1226" s="30" t="s">
        <v>107</v>
      </c>
      <c r="O1226" s="31">
        <f t="shared" si="353"/>
        <v>8748</v>
      </c>
      <c r="P1226" s="32">
        <f>650*14+9.5*14</f>
        <v>9233</v>
      </c>
      <c r="Q1226" s="32"/>
      <c r="R1226" s="32"/>
      <c r="S1226" s="32">
        <f t="shared" si="348"/>
        <v>9233</v>
      </c>
      <c r="T1226" s="12"/>
      <c r="U1226" s="12">
        <v>15</v>
      </c>
      <c r="V1226" s="12"/>
      <c r="W1226" s="12">
        <f t="shared" si="349"/>
        <v>9248</v>
      </c>
      <c r="Y1226" s="10">
        <v>5</v>
      </c>
      <c r="Z1226" s="30"/>
      <c r="AA1226" s="31"/>
      <c r="AB1226" s="32"/>
      <c r="AC1226" s="32"/>
      <c r="AD1226" s="32"/>
      <c r="AE1226" s="32">
        <f t="shared" si="350"/>
        <v>0</v>
      </c>
      <c r="AF1226" s="12"/>
      <c r="AG1226" s="12"/>
      <c r="AH1226" s="12"/>
      <c r="AI1226" s="12">
        <f t="shared" si="351"/>
        <v>0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 t="s">
        <v>107</v>
      </c>
      <c r="C1227" s="31">
        <f t="shared" si="352"/>
        <v>8769</v>
      </c>
      <c r="D1227" s="32">
        <f>650*3+9.5*3</f>
        <v>1978.5</v>
      </c>
      <c r="E1227" s="32"/>
      <c r="F1227" s="32"/>
      <c r="G1227" s="32">
        <f t="shared" si="346"/>
        <v>1978.5</v>
      </c>
      <c r="H1227" s="12"/>
      <c r="I1227" s="12"/>
      <c r="J1227" s="12"/>
      <c r="K1227" s="12">
        <f t="shared" si="347"/>
        <v>1978.5</v>
      </c>
      <c r="M1227" s="10">
        <v>6</v>
      </c>
      <c r="N1227" s="30" t="s">
        <v>107</v>
      </c>
      <c r="O1227" s="31">
        <f t="shared" si="353"/>
        <v>8749</v>
      </c>
      <c r="P1227" s="32">
        <f>5850+622+872+95</f>
        <v>7439</v>
      </c>
      <c r="Q1227" s="32"/>
      <c r="R1227" s="32"/>
      <c r="S1227" s="32">
        <f t="shared" si="348"/>
        <v>7439</v>
      </c>
      <c r="T1227" s="12"/>
      <c r="U1227" s="12">
        <v>9</v>
      </c>
      <c r="V1227" s="10"/>
      <c r="W1227" s="12">
        <f t="shared" si="349"/>
        <v>7448</v>
      </c>
      <c r="Y1227" s="10">
        <v>6</v>
      </c>
      <c r="Z1227" s="30"/>
      <c r="AB1227" s="32"/>
      <c r="AC1227" s="32"/>
      <c r="AD1227" s="32"/>
      <c r="AE1227" s="32">
        <f t="shared" si="350"/>
        <v>0</v>
      </c>
      <c r="AF1227" s="12"/>
      <c r="AG1227" s="12"/>
      <c r="AH1227" s="10"/>
      <c r="AI1227" s="12">
        <f t="shared" si="351"/>
        <v>0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 t="s">
        <v>107</v>
      </c>
      <c r="C1228" s="31">
        <f t="shared" si="352"/>
        <v>8770</v>
      </c>
      <c r="D1228" s="32">
        <f>650*2+622+9.5*3</f>
        <v>1950.5</v>
      </c>
      <c r="E1228" s="32"/>
      <c r="F1228" s="32"/>
      <c r="G1228" s="32">
        <f t="shared" si="346"/>
        <v>1950.5</v>
      </c>
      <c r="H1228" s="12"/>
      <c r="I1228" s="12"/>
      <c r="J1228" s="12"/>
      <c r="K1228" s="12">
        <f t="shared" si="347"/>
        <v>1950.5</v>
      </c>
      <c r="M1228" s="10">
        <v>7</v>
      </c>
      <c r="N1228" s="30" t="s">
        <v>107</v>
      </c>
      <c r="O1228" s="31">
        <f t="shared" si="353"/>
        <v>8750</v>
      </c>
      <c r="P1228" s="32">
        <f>650+9.5</f>
        <v>659.5</v>
      </c>
      <c r="Q1228" s="32"/>
      <c r="R1228" s="32"/>
      <c r="S1228" s="32">
        <f t="shared" si="348"/>
        <v>659.5</v>
      </c>
      <c r="T1228" s="12"/>
      <c r="U1228" s="12"/>
      <c r="V1228" s="12"/>
      <c r="W1228" s="12">
        <f t="shared" si="349"/>
        <v>659.5</v>
      </c>
      <c r="Y1228" s="10">
        <v>7</v>
      </c>
      <c r="Z1228" s="30"/>
      <c r="AA1228" s="31"/>
      <c r="AB1228" s="32"/>
      <c r="AC1228" s="32"/>
      <c r="AD1228" s="32"/>
      <c r="AE1228" s="32">
        <f t="shared" si="350"/>
        <v>0</v>
      </c>
      <c r="AF1228" s="12"/>
      <c r="AG1228" s="58"/>
      <c r="AH1228" s="12"/>
      <c r="AI1228" s="12">
        <f t="shared" si="351"/>
        <v>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 t="s">
        <v>107</v>
      </c>
      <c r="C1229" s="31">
        <f t="shared" si="352"/>
        <v>8771</v>
      </c>
      <c r="D1229" s="32">
        <f>650*25+670*6+973*2+622*3+912+1050+872*2+229+500*2</f>
        <v>29017</v>
      </c>
      <c r="E1229" s="32"/>
      <c r="F1229" s="32"/>
      <c r="G1229" s="32">
        <f t="shared" si="346"/>
        <v>29017</v>
      </c>
      <c r="H1229" s="12"/>
      <c r="I1229" s="12">
        <f>120*5+111*20</f>
        <v>2820</v>
      </c>
      <c r="J1229" s="12"/>
      <c r="K1229" s="12">
        <f t="shared" si="347"/>
        <v>31837</v>
      </c>
      <c r="M1229" s="10">
        <v>8</v>
      </c>
      <c r="N1229" s="30"/>
      <c r="O1229" s="11" t="s">
        <v>27</v>
      </c>
      <c r="P1229" s="32"/>
      <c r="Q1229" s="32"/>
      <c r="R1229" s="32"/>
      <c r="S1229" s="32">
        <f t="shared" si="348"/>
        <v>0</v>
      </c>
      <c r="T1229" s="12"/>
      <c r="U1229" s="12"/>
      <c r="V1229" s="12"/>
      <c r="W1229" s="12">
        <f t="shared" si="349"/>
        <v>0</v>
      </c>
      <c r="Y1229" s="10">
        <v>8</v>
      </c>
      <c r="Z1229" s="30"/>
      <c r="AA1229" s="31"/>
      <c r="AB1229" s="32"/>
      <c r="AC1229" s="32"/>
      <c r="AE1229" s="32">
        <f t="shared" si="350"/>
        <v>0</v>
      </c>
      <c r="AF1229" s="12"/>
      <c r="AG1229" s="12"/>
      <c r="AH1229" s="12"/>
      <c r="AI1229" s="12">
        <f t="shared" si="351"/>
        <v>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 t="s">
        <v>107</v>
      </c>
      <c r="C1230" s="31">
        <f t="shared" si="352"/>
        <v>8772</v>
      </c>
      <c r="D1230" s="32">
        <f>700*3+622*3+1175+1102+1300</f>
        <v>7543</v>
      </c>
      <c r="E1230" s="32"/>
      <c r="F1230" s="32"/>
      <c r="G1230" s="32">
        <f t="shared" si="346"/>
        <v>7543</v>
      </c>
      <c r="H1230" s="12"/>
      <c r="I1230" s="12"/>
      <c r="J1230" s="12"/>
      <c r="K1230" s="12">
        <f t="shared" si="347"/>
        <v>7543</v>
      </c>
      <c r="M1230" s="10">
        <v>9</v>
      </c>
      <c r="N1230" s="30"/>
      <c r="O1230" s="31"/>
      <c r="P1230" s="32"/>
      <c r="Q1230" s="32"/>
      <c r="R1230" s="32"/>
      <c r="S1230" s="32">
        <f t="shared" si="348"/>
        <v>0</v>
      </c>
      <c r="T1230" s="12"/>
      <c r="U1230" s="12"/>
      <c r="V1230" s="12"/>
      <c r="W1230" s="12">
        <f t="shared" si="349"/>
        <v>0</v>
      </c>
      <c r="Y1230" s="10">
        <v>9</v>
      </c>
      <c r="Z1230" s="30"/>
      <c r="AA1230" s="31"/>
      <c r="AB1230" s="32"/>
      <c r="AC1230" s="32"/>
      <c r="AD1230" s="32"/>
      <c r="AE1230" s="32">
        <f t="shared" si="350"/>
        <v>0</v>
      </c>
      <c r="AF1230" s="12"/>
      <c r="AH1230" s="12"/>
      <c r="AI1230" s="12">
        <f t="shared" si="351"/>
        <v>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 t="s">
        <v>107</v>
      </c>
      <c r="C1231" s="31">
        <f t="shared" si="352"/>
        <v>8773</v>
      </c>
      <c r="D1231" s="32">
        <f>650*10</f>
        <v>6500</v>
      </c>
      <c r="E1231" s="32"/>
      <c r="F1231" s="32"/>
      <c r="G1231" s="32">
        <f t="shared" si="346"/>
        <v>6500</v>
      </c>
      <c r="H1231" s="12"/>
      <c r="I1231" s="12"/>
      <c r="J1231" s="12"/>
      <c r="K1231" s="12">
        <f t="shared" si="347"/>
        <v>6500</v>
      </c>
      <c r="M1231" s="10">
        <v>10</v>
      </c>
      <c r="N1231" s="30"/>
      <c r="O1231" s="31"/>
      <c r="P1231" s="32"/>
      <c r="Q1231" s="32"/>
      <c r="R1231" s="32"/>
      <c r="S1231" s="32">
        <f t="shared" si="348"/>
        <v>0</v>
      </c>
      <c r="T1231" s="12"/>
      <c r="U1231" s="12"/>
      <c r="V1231" s="12"/>
      <c r="W1231" s="12">
        <f t="shared" si="349"/>
        <v>0</v>
      </c>
      <c r="Y1231" s="10">
        <v>10</v>
      </c>
      <c r="Z1231" s="30"/>
      <c r="AA1231" s="31"/>
      <c r="AB1231" s="32"/>
      <c r="AC1231" s="32"/>
      <c r="AD1231" s="32"/>
      <c r="AE1231" s="32">
        <f t="shared" si="350"/>
        <v>0</v>
      </c>
      <c r="AF1231" s="12"/>
      <c r="AG1231" s="12"/>
      <c r="AH1231" s="12"/>
      <c r="AI1231" s="12">
        <f t="shared" si="351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 t="s">
        <v>107</v>
      </c>
      <c r="C1232" s="31">
        <f t="shared" si="352"/>
        <v>8774</v>
      </c>
      <c r="D1232" s="32">
        <f>650*3+872+650</f>
        <v>3472</v>
      </c>
      <c r="E1232" s="32"/>
      <c r="F1232" s="32"/>
      <c r="G1232" s="32">
        <f t="shared" si="346"/>
        <v>3472</v>
      </c>
      <c r="H1232" s="12"/>
      <c r="I1232" s="12">
        <v>28.5</v>
      </c>
      <c r="J1232" s="12"/>
      <c r="K1232" s="12">
        <f t="shared" si="347"/>
        <v>3500.5</v>
      </c>
      <c r="M1232" s="10">
        <v>11</v>
      </c>
      <c r="N1232" s="30"/>
      <c r="O1232" s="31"/>
      <c r="P1232" s="32"/>
      <c r="Q1232" s="32"/>
      <c r="R1232" s="32"/>
      <c r="S1232" s="32">
        <f t="shared" si="348"/>
        <v>0</v>
      </c>
      <c r="T1232" s="12"/>
      <c r="U1232" s="12"/>
      <c r="V1232" s="12"/>
      <c r="W1232" s="12">
        <f t="shared" si="349"/>
        <v>0</v>
      </c>
      <c r="Y1232" s="10">
        <v>11</v>
      </c>
      <c r="Z1232" s="30"/>
      <c r="AB1232" s="32"/>
      <c r="AC1232" s="32"/>
      <c r="AD1232" s="32"/>
      <c r="AE1232" s="32">
        <f t="shared" si="350"/>
        <v>0</v>
      </c>
      <c r="AF1232" s="12"/>
      <c r="AG1232" s="12"/>
      <c r="AH1232" s="12"/>
      <c r="AI1232" s="12">
        <f t="shared" si="351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 t="s">
        <v>107</v>
      </c>
      <c r="C1233" s="31">
        <f t="shared" si="352"/>
        <v>8775</v>
      </c>
      <c r="D1233" s="32">
        <f>650*5+9.5*5</f>
        <v>3297.5</v>
      </c>
      <c r="E1233" s="32"/>
      <c r="F1233" s="32"/>
      <c r="G1233" s="32">
        <f t="shared" si="346"/>
        <v>3297.5</v>
      </c>
      <c r="H1233" s="12"/>
      <c r="I1233" s="12"/>
      <c r="J1233" s="10"/>
      <c r="K1233" s="12">
        <f t="shared" si="347"/>
        <v>3297.5</v>
      </c>
      <c r="M1233" s="10">
        <v>12</v>
      </c>
      <c r="N1233" s="30"/>
      <c r="O1233" s="31"/>
      <c r="P1233" s="32"/>
      <c r="Q1233" s="32"/>
      <c r="R1233" s="32"/>
      <c r="S1233" s="32">
        <f t="shared" si="348"/>
        <v>0</v>
      </c>
      <c r="T1233" s="12"/>
      <c r="U1233" s="12"/>
      <c r="V1233" s="12"/>
      <c r="W1233" s="12">
        <f t="shared" si="349"/>
        <v>0</v>
      </c>
      <c r="Y1233" s="10">
        <v>12</v>
      </c>
      <c r="Z1233" s="30"/>
      <c r="AB1233" s="32"/>
      <c r="AC1233" s="32"/>
      <c r="AD1233" s="32"/>
      <c r="AE1233" s="32">
        <f t="shared" si="350"/>
        <v>0</v>
      </c>
      <c r="AF1233" s="12"/>
      <c r="AG1233" s="12"/>
      <c r="AH1233" s="12"/>
      <c r="AI1233" s="12">
        <f t="shared" si="351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 t="s">
        <v>107</v>
      </c>
      <c r="C1234" s="31">
        <f t="shared" si="352"/>
        <v>8776</v>
      </c>
      <c r="D1234" s="32">
        <f>650*27</f>
        <v>17550</v>
      </c>
      <c r="E1234" s="32"/>
      <c r="F1234" s="32"/>
      <c r="G1234" s="32">
        <f t="shared" si="346"/>
        <v>17550</v>
      </c>
      <c r="H1234" s="12"/>
      <c r="I1234" s="12"/>
      <c r="J1234" s="12"/>
      <c r="K1234" s="12">
        <f t="shared" si="347"/>
        <v>17550</v>
      </c>
      <c r="M1234" s="10">
        <v>13</v>
      </c>
      <c r="N1234" s="30"/>
      <c r="O1234" s="31"/>
      <c r="P1234" s="32"/>
      <c r="Q1234" s="32"/>
      <c r="R1234" s="32"/>
      <c r="S1234" s="32">
        <f t="shared" si="348"/>
        <v>0</v>
      </c>
      <c r="T1234" s="12"/>
      <c r="U1234" s="12"/>
      <c r="V1234" s="12"/>
      <c r="W1234" s="12">
        <f t="shared" si="349"/>
        <v>0</v>
      </c>
      <c r="Y1234" s="10">
        <v>13</v>
      </c>
      <c r="Z1234" s="30"/>
      <c r="AA1234" s="31"/>
      <c r="AB1234" s="32"/>
      <c r="AC1234" s="32"/>
      <c r="AD1234" s="32"/>
      <c r="AE1234" s="32">
        <f t="shared" si="350"/>
        <v>0</v>
      </c>
      <c r="AF1234" s="12"/>
      <c r="AG1234" s="12"/>
      <c r="AH1234" s="12"/>
      <c r="AI1234" s="12">
        <f t="shared" si="351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 t="s">
        <v>107</v>
      </c>
      <c r="C1235" s="31">
        <f t="shared" si="352"/>
        <v>8777</v>
      </c>
      <c r="D1235" s="32">
        <f>650*5+670</f>
        <v>3920</v>
      </c>
      <c r="E1235" s="32"/>
      <c r="F1235" s="32"/>
      <c r="G1235" s="32">
        <f t="shared" si="346"/>
        <v>3920</v>
      </c>
      <c r="H1235" s="12"/>
      <c r="I1235" s="12"/>
      <c r="J1235" s="12"/>
      <c r="K1235" s="12">
        <f t="shared" si="347"/>
        <v>3920</v>
      </c>
      <c r="M1235" s="10">
        <v>14</v>
      </c>
      <c r="N1235" s="30"/>
      <c r="O1235" s="31"/>
      <c r="P1235" s="32"/>
      <c r="Q1235" s="32"/>
      <c r="R1235" s="32"/>
      <c r="S1235" s="32">
        <f t="shared" si="348"/>
        <v>0</v>
      </c>
      <c r="T1235" s="12"/>
      <c r="U1235" s="12"/>
      <c r="V1235" s="12"/>
      <c r="W1235" s="12">
        <f t="shared" si="349"/>
        <v>0</v>
      </c>
      <c r="Y1235" s="10">
        <v>14</v>
      </c>
      <c r="Z1235" s="30"/>
      <c r="AA1235" s="31"/>
      <c r="AB1235" s="32"/>
      <c r="AC1235" s="32"/>
      <c r="AD1235" s="32"/>
      <c r="AE1235" s="32">
        <f t="shared" si="350"/>
        <v>0</v>
      </c>
      <c r="AF1235" s="12"/>
      <c r="AG1235" s="12"/>
      <c r="AH1235" s="12"/>
      <c r="AI1235" s="12">
        <f t="shared" si="351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 t="s">
        <v>107</v>
      </c>
      <c r="C1236" s="31">
        <f t="shared" si="352"/>
        <v>8778</v>
      </c>
      <c r="D1236" s="32">
        <f>650*15+670+622*2</f>
        <v>11664</v>
      </c>
      <c r="E1236" s="32"/>
      <c r="F1236" s="32"/>
      <c r="G1236" s="32">
        <f t="shared" si="346"/>
        <v>11664</v>
      </c>
      <c r="H1236" s="12"/>
      <c r="I1236" s="12"/>
      <c r="J1236" s="12"/>
      <c r="K1236" s="12">
        <f t="shared" si="347"/>
        <v>11664</v>
      </c>
      <c r="M1236" s="10">
        <v>15</v>
      </c>
      <c r="N1236" s="30"/>
      <c r="O1236" s="31"/>
      <c r="P1236" s="32"/>
      <c r="Q1236" s="32"/>
      <c r="R1236" s="32"/>
      <c r="S1236" s="32">
        <f t="shared" si="348"/>
        <v>0</v>
      </c>
      <c r="T1236" s="12"/>
      <c r="U1236" s="12"/>
      <c r="V1236" s="12"/>
      <c r="W1236" s="12">
        <f t="shared" si="349"/>
        <v>0</v>
      </c>
      <c r="Y1236" s="10">
        <v>15</v>
      </c>
      <c r="Z1236" s="30"/>
      <c r="AA1236" s="31"/>
      <c r="AB1236" s="32"/>
      <c r="AC1236" s="32"/>
      <c r="AD1236" s="32"/>
      <c r="AE1236" s="32">
        <f t="shared" si="350"/>
        <v>0</v>
      </c>
      <c r="AF1236" s="12"/>
      <c r="AG1236" s="12"/>
      <c r="AH1236" s="12"/>
      <c r="AI1236" s="12">
        <f t="shared" si="351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 t="s">
        <v>107</v>
      </c>
      <c r="C1237" s="31">
        <f t="shared" si="352"/>
        <v>8779</v>
      </c>
      <c r="D1237" s="32">
        <f>650*4+9.5*4</f>
        <v>2638</v>
      </c>
      <c r="E1237" s="32"/>
      <c r="F1237" s="32"/>
      <c r="G1237" s="32">
        <f t="shared" si="346"/>
        <v>2638</v>
      </c>
      <c r="H1237" s="12"/>
      <c r="I1237" s="12"/>
      <c r="J1237" s="12"/>
      <c r="K1237" s="12">
        <f t="shared" si="347"/>
        <v>2638</v>
      </c>
      <c r="M1237" s="10">
        <v>16</v>
      </c>
      <c r="N1237" s="30"/>
      <c r="P1237" s="32"/>
      <c r="Q1237" s="32"/>
      <c r="R1237" s="32"/>
      <c r="S1237" s="32">
        <f t="shared" si="348"/>
        <v>0</v>
      </c>
      <c r="T1237" s="12"/>
      <c r="U1237" s="12"/>
      <c r="V1237" s="12"/>
      <c r="W1237" s="12">
        <f t="shared" si="349"/>
        <v>0</v>
      </c>
      <c r="Y1237" s="10">
        <v>16</v>
      </c>
      <c r="Z1237" s="30"/>
      <c r="AA1237" s="31"/>
      <c r="AB1237" s="32"/>
      <c r="AC1237" s="32"/>
      <c r="AD1237" s="32"/>
      <c r="AE1237" s="32">
        <f t="shared" si="350"/>
        <v>0</v>
      </c>
      <c r="AF1237" s="12"/>
      <c r="AG1237" s="12"/>
      <c r="AH1237" s="12"/>
      <c r="AI1237" s="12">
        <f t="shared" si="351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 t="s">
        <v>107</v>
      </c>
      <c r="C1238" s="31">
        <f t="shared" si="352"/>
        <v>8780</v>
      </c>
      <c r="D1238" s="32">
        <f>650*5</f>
        <v>3250</v>
      </c>
      <c r="E1238" s="32"/>
      <c r="F1238" s="32"/>
      <c r="G1238" s="32">
        <f t="shared" si="346"/>
        <v>3250</v>
      </c>
      <c r="H1238" s="12"/>
      <c r="I1238" s="12"/>
      <c r="J1238" s="12"/>
      <c r="K1238" s="12">
        <f t="shared" si="347"/>
        <v>3250</v>
      </c>
      <c r="M1238" s="10">
        <v>17</v>
      </c>
      <c r="N1238" s="30"/>
      <c r="O1238" s="31"/>
      <c r="P1238" s="35"/>
      <c r="Q1238" s="32"/>
      <c r="R1238" s="32"/>
      <c r="S1238" s="32">
        <f t="shared" si="348"/>
        <v>0</v>
      </c>
      <c r="T1238" s="12"/>
      <c r="U1238" s="12"/>
      <c r="V1238" s="12"/>
      <c r="W1238" s="12">
        <f t="shared" si="349"/>
        <v>0</v>
      </c>
      <c r="Y1238" s="10">
        <v>17</v>
      </c>
      <c r="Z1238" s="30"/>
      <c r="AA1238" s="31"/>
      <c r="AB1238" s="35"/>
      <c r="AC1238" s="32"/>
      <c r="AD1238" s="32"/>
      <c r="AE1238" s="32">
        <f t="shared" si="350"/>
        <v>0</v>
      </c>
      <c r="AF1238" s="12"/>
      <c r="AG1238" s="12"/>
      <c r="AH1238" s="12"/>
      <c r="AI1238" s="12">
        <f t="shared" si="351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 t="s">
        <v>107</v>
      </c>
      <c r="C1239" s="31">
        <f t="shared" si="352"/>
        <v>8781</v>
      </c>
      <c r="D1239" s="32">
        <f>650*12+912</f>
        <v>8712</v>
      </c>
      <c r="E1239" s="32"/>
      <c r="F1239" s="32"/>
      <c r="G1239" s="32">
        <f t="shared" si="346"/>
        <v>8712</v>
      </c>
      <c r="H1239" s="12"/>
      <c r="I1239" s="12"/>
      <c r="J1239" s="12"/>
      <c r="K1239" s="12">
        <f t="shared" si="347"/>
        <v>8712</v>
      </c>
      <c r="M1239" s="10">
        <v>18</v>
      </c>
      <c r="N1239" s="30"/>
      <c r="O1239" s="31"/>
      <c r="P1239" s="32"/>
      <c r="Q1239" s="32"/>
      <c r="R1239" s="32"/>
      <c r="S1239" s="32">
        <f t="shared" si="348"/>
        <v>0</v>
      </c>
      <c r="T1239" s="12"/>
      <c r="U1239" s="12"/>
      <c r="V1239" s="12"/>
      <c r="W1239" s="12">
        <f t="shared" si="349"/>
        <v>0</v>
      </c>
      <c r="Y1239" s="10">
        <v>18</v>
      </c>
      <c r="Z1239" s="30"/>
      <c r="AA1239" s="31"/>
      <c r="AB1239" s="32"/>
      <c r="AC1239" s="32"/>
      <c r="AD1239" s="32"/>
      <c r="AE1239" s="32">
        <f t="shared" si="350"/>
        <v>0</v>
      </c>
      <c r="AF1239" s="12"/>
      <c r="AG1239" s="12"/>
      <c r="AH1239" s="12"/>
      <c r="AI1239" s="12">
        <f t="shared" si="351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 t="s">
        <v>107</v>
      </c>
      <c r="C1240" s="31">
        <f t="shared" si="352"/>
        <v>8782</v>
      </c>
      <c r="D1240" s="32">
        <f>650*10</f>
        <v>6500</v>
      </c>
      <c r="E1240" s="32"/>
      <c r="F1240" s="32"/>
      <c r="G1240" s="32">
        <f t="shared" si="346"/>
        <v>6500</v>
      </c>
      <c r="H1240" s="12"/>
      <c r="I1240" s="12"/>
      <c r="J1240" s="12"/>
      <c r="K1240" s="12">
        <f t="shared" si="347"/>
        <v>6500</v>
      </c>
      <c r="M1240" s="10">
        <v>19</v>
      </c>
      <c r="N1240" s="30"/>
      <c r="O1240" s="31"/>
      <c r="P1240" s="32"/>
      <c r="Q1240" s="32"/>
      <c r="R1240" s="32"/>
      <c r="S1240" s="32">
        <f t="shared" si="348"/>
        <v>0</v>
      </c>
      <c r="T1240" s="12"/>
      <c r="U1240" s="12"/>
      <c r="V1240" s="12"/>
      <c r="W1240" s="12">
        <f t="shared" si="349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350"/>
        <v>0</v>
      </c>
      <c r="AF1240" s="12"/>
      <c r="AG1240" s="12"/>
      <c r="AH1240" s="12"/>
      <c r="AI1240" s="12">
        <f t="shared" si="351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 t="s">
        <v>107</v>
      </c>
      <c r="C1241" s="31">
        <f t="shared" si="352"/>
        <v>8783</v>
      </c>
      <c r="D1241" s="32">
        <f>650*7+670</f>
        <v>5220</v>
      </c>
      <c r="E1241" s="32"/>
      <c r="F1241" s="32"/>
      <c r="G1241" s="32">
        <f t="shared" si="346"/>
        <v>5220</v>
      </c>
      <c r="H1241" s="12"/>
      <c r="I1241" s="12"/>
      <c r="J1241" s="12">
        <f>-111*2</f>
        <v>-222</v>
      </c>
      <c r="K1241" s="12">
        <f t="shared" si="347"/>
        <v>4998</v>
      </c>
      <c r="M1241" s="10">
        <v>20</v>
      </c>
      <c r="N1241" s="30"/>
      <c r="O1241" s="31"/>
      <c r="P1241" s="32"/>
      <c r="Q1241" s="32"/>
      <c r="R1241" s="32"/>
      <c r="S1241" s="32">
        <f t="shared" si="348"/>
        <v>0</v>
      </c>
      <c r="T1241" s="12"/>
      <c r="U1241" s="12"/>
      <c r="V1241" s="12"/>
      <c r="W1241" s="12">
        <f t="shared" si="349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350"/>
        <v>0</v>
      </c>
      <c r="AF1241" s="12"/>
      <c r="AG1241" s="12"/>
      <c r="AH1241" s="12"/>
      <c r="AI1241" s="12">
        <f t="shared" si="351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11" t="s">
        <v>27</v>
      </c>
      <c r="D1242" s="32"/>
      <c r="E1242" s="32"/>
      <c r="F1242" s="32"/>
      <c r="G1242" s="32">
        <f t="shared" si="346"/>
        <v>0</v>
      </c>
      <c r="H1242" s="10"/>
      <c r="I1242" s="10"/>
      <c r="J1242" s="10"/>
      <c r="K1242" s="12">
        <f t="shared" si="347"/>
        <v>0</v>
      </c>
      <c r="M1242" s="10">
        <v>21</v>
      </c>
      <c r="N1242" s="30"/>
      <c r="O1242" s="31"/>
      <c r="P1242" s="46"/>
      <c r="Q1242" s="31"/>
      <c r="R1242" s="31"/>
      <c r="S1242" s="32">
        <f t="shared" si="348"/>
        <v>0</v>
      </c>
      <c r="T1242" s="10"/>
      <c r="U1242" s="10"/>
      <c r="V1242" s="10"/>
      <c r="W1242" s="12">
        <f t="shared" si="349"/>
        <v>0</v>
      </c>
      <c r="Y1242" s="10">
        <v>21</v>
      </c>
      <c r="Z1242" s="30"/>
      <c r="AB1242" s="46"/>
      <c r="AC1242" s="31"/>
      <c r="AD1242" s="31"/>
      <c r="AE1242" s="32">
        <f t="shared" si="350"/>
        <v>0</v>
      </c>
      <c r="AF1242" s="10"/>
      <c r="AG1242" s="10"/>
      <c r="AH1242" s="10"/>
      <c r="AI1242" s="12">
        <f t="shared" si="351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31"/>
      <c r="D1243" s="32"/>
      <c r="E1243" s="32"/>
      <c r="F1243" s="32"/>
      <c r="G1243" s="32">
        <f t="shared" si="346"/>
        <v>0</v>
      </c>
      <c r="H1243" s="10"/>
      <c r="I1243" s="10"/>
      <c r="J1243" s="10"/>
      <c r="K1243" s="12">
        <f t="shared" si="347"/>
        <v>0</v>
      </c>
      <c r="M1243" s="10">
        <v>22</v>
      </c>
      <c r="N1243" s="30"/>
      <c r="O1243" s="31"/>
      <c r="P1243" s="45"/>
      <c r="Q1243" s="31"/>
      <c r="R1243" s="31"/>
      <c r="S1243" s="32">
        <f t="shared" si="348"/>
        <v>0</v>
      </c>
      <c r="T1243" s="10"/>
      <c r="U1243" s="10"/>
      <c r="V1243" s="10"/>
      <c r="W1243" s="12">
        <f t="shared" si="349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350"/>
        <v>0</v>
      </c>
      <c r="AF1243" s="10"/>
      <c r="AG1243" s="10"/>
      <c r="AH1243" s="10"/>
      <c r="AI1243" s="12">
        <f t="shared" si="351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31"/>
      <c r="D1244" s="32"/>
      <c r="E1244" s="32"/>
      <c r="F1244" s="32"/>
      <c r="G1244" s="32">
        <f t="shared" si="346"/>
        <v>0</v>
      </c>
      <c r="H1244" s="10"/>
      <c r="I1244" s="10"/>
      <c r="J1244" s="12"/>
      <c r="K1244" s="12">
        <f t="shared" si="347"/>
        <v>0</v>
      </c>
      <c r="M1244" s="10">
        <v>23</v>
      </c>
      <c r="N1244" s="30"/>
      <c r="O1244" s="31"/>
      <c r="P1244" s="47"/>
      <c r="Q1244" s="31"/>
      <c r="S1244" s="32">
        <f t="shared" si="348"/>
        <v>0</v>
      </c>
      <c r="T1244" s="10"/>
      <c r="U1244" s="10"/>
      <c r="V1244" s="10"/>
      <c r="W1244" s="12">
        <f t="shared" si="349"/>
        <v>0</v>
      </c>
      <c r="Y1244" s="10">
        <v>23</v>
      </c>
      <c r="Z1244" s="30"/>
      <c r="AB1244" s="47"/>
      <c r="AC1244" s="31"/>
      <c r="AE1244" s="32">
        <f t="shared" si="350"/>
        <v>0</v>
      </c>
      <c r="AF1244" s="10"/>
      <c r="AG1244" s="10"/>
      <c r="AH1244" s="10"/>
      <c r="AI1244" s="12">
        <f t="shared" si="351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31"/>
      <c r="D1245" s="32"/>
      <c r="E1245" s="32"/>
      <c r="F1245" s="32"/>
      <c r="G1245" s="32">
        <f t="shared" si="346"/>
        <v>0</v>
      </c>
      <c r="H1245" s="10"/>
      <c r="I1245" s="10"/>
      <c r="J1245" s="10"/>
      <c r="K1245" s="12">
        <f t="shared" si="347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348"/>
        <v>0</v>
      </c>
      <c r="T1245" s="10"/>
      <c r="U1245" s="10"/>
      <c r="V1245" s="10"/>
      <c r="W1245" s="12">
        <f t="shared" si="349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350"/>
        <v>0</v>
      </c>
      <c r="AF1245" s="10"/>
      <c r="AG1245" s="10"/>
      <c r="AH1245" s="10"/>
      <c r="AI1245" s="12">
        <f t="shared" si="351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31"/>
      <c r="D1246" s="32"/>
      <c r="E1246" s="32"/>
      <c r="F1246" s="32"/>
      <c r="G1246" s="32">
        <f t="shared" si="346"/>
        <v>0</v>
      </c>
      <c r="H1246" s="10"/>
      <c r="I1246" s="10"/>
      <c r="J1246" s="10"/>
      <c r="K1246" s="12">
        <f t="shared" si="347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348"/>
        <v>0</v>
      </c>
      <c r="T1246" s="10"/>
      <c r="U1246" s="10"/>
      <c r="V1246" s="10"/>
      <c r="W1246" s="12">
        <f t="shared" si="349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350"/>
        <v>0</v>
      </c>
      <c r="AF1246" s="10"/>
      <c r="AG1246" s="10"/>
      <c r="AH1246" s="10"/>
      <c r="AI1246" s="12">
        <f t="shared" si="351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D1247" s="32"/>
      <c r="E1247" s="32"/>
      <c r="F1247" s="32"/>
      <c r="G1247" s="32">
        <f t="shared" si="346"/>
        <v>0</v>
      </c>
      <c r="H1247" s="10"/>
      <c r="I1247" s="10"/>
      <c r="J1247" s="10"/>
      <c r="K1247" s="12">
        <f t="shared" si="347"/>
        <v>0</v>
      </c>
      <c r="M1247" s="10">
        <v>26</v>
      </c>
      <c r="N1247" s="30"/>
      <c r="O1247" s="31"/>
      <c r="P1247" s="47"/>
      <c r="Q1247" s="31"/>
      <c r="R1247" s="31"/>
      <c r="S1247" s="32">
        <f t="shared" si="348"/>
        <v>0</v>
      </c>
      <c r="T1247" s="10"/>
      <c r="U1247" s="10"/>
      <c r="V1247" s="10"/>
      <c r="W1247" s="12">
        <f t="shared" si="349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350"/>
        <v>0</v>
      </c>
      <c r="AF1247" s="10"/>
      <c r="AG1247" s="10"/>
      <c r="AH1247" s="10"/>
      <c r="AI1247" s="12">
        <f t="shared" si="351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31"/>
      <c r="D1248" s="32"/>
      <c r="E1248" s="32"/>
      <c r="F1248" s="32"/>
      <c r="G1248" s="32">
        <f t="shared" si="346"/>
        <v>0</v>
      </c>
      <c r="H1248" s="10"/>
      <c r="I1248" s="10"/>
      <c r="J1248" s="10"/>
      <c r="K1248" s="12">
        <f t="shared" si="347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348"/>
        <v>0</v>
      </c>
      <c r="T1248" s="10"/>
      <c r="U1248" s="10"/>
      <c r="V1248" s="10"/>
      <c r="W1248" s="12">
        <f t="shared" si="349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350"/>
        <v>0</v>
      </c>
      <c r="AF1248" s="10"/>
      <c r="AG1248" s="10"/>
      <c r="AH1248" s="10"/>
      <c r="AI1248" s="12">
        <f t="shared" si="351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31"/>
      <c r="D1249" s="32"/>
      <c r="E1249" s="32"/>
      <c r="F1249" s="32"/>
      <c r="G1249" s="32">
        <f t="shared" si="346"/>
        <v>0</v>
      </c>
      <c r="H1249" s="10"/>
      <c r="I1249" s="10"/>
      <c r="J1249" s="10"/>
      <c r="K1249" s="12">
        <f t="shared" si="347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348"/>
        <v>0</v>
      </c>
      <c r="T1249" s="10"/>
      <c r="U1249" s="10"/>
      <c r="V1249" s="10"/>
      <c r="W1249" s="12">
        <f t="shared" si="349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350"/>
        <v>0</v>
      </c>
      <c r="AF1249" s="10"/>
      <c r="AG1249" s="10"/>
      <c r="AH1249" s="10"/>
      <c r="AI1249" s="12">
        <f t="shared" si="351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31"/>
      <c r="D1250" s="32"/>
      <c r="E1250" s="32"/>
      <c r="F1250" s="32"/>
      <c r="G1250" s="32">
        <f t="shared" si="346"/>
        <v>0</v>
      </c>
      <c r="H1250" s="10"/>
      <c r="I1250" s="10"/>
      <c r="J1250" s="10"/>
      <c r="K1250" s="12">
        <f t="shared" si="347"/>
        <v>0</v>
      </c>
      <c r="M1250" s="10">
        <v>29</v>
      </c>
      <c r="N1250" s="30"/>
      <c r="P1250" s="47"/>
      <c r="Q1250" s="31"/>
      <c r="R1250" s="31"/>
      <c r="S1250" s="32">
        <f t="shared" si="348"/>
        <v>0</v>
      </c>
      <c r="T1250" s="10"/>
      <c r="U1250" s="10"/>
      <c r="V1250" s="10"/>
      <c r="W1250" s="12">
        <f t="shared" si="349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350"/>
        <v>0</v>
      </c>
      <c r="AF1250" s="10"/>
      <c r="AG1250" s="10"/>
      <c r="AH1250" s="10"/>
      <c r="AI1250" s="12">
        <f t="shared" si="351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57"/>
      <c r="D1251" s="32"/>
      <c r="E1251" s="32"/>
      <c r="F1251" s="32"/>
      <c r="G1251" s="32">
        <f t="shared" si="346"/>
        <v>0</v>
      </c>
      <c r="H1251" s="10"/>
      <c r="I1251" s="10"/>
      <c r="J1251" s="10"/>
      <c r="K1251" s="12">
        <f t="shared" si="347"/>
        <v>0</v>
      </c>
      <c r="M1251" s="10">
        <v>30</v>
      </c>
      <c r="N1251" s="30"/>
      <c r="O1251" s="31"/>
      <c r="P1251" s="47"/>
      <c r="Q1251" s="31"/>
      <c r="R1251" s="31"/>
      <c r="S1251" s="32">
        <f t="shared" si="348"/>
        <v>0</v>
      </c>
      <c r="T1251" s="10"/>
      <c r="U1251" s="10"/>
      <c r="V1251" s="10"/>
      <c r="W1251" s="12">
        <f t="shared" si="349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350"/>
        <v>0</v>
      </c>
      <c r="AF1251" s="10"/>
      <c r="AG1251" s="10"/>
      <c r="AH1251" s="10"/>
      <c r="AI1251" s="12">
        <f t="shared" si="351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88"/>
      <c r="D1252" s="32"/>
      <c r="E1252" s="32"/>
      <c r="F1252" s="32"/>
      <c r="G1252" s="32">
        <f t="shared" si="346"/>
        <v>0</v>
      </c>
      <c r="H1252" s="10"/>
      <c r="I1252" s="10"/>
      <c r="J1252" s="10"/>
      <c r="K1252" s="12">
        <f t="shared" si="347"/>
        <v>0</v>
      </c>
      <c r="M1252" s="10">
        <v>31</v>
      </c>
      <c r="N1252" s="30"/>
      <c r="P1252" s="47"/>
      <c r="Q1252" s="31"/>
      <c r="R1252" s="31"/>
      <c r="S1252" s="32">
        <f t="shared" si="348"/>
        <v>0</v>
      </c>
      <c r="T1252" s="10"/>
      <c r="U1252" s="10"/>
      <c r="V1252" s="10"/>
      <c r="W1252" s="12">
        <f t="shared" si="349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350"/>
        <v>0</v>
      </c>
      <c r="AF1252" s="10"/>
      <c r="AG1252" s="10"/>
      <c r="AH1252" s="10"/>
      <c r="AI1252" s="12">
        <f t="shared" si="351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57"/>
      <c r="D1253" s="32"/>
      <c r="E1253" s="32"/>
      <c r="F1253" s="32"/>
      <c r="G1253" s="32">
        <f t="shared" si="346"/>
        <v>0</v>
      </c>
      <c r="H1253" s="10"/>
      <c r="I1253" s="10"/>
      <c r="J1253" s="10"/>
      <c r="K1253" s="12">
        <f t="shared" si="347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348"/>
        <v>0</v>
      </c>
      <c r="T1253" s="10"/>
      <c r="U1253" s="10"/>
      <c r="V1253" s="10"/>
      <c r="W1253" s="12">
        <f t="shared" si="349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350"/>
        <v>0</v>
      </c>
      <c r="AF1253" s="10"/>
      <c r="AG1253" s="10"/>
      <c r="AH1253" s="10"/>
      <c r="AI1253" s="12">
        <f t="shared" si="351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88"/>
      <c r="D1254" s="32"/>
      <c r="E1254" s="32"/>
      <c r="F1254" s="32"/>
      <c r="G1254" s="32">
        <f t="shared" si="346"/>
        <v>0</v>
      </c>
      <c r="H1254" s="10"/>
      <c r="I1254" s="10"/>
      <c r="J1254" s="10"/>
      <c r="K1254" s="12">
        <f t="shared" si="347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348"/>
        <v>0</v>
      </c>
      <c r="T1254" s="10"/>
      <c r="U1254" s="10"/>
      <c r="V1254" s="10"/>
      <c r="W1254" s="12">
        <f t="shared" si="349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350"/>
        <v>0</v>
      </c>
      <c r="AF1254" s="10"/>
      <c r="AG1254" s="10"/>
      <c r="AH1254" s="10"/>
      <c r="AI1254" s="12">
        <f t="shared" si="351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88"/>
      <c r="D1255" s="32"/>
      <c r="E1255" s="32"/>
      <c r="F1255" s="32"/>
      <c r="G1255" s="32">
        <f t="shared" si="346"/>
        <v>0</v>
      </c>
      <c r="H1255" s="10"/>
      <c r="I1255" s="10"/>
      <c r="J1255" s="10"/>
      <c r="K1255" s="12">
        <f t="shared" si="347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348"/>
        <v>0</v>
      </c>
      <c r="T1255" s="10"/>
      <c r="U1255" s="10"/>
      <c r="V1255" s="10"/>
      <c r="W1255" s="12">
        <f t="shared" si="349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ref="AE1255:AE1260" si="355">SUM(AB1255:AC1255)</f>
        <v>0</v>
      </c>
      <c r="AF1255" s="10"/>
      <c r="AG1255" s="10"/>
      <c r="AH1255" s="10"/>
      <c r="AI1255" s="12">
        <f t="shared" si="351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88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348"/>
        <v>0</v>
      </c>
      <c r="T1256" s="10"/>
      <c r="U1256" s="10"/>
      <c r="V1256" s="10"/>
      <c r="W1256" s="12">
        <f t="shared" si="349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355"/>
        <v>0</v>
      </c>
      <c r="AF1256" s="10"/>
      <c r="AG1256" s="10"/>
      <c r="AH1256" s="10"/>
      <c r="AI1256" s="12">
        <f t="shared" si="351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88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348"/>
        <v>0</v>
      </c>
      <c r="T1257" s="10"/>
      <c r="U1257" s="10"/>
      <c r="V1257" s="10"/>
      <c r="W1257" s="12">
        <f t="shared" si="349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355"/>
        <v>0</v>
      </c>
      <c r="AF1257" s="10"/>
      <c r="AG1257" s="10"/>
      <c r="AH1257" s="10"/>
      <c r="AI1257" s="12">
        <f t="shared" si="351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3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348"/>
        <v>0</v>
      </c>
      <c r="T1258" s="10"/>
      <c r="U1258" s="10"/>
      <c r="V1258" s="10"/>
      <c r="W1258" s="12">
        <f t="shared" si="349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355"/>
        <v>0</v>
      </c>
      <c r="AF1258" s="10"/>
      <c r="AG1258" s="10"/>
      <c r="AH1258" s="10"/>
      <c r="AI1258" s="12">
        <f t="shared" si="351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348"/>
        <v>0</v>
      </c>
      <c r="T1259" s="10"/>
      <c r="U1259" s="10"/>
      <c r="V1259" s="10"/>
      <c r="W1259" s="12">
        <f t="shared" si="349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355"/>
        <v>0</v>
      </c>
      <c r="AF1259" s="10"/>
      <c r="AG1259" s="10"/>
      <c r="AH1259" s="10"/>
      <c r="AI1259" s="12">
        <f t="shared" si="351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348"/>
        <v>0</v>
      </c>
      <c r="T1260" s="10"/>
      <c r="U1260" s="10"/>
      <c r="V1260" s="10"/>
      <c r="W1260" s="12">
        <f t="shared" si="349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355"/>
        <v>0</v>
      </c>
      <c r="AF1260" s="10"/>
      <c r="AG1260" s="10"/>
      <c r="AH1260" s="10"/>
      <c r="AI1260" s="12">
        <f t="shared" si="351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349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351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356">SUM(D1262:E1262)</f>
        <v>0</v>
      </c>
      <c r="H1262" s="10"/>
      <c r="I1262" s="10"/>
      <c r="J1262" s="10"/>
      <c r="K1262" s="12">
        <f t="shared" ref="K1262" si="357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358">SUM(P1262:Q1262)</f>
        <v>0</v>
      </c>
      <c r="T1262" s="10"/>
      <c r="U1262" s="10"/>
      <c r="V1262" s="10"/>
      <c r="W1262" s="12">
        <f t="shared" si="349"/>
        <v>0</v>
      </c>
      <c r="Y1262" s="10"/>
      <c r="Z1262" s="30"/>
      <c r="AA1262" s="31"/>
      <c r="AB1262" s="47"/>
      <c r="AC1262" s="31"/>
      <c r="AD1262" s="31"/>
      <c r="AE1262" s="32">
        <f t="shared" ref="AE1262" si="359">SUM(AB1262:AC1262)</f>
        <v>0</v>
      </c>
      <c r="AF1262" s="10"/>
      <c r="AG1262" s="10"/>
      <c r="AH1262" s="10"/>
      <c r="AI1262" s="12">
        <f t="shared" si="351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349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351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135519</v>
      </c>
      <c r="E1265" s="38">
        <f t="shared" ref="E1265:F1265" si="360">SUM(E1222:E1262)</f>
        <v>0</v>
      </c>
      <c r="F1265" s="38">
        <f t="shared" si="360"/>
        <v>0</v>
      </c>
      <c r="G1265" s="38">
        <f>SUM(G1222:G1264)</f>
        <v>135519</v>
      </c>
      <c r="H1265" s="4"/>
      <c r="I1265" s="39">
        <f>SUM(I1222:I1264)</f>
        <v>2959.5</v>
      </c>
      <c r="J1265" s="39">
        <f>SUM(J1222:J1264)</f>
        <v>-222</v>
      </c>
      <c r="K1265" s="40">
        <f>SUM(K1222:K1264)</f>
        <v>138256.5</v>
      </c>
      <c r="N1265" s="57"/>
      <c r="O1265" s="57"/>
      <c r="P1265" s="38">
        <f>SUM(P1222:P1264)</f>
        <v>150533</v>
      </c>
      <c r="Q1265" s="38">
        <f>SUM(Q1222:Q1246)</f>
        <v>-720</v>
      </c>
      <c r="R1265" s="38">
        <f>SUM(R1222:R1246)</f>
        <v>0</v>
      </c>
      <c r="S1265" s="38">
        <f>SUM(S1222:S1264)</f>
        <v>149813</v>
      </c>
      <c r="T1265" s="4"/>
      <c r="U1265" s="41">
        <f>SUM(U1222:U1264)</f>
        <v>60</v>
      </c>
      <c r="V1265" s="41">
        <f>SUM(V1222:V1246)</f>
        <v>0</v>
      </c>
      <c r="W1265" s="42">
        <f>SUM(W1222:W1264)</f>
        <v>149873</v>
      </c>
      <c r="Z1265" s="57"/>
      <c r="AA1265" s="57"/>
      <c r="AB1265" s="38">
        <f>SUM(AB1222:AB1264)</f>
        <v>195872.5</v>
      </c>
      <c r="AC1265" s="38">
        <f>SUM(AC1222:AC1246)</f>
        <v>-1710</v>
      </c>
      <c r="AD1265" s="38">
        <f>SUM(AD1222:AD1246)</f>
        <v>0</v>
      </c>
      <c r="AE1265" s="38">
        <f>SUM(AE1222:AE1264)</f>
        <v>194162.5</v>
      </c>
      <c r="AF1265" s="4"/>
      <c r="AG1265" s="41">
        <f>SUM(AG1222:AG1264)</f>
        <v>0</v>
      </c>
      <c r="AH1265" s="41">
        <f>SUM(AH1222:AH1246)</f>
        <v>-5217</v>
      </c>
      <c r="AI1265" s="42">
        <f>SUM(AI1222:AI1264)</f>
        <v>188945.5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M1267" t="s">
        <v>0</v>
      </c>
      <c r="N1267" s="57"/>
      <c r="O1267" s="57"/>
      <c r="P1267" s="57"/>
      <c r="Q1267" s="57"/>
      <c r="R1267" s="57"/>
      <c r="S1267" s="57"/>
      <c r="Y1267" t="s">
        <v>0</v>
      </c>
      <c r="Z1267" s="57"/>
      <c r="AA1267" s="57"/>
      <c r="AB1267" s="57"/>
      <c r="AC1267" s="57"/>
      <c r="AD1267" s="57"/>
      <c r="AE1267" s="57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28</v>
      </c>
      <c r="B1268" s="57"/>
      <c r="C1268" s="57"/>
      <c r="D1268" s="57"/>
      <c r="E1268" s="57"/>
      <c r="G1268" s="57"/>
      <c r="M1268" t="s">
        <v>28</v>
      </c>
      <c r="N1268" s="57"/>
      <c r="O1268" s="57"/>
      <c r="P1268" s="57"/>
      <c r="Q1268" s="57"/>
      <c r="R1268" s="57"/>
      <c r="S1268" s="57"/>
      <c r="Y1268" t="s">
        <v>28</v>
      </c>
      <c r="Z1268" s="57"/>
      <c r="AA1268" s="57"/>
      <c r="AB1268" s="57"/>
      <c r="AC1268" s="57"/>
      <c r="AD1268" s="57"/>
      <c r="AE1268" s="57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N1269" s="57"/>
      <c r="O1269" s="57"/>
      <c r="P1269" s="57"/>
      <c r="Q1269" s="57"/>
      <c r="R1269" s="57"/>
      <c r="S1269" s="57"/>
      <c r="Z1269" s="57"/>
      <c r="AA1269" s="57"/>
      <c r="AB1269" s="57"/>
      <c r="AC1269" s="57"/>
      <c r="AD1269" s="57"/>
      <c r="AE1269" s="57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14</v>
      </c>
      <c r="B1270" s="57"/>
      <c r="C1270" s="57"/>
      <c r="D1270" s="57"/>
      <c r="E1270" s="57"/>
      <c r="G1270" s="57"/>
      <c r="M1270" s="4" t="s">
        <v>14</v>
      </c>
      <c r="N1270" s="57"/>
      <c r="O1270" s="57"/>
      <c r="P1270" s="57"/>
      <c r="Q1270" s="57"/>
      <c r="R1270" s="57"/>
      <c r="S1270" s="57"/>
      <c r="Y1270" s="4" t="s">
        <v>14</v>
      </c>
      <c r="Z1270" s="57"/>
      <c r="AA1270" s="57"/>
      <c r="AB1270" s="57"/>
      <c r="AC1270" s="57"/>
      <c r="AD1270" s="57"/>
      <c r="AE1270" s="57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N1271" s="57"/>
      <c r="O1271" s="57"/>
      <c r="P1271" s="57"/>
      <c r="Q1271" s="57"/>
      <c r="R1271" s="57"/>
      <c r="S1271" s="57"/>
      <c r="Z1271" s="57"/>
      <c r="AA1271" s="57"/>
      <c r="AB1271" s="57"/>
      <c r="AC1271" s="57"/>
      <c r="AD1271" s="57"/>
      <c r="AE1271" s="57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56</v>
      </c>
      <c r="B1272" s="57"/>
      <c r="C1272" s="57"/>
      <c r="D1272" s="57"/>
      <c r="E1272" s="57"/>
      <c r="G1272" s="57"/>
      <c r="I1272" s="57" t="s">
        <v>15</v>
      </c>
      <c r="J1272" s="19">
        <v>1</v>
      </c>
      <c r="M1272" t="s">
        <v>56</v>
      </c>
      <c r="N1272" s="57"/>
      <c r="O1272" s="57"/>
      <c r="P1272" s="57"/>
      <c r="Q1272" s="57"/>
      <c r="R1272" s="57"/>
      <c r="S1272" s="57"/>
      <c r="U1272" s="57" t="s">
        <v>15</v>
      </c>
      <c r="V1272" s="19">
        <v>2</v>
      </c>
      <c r="Y1272" t="s">
        <v>56</v>
      </c>
      <c r="Z1272" s="57"/>
      <c r="AA1272" s="57"/>
      <c r="AB1272" s="57"/>
      <c r="AC1272" s="57"/>
      <c r="AD1272" s="57"/>
      <c r="AE1272" s="57"/>
      <c r="AG1272" s="57" t="s">
        <v>15</v>
      </c>
      <c r="AH1272" s="20">
        <v>3</v>
      </c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109</v>
      </c>
      <c r="B1273" s="20"/>
      <c r="C1273" s="57"/>
      <c r="D1273" s="57"/>
      <c r="E1273" s="57"/>
      <c r="G1273" s="57"/>
      <c r="I1273" s="22" t="s">
        <v>16</v>
      </c>
      <c r="J1273" s="23" t="s">
        <v>31</v>
      </c>
      <c r="K1273" s="24"/>
      <c r="M1273" s="21" t="s">
        <v>109</v>
      </c>
      <c r="N1273" s="20"/>
      <c r="O1273" s="57"/>
      <c r="P1273" s="57"/>
      <c r="Q1273" s="57"/>
      <c r="R1273" s="57"/>
      <c r="S1273" s="57"/>
      <c r="U1273" s="22" t="s">
        <v>16</v>
      </c>
      <c r="V1273" s="23" t="s">
        <v>98</v>
      </c>
      <c r="W1273" s="24"/>
      <c r="Y1273" s="21" t="s">
        <v>109</v>
      </c>
      <c r="Z1273" s="20"/>
      <c r="AA1273" s="57"/>
      <c r="AB1273" s="57"/>
      <c r="AC1273" s="57"/>
      <c r="AD1273" s="57"/>
      <c r="AE1273" s="57"/>
      <c r="AG1273" s="22" t="s">
        <v>16</v>
      </c>
      <c r="AH1273" s="23" t="s">
        <v>54</v>
      </c>
      <c r="AI1273" s="24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N1274" s="57"/>
      <c r="O1274" s="57"/>
      <c r="P1274" s="57"/>
      <c r="Q1274" s="57"/>
      <c r="R1274" s="57"/>
      <c r="S1274" s="57"/>
      <c r="Z1274" s="57"/>
      <c r="AA1274" s="57"/>
      <c r="AB1274" s="57"/>
      <c r="AC1274" s="57"/>
      <c r="AD1274" s="57"/>
      <c r="AE1274" s="57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25" t="s">
        <v>17</v>
      </c>
      <c r="E1275" s="125"/>
      <c r="F1275" s="116"/>
      <c r="G1275" s="27"/>
      <c r="I1275" s="123" t="s">
        <v>18</v>
      </c>
      <c r="J1275" s="124"/>
      <c r="K1275" s="121" t="s">
        <v>19</v>
      </c>
      <c r="N1275" s="25"/>
      <c r="O1275" s="26"/>
      <c r="P1275" s="125" t="s">
        <v>17</v>
      </c>
      <c r="Q1275" s="125"/>
      <c r="R1275" s="116"/>
      <c r="S1275" s="27"/>
      <c r="U1275" s="123" t="s">
        <v>18</v>
      </c>
      <c r="V1275" s="124"/>
      <c r="W1275" s="121" t="s">
        <v>19</v>
      </c>
      <c r="Z1275" s="25"/>
      <c r="AA1275" s="26"/>
      <c r="AB1275" s="125" t="s">
        <v>17</v>
      </c>
      <c r="AC1275" s="125"/>
      <c r="AD1275" s="116"/>
      <c r="AE1275" s="27"/>
      <c r="AG1275" s="123" t="s">
        <v>18</v>
      </c>
      <c r="AH1275" s="124"/>
      <c r="AI1275" s="121" t="s">
        <v>19</v>
      </c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20</v>
      </c>
      <c r="C1276" s="28" t="s">
        <v>21</v>
      </c>
      <c r="D1276" s="79" t="s">
        <v>22</v>
      </c>
      <c r="E1276" s="78" t="s">
        <v>23</v>
      </c>
      <c r="F1276" s="80" t="s">
        <v>32</v>
      </c>
      <c r="G1276" s="80" t="s">
        <v>24</v>
      </c>
      <c r="I1276" s="29" t="s">
        <v>25</v>
      </c>
      <c r="J1276" s="29" t="s">
        <v>26</v>
      </c>
      <c r="K1276" s="122"/>
      <c r="N1276" s="28" t="s">
        <v>20</v>
      </c>
      <c r="O1276" s="28" t="s">
        <v>21</v>
      </c>
      <c r="P1276" s="79" t="s">
        <v>22</v>
      </c>
      <c r="Q1276" s="80" t="s">
        <v>23</v>
      </c>
      <c r="R1276" s="80" t="s">
        <v>32</v>
      </c>
      <c r="S1276" s="80" t="s">
        <v>24</v>
      </c>
      <c r="U1276" s="29" t="s">
        <v>25</v>
      </c>
      <c r="V1276" s="29" t="s">
        <v>26</v>
      </c>
      <c r="W1276" s="122"/>
      <c r="Z1276" s="28" t="s">
        <v>20</v>
      </c>
      <c r="AA1276" s="28" t="s">
        <v>21</v>
      </c>
      <c r="AB1276" s="79" t="s">
        <v>22</v>
      </c>
      <c r="AC1276" s="80" t="s">
        <v>23</v>
      </c>
      <c r="AD1276" s="80" t="s">
        <v>32</v>
      </c>
      <c r="AE1276" s="80" t="s">
        <v>24</v>
      </c>
      <c r="AG1276" s="29" t="s">
        <v>25</v>
      </c>
      <c r="AH1276" s="29" t="s">
        <v>26</v>
      </c>
      <c r="AI1276" s="12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110</v>
      </c>
      <c r="C1277" s="88">
        <v>8784</v>
      </c>
      <c r="D1277" s="32">
        <f>229*10</f>
        <v>2290</v>
      </c>
      <c r="E1277" s="32"/>
      <c r="F1277" s="32"/>
      <c r="G1277" s="32">
        <f t="shared" ref="G1277:G1321" si="361">SUM(D1277:E1277)</f>
        <v>2290</v>
      </c>
      <c r="H1277" s="12"/>
      <c r="I1277" s="12"/>
      <c r="J1277" s="12"/>
      <c r="K1277" s="12">
        <f t="shared" ref="K1277:K1321" si="362">SUM(G1277:J1277)</f>
        <v>2290</v>
      </c>
      <c r="M1277" s="10">
        <v>1</v>
      </c>
      <c r="N1277" s="30" t="s">
        <v>110</v>
      </c>
      <c r="O1277" s="31">
        <v>8801</v>
      </c>
      <c r="P1277" s="32">
        <f>650*6+9.5*6</f>
        <v>3957</v>
      </c>
      <c r="Q1277" s="32"/>
      <c r="R1277" s="32"/>
      <c r="S1277" s="32">
        <f>SUM(P1277:Q1277)</f>
        <v>3957</v>
      </c>
      <c r="T1277" s="12"/>
      <c r="U1277" s="12"/>
      <c r="V1277" s="12">
        <v>-333</v>
      </c>
      <c r="W1277" s="12">
        <f>SUM(S1277:V1277)</f>
        <v>3624</v>
      </c>
      <c r="Y1277" s="10">
        <v>1</v>
      </c>
      <c r="Z1277" s="30" t="s">
        <v>110</v>
      </c>
      <c r="AA1277" s="31">
        <v>8684</v>
      </c>
      <c r="AB1277" s="32">
        <f>650*15+670*2+622*5+229</f>
        <v>14429</v>
      </c>
      <c r="AC1277" s="32"/>
      <c r="AD1277" s="32"/>
      <c r="AE1277" s="32">
        <f>SUM(AB1277:AC1277)</f>
        <v>14429</v>
      </c>
      <c r="AF1277" s="12"/>
      <c r="AG1277" s="12">
        <f>111*6+4.5*12</f>
        <v>720</v>
      </c>
      <c r="AH1277" s="12"/>
      <c r="AI1277" s="12">
        <f>SUM(AE1277:AH1277)</f>
        <v>15149</v>
      </c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110</v>
      </c>
      <c r="C1278" s="31">
        <f>C1277+1</f>
        <v>8785</v>
      </c>
      <c r="D1278" s="32">
        <f>650*108+622*30</f>
        <v>88860</v>
      </c>
      <c r="E1278" s="32"/>
      <c r="F1278" s="32"/>
      <c r="G1278" s="32">
        <f t="shared" si="361"/>
        <v>88860</v>
      </c>
      <c r="H1278" s="12"/>
      <c r="I1278" s="12">
        <v>108</v>
      </c>
      <c r="J1278" s="12"/>
      <c r="K1278" s="12">
        <f t="shared" si="362"/>
        <v>88968</v>
      </c>
      <c r="M1278" s="10">
        <v>2</v>
      </c>
      <c r="N1278" s="30" t="s">
        <v>110</v>
      </c>
      <c r="O1278" s="31">
        <f>O1277+1</f>
        <v>8802</v>
      </c>
      <c r="P1278" s="32">
        <f>650*200+650+1175+229*8</f>
        <v>133657</v>
      </c>
      <c r="Q1278" s="32">
        <v>-1200</v>
      </c>
      <c r="R1278" s="32"/>
      <c r="S1278" s="32">
        <f t="shared" ref="S1278:S1321" si="363">SUM(P1278:Q1278)</f>
        <v>132457</v>
      </c>
      <c r="T1278" s="12"/>
      <c r="U1278" s="12"/>
      <c r="V1278" s="12">
        <f>-111*108</f>
        <v>-11988</v>
      </c>
      <c r="W1278" s="12">
        <f t="shared" ref="W1278:W1321" si="364">SUM(S1278:V1278)</f>
        <v>120469</v>
      </c>
      <c r="Y1278" s="10">
        <v>2</v>
      </c>
      <c r="Z1278" s="30" t="s">
        <v>110</v>
      </c>
      <c r="AA1278" s="31">
        <f>AA1277+1</f>
        <v>8685</v>
      </c>
      <c r="AB1278" s="32">
        <f>650*30+622*10+229</f>
        <v>25949</v>
      </c>
      <c r="AC1278" s="32"/>
      <c r="AD1278" s="32"/>
      <c r="AE1278" s="32">
        <f t="shared" ref="AE1278:AE1321" si="365">SUM(AB1278:AC1278)</f>
        <v>25949</v>
      </c>
      <c r="AF1278" s="12"/>
      <c r="AG1278" s="12"/>
      <c r="AH1278" s="12"/>
      <c r="AI1278" s="12">
        <f t="shared" ref="AI1278:AI1321" si="366">SUM(AE1278:AH1278)</f>
        <v>25949</v>
      </c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110</v>
      </c>
      <c r="C1279" s="31">
        <f t="shared" ref="C1279:C1296" si="367">C1278+1</f>
        <v>8786</v>
      </c>
      <c r="D1279" s="33">
        <f>650*20+670*3+872+650</f>
        <v>16532</v>
      </c>
      <c r="E1279" s="33"/>
      <c r="F1279" s="33"/>
      <c r="G1279" s="33">
        <f t="shared" si="361"/>
        <v>16532</v>
      </c>
      <c r="H1279" s="34"/>
      <c r="I1279" s="34">
        <f>111*2+4.5*32</f>
        <v>366</v>
      </c>
      <c r="J1279" s="34"/>
      <c r="K1279" s="34">
        <f t="shared" si="362"/>
        <v>16898</v>
      </c>
      <c r="M1279" s="10">
        <v>3</v>
      </c>
      <c r="N1279" s="30" t="s">
        <v>110</v>
      </c>
      <c r="O1279" s="31">
        <f t="shared" ref="O1279:O1283" si="368">O1278+1</f>
        <v>8803</v>
      </c>
      <c r="P1279" s="32">
        <f>650+9.5</f>
        <v>659.5</v>
      </c>
      <c r="Q1279" s="32"/>
      <c r="R1279" s="32"/>
      <c r="S1279" s="32">
        <f t="shared" si="363"/>
        <v>659.5</v>
      </c>
      <c r="T1279" s="12"/>
      <c r="U1279" s="12"/>
      <c r="V1279" s="12"/>
      <c r="W1279" s="12">
        <f t="shared" si="364"/>
        <v>659.5</v>
      </c>
      <c r="Y1279" s="10">
        <v>3</v>
      </c>
      <c r="Z1279" s="30" t="s">
        <v>110</v>
      </c>
      <c r="AA1279" s="31">
        <f t="shared" ref="AA1279:AA1285" si="369">AA1278+1</f>
        <v>8686</v>
      </c>
      <c r="AB1279" s="33">
        <f>650*125+622*25+229*6</f>
        <v>98174</v>
      </c>
      <c r="AC1279" s="33">
        <v>-900</v>
      </c>
      <c r="AD1279" s="32"/>
      <c r="AE1279" s="32">
        <f t="shared" si="365"/>
        <v>97274</v>
      </c>
      <c r="AF1279" s="12"/>
      <c r="AG1279" s="12">
        <v>49.5</v>
      </c>
      <c r="AH1279" s="12"/>
      <c r="AI1279" s="12">
        <f t="shared" si="366"/>
        <v>97323.5</v>
      </c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10">
        <v>4</v>
      </c>
      <c r="B1280" s="30" t="s">
        <v>110</v>
      </c>
      <c r="C1280" s="31">
        <f t="shared" si="367"/>
        <v>8787</v>
      </c>
      <c r="D1280" s="32">
        <f>650*15</f>
        <v>9750</v>
      </c>
      <c r="E1280" s="32"/>
      <c r="F1280" s="32"/>
      <c r="G1280" s="32">
        <f t="shared" si="361"/>
        <v>9750</v>
      </c>
      <c r="H1280" s="12"/>
      <c r="I1280" s="12"/>
      <c r="J1280" s="12"/>
      <c r="K1280" s="12">
        <f t="shared" si="362"/>
        <v>9750</v>
      </c>
      <c r="M1280" s="10">
        <v>4</v>
      </c>
      <c r="N1280" s="30"/>
      <c r="O1280" s="11" t="s">
        <v>27</v>
      </c>
      <c r="P1280" s="32"/>
      <c r="Q1280" s="32"/>
      <c r="R1280" s="32"/>
      <c r="S1280" s="32">
        <f t="shared" si="363"/>
        <v>0</v>
      </c>
      <c r="T1280" s="12"/>
      <c r="U1280" s="12"/>
      <c r="V1280" s="12"/>
      <c r="W1280" s="12">
        <f t="shared" si="364"/>
        <v>0</v>
      </c>
      <c r="Y1280" s="10">
        <v>4</v>
      </c>
      <c r="Z1280" s="30" t="s">
        <v>110</v>
      </c>
      <c r="AA1280" s="31">
        <f t="shared" si="369"/>
        <v>8687</v>
      </c>
      <c r="AB1280" s="32">
        <f>650*57+670*3+229*2</f>
        <v>39518</v>
      </c>
      <c r="AC1280" s="32">
        <v>-360</v>
      </c>
      <c r="AD1280" s="32"/>
      <c r="AE1280" s="32">
        <f t="shared" si="365"/>
        <v>39158</v>
      </c>
      <c r="AF1280" s="12"/>
      <c r="AH1280" s="12">
        <v>-1110</v>
      </c>
      <c r="AI1280" s="12">
        <f t="shared" si="366"/>
        <v>38048</v>
      </c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110</v>
      </c>
      <c r="C1281" s="31">
        <f t="shared" si="367"/>
        <v>8788</v>
      </c>
      <c r="D1281" s="32">
        <f>650*112+622*6</f>
        <v>76532</v>
      </c>
      <c r="E1281" s="32"/>
      <c r="F1281" s="32"/>
      <c r="G1281" s="32">
        <f t="shared" si="361"/>
        <v>76532</v>
      </c>
      <c r="H1281" s="12"/>
      <c r="I1281" s="12"/>
      <c r="J1281" s="12"/>
      <c r="K1281" s="12">
        <f t="shared" si="362"/>
        <v>76532</v>
      </c>
      <c r="M1281" s="10">
        <v>5</v>
      </c>
      <c r="N1281" s="30"/>
      <c r="O1281" s="31"/>
      <c r="P1281" s="32"/>
      <c r="Q1281" s="32"/>
      <c r="R1281" s="32"/>
      <c r="S1281" s="32">
        <f t="shared" si="363"/>
        <v>0</v>
      </c>
      <c r="T1281" s="12"/>
      <c r="U1281" s="12"/>
      <c r="V1281" s="12"/>
      <c r="W1281" s="12">
        <f t="shared" si="364"/>
        <v>0</v>
      </c>
      <c r="Y1281" s="10">
        <v>5</v>
      </c>
      <c r="Z1281" s="30" t="s">
        <v>110</v>
      </c>
      <c r="AA1281" s="31">
        <f t="shared" si="369"/>
        <v>8688</v>
      </c>
      <c r="AB1281" s="32">
        <f>650+670</f>
        <v>1320</v>
      </c>
      <c r="AC1281" s="32"/>
      <c r="AD1281" s="32"/>
      <c r="AE1281" s="32">
        <f t="shared" si="365"/>
        <v>1320</v>
      </c>
      <c r="AF1281" s="12"/>
      <c r="AG1281" s="12"/>
      <c r="AH1281" s="12"/>
      <c r="AI1281" s="12">
        <f t="shared" si="366"/>
        <v>1320</v>
      </c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110</v>
      </c>
      <c r="C1282" s="31">
        <f t="shared" si="367"/>
        <v>8789</v>
      </c>
      <c r="D1282" s="32">
        <f>650*18+622*4</f>
        <v>14188</v>
      </c>
      <c r="E1282" s="32"/>
      <c r="F1282" s="32"/>
      <c r="G1282" s="32">
        <f t="shared" si="361"/>
        <v>14188</v>
      </c>
      <c r="H1282" s="12"/>
      <c r="I1282" s="12"/>
      <c r="J1282" s="12">
        <v>-222</v>
      </c>
      <c r="K1282" s="12">
        <f t="shared" si="362"/>
        <v>13966</v>
      </c>
      <c r="M1282" s="10">
        <v>6</v>
      </c>
      <c r="N1282" s="30"/>
      <c r="O1282" s="31"/>
      <c r="P1282" s="32"/>
      <c r="Q1282" s="32"/>
      <c r="R1282" s="32"/>
      <c r="S1282" s="32">
        <f t="shared" si="363"/>
        <v>0</v>
      </c>
      <c r="T1282" s="12"/>
      <c r="U1282" s="12"/>
      <c r="V1282" s="10"/>
      <c r="W1282" s="12">
        <f t="shared" si="364"/>
        <v>0</v>
      </c>
      <c r="Y1282" s="10">
        <v>6</v>
      </c>
      <c r="Z1282" s="30" t="s">
        <v>110</v>
      </c>
      <c r="AA1282" s="31">
        <f t="shared" si="369"/>
        <v>8689</v>
      </c>
      <c r="AB1282" s="32">
        <f>1744</f>
        <v>1744</v>
      </c>
      <c r="AC1282" s="32"/>
      <c r="AD1282" s="32"/>
      <c r="AE1282" s="32">
        <f t="shared" si="365"/>
        <v>1744</v>
      </c>
      <c r="AF1282" s="12"/>
      <c r="AG1282" s="12"/>
      <c r="AH1282" s="10"/>
      <c r="AI1282" s="12">
        <f t="shared" si="366"/>
        <v>1744</v>
      </c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/>
      <c r="C1283" s="11" t="s">
        <v>27</v>
      </c>
      <c r="D1283" s="32"/>
      <c r="E1283" s="32"/>
      <c r="F1283" s="32"/>
      <c r="G1283" s="32">
        <f t="shared" si="361"/>
        <v>0</v>
      </c>
      <c r="H1283" s="12"/>
      <c r="I1283" s="12"/>
      <c r="J1283" s="12"/>
      <c r="K1283" s="12">
        <f t="shared" si="362"/>
        <v>0</v>
      </c>
      <c r="M1283" s="10">
        <v>7</v>
      </c>
      <c r="N1283" s="30"/>
      <c r="O1283" s="31"/>
      <c r="P1283" s="32"/>
      <c r="Q1283" s="32"/>
      <c r="R1283" s="32"/>
      <c r="S1283" s="32">
        <f t="shared" si="363"/>
        <v>0</v>
      </c>
      <c r="T1283" s="12"/>
      <c r="U1283" s="12"/>
      <c r="V1283" s="12"/>
      <c r="W1283" s="12">
        <f t="shared" si="364"/>
        <v>0</v>
      </c>
      <c r="Y1283" s="10">
        <v>7</v>
      </c>
      <c r="Z1283" s="30"/>
      <c r="AA1283" s="11" t="s">
        <v>27</v>
      </c>
      <c r="AB1283" s="32"/>
      <c r="AC1283" s="32"/>
      <c r="AD1283" s="32"/>
      <c r="AE1283" s="32">
        <f t="shared" si="365"/>
        <v>0</v>
      </c>
      <c r="AF1283" s="12"/>
      <c r="AG1283" s="58"/>
      <c r="AH1283" s="12"/>
      <c r="AI1283" s="12">
        <f t="shared" si="366"/>
        <v>0</v>
      </c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/>
      <c r="C1284" s="31"/>
      <c r="D1284" s="32"/>
      <c r="E1284" s="32"/>
      <c r="F1284" s="32"/>
      <c r="G1284" s="32">
        <f t="shared" si="361"/>
        <v>0</v>
      </c>
      <c r="H1284" s="12"/>
      <c r="I1284" s="12"/>
      <c r="J1284" s="12"/>
      <c r="K1284" s="12">
        <f t="shared" si="362"/>
        <v>0</v>
      </c>
      <c r="M1284" s="10">
        <v>8</v>
      </c>
      <c r="N1284" s="30"/>
      <c r="P1284" s="32"/>
      <c r="Q1284" s="32"/>
      <c r="R1284" s="32"/>
      <c r="S1284" s="32">
        <f t="shared" si="363"/>
        <v>0</v>
      </c>
      <c r="T1284" s="12"/>
      <c r="U1284" s="12"/>
      <c r="V1284" s="12"/>
      <c r="W1284" s="12">
        <f t="shared" si="364"/>
        <v>0</v>
      </c>
      <c r="Y1284" s="10">
        <v>8</v>
      </c>
      <c r="Z1284" s="30"/>
      <c r="AA1284" s="31"/>
      <c r="AB1284" s="32"/>
      <c r="AC1284" s="32"/>
      <c r="AE1284" s="32">
        <f t="shared" si="365"/>
        <v>0</v>
      </c>
      <c r="AF1284" s="12"/>
      <c r="AG1284" s="12"/>
      <c r="AH1284" s="12"/>
      <c r="AI1284" s="12">
        <f t="shared" si="366"/>
        <v>0</v>
      </c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/>
      <c r="C1285" s="31"/>
      <c r="D1285" s="32"/>
      <c r="E1285" s="32"/>
      <c r="F1285" s="32"/>
      <c r="G1285" s="32">
        <f t="shared" si="361"/>
        <v>0</v>
      </c>
      <c r="H1285" s="12"/>
      <c r="I1285" s="12"/>
      <c r="J1285" s="12"/>
      <c r="K1285" s="12">
        <f t="shared" si="362"/>
        <v>0</v>
      </c>
      <c r="M1285" s="10">
        <v>9</v>
      </c>
      <c r="N1285" s="30"/>
      <c r="O1285" s="31"/>
      <c r="P1285" s="32"/>
      <c r="Q1285" s="32"/>
      <c r="R1285" s="32"/>
      <c r="S1285" s="32">
        <f t="shared" si="363"/>
        <v>0</v>
      </c>
      <c r="T1285" s="12"/>
      <c r="U1285" s="12"/>
      <c r="V1285" s="12"/>
      <c r="W1285" s="12">
        <f t="shared" si="364"/>
        <v>0</v>
      </c>
      <c r="Y1285" s="10">
        <v>9</v>
      </c>
      <c r="Z1285" s="30"/>
      <c r="AA1285" s="31"/>
      <c r="AB1285" s="32"/>
      <c r="AC1285" s="32"/>
      <c r="AD1285" s="32"/>
      <c r="AE1285" s="32">
        <f t="shared" si="365"/>
        <v>0</v>
      </c>
      <c r="AF1285" s="12"/>
      <c r="AH1285" s="12"/>
      <c r="AI1285" s="12">
        <f t="shared" si="366"/>
        <v>0</v>
      </c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/>
      <c r="C1286" s="31"/>
      <c r="D1286" s="32"/>
      <c r="E1286" s="32"/>
      <c r="F1286" s="32"/>
      <c r="G1286" s="32">
        <f t="shared" si="361"/>
        <v>0</v>
      </c>
      <c r="H1286" s="12"/>
      <c r="I1286" s="12"/>
      <c r="J1286" s="12"/>
      <c r="K1286" s="12">
        <f t="shared" si="362"/>
        <v>0</v>
      </c>
      <c r="M1286" s="10">
        <v>10</v>
      </c>
      <c r="N1286" s="30"/>
      <c r="O1286" s="31"/>
      <c r="P1286" s="32"/>
      <c r="Q1286" s="32"/>
      <c r="R1286" s="32"/>
      <c r="S1286" s="32">
        <f t="shared" si="363"/>
        <v>0</v>
      </c>
      <c r="T1286" s="12"/>
      <c r="U1286" s="12"/>
      <c r="V1286" s="12"/>
      <c r="W1286" s="12">
        <f t="shared" si="364"/>
        <v>0</v>
      </c>
      <c r="Y1286" s="10">
        <v>10</v>
      </c>
      <c r="Z1286" s="30"/>
      <c r="AB1286" s="32"/>
      <c r="AC1286" s="32"/>
      <c r="AD1286" s="32"/>
      <c r="AE1286" s="32">
        <f t="shared" si="365"/>
        <v>0</v>
      </c>
      <c r="AF1286" s="12"/>
      <c r="AG1286" s="12"/>
      <c r="AH1286" s="12"/>
      <c r="AI1286" s="12">
        <f t="shared" si="366"/>
        <v>0</v>
      </c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/>
      <c r="C1287" s="31"/>
      <c r="D1287" s="32"/>
      <c r="E1287" s="32"/>
      <c r="F1287" s="32"/>
      <c r="G1287" s="32">
        <f t="shared" si="361"/>
        <v>0</v>
      </c>
      <c r="H1287" s="12"/>
      <c r="I1287" s="12"/>
      <c r="J1287" s="12"/>
      <c r="K1287" s="12">
        <f t="shared" si="362"/>
        <v>0</v>
      </c>
      <c r="M1287" s="10">
        <v>11</v>
      </c>
      <c r="N1287" s="30"/>
      <c r="O1287" s="31"/>
      <c r="P1287" s="32"/>
      <c r="Q1287" s="32"/>
      <c r="R1287" s="32"/>
      <c r="S1287" s="32">
        <f t="shared" si="363"/>
        <v>0</v>
      </c>
      <c r="T1287" s="12"/>
      <c r="U1287" s="12"/>
      <c r="V1287" s="12"/>
      <c r="W1287" s="12">
        <f t="shared" si="364"/>
        <v>0</v>
      </c>
      <c r="Y1287" s="10">
        <v>11</v>
      </c>
      <c r="Z1287" s="30"/>
      <c r="AA1287" s="31"/>
      <c r="AB1287" s="32"/>
      <c r="AC1287" s="32"/>
      <c r="AD1287" s="32"/>
      <c r="AE1287" s="32">
        <f t="shared" si="365"/>
        <v>0</v>
      </c>
      <c r="AF1287" s="12"/>
      <c r="AG1287" s="12"/>
      <c r="AH1287" s="12"/>
      <c r="AI1287" s="12">
        <f t="shared" si="366"/>
        <v>0</v>
      </c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/>
      <c r="C1288" s="31"/>
      <c r="D1288" s="32"/>
      <c r="E1288" s="32"/>
      <c r="F1288" s="32"/>
      <c r="G1288" s="32">
        <f t="shared" si="361"/>
        <v>0</v>
      </c>
      <c r="H1288" s="12"/>
      <c r="I1288" s="12"/>
      <c r="J1288" s="10"/>
      <c r="K1288" s="12">
        <f t="shared" si="362"/>
        <v>0</v>
      </c>
      <c r="M1288" s="10">
        <v>12</v>
      </c>
      <c r="N1288" s="30"/>
      <c r="O1288" s="31"/>
      <c r="P1288" s="32"/>
      <c r="Q1288" s="32"/>
      <c r="R1288" s="32"/>
      <c r="S1288" s="32">
        <f t="shared" si="363"/>
        <v>0</v>
      </c>
      <c r="T1288" s="12"/>
      <c r="U1288" s="12"/>
      <c r="V1288" s="12"/>
      <c r="W1288" s="12">
        <f t="shared" si="364"/>
        <v>0</v>
      </c>
      <c r="Y1288" s="10">
        <v>12</v>
      </c>
      <c r="Z1288" s="30"/>
      <c r="AA1288" s="31"/>
      <c r="AB1288" s="32"/>
      <c r="AC1288" s="32"/>
      <c r="AD1288" s="32"/>
      <c r="AE1288" s="32">
        <f t="shared" si="365"/>
        <v>0</v>
      </c>
      <c r="AF1288" s="12"/>
      <c r="AG1288" s="12"/>
      <c r="AH1288" s="12"/>
      <c r="AI1288" s="12">
        <f t="shared" si="366"/>
        <v>0</v>
      </c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/>
      <c r="C1289" s="31"/>
      <c r="D1289" s="32"/>
      <c r="E1289" s="32"/>
      <c r="F1289" s="32"/>
      <c r="G1289" s="32">
        <f t="shared" si="361"/>
        <v>0</v>
      </c>
      <c r="H1289" s="12"/>
      <c r="I1289" s="12"/>
      <c r="J1289" s="12"/>
      <c r="K1289" s="12">
        <f t="shared" si="362"/>
        <v>0</v>
      </c>
      <c r="M1289" s="10">
        <v>13</v>
      </c>
      <c r="N1289" s="30"/>
      <c r="O1289" s="31"/>
      <c r="P1289" s="32"/>
      <c r="Q1289" s="32"/>
      <c r="R1289" s="32"/>
      <c r="S1289" s="32">
        <f t="shared" si="363"/>
        <v>0</v>
      </c>
      <c r="T1289" s="12"/>
      <c r="U1289" s="12"/>
      <c r="V1289" s="12"/>
      <c r="W1289" s="12">
        <f t="shared" si="364"/>
        <v>0</v>
      </c>
      <c r="Y1289" s="10">
        <v>13</v>
      </c>
      <c r="Z1289" s="30"/>
      <c r="AA1289" s="31"/>
      <c r="AB1289" s="32"/>
      <c r="AC1289" s="32"/>
      <c r="AD1289" s="32"/>
      <c r="AE1289" s="32">
        <f t="shared" si="365"/>
        <v>0</v>
      </c>
      <c r="AF1289" s="12"/>
      <c r="AG1289" s="12"/>
      <c r="AH1289" s="12"/>
      <c r="AI1289" s="12">
        <f t="shared" si="366"/>
        <v>0</v>
      </c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31"/>
      <c r="D1290" s="32"/>
      <c r="E1290" s="32"/>
      <c r="F1290" s="32"/>
      <c r="G1290" s="32">
        <f t="shared" si="361"/>
        <v>0</v>
      </c>
      <c r="H1290" s="12"/>
      <c r="I1290" s="12"/>
      <c r="J1290" s="12"/>
      <c r="K1290" s="12">
        <f t="shared" si="362"/>
        <v>0</v>
      </c>
      <c r="M1290" s="10">
        <v>14</v>
      </c>
      <c r="N1290" s="30"/>
      <c r="O1290" s="31"/>
      <c r="P1290" s="32"/>
      <c r="Q1290" s="32"/>
      <c r="R1290" s="32"/>
      <c r="S1290" s="32">
        <f t="shared" si="363"/>
        <v>0</v>
      </c>
      <c r="T1290" s="12"/>
      <c r="U1290" s="12"/>
      <c r="V1290" s="12"/>
      <c r="W1290" s="12">
        <f t="shared" si="364"/>
        <v>0</v>
      </c>
      <c r="Y1290" s="10">
        <v>14</v>
      </c>
      <c r="Z1290" s="30"/>
      <c r="AA1290" s="31"/>
      <c r="AB1290" s="32"/>
      <c r="AC1290" s="32"/>
      <c r="AD1290" s="32"/>
      <c r="AE1290" s="32">
        <f t="shared" si="365"/>
        <v>0</v>
      </c>
      <c r="AF1290" s="12"/>
      <c r="AG1290" s="12"/>
      <c r="AH1290" s="12"/>
      <c r="AI1290" s="12">
        <f t="shared" si="366"/>
        <v>0</v>
      </c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31"/>
      <c r="D1291" s="32"/>
      <c r="E1291" s="32"/>
      <c r="F1291" s="32"/>
      <c r="G1291" s="32">
        <f t="shared" si="361"/>
        <v>0</v>
      </c>
      <c r="H1291" s="12"/>
      <c r="I1291" s="12"/>
      <c r="J1291" s="12"/>
      <c r="K1291" s="12">
        <f t="shared" si="362"/>
        <v>0</v>
      </c>
      <c r="M1291" s="10">
        <v>15</v>
      </c>
      <c r="N1291" s="30"/>
      <c r="O1291" s="31"/>
      <c r="P1291" s="32"/>
      <c r="Q1291" s="32"/>
      <c r="R1291" s="32"/>
      <c r="S1291" s="32">
        <f t="shared" si="363"/>
        <v>0</v>
      </c>
      <c r="T1291" s="12"/>
      <c r="U1291" s="12"/>
      <c r="V1291" s="12"/>
      <c r="W1291" s="12">
        <f t="shared" si="364"/>
        <v>0</v>
      </c>
      <c r="Y1291" s="10">
        <v>15</v>
      </c>
      <c r="Z1291" s="30"/>
      <c r="AA1291" s="31"/>
      <c r="AB1291" s="32"/>
      <c r="AC1291" s="32"/>
      <c r="AD1291" s="32"/>
      <c r="AE1291" s="32">
        <f t="shared" si="365"/>
        <v>0</v>
      </c>
      <c r="AF1291" s="12"/>
      <c r="AG1291" s="12"/>
      <c r="AH1291" s="12"/>
      <c r="AI1291" s="12">
        <f t="shared" si="366"/>
        <v>0</v>
      </c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31"/>
      <c r="D1292" s="32"/>
      <c r="E1292" s="32"/>
      <c r="F1292" s="32"/>
      <c r="G1292" s="32">
        <f t="shared" si="361"/>
        <v>0</v>
      </c>
      <c r="H1292" s="12"/>
      <c r="I1292" s="12"/>
      <c r="J1292" s="12"/>
      <c r="K1292" s="12">
        <f t="shared" si="362"/>
        <v>0</v>
      </c>
      <c r="M1292" s="10">
        <v>16</v>
      </c>
      <c r="N1292" s="30"/>
      <c r="P1292" s="32"/>
      <c r="Q1292" s="32"/>
      <c r="R1292" s="32"/>
      <c r="S1292" s="32">
        <f t="shared" si="363"/>
        <v>0</v>
      </c>
      <c r="T1292" s="12"/>
      <c r="U1292" s="12"/>
      <c r="V1292" s="12"/>
      <c r="W1292" s="12">
        <f t="shared" si="364"/>
        <v>0</v>
      </c>
      <c r="Y1292" s="10">
        <v>16</v>
      </c>
      <c r="Z1292" s="30"/>
      <c r="AA1292" s="31"/>
      <c r="AB1292" s="32"/>
      <c r="AC1292" s="32"/>
      <c r="AD1292" s="32"/>
      <c r="AE1292" s="32">
        <f t="shared" si="365"/>
        <v>0</v>
      </c>
      <c r="AF1292" s="12"/>
      <c r="AG1292" s="12"/>
      <c r="AH1292" s="12"/>
      <c r="AI1292" s="12">
        <f t="shared" si="366"/>
        <v>0</v>
      </c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31"/>
      <c r="D1293" s="32"/>
      <c r="E1293" s="32"/>
      <c r="F1293" s="32"/>
      <c r="G1293" s="32">
        <f t="shared" si="361"/>
        <v>0</v>
      </c>
      <c r="H1293" s="12"/>
      <c r="I1293" s="12"/>
      <c r="J1293" s="12"/>
      <c r="K1293" s="12">
        <f t="shared" si="362"/>
        <v>0</v>
      </c>
      <c r="M1293" s="10">
        <v>17</v>
      </c>
      <c r="N1293" s="30"/>
      <c r="O1293" s="31"/>
      <c r="P1293" s="35"/>
      <c r="Q1293" s="32"/>
      <c r="R1293" s="32"/>
      <c r="S1293" s="32">
        <f t="shared" si="363"/>
        <v>0</v>
      </c>
      <c r="T1293" s="12"/>
      <c r="U1293" s="12"/>
      <c r="V1293" s="12"/>
      <c r="W1293" s="12">
        <f t="shared" si="364"/>
        <v>0</v>
      </c>
      <c r="Y1293" s="10">
        <v>17</v>
      </c>
      <c r="Z1293" s="30"/>
      <c r="AA1293" s="31"/>
      <c r="AB1293" s="35"/>
      <c r="AC1293" s="32"/>
      <c r="AD1293" s="32"/>
      <c r="AE1293" s="32">
        <f t="shared" si="365"/>
        <v>0</v>
      </c>
      <c r="AF1293" s="12"/>
      <c r="AG1293" s="12"/>
      <c r="AH1293" s="12"/>
      <c r="AI1293" s="12">
        <f t="shared" si="366"/>
        <v>0</v>
      </c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31"/>
      <c r="D1294" s="32"/>
      <c r="E1294" s="32"/>
      <c r="F1294" s="32"/>
      <c r="G1294" s="32">
        <f t="shared" si="361"/>
        <v>0</v>
      </c>
      <c r="H1294" s="12"/>
      <c r="I1294" s="12"/>
      <c r="J1294" s="12"/>
      <c r="K1294" s="12">
        <f t="shared" si="362"/>
        <v>0</v>
      </c>
      <c r="M1294" s="10">
        <v>18</v>
      </c>
      <c r="N1294" s="30"/>
      <c r="O1294" s="31"/>
      <c r="P1294" s="32"/>
      <c r="Q1294" s="32"/>
      <c r="R1294" s="32"/>
      <c r="S1294" s="32">
        <f t="shared" si="363"/>
        <v>0</v>
      </c>
      <c r="T1294" s="12"/>
      <c r="U1294" s="12"/>
      <c r="V1294" s="12"/>
      <c r="W1294" s="12">
        <f t="shared" si="364"/>
        <v>0</v>
      </c>
      <c r="Y1294" s="10">
        <v>18</v>
      </c>
      <c r="Z1294" s="30"/>
      <c r="AA1294" s="31"/>
      <c r="AB1294" s="32"/>
      <c r="AC1294" s="32"/>
      <c r="AD1294" s="32"/>
      <c r="AE1294" s="32">
        <f t="shared" si="365"/>
        <v>0</v>
      </c>
      <c r="AF1294" s="12"/>
      <c r="AG1294" s="12"/>
      <c r="AH1294" s="12"/>
      <c r="AI1294" s="12">
        <f t="shared" si="366"/>
        <v>0</v>
      </c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31"/>
      <c r="D1295" s="32"/>
      <c r="E1295" s="32"/>
      <c r="F1295" s="32"/>
      <c r="G1295" s="32">
        <f t="shared" si="361"/>
        <v>0</v>
      </c>
      <c r="H1295" s="12"/>
      <c r="I1295" s="12"/>
      <c r="J1295" s="12"/>
      <c r="K1295" s="12">
        <f t="shared" si="362"/>
        <v>0</v>
      </c>
      <c r="M1295" s="10">
        <v>19</v>
      </c>
      <c r="N1295" s="30"/>
      <c r="O1295" s="31"/>
      <c r="P1295" s="32"/>
      <c r="Q1295" s="32"/>
      <c r="R1295" s="32"/>
      <c r="S1295" s="32">
        <f t="shared" si="363"/>
        <v>0</v>
      </c>
      <c r="T1295" s="12"/>
      <c r="U1295" s="12"/>
      <c r="V1295" s="12"/>
      <c r="W1295" s="12">
        <f t="shared" si="364"/>
        <v>0</v>
      </c>
      <c r="Y1295" s="10">
        <v>19</v>
      </c>
      <c r="Z1295" s="30"/>
      <c r="AA1295" s="31"/>
      <c r="AB1295" s="32"/>
      <c r="AC1295" s="32"/>
      <c r="AD1295" s="32"/>
      <c r="AE1295" s="32">
        <f t="shared" si="365"/>
        <v>0</v>
      </c>
      <c r="AF1295" s="12"/>
      <c r="AG1295" s="12"/>
      <c r="AH1295" s="12"/>
      <c r="AI1295" s="12">
        <f t="shared" si="366"/>
        <v>0</v>
      </c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C1296" s="31"/>
      <c r="D1296" s="32"/>
      <c r="E1296" s="32"/>
      <c r="F1296" s="32"/>
      <c r="G1296" s="32">
        <f t="shared" si="361"/>
        <v>0</v>
      </c>
      <c r="H1296" s="12"/>
      <c r="I1296" s="12"/>
      <c r="J1296" s="12"/>
      <c r="K1296" s="12">
        <f t="shared" si="362"/>
        <v>0</v>
      </c>
      <c r="M1296" s="10">
        <v>20</v>
      </c>
      <c r="N1296" s="30"/>
      <c r="O1296" s="31"/>
      <c r="P1296" s="32"/>
      <c r="Q1296" s="32"/>
      <c r="R1296" s="32"/>
      <c r="S1296" s="32">
        <f t="shared" si="363"/>
        <v>0</v>
      </c>
      <c r="T1296" s="12"/>
      <c r="U1296" s="12"/>
      <c r="V1296" s="12"/>
      <c r="W1296" s="12">
        <f t="shared" si="364"/>
        <v>0</v>
      </c>
      <c r="Y1296" s="10">
        <v>20</v>
      </c>
      <c r="Z1296" s="30"/>
      <c r="AA1296" s="31"/>
      <c r="AB1296" s="32"/>
      <c r="AC1296" s="32"/>
      <c r="AD1296" s="32"/>
      <c r="AE1296" s="32">
        <f t="shared" si="365"/>
        <v>0</v>
      </c>
      <c r="AF1296" s="12"/>
      <c r="AG1296" s="12"/>
      <c r="AH1296" s="12"/>
      <c r="AI1296" s="12">
        <f t="shared" si="366"/>
        <v>0</v>
      </c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D1297" s="32"/>
      <c r="E1297" s="32"/>
      <c r="F1297" s="32"/>
      <c r="G1297" s="32">
        <f t="shared" si="361"/>
        <v>0</v>
      </c>
      <c r="H1297" s="10"/>
      <c r="I1297" s="10"/>
      <c r="J1297" s="10"/>
      <c r="K1297" s="12">
        <f t="shared" si="362"/>
        <v>0</v>
      </c>
      <c r="M1297" s="10">
        <v>21</v>
      </c>
      <c r="N1297" s="30"/>
      <c r="O1297" s="31"/>
      <c r="P1297" s="46"/>
      <c r="Q1297" s="31"/>
      <c r="R1297" s="31"/>
      <c r="S1297" s="32">
        <f t="shared" si="363"/>
        <v>0</v>
      </c>
      <c r="T1297" s="10"/>
      <c r="U1297" s="10"/>
      <c r="V1297" s="10"/>
      <c r="W1297" s="12">
        <f t="shared" si="364"/>
        <v>0</v>
      </c>
      <c r="Y1297" s="10">
        <v>21</v>
      </c>
      <c r="Z1297" s="30"/>
      <c r="AB1297" s="46"/>
      <c r="AC1297" s="31"/>
      <c r="AD1297" s="31"/>
      <c r="AE1297" s="32">
        <f t="shared" si="365"/>
        <v>0</v>
      </c>
      <c r="AF1297" s="10"/>
      <c r="AG1297" s="10"/>
      <c r="AH1297" s="10"/>
      <c r="AI1297" s="12">
        <f t="shared" si="366"/>
        <v>0</v>
      </c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31"/>
      <c r="D1298" s="32"/>
      <c r="E1298" s="32"/>
      <c r="F1298" s="32"/>
      <c r="G1298" s="32">
        <f t="shared" si="361"/>
        <v>0</v>
      </c>
      <c r="H1298" s="10"/>
      <c r="I1298" s="10"/>
      <c r="J1298" s="10"/>
      <c r="K1298" s="12">
        <f t="shared" si="362"/>
        <v>0</v>
      </c>
      <c r="M1298" s="10">
        <v>22</v>
      </c>
      <c r="N1298" s="30"/>
      <c r="O1298" s="31"/>
      <c r="P1298" s="45"/>
      <c r="Q1298" s="31"/>
      <c r="R1298" s="31"/>
      <c r="S1298" s="32">
        <f t="shared" si="363"/>
        <v>0</v>
      </c>
      <c r="T1298" s="10"/>
      <c r="U1298" s="10"/>
      <c r="V1298" s="10"/>
      <c r="W1298" s="12">
        <f t="shared" si="364"/>
        <v>0</v>
      </c>
      <c r="Y1298" s="10">
        <v>22</v>
      </c>
      <c r="Z1298" s="30"/>
      <c r="AA1298" s="31"/>
      <c r="AB1298" s="45"/>
      <c r="AC1298" s="31"/>
      <c r="AD1298" s="31"/>
      <c r="AE1298" s="32">
        <f t="shared" si="365"/>
        <v>0</v>
      </c>
      <c r="AF1298" s="10"/>
      <c r="AG1298" s="10"/>
      <c r="AH1298" s="10"/>
      <c r="AI1298" s="12">
        <f t="shared" si="366"/>
        <v>0</v>
      </c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31"/>
      <c r="D1299" s="32"/>
      <c r="E1299" s="32"/>
      <c r="F1299" s="32"/>
      <c r="G1299" s="32">
        <f t="shared" si="361"/>
        <v>0</v>
      </c>
      <c r="H1299" s="10"/>
      <c r="I1299" s="10"/>
      <c r="J1299" s="12"/>
      <c r="K1299" s="12">
        <f t="shared" si="362"/>
        <v>0</v>
      </c>
      <c r="M1299" s="10">
        <v>23</v>
      </c>
      <c r="N1299" s="30"/>
      <c r="O1299" s="31"/>
      <c r="P1299" s="47"/>
      <c r="Q1299" s="31"/>
      <c r="S1299" s="32">
        <f t="shared" si="363"/>
        <v>0</v>
      </c>
      <c r="T1299" s="10"/>
      <c r="U1299" s="10"/>
      <c r="V1299" s="10"/>
      <c r="W1299" s="12">
        <f t="shared" si="364"/>
        <v>0</v>
      </c>
      <c r="Y1299" s="10">
        <v>23</v>
      </c>
      <c r="Z1299" s="30"/>
      <c r="AB1299" s="47"/>
      <c r="AC1299" s="31"/>
      <c r="AE1299" s="32">
        <f t="shared" si="365"/>
        <v>0</v>
      </c>
      <c r="AF1299" s="10"/>
      <c r="AG1299" s="10"/>
      <c r="AH1299" s="10"/>
      <c r="AI1299" s="12">
        <f t="shared" si="366"/>
        <v>0</v>
      </c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31"/>
      <c r="D1300" s="32"/>
      <c r="E1300" s="32"/>
      <c r="F1300" s="32"/>
      <c r="G1300" s="32">
        <f t="shared" si="361"/>
        <v>0</v>
      </c>
      <c r="H1300" s="10"/>
      <c r="I1300" s="10"/>
      <c r="J1300" s="10"/>
      <c r="K1300" s="12">
        <f t="shared" si="362"/>
        <v>0</v>
      </c>
      <c r="M1300" s="10">
        <v>24</v>
      </c>
      <c r="N1300" s="30"/>
      <c r="O1300" s="31"/>
      <c r="P1300" s="47"/>
      <c r="Q1300" s="31"/>
      <c r="R1300" s="31"/>
      <c r="S1300" s="32">
        <f t="shared" si="363"/>
        <v>0</v>
      </c>
      <c r="T1300" s="10"/>
      <c r="U1300" s="10"/>
      <c r="V1300" s="10"/>
      <c r="W1300" s="12">
        <f t="shared" si="364"/>
        <v>0</v>
      </c>
      <c r="Y1300" s="10">
        <v>24</v>
      </c>
      <c r="Z1300" s="30"/>
      <c r="AA1300" s="31"/>
      <c r="AB1300" s="47"/>
      <c r="AC1300" s="31"/>
      <c r="AD1300" s="31"/>
      <c r="AE1300" s="32">
        <f t="shared" si="365"/>
        <v>0</v>
      </c>
      <c r="AF1300" s="10"/>
      <c r="AG1300" s="10"/>
      <c r="AH1300" s="10"/>
      <c r="AI1300" s="12">
        <f t="shared" si="366"/>
        <v>0</v>
      </c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31"/>
      <c r="D1301" s="32"/>
      <c r="E1301" s="32"/>
      <c r="F1301" s="32"/>
      <c r="G1301" s="32">
        <f t="shared" si="361"/>
        <v>0</v>
      </c>
      <c r="H1301" s="10"/>
      <c r="I1301" s="10"/>
      <c r="J1301" s="10"/>
      <c r="K1301" s="12">
        <f t="shared" si="362"/>
        <v>0</v>
      </c>
      <c r="M1301" s="10">
        <v>25</v>
      </c>
      <c r="N1301" s="30"/>
      <c r="O1301" s="31"/>
      <c r="P1301" s="47"/>
      <c r="Q1301" s="31"/>
      <c r="R1301" s="31"/>
      <c r="S1301" s="32">
        <f t="shared" si="363"/>
        <v>0</v>
      </c>
      <c r="T1301" s="10"/>
      <c r="U1301" s="10"/>
      <c r="V1301" s="10"/>
      <c r="W1301" s="12">
        <f t="shared" si="364"/>
        <v>0</v>
      </c>
      <c r="Y1301" s="10">
        <v>25</v>
      </c>
      <c r="Z1301" s="30"/>
      <c r="AA1301" s="31"/>
      <c r="AB1301" s="47"/>
      <c r="AC1301" s="31"/>
      <c r="AD1301" s="31"/>
      <c r="AE1301" s="32">
        <f t="shared" si="365"/>
        <v>0</v>
      </c>
      <c r="AF1301" s="10"/>
      <c r="AG1301" s="10"/>
      <c r="AH1301" s="10"/>
      <c r="AI1301" s="12">
        <f t="shared" si="366"/>
        <v>0</v>
      </c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57"/>
      <c r="D1302" s="32"/>
      <c r="E1302" s="32"/>
      <c r="F1302" s="32"/>
      <c r="G1302" s="32">
        <f t="shared" si="361"/>
        <v>0</v>
      </c>
      <c r="H1302" s="10"/>
      <c r="I1302" s="10"/>
      <c r="J1302" s="10"/>
      <c r="K1302" s="12">
        <f t="shared" si="362"/>
        <v>0</v>
      </c>
      <c r="M1302" s="10">
        <v>26</v>
      </c>
      <c r="N1302" s="30"/>
      <c r="O1302" s="31"/>
      <c r="P1302" s="47"/>
      <c r="Q1302" s="31"/>
      <c r="R1302" s="31"/>
      <c r="S1302" s="32">
        <f t="shared" si="363"/>
        <v>0</v>
      </c>
      <c r="T1302" s="10"/>
      <c r="U1302" s="10"/>
      <c r="V1302" s="10"/>
      <c r="W1302" s="12">
        <f t="shared" si="364"/>
        <v>0</v>
      </c>
      <c r="Y1302" s="10">
        <v>26</v>
      </c>
      <c r="Z1302" s="30"/>
      <c r="AA1302" s="31"/>
      <c r="AB1302" s="47"/>
      <c r="AC1302" s="31"/>
      <c r="AD1302" s="31"/>
      <c r="AE1302" s="32">
        <f t="shared" si="365"/>
        <v>0</v>
      </c>
      <c r="AF1302" s="10"/>
      <c r="AG1302" s="10"/>
      <c r="AH1302" s="10"/>
      <c r="AI1302" s="12">
        <f t="shared" si="366"/>
        <v>0</v>
      </c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31"/>
      <c r="D1303" s="32"/>
      <c r="E1303" s="32"/>
      <c r="F1303" s="32"/>
      <c r="G1303" s="32">
        <f t="shared" si="361"/>
        <v>0</v>
      </c>
      <c r="H1303" s="10"/>
      <c r="I1303" s="10"/>
      <c r="J1303" s="10"/>
      <c r="K1303" s="12">
        <f t="shared" si="362"/>
        <v>0</v>
      </c>
      <c r="M1303" s="10">
        <v>27</v>
      </c>
      <c r="N1303" s="30"/>
      <c r="O1303" s="31"/>
      <c r="P1303" s="47"/>
      <c r="Q1303" s="31"/>
      <c r="R1303" s="31"/>
      <c r="S1303" s="32">
        <f t="shared" si="363"/>
        <v>0</v>
      </c>
      <c r="T1303" s="10"/>
      <c r="U1303" s="10"/>
      <c r="V1303" s="10"/>
      <c r="W1303" s="12">
        <f t="shared" si="364"/>
        <v>0</v>
      </c>
      <c r="Y1303" s="10">
        <v>27</v>
      </c>
      <c r="Z1303" s="30"/>
      <c r="AA1303" s="31"/>
      <c r="AB1303" s="47"/>
      <c r="AC1303" s="31"/>
      <c r="AD1303" s="31"/>
      <c r="AE1303" s="32">
        <f t="shared" si="365"/>
        <v>0</v>
      </c>
      <c r="AF1303" s="10"/>
      <c r="AG1303" s="10"/>
      <c r="AH1303" s="10"/>
      <c r="AI1303" s="12">
        <f t="shared" si="366"/>
        <v>0</v>
      </c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31"/>
      <c r="D1304" s="32"/>
      <c r="E1304" s="32"/>
      <c r="F1304" s="32"/>
      <c r="G1304" s="32">
        <f t="shared" si="361"/>
        <v>0</v>
      </c>
      <c r="H1304" s="10"/>
      <c r="I1304" s="10"/>
      <c r="J1304" s="10"/>
      <c r="K1304" s="12">
        <f t="shared" si="362"/>
        <v>0</v>
      </c>
      <c r="M1304" s="10">
        <v>28</v>
      </c>
      <c r="N1304" s="30"/>
      <c r="O1304" s="31"/>
      <c r="P1304" s="47"/>
      <c r="Q1304" s="31"/>
      <c r="R1304" s="31"/>
      <c r="S1304" s="32">
        <f t="shared" si="363"/>
        <v>0</v>
      </c>
      <c r="T1304" s="10"/>
      <c r="U1304" s="10"/>
      <c r="V1304" s="10"/>
      <c r="W1304" s="12">
        <f t="shared" si="364"/>
        <v>0</v>
      </c>
      <c r="Y1304" s="10">
        <v>28</v>
      </c>
      <c r="Z1304" s="30"/>
      <c r="AA1304" s="31"/>
      <c r="AB1304" s="47"/>
      <c r="AC1304" s="31"/>
      <c r="AD1304" s="31"/>
      <c r="AE1304" s="32">
        <f t="shared" si="365"/>
        <v>0</v>
      </c>
      <c r="AF1304" s="10"/>
      <c r="AG1304" s="10"/>
      <c r="AH1304" s="10"/>
      <c r="AI1304" s="12">
        <f t="shared" si="366"/>
        <v>0</v>
      </c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31"/>
      <c r="D1305" s="32"/>
      <c r="E1305" s="32"/>
      <c r="F1305" s="32"/>
      <c r="G1305" s="32">
        <f t="shared" si="361"/>
        <v>0</v>
      </c>
      <c r="H1305" s="10"/>
      <c r="I1305" s="10"/>
      <c r="J1305" s="10"/>
      <c r="K1305" s="12">
        <f t="shared" si="362"/>
        <v>0</v>
      </c>
      <c r="M1305" s="10">
        <v>29</v>
      </c>
      <c r="N1305" s="30"/>
      <c r="P1305" s="47"/>
      <c r="Q1305" s="31"/>
      <c r="R1305" s="31"/>
      <c r="S1305" s="32">
        <f t="shared" si="363"/>
        <v>0</v>
      </c>
      <c r="T1305" s="10"/>
      <c r="U1305" s="10"/>
      <c r="V1305" s="10"/>
      <c r="W1305" s="12">
        <f t="shared" si="364"/>
        <v>0</v>
      </c>
      <c r="Y1305" s="10">
        <v>29</v>
      </c>
      <c r="Z1305" s="30"/>
      <c r="AA1305" s="31"/>
      <c r="AB1305" s="47"/>
      <c r="AC1305" s="31"/>
      <c r="AD1305" s="31"/>
      <c r="AE1305" s="32">
        <f t="shared" si="365"/>
        <v>0</v>
      </c>
      <c r="AF1305" s="10"/>
      <c r="AG1305" s="10"/>
      <c r="AH1305" s="10"/>
      <c r="AI1305" s="12">
        <f t="shared" si="366"/>
        <v>0</v>
      </c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57"/>
      <c r="D1306" s="32"/>
      <c r="E1306" s="32"/>
      <c r="F1306" s="32"/>
      <c r="G1306" s="32">
        <f t="shared" si="361"/>
        <v>0</v>
      </c>
      <c r="H1306" s="10"/>
      <c r="I1306" s="10"/>
      <c r="J1306" s="10"/>
      <c r="K1306" s="12">
        <f t="shared" si="362"/>
        <v>0</v>
      </c>
      <c r="M1306" s="10">
        <v>30</v>
      </c>
      <c r="N1306" s="30"/>
      <c r="O1306" s="31"/>
      <c r="P1306" s="47"/>
      <c r="Q1306" s="31"/>
      <c r="R1306" s="31"/>
      <c r="S1306" s="32">
        <f t="shared" si="363"/>
        <v>0</v>
      </c>
      <c r="T1306" s="10"/>
      <c r="U1306" s="10"/>
      <c r="V1306" s="10"/>
      <c r="W1306" s="12">
        <f t="shared" si="364"/>
        <v>0</v>
      </c>
      <c r="Y1306" s="10">
        <v>30</v>
      </c>
      <c r="Z1306" s="30"/>
      <c r="AA1306" s="31"/>
      <c r="AB1306" s="47"/>
      <c r="AC1306" s="31"/>
      <c r="AD1306" s="31"/>
      <c r="AE1306" s="32">
        <f t="shared" si="365"/>
        <v>0</v>
      </c>
      <c r="AF1306" s="10"/>
      <c r="AG1306" s="10"/>
      <c r="AH1306" s="10"/>
      <c r="AI1306" s="12">
        <f t="shared" si="366"/>
        <v>0</v>
      </c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88"/>
      <c r="D1307" s="32"/>
      <c r="E1307" s="32"/>
      <c r="F1307" s="32"/>
      <c r="G1307" s="32">
        <f t="shared" si="361"/>
        <v>0</v>
      </c>
      <c r="H1307" s="10"/>
      <c r="I1307" s="10"/>
      <c r="J1307" s="10"/>
      <c r="K1307" s="12">
        <f t="shared" si="362"/>
        <v>0</v>
      </c>
      <c r="M1307" s="10">
        <v>31</v>
      </c>
      <c r="N1307" s="30"/>
      <c r="P1307" s="47"/>
      <c r="Q1307" s="31"/>
      <c r="R1307" s="31"/>
      <c r="S1307" s="32">
        <f t="shared" si="363"/>
        <v>0</v>
      </c>
      <c r="T1307" s="10"/>
      <c r="U1307" s="10"/>
      <c r="V1307" s="10"/>
      <c r="W1307" s="12">
        <f t="shared" si="364"/>
        <v>0</v>
      </c>
      <c r="Y1307" s="10">
        <v>31</v>
      </c>
      <c r="Z1307" s="30"/>
      <c r="AA1307" s="31"/>
      <c r="AB1307" s="47"/>
      <c r="AC1307" s="31"/>
      <c r="AD1307" s="31"/>
      <c r="AE1307" s="32">
        <f t="shared" si="365"/>
        <v>0</v>
      </c>
      <c r="AF1307" s="10"/>
      <c r="AG1307" s="10"/>
      <c r="AH1307" s="10"/>
      <c r="AI1307" s="12">
        <f t="shared" si="366"/>
        <v>0</v>
      </c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57"/>
      <c r="D1308" s="32"/>
      <c r="E1308" s="32"/>
      <c r="F1308" s="32"/>
      <c r="G1308" s="32">
        <f t="shared" si="361"/>
        <v>0</v>
      </c>
      <c r="H1308" s="10"/>
      <c r="I1308" s="10"/>
      <c r="J1308" s="10"/>
      <c r="K1308" s="12">
        <f t="shared" si="362"/>
        <v>0</v>
      </c>
      <c r="M1308" s="10">
        <v>32</v>
      </c>
      <c r="N1308" s="30"/>
      <c r="O1308" s="31"/>
      <c r="P1308" s="47"/>
      <c r="Q1308" s="31"/>
      <c r="R1308" s="31"/>
      <c r="S1308" s="32">
        <f t="shared" si="363"/>
        <v>0</v>
      </c>
      <c r="T1308" s="10"/>
      <c r="U1308" s="10"/>
      <c r="V1308" s="10"/>
      <c r="W1308" s="12">
        <f t="shared" si="364"/>
        <v>0</v>
      </c>
      <c r="Y1308" s="10">
        <v>32</v>
      </c>
      <c r="Z1308" s="30"/>
      <c r="AA1308" s="31"/>
      <c r="AB1308" s="47"/>
      <c r="AC1308" s="31"/>
      <c r="AD1308" s="31"/>
      <c r="AE1308" s="32">
        <f t="shared" si="365"/>
        <v>0</v>
      </c>
      <c r="AF1308" s="10"/>
      <c r="AG1308" s="10"/>
      <c r="AH1308" s="10"/>
      <c r="AI1308" s="12">
        <f t="shared" si="366"/>
        <v>0</v>
      </c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88"/>
      <c r="D1309" s="32"/>
      <c r="E1309" s="32"/>
      <c r="F1309" s="32"/>
      <c r="G1309" s="32">
        <f t="shared" si="361"/>
        <v>0</v>
      </c>
      <c r="H1309" s="10"/>
      <c r="I1309" s="10"/>
      <c r="J1309" s="10"/>
      <c r="K1309" s="12">
        <f t="shared" si="362"/>
        <v>0</v>
      </c>
      <c r="M1309" s="10">
        <v>33</v>
      </c>
      <c r="N1309" s="30"/>
      <c r="O1309" s="31"/>
      <c r="P1309" s="47"/>
      <c r="Q1309" s="31"/>
      <c r="R1309" s="31"/>
      <c r="S1309" s="32">
        <f t="shared" si="363"/>
        <v>0</v>
      </c>
      <c r="T1309" s="10"/>
      <c r="U1309" s="10"/>
      <c r="V1309" s="10"/>
      <c r="W1309" s="12">
        <f t="shared" si="364"/>
        <v>0</v>
      </c>
      <c r="Y1309" s="10">
        <v>33</v>
      </c>
      <c r="Z1309" s="30"/>
      <c r="AA1309" s="31"/>
      <c r="AB1309" s="47"/>
      <c r="AC1309" s="31"/>
      <c r="AD1309" s="31"/>
      <c r="AE1309" s="32">
        <f t="shared" si="365"/>
        <v>0</v>
      </c>
      <c r="AF1309" s="10"/>
      <c r="AG1309" s="10"/>
      <c r="AH1309" s="10"/>
      <c r="AI1309" s="12">
        <f t="shared" si="366"/>
        <v>0</v>
      </c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88"/>
      <c r="D1310" s="32"/>
      <c r="E1310" s="32"/>
      <c r="F1310" s="32"/>
      <c r="G1310" s="32">
        <f t="shared" si="361"/>
        <v>0</v>
      </c>
      <c r="H1310" s="10"/>
      <c r="I1310" s="10"/>
      <c r="J1310" s="10"/>
      <c r="K1310" s="12">
        <f t="shared" si="362"/>
        <v>0</v>
      </c>
      <c r="M1310" s="10">
        <v>34</v>
      </c>
      <c r="N1310" s="30"/>
      <c r="O1310" s="31"/>
      <c r="P1310" s="47"/>
      <c r="Q1310" s="31"/>
      <c r="R1310" s="31"/>
      <c r="S1310" s="32">
        <f t="shared" si="363"/>
        <v>0</v>
      </c>
      <c r="T1310" s="10"/>
      <c r="U1310" s="10"/>
      <c r="V1310" s="10"/>
      <c r="W1310" s="12">
        <f t="shared" si="364"/>
        <v>0</v>
      </c>
      <c r="Y1310" s="10">
        <v>34</v>
      </c>
      <c r="Z1310" s="30"/>
      <c r="AA1310" s="31"/>
      <c r="AB1310" s="47"/>
      <c r="AC1310" s="31"/>
      <c r="AD1310" s="31"/>
      <c r="AE1310" s="32">
        <f t="shared" ref="AE1310:AE1320" si="370">SUM(AB1310:AC1310)</f>
        <v>0</v>
      </c>
      <c r="AF1310" s="10"/>
      <c r="AG1310" s="10"/>
      <c r="AH1310" s="10"/>
      <c r="AI1310" s="12">
        <f t="shared" si="366"/>
        <v>0</v>
      </c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88"/>
      <c r="D1311" s="32"/>
      <c r="E1311" s="32"/>
      <c r="F1311" s="32"/>
      <c r="G1311" s="32"/>
      <c r="H1311" s="10"/>
      <c r="I1311" s="10"/>
      <c r="J1311" s="10"/>
      <c r="K1311" s="12"/>
      <c r="M1311" s="10">
        <v>35</v>
      </c>
      <c r="N1311" s="30"/>
      <c r="O1311" s="31"/>
      <c r="P1311" s="47"/>
      <c r="Q1311" s="31"/>
      <c r="R1311" s="31"/>
      <c r="S1311" s="32">
        <f t="shared" si="363"/>
        <v>0</v>
      </c>
      <c r="T1311" s="10"/>
      <c r="U1311" s="10"/>
      <c r="V1311" s="10"/>
      <c r="W1311" s="12">
        <f t="shared" si="364"/>
        <v>0</v>
      </c>
      <c r="Y1311" s="10">
        <v>35</v>
      </c>
      <c r="Z1311" s="30"/>
      <c r="AA1311" s="31"/>
      <c r="AB1311" s="47"/>
      <c r="AC1311" s="31"/>
      <c r="AD1311" s="31"/>
      <c r="AE1311" s="32">
        <f t="shared" si="370"/>
        <v>0</v>
      </c>
      <c r="AF1311" s="10"/>
      <c r="AG1311" s="10"/>
      <c r="AH1311" s="10"/>
      <c r="AI1311" s="12">
        <f t="shared" si="366"/>
        <v>0</v>
      </c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88"/>
      <c r="D1312" s="32"/>
      <c r="E1312" s="32"/>
      <c r="F1312" s="32"/>
      <c r="G1312" s="32"/>
      <c r="H1312" s="10"/>
      <c r="I1312" s="10"/>
      <c r="J1312" s="10"/>
      <c r="K1312" s="12"/>
      <c r="M1312" s="10">
        <v>36</v>
      </c>
      <c r="N1312" s="30"/>
      <c r="O1312" s="31"/>
      <c r="P1312" s="47"/>
      <c r="Q1312" s="31"/>
      <c r="R1312" s="31"/>
      <c r="S1312" s="32">
        <f t="shared" si="363"/>
        <v>0</v>
      </c>
      <c r="T1312" s="10"/>
      <c r="U1312" s="10"/>
      <c r="V1312" s="10"/>
      <c r="W1312" s="12">
        <f t="shared" si="364"/>
        <v>0</v>
      </c>
      <c r="Y1312" s="10">
        <v>36</v>
      </c>
      <c r="Z1312" s="30"/>
      <c r="AA1312" s="31"/>
      <c r="AB1312" s="47"/>
      <c r="AC1312" s="31"/>
      <c r="AD1312" s="31"/>
      <c r="AE1312" s="32">
        <f t="shared" si="370"/>
        <v>0</v>
      </c>
      <c r="AF1312" s="10"/>
      <c r="AG1312" s="10"/>
      <c r="AH1312" s="10"/>
      <c r="AI1312" s="12">
        <f t="shared" si="366"/>
        <v>0</v>
      </c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31"/>
      <c r="D1313" s="32"/>
      <c r="E1313" s="32"/>
      <c r="F1313" s="32"/>
      <c r="G1313" s="32"/>
      <c r="H1313" s="10"/>
      <c r="I1313" s="10"/>
      <c r="J1313" s="10"/>
      <c r="K1313" s="12"/>
      <c r="M1313" s="10">
        <v>37</v>
      </c>
      <c r="N1313" s="30"/>
      <c r="P1313" s="47"/>
      <c r="Q1313" s="31"/>
      <c r="R1313" s="31"/>
      <c r="S1313" s="32">
        <f t="shared" si="363"/>
        <v>0</v>
      </c>
      <c r="T1313" s="10"/>
      <c r="U1313" s="10"/>
      <c r="V1313" s="10"/>
      <c r="W1313" s="12">
        <f t="shared" si="364"/>
        <v>0</v>
      </c>
      <c r="Y1313" s="10">
        <v>37</v>
      </c>
      <c r="Z1313" s="30"/>
      <c r="AA1313" s="31"/>
      <c r="AB1313" s="47"/>
      <c r="AC1313" s="31"/>
      <c r="AD1313" s="31"/>
      <c r="AE1313" s="32">
        <f t="shared" si="370"/>
        <v>0</v>
      </c>
      <c r="AF1313" s="10"/>
      <c r="AG1313" s="10"/>
      <c r="AH1313" s="10"/>
      <c r="AI1313" s="12">
        <f t="shared" si="366"/>
        <v>0</v>
      </c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10">
        <v>38</v>
      </c>
      <c r="N1314" s="30"/>
      <c r="O1314" s="31"/>
      <c r="P1314" s="47"/>
      <c r="Q1314" s="31"/>
      <c r="R1314" s="31"/>
      <c r="S1314" s="32">
        <f t="shared" si="363"/>
        <v>0</v>
      </c>
      <c r="T1314" s="10"/>
      <c r="U1314" s="10"/>
      <c r="V1314" s="10"/>
      <c r="W1314" s="12">
        <f t="shared" si="364"/>
        <v>0</v>
      </c>
      <c r="Y1314" s="10">
        <v>38</v>
      </c>
      <c r="Z1314" s="30"/>
      <c r="AA1314" s="31"/>
      <c r="AB1314" s="47"/>
      <c r="AC1314" s="31"/>
      <c r="AD1314" s="31"/>
      <c r="AE1314" s="32">
        <f t="shared" si="370"/>
        <v>0</v>
      </c>
      <c r="AF1314" s="10"/>
      <c r="AG1314" s="10"/>
      <c r="AH1314" s="10"/>
      <c r="AI1314" s="12">
        <f t="shared" si="366"/>
        <v>0</v>
      </c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10">
        <v>39</v>
      </c>
      <c r="N1315" s="30"/>
      <c r="O1315" s="31"/>
      <c r="P1315" s="47"/>
      <c r="Q1315" s="31"/>
      <c r="R1315" s="31"/>
      <c r="S1315" s="32">
        <f t="shared" si="363"/>
        <v>0</v>
      </c>
      <c r="T1315" s="10"/>
      <c r="U1315" s="10"/>
      <c r="V1315" s="10"/>
      <c r="W1315" s="12">
        <f t="shared" si="364"/>
        <v>0</v>
      </c>
      <c r="Y1315" s="10">
        <v>39</v>
      </c>
      <c r="Z1315" s="30"/>
      <c r="AA1315" s="31"/>
      <c r="AB1315" s="47"/>
      <c r="AC1315" s="31"/>
      <c r="AD1315" s="31"/>
      <c r="AE1315" s="32">
        <f t="shared" si="370"/>
        <v>0</v>
      </c>
      <c r="AF1315" s="10"/>
      <c r="AG1315" s="10"/>
      <c r="AH1315" s="10"/>
      <c r="AI1315" s="12">
        <f t="shared" si="366"/>
        <v>0</v>
      </c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10"/>
      <c r="N1316" s="30"/>
      <c r="P1316" s="47"/>
      <c r="Q1316" s="31"/>
      <c r="R1316" s="31"/>
      <c r="S1316" s="32"/>
      <c r="T1316" s="10"/>
      <c r="U1316" s="10"/>
      <c r="V1316" s="10"/>
      <c r="W1316" s="12">
        <f t="shared" si="364"/>
        <v>0</v>
      </c>
      <c r="Y1316" s="10"/>
      <c r="Z1316" s="30"/>
      <c r="AB1316" s="47"/>
      <c r="AC1316" s="31"/>
      <c r="AD1316" s="31"/>
      <c r="AE1316" s="32"/>
      <c r="AF1316" s="10"/>
      <c r="AG1316" s="10"/>
      <c r="AH1316" s="10"/>
      <c r="AI1316" s="12">
        <f t="shared" si="366"/>
        <v>0</v>
      </c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371">SUM(D1317:E1317)</f>
        <v>0</v>
      </c>
      <c r="H1317" s="10"/>
      <c r="I1317" s="10"/>
      <c r="J1317" s="10"/>
      <c r="K1317" s="12">
        <f t="shared" ref="K1317" si="372">SUM(G1317:J1317)</f>
        <v>0</v>
      </c>
      <c r="M1317" s="10"/>
      <c r="N1317" s="30"/>
      <c r="O1317" s="31"/>
      <c r="P1317" s="47"/>
      <c r="Q1317" s="31"/>
      <c r="R1317" s="31"/>
      <c r="S1317" s="32">
        <f t="shared" ref="S1317" si="373">SUM(P1317:Q1317)</f>
        <v>0</v>
      </c>
      <c r="T1317" s="10"/>
      <c r="U1317" s="10"/>
      <c r="V1317" s="10"/>
      <c r="W1317" s="12">
        <f t="shared" si="364"/>
        <v>0</v>
      </c>
      <c r="Y1317" s="10"/>
      <c r="Z1317" s="30"/>
      <c r="AA1317" s="31"/>
      <c r="AB1317" s="47"/>
      <c r="AC1317" s="31"/>
      <c r="AD1317" s="31"/>
      <c r="AE1317" s="32">
        <f t="shared" ref="AE1317" si="374">SUM(AB1317:AC1317)</f>
        <v>0</v>
      </c>
      <c r="AF1317" s="10"/>
      <c r="AG1317" s="10"/>
      <c r="AH1317" s="10"/>
      <c r="AI1317" s="12">
        <f t="shared" si="366"/>
        <v>0</v>
      </c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M1318" s="10"/>
      <c r="N1318" s="31"/>
      <c r="O1318" s="31"/>
      <c r="P1318" s="31"/>
      <c r="Q1318" s="31"/>
      <c r="R1318" s="31"/>
      <c r="S1318" s="31"/>
      <c r="T1318" s="10"/>
      <c r="U1318" s="10"/>
      <c r="V1318" s="10"/>
      <c r="W1318" s="12">
        <f t="shared" si="364"/>
        <v>0</v>
      </c>
      <c r="Y1318" s="10"/>
      <c r="Z1318" s="31"/>
      <c r="AA1318" s="31"/>
      <c r="AB1318" s="31"/>
      <c r="AC1318" s="31"/>
      <c r="AD1318" s="31"/>
      <c r="AE1318" s="31"/>
      <c r="AF1318" s="10"/>
      <c r="AG1318" s="10"/>
      <c r="AH1318" s="10"/>
      <c r="AI1318" s="12">
        <f t="shared" si="366"/>
        <v>0</v>
      </c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N1319" s="57"/>
      <c r="O1319" s="57"/>
      <c r="P1319" s="36"/>
      <c r="Q1319" s="36"/>
      <c r="R1319" s="36"/>
      <c r="S1319" s="36"/>
      <c r="T1319" s="37"/>
      <c r="U1319" s="37"/>
      <c r="V1319" s="37"/>
      <c r="W1319" s="37"/>
      <c r="Z1319" s="57"/>
      <c r="AA1319" s="57"/>
      <c r="AB1319" s="36"/>
      <c r="AC1319" s="36"/>
      <c r="AD1319" s="36"/>
      <c r="AE1319" s="36"/>
      <c r="AF1319" s="37"/>
      <c r="AG1319" s="37"/>
      <c r="AH1319" s="37"/>
      <c r="AI1319" s="37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208152</v>
      </c>
      <c r="E1320" s="38">
        <f t="shared" ref="E1320:G1320" si="375">SUM(E1277:E1317)</f>
        <v>0</v>
      </c>
      <c r="F1320" s="38">
        <f t="shared" si="375"/>
        <v>0</v>
      </c>
      <c r="G1320" s="38">
        <f>SUM(G1277:G1319)</f>
        <v>208152</v>
      </c>
      <c r="H1320" s="4"/>
      <c r="I1320" s="39">
        <f>SUM(I1277:I1319)</f>
        <v>474</v>
      </c>
      <c r="J1320" s="39">
        <f>SUM(J1277:J1319)</f>
        <v>-222</v>
      </c>
      <c r="K1320" s="40">
        <f>SUM(K1277:K1319)</f>
        <v>208404</v>
      </c>
      <c r="N1320" s="57"/>
      <c r="O1320" s="57"/>
      <c r="P1320" s="38">
        <f>SUM(P1277:P1319)</f>
        <v>138273.5</v>
      </c>
      <c r="Q1320" s="38">
        <f>SUM(Q1277:Q1301)</f>
        <v>-1200</v>
      </c>
      <c r="R1320" s="38">
        <f>SUM(R1277:R1301)</f>
        <v>0</v>
      </c>
      <c r="S1320" s="38">
        <f>SUM(S1277:S1319)</f>
        <v>137073.5</v>
      </c>
      <c r="T1320" s="4"/>
      <c r="U1320" s="41">
        <f>SUM(U1277:U1319)</f>
        <v>0</v>
      </c>
      <c r="V1320" s="41">
        <f>SUM(V1277:V1301)</f>
        <v>-12321</v>
      </c>
      <c r="W1320" s="42">
        <f>SUM(W1277:W1319)</f>
        <v>124752.5</v>
      </c>
      <c r="Z1320" s="57"/>
      <c r="AA1320" s="57"/>
      <c r="AB1320" s="38">
        <f>SUM(AB1277:AB1319)</f>
        <v>181134</v>
      </c>
      <c r="AC1320" s="38">
        <f>SUM(AC1277:AC1301)</f>
        <v>-1260</v>
      </c>
      <c r="AD1320" s="38">
        <f>SUM(AD1277:AD1301)</f>
        <v>0</v>
      </c>
      <c r="AE1320" s="38">
        <f>SUM(AE1277:AE1319)</f>
        <v>179874</v>
      </c>
      <c r="AF1320" s="4"/>
      <c r="AG1320" s="41">
        <f>SUM(AG1277:AG1319)</f>
        <v>769.5</v>
      </c>
      <c r="AH1320" s="41">
        <f>SUM(AH1277:AH1301)</f>
        <v>-1110</v>
      </c>
      <c r="AI1320" s="42">
        <f>SUM(AI1277:AI1319)</f>
        <v>179533.5</v>
      </c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D1275:E1275"/>
    <mergeCell ref="W1275:W1276"/>
    <mergeCell ref="U1275:V1275"/>
    <mergeCell ref="P1275:Q1275"/>
    <mergeCell ref="AI1275:AI1276"/>
    <mergeCell ref="AG1275:AH1275"/>
    <mergeCell ref="AB1275:AC1275"/>
    <mergeCell ref="AI1000:AI1001"/>
    <mergeCell ref="AG1000:AH1000"/>
    <mergeCell ref="AB1000:AC1000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AI1220:AI1221"/>
    <mergeCell ref="AG1220:AH1220"/>
    <mergeCell ref="AB1220:AC1220"/>
    <mergeCell ref="W65:W66"/>
    <mergeCell ref="U65:V65"/>
    <mergeCell ref="I65:J65"/>
    <mergeCell ref="U120:V120"/>
    <mergeCell ref="U340:V340"/>
    <mergeCell ref="U945:V945"/>
    <mergeCell ref="D1110:E1110"/>
    <mergeCell ref="W1110:W1111"/>
    <mergeCell ref="U1110:V1110"/>
    <mergeCell ref="P1110:Q1110"/>
    <mergeCell ref="K1220:K1221"/>
    <mergeCell ref="I1220:J1220"/>
    <mergeCell ref="D1220:E1220"/>
    <mergeCell ref="W1220:W1221"/>
    <mergeCell ref="U1220:V1220"/>
    <mergeCell ref="P1220:Q1220"/>
    <mergeCell ref="K1275:K1276"/>
    <mergeCell ref="I1275:J1275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2026-01-30T00:57:43Z</dcterms:modified>
</cp:coreProperties>
</file>