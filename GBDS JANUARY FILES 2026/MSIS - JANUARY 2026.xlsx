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5D02827-A17A-4515-9A8A-A21A457E6E49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ANUARY" sheetId="1" r:id="rId1"/>
    <sheet name="DSIS | JAN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86" i="2" l="1"/>
  <c r="AE786" i="2" s="1"/>
  <c r="AH786" i="2"/>
  <c r="AB785" i="2"/>
  <c r="AH784" i="2"/>
  <c r="AH825" i="2" s="1"/>
  <c r="AB784" i="2"/>
  <c r="AB783" i="2"/>
  <c r="AB782" i="2"/>
  <c r="AE782" i="2" s="1"/>
  <c r="AI782" i="2" s="1"/>
  <c r="AA783" i="2"/>
  <c r="AA784" i="2" s="1"/>
  <c r="AA785" i="2" s="1"/>
  <c r="AA786" i="2" s="1"/>
  <c r="AE783" i="2"/>
  <c r="AE784" i="2"/>
  <c r="AE785" i="2"/>
  <c r="AI785" i="2" s="1"/>
  <c r="AE787" i="2"/>
  <c r="AI787" i="2"/>
  <c r="AE788" i="2"/>
  <c r="AI788" i="2" s="1"/>
  <c r="AE789" i="2"/>
  <c r="AI789" i="2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/>
  <c r="AE796" i="2"/>
  <c r="AI796" i="2" s="1"/>
  <c r="AE797" i="2"/>
  <c r="AI797" i="2"/>
  <c r="AE798" i="2"/>
  <c r="AI798" i="2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/>
  <c r="AI821" i="2"/>
  <c r="AE822" i="2"/>
  <c r="AI822" i="2"/>
  <c r="AI823" i="2"/>
  <c r="AC825" i="2"/>
  <c r="AD825" i="2"/>
  <c r="AG825" i="2"/>
  <c r="P787" i="2"/>
  <c r="S787" i="2" s="1"/>
  <c r="W787" i="2" s="1"/>
  <c r="P786" i="2"/>
  <c r="S786" i="2" s="1"/>
  <c r="W786" i="2" s="1"/>
  <c r="P785" i="2"/>
  <c r="U784" i="2"/>
  <c r="P784" i="2"/>
  <c r="S784" i="2" s="1"/>
  <c r="W784" i="2" s="1"/>
  <c r="P783" i="2"/>
  <c r="P782" i="2"/>
  <c r="S782" i="2"/>
  <c r="O783" i="2"/>
  <c r="O784" i="2" s="1"/>
  <c r="O785" i="2" s="1"/>
  <c r="O786" i="2" s="1"/>
  <c r="O787" i="2" s="1"/>
  <c r="S783" i="2"/>
  <c r="W783" i="2" s="1"/>
  <c r="S785" i="2"/>
  <c r="W785" i="2" s="1"/>
  <c r="S788" i="2"/>
  <c r="W788" i="2" s="1"/>
  <c r="S789" i="2"/>
  <c r="W789" i="2"/>
  <c r="S790" i="2"/>
  <c r="W790" i="2" s="1"/>
  <c r="S791" i="2"/>
  <c r="W791" i="2"/>
  <c r="S792" i="2"/>
  <c r="W792" i="2"/>
  <c r="S793" i="2"/>
  <c r="W793" i="2"/>
  <c r="S794" i="2"/>
  <c r="W794" i="2" s="1"/>
  <c r="S795" i="2"/>
  <c r="W795" i="2"/>
  <c r="S796" i="2"/>
  <c r="W796" i="2"/>
  <c r="S797" i="2"/>
  <c r="W797" i="2"/>
  <c r="S798" i="2"/>
  <c r="W798" i="2" s="1"/>
  <c r="S799" i="2"/>
  <c r="W799" i="2"/>
  <c r="S800" i="2"/>
  <c r="W800" i="2"/>
  <c r="S801" i="2"/>
  <c r="W801" i="2"/>
  <c r="S802" i="2"/>
  <c r="W802" i="2" s="1"/>
  <c r="S803" i="2"/>
  <c r="W803" i="2"/>
  <c r="S804" i="2"/>
  <c r="W804" i="2"/>
  <c r="S805" i="2"/>
  <c r="W805" i="2"/>
  <c r="S806" i="2"/>
  <c r="W806" i="2" s="1"/>
  <c r="S807" i="2"/>
  <c r="W807" i="2"/>
  <c r="S808" i="2"/>
  <c r="W808" i="2"/>
  <c r="S809" i="2"/>
  <c r="W809" i="2"/>
  <c r="S810" i="2"/>
  <c r="W810" i="2" s="1"/>
  <c r="S811" i="2"/>
  <c r="W811" i="2"/>
  <c r="S812" i="2"/>
  <c r="W812" i="2"/>
  <c r="S813" i="2"/>
  <c r="W813" i="2"/>
  <c r="S814" i="2"/>
  <c r="W814" i="2" s="1"/>
  <c r="S815" i="2"/>
  <c r="W815" i="2"/>
  <c r="S816" i="2"/>
  <c r="W816" i="2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Q825" i="2"/>
  <c r="R825" i="2"/>
  <c r="U825" i="2"/>
  <c r="V825" i="2"/>
  <c r="D792" i="2"/>
  <c r="G792" i="2" s="1"/>
  <c r="K792" i="2" s="1"/>
  <c r="I791" i="2"/>
  <c r="D791" i="2"/>
  <c r="G791" i="2" s="1"/>
  <c r="K791" i="2" s="1"/>
  <c r="D790" i="2"/>
  <c r="D789" i="2"/>
  <c r="D788" i="2"/>
  <c r="D787" i="2"/>
  <c r="G787" i="2" s="1"/>
  <c r="K787" i="2" s="1"/>
  <c r="I786" i="2"/>
  <c r="I825" i="2" s="1"/>
  <c r="D786" i="2"/>
  <c r="G786" i="2" s="1"/>
  <c r="D785" i="2"/>
  <c r="D784" i="2"/>
  <c r="G784" i="2" s="1"/>
  <c r="K784" i="2" s="1"/>
  <c r="J783" i="2"/>
  <c r="J825" i="2"/>
  <c r="I783" i="2"/>
  <c r="D783" i="2"/>
  <c r="G783" i="2" s="1"/>
  <c r="D782" i="2"/>
  <c r="G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G785" i="2"/>
  <c r="K785" i="2" s="1"/>
  <c r="G788" i="2"/>
  <c r="K788" i="2" s="1"/>
  <c r="G789" i="2"/>
  <c r="K789" i="2" s="1"/>
  <c r="G790" i="2"/>
  <c r="K790" i="2" s="1"/>
  <c r="G793" i="2"/>
  <c r="K793" i="2" s="1"/>
  <c r="G794" i="2"/>
  <c r="K794" i="2" s="1"/>
  <c r="G795" i="2"/>
  <c r="K795" i="2"/>
  <c r="G796" i="2"/>
  <c r="K796" i="2" s="1"/>
  <c r="G797" i="2"/>
  <c r="K797" i="2"/>
  <c r="G798" i="2"/>
  <c r="K798" i="2" s="1"/>
  <c r="G799" i="2"/>
  <c r="K799" i="2"/>
  <c r="G800" i="2"/>
  <c r="K800" i="2" s="1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/>
  <c r="G814" i="2"/>
  <c r="K814" i="2"/>
  <c r="G815" i="2"/>
  <c r="K815" i="2"/>
  <c r="G822" i="2"/>
  <c r="K822" i="2"/>
  <c r="E825" i="2"/>
  <c r="F825" i="2"/>
  <c r="AI786" i="2" l="1"/>
  <c r="AI784" i="2"/>
  <c r="AE825" i="2"/>
  <c r="AI783" i="2"/>
  <c r="AB825" i="2"/>
  <c r="W782" i="2"/>
  <c r="W825" i="2" s="1"/>
  <c r="S825" i="2"/>
  <c r="P825" i="2"/>
  <c r="K786" i="2"/>
  <c r="K783" i="2"/>
  <c r="K782" i="2"/>
  <c r="G825" i="2"/>
  <c r="D825" i="2"/>
  <c r="AB731" i="2"/>
  <c r="AE731" i="2" s="1"/>
  <c r="AB730" i="2"/>
  <c r="AE730" i="2" s="1"/>
  <c r="AI730" i="2" s="1"/>
  <c r="AB729" i="2"/>
  <c r="AE729" i="2" s="1"/>
  <c r="AI729" i="2" s="1"/>
  <c r="AH728" i="2"/>
  <c r="AH770" i="2" s="1"/>
  <c r="AB728" i="2"/>
  <c r="AC728" i="2"/>
  <c r="AE728" i="2"/>
  <c r="AC727" i="2"/>
  <c r="AB727" i="2"/>
  <c r="AA731" i="2"/>
  <c r="AE727" i="2"/>
  <c r="AI727" i="2" s="1"/>
  <c r="AA728" i="2"/>
  <c r="AA729" i="2"/>
  <c r="AA730" i="2" s="1"/>
  <c r="AE732" i="2"/>
  <c r="AI732" i="2" s="1"/>
  <c r="AE733" i="2"/>
  <c r="AI733" i="2"/>
  <c r="AE734" i="2"/>
  <c r="AI734" i="2"/>
  <c r="AE735" i="2"/>
  <c r="AI735" i="2"/>
  <c r="AE736" i="2"/>
  <c r="AI736" i="2" s="1"/>
  <c r="AE737" i="2"/>
  <c r="AI737" i="2" s="1"/>
  <c r="AE738" i="2"/>
  <c r="AI738" i="2"/>
  <c r="AE739" i="2"/>
  <c r="AI739" i="2" s="1"/>
  <c r="AE740" i="2"/>
  <c r="AI740" i="2" s="1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/>
  <c r="AE747" i="2"/>
  <c r="AI747" i="2" s="1"/>
  <c r="AE748" i="2"/>
  <c r="AI748" i="2" s="1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/>
  <c r="AE755" i="2"/>
  <c r="AI755" i="2" s="1"/>
  <c r="AE756" i="2"/>
  <c r="AI756" i="2" s="1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/>
  <c r="AE763" i="2"/>
  <c r="AI763" i="2" s="1"/>
  <c r="AE764" i="2"/>
  <c r="AI764" i="2" s="1"/>
  <c r="AE765" i="2"/>
  <c r="AI765" i="2"/>
  <c r="AI766" i="2"/>
  <c r="AE767" i="2"/>
  <c r="AI767" i="2" s="1"/>
  <c r="AI768" i="2"/>
  <c r="AC770" i="2"/>
  <c r="AD770" i="2"/>
  <c r="AG770" i="2"/>
  <c r="P738" i="2"/>
  <c r="S738" i="2"/>
  <c r="W738" i="2" s="1"/>
  <c r="P737" i="2"/>
  <c r="P736" i="2"/>
  <c r="S736" i="2" s="1"/>
  <c r="W736" i="2" s="1"/>
  <c r="P735" i="2"/>
  <c r="S735" i="2" s="1"/>
  <c r="W735" i="2" s="1"/>
  <c r="P734" i="2"/>
  <c r="S734" i="2" s="1"/>
  <c r="W734" i="2" s="1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S729" i="2" s="1"/>
  <c r="W729" i="2" s="1"/>
  <c r="P728" i="2"/>
  <c r="P727" i="2"/>
  <c r="S727" i="2"/>
  <c r="W727" i="2" s="1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U770" i="2"/>
  <c r="S737" i="2"/>
  <c r="W737" i="2" s="1"/>
  <c r="S739" i="2"/>
  <c r="W739" i="2" s="1"/>
  <c r="S740" i="2"/>
  <c r="W740" i="2"/>
  <c r="S741" i="2"/>
  <c r="W741" i="2"/>
  <c r="S742" i="2"/>
  <c r="W742" i="2" s="1"/>
  <c r="S743" i="2"/>
  <c r="W743" i="2" s="1"/>
  <c r="S744" i="2"/>
  <c r="W744" i="2" s="1"/>
  <c r="S745" i="2"/>
  <c r="W745" i="2"/>
  <c r="S746" i="2"/>
  <c r="W746" i="2"/>
  <c r="S747" i="2"/>
  <c r="W747" i="2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 s="1"/>
  <c r="S758" i="2"/>
  <c r="W758" i="2" s="1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V770" i="2"/>
  <c r="D748" i="2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D740" i="2"/>
  <c r="D739" i="2"/>
  <c r="D738" i="2"/>
  <c r="G738" i="2" s="1"/>
  <c r="K738" i="2" s="1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 s="1"/>
  <c r="K732" i="2" s="1"/>
  <c r="D731" i="2"/>
  <c r="D730" i="2"/>
  <c r="D729" i="2"/>
  <c r="D728" i="2"/>
  <c r="G728" i="2" s="1"/>
  <c r="K728" i="2" s="1"/>
  <c r="D727" i="2"/>
  <c r="G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I770" i="2"/>
  <c r="G729" i="2"/>
  <c r="K729" i="2" s="1"/>
  <c r="G730" i="2"/>
  <c r="K730" i="2" s="1"/>
  <c r="G731" i="2"/>
  <c r="K731" i="2" s="1"/>
  <c r="G736" i="2"/>
  <c r="K736" i="2" s="1"/>
  <c r="G739" i="2"/>
  <c r="K739" i="2"/>
  <c r="G740" i="2"/>
  <c r="K740" i="2" s="1"/>
  <c r="G741" i="2"/>
  <c r="K741" i="2"/>
  <c r="G745" i="2"/>
  <c r="K745" i="2" s="1"/>
  <c r="G746" i="2"/>
  <c r="K746" i="2" s="1"/>
  <c r="G748" i="2"/>
  <c r="K748" i="2"/>
  <c r="G749" i="2"/>
  <c r="K749" i="2"/>
  <c r="G750" i="2"/>
  <c r="K750" i="2" s="1"/>
  <c r="G751" i="2"/>
  <c r="K751" i="2" s="1"/>
  <c r="G752" i="2"/>
  <c r="K752" i="2"/>
  <c r="G753" i="2"/>
  <c r="K753" i="2" s="1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 s="1"/>
  <c r="E770" i="2"/>
  <c r="F770" i="2"/>
  <c r="J770" i="2"/>
  <c r="AI825" i="2" l="1"/>
  <c r="K825" i="2"/>
  <c r="AB770" i="2"/>
  <c r="AI731" i="2"/>
  <c r="AI728" i="2"/>
  <c r="AE770" i="2"/>
  <c r="P770" i="2"/>
  <c r="W728" i="2"/>
  <c r="W770" i="2" s="1"/>
  <c r="S770" i="2"/>
  <c r="K727" i="2"/>
  <c r="K770" i="2" s="1"/>
  <c r="G770" i="2"/>
  <c r="D770" i="2"/>
  <c r="AB676" i="2"/>
  <c r="AE676" i="2" s="1"/>
  <c r="AI676" i="2" s="1"/>
  <c r="AB675" i="2"/>
  <c r="AB674" i="2"/>
  <c r="AH673" i="2"/>
  <c r="AG673" i="2"/>
  <c r="AB673" i="2"/>
  <c r="AH672" i="2"/>
  <c r="AH715" i="2" s="1"/>
  <c r="AG672" i="2"/>
  <c r="AG715" i="2" s="1"/>
  <c r="AB672" i="2"/>
  <c r="AE672" i="2" s="1"/>
  <c r="AA675" i="2"/>
  <c r="AA673" i="2"/>
  <c r="AA674" i="2" s="1"/>
  <c r="AC715" i="2"/>
  <c r="AE673" i="2"/>
  <c r="AI673" i="2" s="1"/>
  <c r="AE674" i="2"/>
  <c r="AI674" i="2" s="1"/>
  <c r="AE675" i="2"/>
  <c r="AI675" i="2" s="1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 s="1"/>
  <c r="AE690" i="2"/>
  <c r="AI690" i="2" s="1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 s="1"/>
  <c r="AE698" i="2"/>
  <c r="AI698" i="2" s="1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 s="1"/>
  <c r="AE706" i="2"/>
  <c r="AI706" i="2" s="1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90" i="2"/>
  <c r="P689" i="2"/>
  <c r="S689" i="2" s="1"/>
  <c r="W689" i="2" s="1"/>
  <c r="P688" i="2"/>
  <c r="S688" i="2" s="1"/>
  <c r="W688" i="2" s="1"/>
  <c r="P687" i="2"/>
  <c r="S687" i="2" s="1"/>
  <c r="W687" i="2" s="1"/>
  <c r="P686" i="2"/>
  <c r="P685" i="2"/>
  <c r="P684" i="2"/>
  <c r="P683" i="2"/>
  <c r="P682" i="2"/>
  <c r="S682" i="2" s="1"/>
  <c r="W682" i="2" s="1"/>
  <c r="P681" i="2"/>
  <c r="S681" i="2" s="1"/>
  <c r="W681" i="2" s="1"/>
  <c r="U680" i="2"/>
  <c r="P680" i="2"/>
  <c r="S680" i="2" s="1"/>
  <c r="W680" i="2" s="1"/>
  <c r="P679" i="2"/>
  <c r="S679" i="2" s="1"/>
  <c r="W679" i="2" s="1"/>
  <c r="P678" i="2"/>
  <c r="P677" i="2"/>
  <c r="S677" i="2" s="1"/>
  <c r="W677" i="2" s="1"/>
  <c r="P676" i="2"/>
  <c r="S676" i="2" s="1"/>
  <c r="W676" i="2" s="1"/>
  <c r="P675" i="2"/>
  <c r="U674" i="2"/>
  <c r="U715" i="2" s="1"/>
  <c r="P674" i="2"/>
  <c r="P673" i="2"/>
  <c r="P672" i="2"/>
  <c r="O673" i="2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O685" i="2" s="1"/>
  <c r="O686" i="2" s="1"/>
  <c r="O687" i="2" s="1"/>
  <c r="O688" i="2" s="1"/>
  <c r="O689" i="2" s="1"/>
  <c r="O690" i="2" s="1"/>
  <c r="S673" i="2"/>
  <c r="W673" i="2"/>
  <c r="S674" i="2"/>
  <c r="S675" i="2"/>
  <c r="W675" i="2" s="1"/>
  <c r="S678" i="2"/>
  <c r="W678" i="2" s="1"/>
  <c r="S683" i="2"/>
  <c r="W683" i="2" s="1"/>
  <c r="S684" i="2"/>
  <c r="W684" i="2" s="1"/>
  <c r="S685" i="2"/>
  <c r="W685" i="2" s="1"/>
  <c r="S686" i="2"/>
  <c r="W686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 s="1"/>
  <c r="S697" i="2"/>
  <c r="W697" i="2" s="1"/>
  <c r="S698" i="2"/>
  <c r="W698" i="2"/>
  <c r="S699" i="2"/>
  <c r="W699" i="2"/>
  <c r="S700" i="2"/>
  <c r="W700" i="2"/>
  <c r="S701" i="2"/>
  <c r="W701" i="2"/>
  <c r="S702" i="2"/>
  <c r="W702" i="2"/>
  <c r="S703" i="2"/>
  <c r="W703" i="2" s="1"/>
  <c r="S704" i="2"/>
  <c r="W704" i="2"/>
  <c r="S705" i="2"/>
  <c r="W705" i="2" s="1"/>
  <c r="S706" i="2"/>
  <c r="W706" i="2"/>
  <c r="S707" i="2"/>
  <c r="W707" i="2"/>
  <c r="S708" i="2"/>
  <c r="W708" i="2"/>
  <c r="S709" i="2"/>
  <c r="W709" i="2"/>
  <c r="S710" i="2"/>
  <c r="W710" i="2"/>
  <c r="W711" i="2"/>
  <c r="S712" i="2"/>
  <c r="W712" i="2"/>
  <c r="W713" i="2"/>
  <c r="Q715" i="2"/>
  <c r="R715" i="2"/>
  <c r="V715" i="2"/>
  <c r="D688" i="2"/>
  <c r="D687" i="2"/>
  <c r="D686" i="2"/>
  <c r="D685" i="2"/>
  <c r="D684" i="2"/>
  <c r="D683" i="2"/>
  <c r="D682" i="2"/>
  <c r="D681" i="2"/>
  <c r="D680" i="2"/>
  <c r="G680" i="2" s="1"/>
  <c r="K680" i="2" s="1"/>
  <c r="D679" i="2"/>
  <c r="D678" i="2"/>
  <c r="D677" i="2"/>
  <c r="D676" i="2"/>
  <c r="D675" i="2"/>
  <c r="D674" i="2"/>
  <c r="I673" i="2"/>
  <c r="D673" i="2"/>
  <c r="D672" i="2"/>
  <c r="G672" i="2" s="1"/>
  <c r="K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G673" i="2"/>
  <c r="K673" i="2" s="1"/>
  <c r="G675" i="2"/>
  <c r="K675" i="2" s="1"/>
  <c r="G676" i="2"/>
  <c r="K676" i="2" s="1"/>
  <c r="G677" i="2"/>
  <c r="K677" i="2"/>
  <c r="G678" i="2"/>
  <c r="K678" i="2" s="1"/>
  <c r="G679" i="2"/>
  <c r="K679" i="2"/>
  <c r="G681" i="2"/>
  <c r="K681" i="2" s="1"/>
  <c r="G682" i="2"/>
  <c r="K682" i="2" s="1"/>
  <c r="G683" i="2"/>
  <c r="K683" i="2" s="1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 s="1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 s="1"/>
  <c r="G703" i="2"/>
  <c r="K703" i="2"/>
  <c r="G704" i="2"/>
  <c r="K704" i="2"/>
  <c r="G705" i="2"/>
  <c r="K705" i="2" s="1"/>
  <c r="G712" i="2"/>
  <c r="K712" i="2"/>
  <c r="E715" i="2"/>
  <c r="F715" i="2"/>
  <c r="I715" i="2"/>
  <c r="J715" i="2"/>
  <c r="AI770" i="2" l="1"/>
  <c r="AI672" i="2"/>
  <c r="AI715" i="2" s="1"/>
  <c r="AB715" i="2"/>
  <c r="AE715" i="2"/>
  <c r="P715" i="2"/>
  <c r="W674" i="2"/>
  <c r="W715" i="2" s="1"/>
  <c r="S672" i="2"/>
  <c r="W672" i="2" s="1"/>
  <c r="D715" i="2"/>
  <c r="G674" i="2"/>
  <c r="AB619" i="2"/>
  <c r="AC618" i="2"/>
  <c r="AE618" i="2" s="1"/>
  <c r="AI618" i="2" s="1"/>
  <c r="AB618" i="2"/>
  <c r="AC617" i="2"/>
  <c r="AB617" i="2"/>
  <c r="AE617" i="2" s="1"/>
  <c r="AI617" i="2" s="1"/>
  <c r="AA618" i="2"/>
  <c r="AA619" i="2" s="1"/>
  <c r="AE620" i="2"/>
  <c r="AI620" i="2"/>
  <c r="AE621" i="2"/>
  <c r="AI621" i="2"/>
  <c r="AE622" i="2"/>
  <c r="AI622" i="2"/>
  <c r="AE623" i="2"/>
  <c r="AI623" i="2"/>
  <c r="AE624" i="2"/>
  <c r="AI624" i="2"/>
  <c r="AE625" i="2"/>
  <c r="AI625" i="2"/>
  <c r="AE626" i="2"/>
  <c r="AI626" i="2" s="1"/>
  <c r="AE627" i="2"/>
  <c r="AI627" i="2"/>
  <c r="AE628" i="2"/>
  <c r="AI628" i="2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/>
  <c r="AE653" i="2"/>
  <c r="AI653" i="2"/>
  <c r="AE654" i="2"/>
  <c r="AI654" i="2"/>
  <c r="AE655" i="2"/>
  <c r="AI655" i="2"/>
  <c r="AI656" i="2"/>
  <c r="AE657" i="2"/>
  <c r="AI657" i="2"/>
  <c r="AI658" i="2"/>
  <c r="AD660" i="2"/>
  <c r="AG660" i="2"/>
  <c r="AH660" i="2"/>
  <c r="P636" i="2"/>
  <c r="S636" i="2" s="1"/>
  <c r="W636" i="2" s="1"/>
  <c r="U635" i="2"/>
  <c r="P635" i="2"/>
  <c r="P634" i="2"/>
  <c r="S634" i="2"/>
  <c r="W634" i="2" s="1"/>
  <c r="P633" i="2"/>
  <c r="P632" i="2"/>
  <c r="S632" i="2" s="1"/>
  <c r="W632" i="2" s="1"/>
  <c r="P631" i="2"/>
  <c r="S631" i="2" s="1"/>
  <c r="W631" i="2" s="1"/>
  <c r="P630" i="2"/>
  <c r="P629" i="2"/>
  <c r="P628" i="2"/>
  <c r="S628" i="2" s="1"/>
  <c r="W628" i="2" s="1"/>
  <c r="P627" i="2"/>
  <c r="S627" i="2" s="1"/>
  <c r="W627" i="2" s="1"/>
  <c r="P626" i="2"/>
  <c r="S626" i="2" s="1"/>
  <c r="W626" i="2" s="1"/>
  <c r="P625" i="2"/>
  <c r="S625" i="2" s="1"/>
  <c r="W625" i="2" s="1"/>
  <c r="P624" i="2"/>
  <c r="S624" i="2" s="1"/>
  <c r="W624" i="2" s="1"/>
  <c r="P623" i="2"/>
  <c r="S623" i="2" s="1"/>
  <c r="W623" i="2" s="1"/>
  <c r="P622" i="2"/>
  <c r="S622" i="2" s="1"/>
  <c r="W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S621" i="2"/>
  <c r="W621" i="2" s="1"/>
  <c r="S629" i="2"/>
  <c r="W629" i="2"/>
  <c r="S630" i="2"/>
  <c r="W630" i="2"/>
  <c r="S633" i="2"/>
  <c r="W633" i="2"/>
  <c r="S635" i="2"/>
  <c r="W635" i="2"/>
  <c r="S637" i="2"/>
  <c r="W637" i="2"/>
  <c r="S638" i="2"/>
  <c r="W638" i="2"/>
  <c r="S639" i="2"/>
  <c r="W639" i="2"/>
  <c r="S640" i="2"/>
  <c r="W640" i="2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/>
  <c r="W656" i="2"/>
  <c r="S657" i="2"/>
  <c r="W657" i="2"/>
  <c r="W658" i="2"/>
  <c r="Q660" i="2"/>
  <c r="R660" i="2"/>
  <c r="U660" i="2"/>
  <c r="V660" i="2"/>
  <c r="D619" i="2"/>
  <c r="D618" i="2"/>
  <c r="G618" i="2" s="1"/>
  <c r="K618" i="2" s="1"/>
  <c r="J617" i="2"/>
  <c r="D617" i="2"/>
  <c r="G617" i="2" s="1"/>
  <c r="I660" i="2"/>
  <c r="F660" i="2"/>
  <c r="E660" i="2"/>
  <c r="K657" i="2"/>
  <c r="G657" i="2"/>
  <c r="K650" i="2"/>
  <c r="G650" i="2"/>
  <c r="K649" i="2"/>
  <c r="G649" i="2"/>
  <c r="G648" i="2"/>
  <c r="K648" i="2" s="1"/>
  <c r="G647" i="2"/>
  <c r="K647" i="2" s="1"/>
  <c r="K646" i="2"/>
  <c r="G646" i="2"/>
  <c r="K645" i="2"/>
  <c r="G645" i="2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K637" i="2"/>
  <c r="G637" i="2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K630" i="2"/>
  <c r="G630" i="2"/>
  <c r="K629" i="2"/>
  <c r="G629" i="2"/>
  <c r="G628" i="2"/>
  <c r="K628" i="2" s="1"/>
  <c r="G627" i="2"/>
  <c r="K627" i="2" s="1"/>
  <c r="J660" i="2"/>
  <c r="G626" i="2"/>
  <c r="K626" i="2" s="1"/>
  <c r="G625" i="2"/>
  <c r="K625" i="2" s="1"/>
  <c r="G624" i="2"/>
  <c r="K624" i="2" s="1"/>
  <c r="G623" i="2"/>
  <c r="K623" i="2" s="1"/>
  <c r="G622" i="2"/>
  <c r="K622" i="2" s="1"/>
  <c r="G621" i="2"/>
  <c r="K621" i="2" s="1"/>
  <c r="G620" i="2"/>
  <c r="K620" i="2" s="1"/>
  <c r="G619" i="2"/>
  <c r="K619" i="2" s="1"/>
  <c r="C618" i="2"/>
  <c r="C619" i="2" s="1"/>
  <c r="S715" i="2" l="1"/>
  <c r="G715" i="2"/>
  <c r="K674" i="2"/>
  <c r="K715" i="2" s="1"/>
  <c r="AC660" i="2"/>
  <c r="AB660" i="2"/>
  <c r="AE619" i="2"/>
  <c r="AI619" i="2" s="1"/>
  <c r="AI660" i="2" s="1"/>
  <c r="W617" i="2"/>
  <c r="W660" i="2" s="1"/>
  <c r="S660" i="2"/>
  <c r="P660" i="2"/>
  <c r="K617" i="2"/>
  <c r="K660" i="2" s="1"/>
  <c r="G660" i="2"/>
  <c r="D660" i="2"/>
  <c r="AB565" i="2"/>
  <c r="AB605" i="2" s="1"/>
  <c r="AB564" i="2"/>
  <c r="AB563" i="2"/>
  <c r="AC562" i="2"/>
  <c r="AE562" i="2"/>
  <c r="AI562" i="2" s="1"/>
  <c r="AB562" i="2"/>
  <c r="AA563" i="2"/>
  <c r="AE563" i="2"/>
  <c r="AI563" i="2" s="1"/>
  <c r="AA564" i="2"/>
  <c r="AA565" i="2" s="1"/>
  <c r="AE564" i="2"/>
  <c r="AE566" i="2"/>
  <c r="AI566" i="2" s="1"/>
  <c r="AE567" i="2"/>
  <c r="AI567" i="2" s="1"/>
  <c r="AE568" i="2"/>
  <c r="AI568" i="2" s="1"/>
  <c r="AE569" i="2"/>
  <c r="AI569" i="2"/>
  <c r="AE570" i="2"/>
  <c r="AI570" i="2"/>
  <c r="AE571" i="2"/>
  <c r="AI571" i="2" s="1"/>
  <c r="AE572" i="2"/>
  <c r="AI572" i="2"/>
  <c r="AE573" i="2"/>
  <c r="AI573" i="2" s="1"/>
  <c r="AE574" i="2"/>
  <c r="AI574" i="2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/>
  <c r="AE589" i="2"/>
  <c r="AI589" i="2" s="1"/>
  <c r="AE590" i="2"/>
  <c r="AI590" i="2"/>
  <c r="AE591" i="2"/>
  <c r="AI591" i="2"/>
  <c r="AE592" i="2"/>
  <c r="AI592" i="2"/>
  <c r="AE593" i="2"/>
  <c r="AI593" i="2"/>
  <c r="AE594" i="2"/>
  <c r="AI594" i="2"/>
  <c r="AE595" i="2"/>
  <c r="AI595" i="2" s="1"/>
  <c r="AE596" i="2"/>
  <c r="AI596" i="2"/>
  <c r="AE597" i="2"/>
  <c r="AI597" i="2" s="1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AH605" i="2"/>
  <c r="P565" i="2"/>
  <c r="S565" i="2" s="1"/>
  <c r="W565" i="2" s="1"/>
  <c r="P564" i="2"/>
  <c r="U563" i="2"/>
  <c r="P563" i="2"/>
  <c r="V562" i="2"/>
  <c r="V605" i="2" s="1"/>
  <c r="P562" i="2"/>
  <c r="S562" i="2"/>
  <c r="O563" i="2"/>
  <c r="O564" i="2" s="1"/>
  <c r="O565" i="2" s="1"/>
  <c r="S563" i="2"/>
  <c r="W563" i="2" s="1"/>
  <c r="S564" i="2"/>
  <c r="W564" i="2" s="1"/>
  <c r="S566" i="2"/>
  <c r="W566" i="2" s="1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 s="1"/>
  <c r="S574" i="2"/>
  <c r="W574" i="2" s="1"/>
  <c r="S575" i="2"/>
  <c r="W575" i="2"/>
  <c r="S576" i="2"/>
  <c r="W576" i="2" s="1"/>
  <c r="S577" i="2"/>
  <c r="W577" i="2"/>
  <c r="S578" i="2"/>
  <c r="W578" i="2" s="1"/>
  <c r="S579" i="2"/>
  <c r="W579" i="2"/>
  <c r="S580" i="2"/>
  <c r="W580" i="2"/>
  <c r="S581" i="2"/>
  <c r="W581" i="2" s="1"/>
  <c r="S582" i="2"/>
  <c r="W582" i="2" s="1"/>
  <c r="S583" i="2"/>
  <c r="W583" i="2"/>
  <c r="S584" i="2"/>
  <c r="W584" i="2" s="1"/>
  <c r="S585" i="2"/>
  <c r="W585" i="2" s="1"/>
  <c r="S586" i="2"/>
  <c r="W586" i="2" s="1"/>
  <c r="S587" i="2"/>
  <c r="W587" i="2"/>
  <c r="S588" i="2"/>
  <c r="W588" i="2"/>
  <c r="S589" i="2"/>
  <c r="W589" i="2" s="1"/>
  <c r="S590" i="2"/>
  <c r="W590" i="2" s="1"/>
  <c r="S591" i="2"/>
  <c r="W591" i="2"/>
  <c r="S592" i="2"/>
  <c r="W592" i="2" s="1"/>
  <c r="S593" i="2"/>
  <c r="W593" i="2"/>
  <c r="S594" i="2"/>
  <c r="W594" i="2" s="1"/>
  <c r="S595" i="2"/>
  <c r="W595" i="2"/>
  <c r="S596" i="2"/>
  <c r="W596" i="2"/>
  <c r="S597" i="2"/>
  <c r="W597" i="2" s="1"/>
  <c r="S598" i="2"/>
  <c r="W598" i="2" s="1"/>
  <c r="S599" i="2"/>
  <c r="W599" i="2"/>
  <c r="S600" i="2"/>
  <c r="W600" i="2" s="1"/>
  <c r="W601" i="2"/>
  <c r="S602" i="2"/>
  <c r="W602" i="2"/>
  <c r="W603" i="2"/>
  <c r="Q605" i="2"/>
  <c r="R605" i="2"/>
  <c r="U605" i="2"/>
  <c r="AE660" i="2" l="1"/>
  <c r="AE565" i="2"/>
  <c r="AI565" i="2" s="1"/>
  <c r="AI605" i="2" s="1"/>
  <c r="AC605" i="2"/>
  <c r="AI564" i="2"/>
  <c r="P605" i="2"/>
  <c r="W562" i="2"/>
  <c r="W605" i="2" s="1"/>
  <c r="S605" i="2"/>
  <c r="AB513" i="2"/>
  <c r="AB512" i="2"/>
  <c r="AE512" i="2" s="1"/>
  <c r="AI512" i="2" s="1"/>
  <c r="AB511" i="2"/>
  <c r="AE511" i="2" s="1"/>
  <c r="AI511" i="2" s="1"/>
  <c r="AB510" i="2"/>
  <c r="AB509" i="2"/>
  <c r="AB508" i="2"/>
  <c r="AE508" i="2"/>
  <c r="AI508" i="2" s="1"/>
  <c r="AB507" i="2"/>
  <c r="AE507" i="2"/>
  <c r="AI507" i="2" s="1"/>
  <c r="AA508" i="2"/>
  <c r="AA509" i="2" s="1"/>
  <c r="AA510" i="2" s="1"/>
  <c r="AA511" i="2" s="1"/>
  <c r="AA512" i="2" s="1"/>
  <c r="AA513" i="2" s="1"/>
  <c r="AE509" i="2"/>
  <c r="AI509" i="2" s="1"/>
  <c r="AE510" i="2"/>
  <c r="AI510" i="2" s="1"/>
  <c r="AH550" i="2"/>
  <c r="AE513" i="2"/>
  <c r="AI513" i="2"/>
  <c r="AE514" i="2"/>
  <c r="AI514" i="2" s="1"/>
  <c r="AE515" i="2"/>
  <c r="AI515" i="2"/>
  <c r="AE516" i="2"/>
  <c r="AI516" i="2" s="1"/>
  <c r="AE517" i="2"/>
  <c r="AI517" i="2"/>
  <c r="AE518" i="2"/>
  <c r="AI518" i="2" s="1"/>
  <c r="AE519" i="2"/>
  <c r="AI519" i="2"/>
  <c r="AE520" i="2"/>
  <c r="AI520" i="2" s="1"/>
  <c r="AE521" i="2"/>
  <c r="AI521" i="2" s="1"/>
  <c r="AE522" i="2"/>
  <c r="AI522" i="2" s="1"/>
  <c r="AE523" i="2"/>
  <c r="AI523" i="2"/>
  <c r="AE524" i="2"/>
  <c r="AI524" i="2"/>
  <c r="AE525" i="2"/>
  <c r="AI525" i="2"/>
  <c r="AE526" i="2"/>
  <c r="AI526" i="2" s="1"/>
  <c r="AE527" i="2"/>
  <c r="AI527" i="2"/>
  <c r="AE528" i="2"/>
  <c r="AI528" i="2" s="1"/>
  <c r="AE529" i="2"/>
  <c r="AI529" i="2"/>
  <c r="AE530" i="2"/>
  <c r="AI530" i="2" s="1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 s="1"/>
  <c r="AE537" i="2"/>
  <c r="AI537" i="2"/>
  <c r="AE538" i="2"/>
  <c r="AI538" i="2" s="1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 s="1"/>
  <c r="AE545" i="2"/>
  <c r="AI545" i="2"/>
  <c r="AI546" i="2"/>
  <c r="AE547" i="2"/>
  <c r="AI547" i="2"/>
  <c r="AI548" i="2"/>
  <c r="AC550" i="2"/>
  <c r="AD550" i="2"/>
  <c r="AG550" i="2"/>
  <c r="V517" i="2"/>
  <c r="U517" i="2"/>
  <c r="P517" i="2"/>
  <c r="V516" i="2"/>
  <c r="V550" i="2"/>
  <c r="P516" i="2"/>
  <c r="P515" i="2"/>
  <c r="P514" i="2"/>
  <c r="S514" i="2" s="1"/>
  <c r="W514" i="2" s="1"/>
  <c r="U513" i="2"/>
  <c r="P513" i="2"/>
  <c r="S513" i="2" s="1"/>
  <c r="W513" i="2" s="1"/>
  <c r="P512" i="2"/>
  <c r="P511" i="2"/>
  <c r="P510" i="2"/>
  <c r="S510" i="2" s="1"/>
  <c r="W510" i="2" s="1"/>
  <c r="P509" i="2"/>
  <c r="S509" i="2" s="1"/>
  <c r="W509" i="2" s="1"/>
  <c r="P508" i="2"/>
  <c r="S508" i="2" s="1"/>
  <c r="W508" i="2" s="1"/>
  <c r="P507" i="2"/>
  <c r="O508" i="2"/>
  <c r="O509" i="2"/>
  <c r="O510" i="2" s="1"/>
  <c r="O511" i="2" s="1"/>
  <c r="O512" i="2" s="1"/>
  <c r="O513" i="2" s="1"/>
  <c r="O514" i="2" s="1"/>
  <c r="O515" i="2" s="1"/>
  <c r="O516" i="2" s="1"/>
  <c r="O517" i="2" s="1"/>
  <c r="S511" i="2"/>
  <c r="W511" i="2" s="1"/>
  <c r="S512" i="2"/>
  <c r="W512" i="2" s="1"/>
  <c r="S515" i="2"/>
  <c r="W515" i="2" s="1"/>
  <c r="S516" i="2"/>
  <c r="S517" i="2"/>
  <c r="W517" i="2" s="1"/>
  <c r="S518" i="2"/>
  <c r="W518" i="2" s="1"/>
  <c r="S519" i="2"/>
  <c r="W519" i="2" s="1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 s="1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U550" i="2"/>
  <c r="J516" i="2"/>
  <c r="J550" i="2" s="1"/>
  <c r="D516" i="2"/>
  <c r="D515" i="2"/>
  <c r="G515" i="2" s="1"/>
  <c r="K515" i="2" s="1"/>
  <c r="D514" i="2"/>
  <c r="G514" i="2" s="1"/>
  <c r="K514" i="2" s="1"/>
  <c r="D513" i="2"/>
  <c r="G513" i="2" s="1"/>
  <c r="K513" i="2" s="1"/>
  <c r="D512" i="2"/>
  <c r="G512" i="2" s="1"/>
  <c r="K512" i="2" s="1"/>
  <c r="D511" i="2"/>
  <c r="G511" i="2" s="1"/>
  <c r="K511" i="2" s="1"/>
  <c r="D510" i="2"/>
  <c r="D509" i="2"/>
  <c r="D508" i="2"/>
  <c r="D507" i="2"/>
  <c r="G507" i="2"/>
  <c r="K507" i="2" s="1"/>
  <c r="C508" i="2"/>
  <c r="G508" i="2"/>
  <c r="K508" i="2" s="1"/>
  <c r="C509" i="2"/>
  <c r="G509" i="2"/>
  <c r="I550" i="2"/>
  <c r="C510" i="2"/>
  <c r="C511" i="2" s="1"/>
  <c r="C512" i="2" s="1"/>
  <c r="C513" i="2" s="1"/>
  <c r="C514" i="2" s="1"/>
  <c r="C515" i="2" s="1"/>
  <c r="C516" i="2" s="1"/>
  <c r="G510" i="2"/>
  <c r="K510" i="2"/>
  <c r="G516" i="2"/>
  <c r="G517" i="2"/>
  <c r="K517" i="2"/>
  <c r="G518" i="2"/>
  <c r="K518" i="2" s="1"/>
  <c r="G519" i="2"/>
  <c r="K519" i="2"/>
  <c r="G520" i="2"/>
  <c r="K520" i="2" s="1"/>
  <c r="G521" i="2"/>
  <c r="K521" i="2"/>
  <c r="G522" i="2"/>
  <c r="K522" i="2"/>
  <c r="G523" i="2"/>
  <c r="K523" i="2"/>
  <c r="G524" i="2"/>
  <c r="K524" i="2"/>
  <c r="G525" i="2"/>
  <c r="K525" i="2"/>
  <c r="G526" i="2"/>
  <c r="K526" i="2"/>
  <c r="G527" i="2"/>
  <c r="K527" i="2"/>
  <c r="G528" i="2"/>
  <c r="K528" i="2" s="1"/>
  <c r="G529" i="2"/>
  <c r="K529" i="2"/>
  <c r="G530" i="2"/>
  <c r="K530" i="2"/>
  <c r="G531" i="2"/>
  <c r="K531" i="2"/>
  <c r="G532" i="2"/>
  <c r="K532" i="2"/>
  <c r="G533" i="2"/>
  <c r="K533" i="2"/>
  <c r="G534" i="2"/>
  <c r="K534" i="2"/>
  <c r="G535" i="2"/>
  <c r="K535" i="2"/>
  <c r="G536" i="2"/>
  <c r="K536" i="2" s="1"/>
  <c r="G537" i="2"/>
  <c r="K537" i="2"/>
  <c r="G538" i="2"/>
  <c r="K538" i="2"/>
  <c r="G539" i="2"/>
  <c r="K539" i="2"/>
  <c r="G540" i="2"/>
  <c r="K540" i="2"/>
  <c r="G547" i="2"/>
  <c r="K547" i="2"/>
  <c r="E550" i="2"/>
  <c r="F550" i="2"/>
  <c r="AE605" i="2" l="1"/>
  <c r="AB550" i="2"/>
  <c r="AI550" i="2"/>
  <c r="AE550" i="2"/>
  <c r="W516" i="2"/>
  <c r="P550" i="2"/>
  <c r="S507" i="2"/>
  <c r="W507" i="2" s="1"/>
  <c r="K516" i="2"/>
  <c r="D550" i="2"/>
  <c r="G550" i="2"/>
  <c r="K509" i="2"/>
  <c r="K550" i="2" s="1"/>
  <c r="AB456" i="2"/>
  <c r="AE456" i="2" s="1"/>
  <c r="AH456" i="2"/>
  <c r="AH455" i="2"/>
  <c r="AH495" i="2" s="1"/>
  <c r="AB455" i="2"/>
  <c r="AB454" i="2"/>
  <c r="AB453" i="2"/>
  <c r="AB495" i="2" s="1"/>
  <c r="AB452" i="2"/>
  <c r="AE452" i="2" s="1"/>
  <c r="AI452" i="2" s="1"/>
  <c r="AA453" i="2"/>
  <c r="AA454" i="2" s="1"/>
  <c r="AA455" i="2" s="1"/>
  <c r="AA456" i="2" s="1"/>
  <c r="AE454" i="2"/>
  <c r="AI454" i="2" s="1"/>
  <c r="AE455" i="2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/>
  <c r="AE474" i="2"/>
  <c r="AI474" i="2" s="1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/>
  <c r="AE482" i="2"/>
  <c r="AI482" i="2" s="1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G495" i="2"/>
  <c r="P458" i="2"/>
  <c r="S458" i="2" s="1"/>
  <c r="W458" i="2" s="1"/>
  <c r="P457" i="2"/>
  <c r="S457" i="2" s="1"/>
  <c r="W457" i="2" s="1"/>
  <c r="P456" i="2"/>
  <c r="S456" i="2" s="1"/>
  <c r="W456" i="2" s="1"/>
  <c r="V455" i="2"/>
  <c r="V495" i="2" s="1"/>
  <c r="P455" i="2"/>
  <c r="S455" i="2" s="1"/>
  <c r="W455" i="2" s="1"/>
  <c r="P454" i="2"/>
  <c r="S454" i="2" s="1"/>
  <c r="W454" i="2" s="1"/>
  <c r="P453" i="2"/>
  <c r="P452" i="2"/>
  <c r="S452" i="2"/>
  <c r="W452" i="2" s="1"/>
  <c r="O453" i="2"/>
  <c r="O454" i="2" s="1"/>
  <c r="O455" i="2" s="1"/>
  <c r="O456" i="2" s="1"/>
  <c r="O458" i="2" s="1"/>
  <c r="S453" i="2"/>
  <c r="W453" i="2" s="1"/>
  <c r="S459" i="2"/>
  <c r="W459" i="2" s="1"/>
  <c r="S460" i="2"/>
  <c r="W460" i="2"/>
  <c r="S461" i="2"/>
  <c r="W461" i="2" s="1"/>
  <c r="S462" i="2"/>
  <c r="W462" i="2" s="1"/>
  <c r="S463" i="2"/>
  <c r="W463" i="2"/>
  <c r="S464" i="2"/>
  <c r="W464" i="2"/>
  <c r="S465" i="2"/>
  <c r="W465" i="2" s="1"/>
  <c r="S466" i="2"/>
  <c r="W466" i="2"/>
  <c r="S467" i="2"/>
  <c r="W467" i="2" s="1"/>
  <c r="S468" i="2"/>
  <c r="W468" i="2"/>
  <c r="S469" i="2"/>
  <c r="W469" i="2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 s="1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 s="1"/>
  <c r="S487" i="2"/>
  <c r="W487" i="2"/>
  <c r="S488" i="2"/>
  <c r="W488" i="2"/>
  <c r="S489" i="2"/>
  <c r="W489" i="2"/>
  <c r="S490" i="2"/>
  <c r="W490" i="2"/>
  <c r="W491" i="2"/>
  <c r="S492" i="2"/>
  <c r="W492" i="2"/>
  <c r="W493" i="2"/>
  <c r="Q495" i="2"/>
  <c r="R495" i="2"/>
  <c r="U495" i="2"/>
  <c r="D463" i="2"/>
  <c r="D462" i="2"/>
  <c r="G462" i="2" s="1"/>
  <c r="K462" i="2" s="1"/>
  <c r="D461" i="2"/>
  <c r="D460" i="2"/>
  <c r="G460" i="2" s="1"/>
  <c r="K460" i="2" s="1"/>
  <c r="D459" i="2"/>
  <c r="G459" i="2" s="1"/>
  <c r="K459" i="2" s="1"/>
  <c r="D458" i="2"/>
  <c r="D457" i="2"/>
  <c r="D456" i="2"/>
  <c r="G456" i="2" s="1"/>
  <c r="K456" i="2" s="1"/>
  <c r="D455" i="2"/>
  <c r="I454" i="2"/>
  <c r="I495" i="2" s="1"/>
  <c r="D454" i="2"/>
  <c r="D453" i="2"/>
  <c r="G453" i="2" s="1"/>
  <c r="K453" i="2" s="1"/>
  <c r="D452" i="2"/>
  <c r="G452" i="2"/>
  <c r="K452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G455" i="2"/>
  <c r="K455" i="2" s="1"/>
  <c r="G457" i="2"/>
  <c r="K457" i="2" s="1"/>
  <c r="G458" i="2"/>
  <c r="K458" i="2"/>
  <c r="G461" i="2"/>
  <c r="K461" i="2"/>
  <c r="G463" i="2"/>
  <c r="K463" i="2"/>
  <c r="G464" i="2"/>
  <c r="K464" i="2"/>
  <c r="G465" i="2"/>
  <c r="K465" i="2"/>
  <c r="G466" i="2"/>
  <c r="K466" i="2" s="1"/>
  <c r="G467" i="2"/>
  <c r="K467" i="2" s="1"/>
  <c r="G468" i="2"/>
  <c r="K468" i="2"/>
  <c r="G469" i="2"/>
  <c r="K469" i="2"/>
  <c r="G470" i="2"/>
  <c r="K470" i="2"/>
  <c r="G471" i="2"/>
  <c r="K471" i="2"/>
  <c r="G472" i="2"/>
  <c r="K472" i="2" s="1"/>
  <c r="G473" i="2"/>
  <c r="K473" i="2" s="1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 s="1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W550" i="2" l="1"/>
  <c r="S550" i="2"/>
  <c r="AI456" i="2"/>
  <c r="AI455" i="2"/>
  <c r="AE453" i="2"/>
  <c r="AI453" i="2" s="1"/>
  <c r="S495" i="2"/>
  <c r="W495" i="2"/>
  <c r="P495" i="2"/>
  <c r="D495" i="2"/>
  <c r="G454" i="2"/>
  <c r="K454" i="2" s="1"/>
  <c r="K495" i="2"/>
  <c r="G495" i="2"/>
  <c r="P410" i="2"/>
  <c r="P405" i="2"/>
  <c r="S405" i="2" s="1"/>
  <c r="W405" i="2" s="1"/>
  <c r="AH400" i="2"/>
  <c r="AH440" i="2" s="1"/>
  <c r="AG400" i="2"/>
  <c r="AB400" i="2"/>
  <c r="AE400" i="2" s="1"/>
  <c r="AI400" i="2" s="1"/>
  <c r="AB399" i="2"/>
  <c r="AB398" i="2"/>
  <c r="AB397" i="2"/>
  <c r="AA398" i="2"/>
  <c r="AE398" i="2"/>
  <c r="AA399" i="2"/>
  <c r="AA400" i="2" s="1"/>
  <c r="AE399" i="2"/>
  <c r="AI399" i="2" s="1"/>
  <c r="AE401" i="2"/>
  <c r="AI401" i="2"/>
  <c r="AE402" i="2"/>
  <c r="AI402" i="2" s="1"/>
  <c r="AE403" i="2"/>
  <c r="AI403" i="2"/>
  <c r="AE404" i="2"/>
  <c r="AI404" i="2"/>
  <c r="AE405" i="2"/>
  <c r="AI405" i="2"/>
  <c r="AE406" i="2"/>
  <c r="AI406" i="2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 s="1"/>
  <c r="AE414" i="2"/>
  <c r="AI414" i="2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G440" i="2"/>
  <c r="P409" i="2"/>
  <c r="S409" i="2" s="1"/>
  <c r="W409" i="2" s="1"/>
  <c r="P408" i="2"/>
  <c r="P407" i="2"/>
  <c r="P406" i="2"/>
  <c r="S404" i="2"/>
  <c r="W404" i="2" s="1"/>
  <c r="P403" i="2"/>
  <c r="S403" i="2" s="1"/>
  <c r="W403" i="2" s="1"/>
  <c r="U402" i="2"/>
  <c r="P402" i="2"/>
  <c r="S402" i="2" s="1"/>
  <c r="W402" i="2" s="1"/>
  <c r="P401" i="2"/>
  <c r="S401" i="2" s="1"/>
  <c r="W401" i="2" s="1"/>
  <c r="P400" i="2"/>
  <c r="S400" i="2" s="1"/>
  <c r="W400" i="2" s="1"/>
  <c r="P399" i="2"/>
  <c r="P398" i="2"/>
  <c r="S398" i="2" s="1"/>
  <c r="W398" i="2" s="1"/>
  <c r="P397" i="2"/>
  <c r="S397" i="2" s="1"/>
  <c r="W397" i="2" s="1"/>
  <c r="O398" i="2"/>
  <c r="O399" i="2"/>
  <c r="S399" i="2"/>
  <c r="W399" i="2" s="1"/>
  <c r="O400" i="2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S406" i="2"/>
  <c r="W406" i="2" s="1"/>
  <c r="S407" i="2"/>
  <c r="W407" i="2" s="1"/>
  <c r="S408" i="2"/>
  <c r="W408" i="2" s="1"/>
  <c r="S410" i="2"/>
  <c r="W410" i="2" s="1"/>
  <c r="S411" i="2"/>
  <c r="W411" i="2" s="1"/>
  <c r="S412" i="2"/>
  <c r="W412" i="2"/>
  <c r="S413" i="2"/>
  <c r="W413" i="2" s="1"/>
  <c r="S414" i="2"/>
  <c r="W414" i="2" s="1"/>
  <c r="S415" i="2"/>
  <c r="W415" i="2"/>
  <c r="S416" i="2"/>
  <c r="W416" i="2" s="1"/>
  <c r="S417" i="2"/>
  <c r="W417" i="2"/>
  <c r="S418" i="2"/>
  <c r="W418" i="2" s="1"/>
  <c r="S419" i="2"/>
  <c r="W419" i="2" s="1"/>
  <c r="S420" i="2"/>
  <c r="W420" i="2"/>
  <c r="S421" i="2"/>
  <c r="W421" i="2" s="1"/>
  <c r="S422" i="2"/>
  <c r="W422" i="2" s="1"/>
  <c r="S423" i="2"/>
  <c r="W423" i="2"/>
  <c r="S424" i="2"/>
  <c r="W424" i="2"/>
  <c r="S425" i="2"/>
  <c r="W425" i="2"/>
  <c r="S426" i="2"/>
  <c r="W426" i="2" s="1"/>
  <c r="S427" i="2"/>
  <c r="W427" i="2" s="1"/>
  <c r="S428" i="2"/>
  <c r="W428" i="2"/>
  <c r="S429" i="2"/>
  <c r="W429" i="2" s="1"/>
  <c r="S430" i="2"/>
  <c r="W430" i="2" s="1"/>
  <c r="S431" i="2"/>
  <c r="W431" i="2"/>
  <c r="S432" i="2"/>
  <c r="W432" i="2"/>
  <c r="S433" i="2"/>
  <c r="W433" i="2"/>
  <c r="S434" i="2"/>
  <c r="W434" i="2" s="1"/>
  <c r="S435" i="2"/>
  <c r="W435" i="2" s="1"/>
  <c r="W436" i="2"/>
  <c r="S437" i="2"/>
  <c r="W437" i="2"/>
  <c r="W438" i="2"/>
  <c r="Q440" i="2"/>
  <c r="R440" i="2"/>
  <c r="U440" i="2"/>
  <c r="V440" i="2"/>
  <c r="D417" i="2"/>
  <c r="G417" i="2"/>
  <c r="K417" i="2" s="1"/>
  <c r="D416" i="2"/>
  <c r="D415" i="2"/>
  <c r="G415" i="2" s="1"/>
  <c r="K415" i="2" s="1"/>
  <c r="D414" i="2"/>
  <c r="G414" i="2" s="1"/>
  <c r="K414" i="2" s="1"/>
  <c r="D413" i="2"/>
  <c r="G413" i="2" s="1"/>
  <c r="K413" i="2" s="1"/>
  <c r="D412" i="2"/>
  <c r="D411" i="2"/>
  <c r="G411" i="2" s="1"/>
  <c r="K411" i="2" s="1"/>
  <c r="D410" i="2"/>
  <c r="G410" i="2" s="1"/>
  <c r="K410" i="2" s="1"/>
  <c r="D409" i="2"/>
  <c r="D408" i="2"/>
  <c r="G408" i="2" s="1"/>
  <c r="K408" i="2" s="1"/>
  <c r="I407" i="2"/>
  <c r="D407" i="2"/>
  <c r="D406" i="2"/>
  <c r="D405" i="2"/>
  <c r="G405" i="2" s="1"/>
  <c r="K405" i="2" s="1"/>
  <c r="D404" i="2"/>
  <c r="G404" i="2" s="1"/>
  <c r="K404" i="2" s="1"/>
  <c r="D403" i="2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G397" i="2"/>
  <c r="K397" i="2" s="1"/>
  <c r="G402" i="2"/>
  <c r="K402" i="2" s="1"/>
  <c r="G403" i="2"/>
  <c r="K403" i="2"/>
  <c r="G406" i="2"/>
  <c r="K406" i="2" s="1"/>
  <c r="G407" i="2"/>
  <c r="K407" i="2" s="1"/>
  <c r="G409" i="2"/>
  <c r="K409" i="2"/>
  <c r="G412" i="2"/>
  <c r="K412" i="2" s="1"/>
  <c r="G416" i="2"/>
  <c r="K416" i="2" s="1"/>
  <c r="G418" i="2"/>
  <c r="K418" i="2" s="1"/>
  <c r="G419" i="2"/>
  <c r="K419" i="2"/>
  <c r="G420" i="2"/>
  <c r="K420" i="2"/>
  <c r="G421" i="2"/>
  <c r="K421" i="2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I440" i="2"/>
  <c r="J440" i="2"/>
  <c r="AI495" i="2" l="1"/>
  <c r="AE495" i="2"/>
  <c r="AB440" i="2"/>
  <c r="AE397" i="2"/>
  <c r="AI397" i="2" s="1"/>
  <c r="AI398" i="2"/>
  <c r="AI440" i="2" s="1"/>
  <c r="P440" i="2"/>
  <c r="S440" i="2"/>
  <c r="W440" i="2"/>
  <c r="D440" i="2"/>
  <c r="G440" i="2"/>
  <c r="K440" i="2"/>
  <c r="AB347" i="2"/>
  <c r="AE347" i="2" s="1"/>
  <c r="AI347" i="2" s="1"/>
  <c r="AB346" i="2"/>
  <c r="AE346" i="2" s="1"/>
  <c r="AI346" i="2" s="1"/>
  <c r="AB345" i="2"/>
  <c r="AE345" i="2" s="1"/>
  <c r="AI345" i="2" s="1"/>
  <c r="AB344" i="2"/>
  <c r="AE344" i="2" s="1"/>
  <c r="AI344" i="2" s="1"/>
  <c r="AB343" i="2"/>
  <c r="AB342" i="2"/>
  <c r="AE342" i="2"/>
  <c r="AI342" i="2" s="1"/>
  <c r="AA343" i="2"/>
  <c r="AA344" i="2" s="1"/>
  <c r="AA345" i="2" s="1"/>
  <c r="AA346" i="2" s="1"/>
  <c r="AA347" i="2" s="1"/>
  <c r="AE343" i="2"/>
  <c r="AI343" i="2" s="1"/>
  <c r="AE348" i="2"/>
  <c r="AI348" i="2"/>
  <c r="AE349" i="2"/>
  <c r="AI349" i="2" s="1"/>
  <c r="AE350" i="2"/>
  <c r="AI350" i="2" s="1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G385" i="2"/>
  <c r="AH385" i="2"/>
  <c r="P351" i="2"/>
  <c r="P350" i="2"/>
  <c r="S350" i="2" s="1"/>
  <c r="W350" i="2" s="1"/>
  <c r="P349" i="2"/>
  <c r="S349" i="2" s="1"/>
  <c r="W349" i="2" s="1"/>
  <c r="P348" i="2"/>
  <c r="S348" i="2" s="1"/>
  <c r="W348" i="2" s="1"/>
  <c r="U347" i="2"/>
  <c r="P347" i="2"/>
  <c r="U346" i="2"/>
  <c r="P346" i="2"/>
  <c r="P345" i="2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4" i="2"/>
  <c r="W344" i="2" s="1"/>
  <c r="S345" i="2"/>
  <c r="W345" i="2" s="1"/>
  <c r="S346" i="2"/>
  <c r="W346" i="2" s="1"/>
  <c r="S347" i="2"/>
  <c r="W347" i="2" s="1"/>
  <c r="U385" i="2"/>
  <c r="S351" i="2"/>
  <c r="W351" i="2" s="1"/>
  <c r="S352" i="2"/>
  <c r="W352" i="2" s="1"/>
  <c r="S353" i="2"/>
  <c r="W353" i="2" s="1"/>
  <c r="S354" i="2"/>
  <c r="W354" i="2" s="1"/>
  <c r="S355" i="2"/>
  <c r="W355" i="2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 s="1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J342" i="2"/>
  <c r="J385" i="2" s="1"/>
  <c r="D342" i="2"/>
  <c r="D385" i="2" s="1"/>
  <c r="G342" i="2"/>
  <c r="G343" i="2"/>
  <c r="K343" i="2" s="1"/>
  <c r="G344" i="2"/>
  <c r="G345" i="2"/>
  <c r="K345" i="2"/>
  <c r="G346" i="2"/>
  <c r="K346" i="2" s="1"/>
  <c r="G347" i="2"/>
  <c r="K347" i="2"/>
  <c r="G348" i="2"/>
  <c r="K348" i="2" s="1"/>
  <c r="G349" i="2"/>
  <c r="K349" i="2"/>
  <c r="G350" i="2"/>
  <c r="K350" i="2"/>
  <c r="G351" i="2"/>
  <c r="K351" i="2"/>
  <c r="G352" i="2"/>
  <c r="K352" i="2"/>
  <c r="G353" i="2"/>
  <c r="K353" i="2"/>
  <c r="G354" i="2"/>
  <c r="K354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 s="1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I385" i="2"/>
  <c r="AE440" i="2" l="1"/>
  <c r="AB385" i="2"/>
  <c r="AE385" i="2"/>
  <c r="AI385" i="2"/>
  <c r="P385" i="2"/>
  <c r="S343" i="2"/>
  <c r="K342" i="2"/>
  <c r="K344" i="2"/>
  <c r="G385" i="2"/>
  <c r="K385" i="2"/>
  <c r="AH290" i="2"/>
  <c r="AB290" i="2"/>
  <c r="AE290" i="2" s="1"/>
  <c r="AI290" i="2" s="1"/>
  <c r="AB289" i="2"/>
  <c r="AB288" i="2"/>
  <c r="AB287" i="2"/>
  <c r="AE287" i="2"/>
  <c r="AI287" i="2" s="1"/>
  <c r="AA288" i="2"/>
  <c r="AE288" i="2"/>
  <c r="AA289" i="2"/>
  <c r="AA290" i="2" s="1"/>
  <c r="AE289" i="2"/>
  <c r="AI289" i="2" s="1"/>
  <c r="AE291" i="2"/>
  <c r="AI291" i="2" s="1"/>
  <c r="AE292" i="2"/>
  <c r="AI292" i="2" s="1"/>
  <c r="AE293" i="2"/>
  <c r="AI293" i="2"/>
  <c r="AE294" i="2"/>
  <c r="AI294" i="2"/>
  <c r="AE295" i="2"/>
  <c r="AI295" i="2" s="1"/>
  <c r="AE296" i="2"/>
  <c r="AI296" i="2" s="1"/>
  <c r="AE297" i="2"/>
  <c r="AI297" i="2" s="1"/>
  <c r="AE298" i="2"/>
  <c r="AI298" i="2" s="1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 s="1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310" i="2"/>
  <c r="S310" i="2" s="1"/>
  <c r="W310" i="2" s="1"/>
  <c r="P309" i="2"/>
  <c r="P308" i="2"/>
  <c r="S308" i="2" s="1"/>
  <c r="W308" i="2" s="1"/>
  <c r="P307" i="2"/>
  <c r="P306" i="2"/>
  <c r="S306" i="2" s="1"/>
  <c r="W306" i="2" s="1"/>
  <c r="P305" i="2"/>
  <c r="P304" i="2"/>
  <c r="S304" i="2" s="1"/>
  <c r="W304" i="2" s="1"/>
  <c r="P303" i="2"/>
  <c r="P302" i="2"/>
  <c r="P301" i="2"/>
  <c r="S301" i="2" s="1"/>
  <c r="W301" i="2" s="1"/>
  <c r="P299" i="2"/>
  <c r="S299" i="2" s="1"/>
  <c r="W299" i="2" s="1"/>
  <c r="U298" i="2"/>
  <c r="P298" i="2"/>
  <c r="P297" i="2"/>
  <c r="S297" i="2" s="1"/>
  <c r="W297" i="2" s="1"/>
  <c r="P296" i="2"/>
  <c r="S296" i="2" s="1"/>
  <c r="W296" i="2" s="1"/>
  <c r="U295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U287" i="2"/>
  <c r="V287" i="2"/>
  <c r="P287" i="2"/>
  <c r="O291" i="2"/>
  <c r="O292" i="2" s="1"/>
  <c r="O293" i="2" s="1"/>
  <c r="O294" i="2" s="1"/>
  <c r="O295" i="2" s="1"/>
  <c r="O296" i="2" s="1"/>
  <c r="O297" i="2" s="1"/>
  <c r="O298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S287" i="2"/>
  <c r="O288" i="2"/>
  <c r="O289" i="2" s="1"/>
  <c r="O290" i="2" s="1"/>
  <c r="S288" i="2"/>
  <c r="W288" i="2" s="1"/>
  <c r="S289" i="2"/>
  <c r="W289" i="2" s="1"/>
  <c r="S290" i="2"/>
  <c r="W290" i="2"/>
  <c r="S292" i="2"/>
  <c r="W292" i="2" s="1"/>
  <c r="S294" i="2"/>
  <c r="W294" i="2" s="1"/>
  <c r="S298" i="2"/>
  <c r="S300" i="2"/>
  <c r="W300" i="2" s="1"/>
  <c r="S302" i="2"/>
  <c r="W302" i="2" s="1"/>
  <c r="S303" i="2"/>
  <c r="W303" i="2" s="1"/>
  <c r="S305" i="2"/>
  <c r="W305" i="2" s="1"/>
  <c r="S307" i="2"/>
  <c r="W307" i="2" s="1"/>
  <c r="S309" i="2"/>
  <c r="W309" i="2"/>
  <c r="S311" i="2"/>
  <c r="W311" i="2" s="1"/>
  <c r="S312" i="2"/>
  <c r="W312" i="2"/>
  <c r="S313" i="2"/>
  <c r="W313" i="2"/>
  <c r="S314" i="2"/>
  <c r="W314" i="2"/>
  <c r="S315" i="2"/>
  <c r="W315" i="2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/>
  <c r="S324" i="2"/>
  <c r="W324" i="2" s="1"/>
  <c r="S325" i="2"/>
  <c r="W325" i="2"/>
  <c r="W326" i="2"/>
  <c r="S327" i="2"/>
  <c r="W327" i="2"/>
  <c r="W328" i="2"/>
  <c r="Q330" i="2"/>
  <c r="R330" i="2"/>
  <c r="V330" i="2"/>
  <c r="D289" i="2"/>
  <c r="I288" i="2"/>
  <c r="I330" i="2" s="1"/>
  <c r="D288" i="2"/>
  <c r="G288" i="2" s="1"/>
  <c r="K288" i="2" s="1"/>
  <c r="D287" i="2"/>
  <c r="G287" i="2" s="1"/>
  <c r="K287" i="2" s="1"/>
  <c r="C288" i="2"/>
  <c r="C289" i="2"/>
  <c r="G289" i="2"/>
  <c r="K289" i="2" s="1"/>
  <c r="G290" i="2"/>
  <c r="K290" i="2" s="1"/>
  <c r="G291" i="2"/>
  <c r="K291" i="2"/>
  <c r="G292" i="2"/>
  <c r="K292" i="2" s="1"/>
  <c r="G293" i="2"/>
  <c r="K293" i="2"/>
  <c r="G294" i="2"/>
  <c r="K294" i="2" s="1"/>
  <c r="G295" i="2"/>
  <c r="K295" i="2"/>
  <c r="G296" i="2"/>
  <c r="K296" i="2"/>
  <c r="G297" i="2"/>
  <c r="K297" i="2"/>
  <c r="G298" i="2"/>
  <c r="K298" i="2" s="1"/>
  <c r="G299" i="2"/>
  <c r="K299" i="2" s="1"/>
  <c r="G300" i="2"/>
  <c r="K300" i="2"/>
  <c r="G301" i="2"/>
  <c r="K301" i="2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/>
  <c r="G320" i="2"/>
  <c r="K320" i="2"/>
  <c r="G327" i="2"/>
  <c r="K327" i="2"/>
  <c r="E330" i="2"/>
  <c r="F330" i="2"/>
  <c r="J330" i="2"/>
  <c r="S385" i="2" l="1"/>
  <c r="W343" i="2"/>
  <c r="W385" i="2" s="1"/>
  <c r="AI288" i="2"/>
  <c r="AI330" i="2" s="1"/>
  <c r="AE330" i="2"/>
  <c r="AB330" i="2"/>
  <c r="W298" i="2"/>
  <c r="U330" i="2"/>
  <c r="W287" i="2"/>
  <c r="W330" i="2" s="1"/>
  <c r="S330" i="2"/>
  <c r="P330" i="2"/>
  <c r="D330" i="2"/>
  <c r="K330" i="2"/>
  <c r="G330" i="2"/>
  <c r="AB242" i="2"/>
  <c r="AB241" i="2"/>
  <c r="AB240" i="2"/>
  <c r="AB239" i="2"/>
  <c r="AG238" i="2"/>
  <c r="AG275" i="2" s="1"/>
  <c r="AB238" i="2"/>
  <c r="AE238" i="2" s="1"/>
  <c r="AI238" i="2" s="1"/>
  <c r="AB237" i="2"/>
  <c r="AE237" i="2" s="1"/>
  <c r="AI237" i="2" s="1"/>
  <c r="AB236" i="2"/>
  <c r="AB235" i="2"/>
  <c r="AB234" i="2"/>
  <c r="AB233" i="2"/>
  <c r="AB232" i="2"/>
  <c r="AE232" i="2" s="1"/>
  <c r="AI232" i="2" s="1"/>
  <c r="AA233" i="2"/>
  <c r="AA234" i="2" s="1"/>
  <c r="AA235" i="2" s="1"/>
  <c r="AA236" i="2" s="1"/>
  <c r="AA237" i="2" s="1"/>
  <c r="AA238" i="2" s="1"/>
  <c r="AA239" i="2" s="1"/>
  <c r="AA240" i="2" s="1"/>
  <c r="AA241" i="2" s="1"/>
  <c r="AA242" i="2" s="1"/>
  <c r="AE233" i="2"/>
  <c r="AI233" i="2" s="1"/>
  <c r="AE234" i="2"/>
  <c r="AI234" i="2" s="1"/>
  <c r="AE236" i="2"/>
  <c r="AI236" i="2" s="1"/>
  <c r="AE239" i="2"/>
  <c r="AI239" i="2" s="1"/>
  <c r="AE240" i="2"/>
  <c r="AI240" i="2"/>
  <c r="AE241" i="2"/>
  <c r="AI241" i="2" s="1"/>
  <c r="AE242" i="2"/>
  <c r="AI242" i="2" s="1"/>
  <c r="AE243" i="2"/>
  <c r="AI243" i="2" s="1"/>
  <c r="AE244" i="2"/>
  <c r="AI244" i="2"/>
  <c r="AE245" i="2"/>
  <c r="AI245" i="2"/>
  <c r="AE246" i="2"/>
  <c r="AI246" i="2" s="1"/>
  <c r="AE247" i="2"/>
  <c r="AI247" i="2"/>
  <c r="AE248" i="2"/>
  <c r="AI248" i="2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H275" i="2"/>
  <c r="P235" i="2"/>
  <c r="S235" i="2" s="1"/>
  <c r="P234" i="2"/>
  <c r="S234" i="2" s="1"/>
  <c r="W234" i="2" s="1"/>
  <c r="P233" i="2"/>
  <c r="S233" i="2" s="1"/>
  <c r="W233" i="2" s="1"/>
  <c r="P232" i="2"/>
  <c r="O233" i="2"/>
  <c r="O234" i="2" s="1"/>
  <c r="O235" i="2" s="1"/>
  <c r="S236" i="2"/>
  <c r="W236" i="2"/>
  <c r="S237" i="2"/>
  <c r="W237" i="2" s="1"/>
  <c r="S238" i="2"/>
  <c r="U275" i="2"/>
  <c r="W238" i="2"/>
  <c r="S239" i="2"/>
  <c r="W239" i="2" s="1"/>
  <c r="S240" i="2"/>
  <c r="W240" i="2" s="1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 s="1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 s="1"/>
  <c r="S256" i="2"/>
  <c r="W256" i="2"/>
  <c r="S257" i="2"/>
  <c r="W257" i="2"/>
  <c r="S258" i="2"/>
  <c r="W258" i="2" s="1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Q275" i="2"/>
  <c r="R275" i="2"/>
  <c r="V275" i="2"/>
  <c r="D239" i="2"/>
  <c r="G239" i="2" s="1"/>
  <c r="K239" i="2" s="1"/>
  <c r="D238" i="2"/>
  <c r="G238" i="2" s="1"/>
  <c r="K238" i="2" s="1"/>
  <c r="D237" i="2"/>
  <c r="G237" i="2" s="1"/>
  <c r="K237" i="2" s="1"/>
  <c r="I236" i="2"/>
  <c r="I275" i="2" s="1"/>
  <c r="D236" i="2"/>
  <c r="D235" i="2"/>
  <c r="D234" i="2"/>
  <c r="D232" i="2"/>
  <c r="G232" i="2"/>
  <c r="C233" i="2"/>
  <c r="C234" i="2" s="1"/>
  <c r="C235" i="2" s="1"/>
  <c r="C236" i="2" s="1"/>
  <c r="C237" i="2" s="1"/>
  <c r="C238" i="2" s="1"/>
  <c r="C239" i="2" s="1"/>
  <c r="G233" i="2"/>
  <c r="K233" i="2" s="1"/>
  <c r="G235" i="2"/>
  <c r="K235" i="2"/>
  <c r="G236" i="2"/>
  <c r="G240" i="2"/>
  <c r="K240" i="2" s="1"/>
  <c r="G241" i="2"/>
  <c r="K241" i="2"/>
  <c r="G242" i="2"/>
  <c r="K242" i="2" s="1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/>
  <c r="G263" i="2"/>
  <c r="K263" i="2" s="1"/>
  <c r="G264" i="2"/>
  <c r="K264" i="2" s="1"/>
  <c r="G265" i="2"/>
  <c r="K265" i="2"/>
  <c r="G272" i="2"/>
  <c r="K272" i="2"/>
  <c r="E275" i="2"/>
  <c r="F275" i="2"/>
  <c r="J275" i="2"/>
  <c r="AB275" i="2" l="1"/>
  <c r="AE235" i="2"/>
  <c r="P275" i="2"/>
  <c r="S232" i="2"/>
  <c r="W232" i="2" s="1"/>
  <c r="S275" i="2"/>
  <c r="W235" i="2"/>
  <c r="W275" i="2" s="1"/>
  <c r="D275" i="2"/>
  <c r="K236" i="2"/>
  <c r="K232" i="2"/>
  <c r="G234" i="2"/>
  <c r="K234" i="2" s="1"/>
  <c r="AB181" i="2"/>
  <c r="AE181" i="2" s="1"/>
  <c r="AI181" i="2" s="1"/>
  <c r="AB180" i="2"/>
  <c r="AB179" i="2"/>
  <c r="AE179" i="2" s="1"/>
  <c r="AI179" i="2" s="1"/>
  <c r="AB178" i="2"/>
  <c r="AE178" i="2" s="1"/>
  <c r="AI178" i="2" s="1"/>
  <c r="AB177" i="2"/>
  <c r="AA181" i="2"/>
  <c r="AE177" i="2"/>
  <c r="AA178" i="2"/>
  <c r="AA179" i="2" s="1"/>
  <c r="AE180" i="2"/>
  <c r="AI180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 s="1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 s="1"/>
  <c r="AI218" i="2"/>
  <c r="AC220" i="2"/>
  <c r="AD220" i="2"/>
  <c r="AG220" i="2"/>
  <c r="AH220" i="2"/>
  <c r="P185" i="2"/>
  <c r="P184" i="2"/>
  <c r="S184" i="2" s="1"/>
  <c r="W184" i="2" s="1"/>
  <c r="U183" i="2"/>
  <c r="U220" i="2" s="1"/>
  <c r="P183" i="2"/>
  <c r="S183" i="2" s="1"/>
  <c r="W183" i="2" s="1"/>
  <c r="P182" i="2"/>
  <c r="S182" i="2" s="1"/>
  <c r="W182" i="2" s="1"/>
  <c r="P181" i="2"/>
  <c r="P180" i="2"/>
  <c r="S180" i="2" s="1"/>
  <c r="W180" i="2" s="1"/>
  <c r="P179" i="2"/>
  <c r="P178" i="2"/>
  <c r="P177" i="2"/>
  <c r="S177" i="2" s="1"/>
  <c r="O178" i="2"/>
  <c r="O179" i="2" s="1"/>
  <c r="O180" i="2" s="1"/>
  <c r="O181" i="2" s="1"/>
  <c r="O182" i="2" s="1"/>
  <c r="O183" i="2" s="1"/>
  <c r="O184" i="2" s="1"/>
  <c r="O185" i="2" s="1"/>
  <c r="S178" i="2"/>
  <c r="W178" i="2" s="1"/>
  <c r="S179" i="2"/>
  <c r="W179" i="2" s="1"/>
  <c r="S181" i="2"/>
  <c r="W181" i="2" s="1"/>
  <c r="S185" i="2"/>
  <c r="W185" i="2" s="1"/>
  <c r="S186" i="2"/>
  <c r="W186" i="2"/>
  <c r="S187" i="2"/>
  <c r="W187" i="2" s="1"/>
  <c r="S188" i="2"/>
  <c r="W188" i="2" s="1"/>
  <c r="S189" i="2"/>
  <c r="W189" i="2" s="1"/>
  <c r="S190" i="2"/>
  <c r="W190" i="2" s="1"/>
  <c r="S191" i="2"/>
  <c r="W191" i="2" s="1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V220" i="2"/>
  <c r="D184" i="2"/>
  <c r="D183" i="2"/>
  <c r="D182" i="2"/>
  <c r="I181" i="2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I220" i="2" s="1"/>
  <c r="D177" i="2"/>
  <c r="G177" i="2"/>
  <c r="C178" i="2"/>
  <c r="C179" i="2" s="1"/>
  <c r="C180" i="2" s="1"/>
  <c r="C181" i="2" s="1"/>
  <c r="C182" i="2" s="1"/>
  <c r="C183" i="2" s="1"/>
  <c r="C184" i="2" s="1"/>
  <c r="G178" i="2"/>
  <c r="K178" i="2" s="1"/>
  <c r="G182" i="2"/>
  <c r="K182" i="2" s="1"/>
  <c r="G183" i="2"/>
  <c r="K183" i="2" s="1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 s="1"/>
  <c r="G199" i="2"/>
  <c r="K199" i="2" s="1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 s="1"/>
  <c r="E220" i="2"/>
  <c r="F220" i="2"/>
  <c r="J220" i="2"/>
  <c r="AE275" i="2" l="1"/>
  <c r="AI235" i="2"/>
  <c r="AI275" i="2" s="1"/>
  <c r="G275" i="2"/>
  <c r="K275" i="2"/>
  <c r="AI177" i="2"/>
  <c r="AI220" i="2" s="1"/>
  <c r="AE220" i="2"/>
  <c r="AB220" i="2"/>
  <c r="S220" i="2"/>
  <c r="W177" i="2"/>
  <c r="W220" i="2" s="1"/>
  <c r="P220" i="2"/>
  <c r="D220" i="2"/>
  <c r="K177" i="2"/>
  <c r="K220" i="2" s="1"/>
  <c r="G220" i="2"/>
  <c r="AB131" i="2"/>
  <c r="AB130" i="2"/>
  <c r="AB129" i="2"/>
  <c r="AG128" i="2"/>
  <c r="AG165" i="2" s="1"/>
  <c r="AB128" i="2"/>
  <c r="AB127" i="2"/>
  <c r="AE127" i="2" s="1"/>
  <c r="AI127" i="2" s="1"/>
  <c r="AB126" i="2"/>
  <c r="AE126" i="2" s="1"/>
  <c r="AI126" i="2" s="1"/>
  <c r="AB125" i="2"/>
  <c r="AB124" i="2"/>
  <c r="AB123" i="2"/>
  <c r="AB122" i="2"/>
  <c r="AE122" i="2" s="1"/>
  <c r="AI122" i="2" s="1"/>
  <c r="AA123" i="2"/>
  <c r="AE123" i="2"/>
  <c r="AI123" i="2" s="1"/>
  <c r="AA124" i="2"/>
  <c r="AE124" i="2"/>
  <c r="AI124" i="2" s="1"/>
  <c r="AE125" i="2"/>
  <c r="AI125" i="2" s="1"/>
  <c r="AA126" i="2"/>
  <c r="AA127" i="2" s="1"/>
  <c r="AA128" i="2" s="1"/>
  <c r="AA129" i="2" s="1"/>
  <c r="AA130" i="2" s="1"/>
  <c r="AA131" i="2" s="1"/>
  <c r="AE128" i="2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 s="1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P127" i="2"/>
  <c r="S127" i="2" s="1"/>
  <c r="W127" i="2" s="1"/>
  <c r="P126" i="2"/>
  <c r="S126" i="2" s="1"/>
  <c r="W126" i="2" s="1"/>
  <c r="Q125" i="2"/>
  <c r="Q165" i="2" s="1"/>
  <c r="P125" i="2"/>
  <c r="P124" i="2"/>
  <c r="S124" i="2" s="1"/>
  <c r="W124" i="2" s="1"/>
  <c r="P123" i="2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W156" i="2"/>
  <c r="S156" i="2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W148" i="2"/>
  <c r="S148" i="2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W140" i="2"/>
  <c r="S140" i="2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W132" i="2"/>
  <c r="S132" i="2"/>
  <c r="S131" i="2"/>
  <c r="W131" i="2" s="1"/>
  <c r="S130" i="2"/>
  <c r="W130" i="2" s="1"/>
  <c r="S129" i="2"/>
  <c r="W129" i="2" s="1"/>
  <c r="S128" i="2"/>
  <c r="W128" i="2" s="1"/>
  <c r="S123" i="2"/>
  <c r="O123" i="2"/>
  <c r="O124" i="2" s="1"/>
  <c r="O125" i="2" s="1"/>
  <c r="O126" i="2" s="1"/>
  <c r="O127" i="2" s="1"/>
  <c r="D126" i="2"/>
  <c r="D125" i="2"/>
  <c r="D124" i="2"/>
  <c r="G124" i="2" s="1"/>
  <c r="K124" i="2" s="1"/>
  <c r="C123" i="2"/>
  <c r="C124" i="2" s="1"/>
  <c r="C125" i="2" s="1"/>
  <c r="C126" i="2" s="1"/>
  <c r="I123" i="2"/>
  <c r="D123" i="2"/>
  <c r="G123" i="2" s="1"/>
  <c r="K123" i="2" s="1"/>
  <c r="J122" i="2"/>
  <c r="J165" i="2"/>
  <c r="D122" i="2"/>
  <c r="G122" i="2"/>
  <c r="K122" i="2" s="1"/>
  <c r="G125" i="2"/>
  <c r="K125" i="2" s="1"/>
  <c r="I165" i="2"/>
  <c r="G126" i="2"/>
  <c r="K126" i="2" s="1"/>
  <c r="G127" i="2"/>
  <c r="K127" i="2" s="1"/>
  <c r="G128" i="2"/>
  <c r="K128" i="2"/>
  <c r="G129" i="2"/>
  <c r="K129" i="2" s="1"/>
  <c r="G130" i="2"/>
  <c r="K130" i="2" s="1"/>
  <c r="G131" i="2"/>
  <c r="K131" i="2" s="1"/>
  <c r="G132" i="2"/>
  <c r="K132" i="2"/>
  <c r="G133" i="2"/>
  <c r="K133" i="2"/>
  <c r="G134" i="2"/>
  <c r="K134" i="2"/>
  <c r="G135" i="2"/>
  <c r="K135" i="2" s="1"/>
  <c r="G136" i="2"/>
  <c r="K136" i="2" s="1"/>
  <c r="G137" i="2"/>
  <c r="K137" i="2" s="1"/>
  <c r="G138" i="2"/>
  <c r="K138" i="2"/>
  <c r="G139" i="2"/>
  <c r="K139" i="2"/>
  <c r="G140" i="2"/>
  <c r="K140" i="2"/>
  <c r="G141" i="2"/>
  <c r="K141" i="2"/>
  <c r="G142" i="2"/>
  <c r="K142" i="2"/>
  <c r="G143" i="2"/>
  <c r="K143" i="2" s="1"/>
  <c r="G144" i="2"/>
  <c r="K144" i="2" s="1"/>
  <c r="G145" i="2"/>
  <c r="K145" i="2" s="1"/>
  <c r="G146" i="2"/>
  <c r="K146" i="2"/>
  <c r="G147" i="2"/>
  <c r="K147" i="2"/>
  <c r="G148" i="2"/>
  <c r="K148" i="2"/>
  <c r="G149" i="2"/>
  <c r="K149" i="2"/>
  <c r="G150" i="2"/>
  <c r="K150" i="2"/>
  <c r="G151" i="2"/>
  <c r="K151" i="2" s="1"/>
  <c r="G152" i="2"/>
  <c r="K152" i="2" s="1"/>
  <c r="G153" i="2"/>
  <c r="K153" i="2" s="1"/>
  <c r="G154" i="2"/>
  <c r="K154" i="2"/>
  <c r="G155" i="2"/>
  <c r="K155" i="2"/>
  <c r="G162" i="2"/>
  <c r="K162" i="2"/>
  <c r="E165" i="2"/>
  <c r="F165" i="2"/>
  <c r="AI128" i="2" l="1"/>
  <c r="AB165" i="2"/>
  <c r="AE165" i="2"/>
  <c r="AI165" i="2"/>
  <c r="S125" i="2"/>
  <c r="W125" i="2" s="1"/>
  <c r="P165" i="2"/>
  <c r="W123" i="2"/>
  <c r="D165" i="2"/>
  <c r="K165" i="2"/>
  <c r="G165" i="2"/>
  <c r="AB76" i="2"/>
  <c r="AB75" i="2"/>
  <c r="AE75" i="2" s="1"/>
  <c r="AI75" i="2" s="1"/>
  <c r="AB74" i="2"/>
  <c r="AE74" i="2" s="1"/>
  <c r="AI74" i="2" s="1"/>
  <c r="AB73" i="2"/>
  <c r="AE73" i="2"/>
  <c r="AI73" i="2" s="1"/>
  <c r="AB72" i="2"/>
  <c r="AE72" i="2" s="1"/>
  <c r="AI72" i="2" s="1"/>
  <c r="AB71" i="2"/>
  <c r="AE71" i="2"/>
  <c r="AI71" i="2" s="1"/>
  <c r="AB70" i="2"/>
  <c r="AB69" i="2"/>
  <c r="AB68" i="2"/>
  <c r="AB67" i="2"/>
  <c r="AA68" i="2"/>
  <c r="AA69" i="2" s="1"/>
  <c r="AA70" i="2" s="1"/>
  <c r="AA71" i="2" s="1"/>
  <c r="AA72" i="2" s="1"/>
  <c r="AA73" i="2" s="1"/>
  <c r="AA74" i="2" s="1"/>
  <c r="AA75" i="2" s="1"/>
  <c r="AA76" i="2" s="1"/>
  <c r="AE67" i="2"/>
  <c r="AI67" i="2"/>
  <c r="AE68" i="2"/>
  <c r="AI68" i="2" s="1"/>
  <c r="AE69" i="2"/>
  <c r="AI69" i="2" s="1"/>
  <c r="AE70" i="2"/>
  <c r="AI70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 s="1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AH110" i="2"/>
  <c r="I77" i="2"/>
  <c r="K77" i="2" s="1"/>
  <c r="D77" i="2"/>
  <c r="D76" i="2"/>
  <c r="G76" i="2" s="1"/>
  <c r="K76" i="2" s="1"/>
  <c r="D75" i="2"/>
  <c r="D74" i="2"/>
  <c r="G74" i="2" s="1"/>
  <c r="K74" i="2" s="1"/>
  <c r="C77" i="2"/>
  <c r="D73" i="2"/>
  <c r="G73" i="2" s="1"/>
  <c r="K73" i="2" s="1"/>
  <c r="I72" i="2"/>
  <c r="D72" i="2"/>
  <c r="G72" i="2" s="1"/>
  <c r="I71" i="2"/>
  <c r="D71" i="2"/>
  <c r="G71" i="2" s="1"/>
  <c r="K71" i="2" s="1"/>
  <c r="I70" i="2"/>
  <c r="D70" i="2"/>
  <c r="G70" i="2" s="1"/>
  <c r="K70" i="2" s="1"/>
  <c r="D69" i="2"/>
  <c r="J68" i="2"/>
  <c r="D68" i="2"/>
  <c r="D67" i="2"/>
  <c r="G67" i="2"/>
  <c r="K67" i="2" s="1"/>
  <c r="C69" i="2"/>
  <c r="C70" i="2" s="1"/>
  <c r="C71" i="2" s="1"/>
  <c r="C72" i="2" s="1"/>
  <c r="C73" i="2" s="1"/>
  <c r="C74" i="2" s="1"/>
  <c r="C75" i="2" s="1"/>
  <c r="G69" i="2"/>
  <c r="K69" i="2"/>
  <c r="G75" i="2"/>
  <c r="K75" i="2" s="1"/>
  <c r="G77" i="2"/>
  <c r="G78" i="2"/>
  <c r="K78" i="2" s="1"/>
  <c r="G79" i="2"/>
  <c r="K79" i="2"/>
  <c r="G80" i="2"/>
  <c r="K80" i="2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J110" i="2"/>
  <c r="W165" i="2" l="1"/>
  <c r="S165" i="2"/>
  <c r="AB110" i="2"/>
  <c r="AE110" i="2"/>
  <c r="AI110" i="2"/>
  <c r="I110" i="2"/>
  <c r="K72" i="2"/>
  <c r="D110" i="2"/>
  <c r="G68" i="2"/>
  <c r="K68" i="2" s="1"/>
  <c r="D19" i="2"/>
  <c r="D18" i="2"/>
  <c r="J17" i="2"/>
  <c r="D17" i="2"/>
  <c r="D16" i="2"/>
  <c r="D15" i="2"/>
  <c r="D14" i="2"/>
  <c r="I13" i="2"/>
  <c r="D13" i="2"/>
  <c r="D12" i="2"/>
  <c r="C14" i="2"/>
  <c r="C15" i="2" s="1"/>
  <c r="C16" i="2" s="1"/>
  <c r="C17" i="2" s="1"/>
  <c r="C18" i="2" s="1"/>
  <c r="C19" i="2" s="1"/>
  <c r="C13" i="2"/>
  <c r="K110" i="2" l="1"/>
  <c r="G110" i="2"/>
  <c r="J38" i="1"/>
  <c r="J39" i="1"/>
  <c r="J40" i="1"/>
  <c r="J30" i="1"/>
  <c r="D30" i="1" s="1"/>
  <c r="J31" i="1"/>
  <c r="J32" i="1"/>
  <c r="D32" i="1" s="1"/>
  <c r="J22" i="1"/>
  <c r="J23" i="1"/>
  <c r="D23" i="1" s="1"/>
  <c r="J24" i="1"/>
  <c r="D24" i="1" s="1"/>
  <c r="J25" i="1"/>
  <c r="D25" i="1" s="1"/>
  <c r="J15" i="1"/>
  <c r="D15" i="1" s="1"/>
  <c r="J16" i="1"/>
  <c r="D16" i="1" s="1"/>
  <c r="J17" i="1"/>
  <c r="D17" i="1" s="1"/>
  <c r="J18" i="1"/>
  <c r="D18" i="1" s="1"/>
  <c r="D36" i="1"/>
  <c r="D37" i="1"/>
  <c r="D38" i="1"/>
  <c r="D39" i="1"/>
  <c r="D31" i="1"/>
  <c r="D40" i="1" l="1"/>
  <c r="A40" i="1"/>
  <c r="O13" i="2"/>
  <c r="O14" i="2" s="1"/>
  <c r="O15" i="2" s="1"/>
  <c r="O16" i="2" s="1"/>
  <c r="O17" i="2" s="1"/>
  <c r="O18" i="2" s="1"/>
  <c r="O19" i="2" s="1"/>
  <c r="O20" i="2" s="1"/>
  <c r="O21" i="2" s="1"/>
  <c r="J33" i="1"/>
  <c r="D33" i="1" s="1"/>
  <c r="J35" i="1"/>
  <c r="D35" i="1" s="1"/>
  <c r="J36" i="1"/>
  <c r="J37" i="1"/>
  <c r="J26" i="1"/>
  <c r="D26" i="1" s="1"/>
  <c r="J28" i="1"/>
  <c r="D28" i="1" s="1"/>
  <c r="J29" i="1"/>
  <c r="J19" i="1"/>
  <c r="D19" i="1" s="1"/>
  <c r="J21" i="1"/>
  <c r="D21" i="1" s="1"/>
  <c r="D22" i="1"/>
  <c r="J14" i="1"/>
  <c r="D14" i="1" s="1"/>
  <c r="J12" i="1"/>
  <c r="D12" i="1" s="1"/>
  <c r="J11" i="1"/>
  <c r="D11" i="1" s="1"/>
  <c r="D29" i="1" l="1"/>
  <c r="J10" i="1" l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E78253FE-3B24-40C9-973F-C4393A1B4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</t>
        </r>
      </text>
    </comment>
    <comment ref="C13" authorId="0" shapeId="0" xr:uid="{799598B4-7AF2-4509-AC12-BBE8127A07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C14" authorId="0" shapeId="0" xr:uid="{0A7B2414-546C-4BE6-976F-80BC9214C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C15" authorId="0" shapeId="0" xr:uid="{144A6D7C-9967-4DAF-A15D-245BCB702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6" authorId="0" shapeId="0" xr:uid="{7641DDDC-2CB9-4F41-87E5-B921E62A8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 SALUG</t>
        </r>
      </text>
    </comment>
    <comment ref="C17" authorId="0" shapeId="0" xr:uid="{C79ACE3E-EA17-4A99-931F-9CD703AC45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8" authorId="0" shapeId="0" xr:uid="{93364A50-13BA-4CE4-B5C3-18C3EE04CC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9" authorId="0" shapeId="0" xr:uid="{849A5BA1-0095-410A-BE25-76ADAAE54C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</t>
        </r>
      </text>
    </comment>
    <comment ref="C67" authorId="0" shapeId="0" xr:uid="{831425DB-A424-4ACA-A4E9-59CEE34E11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AA67" authorId="0" shapeId="0" xr:uid="{C6532438-6E2A-4BA9-9B7D-CEB9222429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ANDAPO</t>
        </r>
      </text>
    </comment>
    <comment ref="C68" authorId="0" shapeId="0" xr:uid="{CB52DFE9-BF1D-4BF0-B814-34F24CD29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SIAYAN</t>
        </r>
      </text>
    </comment>
    <comment ref="AA68" authorId="0" shapeId="0" xr:uid="{1E7FA03A-9E60-4974-8729-5AC0876A9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69" authorId="0" shapeId="0" xr:uid="{D1510EF7-E7D1-4F68-BA94-9AE7A9910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9" authorId="0" shapeId="0" xr:uid="{DD00712A-ADCB-46E7-B8C1-EAA166AB1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70" authorId="0" shapeId="0" xr:uid="{DD7B166E-6241-4A1A-8887-BC07DEAF2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0" authorId="0" shapeId="0" xr:uid="{E9680EBD-BE09-4476-A984-B3E2F87809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TRUCIO
BAYBAY, LILOY</t>
        </r>
      </text>
    </comment>
    <comment ref="C71" authorId="0" shapeId="0" xr:uid="{80BAAF11-B5E4-4FAA-BF79-ED7B1E09C4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AA71" authorId="0" shapeId="0" xr:uid="{69775B11-E427-45C1-81FA-8726399F6C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GENITA
BAYBAY, LILOY</t>
        </r>
      </text>
    </comment>
    <comment ref="C72" authorId="0" shapeId="0" xr:uid="{A2371677-BA73-405E-9030-A2EE4FC8A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AA72" authorId="0" shapeId="0" xr:uid="{A86A19B9-832B-46FE-932F-A40771CF29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" authorId="0" shapeId="0" xr:uid="{7168DBDE-D3BD-4380-AA6F-99B68C70A9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ARIPAL</t>
        </r>
      </text>
    </comment>
    <comment ref="AA73" authorId="0" shapeId="0" xr:uid="{091F293A-C0B9-469A-BF11-0D47454A9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4" authorId="0" shapeId="0" xr:uid="{549FBCA3-65A1-4EBE-91AB-CD4867BE7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74" authorId="0" shapeId="0" xr:uid="{7AEE364B-5850-4F58-8D1F-785B0CB3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5" authorId="0" shapeId="0" xr:uid="{9B7F1267-6342-45CD-B3D2-6FAEB2753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AA75" authorId="0" shapeId="0" xr:uid="{88F2DE1B-4EB5-422D-B4FF-7E0E841AD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6" authorId="0" shapeId="0" xr:uid="{719DD5F7-F7B0-4208-BD23-6BA4FC2F5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BUGANOTAN STORE
INUMAN, SINDANGAN</t>
        </r>
      </text>
    </comment>
    <comment ref="AA76" authorId="0" shapeId="0" xr:uid="{5C7E79C3-181A-4DC3-9138-AB64BC0A9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GOLEO, SINDANGAN</t>
        </r>
      </text>
    </comment>
    <comment ref="C77" authorId="0" shapeId="0" xr:uid="{6956EA22-1510-4A42-944F-206744B1C0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D122" authorId="0" shapeId="0" xr:uid="{18DB7D9F-E5CB-414A-B158-2047D26FF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122" authorId="0" shapeId="0" xr:uid="{A6C739AB-98C9-4FCA-9135-C99090986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ANGCLO
DATU TANGKILAN, SINDANGAN</t>
        </r>
      </text>
    </comment>
    <comment ref="AA122" authorId="0" shapeId="0" xr:uid="{2BD71D9F-8CA2-490B-AB87-57EADFE970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</t>
        </r>
      </text>
    </comment>
    <comment ref="D123" authorId="0" shapeId="0" xr:uid="{AAF00163-A9C9-4AEB-9988-52BAEA7090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23" authorId="0" shapeId="0" xr:uid="{A5F3C37C-93DB-4B97-AD8A-792E491EB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
TALINGA, SINDANGAN</t>
        </r>
      </text>
    </comment>
    <comment ref="AA123" authorId="0" shapeId="0" xr:uid="{0230ACC4-8C82-44B2-A8E1-1B092CF88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POB, SALUG</t>
        </r>
      </text>
    </comment>
    <comment ref="D124" authorId="0" shapeId="0" xr:uid="{7335945C-640B-4609-ACBB-4C4E94AD5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4" authorId="0" shapeId="0" xr:uid="{7294077C-6600-4138-843B-7B6F3B7A1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AILEEN
GOLEO, SINDANGAN</t>
        </r>
      </text>
    </comment>
    <comment ref="AA124" authorId="0" shapeId="0" xr:uid="{0E67C7A1-21B0-4F04-BAA8-52E3B2777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D125" authorId="0" shapeId="0" xr:uid="{59C1AE4C-BE95-42C0-B552-89176345D7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25" authorId="0" shapeId="0" xr:uid="{73402CEA-839F-4B08-8712-4CEE1F1639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5" authorId="0" shapeId="0" xr:uid="{76A2F2AF-8CDD-4EC1-8162-C4C9505E9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D126" authorId="0" shapeId="0" xr:uid="{ABA6857E-7B4F-47BC-94A0-37EEAA01B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126" authorId="0" shapeId="0" xr:uid="{BE34E09D-FB89-4E12-94E0-0A735635C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26" authorId="0" shapeId="0" xr:uid="{43F60E8B-058F-4E76-A3FF-4191BF5AD7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AMIT, ANALYN
BACONG, SALUG</t>
        </r>
      </text>
    </comment>
    <comment ref="O127" authorId="0" shapeId="0" xr:uid="{3DC26940-1592-490B-A40A-8084CD200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AA127" authorId="0" shapeId="0" xr:uid="{B39854B1-15B5-4461-BC85-44BD2B89A4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 2
RAZIEL VUGAS
BACONG, SALUG</t>
        </r>
      </text>
    </comment>
    <comment ref="AA128" authorId="0" shapeId="0" xr:uid="{108ED6BF-BC0A-4004-B780-28FFB48267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MARVIN SULO
BACONG, SALUG</t>
        </r>
      </text>
    </comment>
    <comment ref="AA129" authorId="0" shapeId="0" xr:uid="{C67484DE-80E7-4110-9ED4-264B33D2B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AA130" authorId="0" shapeId="0" xr:uid="{4CCAFB6B-9384-4722-A785-D09A50EEA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AA131" authorId="0" shapeId="0" xr:uid="{314774D9-4D30-4B22-8E76-A83E4DFFB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177" authorId="0" shapeId="0" xr:uid="{1765DFA6-7303-45F5-8547-710570FC7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177" authorId="0" shapeId="0" xr:uid="{6CE7FE2E-7780-4FE9-BAF2-06FE0189C5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7" authorId="0" shapeId="0" xr:uid="{EEE96ED9-5233-4CF7-9C15-E9637C65F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78" authorId="0" shapeId="0" xr:uid="{45F9C323-B444-4F2A-AAF1-2CF0E3C7A532}">
      <text>
        <r>
          <rPr>
            <b/>
            <sz val="9"/>
            <color indexed="81"/>
            <rFont val="Tahoma"/>
            <charset val="1"/>
          </rPr>
          <t>User:
CRIS PAUNILYAN
POLAYO, SIAYAN</t>
        </r>
      </text>
    </comment>
    <comment ref="O178" authorId="0" shapeId="0" xr:uid="{CE119575-03B9-4364-9F5C-E837F41F0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8" authorId="0" shapeId="0" xr:uid="{BD9A3788-D4EE-450C-B770-3229AC458E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79" authorId="0" shapeId="0" xr:uid="{3B0E6EA8-4A67-4EAD-B338-25898DFE43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79" authorId="0" shapeId="0" xr:uid="{FAD5DECE-A8B8-4ED2-8FF7-C75FA7219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AA179" authorId="0" shapeId="0" xr:uid="{BFBE41B6-935C-46A2-9322-3D18BA22F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6418A50F-701A-4531-B709-5BA1654FCF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180" authorId="0" shapeId="0" xr:uid="{31588E0B-5142-4BF8-86EF-F5FC2DAF11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AA180" authorId="0" shapeId="0" xr:uid="{99C0437F-D813-41C7-A750-0177119DE8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181" authorId="0" shapeId="0" xr:uid="{0EB241F6-07A9-4E3C-A455-4B1E750AA9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81" authorId="0" shapeId="0" xr:uid="{1433899B-DE7C-47EC-851E-8FF541CB8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MAGLANGIT
CALUAN, SINDANGAN</t>
        </r>
      </text>
    </comment>
    <comment ref="AA181" authorId="0" shapeId="0" xr:uid="{0994C3AD-8808-4280-9419-72D8C842CC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NELMEN GUIBANG-GUIBANG
KAYOK, LILOY</t>
        </r>
      </text>
    </comment>
    <comment ref="C182" authorId="0" shapeId="0" xr:uid="{3417E055-50C6-4912-9583-7F55DFECFF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182" authorId="0" shapeId="0" xr:uid="{54852F7E-2DC5-403A-BC6D-CDA69AAB1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ESPAÑOLA
LOWER INUMAN, SINDANGAN</t>
        </r>
      </text>
    </comment>
    <comment ref="C183" authorId="0" shapeId="0" xr:uid="{DE40E0FB-CFC8-470B-B210-B92EBDDAA4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83" authorId="0" shapeId="0" xr:uid="{028DD394-62E8-4F02-8600-DD81EFCD6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BUROY FLORES
GOLEO, SINDANGAN</t>
        </r>
      </text>
    </comment>
    <comment ref="C184" authorId="0" shapeId="0" xr:uid="{55DAE299-4B5A-4ED5-9E06-69846DB461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84" authorId="0" shapeId="0" xr:uid="{4CF4971F-DC59-4D3D-80FA-5AD986500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185" authorId="0" shapeId="0" xr:uid="{A477FD0F-B866-4E8D-937F-FF2639EF6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C232" authorId="0" shapeId="0" xr:uid="{2CAB5E76-72E6-4A43-BF41-8C7F7FE70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232" authorId="0" shapeId="0" xr:uid="{36BEC8F9-8704-4274-BD81-8D7CA0EA43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SINDANGAN</t>
        </r>
      </text>
    </comment>
    <comment ref="AA232" authorId="0" shapeId="0" xr:uid="{AFDD4F6E-2699-467B-B361-7CF6AA0F07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O233" authorId="0" shapeId="0" xr:uid="{EE775DC6-C090-42DE-ABA4-0DF11200F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233" authorId="0" shapeId="0" xr:uid="{D851C6EC-5A31-43ED-9771-2546A989A2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234" authorId="0" shapeId="0" xr:uid="{24BB9E8D-ED37-4FC4-8B25-1F43F7C4A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34" authorId="0" shapeId="0" xr:uid="{AA1992A1-640D-4640-9093-40DAE147EB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 STORE
POB, BACUNGAN</t>
        </r>
      </text>
    </comment>
    <comment ref="AA234" authorId="0" shapeId="0" xr:uid="{FB3086CB-D904-4DF5-929C-06F83C118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C235" authorId="0" shapeId="0" xr:uid="{698AE119-63F4-4D5A-AC7B-B00B986A3E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35" authorId="0" shapeId="0" xr:uid="{BFB027DF-1563-425F-AF84-CEA707AB4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235" authorId="0" shapeId="0" xr:uid="{40FDA72E-D7B1-434E-B672-E4086297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POG, SALUG</t>
        </r>
      </text>
    </comment>
    <comment ref="C236" authorId="0" shapeId="0" xr:uid="{110001F9-173F-4FC1-9F93-6B81F8199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AA236" authorId="0" shapeId="0" xr:uid="{BC143D2A-5A13-4EF3-947C-83D711B0EA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237" authorId="0" shapeId="0" xr:uid="{7E2B5D40-4D54-4852-9D5B-7B5B1C54FC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VILLALUNA
LABAKID, SINDANGAN</t>
        </r>
      </text>
    </comment>
    <comment ref="AA237" authorId="0" shapeId="0" xr:uid="{E3AB9F03-BD0E-4CC8-AD3C-605DED91AD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238" authorId="0" shapeId="0" xr:uid="{C1458468-FDED-450E-AEED-0A4AF8863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238" authorId="0" shapeId="0" xr:uid="{8337165C-1637-4B5C-868E-277092D83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239" authorId="0" shapeId="0" xr:uid="{AB64A714-C526-418A-A3EA-C846C315A1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AA239" authorId="0" shapeId="0" xr:uid="{DF386BDE-1A23-4C4E-9699-7513DCEB02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AA240" authorId="0" shapeId="0" xr:uid="{E8DB5E00-C42C-401A-9E99-6E325031AC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BUHIAN
POB, SALUG</t>
        </r>
      </text>
    </comment>
    <comment ref="AA241" authorId="0" shapeId="0" xr:uid="{1DB3DB7B-1FF4-4955-AF97-4E0E24D6B6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242" authorId="0" shapeId="0" xr:uid="{527C527D-BF4B-426F-AA26-EAF3FC6219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287" authorId="0" shapeId="0" xr:uid="{C47501DE-6358-4F8A-ADE0-C13652C31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O287" authorId="0" shapeId="0" xr:uid="{094AFE80-26CF-485A-BCF8-4058C92C3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JOEY STORE
GOLEO, SINDANGAN</t>
        </r>
      </text>
    </comment>
    <comment ref="AA287" authorId="0" shapeId="0" xr:uid="{6DDEAB56-44E8-4E3D-A684-7AA51D514D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288" authorId="0" shapeId="0" xr:uid="{9B109816-5FE8-4647-AAE4-E81A838BF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ASOCENA BERDADERO
DAGAO, SIAYAN</t>
        </r>
      </text>
    </comment>
    <comment ref="O288" authorId="0" shapeId="0" xr:uid="{DE8CCE2C-EAE1-46DA-BBB3-9FB341456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288" authorId="0" shapeId="0" xr:uid="{51256326-DB84-4B05-BBF9-9A257AD51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89" authorId="0" shapeId="0" xr:uid="{21891CD5-0566-4C06-A2CE-895F48F5F6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CATIG'S VARIETY STORE
GUNYAN, SIAYAN</t>
        </r>
      </text>
    </comment>
    <comment ref="O289" authorId="0" shapeId="0" xr:uid="{6242AF3D-E79D-4CAE-804A-8BA21ECC9B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289" authorId="0" shapeId="0" xr:uid="{83B9E218-C054-43D3-8FF6-17CCB21256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290" authorId="0" shapeId="0" xr:uid="{5DD0C93B-AC5D-4F86-86EA-F696B7BD8D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ANDUS STORE
MANDIH, SINDANGAN</t>
        </r>
      </text>
    </comment>
    <comment ref="AA290" authorId="0" shapeId="0" xr:uid="{6EAF3E36-6370-4D29-9ED2-FEDBD36BD5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O291" authorId="0" shapeId="0" xr:uid="{C6D18356-63FF-42A6-A4EE-D260357D5B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LILY OXALES
MANDIH, SINDANGAN</t>
        </r>
      </text>
    </comment>
    <comment ref="O292" authorId="0" shapeId="0" xr:uid="{A7BDED93-FF29-4EFF-BC0F-2084AE58F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RC
LOWER INUMAN, SINDANGAN</t>
        </r>
      </text>
    </comment>
    <comment ref="O293" authorId="0" shapeId="0" xr:uid="{C5A45706-AFB4-48A6-83E4-67D3A4BD40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REMULUNA
LOWER INUMAN, SINDANGAN</t>
        </r>
      </text>
    </comment>
    <comment ref="O294" authorId="0" shapeId="0" xr:uid="{A08137D8-44DE-477D-BD54-6CDFD37A0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
MARAS, SINDANGAN</t>
        </r>
      </text>
    </comment>
    <comment ref="O295" authorId="0" shapeId="0" xr:uid="{86FB6D49-B677-4AFE-A149-4A144B533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O296" authorId="0" shapeId="0" xr:uid="{D2E2C7C8-7D27-44E1-A298-73D7A4FFA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97" authorId="0" shapeId="0" xr:uid="{6783DC66-7A3A-4599-A16D-06116510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CARINDERIA
LOWER INUMAN, SINDANGAN</t>
        </r>
      </text>
    </comment>
    <comment ref="O298" authorId="0" shapeId="0" xr:uid="{EE8228C7-800B-4C40-AED3-B9E6057CA6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LOWER INUMAN, SINDANGAN</t>
        </r>
      </text>
    </comment>
    <comment ref="O299" authorId="0" shapeId="0" xr:uid="{C5A619E9-B4E2-4F2D-88B5-B9BFE0153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O301" authorId="0" shapeId="0" xr:uid="{DF0B57EF-7528-4B10-A462-D45E22EEA6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302" authorId="0" shapeId="0" xr:uid="{806122B0-2040-4800-817C-C27BCBAD6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ACBAYAN MARILOU
TALINGA, BACUNGAN</t>
        </r>
      </text>
    </comment>
    <comment ref="O303" authorId="0" shapeId="0" xr:uid="{3FA61CEB-0A38-4633-B0EF-4DF824D9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304" authorId="0" shapeId="0" xr:uid="{7B02B52F-2855-4C02-8EE2-124B9DD89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RICARDO DADAN
TALINGA, SINDANGAN</t>
        </r>
      </text>
    </comment>
    <comment ref="O305" authorId="0" shapeId="0" xr:uid="{4744FB07-7266-4A17-BB78-8FB130BE2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306" authorId="0" shapeId="0" xr:uid="{FBEF8DD4-F168-4338-9F5C-C80D5010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CARMELA TANDOG
TALINGA, SINDANGAN</t>
        </r>
      </text>
    </comment>
    <comment ref="O307" authorId="0" shapeId="0" xr:uid="{95909270-A57D-4565-8348-40545C625E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MARIQUITA MONDIDO
TALINGA, SINDANGAN</t>
        </r>
      </text>
    </comment>
    <comment ref="O308" authorId="0" shapeId="0" xr:uid="{2E85A074-F703-4BD9-B06E-92C2FE905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GAGA STORE
TALINGA, SINDANGAN</t>
        </r>
      </text>
    </comment>
    <comment ref="O309" authorId="0" shapeId="0" xr:uid="{A2393788-BF68-4970-99E6-38696A896E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310" authorId="0" shapeId="0" xr:uid="{F5559E3E-DDDF-4C0D-82A4-56251DA18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ANTIPUESTO
LOWER INUMAN, SINDANGAN</t>
        </r>
      </text>
    </comment>
    <comment ref="C342" authorId="0" shapeId="0" xr:uid="{B397314C-210D-450B-AA9F-5F01F86A9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SAIYAN</t>
        </r>
      </text>
    </comment>
    <comment ref="O342" authorId="0" shapeId="0" xr:uid="{E86EC90A-0448-4761-8E57-36126F83D1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GREG SAGAPSAPAN
TINAPLAN, SINDANGAN</t>
        </r>
      </text>
    </comment>
    <comment ref="AA342" authorId="0" shapeId="0" xr:uid="{010C2B3E-EFCC-4F90-B27F-E6E2D0F269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AJAY SAPIHI
POB, SALUG</t>
        </r>
      </text>
    </comment>
    <comment ref="O343" authorId="0" shapeId="0" xr:uid="{8D575E3D-E08F-4348-999E-1815B3989B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RUNIE JAMORA
POB, BACUNGAN</t>
        </r>
      </text>
    </comment>
    <comment ref="AA343" authorId="0" shapeId="0" xr:uid="{91A6167E-F1EC-4E8E-8CA4-B58D797D7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344" authorId="0" shapeId="0" xr:uid="{2EBBF130-10DD-4ED9-B5DC-6BCF7F72D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AA344" authorId="0" shapeId="0" xr:uid="{E90A2EE3-65B1-40B5-A139-32FBF21CF8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ELSIE UY
POB, SALUG</t>
        </r>
      </text>
    </comment>
    <comment ref="O345" authorId="0" shapeId="0" xr:uid="{5DB6AAE2-BAA3-4285-81FD-03204A3E6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SAPIHI STORE
RM, SALUG</t>
        </r>
      </text>
    </comment>
    <comment ref="AA345" authorId="0" shapeId="0" xr:uid="{0CF41D01-38EA-4C21-8FA8-6F1F9F88D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346" authorId="0" shapeId="0" xr:uid="{20DE2889-CA52-4BF7-AD7A-545B9739E6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346" authorId="0" shapeId="0" xr:uid="{D8B80F06-8A1A-4921-AC16-1595C6F99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347" authorId="0" shapeId="0" xr:uid="{B4950FFB-CD27-468F-9DFA-27614D579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347" authorId="0" shapeId="0" xr:uid="{4CD7E79D-9137-4D5C-B3A1-7925B90D85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8" authorId="0" shapeId="0" xr:uid="{F264A08A-5124-430F-8B7A-5EB2C440E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349" authorId="0" shapeId="0" xr:uid="{C6F33813-7CAF-4D29-9AF2-639F7EC79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RM, SALUG</t>
        </r>
      </text>
    </comment>
    <comment ref="O350" authorId="0" shapeId="0" xr:uid="{79E3D838-A168-41D0-938D-60DD0E8434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MALOU STORE
BOGABONGAN, BACUNGAN</t>
        </r>
      </text>
    </comment>
    <comment ref="O351" authorId="0" shapeId="0" xr:uid="{C1405EEC-2283-493B-8020-3AC57FD2C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BOGABONGAN, BACUNGAN</t>
        </r>
      </text>
    </comment>
    <comment ref="C397" authorId="0" shapeId="0" xr:uid="{A7B60B35-0242-448E-B760-1C5DC6B8DE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397" authorId="0" shapeId="0" xr:uid="{4524E2BA-A48F-4AE7-915C-12772B1B8A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397" authorId="0" shapeId="0" xr:uid="{B6109D7D-BCE5-449B-B306-7A970EC05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JUNJIE RABANEZ
BAYBAY, LILOY</t>
        </r>
      </text>
    </comment>
    <comment ref="C398" authorId="0" shapeId="0" xr:uid="{56FE86A0-C5CF-498C-B6B4-383F2DFAB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398" authorId="0" shapeId="0" xr:uid="{540D5E68-A707-4452-8F66-7609934DC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RESTY JOY GUBAN
MARAS, SINDANGAN</t>
        </r>
      </text>
    </comment>
    <comment ref="AA398" authorId="0" shapeId="0" xr:uid="{C4D75C44-19D6-423E-BBA3-9DDEECC1A1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723E9659-8235-4BC6-8ECF-0D633A09A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399" authorId="0" shapeId="0" xr:uid="{9BF56891-73EC-45D1-A48C-0AC100AE6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99" authorId="0" shapeId="0" xr:uid="{2BAA3018-4A88-4C4D-809D-583ADB3BDF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CCB65537-CA50-452D-90F7-72681D850F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400" authorId="0" shapeId="0" xr:uid="{BFD560EA-85F0-4AEE-A468-CF08787A9D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CARIÑO STORE
MARAS, SINDANGAN</t>
        </r>
      </text>
    </comment>
    <comment ref="AA400" authorId="0" shapeId="0" xr:uid="{458E2D0C-B8BB-40A5-BEED-BDAA005A73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401" authorId="0" shapeId="0" xr:uid="{D7657879-9ED6-4789-8E54-D0F3DB6097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O401" authorId="0" shapeId="0" xr:uid="{42FC5997-88A9-413D-8BA2-15708371C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
MARAS, SINDANGAN</t>
        </r>
      </text>
    </comment>
    <comment ref="C402" authorId="0" shapeId="0" xr:uid="{3602276D-1112-43DF-A571-1E01E2FB4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AND FRANCIS MINIMART
POB, SIAYAN</t>
        </r>
      </text>
    </comment>
    <comment ref="O402" authorId="0" shapeId="0" xr:uid="{CA8E9CA2-4280-4B9A-90D6-DB13E96C5E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CAYCAP STORE
MARAS, SINDANGAN</t>
        </r>
      </text>
    </comment>
    <comment ref="C403" authorId="0" shapeId="0" xr:uid="{33A5058A-1BC6-463C-A3B6-AB9E2F7E65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SIAYAN</t>
        </r>
      </text>
    </comment>
    <comment ref="O403" authorId="0" shapeId="0" xr:uid="{96206270-5C78-4BDF-8B99-C8D7F741D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MARAS, SINDANGAN</t>
        </r>
      </text>
    </comment>
    <comment ref="C404" authorId="0" shapeId="0" xr:uid="{2D3B0B56-3BC7-4C27-89E1-B835A825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05" authorId="0" shapeId="0" xr:uid="{D7618A8B-7326-4DC0-82A2-552BC5E996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O405" authorId="0" shapeId="0" xr:uid="{65E19518-759A-4581-82DC-A0166CAC40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406" authorId="0" shapeId="0" xr:uid="{087EF30E-39C3-48F6-9875-DF3CBEB093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MADULA DEBORAH
CALACAS, SIAYAN</t>
        </r>
      </text>
    </comment>
    <comment ref="O406" authorId="0" shapeId="0" xr:uid="{8982D926-D74B-4669-8984-F573FB96C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C407" authorId="0" shapeId="0" xr:uid="{D8C08EAC-E8D6-4CF2-AB1C-AA952D0DD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407" authorId="0" shapeId="0" xr:uid="{B0DA45B5-0979-4B06-8E90-62A6395555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C408" authorId="0" shapeId="0" xr:uid="{51CC4E18-1B6B-428B-B020-D44CB228A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08" authorId="0" shapeId="0" xr:uid="{7E9D37DD-2FA6-4FB9-A7B3-80C8216E92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409" authorId="0" shapeId="0" xr:uid="{CE40FF0D-3140-4E70-AB72-C237ED0F2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409" authorId="0" shapeId="0" xr:uid="{B745721A-417D-46DE-91A1-DA0FDCA8FF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PADILLA
GOLEO, SINDANGAN</t>
        </r>
      </text>
    </comment>
    <comment ref="C410" authorId="0" shapeId="0" xr:uid="{147FC82F-0E87-4FC9-8343-2C3CD50B67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410" authorId="0" shapeId="0" xr:uid="{29D1F473-9993-4AAC-AB0F-372DF75DC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C411" authorId="0" shapeId="0" xr:uid="{982A1126-E9B7-4FA5-A026-C46EFF79A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C412" authorId="0" shapeId="0" xr:uid="{7DE5BBED-EED1-4FB7-AAF0-EC053D713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STORE
DAGAO, SIAYAN</t>
        </r>
      </text>
    </comment>
    <comment ref="C413" authorId="0" shapeId="0" xr:uid="{8FA83274-E9D6-4B7F-B88C-F38362CE80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CAMILLION GUILLERMA
POLAYO, SIAYAN</t>
        </r>
      </text>
    </comment>
    <comment ref="C414" authorId="0" shapeId="0" xr:uid="{736E3462-FEF0-4C70-BDA0-2134B7F16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DULAT STORE
POLAYO, SIAYAN</t>
        </r>
      </text>
    </comment>
    <comment ref="C415" authorId="0" shapeId="0" xr:uid="{2B0D8E85-4209-4184-8B59-CEA767A04F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DOMAY LYDIA
POLAYO, SIAYAN</t>
        </r>
      </text>
    </comment>
    <comment ref="C416" authorId="0" shapeId="0" xr:uid="{07F0C30F-1C4C-4DCF-AA4D-82F381778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417" authorId="0" shapeId="0" xr:uid="{DF8A74A3-AD13-4D21-A522-4E70C349D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452" authorId="0" shapeId="0" xr:uid="{2DA4DFD0-55E9-43CF-B3AF-918AE75C8A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
DAPAON, SINDANGAN</t>
        </r>
      </text>
    </comment>
    <comment ref="O452" authorId="0" shapeId="0" xr:uid="{9D742DD3-DC1B-4F8F-99B0-CC823D87F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AA452" authorId="0" shapeId="0" xr:uid="{5984BBCC-63CF-45C5-805C-AD24B0C55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AA6E1F1A-E3FD-485C-A39D-06AA586E4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 JOE STORE
DUMALOGDOG, SINDANGAN</t>
        </r>
      </text>
    </comment>
    <comment ref="O453" authorId="0" shapeId="0" xr:uid="{DA10B444-F43A-4745-9D92-02E7EF7F54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453" authorId="0" shapeId="0" xr:uid="{4219FD2A-6836-4218-B0F0-8D5897B30F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JERIEL LAGARE
POB, SALUG</t>
        </r>
      </text>
    </comment>
    <comment ref="C454" authorId="0" shapeId="0" xr:uid="{91263EAA-BB10-4449-85E7-6F4D45CF7A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54" authorId="0" shapeId="0" xr:uid="{E9FEC8ED-0F2C-47ED-9698-0F96E60A7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ESCABARTE
GOLEO, SINDANGAN</t>
        </r>
      </text>
    </comment>
    <comment ref="AA454" authorId="0" shapeId="0" xr:uid="{DF9AFB0A-1783-47D4-9F9B-297769AD5B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5" authorId="0" shapeId="0" xr:uid="{9E1D4D06-5FF4-40EF-839D-914228500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455" authorId="0" shapeId="0" xr:uid="{D3AABBE2-3629-439C-BE30-E1D680D76F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455" authorId="0" shapeId="0" xr:uid="{C9E0D3B3-22B9-4A57-A9A4-D0BA7C8E6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456" authorId="0" shapeId="0" xr:uid="{27849A82-9ED6-41E7-B961-454EC51071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6" authorId="0" shapeId="0" xr:uid="{5D7C1F3A-2EE0-423B-803A-575CF84505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6F018399-9044-4113-9124-33766827DB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 ELIZABETH
BACONG, SALUG</t>
        </r>
      </text>
    </comment>
    <comment ref="C457" authorId="0" shapeId="0" xr:uid="{EB2C8374-6954-4021-841E-C0F03EFF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O457" authorId="0" shapeId="0" xr:uid="{D5E87555-0ADD-4A14-B66A-BE7DB4A94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C458" authorId="0" shapeId="0" xr:uid="{B04289BD-CD2E-4BDC-B0B5-0152625BA5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458" authorId="0" shapeId="0" xr:uid="{8EFEB035-D069-4FF4-B6DC-273716ECE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C459" authorId="0" shapeId="0" xr:uid="{C55A54CC-79A8-4BD6-A737-32B800BB0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460" authorId="0" shapeId="0" xr:uid="{0D621EE0-7B37-4AB4-B7C3-8BF8BA5C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C461" authorId="0" shapeId="0" xr:uid="{9098D3B6-DA05-4367-B578-24DA71ACE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462" authorId="0" shapeId="0" xr:uid="{DD58619C-5E88-4306-849A-F4B661612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463" authorId="0" shapeId="0" xr:uid="{142C5050-F217-4BE4-ACFA-C4C8C718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LIM
BAYBAY, LILOY</t>
        </r>
      </text>
    </comment>
    <comment ref="C507" authorId="0" shapeId="0" xr:uid="{E89558DD-1F3D-43DB-8F67-05C4397488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507" authorId="0" shapeId="0" xr:uid="{C857D707-0D93-40FD-A3B7-9237D4E535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507" authorId="0" shapeId="0" xr:uid="{DA7B6996-5D61-4910-853D-55C6F99F1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INSONG
BAYBAY, LILOY</t>
        </r>
      </text>
    </comment>
    <comment ref="C508" authorId="0" shapeId="0" xr:uid="{C879CFB7-FA43-4F10-AD88-2DFB0E7718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08" authorId="0" shapeId="0" xr:uid="{A90F90FA-744C-421A-854D-FF5B7733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LOWER INUMAN, SINDANGAN</t>
        </r>
      </text>
    </comment>
    <comment ref="AA508" authorId="0" shapeId="0" xr:uid="{188280C2-1482-4367-9DA8-63CB77FCE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09" authorId="0" shapeId="0" xr:uid="{97B82B69-2E18-46E2-91C2-AAAEC4348F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O509" authorId="0" shapeId="0" xr:uid="{EA87C882-50DE-43D2-AFF9-4DA0AE041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RADO STORE
LOWER INUMAN, SINDANGAN</t>
        </r>
      </text>
    </comment>
    <comment ref="AA509" authorId="0" shapeId="0" xr:uid="{F264EC6C-82D0-4135-81A8-D5F1992B66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10" authorId="0" shapeId="0" xr:uid="{CA476223-52F1-41F0-AF3B-0C665C8E21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SABANATE STORE
POB, SIAYAN</t>
        </r>
      </text>
    </comment>
    <comment ref="O510" authorId="0" shapeId="0" xr:uid="{C55478AC-91F9-4372-B52C-AE0A770A4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AA510" authorId="0" shapeId="0" xr:uid="{BA3F1E3C-A1E9-433D-A438-D2D38C066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 MARAÑON
LILOY COCKPIT
VILLA SUIC, LILOY</t>
        </r>
      </text>
    </comment>
    <comment ref="C511" authorId="0" shapeId="0" xr:uid="{1A1C6027-B89F-4F0F-85CF-9357E771B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HAZEL LYN
POB, SIAYAN</t>
        </r>
      </text>
    </comment>
    <comment ref="O511" authorId="0" shapeId="0" xr:uid="{15FD56FD-A1D7-4E1F-BDA1-793B416D1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BENING BENDEJO
LOWER INUMAN, SINDANGAN</t>
        </r>
      </text>
    </comment>
    <comment ref="AA511" authorId="0" shapeId="0" xr:uid="{A13420DA-DA16-46B1-ADDE-3FB424D955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GAMALE
LILOY COCKPIT
VILLA SUIC, LILOY</t>
        </r>
      </text>
    </comment>
    <comment ref="C512" authorId="0" shapeId="0" xr:uid="{F7A7D514-94F2-48DF-963E-62531F36C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LAGAG, SINDANGAN</t>
        </r>
      </text>
    </comment>
    <comment ref="O512" authorId="0" shapeId="0" xr:uid="{2AAC52F9-10F1-4665-B14F-79D8887C0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AA512" authorId="0" shapeId="0" xr:uid="{662D241C-FC4F-4B53-9592-60FD5CC21C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13" authorId="0" shapeId="0" xr:uid="{77EF16BC-83AC-42C1-BF82-D3F3D9999E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513" authorId="0" shapeId="0" xr:uid="{453D9C1A-2F1B-4B94-8EF2-190D7502B5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 AGAN
POB, BACUNGAN</t>
        </r>
      </text>
    </comment>
    <comment ref="AA513" authorId="0" shapeId="0" xr:uid="{7A67D028-EEAA-4416-87AE-2EF1E481F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WENA SALES
SALUG COCKPIT
CARACOL, SALUG</t>
        </r>
      </text>
    </comment>
    <comment ref="C514" authorId="0" shapeId="0" xr:uid="{FAFF92C4-FA2C-4AFD-BDAC-00963DDC4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514" authorId="0" shapeId="0" xr:uid="{13E7EB39-20DC-4A05-9BC6-0336E5E78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KATHLEEN STORE
MARAS, SINDANGAN</t>
        </r>
      </text>
    </comment>
    <comment ref="C515" authorId="0" shapeId="0" xr:uid="{D1CF6F90-81A7-423C-9519-1B21C24990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515" authorId="0" shapeId="0" xr:uid="{3CECDA32-7D6A-4EFC-B456-44652CF2E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C516" authorId="0" shapeId="0" xr:uid="{9BDE82A2-5ED5-4EB5-9402-3D1D8367C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516" authorId="0" shapeId="0" xr:uid="{00862A2C-6988-4A97-BD8A-CA578F0FE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MARAS, SINDANGAN</t>
        </r>
      </text>
    </comment>
    <comment ref="O517" authorId="0" shapeId="0" xr:uid="{28A4D42B-28AD-4D29-8699-829D148E7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O562" authorId="0" shapeId="0" xr:uid="{E968415D-A15A-4A96-8A79-8FC693E40A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562" authorId="0" shapeId="0" xr:uid="{D73A1304-3ED4-4759-85D1-733754AA8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O563" authorId="0" shapeId="0" xr:uid="{1B2658E2-D5F9-4D15-9951-B4796B07F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AMORADO
TALINGA, BACUNGAN</t>
        </r>
      </text>
    </comment>
    <comment ref="AA563" authorId="0" shapeId="0" xr:uid="{B118DC64-5C88-4B43-A756-3E835F42A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564" authorId="0" shapeId="0" xr:uid="{EF464317-304E-40B9-89CB-CCED236238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BALIK BALIK, BACUNGAN</t>
        </r>
      </text>
    </comment>
    <comment ref="AA564" authorId="0" shapeId="0" xr:uid="{A0992098-3E76-45F4-9340-460565D74D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APADOHAN
CANAWAN, SALUG</t>
        </r>
      </text>
    </comment>
    <comment ref="O565" authorId="0" shapeId="0" xr:uid="{BFF04ACF-F6FC-44AE-B7EE-893434BF27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BALIK BALIK, BACUNGAN</t>
        </r>
      </text>
    </comment>
    <comment ref="AA565" authorId="0" shapeId="0" xr:uid="{33EDB54F-38D8-4451-BABB-5D09A6182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</t>
        </r>
      </text>
    </comment>
    <comment ref="C617" authorId="0" shapeId="0" xr:uid="{252215D0-D56A-45E9-9F91-F7EAF5CDE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7" authorId="0" shapeId="0" xr:uid="{964567D1-A02C-4F7D-9A94-619CB1D65E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617" authorId="0" shapeId="0" xr:uid="{386A0227-A579-4B12-B7BE-B10E96629F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618" authorId="0" shapeId="0" xr:uid="{21A48C7C-3BF3-45EE-A2BE-21E5845150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VARIETY STORE
POB, SINDANGAN</t>
        </r>
      </text>
    </comment>
    <comment ref="O618" authorId="0" shapeId="0" xr:uid="{F2D30B3A-3C6B-4BB5-9B99-9ED9A523A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ACDCFF07-8295-4C99-BB5C-FEFAF262D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AAA9ADEF-C3CC-4499-8A93-93D9AD5A9F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619" authorId="0" shapeId="0" xr:uid="{4A4818AB-F7EE-42D5-B10F-E0890EA66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BOGANOTAN
LOWER INUMAN, SINDANGAN</t>
        </r>
      </text>
    </comment>
    <comment ref="AA619" authorId="0" shapeId="0" xr:uid="{90AD33C5-B49F-4B3A-96BB-7F9A890B9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O620" authorId="0" shapeId="0" xr:uid="{EBCDBA1A-658E-483B-94D4-4E1FE1D7F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LOWER INUMAN, SINDANGAN</t>
        </r>
      </text>
    </comment>
    <comment ref="O621" authorId="0" shapeId="0" xr:uid="{D8EF8CB8-8148-4372-9EB6-DFBAF70A60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
LOWER INUMAN, SINDANGAN</t>
        </r>
      </text>
    </comment>
    <comment ref="O622" authorId="0" shapeId="0" xr:uid="{16B62549-4DCC-4E58-8C1B-95D11D0CEA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O623" authorId="0" shapeId="0" xr:uid="{99E4FC53-A46C-4931-B22A-494144778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CONCHITA LAYAN
TALINGA, SINDANGAN</t>
        </r>
      </text>
    </comment>
    <comment ref="O624" authorId="0" shapeId="0" xr:uid="{7862F5AD-0109-4C8D-8BFA-240252B914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PINK STORE
TALINGA, SINDANGAN</t>
        </r>
      </text>
    </comment>
    <comment ref="O625" authorId="0" shapeId="0" xr:uid="{6581831E-5777-46EA-9281-A5A46811D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VILLA
TALINGA, SINDANGAN</t>
        </r>
      </text>
    </comment>
    <comment ref="O626" authorId="0" shapeId="0" xr:uid="{377956FE-8F66-4D6E-B290-E7D94493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O627" authorId="0" shapeId="0" xr:uid="{758D976E-1027-4168-A8BA-6EED1B9949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628" authorId="0" shapeId="0" xr:uid="{6A7B2955-74D2-4C01-AECF-563059411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629" authorId="0" shapeId="0" xr:uid="{B87E934E-2CB8-4449-ABA6-E752A7A41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BRYAN ESCOREAL
GOLEO, SINDANGAN</t>
        </r>
      </text>
    </comment>
    <comment ref="O630" authorId="0" shapeId="0" xr:uid="{0A7FC838-A787-4225-95B7-708E18A5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JAVY TAATA
GOLEO, SINDANGAN</t>
        </r>
      </text>
    </comment>
    <comment ref="O631" authorId="0" shapeId="0" xr:uid="{6332C7F5-EA50-418F-899E-7E362BCD98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O632" authorId="0" shapeId="0" xr:uid="{9519080E-8580-4655-B2CB-40EF5DB73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FEROLINO
GOLEO, SINDANGAN</t>
        </r>
      </text>
    </comment>
    <comment ref="O633" authorId="0" shapeId="0" xr:uid="{1FFEF78D-7D8B-48C7-8FC8-59BD691FB3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34" authorId="0" shapeId="0" xr:uid="{9123A7F2-40DC-4DE7-A60D-316AF5D407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O635" authorId="0" shapeId="0" xr:uid="{4502EE2B-96F6-4996-9551-BE03E33C56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HAYAHAY
GOLEO, SINDANGAN</t>
        </r>
      </text>
    </comment>
    <comment ref="O636" authorId="0" shapeId="0" xr:uid="{2D5221B0-37C0-42E3-8B16-8C77FCB89C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672" authorId="0" shapeId="0" xr:uid="{7087C951-0EC0-4EC0-9429-EDD593B54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72" authorId="0" shapeId="0" xr:uid="{42032BBC-51F3-4050-9F8B-79BC2D228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672" authorId="0" shapeId="0" xr:uid="{E57E564E-B9F0-45B5-B746-03898EEAFA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GUIBANG-GUIBANG
KAYOK, LILOY</t>
        </r>
      </text>
    </comment>
    <comment ref="C673" authorId="0" shapeId="0" xr:uid="{C9F9335E-19B2-4A8A-8E46-9853F73D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3" authorId="0" shapeId="0" xr:uid="{173AF246-A737-4C1E-8A62-4C24268A5A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FE STORE
RM, SALUG</t>
        </r>
      </text>
    </comment>
    <comment ref="AA673" authorId="0" shapeId="0" xr:uid="{C89AB333-862D-4B8B-9161-758FA4E13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8D31BBDE-3261-4A53-A258-9B76E5F922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674" authorId="0" shapeId="0" xr:uid="{2FAB0CD1-D979-4741-9C78-9BC81DDB89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674" authorId="0" shapeId="0" xr:uid="{14E22241-C376-46E1-A153-46886EEA7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5" authorId="0" shapeId="0" xr:uid="{6FD0437C-D944-4763-BAE3-73980193BE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ORAIZ STORE
DAPAON, SINDANGAN</t>
        </r>
      </text>
    </comment>
    <comment ref="O675" authorId="0" shapeId="0" xr:uid="{3A406F36-5C88-48B9-A409-419F8989C0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CALONGE
POB, BACUNGAN</t>
        </r>
      </text>
    </comment>
    <comment ref="AA675" authorId="0" shapeId="0" xr:uid="{943B6C5D-0B54-4E4C-A602-7C662FCF72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6" authorId="0" shapeId="0" xr:uid="{5CE63432-0CC5-4BEC-9CD7-F373990012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O676" authorId="0" shapeId="0" xr:uid="{C41CE190-7FDD-4D7D-96FB-B8D422525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REVINA ALEMAN
PALANDOK, BACUNGAN</t>
        </r>
      </text>
    </comment>
    <comment ref="AA676" authorId="0" shapeId="0" xr:uid="{8B2EB018-2D34-4DD2-B741-5BE6ED19F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677" authorId="0" shapeId="0" xr:uid="{A27956C8-F8B1-475C-B2A9-A8A1DF3560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O677" authorId="0" shapeId="0" xr:uid="{4116DFFB-44C2-4D3B-8CA1-3F3BD36368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BOGABONGAN
BOGABONGAN, BACUNGAN</t>
        </r>
      </text>
    </comment>
    <comment ref="C678" authorId="0" shapeId="0" xr:uid="{C26BEED8-9435-4BFE-BB1C-5AE983E1F4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8" authorId="0" shapeId="0" xr:uid="{FCEDA9A9-A2E6-4772-BA94-00EE5C9B77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ELVIE BAEL
BOGABONGAN, BACUNGAN</t>
        </r>
      </text>
    </comment>
    <comment ref="C679" authorId="0" shapeId="0" xr:uid="{DF7F361A-B60F-4ED9-A033-0E361555E7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FIVE WILL'S STIORE
DISUD, SINDANGAN</t>
        </r>
      </text>
    </comment>
    <comment ref="O679" authorId="0" shapeId="0" xr:uid="{C0B2EF85-6F4F-4FEB-A597-609FC18E14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BOBOY MANDANGAN
BOGABONGAN, BACUNGAN</t>
        </r>
      </text>
    </comment>
    <comment ref="C680" authorId="0" shapeId="0" xr:uid="{F3A6A94C-BD3C-4A7D-B4E3-360402BE4B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80" authorId="0" shapeId="0" xr:uid="{936155CC-5FC1-47DD-AA96-B0A9CB6A8D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BACUNGAN
BOGABONGAN, BACUNGAN</t>
        </r>
      </text>
    </comment>
    <comment ref="C681" authorId="0" shapeId="0" xr:uid="{EF819DC1-CA7C-49F9-A27D-21DFA2432A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1" authorId="0" shapeId="0" xr:uid="{A3292003-E56B-404C-B661-B3851360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682" authorId="0" shapeId="0" xr:uid="{4E618DAE-BB9D-4670-8BDC-F60C7534E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2" authorId="0" shapeId="0" xr:uid="{C1922872-FD9A-4D26-B03E-EADFDEB039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GUANSING
BOGABONGAN, BACUNGAN</t>
        </r>
      </text>
    </comment>
    <comment ref="C683" authorId="0" shapeId="0" xr:uid="{7597D28B-9D7C-4C69-A5A7-9B4B051049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AZERO STORE
PIAO, SINDANGAN</t>
        </r>
      </text>
    </comment>
    <comment ref="O683" authorId="0" shapeId="0" xr:uid="{83A2F2B2-611B-461B-A60A-3EA606590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MINI GROCERY
BOGABONGAN, BACUNGAN</t>
        </r>
      </text>
    </comment>
    <comment ref="C684" authorId="0" shapeId="0" xr:uid="{3242AFD7-297A-49BC-A45E-02E2024890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684" authorId="0" shapeId="0" xr:uid="{BA97EBAB-4531-44F2-AF73-EFDC50B1E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JEL STORE
POB, BACUNGAN</t>
        </r>
      </text>
    </comment>
    <comment ref="C685" authorId="0" shapeId="0" xr:uid="{CB6E8A75-2F5F-4986-9031-DF3E790F7E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685" authorId="0" shapeId="0" xr:uid="{02CEB741-E555-4B23-82C4-A86B88FEC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CALUAN INFINITY POOL
CALUAN, SINDANGAN</t>
        </r>
      </text>
    </comment>
    <comment ref="C686" authorId="0" shapeId="0" xr:uid="{D9A3F4EF-C504-438C-8F14-FE83295F5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ANITA VILLALON
LABAKID, SINDANGAN</t>
        </r>
      </text>
    </comment>
    <comment ref="O686" authorId="0" shapeId="0" xr:uid="{CB179B6F-4523-4C1D-BE03-124F81CFE8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PAQUITO STORE
TALINGA, SINDANGAN</t>
        </r>
      </text>
    </comment>
    <comment ref="C687" authorId="0" shapeId="0" xr:uid="{D46ADB76-7568-45B0-ACE4-BD72A0DD7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SINDANGAN FACOMA
POB, SINDANGAN</t>
        </r>
      </text>
    </comment>
    <comment ref="O687" authorId="0" shapeId="0" xr:uid="{460AA3C3-7FB8-487A-9139-FD304A3B8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LOWER INUMAN, SINDANGAN</t>
        </r>
      </text>
    </comment>
    <comment ref="C688" authorId="0" shapeId="0" xr:uid="{41B3E447-8D94-4563-A48D-9D6095518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RAMON STORE
DAPAON, SINDANGAN</t>
        </r>
      </text>
    </comment>
    <comment ref="O688" authorId="0" shapeId="0" xr:uid="{8E50F470-08BE-4A04-992A-CEB67B84C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689" authorId="0" shapeId="0" xr:uid="{B1E7DDBC-9C00-4D68-924E-56CA336A8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 STORE
POB, BACUNGAN</t>
        </r>
      </text>
    </comment>
    <comment ref="O690" authorId="0" shapeId="0" xr:uid="{3A278606-00F7-471A-B992-9080B4CB4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INUMAN, SINDANGAN</t>
        </r>
      </text>
    </comment>
    <comment ref="C727" authorId="0" shapeId="0" xr:uid="{3CBE64E3-31D8-4A87-A43C-3CDA80E42D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727" authorId="0" shapeId="0" xr:uid="{FAC02AC1-E37D-4A76-80FF-D35D0F22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AA727" authorId="0" shapeId="0" xr:uid="{505ED952-6F5C-4500-9223-5A07B6C92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8" authorId="0" shapeId="0" xr:uid="{AA3BCC83-BDA1-424B-B41C-67DC6B4EB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SENYA BERTUCIO
PIAO, SINDANGAN</t>
        </r>
      </text>
    </comment>
    <comment ref="O728" authorId="0" shapeId="0" xr:uid="{296993D6-4362-4B5B-9C6E-754D5706C3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JHONA BELARMINO
DATU TANGKILAN, SINDANGAN</t>
        </r>
      </text>
    </comment>
    <comment ref="AA728" authorId="0" shapeId="0" xr:uid="{393534F6-C09B-4A32-8DD9-A776A2BC9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9" authorId="0" shapeId="0" xr:uid="{B172BB0F-55D6-43DA-97B4-B904D1191D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E72A1D8C-3CF1-47ED-AE5B-D24274368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 ALESNA
MANDIH, SINDANGAN</t>
        </r>
      </text>
    </comment>
    <comment ref="AA729" authorId="0" shapeId="0" xr:uid="{B16B9971-C8AC-4F59-B7BC-4649945CC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NAMIT
KAYOK, LILOY</t>
        </r>
      </text>
    </comment>
    <comment ref="C730" authorId="0" shapeId="0" xr:uid="{95E4DD4E-A540-4E14-8733-70284CFB35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281E682D-58C6-4BAB-B2B4-63FC1CCDF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ALWALYN STORE
MANDIH, SINDANGAN</t>
        </r>
      </text>
    </comment>
    <comment ref="AA730" authorId="0" shapeId="0" xr:uid="{EBFE2596-14C9-42F1-BDCC-367CD1F41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731" authorId="0" shapeId="0" xr:uid="{15680E23-9ED3-4BE8-B478-3D7C8CE7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O731" authorId="0" shapeId="0" xr:uid="{C2FCF8CA-8DEB-4425-B4CA-25C365560E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1" authorId="0" shapeId="0" xr:uid="{8100ABDE-9485-41E3-A6DC-CEC5C84029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32" authorId="0" shapeId="0" xr:uid="{4661306A-3444-49AC-9B36-179C99758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732" authorId="0" shapeId="0" xr:uid="{61DB9F77-942A-40E2-A82C-FDE468D20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RC BOGABONGAN
LOWER INUMAN, SINDANGAN</t>
        </r>
      </text>
    </comment>
    <comment ref="C733" authorId="0" shapeId="0" xr:uid="{F6D11739-C9F6-47AA-84B5-77AAC6AFD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3" authorId="0" shapeId="0" xr:uid="{B21A25D5-545C-493F-B5AE-19F725055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EROJO STORE
TALINGA, BACUNGAN</t>
        </r>
      </text>
    </comment>
    <comment ref="C734" authorId="0" shapeId="0" xr:uid="{9197DF44-CC7E-4D2A-A96A-D16102E03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4" authorId="0" shapeId="0" xr:uid="{5F765E37-DAA9-433C-8563-3A540F3651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35" authorId="0" shapeId="0" xr:uid="{6C133F88-0708-46CF-B95C-13492F979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5" authorId="0" shapeId="0" xr:uid="{E805B987-6B4E-4F08-BC45-B6BB5B2DAA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
TALINGA, BACUNGAN</t>
        </r>
      </text>
    </comment>
    <comment ref="C736" authorId="0" shapeId="0" xr:uid="{C5426D86-CBC5-4BE1-8D29-88B44C986B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O736" authorId="0" shapeId="0" xr:uid="{07098F85-D594-408F-9B20-857CBB7AD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C737" authorId="0" shapeId="0" xr:uid="{F489735F-154D-4355-966A-C6DD2A02C7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 STORE
EDMUNDO MADULA
CALACAS, SIAYAN</t>
        </r>
      </text>
    </comment>
    <comment ref="O737" authorId="0" shapeId="0" xr:uid="{6F1E729D-1450-4E50-9B4A-FE20782B8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JEFFREY GOZANES
GOLEO, SINDANGAN</t>
        </r>
      </text>
    </comment>
    <comment ref="C738" authorId="0" shapeId="0" xr:uid="{6B781047-278F-415E-B5B4-32D35D8AC5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738" authorId="0" shapeId="0" xr:uid="{409C737A-53B3-4ADF-8337-8D341CC110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739" authorId="0" shapeId="0" xr:uid="{F1920D54-CF50-41A1-8601-78CE8561E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GABATO STORE
POB, SIAYAN</t>
        </r>
      </text>
    </comment>
    <comment ref="C740" authorId="0" shapeId="0" xr:uid="{FDEA4436-067C-4BAA-AA31-DA9132DEE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41" authorId="0" shapeId="0" xr:uid="{74CE77A2-AD87-44E7-B420-318DDDD85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C742" authorId="0" shapeId="0" xr:uid="{1155D14F-0B6E-4B17-ABDF-6BD07BCDB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LUCKY-I STORE
POB, SIAYAN</t>
        </r>
      </text>
    </comment>
    <comment ref="C743" authorId="0" shapeId="0" xr:uid="{0B2C2753-7715-4EF2-B6F5-1251BE332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MARELYN DEGURO
BALOK, SINDANGAN</t>
        </r>
      </text>
    </comment>
    <comment ref="C744" authorId="0" shapeId="0" xr:uid="{CBEA7776-167B-4669-B957-19034E83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C745" authorId="0" shapeId="0" xr:uid="{18F7C2C7-AAB7-4624-AD14-7AA8C7C16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46" authorId="0" shapeId="0" xr:uid="{80811975-5BEE-4A71-B802-CDAD5A3D8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FERLINDA CATIG
DENOYAN, SIAYAN</t>
        </r>
      </text>
    </comment>
    <comment ref="C747" authorId="0" shapeId="0" xr:uid="{43C0596B-D0A5-4097-9C11-17398FCC8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8" authorId="0" shapeId="0" xr:uid="{EBE8BA2F-4F1F-4507-8BD8-D7A128763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
GOLEO, SINDANGAN</t>
        </r>
      </text>
    </comment>
    <comment ref="C782" authorId="0" shapeId="0" xr:uid="{1EE867EE-FCE1-4320-9A99-65F5B90FB7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782" authorId="0" shapeId="0" xr:uid="{60174420-C746-4EC8-AA60-E356BAAB7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LAIZA STORE
DATU TANGKILAN, SINDANGAN</t>
        </r>
      </text>
    </comment>
    <comment ref="AA782" authorId="0" shapeId="0" xr:uid="{F93FB0AA-674B-4844-955D-11A75E7ECF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783" authorId="0" shapeId="0" xr:uid="{09C9EE9F-CEBE-4FAB-A697-8B4D0B319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783" authorId="0" shapeId="0" xr:uid="{FBCF79D3-6D49-4591-9E16-16A82A6974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PADILLA
DATU TANGKILAN, SINDANGAN</t>
        </r>
      </text>
    </comment>
    <comment ref="AA783" authorId="0" shapeId="0" xr:uid="{EAAD960A-3C1B-4185-88B7-393DD56515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784" authorId="0" shapeId="0" xr:uid="{CCB083D3-7F9D-4253-AFC5-8942FD050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784" authorId="0" shapeId="0" xr:uid="{EEFF1E72-AB5D-4EB5-B7E6-36420AFD2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POB, BACUNGAN</t>
        </r>
      </text>
    </comment>
    <comment ref="AA784" authorId="0" shapeId="0" xr:uid="{4DB3B951-8015-40E0-B528-B78F26AE2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C785" authorId="0" shapeId="0" xr:uid="{64D86AB1-8E1F-4D57-A506-5BECD8EFFC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85" authorId="0" shapeId="0" xr:uid="{EFB52805-AF60-482D-AEC2-0B4A983AC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
LAGAG, SINDANGAN</t>
        </r>
      </text>
    </comment>
    <comment ref="AA785" authorId="0" shapeId="0" xr:uid="{40F56A22-FF18-4FC8-932F-5B0752B1DA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86" authorId="0" shapeId="0" xr:uid="{9262D8B3-4A42-4D55-9D60-9DBC73302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86" authorId="0" shapeId="0" xr:uid="{F49EA94B-17E3-4D6F-BD90-ED12308A40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EDWARDO CAÑETE
GOLEO, SINDANGAN</t>
        </r>
      </text>
    </comment>
    <comment ref="AA786" authorId="0" shapeId="0" xr:uid="{EF29FDC8-477E-48BE-841E-FEE46D219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7" authorId="0" shapeId="0" xr:uid="{946F684B-EB69-499B-9416-5BAC50E0A6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 STORE
DAPAON, SINDANGAN</t>
        </r>
      </text>
    </comment>
    <comment ref="O787" authorId="0" shapeId="0" xr:uid="{D9ACA4C1-A98F-462F-8F1B-F1458F309F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88" authorId="0" shapeId="0" xr:uid="{5064083C-30B1-48C4-97AA-9D52252959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ART JOY STORE
DAPAON, SINDANGAN</t>
        </r>
      </text>
    </comment>
    <comment ref="C789" authorId="0" shapeId="0" xr:uid="{ECFD16AF-07D1-490E-A75D-14D516075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THREE-M STORE
DISUD, SINDANGAN</t>
        </r>
      </text>
    </comment>
    <comment ref="C790" authorId="0" shapeId="0" xr:uid="{4A06E3CE-A5F4-4E9E-8A24-C7A76F496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791" authorId="0" shapeId="0" xr:uid="{A1AE2552-DB7E-4E6F-8159-532318E7BD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792" authorId="0" shapeId="0" xr:uid="{762307E3-5BF7-430C-BF2C-6AD60790C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</commentList>
</comments>
</file>

<file path=xl/sharedStrings.xml><?xml version="1.0" encoding="utf-8"?>
<sst xmlns="http://schemas.openxmlformats.org/spreadsheetml/2006/main" count="1085" uniqueCount="84">
  <si>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</si>
  <si>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</si>
  <si>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</si>
  <si>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</si>
  <si>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</si>
  <si>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</si>
  <si>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</si>
  <si>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</si>
  <si>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</si>
  <si>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</si>
  <si>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</si>
  <si>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</si>
  <si>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</si>
  <si>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</si>
  <si>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</si>
  <si>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</si>
  <si>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</si>
  <si>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</si>
  <si>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</si>
  <si>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</si>
  <si>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</si>
  <si>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</si>
  <si>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</si>
  <si>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</si>
  <si>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</si>
  <si>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</si>
  <si>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</si>
  <si>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</si>
  <si>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</si>
  <si>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</si>
  <si>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</si>
  <si>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</si>
  <si>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</si>
  <si>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</si>
  <si>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R3A</t>
  </si>
  <si>
    <t>R3B</t>
  </si>
  <si>
    <t>GICA, GRACE B.</t>
  </si>
  <si>
    <t>JANUARY 2026</t>
  </si>
  <si>
    <t>JANUARY 02, 2026</t>
  </si>
  <si>
    <t>NO TRIP</t>
  </si>
  <si>
    <t>FRIDAY</t>
  </si>
  <si>
    <t>SATURDAY</t>
  </si>
  <si>
    <t>JANUARY 03, 2026</t>
  </si>
  <si>
    <t>8226-8233</t>
  </si>
  <si>
    <t>8100,8151-8152,8306-8313/8234-8243</t>
  </si>
  <si>
    <t>MONDAY</t>
  </si>
  <si>
    <t>JANUARY 05, 2026</t>
  </si>
  <si>
    <t>LOPEZ, GINA</t>
  </si>
  <si>
    <t>8314-8318/8153-8158/7795-7797,8244-8250</t>
  </si>
  <si>
    <t>TUESDAY</t>
  </si>
  <si>
    <t>JANUARY 06, 2026</t>
  </si>
  <si>
    <t>8319-8326/8126-8134/7798-7800,8351-8352</t>
  </si>
  <si>
    <t>WEDNESDAY</t>
  </si>
  <si>
    <t>JANUARY 07, 2026</t>
  </si>
  <si>
    <t>GICA, GRACE</t>
  </si>
  <si>
    <t>8326-8333/8135-8138/8353-8363</t>
  </si>
  <si>
    <t>THURSDAY</t>
  </si>
  <si>
    <t>JANUARY 08, 2026</t>
  </si>
  <si>
    <t>8334-8336/8139-8170/8364-8367</t>
  </si>
  <si>
    <t>JANUARY 09, 2026</t>
  </si>
  <si>
    <t>8337/8172-8181/8368-8373</t>
  </si>
  <si>
    <t>JANUARY 10, 2026</t>
  </si>
  <si>
    <t>8338-8350,8401-8408/8182-8195/8374-8377</t>
  </si>
  <si>
    <t>JANUARY 12, 2026</t>
  </si>
  <si>
    <t>8409-8420/8196-8200,8451-8452/8378-8382</t>
  </si>
  <si>
    <t>JANUARY 13, 2026</t>
  </si>
  <si>
    <t>01/13/2026</t>
  </si>
  <si>
    <t>8420-8429/8453-8463/8383-8389</t>
  </si>
  <si>
    <t>JANUARY 14, 2026</t>
  </si>
  <si>
    <t>01/14/2026</t>
  </si>
  <si>
    <t>/8465-8468/8390-8393</t>
  </si>
  <si>
    <t>JANUARY 15, 2026</t>
  </si>
  <si>
    <t>01/15/2026</t>
  </si>
  <si>
    <t>8430-8432/8469-8488/8394-8396</t>
  </si>
  <si>
    <t>JANUARY 16, 2026</t>
  </si>
  <si>
    <t>01/16/2026</t>
  </si>
  <si>
    <t>8434-8450/8489-8500,8551-8557/8397-8400,8501</t>
  </si>
  <si>
    <t>JANUARY 17, 2026</t>
  </si>
  <si>
    <t>01/17/2026</t>
  </si>
  <si>
    <t>8601-8622/8558-8569/8502-8506</t>
  </si>
  <si>
    <t>JANUARY 19, 2026</t>
  </si>
  <si>
    <t>01/19/2026</t>
  </si>
  <si>
    <t>LOPEZ, GINA GRACE</t>
  </si>
  <si>
    <t>8623-8633/8570-8575/8507-8511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</si>
</sst>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C29" sqref="C2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1" t="s">
        <v>37</v>
      </c>
      <c r="B6" s="11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30</v>
      </c>
      <c r="C10" s="44" t="s">
        <v>39</v>
      </c>
      <c r="D10" s="55" t="s">
        <v>39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43" t="s">
        <v>4</v>
      </c>
      <c r="C11" s="12" t="s">
        <v>43</v>
      </c>
      <c r="D11" s="16">
        <f t="shared" ref="D11:D25" si="1">J11</f>
        <v>373017</v>
      </c>
      <c r="F11" s="14">
        <v>373017</v>
      </c>
      <c r="G11" s="14"/>
      <c r="H11" s="14"/>
      <c r="I11" s="14"/>
      <c r="J11" s="17">
        <f t="shared" si="0"/>
        <v>373017</v>
      </c>
    </row>
    <row r="12" spans="1:10" x14ac:dyDescent="0.25">
      <c r="A12" s="10">
        <f t="shared" ref="A12:A40" si="2">A11+1</f>
        <v>3</v>
      </c>
      <c r="B12" s="56" t="s">
        <v>5</v>
      </c>
      <c r="C12" s="12" t="s">
        <v>44</v>
      </c>
      <c r="D12" s="16">
        <f t="shared" si="1"/>
        <v>940444</v>
      </c>
      <c r="F12" s="14">
        <v>583720</v>
      </c>
      <c r="G12" s="14"/>
      <c r="H12" s="14">
        <v>356724</v>
      </c>
      <c r="I12" s="14"/>
      <c r="J12" s="17">
        <f t="shared" si="0"/>
        <v>940444</v>
      </c>
    </row>
    <row r="13" spans="1:10" x14ac:dyDescent="0.25">
      <c r="A13" s="10">
        <f t="shared" si="2"/>
        <v>4</v>
      </c>
      <c r="B13" s="13" t="s">
        <v>6</v>
      </c>
      <c r="C13" s="44" t="s">
        <v>29</v>
      </c>
      <c r="D13" s="55" t="s">
        <v>29</v>
      </c>
      <c r="F13" s="14"/>
      <c r="G13" s="14"/>
      <c r="H13" s="14"/>
      <c r="I13" s="14"/>
      <c r="J13" s="59"/>
    </row>
    <row r="14" spans="1:10" x14ac:dyDescent="0.25">
      <c r="A14" s="10">
        <f t="shared" si="2"/>
        <v>5</v>
      </c>
      <c r="B14" s="11" t="s">
        <v>7</v>
      </c>
      <c r="C14" s="12" t="s">
        <v>48</v>
      </c>
      <c r="D14" s="16">
        <f t="shared" si="1"/>
        <v>1291670.5</v>
      </c>
      <c r="F14" s="14">
        <v>392302</v>
      </c>
      <c r="G14" s="14">
        <v>331984.5</v>
      </c>
      <c r="H14" s="14">
        <v>567384</v>
      </c>
      <c r="I14" s="14"/>
      <c r="J14" s="17">
        <f t="shared" si="0"/>
        <v>1291670.5</v>
      </c>
    </row>
    <row r="15" spans="1:10" x14ac:dyDescent="0.25">
      <c r="A15" s="10">
        <f t="shared" si="2"/>
        <v>6</v>
      </c>
      <c r="B15" s="43" t="s">
        <v>8</v>
      </c>
      <c r="C15" s="12" t="s">
        <v>51</v>
      </c>
      <c r="D15" s="16">
        <f t="shared" si="1"/>
        <v>1078020.5</v>
      </c>
      <c r="F15" s="14">
        <v>435352.5</v>
      </c>
      <c r="G15" s="14">
        <v>409277</v>
      </c>
      <c r="H15" s="14">
        <v>233391</v>
      </c>
      <c r="I15" s="14"/>
      <c r="J15" s="17">
        <f t="shared" si="0"/>
        <v>1078020.5</v>
      </c>
    </row>
    <row r="16" spans="1:10" x14ac:dyDescent="0.25">
      <c r="A16" s="10">
        <f t="shared" si="2"/>
        <v>7</v>
      </c>
      <c r="B16" s="56" t="s">
        <v>9</v>
      </c>
      <c r="C16" s="12" t="s">
        <v>55</v>
      </c>
      <c r="D16" s="16">
        <f t="shared" si="1"/>
        <v>988036</v>
      </c>
      <c r="F16" s="14">
        <v>352681</v>
      </c>
      <c r="G16" s="14">
        <v>308515.5</v>
      </c>
      <c r="H16" s="14">
        <v>326839.5</v>
      </c>
      <c r="I16" s="14"/>
      <c r="J16" s="17">
        <f t="shared" si="0"/>
        <v>988036</v>
      </c>
    </row>
    <row r="17" spans="1:10" x14ac:dyDescent="0.25">
      <c r="A17" s="10">
        <f t="shared" si="2"/>
        <v>8</v>
      </c>
      <c r="B17" s="11" t="s">
        <v>30</v>
      </c>
      <c r="C17" s="12" t="s">
        <v>58</v>
      </c>
      <c r="D17" s="16">
        <f t="shared" si="1"/>
        <v>1059192</v>
      </c>
      <c r="F17" s="14">
        <v>468647</v>
      </c>
      <c r="G17" s="14">
        <v>222590</v>
      </c>
      <c r="H17" s="14">
        <v>367955</v>
      </c>
      <c r="I17" s="14"/>
      <c r="J17" s="17">
        <f t="shared" si="0"/>
        <v>1059192</v>
      </c>
    </row>
    <row r="18" spans="1:10" x14ac:dyDescent="0.25">
      <c r="A18" s="10">
        <f t="shared" si="2"/>
        <v>9</v>
      </c>
      <c r="B18" s="43" t="s">
        <v>4</v>
      </c>
      <c r="C18" s="12" t="s">
        <v>60</v>
      </c>
      <c r="D18" s="16">
        <f t="shared" si="1"/>
        <v>943352</v>
      </c>
      <c r="F18" s="14">
        <v>421248</v>
      </c>
      <c r="G18" s="14">
        <v>231186</v>
      </c>
      <c r="H18" s="14">
        <v>290918</v>
      </c>
      <c r="I18" s="14"/>
      <c r="J18" s="17">
        <f t="shared" si="0"/>
        <v>943352</v>
      </c>
    </row>
    <row r="19" spans="1:10" x14ac:dyDescent="0.25">
      <c r="A19" s="10">
        <f t="shared" si="2"/>
        <v>10</v>
      </c>
      <c r="B19" s="56" t="s">
        <v>5</v>
      </c>
      <c r="C19" s="12" t="s">
        <v>62</v>
      </c>
      <c r="D19" s="16">
        <f t="shared" si="1"/>
        <v>876438.56</v>
      </c>
      <c r="F19" s="14">
        <v>394449.56</v>
      </c>
      <c r="G19" s="14">
        <v>213224</v>
      </c>
      <c r="H19" s="14">
        <v>268765</v>
      </c>
      <c r="I19" s="14"/>
      <c r="J19" s="17">
        <f t="shared" si="0"/>
        <v>876438.56</v>
      </c>
    </row>
    <row r="20" spans="1:10" x14ac:dyDescent="0.25">
      <c r="A20" s="10">
        <f t="shared" si="2"/>
        <v>11</v>
      </c>
      <c r="B20" s="13" t="s">
        <v>6</v>
      </c>
      <c r="C20" s="44" t="s">
        <v>29</v>
      </c>
      <c r="D20" s="55" t="s">
        <v>29</v>
      </c>
      <c r="F20" s="14"/>
      <c r="G20" s="14"/>
      <c r="H20" s="14"/>
      <c r="I20" s="14"/>
      <c r="J20" s="59"/>
    </row>
    <row r="21" spans="1:10" x14ac:dyDescent="0.25">
      <c r="A21" s="10">
        <f t="shared" si="2"/>
        <v>12</v>
      </c>
      <c r="B21" s="11" t="s">
        <v>7</v>
      </c>
      <c r="C21" s="12" t="s">
        <v>64</v>
      </c>
      <c r="D21" s="16">
        <f t="shared" si="1"/>
        <v>861583</v>
      </c>
      <c r="F21" s="14">
        <v>192893</v>
      </c>
      <c r="G21" s="14">
        <v>304313</v>
      </c>
      <c r="H21" s="14">
        <v>364377</v>
      </c>
      <c r="I21" s="14"/>
      <c r="J21" s="17">
        <f t="shared" si="0"/>
        <v>861583</v>
      </c>
    </row>
    <row r="22" spans="1:10" x14ac:dyDescent="0.25">
      <c r="A22" s="10">
        <f t="shared" si="2"/>
        <v>13</v>
      </c>
      <c r="B22" s="43" t="s">
        <v>8</v>
      </c>
      <c r="C22" s="12" t="s">
        <v>67</v>
      </c>
      <c r="D22" s="16">
        <f t="shared" si="1"/>
        <v>771102.5</v>
      </c>
      <c r="F22" s="14">
        <v>263068.5</v>
      </c>
      <c r="G22" s="14">
        <v>250116</v>
      </c>
      <c r="H22" s="14">
        <v>257918</v>
      </c>
      <c r="I22" s="14"/>
      <c r="J22" s="17">
        <f t="shared" si="0"/>
        <v>771102.5</v>
      </c>
    </row>
    <row r="23" spans="1:10" x14ac:dyDescent="0.25">
      <c r="A23" s="10">
        <f t="shared" si="2"/>
        <v>14</v>
      </c>
      <c r="B23" s="56" t="s">
        <v>9</v>
      </c>
      <c r="C23" s="12" t="s">
        <v>70</v>
      </c>
      <c r="D23" s="16">
        <f t="shared" si="1"/>
        <v>522171</v>
      </c>
      <c r="F23" s="14"/>
      <c r="G23" s="14">
        <v>382580</v>
      </c>
      <c r="H23" s="14">
        <v>139591</v>
      </c>
      <c r="I23" s="14"/>
      <c r="J23" s="17">
        <f t="shared" si="0"/>
        <v>522171</v>
      </c>
    </row>
    <row r="24" spans="1:10" x14ac:dyDescent="0.25">
      <c r="A24" s="10">
        <f t="shared" si="2"/>
        <v>15</v>
      </c>
      <c r="B24" s="11" t="s">
        <v>30</v>
      </c>
      <c r="C24" s="12" t="s">
        <v>73</v>
      </c>
      <c r="D24" s="16">
        <f t="shared" si="1"/>
        <v>835041.5</v>
      </c>
      <c r="F24" s="14">
        <v>351221</v>
      </c>
      <c r="G24" s="14">
        <v>201377.5</v>
      </c>
      <c r="H24" s="14">
        <v>282443</v>
      </c>
      <c r="I24" s="14"/>
      <c r="J24" s="17">
        <f t="shared" si="0"/>
        <v>835041.5</v>
      </c>
    </row>
    <row r="25" spans="1:10" x14ac:dyDescent="0.25">
      <c r="A25" s="10">
        <f t="shared" si="2"/>
        <v>16</v>
      </c>
      <c r="B25" s="43" t="s">
        <v>4</v>
      </c>
      <c r="C25" s="12" t="s">
        <v>76</v>
      </c>
      <c r="D25" s="16">
        <f t="shared" si="1"/>
        <v>761406.5</v>
      </c>
      <c r="F25" s="14">
        <v>182126</v>
      </c>
      <c r="G25" s="14">
        <v>239937.5</v>
      </c>
      <c r="H25" s="14">
        <v>339343</v>
      </c>
      <c r="I25" s="14"/>
      <c r="J25" s="17">
        <f t="shared" si="0"/>
        <v>761406.5</v>
      </c>
    </row>
    <row r="26" spans="1:10" x14ac:dyDescent="0.25">
      <c r="A26" s="10">
        <f t="shared" si="2"/>
        <v>17</v>
      </c>
      <c r="B26" s="56" t="s">
        <v>5</v>
      </c>
      <c r="C26" s="12" t="s">
        <v>79</v>
      </c>
      <c r="D26" s="16">
        <f t="shared" ref="D26:D28" si="3">J26</f>
        <v>606175.5</v>
      </c>
      <c r="F26" s="14">
        <v>306506</v>
      </c>
      <c r="G26" s="14">
        <v>126045.5</v>
      </c>
      <c r="H26" s="14">
        <v>173624</v>
      </c>
      <c r="I26" s="14"/>
      <c r="J26" s="17">
        <f t="shared" si="0"/>
        <v>606175.5</v>
      </c>
    </row>
    <row r="27" spans="1:10" x14ac:dyDescent="0.25">
      <c r="A27" s="10">
        <f t="shared" si="2"/>
        <v>18</v>
      </c>
      <c r="B27" s="13" t="s">
        <v>6</v>
      </c>
      <c r="C27" s="44" t="s">
        <v>29</v>
      </c>
      <c r="D27" s="55" t="s">
        <v>29</v>
      </c>
      <c r="F27" s="14"/>
      <c r="G27" s="14"/>
      <c r="H27" s="14"/>
      <c r="I27" s="14"/>
      <c r="J27" s="59"/>
    </row>
    <row r="28" spans="1:10" x14ac:dyDescent="0.25">
      <c r="A28" s="10">
        <f t="shared" si="2"/>
        <v>19</v>
      </c>
      <c r="B28" s="11" t="s">
        <v>7</v>
      </c>
      <c r="C28" s="12" t="s">
        <v>83</v>
      </c>
      <c r="D28" s="16">
        <f t="shared" si="3"/>
        <v>874548</v>
      </c>
      <c r="F28" s="14">
        <v>300637.5</v>
      </c>
      <c r="G28" s="14">
        <v>195325.5</v>
      </c>
      <c r="H28" s="14">
        <v>378585</v>
      </c>
      <c r="I28" s="14"/>
      <c r="J28" s="17">
        <f t="shared" si="0"/>
        <v>874548</v>
      </c>
    </row>
    <row r="29" spans="1:10" x14ac:dyDescent="0.25">
      <c r="A29" s="10">
        <f t="shared" si="2"/>
        <v>20</v>
      </c>
      <c r="B29" s="43" t="s">
        <v>8</v>
      </c>
      <c r="C29" s="12"/>
      <c r="D29" s="16">
        <f t="shared" ref="D29:D39" si="4">J29</f>
        <v>0</v>
      </c>
      <c r="F29" s="14"/>
      <c r="G29" s="14"/>
      <c r="H29" s="14"/>
      <c r="I29" s="14"/>
      <c r="J29" s="17">
        <f t="shared" si="0"/>
        <v>0</v>
      </c>
    </row>
    <row r="30" spans="1:10" x14ac:dyDescent="0.25">
      <c r="A30" s="10">
        <f t="shared" si="2"/>
        <v>21</v>
      </c>
      <c r="B30" s="56" t="s">
        <v>9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0"/>
        <v>0</v>
      </c>
    </row>
    <row r="31" spans="1:10" x14ac:dyDescent="0.25">
      <c r="A31" s="10">
        <f t="shared" si="2"/>
        <v>22</v>
      </c>
      <c r="B31" s="11" t="s">
        <v>30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0"/>
        <v>0</v>
      </c>
    </row>
    <row r="32" spans="1:10" x14ac:dyDescent="0.25">
      <c r="A32" s="10">
        <f t="shared" si="2"/>
        <v>23</v>
      </c>
      <c r="B32" s="43" t="s">
        <v>4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0"/>
        <v>0</v>
      </c>
    </row>
    <row r="33" spans="1:10" x14ac:dyDescent="0.25">
      <c r="A33" s="10">
        <f t="shared" si="2"/>
        <v>24</v>
      </c>
      <c r="B33" s="56" t="s">
        <v>5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0"/>
        <v>0</v>
      </c>
    </row>
    <row r="34" spans="1:10" x14ac:dyDescent="0.25">
      <c r="A34" s="10">
        <f>A33+1</f>
        <v>25</v>
      </c>
      <c r="B34" s="13" t="s">
        <v>6</v>
      </c>
      <c r="C34" s="44" t="s">
        <v>29</v>
      </c>
      <c r="D34" s="55" t="s">
        <v>29</v>
      </c>
      <c r="E34" s="14"/>
      <c r="F34" s="15"/>
      <c r="G34" s="14"/>
      <c r="H34" s="14"/>
      <c r="I34" s="14"/>
      <c r="J34" s="59"/>
    </row>
    <row r="35" spans="1:10" x14ac:dyDescent="0.25">
      <c r="A35" s="10">
        <f t="shared" si="2"/>
        <v>26</v>
      </c>
      <c r="B35" s="11" t="s">
        <v>7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0"/>
        <v>0</v>
      </c>
    </row>
    <row r="36" spans="1:10" x14ac:dyDescent="0.25">
      <c r="A36" s="10">
        <f t="shared" si="2"/>
        <v>27</v>
      </c>
      <c r="B36" s="43" t="s">
        <v>8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9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11" t="s">
        <v>30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43" t="s">
        <v>4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5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2" t="s">
        <v>10</v>
      </c>
      <c r="B42" s="113"/>
      <c r="C42" s="114"/>
      <c r="D42" s="48">
        <f>SUM(D2:D41)</f>
        <v>12782198.560000001</v>
      </c>
      <c r="J42" s="49">
        <f>SUM(J10:J41)</f>
        <v>12782198.560000001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788" zoomScaleNormal="100" workbookViewId="0">
      <selection activeCell="AE825" sqref="AE82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40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40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40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36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1" t="s">
        <v>17</v>
      </c>
      <c r="E10" s="121"/>
      <c r="F10" s="77"/>
      <c r="G10" s="27"/>
      <c r="I10" s="117" t="s">
        <v>18</v>
      </c>
      <c r="J10" s="118"/>
      <c r="K10" s="119" t="s">
        <v>19</v>
      </c>
      <c r="N10" s="25"/>
      <c r="O10" s="26"/>
      <c r="P10" s="121" t="s">
        <v>17</v>
      </c>
      <c r="Q10" s="121"/>
      <c r="R10" s="77"/>
      <c r="S10" s="27"/>
      <c r="U10" s="117" t="s">
        <v>18</v>
      </c>
      <c r="V10" s="118"/>
      <c r="W10" s="119" t="s">
        <v>19</v>
      </c>
      <c r="Z10" s="25"/>
      <c r="AA10" s="26"/>
      <c r="AB10" s="121" t="s">
        <v>17</v>
      </c>
      <c r="AC10" s="121"/>
      <c r="AD10" s="77"/>
      <c r="AE10" s="27"/>
      <c r="AG10" s="117" t="s">
        <v>18</v>
      </c>
      <c r="AH10" s="118"/>
      <c r="AI10" s="119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20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20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20"/>
    </row>
    <row r="12" spans="1:35" x14ac:dyDescent="0.25">
      <c r="A12" s="10">
        <v>1</v>
      </c>
      <c r="B12" s="30">
        <v>46054</v>
      </c>
      <c r="C12" s="91">
        <v>8226</v>
      </c>
      <c r="D12" s="32">
        <f>650</f>
        <v>650</v>
      </c>
      <c r="E12" s="32"/>
      <c r="F12" s="32"/>
      <c r="G12" s="32">
        <f t="shared" ref="G12:G45" si="0">SUM(D12:E12)</f>
        <v>650</v>
      </c>
      <c r="H12" s="12"/>
      <c r="I12" s="12"/>
      <c r="J12" s="12"/>
      <c r="K12" s="12">
        <f t="shared" ref="K12:K45" si="1">SUM(G12:J12)</f>
        <v>650</v>
      </c>
      <c r="M12" s="10">
        <v>1</v>
      </c>
      <c r="N12" s="30">
        <v>46054</v>
      </c>
      <c r="O12" s="31">
        <v>7595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46054</v>
      </c>
      <c r="AA12" s="31">
        <v>7350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46054</v>
      </c>
      <c r="C13" s="91">
        <f>C12+1</f>
        <v>8227</v>
      </c>
      <c r="D13" s="32">
        <f>9100+1340+2488+171</f>
        <v>13099</v>
      </c>
      <c r="E13" s="32"/>
      <c r="F13" s="32"/>
      <c r="G13" s="32">
        <f t="shared" si="0"/>
        <v>13099</v>
      </c>
      <c r="H13" s="12"/>
      <c r="I13" s="12">
        <f>12+58.5+13.5</f>
        <v>84</v>
      </c>
      <c r="J13" s="12"/>
      <c r="K13" s="12">
        <f t="shared" si="1"/>
        <v>13183</v>
      </c>
      <c r="M13" s="10">
        <v>2</v>
      </c>
      <c r="N13" s="30">
        <v>46054</v>
      </c>
      <c r="O13" s="31">
        <f>O12+1</f>
        <v>7596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46054</v>
      </c>
      <c r="AA13" s="31">
        <v>7451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46054</v>
      </c>
      <c r="C14" s="91">
        <f t="shared" ref="C14:C19" si="6">C13+1</f>
        <v>8228</v>
      </c>
      <c r="D14" s="33">
        <f>650*228+670*10+622*50+872*5</f>
        <v>190360</v>
      </c>
      <c r="E14" s="33">
        <v>-1758</v>
      </c>
      <c r="F14" s="33"/>
      <c r="G14" s="33">
        <f t="shared" si="0"/>
        <v>188602</v>
      </c>
      <c r="H14" s="34"/>
      <c r="I14" s="34"/>
      <c r="J14" s="34"/>
      <c r="K14" s="34">
        <f t="shared" si="1"/>
        <v>188602</v>
      </c>
      <c r="M14" s="10">
        <v>3</v>
      </c>
      <c r="N14" s="30">
        <v>46054</v>
      </c>
      <c r="O14" s="31">
        <f t="shared" ref="O14:O21" si="7">O13+1</f>
        <v>7597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46054</v>
      </c>
      <c r="AA14" s="31">
        <f t="shared" ref="AA14:AA21" si="8">AA13+1</f>
        <v>7452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46054</v>
      </c>
      <c r="C15" s="91">
        <f t="shared" si="6"/>
        <v>8229</v>
      </c>
      <c r="D15" s="32">
        <f>650*25</f>
        <v>16250</v>
      </c>
      <c r="E15" s="32"/>
      <c r="F15" s="32"/>
      <c r="G15" s="32">
        <f t="shared" si="0"/>
        <v>16250</v>
      </c>
      <c r="H15" s="12"/>
      <c r="I15" s="12"/>
      <c r="J15" s="12"/>
      <c r="K15" s="12">
        <f t="shared" si="1"/>
        <v>16250</v>
      </c>
      <c r="M15" s="10">
        <v>4</v>
      </c>
      <c r="N15" s="30">
        <v>46054</v>
      </c>
      <c r="O15" s="31">
        <f t="shared" si="7"/>
        <v>7598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46054</v>
      </c>
      <c r="AA15" s="31">
        <f t="shared" si="8"/>
        <v>7453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46054</v>
      </c>
      <c r="C16" s="91">
        <f t="shared" si="6"/>
        <v>8230</v>
      </c>
      <c r="D16" s="32">
        <f>13000+6220</f>
        <v>19220</v>
      </c>
      <c r="E16" s="32"/>
      <c r="F16" s="32"/>
      <c r="G16" s="32">
        <f t="shared" si="0"/>
        <v>19220</v>
      </c>
      <c r="H16" s="12"/>
      <c r="I16" s="12"/>
      <c r="J16" s="12"/>
      <c r="K16" s="12">
        <f t="shared" si="1"/>
        <v>19220</v>
      </c>
      <c r="M16" s="10">
        <v>5</v>
      </c>
      <c r="N16" s="30">
        <v>46054</v>
      </c>
      <c r="O16" s="31">
        <f t="shared" si="7"/>
        <v>7599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46054</v>
      </c>
      <c r="AA16" s="31">
        <f t="shared" si="8"/>
        <v>7454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46054</v>
      </c>
      <c r="C17" s="91">
        <f t="shared" si="6"/>
        <v>8231</v>
      </c>
      <c r="D17" s="32">
        <f>65000+916</f>
        <v>65916</v>
      </c>
      <c r="E17" s="32">
        <v>-600</v>
      </c>
      <c r="F17" s="32"/>
      <c r="G17" s="32">
        <f t="shared" si="0"/>
        <v>65316</v>
      </c>
      <c r="H17" s="12"/>
      <c r="I17" s="12"/>
      <c r="J17" s="12">
        <f>-100*111</f>
        <v>-11100</v>
      </c>
      <c r="K17" s="12">
        <f t="shared" si="1"/>
        <v>54216</v>
      </c>
      <c r="M17" s="10">
        <v>6</v>
      </c>
      <c r="N17" s="30">
        <v>46054</v>
      </c>
      <c r="O17" s="31">
        <f t="shared" si="7"/>
        <v>7600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46054</v>
      </c>
      <c r="AA17" s="31">
        <f t="shared" si="8"/>
        <v>7455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46054</v>
      </c>
      <c r="C18" s="91">
        <f t="shared" si="6"/>
        <v>8232</v>
      </c>
      <c r="D18" s="32">
        <f>59800+622*10</f>
        <v>66020</v>
      </c>
      <c r="E18" s="32">
        <v>-612</v>
      </c>
      <c r="F18" s="32"/>
      <c r="G18" s="32">
        <f t="shared" si="0"/>
        <v>65408</v>
      </c>
      <c r="H18" s="12"/>
      <c r="I18" s="12"/>
      <c r="J18" s="12">
        <v>-1998</v>
      </c>
      <c r="K18" s="12">
        <f t="shared" si="1"/>
        <v>63410</v>
      </c>
      <c r="M18" s="10">
        <v>7</v>
      </c>
      <c r="N18" s="30">
        <v>46054</v>
      </c>
      <c r="O18" s="31">
        <f t="shared" si="7"/>
        <v>7601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46054</v>
      </c>
      <c r="AA18" s="31">
        <f t="shared" si="8"/>
        <v>7456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46054</v>
      </c>
      <c r="C19" s="91">
        <f t="shared" si="6"/>
        <v>8233</v>
      </c>
      <c r="D19" s="32">
        <f>559*8</f>
        <v>4472</v>
      </c>
      <c r="E19" s="32"/>
      <c r="F19" s="32"/>
      <c r="G19" s="32">
        <f t="shared" si="0"/>
        <v>4472</v>
      </c>
      <c r="H19" s="12"/>
      <c r="I19" s="12"/>
      <c r="J19" s="12"/>
      <c r="K19" s="12">
        <f t="shared" si="1"/>
        <v>4472</v>
      </c>
      <c r="M19" s="10">
        <v>8</v>
      </c>
      <c r="N19" s="30">
        <v>46054</v>
      </c>
      <c r="O19" s="31">
        <f t="shared" si="7"/>
        <v>7602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>
        <v>46054</v>
      </c>
      <c r="AA19" s="31">
        <f t="shared" si="8"/>
        <v>7457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46054</v>
      </c>
      <c r="O20" s="31">
        <f t="shared" si="7"/>
        <v>7603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46054</v>
      </c>
      <c r="AA20" s="31">
        <f t="shared" si="8"/>
        <v>7458</v>
      </c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91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46054</v>
      </c>
      <c r="O21" s="31">
        <f t="shared" si="7"/>
        <v>7604</v>
      </c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>
        <v>46054</v>
      </c>
      <c r="AA21" s="31">
        <f t="shared" si="8"/>
        <v>7459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9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9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9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9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9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9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9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9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9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91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9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9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9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91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9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9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91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91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9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91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91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9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9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375987</v>
      </c>
      <c r="E55" s="38">
        <f t="shared" ref="E55:F55" si="18">SUM(E12:E52)</f>
        <v>-2970</v>
      </c>
      <c r="F55" s="38">
        <f t="shared" si="18"/>
        <v>0</v>
      </c>
      <c r="G55" s="38">
        <f>SUM(G12:G54)</f>
        <v>373017</v>
      </c>
      <c r="H55" s="4"/>
      <c r="I55" s="39">
        <f>SUM(I12:I54)</f>
        <v>84</v>
      </c>
      <c r="J55" s="39">
        <f>SUM(J12:J54)</f>
        <v>-13098</v>
      </c>
      <c r="K55" s="40">
        <f>SUM(K12:K54)</f>
        <v>360003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97"/>
      <c r="O57" s="97"/>
      <c r="P57" s="97"/>
      <c r="Q57" s="97"/>
      <c r="R57" s="97"/>
      <c r="S57" s="9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97"/>
      <c r="O58" s="97"/>
      <c r="P58" s="97"/>
      <c r="Q58" s="97"/>
      <c r="R58" s="97"/>
      <c r="S58" s="9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97"/>
      <c r="O59" s="97"/>
      <c r="P59" s="97"/>
      <c r="Q59" s="97"/>
      <c r="R59" s="97"/>
      <c r="S59" s="9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97"/>
      <c r="O60" s="97"/>
      <c r="P60" s="97"/>
      <c r="Q60" s="97"/>
      <c r="R60" s="97"/>
      <c r="S60" s="9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97"/>
      <c r="O61" s="97"/>
      <c r="P61" s="97"/>
      <c r="Q61" s="97"/>
      <c r="R61" s="97"/>
      <c r="S61" s="9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97"/>
      <c r="O62" s="97"/>
      <c r="P62" s="97"/>
      <c r="Q62" s="97"/>
      <c r="R62" s="97"/>
      <c r="S62" s="97"/>
      <c r="T62" s="62"/>
      <c r="U62" s="97"/>
      <c r="V62" s="74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64"/>
      <c r="N63" s="97"/>
      <c r="O63" s="97"/>
      <c r="P63" s="97"/>
      <c r="Q63" s="97"/>
      <c r="R63" s="97"/>
      <c r="S63" s="97"/>
      <c r="T63" s="62"/>
      <c r="U63" s="65"/>
      <c r="V63" s="65"/>
      <c r="W63" s="62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97"/>
      <c r="O64" s="97"/>
      <c r="P64" s="97"/>
      <c r="Q64" s="97"/>
      <c r="R64" s="97"/>
      <c r="S64" s="9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21" t="s">
        <v>17</v>
      </c>
      <c r="E65" s="121"/>
      <c r="F65" s="95"/>
      <c r="G65" s="27"/>
      <c r="I65" s="117" t="s">
        <v>18</v>
      </c>
      <c r="J65" s="118"/>
      <c r="K65" s="119" t="s">
        <v>19</v>
      </c>
      <c r="M65" s="62"/>
      <c r="N65" s="65"/>
      <c r="O65" s="97"/>
      <c r="P65" s="116"/>
      <c r="Q65" s="116"/>
      <c r="R65" s="97"/>
      <c r="S65" s="97"/>
      <c r="T65" s="62"/>
      <c r="U65" s="116"/>
      <c r="V65" s="116"/>
      <c r="W65" s="115"/>
      <c r="Z65" s="25"/>
      <c r="AA65" s="26"/>
      <c r="AB65" s="121" t="s">
        <v>17</v>
      </c>
      <c r="AC65" s="121"/>
      <c r="AD65" s="95"/>
      <c r="AE65" s="27"/>
      <c r="AG65" s="117" t="s">
        <v>18</v>
      </c>
      <c r="AH65" s="118"/>
      <c r="AI65" s="119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20"/>
      <c r="M66" s="62"/>
      <c r="N66" s="97"/>
      <c r="O66" s="97"/>
      <c r="P66" s="81"/>
      <c r="Q66" s="83"/>
      <c r="R66" s="83"/>
      <c r="S66" s="83"/>
      <c r="T66" s="62"/>
      <c r="U66" s="96"/>
      <c r="V66" s="96"/>
      <c r="W66" s="115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20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46082</v>
      </c>
      <c r="C67" s="91">
        <v>8100</v>
      </c>
      <c r="D67" s="32">
        <f>650*8+76</f>
        <v>5276</v>
      </c>
      <c r="E67" s="32"/>
      <c r="F67" s="32"/>
      <c r="G67" s="32">
        <f t="shared" ref="G67:G100" si="19">SUM(D67:E67)</f>
        <v>5276</v>
      </c>
      <c r="H67" s="12"/>
      <c r="I67" s="12"/>
      <c r="J67" s="12"/>
      <c r="K67" s="12">
        <f t="shared" ref="K67:K100" si="20">SUM(G67:J67)</f>
        <v>5276</v>
      </c>
      <c r="M67" s="62"/>
      <c r="N67" s="66"/>
      <c r="O67" s="9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46082</v>
      </c>
      <c r="AA67" s="31">
        <v>8234</v>
      </c>
      <c r="AB67" s="32">
        <f>650+622</f>
        <v>1272</v>
      </c>
      <c r="AC67" s="32"/>
      <c r="AD67" s="32"/>
      <c r="AE67" s="32">
        <f>SUM(AB67:AC67)</f>
        <v>1272</v>
      </c>
      <c r="AF67" s="12"/>
      <c r="AG67" s="12"/>
      <c r="AH67" s="12"/>
      <c r="AI67" s="12">
        <f>SUM(AE67:AH67)</f>
        <v>1272</v>
      </c>
      <c r="AK67" s="62"/>
      <c r="AL67" s="65"/>
      <c r="AM67" s="87"/>
      <c r="AN67" s="116"/>
      <c r="AO67" s="116"/>
      <c r="AP67" s="87"/>
      <c r="AQ67" s="62"/>
      <c r="AR67" s="116"/>
      <c r="AS67" s="116"/>
      <c r="AT67" s="11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46082</v>
      </c>
      <c r="C68" s="91">
        <v>8306</v>
      </c>
      <c r="D68" s="32">
        <f>650*432+1050*10+872*20+229*14</f>
        <v>311946</v>
      </c>
      <c r="E68" s="32">
        <v>-2772</v>
      </c>
      <c r="F68" s="32"/>
      <c r="G68" s="32">
        <f t="shared" si="19"/>
        <v>309174</v>
      </c>
      <c r="H68" s="12"/>
      <c r="I68" s="12"/>
      <c r="J68" s="12">
        <f>-1800+-47952+-468</f>
        <v>-50220</v>
      </c>
      <c r="K68" s="12">
        <f t="shared" si="20"/>
        <v>258954</v>
      </c>
      <c r="M68" s="62"/>
      <c r="N68" s="66"/>
      <c r="O68" s="9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46082</v>
      </c>
      <c r="AA68" s="31">
        <f>AA67+1</f>
        <v>8235</v>
      </c>
      <c r="AB68" s="32">
        <f>140400</f>
        <v>140400</v>
      </c>
      <c r="AC68" s="32">
        <v>-1296</v>
      </c>
      <c r="AD68" s="32"/>
      <c r="AE68" s="32">
        <f t="shared" ref="AE68:AE70" si="21">SUM(AB68:AC68)</f>
        <v>139104</v>
      </c>
      <c r="AF68" s="12"/>
      <c r="AG68" s="12"/>
      <c r="AH68" s="12"/>
      <c r="AI68" s="12">
        <f t="shared" ref="AI68:AI99" si="22">SUM(AE68:AH68)</f>
        <v>139104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46082</v>
      </c>
      <c r="C69" s="91">
        <f t="shared" ref="C69:C77" si="23">C68+1</f>
        <v>8307</v>
      </c>
      <c r="D69" s="33">
        <f>11050+1866</f>
        <v>12916</v>
      </c>
      <c r="E69" s="33"/>
      <c r="F69" s="33"/>
      <c r="G69" s="33">
        <f t="shared" si="19"/>
        <v>12916</v>
      </c>
      <c r="H69" s="34"/>
      <c r="I69" s="34"/>
      <c r="J69" s="34"/>
      <c r="K69" s="34">
        <f t="shared" si="20"/>
        <v>12916</v>
      </c>
      <c r="M69" s="62"/>
      <c r="N69" s="66"/>
      <c r="O69" s="9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46082</v>
      </c>
      <c r="AA69" s="31">
        <f t="shared" ref="AA69:AA76" si="24">AA68+1</f>
        <v>8236</v>
      </c>
      <c r="AB69" s="33">
        <f>10400+2680+1244+458</f>
        <v>14782</v>
      </c>
      <c r="AC69" s="33"/>
      <c r="AD69" s="32"/>
      <c r="AE69" s="32">
        <f t="shared" si="21"/>
        <v>14782</v>
      </c>
      <c r="AF69" s="12"/>
      <c r="AG69" s="12"/>
      <c r="AH69" s="12"/>
      <c r="AI69" s="12">
        <f t="shared" si="22"/>
        <v>14782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46082</v>
      </c>
      <c r="C70" s="91">
        <f t="shared" si="23"/>
        <v>8308</v>
      </c>
      <c r="D70" s="32">
        <f>84500+1145</f>
        <v>85645</v>
      </c>
      <c r="E70" s="32"/>
      <c r="F70" s="32"/>
      <c r="G70" s="32">
        <f t="shared" si="19"/>
        <v>85645</v>
      </c>
      <c r="H70" s="12"/>
      <c r="I70" s="12">
        <f>999+390</f>
        <v>1389</v>
      </c>
      <c r="J70" s="12"/>
      <c r="K70" s="12">
        <f t="shared" si="20"/>
        <v>87034</v>
      </c>
      <c r="M70" s="62"/>
      <c r="N70" s="66"/>
      <c r="O70" s="9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46082</v>
      </c>
      <c r="AA70" s="31">
        <f t="shared" si="24"/>
        <v>8237</v>
      </c>
      <c r="AB70" s="32">
        <f>650+1244</f>
        <v>1894</v>
      </c>
      <c r="AC70" s="32"/>
      <c r="AD70" s="32"/>
      <c r="AE70" s="32">
        <f t="shared" si="21"/>
        <v>1894</v>
      </c>
      <c r="AF70" s="12"/>
      <c r="AH70" s="12"/>
      <c r="AI70" s="12">
        <f t="shared" si="22"/>
        <v>1894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46082</v>
      </c>
      <c r="C71" s="91">
        <f t="shared" si="23"/>
        <v>8309</v>
      </c>
      <c r="D71" s="32">
        <f>650*50+229</f>
        <v>32729</v>
      </c>
      <c r="E71" s="32"/>
      <c r="F71" s="32"/>
      <c r="G71" s="32">
        <f t="shared" si="19"/>
        <v>32729</v>
      </c>
      <c r="H71" s="12"/>
      <c r="I71" s="12">
        <f>78+4.5</f>
        <v>82.5</v>
      </c>
      <c r="J71" s="12"/>
      <c r="K71" s="12">
        <f t="shared" si="20"/>
        <v>32811.5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46082</v>
      </c>
      <c r="AA71" s="31">
        <f t="shared" si="24"/>
        <v>8238</v>
      </c>
      <c r="AB71" s="32">
        <f>39000+670*5+622*5+229</f>
        <v>45689</v>
      </c>
      <c r="AC71" s="32"/>
      <c r="AD71" s="32"/>
      <c r="AE71" s="32">
        <f t="shared" ref="AE71:AE76" si="25">SUM(AB71:AC71)</f>
        <v>45689</v>
      </c>
      <c r="AF71" s="12"/>
      <c r="AG71" s="12"/>
      <c r="AH71" s="12"/>
      <c r="AI71" s="12">
        <f t="shared" si="22"/>
        <v>45689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46082</v>
      </c>
      <c r="C72" s="91">
        <f t="shared" si="23"/>
        <v>8310</v>
      </c>
      <c r="D72" s="32">
        <f>650*50+700</f>
        <v>33200</v>
      </c>
      <c r="E72" s="32"/>
      <c r="F72" s="32"/>
      <c r="G72" s="32">
        <f t="shared" si="19"/>
        <v>33200</v>
      </c>
      <c r="H72" s="12"/>
      <c r="I72" s="12">
        <f>5550+111</f>
        <v>5661</v>
      </c>
      <c r="J72" s="12"/>
      <c r="K72" s="12">
        <f t="shared" si="20"/>
        <v>38861</v>
      </c>
      <c r="M72" s="62"/>
      <c r="N72" s="66"/>
      <c r="O72" s="9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46082</v>
      </c>
      <c r="AA72" s="31">
        <f t="shared" si="24"/>
        <v>8239</v>
      </c>
      <c r="AB72" s="32">
        <f>650*130+973+622*10+229*3</f>
        <v>92380</v>
      </c>
      <c r="AC72" s="32">
        <v>-840</v>
      </c>
      <c r="AD72" s="32"/>
      <c r="AE72" s="32">
        <f t="shared" si="25"/>
        <v>91540</v>
      </c>
      <c r="AF72" s="12"/>
      <c r="AG72" s="12"/>
      <c r="AH72" s="10">
        <v>-7659</v>
      </c>
      <c r="AI72" s="12">
        <f t="shared" si="22"/>
        <v>83881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46082</v>
      </c>
      <c r="C73" s="91">
        <f t="shared" si="23"/>
        <v>8311</v>
      </c>
      <c r="D73" s="32">
        <f>3900+57</f>
        <v>3957</v>
      </c>
      <c r="E73" s="32"/>
      <c r="F73" s="32"/>
      <c r="G73" s="32">
        <f t="shared" si="19"/>
        <v>3957</v>
      </c>
      <c r="H73" s="12"/>
      <c r="I73" s="12">
        <v>9</v>
      </c>
      <c r="J73" s="12"/>
      <c r="K73" s="12">
        <f t="shared" si="20"/>
        <v>3966</v>
      </c>
      <c r="M73" s="62"/>
      <c r="N73" s="66"/>
      <c r="O73" s="9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46082</v>
      </c>
      <c r="AA73" s="31">
        <f t="shared" si="24"/>
        <v>8240</v>
      </c>
      <c r="AB73" s="32">
        <f>650*30+670*5+622*8+2100+229*3</f>
        <v>30613</v>
      </c>
      <c r="AC73" s="32"/>
      <c r="AD73" s="32"/>
      <c r="AE73" s="32">
        <f t="shared" si="25"/>
        <v>30613</v>
      </c>
      <c r="AF73" s="12"/>
      <c r="AG73" s="58"/>
      <c r="AH73" s="12"/>
      <c r="AI73" s="12">
        <f t="shared" si="22"/>
        <v>30613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46082</v>
      </c>
      <c r="C74" s="91">
        <f t="shared" si="23"/>
        <v>8312</v>
      </c>
      <c r="D74" s="32">
        <f>973*60+912*5+1050*6+872*6+500*3</f>
        <v>75972</v>
      </c>
      <c r="E74" s="32"/>
      <c r="F74" s="32"/>
      <c r="G74" s="32">
        <f t="shared" si="19"/>
        <v>75972</v>
      </c>
      <c r="H74" s="12"/>
      <c r="I74" s="12"/>
      <c r="J74" s="12"/>
      <c r="K74" s="12">
        <f t="shared" si="20"/>
        <v>75972</v>
      </c>
      <c r="M74" s="62"/>
      <c r="N74" s="66"/>
      <c r="O74" s="9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>
        <v>46082</v>
      </c>
      <c r="AA74" s="31">
        <f t="shared" si="24"/>
        <v>8241</v>
      </c>
      <c r="AB74" s="32">
        <f>2736+650*5</f>
        <v>5986</v>
      </c>
      <c r="AC74" s="32"/>
      <c r="AE74" s="32">
        <f t="shared" si="25"/>
        <v>5986</v>
      </c>
      <c r="AF74" s="12"/>
      <c r="AG74" s="12"/>
      <c r="AH74" s="12"/>
      <c r="AI74" s="12">
        <f t="shared" si="22"/>
        <v>5986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46082</v>
      </c>
      <c r="C75" s="91">
        <f t="shared" si="23"/>
        <v>8313</v>
      </c>
      <c r="D75" s="32">
        <f>9750+1244</f>
        <v>10994</v>
      </c>
      <c r="E75" s="32"/>
      <c r="F75" s="32"/>
      <c r="G75" s="32">
        <f t="shared" si="19"/>
        <v>10994</v>
      </c>
      <c r="H75" s="12"/>
      <c r="I75" s="12"/>
      <c r="J75" s="12"/>
      <c r="K75" s="12">
        <f t="shared" si="20"/>
        <v>10994</v>
      </c>
      <c r="M75" s="62"/>
      <c r="N75" s="66"/>
      <c r="O75" s="9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>
        <v>46082</v>
      </c>
      <c r="AA75" s="31">
        <f t="shared" si="24"/>
        <v>8242</v>
      </c>
      <c r="AB75" s="32">
        <f>650*27+670+622*10</f>
        <v>24440</v>
      </c>
      <c r="AC75" s="32"/>
      <c r="AD75" s="32"/>
      <c r="AE75" s="32">
        <f t="shared" si="25"/>
        <v>24440</v>
      </c>
      <c r="AF75" s="12"/>
      <c r="AH75" s="12"/>
      <c r="AI75" s="12">
        <f t="shared" si="22"/>
        <v>24440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46082</v>
      </c>
      <c r="C76" s="91">
        <v>8151</v>
      </c>
      <c r="D76" s="32">
        <f>7260+2488+152</f>
        <v>9900</v>
      </c>
      <c r="E76" s="32"/>
      <c r="F76" s="32"/>
      <c r="G76" s="32">
        <f t="shared" si="19"/>
        <v>9900</v>
      </c>
      <c r="H76" s="12"/>
      <c r="I76" s="12"/>
      <c r="J76" s="12"/>
      <c r="K76" s="12">
        <f t="shared" si="20"/>
        <v>9900</v>
      </c>
      <c r="M76" s="62"/>
      <c r="N76" s="66"/>
      <c r="O76" s="9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>
        <v>46082</v>
      </c>
      <c r="AA76" s="31">
        <f t="shared" si="24"/>
        <v>8243</v>
      </c>
      <c r="AB76" s="32">
        <f>1175+229</f>
        <v>1404</v>
      </c>
      <c r="AC76" s="32"/>
      <c r="AD76" s="32"/>
      <c r="AE76" s="32">
        <f t="shared" si="25"/>
        <v>1404</v>
      </c>
      <c r="AF76" s="12"/>
      <c r="AG76" s="12">
        <v>36</v>
      </c>
      <c r="AH76" s="12"/>
      <c r="AI76" s="12">
        <f t="shared" si="22"/>
        <v>1440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46082</v>
      </c>
      <c r="C77" s="91">
        <f t="shared" si="23"/>
        <v>8152</v>
      </c>
      <c r="D77" s="32">
        <f>3900+57</f>
        <v>3957</v>
      </c>
      <c r="E77" s="32"/>
      <c r="F77" s="32"/>
      <c r="G77" s="32">
        <f t="shared" si="19"/>
        <v>3957</v>
      </c>
      <c r="H77" s="12"/>
      <c r="I77" s="12">
        <f>4.5+6</f>
        <v>10.5</v>
      </c>
      <c r="J77" s="12"/>
      <c r="K77" s="12">
        <f t="shared" si="20"/>
        <v>3967.5</v>
      </c>
      <c r="M77" s="62"/>
      <c r="N77" s="66"/>
      <c r="O77" s="9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11" t="s">
        <v>27</v>
      </c>
      <c r="AB77" s="32"/>
      <c r="AC77" s="32"/>
      <c r="AD77" s="32"/>
      <c r="AE77" s="32">
        <f t="shared" ref="AE77:AE99" si="26">SUM(AB77:AC77)</f>
        <v>0</v>
      </c>
      <c r="AF77" s="12"/>
      <c r="AG77" s="12"/>
      <c r="AH77" s="12"/>
      <c r="AI77" s="12">
        <f t="shared" si="22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62"/>
      <c r="N78" s="66"/>
      <c r="O78" s="97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6"/>
        <v>0</v>
      </c>
      <c r="AF78" s="12"/>
      <c r="AG78" s="12"/>
      <c r="AH78" s="12"/>
      <c r="AI78" s="12">
        <f t="shared" si="22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62"/>
      <c r="N79" s="66"/>
      <c r="O79" s="9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6"/>
        <v>0</v>
      </c>
      <c r="AF79" s="12"/>
      <c r="AG79" s="12"/>
      <c r="AH79" s="12"/>
      <c r="AI79" s="12">
        <f t="shared" si="22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62"/>
      <c r="N80" s="66"/>
      <c r="O80" s="9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6"/>
        <v>0</v>
      </c>
      <c r="AF80" s="12"/>
      <c r="AG80" s="12"/>
      <c r="AH80" s="12"/>
      <c r="AI80" s="12">
        <f t="shared" si="22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62"/>
      <c r="N81" s="66"/>
      <c r="O81" s="9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6"/>
        <v>0</v>
      </c>
      <c r="AF81" s="12"/>
      <c r="AG81" s="12"/>
      <c r="AH81" s="12"/>
      <c r="AI81" s="12">
        <f t="shared" si="22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62"/>
      <c r="N82" s="66"/>
      <c r="O82" s="97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31"/>
      <c r="AB82" s="32"/>
      <c r="AC82" s="32"/>
      <c r="AD82" s="32"/>
      <c r="AE82" s="32">
        <f t="shared" si="26"/>
        <v>0</v>
      </c>
      <c r="AF82" s="12"/>
      <c r="AG82" s="12"/>
      <c r="AH82" s="12"/>
      <c r="AI82" s="12">
        <f t="shared" si="22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62"/>
      <c r="N83" s="66"/>
      <c r="O83" s="9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6"/>
        <v>0</v>
      </c>
      <c r="AF83" s="12"/>
      <c r="AG83" s="12"/>
      <c r="AH83" s="12"/>
      <c r="AI83" s="12">
        <f t="shared" si="22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62"/>
      <c r="N84" s="66"/>
      <c r="O84" s="9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6"/>
        <v>0</v>
      </c>
      <c r="AF84" s="12"/>
      <c r="AG84" s="12"/>
      <c r="AH84" s="12"/>
      <c r="AI84" s="12">
        <f t="shared" si="22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62"/>
      <c r="N85" s="66"/>
      <c r="O85" s="9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6"/>
        <v>0</v>
      </c>
      <c r="AF85" s="12"/>
      <c r="AG85" s="12"/>
      <c r="AH85" s="12"/>
      <c r="AI85" s="12">
        <f t="shared" si="22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62"/>
      <c r="N86" s="66"/>
      <c r="O86" s="9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A86" s="31"/>
      <c r="AB86" s="32"/>
      <c r="AC86" s="32"/>
      <c r="AD86" s="32"/>
      <c r="AE86" s="32">
        <f t="shared" si="26"/>
        <v>0</v>
      </c>
      <c r="AF86" s="12"/>
      <c r="AG86" s="12"/>
      <c r="AH86" s="12"/>
      <c r="AI86" s="12">
        <f t="shared" si="22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62"/>
      <c r="N87" s="66"/>
      <c r="O87" s="62"/>
      <c r="P87" s="67"/>
      <c r="Q87" s="97"/>
      <c r="R87" s="97"/>
      <c r="S87" s="60"/>
      <c r="T87" s="62"/>
      <c r="U87" s="62"/>
      <c r="V87" s="62"/>
      <c r="W87" s="61"/>
      <c r="Y87" s="10">
        <v>21</v>
      </c>
      <c r="Z87" s="30"/>
      <c r="AB87" s="46"/>
      <c r="AC87" s="31"/>
      <c r="AD87" s="31"/>
      <c r="AE87" s="32">
        <f t="shared" si="26"/>
        <v>0</v>
      </c>
      <c r="AF87" s="10"/>
      <c r="AG87" s="10"/>
      <c r="AH87" s="10"/>
      <c r="AI87" s="12">
        <f t="shared" si="22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62"/>
      <c r="N88" s="66"/>
      <c r="O88" s="62"/>
      <c r="P88" s="68"/>
      <c r="Q88" s="97"/>
      <c r="R88" s="9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6"/>
        <v>0</v>
      </c>
      <c r="AF88" s="10"/>
      <c r="AG88" s="10"/>
      <c r="AH88" s="10"/>
      <c r="AI88" s="12">
        <f t="shared" si="22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91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62"/>
      <c r="N89" s="66"/>
      <c r="O89" s="9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6"/>
        <v>0</v>
      </c>
      <c r="AF89" s="10"/>
      <c r="AG89" s="10"/>
      <c r="AH89" s="10"/>
      <c r="AI89" s="12">
        <f t="shared" si="22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9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62"/>
      <c r="N90" s="66"/>
      <c r="O90" s="65"/>
      <c r="P90" s="69"/>
      <c r="Q90" s="97"/>
      <c r="R90" s="9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6"/>
        <v>0</v>
      </c>
      <c r="AF90" s="10"/>
      <c r="AG90" s="10"/>
      <c r="AH90" s="10"/>
      <c r="AI90" s="12">
        <f t="shared" si="22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9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62"/>
      <c r="N91" s="66"/>
      <c r="O91" s="97"/>
      <c r="P91" s="69"/>
      <c r="Q91" s="97"/>
      <c r="R91" s="9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6"/>
        <v>0</v>
      </c>
      <c r="AF91" s="10"/>
      <c r="AG91" s="10"/>
      <c r="AH91" s="10"/>
      <c r="AI91" s="12">
        <f t="shared" si="22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9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62"/>
      <c r="N92" s="66"/>
      <c r="O92" s="97"/>
      <c r="P92" s="69"/>
      <c r="Q92" s="97"/>
      <c r="R92" s="9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6"/>
        <v>0</v>
      </c>
      <c r="AF92" s="10"/>
      <c r="AG92" s="10"/>
      <c r="AH92" s="10"/>
      <c r="AI92" s="12">
        <f t="shared" si="22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91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62"/>
      <c r="N93" s="66"/>
      <c r="O93" s="97"/>
      <c r="P93" s="69"/>
      <c r="Q93" s="97"/>
      <c r="R93" s="9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6"/>
        <v>0</v>
      </c>
      <c r="AF93" s="10"/>
      <c r="AG93" s="10"/>
      <c r="AH93" s="10"/>
      <c r="AI93" s="12">
        <f t="shared" si="22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9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62"/>
      <c r="N94" s="66"/>
      <c r="O94" s="97"/>
      <c r="P94" s="69"/>
      <c r="Q94" s="97"/>
      <c r="R94" s="9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6"/>
        <v>0</v>
      </c>
      <c r="AF94" s="10"/>
      <c r="AG94" s="10"/>
      <c r="AH94" s="10"/>
      <c r="AI94" s="12">
        <f t="shared" si="22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9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62"/>
      <c r="N95" s="66"/>
      <c r="O95" s="62"/>
      <c r="P95" s="69"/>
      <c r="Q95" s="97"/>
      <c r="R95" s="9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6"/>
        <v>0</v>
      </c>
      <c r="AF95" s="10"/>
      <c r="AG95" s="10"/>
      <c r="AH95" s="10"/>
      <c r="AI95" s="12">
        <f t="shared" si="22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91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62"/>
      <c r="N96" s="66"/>
      <c r="O96" s="62"/>
      <c r="P96" s="69"/>
      <c r="Q96" s="97"/>
      <c r="R96" s="9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6"/>
        <v>0</v>
      </c>
      <c r="AF96" s="10"/>
      <c r="AG96" s="10"/>
      <c r="AH96" s="10"/>
      <c r="AI96" s="12">
        <f t="shared" si="22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91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62"/>
      <c r="N97" s="66"/>
      <c r="O97" s="97"/>
      <c r="P97" s="69"/>
      <c r="Q97" s="97"/>
      <c r="R97" s="9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6"/>
        <v>0</v>
      </c>
      <c r="AF97" s="10"/>
      <c r="AG97" s="10"/>
      <c r="AH97" s="10"/>
      <c r="AI97" s="12">
        <f t="shared" si="22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9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62"/>
      <c r="N98" s="66"/>
      <c r="O98" s="62"/>
      <c r="P98" s="69"/>
      <c r="Q98" s="97"/>
      <c r="R98" s="9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6"/>
        <v>0</v>
      </c>
      <c r="AF98" s="10"/>
      <c r="AG98" s="10"/>
      <c r="AH98" s="10"/>
      <c r="AI98" s="12">
        <f t="shared" si="22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91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62"/>
      <c r="N99" s="66"/>
      <c r="O99" s="97"/>
      <c r="P99" s="69"/>
      <c r="Q99" s="97"/>
      <c r="R99" s="9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6"/>
        <v>0</v>
      </c>
      <c r="AF99" s="10"/>
      <c r="AG99" s="10"/>
      <c r="AH99" s="10"/>
      <c r="AI99" s="12">
        <f t="shared" si="22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91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62"/>
      <c r="N100" s="66"/>
      <c r="O100" s="97"/>
      <c r="P100" s="69"/>
      <c r="Q100" s="97"/>
      <c r="R100" s="9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7">SUM(AB100:AC100)</f>
        <v>0</v>
      </c>
      <c r="AF100" s="10"/>
      <c r="AG100" s="10"/>
      <c r="AH100" s="10"/>
      <c r="AI100" s="12">
        <f t="shared" ref="AI100:AI108" si="28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91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97"/>
      <c r="P101" s="69"/>
      <c r="Q101" s="97"/>
      <c r="R101" s="9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7"/>
        <v>0</v>
      </c>
      <c r="AF101" s="10"/>
      <c r="AG101" s="10"/>
      <c r="AH101" s="10"/>
      <c r="AI101" s="12">
        <f t="shared" si="28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91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97"/>
      <c r="P102" s="69"/>
      <c r="Q102" s="97"/>
      <c r="R102" s="9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7"/>
        <v>0</v>
      </c>
      <c r="AF102" s="10"/>
      <c r="AG102" s="10"/>
      <c r="AH102" s="10"/>
      <c r="AI102" s="12">
        <f t="shared" si="28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97"/>
      <c r="R103" s="9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7"/>
        <v>0</v>
      </c>
      <c r="AF103" s="10"/>
      <c r="AG103" s="10"/>
      <c r="AH103" s="10"/>
      <c r="AI103" s="12">
        <f t="shared" si="28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97"/>
      <c r="P104" s="69"/>
      <c r="Q104" s="97"/>
      <c r="R104" s="9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7"/>
        <v>0</v>
      </c>
      <c r="AF104" s="10"/>
      <c r="AG104" s="10"/>
      <c r="AH104" s="10"/>
      <c r="AI104" s="12">
        <f t="shared" si="28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97"/>
      <c r="P105" s="69"/>
      <c r="Q105" s="97"/>
      <c r="R105" s="9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7"/>
        <v>0</v>
      </c>
      <c r="AF105" s="10"/>
      <c r="AG105" s="10"/>
      <c r="AH105" s="10"/>
      <c r="AI105" s="12">
        <f t="shared" si="28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97"/>
      <c r="R106" s="9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8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9">SUM(D107:E107)</f>
        <v>0</v>
      </c>
      <c r="H107" s="10"/>
      <c r="I107" s="10"/>
      <c r="J107" s="10"/>
      <c r="K107" s="12">
        <f t="shared" ref="K107" si="30">SUM(G107:J107)</f>
        <v>0</v>
      </c>
      <c r="M107" s="62"/>
      <c r="N107" s="66"/>
      <c r="O107" s="97"/>
      <c r="P107" s="69"/>
      <c r="Q107" s="97"/>
      <c r="R107" s="9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31">SUM(AB107:AC107)</f>
        <v>0</v>
      </c>
      <c r="AF107" s="10"/>
      <c r="AG107" s="10"/>
      <c r="AH107" s="10"/>
      <c r="AI107" s="12">
        <f t="shared" si="28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97"/>
      <c r="O108" s="97"/>
      <c r="P108" s="97"/>
      <c r="Q108" s="97"/>
      <c r="R108" s="97"/>
      <c r="S108" s="9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8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97"/>
      <c r="O109" s="97"/>
      <c r="P109" s="97"/>
      <c r="Q109" s="97"/>
      <c r="R109" s="97"/>
      <c r="S109" s="9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586492</v>
      </c>
      <c r="E110" s="38">
        <f t="shared" ref="E110:F110" si="32">SUM(E67:E107)</f>
        <v>-2772</v>
      </c>
      <c r="F110" s="38">
        <f t="shared" si="32"/>
        <v>0</v>
      </c>
      <c r="G110" s="38">
        <f>SUM(G67:G109)</f>
        <v>583720</v>
      </c>
      <c r="H110" s="4"/>
      <c r="I110" s="39">
        <f>SUM(I67:I109)</f>
        <v>7152</v>
      </c>
      <c r="J110" s="39">
        <f>SUM(J67:J109)</f>
        <v>-50220</v>
      </c>
      <c r="K110" s="40">
        <f>SUM(K67:K109)</f>
        <v>540652</v>
      </c>
      <c r="M110" s="62"/>
      <c r="N110" s="97"/>
      <c r="O110" s="9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358860</v>
      </c>
      <c r="AC110" s="38">
        <f>SUM(AC67:AC91)</f>
        <v>-2136</v>
      </c>
      <c r="AD110" s="38">
        <f>SUM(AD67:AD91)</f>
        <v>0</v>
      </c>
      <c r="AE110" s="38">
        <f>SUM(AE67:AE109)</f>
        <v>356724</v>
      </c>
      <c r="AF110" s="4"/>
      <c r="AG110" s="41">
        <f>SUM(AG67:AG109)</f>
        <v>36</v>
      </c>
      <c r="AH110" s="41">
        <f>SUM(AH67:AH91)</f>
        <v>-7659</v>
      </c>
      <c r="AI110" s="42">
        <f>SUM(AI67:AI109)</f>
        <v>349101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47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1" t="s">
        <v>17</v>
      </c>
      <c r="E120" s="121"/>
      <c r="F120" s="98"/>
      <c r="G120" s="27"/>
      <c r="I120" s="117" t="s">
        <v>18</v>
      </c>
      <c r="J120" s="118"/>
      <c r="K120" s="119" t="s">
        <v>19</v>
      </c>
      <c r="N120" s="25"/>
      <c r="O120" s="26"/>
      <c r="P120" s="121" t="s">
        <v>17</v>
      </c>
      <c r="Q120" s="121"/>
      <c r="R120" s="98"/>
      <c r="S120" s="27"/>
      <c r="U120" s="117" t="s">
        <v>18</v>
      </c>
      <c r="V120" s="118"/>
      <c r="W120" s="119" t="s">
        <v>19</v>
      </c>
      <c r="Z120" s="25"/>
      <c r="AA120" s="26"/>
      <c r="AB120" s="121" t="s">
        <v>17</v>
      </c>
      <c r="AC120" s="121"/>
      <c r="AD120" s="98"/>
      <c r="AE120" s="27"/>
      <c r="AG120" s="117" t="s">
        <v>18</v>
      </c>
      <c r="AH120" s="118"/>
      <c r="AI120" s="11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20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20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2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46143</v>
      </c>
      <c r="C122" s="91">
        <v>8314</v>
      </c>
      <c r="D122" s="32">
        <f>210600+622*108+229*18</f>
        <v>281898</v>
      </c>
      <c r="E122" s="32">
        <v>-2592</v>
      </c>
      <c r="F122" s="32"/>
      <c r="G122" s="32">
        <f t="shared" ref="G122:G155" si="33">SUM(D122:E122)</f>
        <v>279306</v>
      </c>
      <c r="H122" s="12"/>
      <c r="I122" s="12">
        <v>1404</v>
      </c>
      <c r="J122" s="12">
        <f>-960+-89244+-666-1452</f>
        <v>-92322</v>
      </c>
      <c r="K122" s="12">
        <f t="shared" ref="K122:K155" si="34">SUM(G122:J122)</f>
        <v>188388</v>
      </c>
      <c r="M122" s="10">
        <v>1</v>
      </c>
      <c r="N122" s="30">
        <v>46143</v>
      </c>
      <c r="O122" s="31">
        <v>8153</v>
      </c>
      <c r="P122" s="32">
        <f>2600+40</f>
        <v>2640</v>
      </c>
      <c r="Q122" s="32"/>
      <c r="R122" s="32"/>
      <c r="S122" s="32">
        <f>SUM(P122:Q122)</f>
        <v>2640</v>
      </c>
      <c r="T122" s="12"/>
      <c r="U122" s="12"/>
      <c r="V122" s="12"/>
      <c r="W122" s="12">
        <f>SUM(S122:V122)</f>
        <v>2640</v>
      </c>
      <c r="Y122" s="10">
        <v>1</v>
      </c>
      <c r="Z122" s="30">
        <v>46143</v>
      </c>
      <c r="AA122" s="31">
        <v>7795</v>
      </c>
      <c r="AB122" s="32">
        <f>120*650+622*55+229*7</f>
        <v>113813</v>
      </c>
      <c r="AC122" s="32">
        <v>-1050</v>
      </c>
      <c r="AD122" s="32"/>
      <c r="AE122" s="32">
        <f>SUM(AB122:AC122)</f>
        <v>112763</v>
      </c>
      <c r="AF122" s="12"/>
      <c r="AG122" s="12"/>
      <c r="AH122" s="12"/>
      <c r="AI122" s="12">
        <f>SUM(AE122:AH122)</f>
        <v>112763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46143</v>
      </c>
      <c r="C123" s="91">
        <f>C122+1</f>
        <v>8315</v>
      </c>
      <c r="D123" s="32">
        <f>70200+4690+1946+3732+1824+2100+1744+1374+1000+3500</f>
        <v>92110</v>
      </c>
      <c r="E123" s="32"/>
      <c r="F123" s="32"/>
      <c r="G123" s="32">
        <f t="shared" si="33"/>
        <v>92110</v>
      </c>
      <c r="H123" s="12"/>
      <c r="I123" s="12">
        <f>108+324</f>
        <v>432</v>
      </c>
      <c r="J123" s="12"/>
      <c r="K123" s="12">
        <f t="shared" si="34"/>
        <v>92542</v>
      </c>
      <c r="M123" s="10">
        <v>2</v>
      </c>
      <c r="N123" s="30">
        <v>46143</v>
      </c>
      <c r="O123" s="31">
        <f>O122+1</f>
        <v>8154</v>
      </c>
      <c r="P123" s="32">
        <f>5200+80</f>
        <v>5280</v>
      </c>
      <c r="Q123" s="32"/>
      <c r="R123" s="32"/>
      <c r="S123" s="32">
        <f t="shared" ref="S123:S154" si="35">SUM(P123:Q123)</f>
        <v>5280</v>
      </c>
      <c r="T123" s="12"/>
      <c r="U123" s="12"/>
      <c r="V123" s="12"/>
      <c r="W123" s="12">
        <f t="shared" ref="W123:W154" si="36">SUM(S123:V123)</f>
        <v>5280</v>
      </c>
      <c r="Y123" s="10">
        <v>2</v>
      </c>
      <c r="Z123" s="30">
        <v>46143</v>
      </c>
      <c r="AA123" s="31">
        <f>AA122+1</f>
        <v>7796</v>
      </c>
      <c r="AB123" s="32">
        <f>650*76</f>
        <v>49400</v>
      </c>
      <c r="AC123" s="32">
        <v>-456</v>
      </c>
      <c r="AD123" s="32"/>
      <c r="AE123" s="32">
        <f t="shared" ref="AE123:AE125" si="37">SUM(AB123:AC123)</f>
        <v>48944</v>
      </c>
      <c r="AF123" s="12"/>
      <c r="AG123" s="12"/>
      <c r="AH123" s="12"/>
      <c r="AI123" s="12">
        <f t="shared" ref="AI123:AI154" si="38">SUM(AE123:AH123)</f>
        <v>48944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46143</v>
      </c>
      <c r="C124" s="91">
        <f t="shared" ref="C124:C126" si="39">C123+1</f>
        <v>8316</v>
      </c>
      <c r="D124" s="33">
        <f>650*20</f>
        <v>13000</v>
      </c>
      <c r="E124" s="33"/>
      <c r="F124" s="33"/>
      <c r="G124" s="33">
        <f t="shared" si="33"/>
        <v>13000</v>
      </c>
      <c r="H124" s="34"/>
      <c r="I124" s="34"/>
      <c r="J124" s="34"/>
      <c r="K124" s="34">
        <f t="shared" si="34"/>
        <v>13000</v>
      </c>
      <c r="M124" s="10">
        <v>3</v>
      </c>
      <c r="N124" s="30">
        <v>46143</v>
      </c>
      <c r="O124" s="31">
        <f t="shared" ref="O124:O127" si="40">O123+1</f>
        <v>8155</v>
      </c>
      <c r="P124" s="32">
        <f>2600+40</f>
        <v>2640</v>
      </c>
      <c r="Q124" s="32"/>
      <c r="R124" s="32"/>
      <c r="S124" s="32">
        <f t="shared" si="35"/>
        <v>2640</v>
      </c>
      <c r="T124" s="12"/>
      <c r="U124" s="12"/>
      <c r="V124" s="12"/>
      <c r="W124" s="12">
        <f t="shared" si="36"/>
        <v>2640</v>
      </c>
      <c r="Y124" s="10">
        <v>3</v>
      </c>
      <c r="Z124" s="30">
        <v>46143</v>
      </c>
      <c r="AA124" s="31">
        <f t="shared" ref="AA124:AA131" si="41">AA123+1</f>
        <v>7797</v>
      </c>
      <c r="AB124" s="33">
        <f>650*29+622*8</f>
        <v>23826</v>
      </c>
      <c r="AC124" s="33"/>
      <c r="AD124" s="32"/>
      <c r="AE124" s="32">
        <f t="shared" si="37"/>
        <v>23826</v>
      </c>
      <c r="AF124" s="12"/>
      <c r="AG124" s="12"/>
      <c r="AH124" s="12">
        <v>-2220</v>
      </c>
      <c r="AI124" s="12">
        <f t="shared" si="38"/>
        <v>21606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46143</v>
      </c>
      <c r="C125" s="91">
        <f t="shared" si="39"/>
        <v>8317</v>
      </c>
      <c r="D125" s="32">
        <f>1950+622+38</f>
        <v>2610</v>
      </c>
      <c r="E125" s="32"/>
      <c r="F125" s="32"/>
      <c r="G125" s="32">
        <f t="shared" si="33"/>
        <v>2610</v>
      </c>
      <c r="H125" s="12"/>
      <c r="I125" s="12"/>
      <c r="J125" s="12"/>
      <c r="K125" s="12">
        <f t="shared" si="34"/>
        <v>2610</v>
      </c>
      <c r="M125" s="10">
        <v>4</v>
      </c>
      <c r="N125" s="30">
        <v>46143</v>
      </c>
      <c r="O125" s="31">
        <f t="shared" si="40"/>
        <v>8156</v>
      </c>
      <c r="P125" s="32">
        <f>650*216+229*6</f>
        <v>141774</v>
      </c>
      <c r="Q125" s="32">
        <f>-216*6</f>
        <v>-1296</v>
      </c>
      <c r="R125" s="32"/>
      <c r="S125" s="32">
        <f t="shared" si="35"/>
        <v>140478</v>
      </c>
      <c r="T125" s="12"/>
      <c r="U125" s="12">
        <v>312</v>
      </c>
      <c r="V125" s="12"/>
      <c r="W125" s="12">
        <f t="shared" si="36"/>
        <v>140790</v>
      </c>
      <c r="Y125" s="10">
        <v>4</v>
      </c>
      <c r="Z125" s="30">
        <v>46143</v>
      </c>
      <c r="AA125" s="31">
        <v>8244</v>
      </c>
      <c r="AB125" s="32">
        <f>650*29+670*2+700+622*15+912+872*3+229*2+500</f>
        <v>34706</v>
      </c>
      <c r="AC125" s="32"/>
      <c r="AD125" s="32"/>
      <c r="AE125" s="32">
        <f t="shared" si="37"/>
        <v>34706</v>
      </c>
      <c r="AF125" s="12"/>
      <c r="AH125" s="12"/>
      <c r="AI125" s="12">
        <f t="shared" si="38"/>
        <v>34706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46143</v>
      </c>
      <c r="C126" s="91">
        <f t="shared" si="39"/>
        <v>8318</v>
      </c>
      <c r="D126" s="32">
        <f>650*8+9.5*8</f>
        <v>5276</v>
      </c>
      <c r="E126" s="32"/>
      <c r="F126" s="32"/>
      <c r="G126" s="32">
        <f t="shared" si="33"/>
        <v>5276</v>
      </c>
      <c r="H126" s="12"/>
      <c r="I126" s="12">
        <v>222</v>
      </c>
      <c r="J126" s="12"/>
      <c r="K126" s="12">
        <f t="shared" si="34"/>
        <v>5498</v>
      </c>
      <c r="M126" s="10">
        <v>5</v>
      </c>
      <c r="N126" s="30">
        <v>46143</v>
      </c>
      <c r="O126" s="31">
        <f t="shared" si="40"/>
        <v>8157</v>
      </c>
      <c r="P126" s="32">
        <f>650*55+622*8+572.5</f>
        <v>41298.5</v>
      </c>
      <c r="Q126" s="32"/>
      <c r="R126" s="32"/>
      <c r="S126" s="32">
        <f t="shared" si="35"/>
        <v>41298.5</v>
      </c>
      <c r="T126" s="12"/>
      <c r="U126" s="12">
        <v>195</v>
      </c>
      <c r="V126" s="12"/>
      <c r="W126" s="12">
        <f t="shared" si="36"/>
        <v>41493.5</v>
      </c>
      <c r="Y126" s="10">
        <v>5</v>
      </c>
      <c r="Z126" s="30">
        <v>46143</v>
      </c>
      <c r="AA126" s="31">
        <f t="shared" si="41"/>
        <v>8245</v>
      </c>
      <c r="AB126" s="32">
        <f>6500+95</f>
        <v>6595</v>
      </c>
      <c r="AC126" s="32"/>
      <c r="AD126" s="32"/>
      <c r="AE126" s="32">
        <f t="shared" ref="AE126:AE154" si="42">SUM(AB126:AC126)</f>
        <v>6595</v>
      </c>
      <c r="AF126" s="12"/>
      <c r="AG126" s="12"/>
      <c r="AH126" s="12"/>
      <c r="AI126" s="12">
        <f t="shared" si="38"/>
        <v>6595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33"/>
        <v>0</v>
      </c>
      <c r="H127" s="12"/>
      <c r="I127" s="12"/>
      <c r="J127" s="12"/>
      <c r="K127" s="12">
        <f t="shared" si="34"/>
        <v>0</v>
      </c>
      <c r="M127" s="10">
        <v>6</v>
      </c>
      <c r="N127" s="30">
        <v>46143</v>
      </c>
      <c r="O127" s="31">
        <f t="shared" si="40"/>
        <v>8158</v>
      </c>
      <c r="P127" s="32">
        <f>650*214+229*8</f>
        <v>140932</v>
      </c>
      <c r="Q127" s="32">
        <v>-1284</v>
      </c>
      <c r="R127" s="32"/>
      <c r="S127" s="32">
        <f t="shared" si="35"/>
        <v>139648</v>
      </c>
      <c r="T127" s="12"/>
      <c r="U127" s="12">
        <v>108</v>
      </c>
      <c r="V127" s="10"/>
      <c r="W127" s="12">
        <f t="shared" si="36"/>
        <v>139756</v>
      </c>
      <c r="Y127" s="10">
        <v>6</v>
      </c>
      <c r="Z127" s="30">
        <v>46143</v>
      </c>
      <c r="AA127" s="31">
        <f t="shared" si="41"/>
        <v>8246</v>
      </c>
      <c r="AB127" s="32">
        <f>650*59+670*2+700+622*10+912+872</f>
        <v>48394</v>
      </c>
      <c r="AC127" s="32"/>
      <c r="AD127" s="32"/>
      <c r="AE127" s="32">
        <f t="shared" si="42"/>
        <v>48394</v>
      </c>
      <c r="AF127" s="12"/>
      <c r="AG127" s="12">
        <v>63</v>
      </c>
      <c r="AH127" s="10"/>
      <c r="AI127" s="12">
        <f t="shared" si="38"/>
        <v>48457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91"/>
      <c r="D128" s="32"/>
      <c r="E128" s="32"/>
      <c r="F128" s="32"/>
      <c r="G128" s="32">
        <f t="shared" si="33"/>
        <v>0</v>
      </c>
      <c r="H128" s="12"/>
      <c r="I128" s="12"/>
      <c r="J128" s="12"/>
      <c r="K128" s="12">
        <f t="shared" si="34"/>
        <v>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35"/>
        <v>0</v>
      </c>
      <c r="T128" s="12"/>
      <c r="U128" s="12"/>
      <c r="V128" s="12"/>
      <c r="W128" s="12">
        <f t="shared" si="36"/>
        <v>0</v>
      </c>
      <c r="Y128" s="10">
        <v>7</v>
      </c>
      <c r="Z128" s="30">
        <v>46143</v>
      </c>
      <c r="AA128" s="31">
        <f t="shared" si="41"/>
        <v>8247</v>
      </c>
      <c r="AB128" s="32">
        <f>13650+973+912+2100+872</f>
        <v>18507</v>
      </c>
      <c r="AC128" s="32"/>
      <c r="AD128" s="32"/>
      <c r="AE128" s="32">
        <f t="shared" si="42"/>
        <v>18507</v>
      </c>
      <c r="AF128" s="12"/>
      <c r="AG128" s="58">
        <f>102+40.5</f>
        <v>142.5</v>
      </c>
      <c r="AH128" s="12"/>
      <c r="AI128" s="12">
        <f t="shared" si="38"/>
        <v>18649.5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91"/>
      <c r="D129" s="32"/>
      <c r="E129" s="32"/>
      <c r="F129" s="32"/>
      <c r="G129" s="32">
        <f t="shared" si="33"/>
        <v>0</v>
      </c>
      <c r="H129" s="12"/>
      <c r="I129" s="12"/>
      <c r="J129" s="12"/>
      <c r="K129" s="12">
        <f t="shared" si="34"/>
        <v>0</v>
      </c>
      <c r="M129" s="10">
        <v>8</v>
      </c>
      <c r="N129" s="30"/>
      <c r="O129" s="31"/>
      <c r="P129" s="32"/>
      <c r="Q129" s="32"/>
      <c r="R129" s="32"/>
      <c r="S129" s="32">
        <f t="shared" si="35"/>
        <v>0</v>
      </c>
      <c r="T129" s="12"/>
      <c r="U129" s="12"/>
      <c r="V129" s="12"/>
      <c r="W129" s="12">
        <f t="shared" si="36"/>
        <v>0</v>
      </c>
      <c r="Y129" s="10">
        <v>8</v>
      </c>
      <c r="Z129" s="30">
        <v>46143</v>
      </c>
      <c r="AA129" s="31">
        <f t="shared" si="41"/>
        <v>8248</v>
      </c>
      <c r="AB129" s="32">
        <f>650*216+229*9</f>
        <v>142461</v>
      </c>
      <c r="AC129" s="32"/>
      <c r="AE129" s="32">
        <f t="shared" si="42"/>
        <v>142461</v>
      </c>
      <c r="AF129" s="12"/>
      <c r="AG129" s="12">
        <v>324</v>
      </c>
      <c r="AH129" s="12"/>
      <c r="AI129" s="12">
        <f t="shared" si="38"/>
        <v>142785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91"/>
      <c r="D130" s="32"/>
      <c r="E130" s="32"/>
      <c r="F130" s="32"/>
      <c r="G130" s="32">
        <f t="shared" si="33"/>
        <v>0</v>
      </c>
      <c r="H130" s="12"/>
      <c r="I130" s="12"/>
      <c r="J130" s="12"/>
      <c r="K130" s="12">
        <f t="shared" si="34"/>
        <v>0</v>
      </c>
      <c r="M130" s="10">
        <v>9</v>
      </c>
      <c r="N130" s="30"/>
      <c r="O130" s="31"/>
      <c r="P130" s="32"/>
      <c r="Q130" s="32"/>
      <c r="R130" s="32"/>
      <c r="S130" s="32">
        <f t="shared" si="35"/>
        <v>0</v>
      </c>
      <c r="T130" s="12"/>
      <c r="U130" s="12"/>
      <c r="V130" s="12"/>
      <c r="W130" s="12">
        <f t="shared" si="36"/>
        <v>0</v>
      </c>
      <c r="Y130" s="10">
        <v>9</v>
      </c>
      <c r="Z130" s="30">
        <v>46143</v>
      </c>
      <c r="AA130" s="31">
        <f t="shared" si="41"/>
        <v>8249</v>
      </c>
      <c r="AB130" s="32">
        <f>650*95+700+622*5+872</f>
        <v>66432</v>
      </c>
      <c r="AC130" s="32"/>
      <c r="AD130" s="32"/>
      <c r="AE130" s="32">
        <f t="shared" si="42"/>
        <v>66432</v>
      </c>
      <c r="AF130" s="12"/>
      <c r="AH130" s="12"/>
      <c r="AI130" s="12">
        <f t="shared" si="38"/>
        <v>66432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91"/>
      <c r="D131" s="32"/>
      <c r="E131" s="32"/>
      <c r="F131" s="32"/>
      <c r="G131" s="32">
        <f t="shared" si="33"/>
        <v>0</v>
      </c>
      <c r="H131" s="12"/>
      <c r="I131" s="12"/>
      <c r="J131" s="12"/>
      <c r="K131" s="12">
        <f t="shared" si="34"/>
        <v>0</v>
      </c>
      <c r="M131" s="10">
        <v>10</v>
      </c>
      <c r="N131" s="30"/>
      <c r="O131" s="31"/>
      <c r="P131" s="32"/>
      <c r="Q131" s="32"/>
      <c r="R131" s="32"/>
      <c r="S131" s="32">
        <f t="shared" si="35"/>
        <v>0</v>
      </c>
      <c r="T131" s="12"/>
      <c r="U131" s="12"/>
      <c r="V131" s="12"/>
      <c r="W131" s="12">
        <f t="shared" si="36"/>
        <v>0</v>
      </c>
      <c r="Y131" s="10">
        <v>10</v>
      </c>
      <c r="Z131" s="30">
        <v>46143</v>
      </c>
      <c r="AA131" s="31">
        <f t="shared" si="41"/>
        <v>8250</v>
      </c>
      <c r="AB131" s="32">
        <f>52000+12440+916</f>
        <v>65356</v>
      </c>
      <c r="AC131" s="32">
        <v>-600</v>
      </c>
      <c r="AD131" s="32"/>
      <c r="AE131" s="32">
        <f t="shared" si="42"/>
        <v>64756</v>
      </c>
      <c r="AF131" s="12"/>
      <c r="AG131" s="12">
        <v>72</v>
      </c>
      <c r="AH131" s="12"/>
      <c r="AI131" s="12">
        <f t="shared" si="38"/>
        <v>64828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91"/>
      <c r="D132" s="32"/>
      <c r="E132" s="32"/>
      <c r="F132" s="32"/>
      <c r="G132" s="32">
        <f t="shared" si="33"/>
        <v>0</v>
      </c>
      <c r="H132" s="12"/>
      <c r="I132" s="12"/>
      <c r="J132" s="12"/>
      <c r="K132" s="12">
        <f t="shared" si="34"/>
        <v>0</v>
      </c>
      <c r="M132" s="10">
        <v>11</v>
      </c>
      <c r="N132" s="30"/>
      <c r="P132" s="32"/>
      <c r="Q132" s="32"/>
      <c r="R132" s="32"/>
      <c r="S132" s="32">
        <f t="shared" si="35"/>
        <v>0</v>
      </c>
      <c r="T132" s="12"/>
      <c r="U132" s="12"/>
      <c r="V132" s="12"/>
      <c r="W132" s="12">
        <f t="shared" si="36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si="42"/>
        <v>0</v>
      </c>
      <c r="AF132" s="12"/>
      <c r="AG132" s="12"/>
      <c r="AH132" s="12"/>
      <c r="AI132" s="12">
        <f t="shared" si="38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3"/>
        <v>0</v>
      </c>
      <c r="H133" s="12"/>
      <c r="I133" s="12"/>
      <c r="J133" s="10"/>
      <c r="K133" s="12">
        <f t="shared" si="34"/>
        <v>0</v>
      </c>
      <c r="M133" s="10">
        <v>12</v>
      </c>
      <c r="N133" s="30"/>
      <c r="O133" s="31"/>
      <c r="P133" s="32"/>
      <c r="Q133" s="32"/>
      <c r="R133" s="32"/>
      <c r="S133" s="32">
        <f t="shared" si="35"/>
        <v>0</v>
      </c>
      <c r="T133" s="12"/>
      <c r="U133" s="12"/>
      <c r="V133" s="12"/>
      <c r="W133" s="12">
        <f t="shared" si="36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2"/>
        <v>0</v>
      </c>
      <c r="AF133" s="12"/>
      <c r="AG133" s="12"/>
      <c r="AH133" s="12"/>
      <c r="AI133" s="12">
        <f t="shared" si="38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91"/>
      <c r="D134" s="32"/>
      <c r="E134" s="32"/>
      <c r="F134" s="32"/>
      <c r="G134" s="32">
        <f t="shared" si="33"/>
        <v>0</v>
      </c>
      <c r="H134" s="12"/>
      <c r="I134" s="12"/>
      <c r="J134" s="12"/>
      <c r="K134" s="12">
        <f t="shared" si="34"/>
        <v>0</v>
      </c>
      <c r="M134" s="10">
        <v>13</v>
      </c>
      <c r="N134" s="30"/>
      <c r="O134" s="31"/>
      <c r="P134" s="32"/>
      <c r="Q134" s="32"/>
      <c r="R134" s="32"/>
      <c r="S134" s="32">
        <f t="shared" si="35"/>
        <v>0</v>
      </c>
      <c r="T134" s="12"/>
      <c r="U134" s="12"/>
      <c r="V134" s="12"/>
      <c r="W134" s="12">
        <f t="shared" si="36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2"/>
        <v>0</v>
      </c>
      <c r="AF134" s="12"/>
      <c r="AG134" s="12"/>
      <c r="AH134" s="12"/>
      <c r="AI134" s="12">
        <f t="shared" si="38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91"/>
      <c r="D135" s="32"/>
      <c r="E135" s="32"/>
      <c r="F135" s="32"/>
      <c r="G135" s="32">
        <f t="shared" si="33"/>
        <v>0</v>
      </c>
      <c r="H135" s="12"/>
      <c r="I135" s="12"/>
      <c r="J135" s="12"/>
      <c r="K135" s="12">
        <f t="shared" si="34"/>
        <v>0</v>
      </c>
      <c r="M135" s="10">
        <v>14</v>
      </c>
      <c r="N135" s="30"/>
      <c r="O135" s="31"/>
      <c r="P135" s="32"/>
      <c r="Q135" s="32"/>
      <c r="R135" s="32"/>
      <c r="S135" s="32">
        <f t="shared" si="35"/>
        <v>0</v>
      </c>
      <c r="T135" s="12"/>
      <c r="U135" s="12"/>
      <c r="V135" s="12"/>
      <c r="W135" s="12">
        <f t="shared" si="36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2"/>
        <v>0</v>
      </c>
      <c r="AF135" s="12"/>
      <c r="AG135" s="12"/>
      <c r="AH135" s="12"/>
      <c r="AI135" s="12">
        <f t="shared" si="38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91"/>
      <c r="D136" s="32"/>
      <c r="E136" s="32"/>
      <c r="F136" s="32"/>
      <c r="G136" s="32">
        <f t="shared" si="33"/>
        <v>0</v>
      </c>
      <c r="H136" s="12"/>
      <c r="I136" s="12"/>
      <c r="J136" s="12"/>
      <c r="K136" s="12">
        <f t="shared" si="34"/>
        <v>0</v>
      </c>
      <c r="M136" s="10">
        <v>15</v>
      </c>
      <c r="N136" s="30"/>
      <c r="O136" s="31"/>
      <c r="P136" s="32"/>
      <c r="Q136" s="32"/>
      <c r="R136" s="32"/>
      <c r="S136" s="32">
        <f t="shared" si="35"/>
        <v>0</v>
      </c>
      <c r="T136" s="12"/>
      <c r="U136" s="12"/>
      <c r="V136" s="12"/>
      <c r="W136" s="12">
        <f t="shared" si="36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2"/>
        <v>0</v>
      </c>
      <c r="AF136" s="12"/>
      <c r="AG136" s="12"/>
      <c r="AH136" s="12"/>
      <c r="AI136" s="12">
        <f t="shared" si="38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91"/>
      <c r="D137" s="32"/>
      <c r="E137" s="32"/>
      <c r="F137" s="32"/>
      <c r="G137" s="32">
        <f t="shared" si="33"/>
        <v>0</v>
      </c>
      <c r="H137" s="12"/>
      <c r="I137" s="12"/>
      <c r="J137" s="12"/>
      <c r="K137" s="12">
        <f t="shared" si="34"/>
        <v>0</v>
      </c>
      <c r="M137" s="10">
        <v>16</v>
      </c>
      <c r="N137" s="30"/>
      <c r="O137" s="31"/>
      <c r="P137" s="32"/>
      <c r="Q137" s="32"/>
      <c r="R137" s="32"/>
      <c r="S137" s="32">
        <f t="shared" si="35"/>
        <v>0</v>
      </c>
      <c r="T137" s="12"/>
      <c r="U137" s="12"/>
      <c r="V137" s="12"/>
      <c r="W137" s="12">
        <f t="shared" si="36"/>
        <v>0</v>
      </c>
      <c r="Y137" s="10">
        <v>16</v>
      </c>
      <c r="Z137" s="30"/>
      <c r="AA137" s="31"/>
      <c r="AB137" s="32"/>
      <c r="AC137" s="32"/>
      <c r="AD137" s="32"/>
      <c r="AE137" s="32">
        <f t="shared" si="42"/>
        <v>0</v>
      </c>
      <c r="AF137" s="12"/>
      <c r="AG137" s="12"/>
      <c r="AH137" s="12"/>
      <c r="AI137" s="12">
        <f t="shared" si="38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91"/>
      <c r="D138" s="32"/>
      <c r="E138" s="32"/>
      <c r="F138" s="32"/>
      <c r="G138" s="32">
        <f t="shared" si="33"/>
        <v>0</v>
      </c>
      <c r="H138" s="12"/>
      <c r="I138" s="12"/>
      <c r="J138" s="12"/>
      <c r="K138" s="12">
        <f t="shared" si="34"/>
        <v>0</v>
      </c>
      <c r="M138" s="10">
        <v>17</v>
      </c>
      <c r="N138" s="30"/>
      <c r="O138" s="31"/>
      <c r="P138" s="35"/>
      <c r="Q138" s="32"/>
      <c r="R138" s="32"/>
      <c r="S138" s="32">
        <f t="shared" si="35"/>
        <v>0</v>
      </c>
      <c r="T138" s="12"/>
      <c r="U138" s="12"/>
      <c r="V138" s="12"/>
      <c r="W138" s="12">
        <f t="shared" si="36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2"/>
        <v>0</v>
      </c>
      <c r="AF138" s="12"/>
      <c r="AG138" s="12"/>
      <c r="AH138" s="12"/>
      <c r="AI138" s="12">
        <f t="shared" si="38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91"/>
      <c r="D139" s="32"/>
      <c r="E139" s="32"/>
      <c r="F139" s="32"/>
      <c r="G139" s="32">
        <f t="shared" si="33"/>
        <v>0</v>
      </c>
      <c r="H139" s="12"/>
      <c r="I139" s="12"/>
      <c r="J139" s="12"/>
      <c r="K139" s="12">
        <f t="shared" si="34"/>
        <v>0</v>
      </c>
      <c r="M139" s="10">
        <v>18</v>
      </c>
      <c r="N139" s="30"/>
      <c r="O139" s="31"/>
      <c r="P139" s="32"/>
      <c r="Q139" s="32"/>
      <c r="R139" s="32"/>
      <c r="S139" s="32">
        <f t="shared" si="35"/>
        <v>0</v>
      </c>
      <c r="T139" s="12"/>
      <c r="U139" s="12"/>
      <c r="V139" s="12"/>
      <c r="W139" s="12">
        <f t="shared" si="36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2"/>
        <v>0</v>
      </c>
      <c r="AF139" s="12"/>
      <c r="AG139" s="12"/>
      <c r="AH139" s="12"/>
      <c r="AI139" s="12">
        <f t="shared" si="38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3"/>
        <v>0</v>
      </c>
      <c r="H140" s="12"/>
      <c r="I140" s="12"/>
      <c r="J140" s="12"/>
      <c r="K140" s="12">
        <f t="shared" si="34"/>
        <v>0</v>
      </c>
      <c r="M140" s="10">
        <v>19</v>
      </c>
      <c r="N140" s="30"/>
      <c r="O140" s="31"/>
      <c r="P140" s="32"/>
      <c r="Q140" s="32"/>
      <c r="R140" s="32"/>
      <c r="S140" s="32">
        <f t="shared" si="35"/>
        <v>0</v>
      </c>
      <c r="T140" s="12"/>
      <c r="U140" s="12"/>
      <c r="V140" s="12"/>
      <c r="W140" s="12">
        <f t="shared" si="36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2"/>
        <v>0</v>
      </c>
      <c r="AF140" s="12"/>
      <c r="AG140" s="12"/>
      <c r="AH140" s="12"/>
      <c r="AI140" s="12">
        <f t="shared" si="38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57"/>
      <c r="D141" s="32"/>
      <c r="E141" s="32"/>
      <c r="F141" s="32"/>
      <c r="G141" s="32">
        <f t="shared" si="33"/>
        <v>0</v>
      </c>
      <c r="H141" s="12"/>
      <c r="I141" s="12"/>
      <c r="J141" s="12"/>
      <c r="K141" s="12">
        <f t="shared" si="34"/>
        <v>0</v>
      </c>
      <c r="M141" s="10">
        <v>20</v>
      </c>
      <c r="N141" s="30"/>
      <c r="O141" s="31"/>
      <c r="P141" s="32"/>
      <c r="Q141" s="32"/>
      <c r="R141" s="32"/>
      <c r="S141" s="32">
        <f t="shared" si="35"/>
        <v>0</v>
      </c>
      <c r="T141" s="12"/>
      <c r="U141" s="12"/>
      <c r="V141" s="12"/>
      <c r="W141" s="12">
        <f t="shared" si="36"/>
        <v>0</v>
      </c>
      <c r="Y141" s="10">
        <v>20</v>
      </c>
      <c r="Z141" s="30"/>
      <c r="AA141" s="31"/>
      <c r="AB141" s="32"/>
      <c r="AC141" s="32"/>
      <c r="AD141" s="32"/>
      <c r="AE141" s="32">
        <f t="shared" si="42"/>
        <v>0</v>
      </c>
      <c r="AF141" s="12"/>
      <c r="AG141" s="12"/>
      <c r="AH141" s="12"/>
      <c r="AI141" s="12">
        <f t="shared" si="38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3"/>
        <v>0</v>
      </c>
      <c r="H142" s="10"/>
      <c r="I142" s="10"/>
      <c r="J142" s="10"/>
      <c r="K142" s="12">
        <f t="shared" si="34"/>
        <v>0</v>
      </c>
      <c r="M142" s="10">
        <v>21</v>
      </c>
      <c r="N142" s="30"/>
      <c r="O142" s="31"/>
      <c r="P142" s="46"/>
      <c r="Q142" s="31"/>
      <c r="R142" s="31"/>
      <c r="S142" s="32">
        <f t="shared" si="35"/>
        <v>0</v>
      </c>
      <c r="T142" s="10"/>
      <c r="U142" s="10"/>
      <c r="V142" s="10"/>
      <c r="W142" s="12">
        <f t="shared" si="36"/>
        <v>0</v>
      </c>
      <c r="Y142" s="10">
        <v>21</v>
      </c>
      <c r="Z142" s="30"/>
      <c r="AB142" s="46"/>
      <c r="AC142" s="31"/>
      <c r="AD142" s="31"/>
      <c r="AE142" s="32">
        <f t="shared" si="42"/>
        <v>0</v>
      </c>
      <c r="AF142" s="10"/>
      <c r="AG142" s="10"/>
      <c r="AH142" s="10"/>
      <c r="AI142" s="12">
        <f t="shared" si="38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3"/>
        <v>0</v>
      </c>
      <c r="H143" s="10"/>
      <c r="I143" s="10"/>
      <c r="J143" s="10"/>
      <c r="K143" s="12">
        <f t="shared" si="34"/>
        <v>0</v>
      </c>
      <c r="M143" s="10">
        <v>22</v>
      </c>
      <c r="N143" s="30"/>
      <c r="O143" s="31"/>
      <c r="P143" s="45"/>
      <c r="Q143" s="31"/>
      <c r="R143" s="31"/>
      <c r="S143" s="32">
        <f t="shared" si="35"/>
        <v>0</v>
      </c>
      <c r="T143" s="10"/>
      <c r="U143" s="10"/>
      <c r="V143" s="10"/>
      <c r="W143" s="12">
        <f t="shared" si="36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2"/>
        <v>0</v>
      </c>
      <c r="AF143" s="10"/>
      <c r="AG143" s="10"/>
      <c r="AH143" s="10"/>
      <c r="AI143" s="12">
        <f t="shared" si="38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91"/>
      <c r="D144" s="32"/>
      <c r="E144" s="32"/>
      <c r="F144" s="32"/>
      <c r="G144" s="32">
        <f t="shared" si="33"/>
        <v>0</v>
      </c>
      <c r="H144" s="10"/>
      <c r="I144" s="10"/>
      <c r="J144" s="12"/>
      <c r="K144" s="12">
        <f t="shared" si="34"/>
        <v>0</v>
      </c>
      <c r="M144" s="10">
        <v>23</v>
      </c>
      <c r="N144" s="30"/>
      <c r="O144" s="31"/>
      <c r="P144" s="47"/>
      <c r="S144" s="32">
        <f t="shared" si="35"/>
        <v>0</v>
      </c>
      <c r="T144" s="10"/>
      <c r="U144" s="10"/>
      <c r="V144" s="10"/>
      <c r="W144" s="12">
        <f t="shared" si="36"/>
        <v>0</v>
      </c>
      <c r="Y144" s="10">
        <v>23</v>
      </c>
      <c r="Z144" s="30"/>
      <c r="AA144" s="31"/>
      <c r="AB144" s="47"/>
      <c r="AE144" s="32">
        <f t="shared" si="42"/>
        <v>0</v>
      </c>
      <c r="AF144" s="10"/>
      <c r="AG144" s="10"/>
      <c r="AH144" s="10"/>
      <c r="AI144" s="12">
        <f t="shared" si="38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91"/>
      <c r="D145" s="32"/>
      <c r="E145" s="32"/>
      <c r="F145" s="32"/>
      <c r="G145" s="32">
        <f t="shared" si="33"/>
        <v>0</v>
      </c>
      <c r="H145" s="10"/>
      <c r="I145" s="10"/>
      <c r="J145" s="10"/>
      <c r="K145" s="12">
        <f t="shared" si="34"/>
        <v>0</v>
      </c>
      <c r="M145" s="10">
        <v>24</v>
      </c>
      <c r="N145" s="30"/>
      <c r="O145" s="31"/>
      <c r="P145" s="47"/>
      <c r="Q145" s="31"/>
      <c r="R145" s="31"/>
      <c r="S145" s="32">
        <f t="shared" si="35"/>
        <v>0</v>
      </c>
      <c r="T145" s="10"/>
      <c r="U145" s="10"/>
      <c r="V145" s="10"/>
      <c r="W145" s="12">
        <f t="shared" si="36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2"/>
        <v>0</v>
      </c>
      <c r="AF145" s="10"/>
      <c r="AG145" s="10"/>
      <c r="AH145" s="10"/>
      <c r="AI145" s="12">
        <f t="shared" si="38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91"/>
      <c r="D146" s="32"/>
      <c r="E146" s="32"/>
      <c r="F146" s="32"/>
      <c r="G146" s="32">
        <f t="shared" si="33"/>
        <v>0</v>
      </c>
      <c r="H146" s="10"/>
      <c r="I146" s="10"/>
      <c r="J146" s="10"/>
      <c r="K146" s="12">
        <f t="shared" si="34"/>
        <v>0</v>
      </c>
      <c r="M146" s="10">
        <v>25</v>
      </c>
      <c r="N146" s="30"/>
      <c r="O146" s="31"/>
      <c r="P146" s="47"/>
      <c r="Q146" s="31"/>
      <c r="R146" s="31"/>
      <c r="S146" s="32">
        <f t="shared" si="35"/>
        <v>0</v>
      </c>
      <c r="T146" s="10"/>
      <c r="U146" s="10"/>
      <c r="V146" s="10"/>
      <c r="W146" s="12">
        <f t="shared" si="36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2"/>
        <v>0</v>
      </c>
      <c r="AF146" s="10"/>
      <c r="AG146" s="10"/>
      <c r="AH146" s="10"/>
      <c r="AI146" s="12">
        <f t="shared" si="38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3"/>
        <v>0</v>
      </c>
      <c r="H147" s="10"/>
      <c r="I147" s="10"/>
      <c r="J147" s="10"/>
      <c r="K147" s="12">
        <f t="shared" si="34"/>
        <v>0</v>
      </c>
      <c r="M147" s="10">
        <v>26</v>
      </c>
      <c r="N147" s="30"/>
      <c r="O147" s="31"/>
      <c r="P147" s="47"/>
      <c r="Q147" s="31"/>
      <c r="R147" s="31"/>
      <c r="S147" s="32">
        <f t="shared" si="35"/>
        <v>0</v>
      </c>
      <c r="T147" s="10"/>
      <c r="U147" s="10"/>
      <c r="V147" s="10"/>
      <c r="W147" s="12">
        <f t="shared" si="36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2"/>
        <v>0</v>
      </c>
      <c r="AF147" s="10"/>
      <c r="AG147" s="10"/>
      <c r="AH147" s="10"/>
      <c r="AI147" s="12">
        <f t="shared" si="38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3"/>
        <v>0</v>
      </c>
      <c r="H148" s="10"/>
      <c r="I148" s="10"/>
      <c r="J148" s="10"/>
      <c r="K148" s="12">
        <f t="shared" si="34"/>
        <v>0</v>
      </c>
      <c r="M148" s="10">
        <v>27</v>
      </c>
      <c r="N148" s="30"/>
      <c r="O148" s="31"/>
      <c r="P148" s="47"/>
      <c r="Q148" s="31"/>
      <c r="R148" s="31"/>
      <c r="S148" s="32">
        <f t="shared" si="35"/>
        <v>0</v>
      </c>
      <c r="T148" s="10"/>
      <c r="U148" s="10"/>
      <c r="V148" s="10"/>
      <c r="W148" s="12">
        <f t="shared" si="36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2"/>
        <v>0</v>
      </c>
      <c r="AF148" s="10"/>
      <c r="AG148" s="10"/>
      <c r="AH148" s="10"/>
      <c r="AI148" s="12">
        <f t="shared" si="38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3"/>
        <v>0</v>
      </c>
      <c r="H149" s="10"/>
      <c r="I149" s="10"/>
      <c r="J149" s="10"/>
      <c r="K149" s="12">
        <f t="shared" si="34"/>
        <v>0</v>
      </c>
      <c r="M149" s="10">
        <v>28</v>
      </c>
      <c r="N149" s="30"/>
      <c r="O149" s="31"/>
      <c r="P149" s="47"/>
      <c r="Q149" s="31"/>
      <c r="R149" s="31"/>
      <c r="S149" s="32">
        <f t="shared" si="35"/>
        <v>0</v>
      </c>
      <c r="T149" s="10"/>
      <c r="U149" s="10"/>
      <c r="V149" s="10"/>
      <c r="W149" s="12">
        <f t="shared" si="36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2"/>
        <v>0</v>
      </c>
      <c r="AF149" s="10"/>
      <c r="AG149" s="10"/>
      <c r="AH149" s="10"/>
      <c r="AI149" s="12">
        <f t="shared" si="38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3"/>
        <v>0</v>
      </c>
      <c r="H150" s="10"/>
      <c r="I150" s="10"/>
      <c r="J150" s="10"/>
      <c r="K150" s="12">
        <f t="shared" si="34"/>
        <v>0</v>
      </c>
      <c r="M150" s="10">
        <v>29</v>
      </c>
      <c r="N150" s="30"/>
      <c r="O150" s="31"/>
      <c r="P150" s="47"/>
      <c r="Q150" s="31"/>
      <c r="R150" s="31"/>
      <c r="S150" s="32">
        <f t="shared" si="35"/>
        <v>0</v>
      </c>
      <c r="T150" s="10"/>
      <c r="U150" s="10"/>
      <c r="V150" s="10"/>
      <c r="W150" s="12">
        <f t="shared" si="36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2"/>
        <v>0</v>
      </c>
      <c r="AF150" s="10"/>
      <c r="AG150" s="10"/>
      <c r="AH150" s="10"/>
      <c r="AI150" s="12">
        <f t="shared" si="38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3"/>
        <v>0</v>
      </c>
      <c r="H151" s="10"/>
      <c r="I151" s="10"/>
      <c r="J151" s="10"/>
      <c r="K151" s="12">
        <f t="shared" si="34"/>
        <v>0</v>
      </c>
      <c r="M151" s="10">
        <v>30</v>
      </c>
      <c r="N151" s="30"/>
      <c r="O151" s="31"/>
      <c r="P151" s="47"/>
      <c r="Q151" s="31"/>
      <c r="R151" s="31"/>
      <c r="S151" s="32">
        <f t="shared" si="35"/>
        <v>0</v>
      </c>
      <c r="T151" s="10"/>
      <c r="U151" s="10"/>
      <c r="V151" s="10"/>
      <c r="W151" s="12">
        <f t="shared" si="36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2"/>
        <v>0</v>
      </c>
      <c r="AF151" s="10"/>
      <c r="AG151" s="10"/>
      <c r="AH151" s="10"/>
      <c r="AI151" s="12">
        <f t="shared" si="38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3"/>
        <v>0</v>
      </c>
      <c r="H152" s="10"/>
      <c r="I152" s="10"/>
      <c r="J152" s="10"/>
      <c r="K152" s="12">
        <f t="shared" si="34"/>
        <v>0</v>
      </c>
      <c r="M152" s="10">
        <v>31</v>
      </c>
      <c r="N152" s="30"/>
      <c r="O152" s="31"/>
      <c r="P152" s="47"/>
      <c r="Q152" s="31"/>
      <c r="R152" s="31"/>
      <c r="S152" s="32">
        <f t="shared" si="35"/>
        <v>0</v>
      </c>
      <c r="T152" s="10"/>
      <c r="U152" s="10"/>
      <c r="V152" s="10"/>
      <c r="W152" s="12">
        <f t="shared" si="36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2"/>
        <v>0</v>
      </c>
      <c r="AF152" s="10"/>
      <c r="AG152" s="10"/>
      <c r="AH152" s="10"/>
      <c r="AI152" s="12">
        <f t="shared" si="38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3"/>
        <v>0</v>
      </c>
      <c r="H153" s="10"/>
      <c r="I153" s="10"/>
      <c r="J153" s="10"/>
      <c r="K153" s="12">
        <f t="shared" si="34"/>
        <v>0</v>
      </c>
      <c r="M153" s="10">
        <v>32</v>
      </c>
      <c r="N153" s="30"/>
      <c r="O153" s="31"/>
      <c r="P153" s="47"/>
      <c r="Q153" s="31"/>
      <c r="R153" s="31"/>
      <c r="S153" s="32">
        <f t="shared" si="35"/>
        <v>0</v>
      </c>
      <c r="T153" s="10"/>
      <c r="U153" s="10"/>
      <c r="V153" s="10"/>
      <c r="W153" s="12">
        <f t="shared" si="36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2"/>
        <v>0</v>
      </c>
      <c r="AF153" s="10"/>
      <c r="AG153" s="10"/>
      <c r="AH153" s="10"/>
      <c r="AI153" s="12">
        <f t="shared" si="38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3"/>
        <v>0</v>
      </c>
      <c r="H154" s="10"/>
      <c r="I154" s="10"/>
      <c r="J154" s="10"/>
      <c r="K154" s="12">
        <f t="shared" si="34"/>
        <v>0</v>
      </c>
      <c r="M154" s="10">
        <v>33</v>
      </c>
      <c r="N154" s="30"/>
      <c r="O154" s="31"/>
      <c r="P154" s="47"/>
      <c r="Q154" s="31"/>
      <c r="R154" s="31"/>
      <c r="S154" s="32">
        <f t="shared" si="35"/>
        <v>0</v>
      </c>
      <c r="T154" s="10"/>
      <c r="U154" s="10"/>
      <c r="V154" s="10"/>
      <c r="W154" s="12">
        <f t="shared" si="36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2"/>
        <v>0</v>
      </c>
      <c r="AF154" s="10"/>
      <c r="AG154" s="10"/>
      <c r="AH154" s="10"/>
      <c r="AI154" s="12">
        <f t="shared" si="38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3"/>
        <v>0</v>
      </c>
      <c r="H155" s="10"/>
      <c r="I155" s="10"/>
      <c r="J155" s="10"/>
      <c r="K155" s="12">
        <f t="shared" si="34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3">SUM(P155:Q155)</f>
        <v>0</v>
      </c>
      <c r="T155" s="10"/>
      <c r="U155" s="10"/>
      <c r="V155" s="10"/>
      <c r="W155" s="12">
        <f t="shared" ref="W155:W163" si="44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5">SUM(AB155:AC155)</f>
        <v>0</v>
      </c>
      <c r="AF155" s="10"/>
      <c r="AG155" s="10"/>
      <c r="AH155" s="10"/>
      <c r="AI155" s="12">
        <f t="shared" ref="AI155:AI163" si="46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9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3"/>
        <v>0</v>
      </c>
      <c r="T156" s="10"/>
      <c r="U156" s="10"/>
      <c r="V156" s="10"/>
      <c r="W156" s="12">
        <f t="shared" si="44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5"/>
        <v>0</v>
      </c>
      <c r="AF156" s="10"/>
      <c r="AG156" s="10"/>
      <c r="AH156" s="10"/>
      <c r="AI156" s="12">
        <f t="shared" si="46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9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3"/>
        <v>0</v>
      </c>
      <c r="T157" s="10"/>
      <c r="U157" s="10"/>
      <c r="V157" s="10"/>
      <c r="W157" s="12">
        <f t="shared" si="44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5"/>
        <v>0</v>
      </c>
      <c r="AF157" s="10"/>
      <c r="AG157" s="10"/>
      <c r="AH157" s="10"/>
      <c r="AI157" s="12">
        <f t="shared" si="46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3"/>
        <v>0</v>
      </c>
      <c r="T158" s="10"/>
      <c r="U158" s="10"/>
      <c r="V158" s="10"/>
      <c r="W158" s="12">
        <f t="shared" si="44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5"/>
        <v>0</v>
      </c>
      <c r="AF158" s="10"/>
      <c r="AG158" s="10"/>
      <c r="AH158" s="10"/>
      <c r="AI158" s="12">
        <f t="shared" si="46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3"/>
        <v>0</v>
      </c>
      <c r="T159" s="10"/>
      <c r="U159" s="10"/>
      <c r="V159" s="10"/>
      <c r="W159" s="12">
        <f t="shared" si="44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5"/>
        <v>0</v>
      </c>
      <c r="AF159" s="10"/>
      <c r="AG159" s="10"/>
      <c r="AH159" s="10"/>
      <c r="AI159" s="12">
        <f t="shared" si="46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3"/>
        <v>0</v>
      </c>
      <c r="T160" s="10"/>
      <c r="U160" s="10"/>
      <c r="V160" s="10"/>
      <c r="W160" s="12">
        <f t="shared" si="44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5"/>
        <v>0</v>
      </c>
      <c r="AF160" s="10"/>
      <c r="AG160" s="10"/>
      <c r="AH160" s="10"/>
      <c r="AI160" s="12">
        <f t="shared" si="46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4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6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7">SUM(D162:E162)</f>
        <v>0</v>
      </c>
      <c r="H162" s="10"/>
      <c r="I162" s="10"/>
      <c r="J162" s="10"/>
      <c r="K162" s="12">
        <f t="shared" ref="K162" si="48">SUM(G162:J162)</f>
        <v>0</v>
      </c>
      <c r="M162" s="10"/>
      <c r="N162" s="30"/>
      <c r="O162" s="31"/>
      <c r="P162" s="47"/>
      <c r="Q162" s="31"/>
      <c r="R162" s="31"/>
      <c r="S162" s="32">
        <f t="shared" ref="S162" si="49">SUM(P162:Q162)</f>
        <v>0</v>
      </c>
      <c r="T162" s="10"/>
      <c r="U162" s="10"/>
      <c r="V162" s="10"/>
      <c r="W162" s="12">
        <f t="shared" si="44"/>
        <v>0</v>
      </c>
      <c r="Y162" s="10"/>
      <c r="Z162" s="30"/>
      <c r="AA162" s="31"/>
      <c r="AB162" s="47"/>
      <c r="AC162" s="31"/>
      <c r="AD162" s="31"/>
      <c r="AE162" s="32">
        <f t="shared" ref="AE162" si="50">SUM(AB162:AC162)</f>
        <v>0</v>
      </c>
      <c r="AF162" s="10"/>
      <c r="AG162" s="10"/>
      <c r="AH162" s="10"/>
      <c r="AI162" s="12">
        <f t="shared" si="46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4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6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394894</v>
      </c>
      <c r="E165" s="38">
        <f t="shared" ref="E165:F165" si="51">SUM(E122:E162)</f>
        <v>-2592</v>
      </c>
      <c r="F165" s="38">
        <f t="shared" si="51"/>
        <v>0</v>
      </c>
      <c r="G165" s="38">
        <f>SUM(G122:G164)</f>
        <v>392302</v>
      </c>
      <c r="H165" s="4"/>
      <c r="I165" s="39">
        <f>SUM(I122:I164)</f>
        <v>2058</v>
      </c>
      <c r="J165" s="39">
        <f>SUM(J122:J164)</f>
        <v>-92322</v>
      </c>
      <c r="K165" s="40">
        <f>SUM(K122:K164)</f>
        <v>302038</v>
      </c>
      <c r="N165" s="57"/>
      <c r="O165" s="57"/>
      <c r="P165" s="38">
        <f>SUM(P122:P164)</f>
        <v>334564.5</v>
      </c>
      <c r="Q165" s="38">
        <f>SUM(Q122:Q146)</f>
        <v>-2580</v>
      </c>
      <c r="R165" s="38">
        <f>SUM(R122:R146)</f>
        <v>0</v>
      </c>
      <c r="S165" s="38">
        <f>SUM(S122:S164)</f>
        <v>331984.5</v>
      </c>
      <c r="T165" s="4"/>
      <c r="U165" s="41">
        <f>SUM(U122:U164)</f>
        <v>615</v>
      </c>
      <c r="V165" s="41">
        <f>SUM(V122:V146)</f>
        <v>0</v>
      </c>
      <c r="W165" s="42">
        <f>SUM(W122:W164)</f>
        <v>332599.5</v>
      </c>
      <c r="Z165" s="57"/>
      <c r="AA165" s="57"/>
      <c r="AB165" s="38">
        <f>SUM(AB122:AB164)</f>
        <v>569490</v>
      </c>
      <c r="AC165" s="38">
        <f>SUM(AC122:AC146)</f>
        <v>-2106</v>
      </c>
      <c r="AD165" s="38">
        <f>SUM(AD122:AD146)</f>
        <v>0</v>
      </c>
      <c r="AE165" s="38">
        <f>SUM(AE122:AE164)</f>
        <v>567384</v>
      </c>
      <c r="AF165" s="4"/>
      <c r="AG165" s="41">
        <f>SUM(AG122:AG164)</f>
        <v>601.5</v>
      </c>
      <c r="AH165" s="41">
        <f>SUM(AH122:AH146)</f>
        <v>-2220</v>
      </c>
      <c r="AI165" s="42">
        <f>SUM(AI122:AI164)</f>
        <v>565765.5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49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49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49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50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50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54</v>
      </c>
      <c r="W173" s="24"/>
      <c r="Y173" s="21" t="s">
        <v>50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1" t="s">
        <v>17</v>
      </c>
      <c r="E175" s="121"/>
      <c r="F175" s="99"/>
      <c r="G175" s="27"/>
      <c r="I175" s="117" t="s">
        <v>18</v>
      </c>
      <c r="J175" s="118"/>
      <c r="K175" s="119" t="s">
        <v>19</v>
      </c>
      <c r="N175" s="25"/>
      <c r="O175" s="26"/>
      <c r="P175" s="121" t="s">
        <v>17</v>
      </c>
      <c r="Q175" s="121"/>
      <c r="R175" s="99"/>
      <c r="S175" s="27"/>
      <c r="U175" s="117" t="s">
        <v>18</v>
      </c>
      <c r="V175" s="118"/>
      <c r="W175" s="119" t="s">
        <v>19</v>
      </c>
      <c r="Z175" s="25"/>
      <c r="AA175" s="26"/>
      <c r="AB175" s="121" t="s">
        <v>17</v>
      </c>
      <c r="AC175" s="121"/>
      <c r="AD175" s="99"/>
      <c r="AE175" s="27"/>
      <c r="AG175" s="117" t="s">
        <v>18</v>
      </c>
      <c r="AH175" s="118"/>
      <c r="AI175" s="119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20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20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20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46174</v>
      </c>
      <c r="C177" s="91">
        <v>8319</v>
      </c>
      <c r="D177" s="32">
        <f>5850+1340+2488+872+123.5</f>
        <v>10673.5</v>
      </c>
      <c r="E177" s="32"/>
      <c r="F177" s="32"/>
      <c r="G177" s="32">
        <f t="shared" ref="G177:G210" si="52">SUM(D177:E177)</f>
        <v>10673.5</v>
      </c>
      <c r="H177" s="12"/>
      <c r="I177" s="12">
        <f>36+31.5</f>
        <v>67.5</v>
      </c>
      <c r="J177" s="12"/>
      <c r="K177" s="12">
        <f t="shared" ref="K177:K210" si="53">SUM(G177:J177)</f>
        <v>10741</v>
      </c>
      <c r="M177" s="10">
        <v>1</v>
      </c>
      <c r="N177" s="30">
        <v>46174</v>
      </c>
      <c r="O177" s="31">
        <v>8126</v>
      </c>
      <c r="P177" s="32">
        <f>24050+6220+229</f>
        <v>30499</v>
      </c>
      <c r="Q177" s="32"/>
      <c r="R177" s="32"/>
      <c r="S177" s="32">
        <f>SUM(P177:Q177)</f>
        <v>30499</v>
      </c>
      <c r="T177" s="12"/>
      <c r="U177" s="12"/>
      <c r="V177" s="12">
        <v>-1332</v>
      </c>
      <c r="W177" s="12">
        <f>SUM(S177:V177)</f>
        <v>29167</v>
      </c>
      <c r="Y177" s="10">
        <v>1</v>
      </c>
      <c r="Z177" s="30">
        <v>46174</v>
      </c>
      <c r="AA177" s="31">
        <v>7798</v>
      </c>
      <c r="AB177" s="32">
        <f>167700+622*10</f>
        <v>173920</v>
      </c>
      <c r="AC177" s="32">
        <v>-1608</v>
      </c>
      <c r="AD177" s="32"/>
      <c r="AE177" s="32">
        <f>SUM(AB177:AC177)</f>
        <v>172312</v>
      </c>
      <c r="AF177" s="12"/>
      <c r="AG177" s="12">
        <v>1332</v>
      </c>
      <c r="AH177" s="12"/>
      <c r="AI177" s="12">
        <f>SUM(AE177:AH177)</f>
        <v>173644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46174</v>
      </c>
      <c r="C178" s="91">
        <f>C177+1</f>
        <v>8320</v>
      </c>
      <c r="D178" s="32">
        <f>1300+622</f>
        <v>1922</v>
      </c>
      <c r="E178" s="32"/>
      <c r="F178" s="32"/>
      <c r="G178" s="32">
        <f t="shared" si="52"/>
        <v>1922</v>
      </c>
      <c r="H178" s="12"/>
      <c r="I178" s="12"/>
      <c r="J178" s="12"/>
      <c r="K178" s="12">
        <f t="shared" si="53"/>
        <v>1922</v>
      </c>
      <c r="M178" s="10">
        <v>2</v>
      </c>
      <c r="N178" s="30">
        <v>46174</v>
      </c>
      <c r="O178" s="31">
        <f>O177+1</f>
        <v>8127</v>
      </c>
      <c r="P178" s="32">
        <f>670</f>
        <v>670</v>
      </c>
      <c r="Q178" s="32"/>
      <c r="R178" s="32"/>
      <c r="S178" s="32">
        <f t="shared" ref="S178:S209" si="54">SUM(P178:Q178)</f>
        <v>670</v>
      </c>
      <c r="T178" s="12"/>
      <c r="U178" s="12"/>
      <c r="V178" s="12"/>
      <c r="W178" s="12">
        <f t="shared" ref="W178:W209" si="55">SUM(S178:V178)</f>
        <v>670</v>
      </c>
      <c r="Y178" s="10">
        <v>2</v>
      </c>
      <c r="Z178" s="30">
        <v>46174</v>
      </c>
      <c r="AA178" s="31">
        <f>AA177+1</f>
        <v>7799</v>
      </c>
      <c r="AB178" s="32">
        <f>32500+872+458</f>
        <v>33830</v>
      </c>
      <c r="AC178" s="32">
        <v>-306</v>
      </c>
      <c r="AD178" s="32"/>
      <c r="AE178" s="32">
        <f t="shared" ref="AE178:AE180" si="56">SUM(AB178:AC178)</f>
        <v>33524</v>
      </c>
      <c r="AF178" s="12"/>
      <c r="AG178" s="12"/>
      <c r="AH178" s="12">
        <v>-3108</v>
      </c>
      <c r="AI178" s="12">
        <f t="shared" ref="AI178:AI209" si="57">SUM(AE178:AH178)</f>
        <v>30416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46174</v>
      </c>
      <c r="C179" s="91">
        <f t="shared" ref="C179:C184" si="58">C178+1</f>
        <v>8321</v>
      </c>
      <c r="D179" s="33">
        <f>195000+6220+1374</f>
        <v>202594</v>
      </c>
      <c r="E179" s="33"/>
      <c r="F179" s="33"/>
      <c r="G179" s="33">
        <f t="shared" si="52"/>
        <v>202594</v>
      </c>
      <c r="H179" s="34"/>
      <c r="I179" s="34"/>
      <c r="J179" s="34"/>
      <c r="K179" s="34">
        <f t="shared" si="53"/>
        <v>202594</v>
      </c>
      <c r="M179" s="10">
        <v>3</v>
      </c>
      <c r="N179" s="30">
        <v>46174</v>
      </c>
      <c r="O179" s="31">
        <f t="shared" ref="O179:O185" si="59">O178+1</f>
        <v>8128</v>
      </c>
      <c r="P179" s="32">
        <f>210600+1374</f>
        <v>211974</v>
      </c>
      <c r="Q179" s="32">
        <v>-1944</v>
      </c>
      <c r="R179" s="32"/>
      <c r="S179" s="32">
        <f t="shared" si="54"/>
        <v>210030</v>
      </c>
      <c r="T179" s="12"/>
      <c r="U179" s="12">
        <v>156</v>
      </c>
      <c r="V179" s="12">
        <v>-11988</v>
      </c>
      <c r="W179" s="12">
        <f t="shared" si="55"/>
        <v>198198</v>
      </c>
      <c r="Y179" s="10">
        <v>3</v>
      </c>
      <c r="Z179" s="30">
        <v>46174</v>
      </c>
      <c r="AA179" s="31">
        <f t="shared" ref="AA179:AA181" si="60">AA178+1</f>
        <v>7800</v>
      </c>
      <c r="AB179" s="33">
        <f>19500+1175+1744+650</f>
        <v>23069</v>
      </c>
      <c r="AC179" s="33"/>
      <c r="AD179" s="32"/>
      <c r="AE179" s="32">
        <f t="shared" si="56"/>
        <v>23069</v>
      </c>
      <c r="AF179" s="12"/>
      <c r="AG179" s="12"/>
      <c r="AH179" s="12">
        <v>-11100</v>
      </c>
      <c r="AI179" s="12">
        <f t="shared" si="57"/>
        <v>11969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46174</v>
      </c>
      <c r="C180" s="91">
        <f t="shared" si="58"/>
        <v>8322</v>
      </c>
      <c r="D180" s="32">
        <f>5200+1244+95</f>
        <v>6539</v>
      </c>
      <c r="E180" s="32"/>
      <c r="F180" s="32"/>
      <c r="G180" s="32">
        <f t="shared" si="52"/>
        <v>6539</v>
      </c>
      <c r="H180" s="12"/>
      <c r="I180" s="12"/>
      <c r="J180" s="12"/>
      <c r="K180" s="12">
        <f t="shared" si="53"/>
        <v>6539</v>
      </c>
      <c r="M180" s="10">
        <v>4</v>
      </c>
      <c r="N180" s="30">
        <v>46174</v>
      </c>
      <c r="O180" s="31">
        <f t="shared" si="59"/>
        <v>8129</v>
      </c>
      <c r="P180" s="32">
        <f>19500+3110+1744+229</f>
        <v>24583</v>
      </c>
      <c r="Q180" s="32"/>
      <c r="R180" s="32"/>
      <c r="S180" s="32">
        <f t="shared" si="54"/>
        <v>24583</v>
      </c>
      <c r="T180" s="12"/>
      <c r="U180" s="12"/>
      <c r="V180" s="12"/>
      <c r="W180" s="12">
        <f t="shared" si="55"/>
        <v>24583</v>
      </c>
      <c r="Y180" s="10">
        <v>4</v>
      </c>
      <c r="Z180" s="30">
        <v>46174</v>
      </c>
      <c r="AA180" s="31">
        <v>8351</v>
      </c>
      <c r="AB180" s="32">
        <f>670</f>
        <v>670</v>
      </c>
      <c r="AC180" s="32"/>
      <c r="AD180" s="32"/>
      <c r="AE180" s="32">
        <f t="shared" si="56"/>
        <v>670</v>
      </c>
      <c r="AF180" s="12"/>
      <c r="AH180" s="12"/>
      <c r="AI180" s="12">
        <f t="shared" si="57"/>
        <v>670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46174</v>
      </c>
      <c r="C181" s="91">
        <f t="shared" si="58"/>
        <v>8323</v>
      </c>
      <c r="D181" s="32">
        <f>56550</f>
        <v>56550</v>
      </c>
      <c r="E181" s="32"/>
      <c r="F181" s="32"/>
      <c r="G181" s="32">
        <f t="shared" si="52"/>
        <v>56550</v>
      </c>
      <c r="H181" s="12"/>
      <c r="I181" s="12">
        <f>27.5+99</f>
        <v>126.5</v>
      </c>
      <c r="J181" s="12"/>
      <c r="K181" s="12">
        <f t="shared" si="53"/>
        <v>56676.5</v>
      </c>
      <c r="M181" s="10">
        <v>5</v>
      </c>
      <c r="N181" s="30">
        <v>46174</v>
      </c>
      <c r="O181" s="31">
        <f t="shared" si="59"/>
        <v>8130</v>
      </c>
      <c r="P181" s="32">
        <f>622*2+57</f>
        <v>1301</v>
      </c>
      <c r="Q181" s="32"/>
      <c r="R181" s="32"/>
      <c r="S181" s="32">
        <f t="shared" si="54"/>
        <v>1301</v>
      </c>
      <c r="T181" s="12"/>
      <c r="U181" s="12">
        <v>13.5</v>
      </c>
      <c r="V181" s="12"/>
      <c r="W181" s="12">
        <f t="shared" si="55"/>
        <v>1314.5</v>
      </c>
      <c r="Y181" s="10">
        <v>5</v>
      </c>
      <c r="Z181" s="30">
        <v>46174</v>
      </c>
      <c r="AA181" s="31">
        <f t="shared" si="60"/>
        <v>8352</v>
      </c>
      <c r="AB181" s="32">
        <f>1950+1866</f>
        <v>3816</v>
      </c>
      <c r="AC181" s="32"/>
      <c r="AD181" s="32"/>
      <c r="AE181" s="32">
        <f t="shared" ref="AE181:AE209" si="61">SUM(AB181:AC181)</f>
        <v>3816</v>
      </c>
      <c r="AF181" s="12"/>
      <c r="AG181" s="12"/>
      <c r="AH181" s="12"/>
      <c r="AI181" s="12">
        <f t="shared" si="57"/>
        <v>3816</v>
      </c>
      <c r="AK181" s="62"/>
      <c r="AL181" s="65"/>
      <c r="AM181" s="87"/>
      <c r="AN181" s="116"/>
      <c r="AO181" s="116"/>
      <c r="AP181" s="87"/>
      <c r="AQ181" s="62"/>
      <c r="AR181" s="116"/>
      <c r="AS181" s="116"/>
      <c r="AT181" s="11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46174</v>
      </c>
      <c r="C182" s="91">
        <f t="shared" si="58"/>
        <v>8324</v>
      </c>
      <c r="D182" s="32">
        <f>140400+6220+458</f>
        <v>147078</v>
      </c>
      <c r="E182" s="32"/>
      <c r="F182" s="32"/>
      <c r="G182" s="32">
        <f t="shared" si="52"/>
        <v>147078</v>
      </c>
      <c r="H182" s="12"/>
      <c r="I182" s="12"/>
      <c r="J182" s="12"/>
      <c r="K182" s="12">
        <f t="shared" si="53"/>
        <v>147078</v>
      </c>
      <c r="M182" s="10">
        <v>6</v>
      </c>
      <c r="N182" s="30">
        <v>46174</v>
      </c>
      <c r="O182" s="31">
        <f t="shared" si="59"/>
        <v>8131</v>
      </c>
      <c r="P182" s="32">
        <f>1950+670+1866+76</f>
        <v>4562</v>
      </c>
      <c r="Q182" s="32"/>
      <c r="R182" s="32"/>
      <c r="S182" s="32">
        <f t="shared" si="54"/>
        <v>4562</v>
      </c>
      <c r="T182" s="12"/>
      <c r="U182" s="12">
        <v>13.5</v>
      </c>
      <c r="V182" s="10">
        <v>-222</v>
      </c>
      <c r="W182" s="12">
        <f t="shared" si="55"/>
        <v>4353.5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1"/>
        <v>0</v>
      </c>
      <c r="AF182" s="12"/>
      <c r="AG182" s="12"/>
      <c r="AH182" s="10"/>
      <c r="AI182" s="12">
        <f t="shared" si="57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46174</v>
      </c>
      <c r="C183" s="91">
        <f t="shared" si="58"/>
        <v>8325</v>
      </c>
      <c r="D183" s="32">
        <f>7150</f>
        <v>7150</v>
      </c>
      <c r="E183" s="32"/>
      <c r="F183" s="32"/>
      <c r="G183" s="32">
        <f t="shared" si="52"/>
        <v>7150</v>
      </c>
      <c r="H183" s="12"/>
      <c r="I183" s="12"/>
      <c r="J183" s="12"/>
      <c r="K183" s="12">
        <f t="shared" si="53"/>
        <v>7150</v>
      </c>
      <c r="M183" s="10">
        <v>7</v>
      </c>
      <c r="N183" s="30">
        <v>46174</v>
      </c>
      <c r="O183" s="31">
        <f t="shared" si="59"/>
        <v>8132</v>
      </c>
      <c r="P183" s="32">
        <f>1300+19</f>
        <v>1319</v>
      </c>
      <c r="Q183" s="32"/>
      <c r="R183" s="32"/>
      <c r="S183" s="32">
        <f t="shared" si="54"/>
        <v>1319</v>
      </c>
      <c r="T183" s="12"/>
      <c r="U183" s="12">
        <f>4.5+1.5*2</f>
        <v>7.5</v>
      </c>
      <c r="V183" s="12"/>
      <c r="W183" s="12">
        <f t="shared" si="55"/>
        <v>1326.5</v>
      </c>
      <c r="Y183" s="10">
        <v>7</v>
      </c>
      <c r="Z183" s="30"/>
      <c r="AA183" s="31"/>
      <c r="AB183" s="32"/>
      <c r="AC183" s="32"/>
      <c r="AD183" s="32"/>
      <c r="AE183" s="32">
        <f t="shared" si="61"/>
        <v>0</v>
      </c>
      <c r="AF183" s="12"/>
      <c r="AG183" s="58"/>
      <c r="AH183" s="12"/>
      <c r="AI183" s="12">
        <f t="shared" si="57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46174</v>
      </c>
      <c r="C184" s="91">
        <f t="shared" si="58"/>
        <v>8326</v>
      </c>
      <c r="D184" s="32">
        <f>973+912+525+436</f>
        <v>2846</v>
      </c>
      <c r="E184" s="32"/>
      <c r="F184" s="32"/>
      <c r="G184" s="32">
        <f t="shared" si="52"/>
        <v>2846</v>
      </c>
      <c r="H184" s="12"/>
      <c r="I184" s="12"/>
      <c r="J184" s="12"/>
      <c r="K184" s="12">
        <f t="shared" si="53"/>
        <v>2846</v>
      </c>
      <c r="M184" s="10">
        <v>8</v>
      </c>
      <c r="N184" s="30">
        <v>46174</v>
      </c>
      <c r="O184" s="31">
        <f t="shared" si="59"/>
        <v>8133</v>
      </c>
      <c r="P184" s="32">
        <f>650*180+1667+622*20+229*8+650*2</f>
        <v>134239</v>
      </c>
      <c r="Q184" s="32">
        <v>-1206</v>
      </c>
      <c r="R184" s="32"/>
      <c r="S184" s="32">
        <f t="shared" si="54"/>
        <v>133033</v>
      </c>
      <c r="T184" s="12"/>
      <c r="U184" s="12">
        <v>390</v>
      </c>
      <c r="V184" s="12">
        <v>-1776</v>
      </c>
      <c r="W184" s="12">
        <f t="shared" si="55"/>
        <v>131647</v>
      </c>
      <c r="Y184" s="10">
        <v>8</v>
      </c>
      <c r="Z184" s="30"/>
      <c r="AA184" s="31"/>
      <c r="AB184" s="32"/>
      <c r="AC184" s="32"/>
      <c r="AE184" s="32">
        <f t="shared" si="61"/>
        <v>0</v>
      </c>
      <c r="AF184" s="12"/>
      <c r="AG184" s="12"/>
      <c r="AH184" s="12"/>
      <c r="AI184" s="12">
        <f t="shared" si="57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52"/>
        <v>0</v>
      </c>
      <c r="H185" s="12"/>
      <c r="I185" s="12"/>
      <c r="J185" s="12"/>
      <c r="K185" s="12">
        <f t="shared" si="53"/>
        <v>0</v>
      </c>
      <c r="M185" s="10">
        <v>9</v>
      </c>
      <c r="N185" s="30">
        <v>46174</v>
      </c>
      <c r="O185" s="31">
        <f t="shared" si="59"/>
        <v>8134</v>
      </c>
      <c r="P185" s="32">
        <f>1950+670+622+38</f>
        <v>3280</v>
      </c>
      <c r="Q185" s="32"/>
      <c r="R185" s="32"/>
      <c r="S185" s="32">
        <f t="shared" si="54"/>
        <v>3280</v>
      </c>
      <c r="T185" s="12"/>
      <c r="U185" s="12"/>
      <c r="V185" s="12"/>
      <c r="W185" s="12">
        <f t="shared" si="55"/>
        <v>3280</v>
      </c>
      <c r="Y185" s="10">
        <v>9</v>
      </c>
      <c r="Z185" s="30"/>
      <c r="AA185" s="31"/>
      <c r="AB185" s="32"/>
      <c r="AC185" s="32"/>
      <c r="AD185" s="32"/>
      <c r="AE185" s="32">
        <f t="shared" si="61"/>
        <v>0</v>
      </c>
      <c r="AF185" s="12"/>
      <c r="AH185" s="12"/>
      <c r="AI185" s="12">
        <f t="shared" si="57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91"/>
      <c r="D186" s="32"/>
      <c r="E186" s="32"/>
      <c r="F186" s="32"/>
      <c r="G186" s="32">
        <f t="shared" si="52"/>
        <v>0</v>
      </c>
      <c r="H186" s="12"/>
      <c r="I186" s="12"/>
      <c r="J186" s="12"/>
      <c r="K186" s="12">
        <f t="shared" si="53"/>
        <v>0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54"/>
        <v>0</v>
      </c>
      <c r="T186" s="12"/>
      <c r="U186" s="12"/>
      <c r="V186" s="12"/>
      <c r="W186" s="12">
        <f t="shared" si="55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1"/>
        <v>0</v>
      </c>
      <c r="AF186" s="12"/>
      <c r="AG186" s="12"/>
      <c r="AH186" s="12"/>
      <c r="AI186" s="12">
        <f t="shared" si="57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2"/>
        <v>0</v>
      </c>
      <c r="H187" s="12"/>
      <c r="I187" s="12"/>
      <c r="J187" s="12"/>
      <c r="K187" s="12">
        <f t="shared" si="53"/>
        <v>0</v>
      </c>
      <c r="M187" s="10">
        <v>11</v>
      </c>
      <c r="N187" s="30"/>
      <c r="O187" s="31"/>
      <c r="P187" s="32"/>
      <c r="Q187" s="32"/>
      <c r="R187" s="32"/>
      <c r="S187" s="32">
        <f t="shared" si="54"/>
        <v>0</v>
      </c>
      <c r="T187" s="12"/>
      <c r="U187" s="12"/>
      <c r="V187" s="12"/>
      <c r="W187" s="12">
        <f t="shared" si="55"/>
        <v>0</v>
      </c>
      <c r="Y187" s="10">
        <v>11</v>
      </c>
      <c r="Z187" s="30"/>
      <c r="AA187" s="31"/>
      <c r="AB187" s="32"/>
      <c r="AC187" s="32"/>
      <c r="AD187" s="32"/>
      <c r="AE187" s="32">
        <f t="shared" si="61"/>
        <v>0</v>
      </c>
      <c r="AF187" s="12"/>
      <c r="AG187" s="12"/>
      <c r="AH187" s="12"/>
      <c r="AI187" s="12">
        <f t="shared" si="57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2"/>
        <v>0</v>
      </c>
      <c r="H188" s="12"/>
      <c r="I188" s="12"/>
      <c r="J188" s="10"/>
      <c r="K188" s="12">
        <f t="shared" si="53"/>
        <v>0</v>
      </c>
      <c r="M188" s="10">
        <v>12</v>
      </c>
      <c r="N188" s="30"/>
      <c r="O188" s="31"/>
      <c r="P188" s="32"/>
      <c r="Q188" s="32"/>
      <c r="R188" s="32"/>
      <c r="S188" s="32">
        <f t="shared" si="54"/>
        <v>0</v>
      </c>
      <c r="T188" s="12"/>
      <c r="U188" s="12"/>
      <c r="V188" s="12"/>
      <c r="W188" s="12">
        <f t="shared" si="55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1"/>
        <v>0</v>
      </c>
      <c r="AF188" s="12"/>
      <c r="AG188" s="12"/>
      <c r="AH188" s="12"/>
      <c r="AI188" s="12">
        <f t="shared" si="57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2"/>
        <v>0</v>
      </c>
      <c r="H189" s="12"/>
      <c r="I189" s="12"/>
      <c r="J189" s="12"/>
      <c r="K189" s="12">
        <f t="shared" si="53"/>
        <v>0</v>
      </c>
      <c r="M189" s="10">
        <v>13</v>
      </c>
      <c r="N189" s="30"/>
      <c r="O189" s="31"/>
      <c r="P189" s="32"/>
      <c r="Q189" s="32"/>
      <c r="R189" s="32"/>
      <c r="S189" s="32">
        <f t="shared" si="54"/>
        <v>0</v>
      </c>
      <c r="T189" s="12"/>
      <c r="U189" s="12"/>
      <c r="V189" s="12"/>
      <c r="W189" s="12">
        <f t="shared" si="55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1"/>
        <v>0</v>
      </c>
      <c r="AF189" s="12"/>
      <c r="AG189" s="12"/>
      <c r="AH189" s="12"/>
      <c r="AI189" s="12">
        <f t="shared" si="57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2"/>
        <v>0</v>
      </c>
      <c r="H190" s="12"/>
      <c r="I190" s="12"/>
      <c r="J190" s="12"/>
      <c r="K190" s="12">
        <f t="shared" si="53"/>
        <v>0</v>
      </c>
      <c r="M190" s="10">
        <v>14</v>
      </c>
      <c r="N190" s="30"/>
      <c r="O190" s="31"/>
      <c r="P190" s="32"/>
      <c r="Q190" s="32"/>
      <c r="R190" s="32"/>
      <c r="S190" s="32">
        <f t="shared" si="54"/>
        <v>0</v>
      </c>
      <c r="T190" s="12"/>
      <c r="U190" s="12"/>
      <c r="V190" s="12"/>
      <c r="W190" s="12">
        <f t="shared" si="55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1"/>
        <v>0</v>
      </c>
      <c r="AF190" s="12"/>
      <c r="AG190" s="12"/>
      <c r="AH190" s="12"/>
      <c r="AI190" s="12">
        <f t="shared" si="57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2"/>
        <v>0</v>
      </c>
      <c r="H191" s="12"/>
      <c r="I191" s="12"/>
      <c r="J191" s="12"/>
      <c r="K191" s="12">
        <f t="shared" si="53"/>
        <v>0</v>
      </c>
      <c r="M191" s="10">
        <v>15</v>
      </c>
      <c r="N191" s="30"/>
      <c r="O191" s="31"/>
      <c r="P191" s="32"/>
      <c r="Q191" s="32"/>
      <c r="R191" s="32"/>
      <c r="S191" s="32">
        <f t="shared" si="54"/>
        <v>0</v>
      </c>
      <c r="T191" s="12"/>
      <c r="U191" s="12"/>
      <c r="V191" s="12"/>
      <c r="W191" s="12">
        <f t="shared" si="55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1"/>
        <v>0</v>
      </c>
      <c r="AF191" s="12"/>
      <c r="AG191" s="12"/>
      <c r="AH191" s="12"/>
      <c r="AI191" s="12">
        <f t="shared" si="57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2"/>
        <v>0</v>
      </c>
      <c r="H192" s="12"/>
      <c r="I192" s="12"/>
      <c r="J192" s="12"/>
      <c r="K192" s="12">
        <f t="shared" si="53"/>
        <v>0</v>
      </c>
      <c r="M192" s="10">
        <v>16</v>
      </c>
      <c r="N192" s="30"/>
      <c r="P192" s="32"/>
      <c r="Q192" s="32"/>
      <c r="R192" s="32"/>
      <c r="S192" s="32">
        <f t="shared" si="54"/>
        <v>0</v>
      </c>
      <c r="T192" s="12"/>
      <c r="U192" s="12"/>
      <c r="V192" s="12"/>
      <c r="W192" s="12">
        <f t="shared" si="55"/>
        <v>0</v>
      </c>
      <c r="Y192" s="10">
        <v>16</v>
      </c>
      <c r="Z192" s="30"/>
      <c r="AB192" s="32"/>
      <c r="AC192" s="32"/>
      <c r="AD192" s="32"/>
      <c r="AE192" s="32">
        <f t="shared" si="61"/>
        <v>0</v>
      </c>
      <c r="AF192" s="12"/>
      <c r="AG192" s="12"/>
      <c r="AH192" s="12"/>
      <c r="AI192" s="12">
        <f t="shared" si="57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2"/>
        <v>0</v>
      </c>
      <c r="H193" s="12"/>
      <c r="I193" s="12"/>
      <c r="J193" s="12"/>
      <c r="K193" s="12">
        <f t="shared" si="53"/>
        <v>0</v>
      </c>
      <c r="M193" s="10">
        <v>17</v>
      </c>
      <c r="N193" s="30"/>
      <c r="O193" s="31"/>
      <c r="P193" s="35"/>
      <c r="Q193" s="32"/>
      <c r="R193" s="32"/>
      <c r="S193" s="32">
        <f t="shared" si="54"/>
        <v>0</v>
      </c>
      <c r="T193" s="12"/>
      <c r="U193" s="12"/>
      <c r="V193" s="12"/>
      <c r="W193" s="12">
        <f t="shared" si="55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1"/>
        <v>0</v>
      </c>
      <c r="AF193" s="12"/>
      <c r="AG193" s="12"/>
      <c r="AH193" s="12"/>
      <c r="AI193" s="12">
        <f t="shared" si="57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2"/>
        <v>0</v>
      </c>
      <c r="H194" s="12"/>
      <c r="I194" s="12"/>
      <c r="J194" s="12"/>
      <c r="K194" s="12">
        <f t="shared" si="53"/>
        <v>0</v>
      </c>
      <c r="M194" s="10">
        <v>18</v>
      </c>
      <c r="N194" s="30"/>
      <c r="O194" s="31"/>
      <c r="P194" s="32"/>
      <c r="Q194" s="32"/>
      <c r="R194" s="32"/>
      <c r="S194" s="32">
        <f t="shared" si="54"/>
        <v>0</v>
      </c>
      <c r="T194" s="12"/>
      <c r="U194" s="12"/>
      <c r="V194" s="12"/>
      <c r="W194" s="12">
        <f t="shared" si="55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1"/>
        <v>0</v>
      </c>
      <c r="AF194" s="12"/>
      <c r="AG194" s="12"/>
      <c r="AH194" s="12"/>
      <c r="AI194" s="12">
        <f t="shared" si="57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2"/>
        <v>0</v>
      </c>
      <c r="H195" s="12"/>
      <c r="I195" s="12"/>
      <c r="J195" s="12"/>
      <c r="K195" s="12">
        <f t="shared" si="53"/>
        <v>0</v>
      </c>
      <c r="M195" s="10">
        <v>19</v>
      </c>
      <c r="N195" s="30"/>
      <c r="O195" s="31"/>
      <c r="P195" s="32"/>
      <c r="Q195" s="32"/>
      <c r="R195" s="32"/>
      <c r="S195" s="32">
        <f t="shared" si="54"/>
        <v>0</v>
      </c>
      <c r="T195" s="12"/>
      <c r="U195" s="12"/>
      <c r="V195" s="12"/>
      <c r="W195" s="12">
        <f t="shared" si="55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1"/>
        <v>0</v>
      </c>
      <c r="AF195" s="12"/>
      <c r="AG195" s="12"/>
      <c r="AH195" s="12"/>
      <c r="AI195" s="12">
        <f t="shared" si="57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57"/>
      <c r="D196" s="32"/>
      <c r="E196" s="32"/>
      <c r="F196" s="32"/>
      <c r="G196" s="32">
        <f t="shared" si="52"/>
        <v>0</v>
      </c>
      <c r="H196" s="12"/>
      <c r="I196" s="12"/>
      <c r="J196" s="12"/>
      <c r="K196" s="12">
        <f t="shared" si="53"/>
        <v>0</v>
      </c>
      <c r="M196" s="10">
        <v>20</v>
      </c>
      <c r="N196" s="30"/>
      <c r="O196" s="31"/>
      <c r="P196" s="32"/>
      <c r="Q196" s="32"/>
      <c r="R196" s="32"/>
      <c r="S196" s="32">
        <f t="shared" si="54"/>
        <v>0</v>
      </c>
      <c r="T196" s="12"/>
      <c r="U196" s="12"/>
      <c r="V196" s="12"/>
      <c r="W196" s="12">
        <f t="shared" si="55"/>
        <v>0</v>
      </c>
      <c r="Y196" s="10">
        <v>20</v>
      </c>
      <c r="Z196" s="30"/>
      <c r="AA196" s="31"/>
      <c r="AB196" s="32"/>
      <c r="AC196" s="32"/>
      <c r="AD196" s="32"/>
      <c r="AE196" s="32">
        <f t="shared" si="61"/>
        <v>0</v>
      </c>
      <c r="AF196" s="12"/>
      <c r="AG196" s="12"/>
      <c r="AH196" s="12"/>
      <c r="AI196" s="12">
        <f t="shared" si="57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2"/>
        <v>0</v>
      </c>
      <c r="H197" s="10"/>
      <c r="I197" s="10"/>
      <c r="J197" s="10"/>
      <c r="K197" s="12">
        <f t="shared" si="53"/>
        <v>0</v>
      </c>
      <c r="M197" s="10">
        <v>21</v>
      </c>
      <c r="N197" s="30"/>
      <c r="O197" s="31"/>
      <c r="P197" s="46"/>
      <c r="Q197" s="31"/>
      <c r="R197" s="31"/>
      <c r="S197" s="32">
        <f t="shared" si="54"/>
        <v>0</v>
      </c>
      <c r="T197" s="10"/>
      <c r="U197" s="10"/>
      <c r="V197" s="10"/>
      <c r="W197" s="12">
        <f t="shared" si="55"/>
        <v>0</v>
      </c>
      <c r="Y197" s="10">
        <v>21</v>
      </c>
      <c r="Z197" s="30"/>
      <c r="AB197" s="46"/>
      <c r="AC197" s="31"/>
      <c r="AD197" s="31"/>
      <c r="AE197" s="32">
        <f t="shared" si="61"/>
        <v>0</v>
      </c>
      <c r="AF197" s="10"/>
      <c r="AG197" s="10"/>
      <c r="AH197" s="10"/>
      <c r="AI197" s="12">
        <f t="shared" si="57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2"/>
        <v>0</v>
      </c>
      <c r="H198" s="10"/>
      <c r="I198" s="10"/>
      <c r="J198" s="10"/>
      <c r="K198" s="12">
        <f t="shared" si="53"/>
        <v>0</v>
      </c>
      <c r="M198" s="10">
        <v>22</v>
      </c>
      <c r="N198" s="30"/>
      <c r="O198" s="31"/>
      <c r="P198" s="45"/>
      <c r="Q198" s="31"/>
      <c r="R198" s="31"/>
      <c r="S198" s="32">
        <f t="shared" si="54"/>
        <v>0</v>
      </c>
      <c r="T198" s="10"/>
      <c r="U198" s="10"/>
      <c r="V198" s="10"/>
      <c r="W198" s="12">
        <f t="shared" si="55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1"/>
        <v>0</v>
      </c>
      <c r="AF198" s="10"/>
      <c r="AG198" s="10"/>
      <c r="AH198" s="10"/>
      <c r="AI198" s="12">
        <f t="shared" si="57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2"/>
        <v>0</v>
      </c>
      <c r="H199" s="10"/>
      <c r="I199" s="10"/>
      <c r="J199" s="12"/>
      <c r="K199" s="12">
        <f t="shared" si="53"/>
        <v>0</v>
      </c>
      <c r="M199" s="10">
        <v>23</v>
      </c>
      <c r="N199" s="30"/>
      <c r="O199" s="31"/>
      <c r="P199" s="47"/>
      <c r="S199" s="32">
        <f t="shared" si="54"/>
        <v>0</v>
      </c>
      <c r="T199" s="10"/>
      <c r="U199" s="10"/>
      <c r="V199" s="10"/>
      <c r="W199" s="12">
        <f t="shared" si="55"/>
        <v>0</v>
      </c>
      <c r="Y199" s="10">
        <v>23</v>
      </c>
      <c r="Z199" s="30"/>
      <c r="AA199" s="31"/>
      <c r="AB199" s="47"/>
      <c r="AE199" s="32">
        <f t="shared" si="61"/>
        <v>0</v>
      </c>
      <c r="AF199" s="10"/>
      <c r="AG199" s="10"/>
      <c r="AH199" s="10"/>
      <c r="AI199" s="12">
        <f t="shared" si="57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2"/>
        <v>0</v>
      </c>
      <c r="H200" s="10"/>
      <c r="I200" s="10"/>
      <c r="J200" s="10"/>
      <c r="K200" s="12">
        <f t="shared" si="53"/>
        <v>0</v>
      </c>
      <c r="M200" s="10">
        <v>24</v>
      </c>
      <c r="N200" s="30"/>
      <c r="O200" s="31"/>
      <c r="P200" s="47"/>
      <c r="Q200" s="31"/>
      <c r="R200" s="31"/>
      <c r="S200" s="32">
        <f t="shared" si="54"/>
        <v>0</v>
      </c>
      <c r="T200" s="10"/>
      <c r="U200" s="10"/>
      <c r="V200" s="10"/>
      <c r="W200" s="12">
        <f t="shared" si="55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1"/>
        <v>0</v>
      </c>
      <c r="AF200" s="10"/>
      <c r="AG200" s="10"/>
      <c r="AH200" s="10"/>
      <c r="AI200" s="12">
        <f t="shared" si="57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91"/>
      <c r="D201" s="32"/>
      <c r="E201" s="32"/>
      <c r="F201" s="32"/>
      <c r="G201" s="32">
        <f t="shared" si="52"/>
        <v>0</v>
      </c>
      <c r="H201" s="10"/>
      <c r="I201" s="10"/>
      <c r="J201" s="10"/>
      <c r="K201" s="12">
        <f t="shared" si="53"/>
        <v>0</v>
      </c>
      <c r="M201" s="10">
        <v>25</v>
      </c>
      <c r="N201" s="30"/>
      <c r="O201" s="31"/>
      <c r="P201" s="47"/>
      <c r="Q201" s="31"/>
      <c r="R201" s="31"/>
      <c r="S201" s="32">
        <f t="shared" si="54"/>
        <v>0</v>
      </c>
      <c r="T201" s="10"/>
      <c r="U201" s="10"/>
      <c r="V201" s="10"/>
      <c r="W201" s="12">
        <f t="shared" si="55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1"/>
        <v>0</v>
      </c>
      <c r="AF201" s="10"/>
      <c r="AG201" s="10"/>
      <c r="AH201" s="10"/>
      <c r="AI201" s="12">
        <f t="shared" si="57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2"/>
        <v>0</v>
      </c>
      <c r="H202" s="10"/>
      <c r="I202" s="10"/>
      <c r="J202" s="10"/>
      <c r="K202" s="12">
        <f t="shared" si="53"/>
        <v>0</v>
      </c>
      <c r="M202" s="10">
        <v>26</v>
      </c>
      <c r="N202" s="30"/>
      <c r="O202" s="31"/>
      <c r="P202" s="47"/>
      <c r="Q202" s="31"/>
      <c r="R202" s="31"/>
      <c r="S202" s="32">
        <f t="shared" si="54"/>
        <v>0</v>
      </c>
      <c r="T202" s="10"/>
      <c r="U202" s="10"/>
      <c r="V202" s="10"/>
      <c r="W202" s="12">
        <f t="shared" si="55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1"/>
        <v>0</v>
      </c>
      <c r="AF202" s="10"/>
      <c r="AG202" s="10"/>
      <c r="AH202" s="10"/>
      <c r="AI202" s="12">
        <f t="shared" si="57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2"/>
        <v>0</v>
      </c>
      <c r="H203" s="10"/>
      <c r="I203" s="10"/>
      <c r="J203" s="10"/>
      <c r="K203" s="12">
        <f t="shared" si="53"/>
        <v>0</v>
      </c>
      <c r="M203" s="10">
        <v>27</v>
      </c>
      <c r="N203" s="30"/>
      <c r="O203" s="31"/>
      <c r="P203" s="47"/>
      <c r="Q203" s="31"/>
      <c r="R203" s="31"/>
      <c r="S203" s="32">
        <f t="shared" si="54"/>
        <v>0</v>
      </c>
      <c r="T203" s="10"/>
      <c r="U203" s="10"/>
      <c r="V203" s="10"/>
      <c r="W203" s="12">
        <f t="shared" si="55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1"/>
        <v>0</v>
      </c>
      <c r="AF203" s="10"/>
      <c r="AG203" s="10"/>
      <c r="AH203" s="10"/>
      <c r="AI203" s="12">
        <f t="shared" si="57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2"/>
        <v>0</v>
      </c>
      <c r="H204" s="10"/>
      <c r="I204" s="10"/>
      <c r="J204" s="10"/>
      <c r="K204" s="12">
        <f t="shared" si="53"/>
        <v>0</v>
      </c>
      <c r="M204" s="10">
        <v>28</v>
      </c>
      <c r="N204" s="30"/>
      <c r="O204" s="31"/>
      <c r="P204" s="47"/>
      <c r="Q204" s="31"/>
      <c r="R204" s="31"/>
      <c r="S204" s="32">
        <f t="shared" si="54"/>
        <v>0</v>
      </c>
      <c r="T204" s="10"/>
      <c r="U204" s="10"/>
      <c r="V204" s="10"/>
      <c r="W204" s="12">
        <f t="shared" si="55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1"/>
        <v>0</v>
      </c>
      <c r="AF204" s="10"/>
      <c r="AG204" s="10"/>
      <c r="AH204" s="10"/>
      <c r="AI204" s="12">
        <f t="shared" si="57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2"/>
        <v>0</v>
      </c>
      <c r="H205" s="10"/>
      <c r="I205" s="10"/>
      <c r="J205" s="10"/>
      <c r="K205" s="12">
        <f t="shared" si="53"/>
        <v>0</v>
      </c>
      <c r="M205" s="10">
        <v>29</v>
      </c>
      <c r="N205" s="30"/>
      <c r="O205" s="31"/>
      <c r="P205" s="47"/>
      <c r="Q205" s="31"/>
      <c r="R205" s="31"/>
      <c r="S205" s="32">
        <f t="shared" si="54"/>
        <v>0</v>
      </c>
      <c r="T205" s="10"/>
      <c r="U205" s="10"/>
      <c r="V205" s="10"/>
      <c r="W205" s="12">
        <f t="shared" si="55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1"/>
        <v>0</v>
      </c>
      <c r="AF205" s="10"/>
      <c r="AG205" s="10"/>
      <c r="AH205" s="10"/>
      <c r="AI205" s="12">
        <f t="shared" si="57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2"/>
        <v>0</v>
      </c>
      <c r="H206" s="10"/>
      <c r="I206" s="10"/>
      <c r="J206" s="10"/>
      <c r="K206" s="12">
        <f t="shared" si="53"/>
        <v>0</v>
      </c>
      <c r="M206" s="10">
        <v>30</v>
      </c>
      <c r="N206" s="30"/>
      <c r="O206" s="31"/>
      <c r="P206" s="47"/>
      <c r="Q206" s="31"/>
      <c r="R206" s="31"/>
      <c r="S206" s="32">
        <f t="shared" si="54"/>
        <v>0</v>
      </c>
      <c r="T206" s="10"/>
      <c r="U206" s="10"/>
      <c r="V206" s="10"/>
      <c r="W206" s="12">
        <f t="shared" si="55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1"/>
        <v>0</v>
      </c>
      <c r="AF206" s="10"/>
      <c r="AG206" s="10"/>
      <c r="AH206" s="10"/>
      <c r="AI206" s="12">
        <f t="shared" si="57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2"/>
        <v>0</v>
      </c>
      <c r="H207" s="10"/>
      <c r="I207" s="10"/>
      <c r="J207" s="10"/>
      <c r="K207" s="12">
        <f t="shared" si="53"/>
        <v>0</v>
      </c>
      <c r="M207" s="10">
        <v>31</v>
      </c>
      <c r="N207" s="30"/>
      <c r="O207" s="31"/>
      <c r="P207" s="47"/>
      <c r="Q207" s="31"/>
      <c r="R207" s="31"/>
      <c r="S207" s="32">
        <f t="shared" si="54"/>
        <v>0</v>
      </c>
      <c r="T207" s="10"/>
      <c r="U207" s="10"/>
      <c r="V207" s="10"/>
      <c r="W207" s="12">
        <f t="shared" si="55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1"/>
        <v>0</v>
      </c>
      <c r="AF207" s="10"/>
      <c r="AG207" s="10"/>
      <c r="AH207" s="10"/>
      <c r="AI207" s="12">
        <f t="shared" si="57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2"/>
        <v>0</v>
      </c>
      <c r="H208" s="10"/>
      <c r="I208" s="10"/>
      <c r="J208" s="10"/>
      <c r="K208" s="12">
        <f t="shared" si="53"/>
        <v>0</v>
      </c>
      <c r="M208" s="10">
        <v>32</v>
      </c>
      <c r="N208" s="30"/>
      <c r="O208" s="31"/>
      <c r="P208" s="47"/>
      <c r="Q208" s="31"/>
      <c r="R208" s="31"/>
      <c r="S208" s="32">
        <f t="shared" si="54"/>
        <v>0</v>
      </c>
      <c r="T208" s="10"/>
      <c r="U208" s="10"/>
      <c r="V208" s="10"/>
      <c r="W208" s="12">
        <f t="shared" si="55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1"/>
        <v>0</v>
      </c>
      <c r="AF208" s="10"/>
      <c r="AG208" s="10"/>
      <c r="AH208" s="10"/>
      <c r="AI208" s="12">
        <f t="shared" si="57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2"/>
        <v>0</v>
      </c>
      <c r="H209" s="10"/>
      <c r="I209" s="10"/>
      <c r="J209" s="10"/>
      <c r="K209" s="12">
        <f t="shared" si="53"/>
        <v>0</v>
      </c>
      <c r="M209" s="10">
        <v>33</v>
      </c>
      <c r="N209" s="30"/>
      <c r="O209" s="31"/>
      <c r="P209" s="47"/>
      <c r="Q209" s="31"/>
      <c r="R209" s="31"/>
      <c r="S209" s="32">
        <f t="shared" si="54"/>
        <v>0</v>
      </c>
      <c r="T209" s="10"/>
      <c r="U209" s="10"/>
      <c r="V209" s="10"/>
      <c r="W209" s="12">
        <f t="shared" si="55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1"/>
        <v>0</v>
      </c>
      <c r="AF209" s="10"/>
      <c r="AG209" s="10"/>
      <c r="AH209" s="10"/>
      <c r="AI209" s="12">
        <f t="shared" si="57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2"/>
        <v>0</v>
      </c>
      <c r="H210" s="10"/>
      <c r="I210" s="10"/>
      <c r="J210" s="10"/>
      <c r="K210" s="12">
        <f t="shared" si="53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2">SUM(P210:Q210)</f>
        <v>0</v>
      </c>
      <c r="T210" s="10"/>
      <c r="U210" s="10"/>
      <c r="V210" s="10"/>
      <c r="W210" s="12">
        <f t="shared" ref="W210:W218" si="63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4">SUM(AB210:AC210)</f>
        <v>0</v>
      </c>
      <c r="AF210" s="10"/>
      <c r="AG210" s="10"/>
      <c r="AH210" s="10"/>
      <c r="AI210" s="12">
        <f t="shared" ref="AI210:AI218" si="65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9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2"/>
        <v>0</v>
      </c>
      <c r="T211" s="10"/>
      <c r="U211" s="10"/>
      <c r="V211" s="10"/>
      <c r="W211" s="12">
        <f t="shared" si="63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5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9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2"/>
        <v>0</v>
      </c>
      <c r="T212" s="10"/>
      <c r="U212" s="10"/>
      <c r="V212" s="10"/>
      <c r="W212" s="12">
        <f t="shared" si="63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5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2"/>
        <v>0</v>
      </c>
      <c r="T213" s="10"/>
      <c r="U213" s="10"/>
      <c r="V213" s="10"/>
      <c r="W213" s="12">
        <f t="shared" si="63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5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2"/>
        <v>0</v>
      </c>
      <c r="T214" s="10"/>
      <c r="U214" s="10"/>
      <c r="V214" s="10"/>
      <c r="W214" s="12">
        <f t="shared" si="63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5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2"/>
        <v>0</v>
      </c>
      <c r="T215" s="10"/>
      <c r="U215" s="10"/>
      <c r="V215" s="10"/>
      <c r="W215" s="12">
        <f t="shared" si="63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5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3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5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6">SUM(D217:E217)</f>
        <v>0</v>
      </c>
      <c r="H217" s="10"/>
      <c r="I217" s="10"/>
      <c r="J217" s="10"/>
      <c r="K217" s="12">
        <f t="shared" ref="K217" si="67">SUM(G217:J217)</f>
        <v>0</v>
      </c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3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5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3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5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435352.5</v>
      </c>
      <c r="E220" s="38">
        <f t="shared" ref="E220:F220" si="70">SUM(E177:E217)</f>
        <v>0</v>
      </c>
      <c r="F220" s="38">
        <f t="shared" si="70"/>
        <v>0</v>
      </c>
      <c r="G220" s="38">
        <f>SUM(G177:G219)</f>
        <v>435352.5</v>
      </c>
      <c r="H220" s="4"/>
      <c r="I220" s="39">
        <f>SUM(I177:I219)</f>
        <v>194</v>
      </c>
      <c r="J220" s="39">
        <f>SUM(J177:J219)</f>
        <v>0</v>
      </c>
      <c r="K220" s="40">
        <f>SUM(K177:K219)</f>
        <v>435546.5</v>
      </c>
      <c r="N220" s="57"/>
      <c r="O220" s="57"/>
      <c r="P220" s="38">
        <f>SUM(P177:P219)</f>
        <v>412427</v>
      </c>
      <c r="Q220" s="38">
        <f>SUM(Q177:Q201)</f>
        <v>-3150</v>
      </c>
      <c r="R220" s="38">
        <f>SUM(R177:R201)</f>
        <v>0</v>
      </c>
      <c r="S220" s="38">
        <f>SUM(S177:S219)</f>
        <v>409277</v>
      </c>
      <c r="T220" s="4"/>
      <c r="U220" s="41">
        <f>SUM(U177:U219)</f>
        <v>580.5</v>
      </c>
      <c r="V220" s="41">
        <f>SUM(V177:V201)</f>
        <v>-15318</v>
      </c>
      <c r="W220" s="42">
        <f>SUM(W177:W219)</f>
        <v>394539.5</v>
      </c>
      <c r="Z220" s="57"/>
      <c r="AA220" s="57"/>
      <c r="AB220" s="38">
        <f>SUM(AB177:AB219)</f>
        <v>235305</v>
      </c>
      <c r="AC220" s="38">
        <f>SUM(AC177:AC201)</f>
        <v>-1914</v>
      </c>
      <c r="AD220" s="38">
        <f>SUM(AD177:AD201)</f>
        <v>0</v>
      </c>
      <c r="AE220" s="38">
        <f>SUM(AE177:AE219)</f>
        <v>233391</v>
      </c>
      <c r="AF220" s="4"/>
      <c r="AG220" s="41">
        <f>SUM(AG177:AG219)</f>
        <v>1332</v>
      </c>
      <c r="AH220" s="41">
        <f>SUM(AH177:AH201)</f>
        <v>-14208</v>
      </c>
      <c r="AI220" s="42">
        <f>SUM(AI177:AI219)</f>
        <v>220515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52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53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54</v>
      </c>
      <c r="W228" s="24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1" t="s">
        <v>17</v>
      </c>
      <c r="E230" s="121"/>
      <c r="F230" s="100"/>
      <c r="G230" s="27"/>
      <c r="I230" s="117" t="s">
        <v>18</v>
      </c>
      <c r="J230" s="118"/>
      <c r="K230" s="119" t="s">
        <v>19</v>
      </c>
      <c r="N230" s="25"/>
      <c r="O230" s="26"/>
      <c r="P230" s="121" t="s">
        <v>17</v>
      </c>
      <c r="Q230" s="121"/>
      <c r="R230" s="100"/>
      <c r="S230" s="27"/>
      <c r="U230" s="117" t="s">
        <v>18</v>
      </c>
      <c r="V230" s="118"/>
      <c r="W230" s="119" t="s">
        <v>19</v>
      </c>
      <c r="Z230" s="25"/>
      <c r="AA230" s="26"/>
      <c r="AB230" s="121" t="s">
        <v>17</v>
      </c>
      <c r="AC230" s="121"/>
      <c r="AD230" s="100"/>
      <c r="AE230" s="27"/>
      <c r="AG230" s="117" t="s">
        <v>18</v>
      </c>
      <c r="AH230" s="118"/>
      <c r="AI230" s="11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20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20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2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46204</v>
      </c>
      <c r="C232" s="91">
        <v>8326</v>
      </c>
      <c r="D232" s="32">
        <f>1300+650</f>
        <v>1950</v>
      </c>
      <c r="E232" s="32"/>
      <c r="F232" s="32"/>
      <c r="G232" s="32">
        <f t="shared" ref="G232:G265" si="71">SUM(D232:E232)</f>
        <v>1950</v>
      </c>
      <c r="H232" s="12"/>
      <c r="I232" s="12"/>
      <c r="J232" s="12">
        <v>-444</v>
      </c>
      <c r="K232" s="12">
        <f t="shared" ref="K232:K265" si="72">SUM(G232:J232)</f>
        <v>1506</v>
      </c>
      <c r="M232" s="10">
        <v>1</v>
      </c>
      <c r="N232" s="30">
        <v>46204</v>
      </c>
      <c r="O232" s="31">
        <v>8135</v>
      </c>
      <c r="P232" s="32">
        <f>650*31+700</f>
        <v>20850</v>
      </c>
      <c r="Q232" s="32"/>
      <c r="R232" s="32"/>
      <c r="S232" s="32">
        <f>SUM(P232:Q232)</f>
        <v>20850</v>
      </c>
      <c r="T232" s="12"/>
      <c r="U232" s="12">
        <v>45</v>
      </c>
      <c r="V232" s="12">
        <v>-78</v>
      </c>
      <c r="W232" s="12">
        <f>SUM(S232:V232)</f>
        <v>20817</v>
      </c>
      <c r="Y232" s="10">
        <v>1</v>
      </c>
      <c r="Z232" s="30">
        <v>46204</v>
      </c>
      <c r="AA232" s="31">
        <v>8353</v>
      </c>
      <c r="AB232" s="32">
        <f>650*31+670*2</f>
        <v>21490</v>
      </c>
      <c r="AC232" s="32"/>
      <c r="AD232" s="32"/>
      <c r="AE232" s="32">
        <f>SUM(AB232:AC232)</f>
        <v>21490</v>
      </c>
      <c r="AF232" s="12"/>
      <c r="AG232" s="12"/>
      <c r="AH232" s="12"/>
      <c r="AI232" s="12">
        <f>SUM(AE232:AH232)</f>
        <v>21490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46204</v>
      </c>
      <c r="C233" s="91">
        <f>C232+1</f>
        <v>8327</v>
      </c>
      <c r="D233" s="32"/>
      <c r="E233" s="32"/>
      <c r="F233" s="32"/>
      <c r="G233" s="32">
        <f t="shared" si="71"/>
        <v>0</v>
      </c>
      <c r="H233" s="12"/>
      <c r="I233" s="12"/>
      <c r="J233" s="12"/>
      <c r="K233" s="12">
        <f t="shared" si="72"/>
        <v>0</v>
      </c>
      <c r="M233" s="10">
        <v>2</v>
      </c>
      <c r="N233" s="30">
        <v>46204</v>
      </c>
      <c r="O233" s="31">
        <f>O232+1</f>
        <v>8136</v>
      </c>
      <c r="P233" s="32">
        <f>650*324+622*20+229*14</f>
        <v>226246</v>
      </c>
      <c r="Q233" s="32">
        <v>-2064</v>
      </c>
      <c r="R233" s="32"/>
      <c r="S233" s="32">
        <f t="shared" ref="S233:S264" si="73">SUM(P233:Q233)</f>
        <v>224182</v>
      </c>
      <c r="T233" s="12"/>
      <c r="U233" s="12">
        <v>390</v>
      </c>
      <c r="V233" s="12">
        <v>-336</v>
      </c>
      <c r="W233" s="12">
        <f t="shared" ref="W233:W264" si="74">SUM(S233:V233)</f>
        <v>224236</v>
      </c>
      <c r="Y233" s="10">
        <v>2</v>
      </c>
      <c r="Z233" s="30">
        <v>46204</v>
      </c>
      <c r="AA233" s="31">
        <f>AA232+1</f>
        <v>8354</v>
      </c>
      <c r="AB233" s="32">
        <f>650*65+670*2+973*2+622*10</f>
        <v>51756</v>
      </c>
      <c r="AC233" s="32"/>
      <c r="AD233" s="32"/>
      <c r="AE233" s="32">
        <f t="shared" ref="AE233:AE235" si="75">SUM(AB233:AC233)</f>
        <v>51756</v>
      </c>
      <c r="AF233" s="12"/>
      <c r="AG233" s="12"/>
      <c r="AH233" s="12"/>
      <c r="AI233" s="12">
        <f t="shared" ref="AI233:AI264" si="76">SUM(AE233:AH233)</f>
        <v>51756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46204</v>
      </c>
      <c r="C234" s="91">
        <f t="shared" ref="C234:C239" si="77">C233+1</f>
        <v>8328</v>
      </c>
      <c r="D234" s="33">
        <f>650*431+4122</f>
        <v>284272</v>
      </c>
      <c r="E234" s="33">
        <v>-2586</v>
      </c>
      <c r="F234" s="33"/>
      <c r="G234" s="33">
        <f t="shared" si="71"/>
        <v>281686</v>
      </c>
      <c r="H234" s="34"/>
      <c r="I234" s="34">
        <v>702</v>
      </c>
      <c r="J234" s="34">
        <v>-48063</v>
      </c>
      <c r="K234" s="34">
        <f t="shared" si="72"/>
        <v>234325</v>
      </c>
      <c r="M234" s="10">
        <v>3</v>
      </c>
      <c r="N234" s="30">
        <v>46204</v>
      </c>
      <c r="O234" s="31">
        <f t="shared" ref="O234:O235" si="78">O233+1</f>
        <v>8137</v>
      </c>
      <c r="P234" s="32">
        <f>39000+1400</f>
        <v>40400</v>
      </c>
      <c r="Q234" s="32"/>
      <c r="R234" s="32"/>
      <c r="S234" s="32">
        <f t="shared" si="73"/>
        <v>40400</v>
      </c>
      <c r="T234" s="12"/>
      <c r="U234" s="12"/>
      <c r="V234" s="12">
        <v>-252</v>
      </c>
      <c r="W234" s="12">
        <f t="shared" si="74"/>
        <v>40148</v>
      </c>
      <c r="Y234" s="10">
        <v>3</v>
      </c>
      <c r="Z234" s="30">
        <v>46204</v>
      </c>
      <c r="AA234" s="31">
        <f t="shared" ref="AA234:AA242" si="79">AA233+1</f>
        <v>8355</v>
      </c>
      <c r="AB234" s="33">
        <f>650*10+650*9</f>
        <v>12350</v>
      </c>
      <c r="AC234" s="33"/>
      <c r="AD234" s="32"/>
      <c r="AE234" s="32">
        <f t="shared" si="75"/>
        <v>12350</v>
      </c>
      <c r="AF234" s="12"/>
      <c r="AG234" s="12"/>
      <c r="AH234" s="12"/>
      <c r="AI234" s="12">
        <f t="shared" si="76"/>
        <v>12350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46204</v>
      </c>
      <c r="C235" s="91">
        <f t="shared" si="77"/>
        <v>8329</v>
      </c>
      <c r="D235" s="32">
        <f>26000+3110</f>
        <v>29110</v>
      </c>
      <c r="E235" s="32"/>
      <c r="F235" s="32"/>
      <c r="G235" s="32">
        <f t="shared" si="71"/>
        <v>29110</v>
      </c>
      <c r="H235" s="12"/>
      <c r="I235" s="12">
        <v>111</v>
      </c>
      <c r="J235" s="12"/>
      <c r="K235" s="12">
        <f t="shared" si="72"/>
        <v>29221</v>
      </c>
      <c r="M235" s="10">
        <v>4</v>
      </c>
      <c r="N235" s="30">
        <v>46204</v>
      </c>
      <c r="O235" s="31">
        <f t="shared" si="78"/>
        <v>8138</v>
      </c>
      <c r="P235" s="32">
        <f>22750+333.5</f>
        <v>23083.5</v>
      </c>
      <c r="Q235" s="32"/>
      <c r="R235" s="32"/>
      <c r="S235" s="32">
        <f t="shared" si="73"/>
        <v>23083.5</v>
      </c>
      <c r="T235" s="12"/>
      <c r="U235" s="12">
        <v>31.5</v>
      </c>
      <c r="V235" s="12"/>
      <c r="W235" s="12">
        <f t="shared" si="74"/>
        <v>23115</v>
      </c>
      <c r="Y235" s="10">
        <v>4</v>
      </c>
      <c r="Z235" s="30">
        <v>46204</v>
      </c>
      <c r="AA235" s="31">
        <f t="shared" si="79"/>
        <v>8356</v>
      </c>
      <c r="AB235" s="32">
        <f>32500+6220+458</f>
        <v>39178</v>
      </c>
      <c r="AC235" s="32"/>
      <c r="AD235" s="32"/>
      <c r="AE235" s="32">
        <f t="shared" si="75"/>
        <v>39178</v>
      </c>
      <c r="AF235" s="12"/>
      <c r="AH235" s="12"/>
      <c r="AI235" s="12">
        <f t="shared" si="76"/>
        <v>39178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46204</v>
      </c>
      <c r="C236" s="91">
        <f t="shared" si="77"/>
        <v>8330</v>
      </c>
      <c r="D236" s="32">
        <f>11700+700+525+436</f>
        <v>13361</v>
      </c>
      <c r="E236" s="32"/>
      <c r="F236" s="32"/>
      <c r="G236" s="32">
        <f t="shared" si="71"/>
        <v>13361</v>
      </c>
      <c r="H236" s="12"/>
      <c r="I236" s="12">
        <f>15+81</f>
        <v>96</v>
      </c>
      <c r="J236" s="12"/>
      <c r="K236" s="12">
        <f t="shared" si="72"/>
        <v>13457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73"/>
        <v>0</v>
      </c>
      <c r="T236" s="12"/>
      <c r="U236" s="12"/>
      <c r="V236" s="12"/>
      <c r="W236" s="12">
        <f t="shared" si="74"/>
        <v>0</v>
      </c>
      <c r="Y236" s="10">
        <v>5</v>
      </c>
      <c r="Z236" s="30">
        <v>46204</v>
      </c>
      <c r="AA236" s="31">
        <f t="shared" si="79"/>
        <v>8357</v>
      </c>
      <c r="AB236" s="32">
        <f>11700+1244</f>
        <v>12944</v>
      </c>
      <c r="AC236" s="32"/>
      <c r="AD236" s="32"/>
      <c r="AE236" s="32">
        <f t="shared" ref="AE236:AE264" si="80">SUM(AB236:AC236)</f>
        <v>12944</v>
      </c>
      <c r="AF236" s="12"/>
      <c r="AG236" s="12"/>
      <c r="AH236" s="12"/>
      <c r="AI236" s="12">
        <f t="shared" si="76"/>
        <v>12944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46204</v>
      </c>
      <c r="C237" s="91">
        <f t="shared" si="77"/>
        <v>8331</v>
      </c>
      <c r="D237" s="32">
        <f>1950+28</f>
        <v>1978</v>
      </c>
      <c r="E237" s="32"/>
      <c r="F237" s="32"/>
      <c r="G237" s="32">
        <f t="shared" si="71"/>
        <v>1978</v>
      </c>
      <c r="H237" s="12"/>
      <c r="I237" s="12"/>
      <c r="J237" s="12">
        <v>-777</v>
      </c>
      <c r="K237" s="12">
        <f t="shared" si="72"/>
        <v>1201</v>
      </c>
      <c r="M237" s="10">
        <v>6</v>
      </c>
      <c r="N237" s="30"/>
      <c r="O237" s="31"/>
      <c r="P237" s="32"/>
      <c r="Q237" s="32"/>
      <c r="R237" s="32"/>
      <c r="S237" s="32">
        <f t="shared" si="73"/>
        <v>0</v>
      </c>
      <c r="T237" s="12"/>
      <c r="U237" s="12"/>
      <c r="V237" s="10"/>
      <c r="W237" s="12">
        <f t="shared" si="74"/>
        <v>0</v>
      </c>
      <c r="Y237" s="10">
        <v>6</v>
      </c>
      <c r="Z237" s="30">
        <v>46204</v>
      </c>
      <c r="AA237" s="31">
        <f t="shared" si="79"/>
        <v>8358</v>
      </c>
      <c r="AB237" s="32">
        <f>8450+4354+190</f>
        <v>12994</v>
      </c>
      <c r="AC237" s="32"/>
      <c r="AD237" s="32"/>
      <c r="AE237" s="32">
        <f t="shared" si="80"/>
        <v>12994</v>
      </c>
      <c r="AF237" s="12"/>
      <c r="AG237" s="12">
        <v>40.5</v>
      </c>
      <c r="AH237" s="10"/>
      <c r="AI237" s="12">
        <f t="shared" si="76"/>
        <v>13034.5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46204</v>
      </c>
      <c r="C238" s="91">
        <f t="shared" si="77"/>
        <v>8332</v>
      </c>
      <c r="D238" s="32">
        <f>16250+3110</f>
        <v>19360</v>
      </c>
      <c r="E238" s="32"/>
      <c r="F238" s="32"/>
      <c r="G238" s="32">
        <f t="shared" si="71"/>
        <v>19360</v>
      </c>
      <c r="H238" s="12"/>
      <c r="I238" s="12">
        <v>222</v>
      </c>
      <c r="J238" s="12"/>
      <c r="K238" s="12">
        <f t="shared" si="72"/>
        <v>19582</v>
      </c>
      <c r="M238" s="10">
        <v>7</v>
      </c>
      <c r="N238" s="30"/>
      <c r="O238" s="31"/>
      <c r="P238" s="32"/>
      <c r="Q238" s="32"/>
      <c r="R238" s="32"/>
      <c r="S238" s="32">
        <f t="shared" si="73"/>
        <v>0</v>
      </c>
      <c r="T238" s="12"/>
      <c r="U238" s="12"/>
      <c r="V238" s="12"/>
      <c r="W238" s="12">
        <f t="shared" si="74"/>
        <v>0</v>
      </c>
      <c r="Y238" s="10">
        <v>7</v>
      </c>
      <c r="Z238" s="30">
        <v>46204</v>
      </c>
      <c r="AA238" s="31">
        <f t="shared" si="79"/>
        <v>8359</v>
      </c>
      <c r="AB238" s="32">
        <f>97500+3350+622*50+912+872*2+229*9+650</f>
        <v>137317</v>
      </c>
      <c r="AC238" s="32">
        <v>-1248</v>
      </c>
      <c r="AD238" s="32"/>
      <c r="AE238" s="32">
        <f t="shared" si="80"/>
        <v>136069</v>
      </c>
      <c r="AF238" s="12"/>
      <c r="AG238" s="58">
        <f>2442+546+18+243</f>
        <v>3249</v>
      </c>
      <c r="AH238" s="12"/>
      <c r="AI238" s="12">
        <f t="shared" si="76"/>
        <v>139318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46204</v>
      </c>
      <c r="C239" s="91">
        <f t="shared" si="77"/>
        <v>8333</v>
      </c>
      <c r="D239" s="32">
        <f>1950+1340+1946</f>
        <v>5236</v>
      </c>
      <c r="E239" s="32"/>
      <c r="F239" s="32"/>
      <c r="G239" s="32">
        <f t="shared" si="71"/>
        <v>5236</v>
      </c>
      <c r="H239" s="12"/>
      <c r="I239" s="12"/>
      <c r="J239" s="12">
        <v>-666</v>
      </c>
      <c r="K239" s="12">
        <f t="shared" si="72"/>
        <v>4570</v>
      </c>
      <c r="M239" s="10">
        <v>8</v>
      </c>
      <c r="N239" s="30"/>
      <c r="O239" s="31"/>
      <c r="P239" s="32"/>
      <c r="Q239" s="32"/>
      <c r="R239" s="32"/>
      <c r="S239" s="32">
        <f t="shared" si="73"/>
        <v>0</v>
      </c>
      <c r="T239" s="12"/>
      <c r="U239" s="12"/>
      <c r="V239" s="12"/>
      <c r="W239" s="12">
        <f t="shared" si="74"/>
        <v>0</v>
      </c>
      <c r="Y239" s="10">
        <v>8</v>
      </c>
      <c r="Z239" s="30">
        <v>46204</v>
      </c>
      <c r="AA239" s="31">
        <f t="shared" si="79"/>
        <v>8360</v>
      </c>
      <c r="AB239" s="32">
        <f>4550+66.5</f>
        <v>4616.5</v>
      </c>
      <c r="AC239" s="32"/>
      <c r="AE239" s="32">
        <f t="shared" si="80"/>
        <v>4616.5</v>
      </c>
      <c r="AF239" s="12"/>
      <c r="AG239" s="12"/>
      <c r="AH239" s="12"/>
      <c r="AI239" s="12">
        <f t="shared" si="76"/>
        <v>4616.5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11" t="s">
        <v>27</v>
      </c>
      <c r="D240" s="32"/>
      <c r="E240" s="32"/>
      <c r="F240" s="32"/>
      <c r="G240" s="32">
        <f t="shared" si="71"/>
        <v>0</v>
      </c>
      <c r="H240" s="12"/>
      <c r="I240" s="12"/>
      <c r="J240" s="12"/>
      <c r="K240" s="12">
        <f t="shared" si="72"/>
        <v>0</v>
      </c>
      <c r="M240" s="10">
        <v>9</v>
      </c>
      <c r="N240" s="30"/>
      <c r="O240" s="31"/>
      <c r="P240" s="32"/>
      <c r="Q240" s="32"/>
      <c r="R240" s="32"/>
      <c r="S240" s="32">
        <f t="shared" si="73"/>
        <v>0</v>
      </c>
      <c r="T240" s="12"/>
      <c r="U240" s="12"/>
      <c r="V240" s="12"/>
      <c r="W240" s="12">
        <f t="shared" si="74"/>
        <v>0</v>
      </c>
      <c r="Y240" s="10">
        <v>9</v>
      </c>
      <c r="Z240" s="30">
        <v>46204</v>
      </c>
      <c r="AA240" s="31">
        <f t="shared" si="79"/>
        <v>8361</v>
      </c>
      <c r="AB240" s="32">
        <f>16900+229</f>
        <v>17129</v>
      </c>
      <c r="AC240" s="32"/>
      <c r="AD240" s="32"/>
      <c r="AE240" s="32">
        <f t="shared" si="80"/>
        <v>17129</v>
      </c>
      <c r="AF240" s="12"/>
      <c r="AH240" s="12"/>
      <c r="AI240" s="12">
        <f t="shared" si="76"/>
        <v>17129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1"/>
        <v>0</v>
      </c>
      <c r="H241" s="12"/>
      <c r="I241" s="12"/>
      <c r="J241" s="12"/>
      <c r="K241" s="12">
        <f t="shared" si="72"/>
        <v>0</v>
      </c>
      <c r="M241" s="10">
        <v>10</v>
      </c>
      <c r="N241" s="30"/>
      <c r="O241" s="31"/>
      <c r="P241" s="32"/>
      <c r="Q241" s="32"/>
      <c r="R241" s="32"/>
      <c r="S241" s="32">
        <f t="shared" si="73"/>
        <v>0</v>
      </c>
      <c r="T241" s="12"/>
      <c r="U241" s="12"/>
      <c r="V241" s="12"/>
      <c r="W241" s="12">
        <f t="shared" si="74"/>
        <v>0</v>
      </c>
      <c r="Y241" s="10">
        <v>10</v>
      </c>
      <c r="Z241" s="30">
        <v>46204</v>
      </c>
      <c r="AA241" s="31">
        <f t="shared" si="79"/>
        <v>8362</v>
      </c>
      <c r="AB241" s="32">
        <f>872</f>
        <v>872</v>
      </c>
      <c r="AC241" s="32"/>
      <c r="AD241" s="32"/>
      <c r="AE241" s="32">
        <f t="shared" si="80"/>
        <v>872</v>
      </c>
      <c r="AF241" s="12"/>
      <c r="AG241" s="12"/>
      <c r="AH241" s="12"/>
      <c r="AI241" s="12">
        <f t="shared" si="76"/>
        <v>872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1"/>
        <v>0</v>
      </c>
      <c r="H242" s="12"/>
      <c r="I242" s="12"/>
      <c r="J242" s="12"/>
      <c r="K242" s="12">
        <f t="shared" si="72"/>
        <v>0</v>
      </c>
      <c r="M242" s="10">
        <v>11</v>
      </c>
      <c r="N242" s="30"/>
      <c r="O242" s="31"/>
      <c r="P242" s="32"/>
      <c r="Q242" s="32"/>
      <c r="R242" s="32"/>
      <c r="S242" s="32">
        <f t="shared" si="73"/>
        <v>0</v>
      </c>
      <c r="T242" s="12"/>
      <c r="U242" s="12"/>
      <c r="V242" s="12"/>
      <c r="W242" s="12">
        <f t="shared" si="74"/>
        <v>0</v>
      </c>
      <c r="Y242" s="10">
        <v>11</v>
      </c>
      <c r="Z242" s="30">
        <v>46204</v>
      </c>
      <c r="AA242" s="31">
        <f t="shared" si="79"/>
        <v>8363</v>
      </c>
      <c r="AB242" s="32">
        <f>6500+6700+3140+872+229</f>
        <v>17441</v>
      </c>
      <c r="AC242" s="32"/>
      <c r="AD242" s="32"/>
      <c r="AE242" s="32">
        <f t="shared" si="80"/>
        <v>17441</v>
      </c>
      <c r="AF242" s="12"/>
      <c r="AG242" s="12"/>
      <c r="AH242" s="12"/>
      <c r="AI242" s="12">
        <f t="shared" si="76"/>
        <v>17441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1"/>
        <v>0</v>
      </c>
      <c r="H243" s="12"/>
      <c r="I243" s="12"/>
      <c r="J243" s="10"/>
      <c r="K243" s="12">
        <f t="shared" si="72"/>
        <v>0</v>
      </c>
      <c r="M243" s="10">
        <v>12</v>
      </c>
      <c r="N243" s="30"/>
      <c r="O243" s="31"/>
      <c r="P243" s="32"/>
      <c r="Q243" s="32"/>
      <c r="R243" s="32"/>
      <c r="S243" s="32">
        <f t="shared" si="73"/>
        <v>0</v>
      </c>
      <c r="T243" s="12"/>
      <c r="U243" s="12"/>
      <c r="V243" s="12"/>
      <c r="W243" s="12">
        <f t="shared" si="74"/>
        <v>0</v>
      </c>
      <c r="Y243" s="10">
        <v>12</v>
      </c>
      <c r="Z243" s="30"/>
      <c r="AA243" s="11" t="s">
        <v>27</v>
      </c>
      <c r="AB243" s="32"/>
      <c r="AC243" s="32"/>
      <c r="AD243" s="32"/>
      <c r="AE243" s="32">
        <f t="shared" si="80"/>
        <v>0</v>
      </c>
      <c r="AF243" s="12"/>
      <c r="AG243" s="12"/>
      <c r="AH243" s="12"/>
      <c r="AI243" s="12">
        <f t="shared" si="7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1"/>
        <v>0</v>
      </c>
      <c r="H244" s="12"/>
      <c r="I244" s="12"/>
      <c r="J244" s="12"/>
      <c r="K244" s="12">
        <f t="shared" si="72"/>
        <v>0</v>
      </c>
      <c r="M244" s="10">
        <v>13</v>
      </c>
      <c r="N244" s="30"/>
      <c r="O244" s="31"/>
      <c r="P244" s="32"/>
      <c r="Q244" s="32"/>
      <c r="R244" s="32"/>
      <c r="S244" s="32">
        <f t="shared" si="73"/>
        <v>0</v>
      </c>
      <c r="T244" s="12"/>
      <c r="U244" s="12"/>
      <c r="V244" s="12"/>
      <c r="W244" s="12">
        <f t="shared" si="7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0"/>
        <v>0</v>
      </c>
      <c r="AF244" s="12"/>
      <c r="AG244" s="12"/>
      <c r="AH244" s="12"/>
      <c r="AI244" s="12">
        <f t="shared" si="7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1"/>
        <v>0</v>
      </c>
      <c r="H245" s="12"/>
      <c r="I245" s="12"/>
      <c r="J245" s="12"/>
      <c r="K245" s="12">
        <f t="shared" si="72"/>
        <v>0</v>
      </c>
      <c r="M245" s="10">
        <v>14</v>
      </c>
      <c r="N245" s="30"/>
      <c r="O245" s="31"/>
      <c r="P245" s="32"/>
      <c r="Q245" s="32"/>
      <c r="R245" s="32"/>
      <c r="S245" s="32">
        <f t="shared" si="73"/>
        <v>0</v>
      </c>
      <c r="T245" s="12"/>
      <c r="U245" s="12"/>
      <c r="V245" s="12"/>
      <c r="W245" s="12">
        <f t="shared" si="7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80"/>
        <v>0</v>
      </c>
      <c r="AF245" s="12"/>
      <c r="AG245" s="12"/>
      <c r="AH245" s="12"/>
      <c r="AI245" s="12">
        <f t="shared" si="7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1"/>
        <v>0</v>
      </c>
      <c r="H246" s="12"/>
      <c r="I246" s="12"/>
      <c r="J246" s="12"/>
      <c r="K246" s="12">
        <f t="shared" si="72"/>
        <v>0</v>
      </c>
      <c r="M246" s="10">
        <v>15</v>
      </c>
      <c r="N246" s="30"/>
      <c r="O246" s="31"/>
      <c r="P246" s="32"/>
      <c r="Q246" s="32"/>
      <c r="R246" s="32"/>
      <c r="S246" s="32">
        <f t="shared" si="73"/>
        <v>0</v>
      </c>
      <c r="T246" s="12"/>
      <c r="U246" s="12"/>
      <c r="V246" s="12"/>
      <c r="W246" s="12">
        <f t="shared" si="7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0"/>
        <v>0</v>
      </c>
      <c r="AF246" s="12"/>
      <c r="AG246" s="12"/>
      <c r="AH246" s="12"/>
      <c r="AI246" s="12">
        <f t="shared" si="7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1"/>
        <v>0</v>
      </c>
      <c r="H247" s="12"/>
      <c r="I247" s="12"/>
      <c r="J247" s="12"/>
      <c r="K247" s="12">
        <f t="shared" si="72"/>
        <v>0</v>
      </c>
      <c r="M247" s="10">
        <v>16</v>
      </c>
      <c r="N247" s="30"/>
      <c r="P247" s="32"/>
      <c r="Q247" s="32"/>
      <c r="R247" s="32"/>
      <c r="S247" s="32">
        <f t="shared" si="73"/>
        <v>0</v>
      </c>
      <c r="T247" s="12"/>
      <c r="U247" s="12"/>
      <c r="V247" s="12"/>
      <c r="W247" s="12">
        <f t="shared" si="74"/>
        <v>0</v>
      </c>
      <c r="Y247" s="10">
        <v>16</v>
      </c>
      <c r="Z247" s="30"/>
      <c r="AB247" s="32"/>
      <c r="AC247" s="32"/>
      <c r="AD247" s="32"/>
      <c r="AE247" s="32">
        <f t="shared" si="80"/>
        <v>0</v>
      </c>
      <c r="AF247" s="12"/>
      <c r="AG247" s="12"/>
      <c r="AH247" s="12"/>
      <c r="AI247" s="12">
        <f t="shared" si="7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91"/>
      <c r="D248" s="32"/>
      <c r="E248" s="32"/>
      <c r="F248" s="32"/>
      <c r="G248" s="32">
        <f t="shared" si="71"/>
        <v>0</v>
      </c>
      <c r="H248" s="12"/>
      <c r="I248" s="12"/>
      <c r="J248" s="12"/>
      <c r="K248" s="12">
        <f t="shared" si="72"/>
        <v>0</v>
      </c>
      <c r="M248" s="10">
        <v>17</v>
      </c>
      <c r="N248" s="30"/>
      <c r="O248" s="31"/>
      <c r="P248" s="35"/>
      <c r="Q248" s="32"/>
      <c r="R248" s="32"/>
      <c r="S248" s="32">
        <f t="shared" si="73"/>
        <v>0</v>
      </c>
      <c r="T248" s="12"/>
      <c r="U248" s="12"/>
      <c r="V248" s="12"/>
      <c r="W248" s="12">
        <f t="shared" si="7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0"/>
        <v>0</v>
      </c>
      <c r="AF248" s="12"/>
      <c r="AG248" s="12"/>
      <c r="AH248" s="12"/>
      <c r="AI248" s="12">
        <f t="shared" si="7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91"/>
      <c r="D249" s="32"/>
      <c r="E249" s="32"/>
      <c r="F249" s="32"/>
      <c r="G249" s="32">
        <f t="shared" si="71"/>
        <v>0</v>
      </c>
      <c r="H249" s="12"/>
      <c r="I249" s="12"/>
      <c r="J249" s="12"/>
      <c r="K249" s="12">
        <f t="shared" si="72"/>
        <v>0</v>
      </c>
      <c r="M249" s="10">
        <v>18</v>
      </c>
      <c r="N249" s="30"/>
      <c r="O249" s="31"/>
      <c r="P249" s="32"/>
      <c r="Q249" s="32"/>
      <c r="R249" s="32"/>
      <c r="S249" s="32">
        <f t="shared" si="73"/>
        <v>0</v>
      </c>
      <c r="T249" s="12"/>
      <c r="U249" s="12"/>
      <c r="V249" s="12"/>
      <c r="W249" s="12">
        <f t="shared" si="7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0"/>
        <v>0</v>
      </c>
      <c r="AF249" s="12"/>
      <c r="AG249" s="12"/>
      <c r="AH249" s="12"/>
      <c r="AI249" s="12">
        <f t="shared" si="7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1"/>
        <v>0</v>
      </c>
      <c r="H250" s="12"/>
      <c r="I250" s="12"/>
      <c r="J250" s="12"/>
      <c r="K250" s="12">
        <f t="shared" si="72"/>
        <v>0</v>
      </c>
      <c r="M250" s="10">
        <v>19</v>
      </c>
      <c r="N250" s="30"/>
      <c r="O250" s="31"/>
      <c r="P250" s="32"/>
      <c r="Q250" s="32"/>
      <c r="R250" s="32"/>
      <c r="S250" s="32">
        <f t="shared" si="73"/>
        <v>0</v>
      </c>
      <c r="T250" s="12"/>
      <c r="U250" s="12"/>
      <c r="V250" s="12"/>
      <c r="W250" s="12">
        <f t="shared" si="7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0"/>
        <v>0</v>
      </c>
      <c r="AF250" s="12"/>
      <c r="AG250" s="12"/>
      <c r="AH250" s="12"/>
      <c r="AI250" s="12">
        <f t="shared" si="7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57"/>
      <c r="D251" s="32"/>
      <c r="E251" s="32"/>
      <c r="F251" s="32"/>
      <c r="G251" s="32">
        <f t="shared" si="71"/>
        <v>0</v>
      </c>
      <c r="H251" s="12"/>
      <c r="I251" s="12"/>
      <c r="J251" s="12"/>
      <c r="K251" s="12">
        <f t="shared" si="72"/>
        <v>0</v>
      </c>
      <c r="M251" s="10">
        <v>20</v>
      </c>
      <c r="N251" s="30"/>
      <c r="O251" s="31"/>
      <c r="P251" s="32"/>
      <c r="Q251" s="32"/>
      <c r="R251" s="32"/>
      <c r="S251" s="32">
        <f t="shared" si="73"/>
        <v>0</v>
      </c>
      <c r="T251" s="12"/>
      <c r="U251" s="12"/>
      <c r="V251" s="12"/>
      <c r="W251" s="12">
        <f t="shared" si="74"/>
        <v>0</v>
      </c>
      <c r="Y251" s="10">
        <v>20</v>
      </c>
      <c r="Z251" s="30"/>
      <c r="AA251" s="31"/>
      <c r="AB251" s="32"/>
      <c r="AC251" s="32"/>
      <c r="AD251" s="32"/>
      <c r="AE251" s="32">
        <f t="shared" si="80"/>
        <v>0</v>
      </c>
      <c r="AF251" s="12"/>
      <c r="AG251" s="12"/>
      <c r="AH251" s="12"/>
      <c r="AI251" s="12">
        <f t="shared" si="7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1"/>
        <v>0</v>
      </c>
      <c r="H252" s="10"/>
      <c r="I252" s="10"/>
      <c r="J252" s="10"/>
      <c r="K252" s="12">
        <f t="shared" si="72"/>
        <v>0</v>
      </c>
      <c r="M252" s="10">
        <v>21</v>
      </c>
      <c r="N252" s="30"/>
      <c r="O252" s="31"/>
      <c r="P252" s="46"/>
      <c r="Q252" s="31"/>
      <c r="R252" s="31"/>
      <c r="S252" s="32">
        <f t="shared" si="73"/>
        <v>0</v>
      </c>
      <c r="T252" s="10"/>
      <c r="U252" s="10"/>
      <c r="V252" s="10"/>
      <c r="W252" s="12">
        <f t="shared" si="74"/>
        <v>0</v>
      </c>
      <c r="Y252" s="10">
        <v>21</v>
      </c>
      <c r="Z252" s="30"/>
      <c r="AB252" s="46"/>
      <c r="AC252" s="31"/>
      <c r="AD252" s="31"/>
      <c r="AE252" s="32">
        <f t="shared" si="80"/>
        <v>0</v>
      </c>
      <c r="AF252" s="10"/>
      <c r="AG252" s="10"/>
      <c r="AH252" s="10"/>
      <c r="AI252" s="12">
        <f t="shared" si="7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1"/>
        <v>0</v>
      </c>
      <c r="H253" s="10"/>
      <c r="I253" s="10"/>
      <c r="J253" s="10"/>
      <c r="K253" s="12">
        <f t="shared" si="72"/>
        <v>0</v>
      </c>
      <c r="M253" s="10">
        <v>22</v>
      </c>
      <c r="N253" s="30"/>
      <c r="O253" s="31"/>
      <c r="P253" s="45"/>
      <c r="Q253" s="31"/>
      <c r="R253" s="31"/>
      <c r="S253" s="32">
        <f t="shared" si="73"/>
        <v>0</v>
      </c>
      <c r="T253" s="10"/>
      <c r="U253" s="10"/>
      <c r="V253" s="10"/>
      <c r="W253" s="12">
        <f t="shared" si="7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0"/>
        <v>0</v>
      </c>
      <c r="AF253" s="10"/>
      <c r="AG253" s="10"/>
      <c r="AH253" s="10"/>
      <c r="AI253" s="12">
        <f t="shared" si="7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1"/>
        <v>0</v>
      </c>
      <c r="H254" s="10"/>
      <c r="I254" s="10"/>
      <c r="J254" s="12"/>
      <c r="K254" s="12">
        <f t="shared" si="72"/>
        <v>0</v>
      </c>
      <c r="M254" s="10">
        <v>23</v>
      </c>
      <c r="N254" s="30"/>
      <c r="O254" s="31"/>
      <c r="P254" s="47"/>
      <c r="S254" s="32">
        <f t="shared" si="73"/>
        <v>0</v>
      </c>
      <c r="T254" s="10"/>
      <c r="U254" s="10"/>
      <c r="V254" s="10"/>
      <c r="W254" s="12">
        <f t="shared" si="74"/>
        <v>0</v>
      </c>
      <c r="Y254" s="10">
        <v>23</v>
      </c>
      <c r="Z254" s="30"/>
      <c r="AA254" s="31"/>
      <c r="AB254" s="47"/>
      <c r="AE254" s="32">
        <f t="shared" si="80"/>
        <v>0</v>
      </c>
      <c r="AF254" s="10"/>
      <c r="AG254" s="10"/>
      <c r="AH254" s="10"/>
      <c r="AI254" s="12">
        <f t="shared" si="7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1"/>
        <v>0</v>
      </c>
      <c r="H255" s="10"/>
      <c r="I255" s="10"/>
      <c r="J255" s="10"/>
      <c r="K255" s="12">
        <f t="shared" si="72"/>
        <v>0</v>
      </c>
      <c r="M255" s="10">
        <v>24</v>
      </c>
      <c r="N255" s="30"/>
      <c r="O255" s="31"/>
      <c r="P255" s="47"/>
      <c r="Q255" s="31"/>
      <c r="R255" s="31"/>
      <c r="S255" s="32">
        <f t="shared" si="73"/>
        <v>0</v>
      </c>
      <c r="T255" s="10"/>
      <c r="U255" s="10"/>
      <c r="V255" s="10"/>
      <c r="W255" s="12">
        <f t="shared" si="7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0"/>
        <v>0</v>
      </c>
      <c r="AF255" s="10"/>
      <c r="AG255" s="10"/>
      <c r="AH255" s="10"/>
      <c r="AI255" s="12">
        <f t="shared" si="7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91"/>
      <c r="D256" s="32"/>
      <c r="E256" s="32"/>
      <c r="F256" s="32"/>
      <c r="G256" s="32">
        <f t="shared" si="71"/>
        <v>0</v>
      </c>
      <c r="H256" s="10"/>
      <c r="I256" s="10"/>
      <c r="J256" s="10"/>
      <c r="K256" s="12">
        <f t="shared" si="72"/>
        <v>0</v>
      </c>
      <c r="M256" s="10">
        <v>25</v>
      </c>
      <c r="N256" s="30"/>
      <c r="O256" s="31"/>
      <c r="P256" s="47"/>
      <c r="Q256" s="31"/>
      <c r="R256" s="31"/>
      <c r="S256" s="32">
        <f t="shared" si="73"/>
        <v>0</v>
      </c>
      <c r="T256" s="10"/>
      <c r="U256" s="10"/>
      <c r="V256" s="10"/>
      <c r="W256" s="12">
        <f t="shared" si="7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0"/>
        <v>0</v>
      </c>
      <c r="AF256" s="10"/>
      <c r="AG256" s="10"/>
      <c r="AH256" s="10"/>
      <c r="AI256" s="12">
        <f t="shared" si="7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1"/>
        <v>0</v>
      </c>
      <c r="H257" s="10"/>
      <c r="I257" s="10"/>
      <c r="J257" s="10"/>
      <c r="K257" s="12">
        <f t="shared" si="72"/>
        <v>0</v>
      </c>
      <c r="M257" s="10">
        <v>26</v>
      </c>
      <c r="N257" s="30"/>
      <c r="O257" s="31"/>
      <c r="P257" s="47"/>
      <c r="Q257" s="31"/>
      <c r="R257" s="31"/>
      <c r="S257" s="32">
        <f t="shared" si="73"/>
        <v>0</v>
      </c>
      <c r="T257" s="10"/>
      <c r="U257" s="10"/>
      <c r="V257" s="10"/>
      <c r="W257" s="12">
        <f t="shared" si="7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0"/>
        <v>0</v>
      </c>
      <c r="AF257" s="10"/>
      <c r="AG257" s="10"/>
      <c r="AH257" s="10"/>
      <c r="AI257" s="12">
        <f t="shared" si="7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1"/>
        <v>0</v>
      </c>
      <c r="H258" s="10"/>
      <c r="I258" s="10"/>
      <c r="J258" s="10"/>
      <c r="K258" s="12">
        <f t="shared" si="72"/>
        <v>0</v>
      </c>
      <c r="M258" s="10">
        <v>27</v>
      </c>
      <c r="N258" s="30"/>
      <c r="O258" s="31"/>
      <c r="P258" s="47"/>
      <c r="Q258" s="31"/>
      <c r="R258" s="31"/>
      <c r="S258" s="32">
        <f t="shared" si="73"/>
        <v>0</v>
      </c>
      <c r="T258" s="10"/>
      <c r="U258" s="10"/>
      <c r="V258" s="10"/>
      <c r="W258" s="12">
        <f t="shared" si="7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0"/>
        <v>0</v>
      </c>
      <c r="AF258" s="10"/>
      <c r="AG258" s="10"/>
      <c r="AH258" s="10"/>
      <c r="AI258" s="12">
        <f t="shared" si="7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1"/>
        <v>0</v>
      </c>
      <c r="H259" s="10"/>
      <c r="I259" s="10"/>
      <c r="J259" s="10"/>
      <c r="K259" s="12">
        <f t="shared" si="72"/>
        <v>0</v>
      </c>
      <c r="M259" s="10">
        <v>28</v>
      </c>
      <c r="N259" s="30"/>
      <c r="O259" s="31"/>
      <c r="P259" s="47"/>
      <c r="Q259" s="31"/>
      <c r="R259" s="31"/>
      <c r="S259" s="32">
        <f t="shared" si="73"/>
        <v>0</v>
      </c>
      <c r="T259" s="10"/>
      <c r="U259" s="10"/>
      <c r="V259" s="10"/>
      <c r="W259" s="12">
        <f t="shared" si="7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0"/>
        <v>0</v>
      </c>
      <c r="AF259" s="10"/>
      <c r="AG259" s="10"/>
      <c r="AH259" s="10"/>
      <c r="AI259" s="12">
        <f t="shared" si="7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1"/>
        <v>0</v>
      </c>
      <c r="H260" s="10"/>
      <c r="I260" s="10"/>
      <c r="J260" s="10"/>
      <c r="K260" s="12">
        <f t="shared" si="72"/>
        <v>0</v>
      </c>
      <c r="M260" s="10">
        <v>29</v>
      </c>
      <c r="N260" s="30"/>
      <c r="O260" s="31"/>
      <c r="P260" s="47"/>
      <c r="Q260" s="31"/>
      <c r="R260" s="31"/>
      <c r="S260" s="32">
        <f t="shared" si="73"/>
        <v>0</v>
      </c>
      <c r="T260" s="10"/>
      <c r="U260" s="10"/>
      <c r="V260" s="10"/>
      <c r="W260" s="12">
        <f t="shared" si="7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0"/>
        <v>0</v>
      </c>
      <c r="AF260" s="10"/>
      <c r="AG260" s="10"/>
      <c r="AH260" s="10"/>
      <c r="AI260" s="12">
        <f t="shared" si="7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1"/>
        <v>0</v>
      </c>
      <c r="H261" s="10"/>
      <c r="I261" s="10"/>
      <c r="J261" s="10"/>
      <c r="K261" s="12">
        <f t="shared" si="72"/>
        <v>0</v>
      </c>
      <c r="M261" s="10">
        <v>30</v>
      </c>
      <c r="N261" s="30"/>
      <c r="O261" s="31"/>
      <c r="P261" s="47"/>
      <c r="Q261" s="31"/>
      <c r="R261" s="31"/>
      <c r="S261" s="32">
        <f t="shared" si="73"/>
        <v>0</v>
      </c>
      <c r="T261" s="10"/>
      <c r="U261" s="10"/>
      <c r="V261" s="10"/>
      <c r="W261" s="12">
        <f t="shared" si="7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0"/>
        <v>0</v>
      </c>
      <c r="AF261" s="10"/>
      <c r="AG261" s="10"/>
      <c r="AH261" s="10"/>
      <c r="AI261" s="12">
        <f t="shared" si="7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1"/>
        <v>0</v>
      </c>
      <c r="H262" s="10"/>
      <c r="I262" s="10"/>
      <c r="J262" s="10"/>
      <c r="K262" s="12">
        <f t="shared" si="72"/>
        <v>0</v>
      </c>
      <c r="M262" s="10">
        <v>31</v>
      </c>
      <c r="N262" s="30"/>
      <c r="O262" s="31"/>
      <c r="P262" s="47"/>
      <c r="Q262" s="31"/>
      <c r="R262" s="31"/>
      <c r="S262" s="32">
        <f t="shared" si="73"/>
        <v>0</v>
      </c>
      <c r="T262" s="10"/>
      <c r="U262" s="10"/>
      <c r="V262" s="10"/>
      <c r="W262" s="12">
        <f t="shared" si="7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0"/>
        <v>0</v>
      </c>
      <c r="AF262" s="10"/>
      <c r="AG262" s="10"/>
      <c r="AH262" s="10"/>
      <c r="AI262" s="12">
        <f t="shared" si="7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1"/>
        <v>0</v>
      </c>
      <c r="H263" s="10"/>
      <c r="I263" s="10"/>
      <c r="J263" s="10"/>
      <c r="K263" s="12">
        <f t="shared" si="72"/>
        <v>0</v>
      </c>
      <c r="M263" s="10">
        <v>32</v>
      </c>
      <c r="N263" s="30"/>
      <c r="O263" s="31"/>
      <c r="P263" s="47"/>
      <c r="Q263" s="31"/>
      <c r="R263" s="31"/>
      <c r="S263" s="32">
        <f t="shared" si="73"/>
        <v>0</v>
      </c>
      <c r="T263" s="10"/>
      <c r="U263" s="10"/>
      <c r="V263" s="10"/>
      <c r="W263" s="12">
        <f t="shared" si="7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0"/>
        <v>0</v>
      </c>
      <c r="AF263" s="10"/>
      <c r="AG263" s="10"/>
      <c r="AH263" s="10"/>
      <c r="AI263" s="12">
        <f t="shared" si="7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1"/>
        <v>0</v>
      </c>
      <c r="H264" s="10"/>
      <c r="I264" s="10"/>
      <c r="J264" s="10"/>
      <c r="K264" s="12">
        <f t="shared" si="72"/>
        <v>0</v>
      </c>
      <c r="M264" s="10">
        <v>33</v>
      </c>
      <c r="N264" s="30"/>
      <c r="O264" s="31"/>
      <c r="P264" s="47"/>
      <c r="Q264" s="31"/>
      <c r="R264" s="31"/>
      <c r="S264" s="32">
        <f t="shared" si="73"/>
        <v>0</v>
      </c>
      <c r="T264" s="10"/>
      <c r="U264" s="10"/>
      <c r="V264" s="10"/>
      <c r="W264" s="12">
        <f t="shared" si="7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0"/>
        <v>0</v>
      </c>
      <c r="AF264" s="10"/>
      <c r="AG264" s="10"/>
      <c r="AH264" s="10"/>
      <c r="AI264" s="12">
        <f t="shared" si="7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1"/>
        <v>0</v>
      </c>
      <c r="H265" s="10"/>
      <c r="I265" s="10"/>
      <c r="J265" s="10"/>
      <c r="K265" s="12">
        <f t="shared" si="7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1">SUM(P265:Q265)</f>
        <v>0</v>
      </c>
      <c r="T265" s="10"/>
      <c r="U265" s="10"/>
      <c r="V265" s="10"/>
      <c r="W265" s="12">
        <f t="shared" ref="W265:W273" si="82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3">SUM(AB265:AC265)</f>
        <v>0</v>
      </c>
      <c r="AF265" s="10"/>
      <c r="AG265" s="10"/>
      <c r="AH265" s="10"/>
      <c r="AI265" s="12">
        <f t="shared" ref="AI265:AI273" si="84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9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1"/>
        <v>0</v>
      </c>
      <c r="T266" s="10"/>
      <c r="U266" s="10"/>
      <c r="V266" s="10"/>
      <c r="W266" s="12">
        <f t="shared" si="82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3"/>
        <v>0</v>
      </c>
      <c r="AF266" s="10"/>
      <c r="AG266" s="10"/>
      <c r="AH266" s="10"/>
      <c r="AI266" s="12">
        <f t="shared" si="84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9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1"/>
        <v>0</v>
      </c>
      <c r="T267" s="10"/>
      <c r="U267" s="10"/>
      <c r="V267" s="10"/>
      <c r="W267" s="12">
        <f t="shared" si="82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3"/>
        <v>0</v>
      </c>
      <c r="AF267" s="10"/>
      <c r="AG267" s="10"/>
      <c r="AH267" s="10"/>
      <c r="AI267" s="12">
        <f t="shared" si="84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1"/>
        <v>0</v>
      </c>
      <c r="T268" s="10"/>
      <c r="U268" s="10"/>
      <c r="V268" s="10"/>
      <c r="W268" s="12">
        <f t="shared" si="82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3"/>
        <v>0</v>
      </c>
      <c r="AF268" s="10"/>
      <c r="AG268" s="10"/>
      <c r="AH268" s="10"/>
      <c r="AI268" s="12">
        <f t="shared" si="84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1"/>
        <v>0</v>
      </c>
      <c r="T269" s="10"/>
      <c r="U269" s="10"/>
      <c r="V269" s="10"/>
      <c r="W269" s="12">
        <f t="shared" si="82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3"/>
        <v>0</v>
      </c>
      <c r="AF269" s="10"/>
      <c r="AG269" s="10"/>
      <c r="AH269" s="10"/>
      <c r="AI269" s="12">
        <f t="shared" si="84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1"/>
        <v>0</v>
      </c>
      <c r="T270" s="10"/>
      <c r="U270" s="10"/>
      <c r="V270" s="10"/>
      <c r="W270" s="12">
        <f t="shared" si="82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3"/>
        <v>0</v>
      </c>
      <c r="AF270" s="10"/>
      <c r="AG270" s="10"/>
      <c r="AH270" s="10"/>
      <c r="AI270" s="12">
        <f t="shared" si="84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2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4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5">SUM(D272:E272)</f>
        <v>0</v>
      </c>
      <c r="H272" s="10"/>
      <c r="I272" s="10"/>
      <c r="J272" s="10"/>
      <c r="K272" s="12">
        <f t="shared" ref="K272" si="86">SUM(G272:J272)</f>
        <v>0</v>
      </c>
      <c r="M272" s="10"/>
      <c r="N272" s="30"/>
      <c r="O272" s="31"/>
      <c r="P272" s="47"/>
      <c r="Q272" s="31"/>
      <c r="R272" s="31"/>
      <c r="S272" s="32">
        <f t="shared" ref="S272" si="87">SUM(P272:Q272)</f>
        <v>0</v>
      </c>
      <c r="T272" s="10"/>
      <c r="U272" s="10"/>
      <c r="V272" s="10"/>
      <c r="W272" s="12">
        <f t="shared" si="82"/>
        <v>0</v>
      </c>
      <c r="Y272" s="10"/>
      <c r="Z272" s="30"/>
      <c r="AA272" s="31"/>
      <c r="AB272" s="47"/>
      <c r="AC272" s="31"/>
      <c r="AD272" s="31"/>
      <c r="AE272" s="32">
        <f t="shared" ref="AE272" si="88">SUM(AB272:AC272)</f>
        <v>0</v>
      </c>
      <c r="AF272" s="10"/>
      <c r="AG272" s="10"/>
      <c r="AH272" s="10"/>
      <c r="AI272" s="12">
        <f t="shared" si="84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2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4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355267</v>
      </c>
      <c r="E275" s="38">
        <f t="shared" ref="E275:F275" si="89">SUM(E232:E272)</f>
        <v>-2586</v>
      </c>
      <c r="F275" s="38">
        <f t="shared" si="89"/>
        <v>0</v>
      </c>
      <c r="G275" s="38">
        <f>SUM(G232:G274)</f>
        <v>352681</v>
      </c>
      <c r="H275" s="4"/>
      <c r="I275" s="39">
        <f>SUM(I232:I274)</f>
        <v>1131</v>
      </c>
      <c r="J275" s="39">
        <f>SUM(J232:J274)</f>
        <v>-49950</v>
      </c>
      <c r="K275" s="40">
        <f>SUM(K232:K274)</f>
        <v>303862</v>
      </c>
      <c r="N275" s="57"/>
      <c r="O275" s="57"/>
      <c r="P275" s="38">
        <f>SUM(P232:P274)</f>
        <v>310579.5</v>
      </c>
      <c r="Q275" s="38">
        <f>SUM(Q232:Q256)</f>
        <v>-2064</v>
      </c>
      <c r="R275" s="38">
        <f>SUM(R232:R256)</f>
        <v>0</v>
      </c>
      <c r="S275" s="38">
        <f>SUM(S232:S274)</f>
        <v>308515.5</v>
      </c>
      <c r="T275" s="4"/>
      <c r="U275" s="41">
        <f>SUM(U232:U274)</f>
        <v>466.5</v>
      </c>
      <c r="V275" s="41">
        <f>SUM(V232:V256)</f>
        <v>-666</v>
      </c>
      <c r="W275" s="42">
        <f>SUM(W232:W274)</f>
        <v>308316</v>
      </c>
      <c r="Z275" s="57"/>
      <c r="AA275" s="57"/>
      <c r="AB275" s="38">
        <f>SUM(AB232:AB274)</f>
        <v>328087.5</v>
      </c>
      <c r="AC275" s="38">
        <f>SUM(AC232:AC256)</f>
        <v>-1248</v>
      </c>
      <c r="AD275" s="38">
        <f>SUM(AD232:AD256)</f>
        <v>0</v>
      </c>
      <c r="AE275" s="38">
        <f>SUM(AE232:AE274)</f>
        <v>326839.5</v>
      </c>
      <c r="AF275" s="4"/>
      <c r="AG275" s="41">
        <f>SUM(AG232:AG274)</f>
        <v>3289.5</v>
      </c>
      <c r="AH275" s="41">
        <f>SUM(AH232:AH256)</f>
        <v>0</v>
      </c>
      <c r="AI275" s="42">
        <f>SUM(AI232:AI274)</f>
        <v>330129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56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56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56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57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54</v>
      </c>
      <c r="W283" s="24"/>
      <c r="Y283" s="21" t="s">
        <v>57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21" t="s">
        <v>17</v>
      </c>
      <c r="E285" s="121"/>
      <c r="F285" s="101"/>
      <c r="G285" s="27"/>
      <c r="I285" s="117" t="s">
        <v>18</v>
      </c>
      <c r="J285" s="118"/>
      <c r="K285" s="119" t="s">
        <v>19</v>
      </c>
      <c r="N285" s="25"/>
      <c r="O285" s="26"/>
      <c r="P285" s="121" t="s">
        <v>17</v>
      </c>
      <c r="Q285" s="121"/>
      <c r="R285" s="101"/>
      <c r="S285" s="27"/>
      <c r="U285" s="117" t="s">
        <v>18</v>
      </c>
      <c r="V285" s="118"/>
      <c r="W285" s="119" t="s">
        <v>19</v>
      </c>
      <c r="Z285" s="25"/>
      <c r="AA285" s="26"/>
      <c r="AB285" s="121" t="s">
        <v>17</v>
      </c>
      <c r="AC285" s="121"/>
      <c r="AD285" s="101"/>
      <c r="AE285" s="27"/>
      <c r="AG285" s="117" t="s">
        <v>18</v>
      </c>
      <c r="AH285" s="118"/>
      <c r="AI285" s="11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20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20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2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46235</v>
      </c>
      <c r="C287" s="91">
        <v>8334</v>
      </c>
      <c r="D287" s="32">
        <f>1950</f>
        <v>1950</v>
      </c>
      <c r="E287" s="32"/>
      <c r="F287" s="32"/>
      <c r="G287" s="32">
        <f t="shared" ref="G287:G320" si="90">SUM(D287:E287)</f>
        <v>1950</v>
      </c>
      <c r="H287" s="12"/>
      <c r="I287" s="12"/>
      <c r="J287" s="12"/>
      <c r="K287" s="12">
        <f t="shared" ref="K287:K320" si="91">SUM(G287:J287)</f>
        <v>1950</v>
      </c>
      <c r="M287" s="10">
        <v>1</v>
      </c>
      <c r="N287" s="30">
        <v>46235</v>
      </c>
      <c r="O287" s="31">
        <v>8139</v>
      </c>
      <c r="P287" s="32">
        <f>19500+229</f>
        <v>19729</v>
      </c>
      <c r="Q287" s="32"/>
      <c r="R287" s="32"/>
      <c r="S287" s="32">
        <f>SUM(P287:Q287)</f>
        <v>19729</v>
      </c>
      <c r="T287" s="12"/>
      <c r="U287" s="12">
        <f>111+1.5</f>
        <v>112.5</v>
      </c>
      <c r="V287" s="12">
        <f>-13764+-84+-22.5</f>
        <v>-13870.5</v>
      </c>
      <c r="W287" s="12">
        <f>SUM(S287:V287)</f>
        <v>5971</v>
      </c>
      <c r="Y287" s="10">
        <v>1</v>
      </c>
      <c r="Z287" s="30">
        <v>46235</v>
      </c>
      <c r="AA287" s="31">
        <v>8364</v>
      </c>
      <c r="AB287" s="32">
        <f>650*432+670*15+912*3+1050*2+872*10</f>
        <v>304406</v>
      </c>
      <c r="AC287" s="32">
        <v>-2772</v>
      </c>
      <c r="AD287" s="32"/>
      <c r="AE287" s="32">
        <f>SUM(AB287:AC287)</f>
        <v>301634</v>
      </c>
      <c r="AF287" s="12"/>
      <c r="AG287" s="12"/>
      <c r="AH287" s="12"/>
      <c r="AI287" s="12">
        <f>SUM(AE287:AH287)</f>
        <v>301634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46235</v>
      </c>
      <c r="C288" s="91">
        <f>C287+1</f>
        <v>8335</v>
      </c>
      <c r="D288" s="32">
        <f>39000+6220+229</f>
        <v>45449</v>
      </c>
      <c r="E288" s="32"/>
      <c r="F288" s="32"/>
      <c r="G288" s="32">
        <f t="shared" si="90"/>
        <v>45449</v>
      </c>
      <c r="H288" s="12"/>
      <c r="I288" s="12">
        <f>1554+216</f>
        <v>1770</v>
      </c>
      <c r="J288" s="12"/>
      <c r="K288" s="12">
        <f t="shared" si="91"/>
        <v>47219</v>
      </c>
      <c r="M288" s="10">
        <v>2</v>
      </c>
      <c r="N288" s="30">
        <v>46235</v>
      </c>
      <c r="O288" s="31">
        <f>O287+1</f>
        <v>8140</v>
      </c>
      <c r="P288" s="32">
        <f>32500+6220+229</f>
        <v>38949</v>
      </c>
      <c r="Q288" s="32"/>
      <c r="R288" s="32"/>
      <c r="S288" s="32">
        <f t="shared" ref="S288:S325" si="92">SUM(P288:Q288)</f>
        <v>38949</v>
      </c>
      <c r="T288" s="12"/>
      <c r="U288" s="12"/>
      <c r="V288" s="12"/>
      <c r="W288" s="12">
        <f t="shared" ref="W288:W328" si="93">SUM(S288:V288)</f>
        <v>38949</v>
      </c>
      <c r="Y288" s="10">
        <v>2</v>
      </c>
      <c r="Z288" s="30">
        <v>46235</v>
      </c>
      <c r="AA288" s="31">
        <f>AA287+1</f>
        <v>8365</v>
      </c>
      <c r="AB288" s="32">
        <f>32500+622*5+229*2</f>
        <v>36068</v>
      </c>
      <c r="AC288" s="32">
        <v>-330</v>
      </c>
      <c r="AD288" s="32"/>
      <c r="AE288" s="32">
        <f t="shared" ref="AE288:AE290" si="94">SUM(AB288:AC288)</f>
        <v>35738</v>
      </c>
      <c r="AF288" s="12"/>
      <c r="AG288" s="12"/>
      <c r="AH288" s="12"/>
      <c r="AI288" s="12">
        <f t="shared" ref="AI288:AI319" si="95">SUM(AE288:AH288)</f>
        <v>35738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46235</v>
      </c>
      <c r="C289" s="91">
        <f t="shared" ref="C289" si="96">C288+1</f>
        <v>8336</v>
      </c>
      <c r="D289" s="33">
        <f>650*647+229*20</f>
        <v>425130</v>
      </c>
      <c r="E289" s="33">
        <v>-3882</v>
      </c>
      <c r="F289" s="33"/>
      <c r="G289" s="33">
        <f t="shared" si="90"/>
        <v>421248</v>
      </c>
      <c r="H289" s="34"/>
      <c r="I289" s="34"/>
      <c r="J289" s="34"/>
      <c r="K289" s="34">
        <f t="shared" si="91"/>
        <v>421248</v>
      </c>
      <c r="M289" s="10">
        <v>3</v>
      </c>
      <c r="N289" s="30">
        <v>46235</v>
      </c>
      <c r="O289" s="31">
        <f t="shared" ref="O289:O310" si="97">O288+1</f>
        <v>8141</v>
      </c>
      <c r="P289" s="32">
        <f>650*4+9.5*4</f>
        <v>2638</v>
      </c>
      <c r="Q289" s="32"/>
      <c r="R289" s="32"/>
      <c r="S289" s="32">
        <f t="shared" si="92"/>
        <v>2638</v>
      </c>
      <c r="T289" s="12"/>
      <c r="U289" s="12"/>
      <c r="V289" s="12"/>
      <c r="W289" s="12">
        <f t="shared" si="93"/>
        <v>2638</v>
      </c>
      <c r="Y289" s="10">
        <v>3</v>
      </c>
      <c r="Z289" s="30">
        <v>46235</v>
      </c>
      <c r="AA289" s="31">
        <f t="shared" ref="AA289:AA290" si="98">AA288+1</f>
        <v>8366</v>
      </c>
      <c r="AB289" s="33">
        <f>650*32+973*2+687+1300</f>
        <v>24733</v>
      </c>
      <c r="AC289" s="33"/>
      <c r="AD289" s="32"/>
      <c r="AE289" s="32">
        <f t="shared" si="94"/>
        <v>24733</v>
      </c>
      <c r="AF289" s="12"/>
      <c r="AG289" s="12"/>
      <c r="AH289" s="12"/>
      <c r="AI289" s="12">
        <f t="shared" si="95"/>
        <v>24733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/>
      <c r="C290" s="11" t="s">
        <v>27</v>
      </c>
      <c r="D290" s="32"/>
      <c r="E290" s="32"/>
      <c r="F290" s="32"/>
      <c r="G290" s="32">
        <f t="shared" si="90"/>
        <v>0</v>
      </c>
      <c r="H290" s="12"/>
      <c r="I290" s="12"/>
      <c r="J290" s="12"/>
      <c r="K290" s="12">
        <f t="shared" si="91"/>
        <v>0</v>
      </c>
      <c r="M290" s="10">
        <v>4</v>
      </c>
      <c r="N290" s="30">
        <v>46235</v>
      </c>
      <c r="O290" s="31">
        <f t="shared" si="97"/>
        <v>8142</v>
      </c>
      <c r="P290" s="32">
        <f>650*4</f>
        <v>2600</v>
      </c>
      <c r="Q290" s="32"/>
      <c r="R290" s="32"/>
      <c r="S290" s="32">
        <f t="shared" si="92"/>
        <v>2600</v>
      </c>
      <c r="T290" s="12"/>
      <c r="U290" s="12"/>
      <c r="V290" s="12"/>
      <c r="W290" s="12">
        <f t="shared" si="93"/>
        <v>2600</v>
      </c>
      <c r="Y290" s="10">
        <v>4</v>
      </c>
      <c r="Z290" s="30">
        <v>46235</v>
      </c>
      <c r="AA290" s="31">
        <f t="shared" si="98"/>
        <v>8367</v>
      </c>
      <c r="AB290" s="32">
        <f>5850</f>
        <v>5850</v>
      </c>
      <c r="AC290" s="32"/>
      <c r="AD290" s="32"/>
      <c r="AE290" s="32">
        <f t="shared" si="94"/>
        <v>5850</v>
      </c>
      <c r="AF290" s="12"/>
      <c r="AH290" s="12">
        <f>-360+-2775</f>
        <v>-3135</v>
      </c>
      <c r="AI290" s="12">
        <f t="shared" si="95"/>
        <v>2715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91"/>
      <c r="D291" s="32"/>
      <c r="E291" s="32"/>
      <c r="F291" s="32"/>
      <c r="G291" s="32">
        <f t="shared" si="90"/>
        <v>0</v>
      </c>
      <c r="H291" s="12"/>
      <c r="I291" s="12"/>
      <c r="J291" s="12"/>
      <c r="K291" s="12">
        <f t="shared" si="91"/>
        <v>0</v>
      </c>
      <c r="M291" s="10">
        <v>5</v>
      </c>
      <c r="N291" s="30">
        <v>46235</v>
      </c>
      <c r="O291" s="31">
        <f t="shared" si="97"/>
        <v>8143</v>
      </c>
      <c r="P291" s="32">
        <f>3250+1340+47.5</f>
        <v>4637.5</v>
      </c>
      <c r="Q291" s="32"/>
      <c r="R291" s="32"/>
      <c r="S291" s="32">
        <f t="shared" si="92"/>
        <v>4637.5</v>
      </c>
      <c r="T291" s="12"/>
      <c r="U291" s="12">
        <v>1.5</v>
      </c>
      <c r="V291" s="12"/>
      <c r="W291" s="12">
        <f t="shared" si="93"/>
        <v>4639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19" si="99">SUM(AB291:AC291)</f>
        <v>0</v>
      </c>
      <c r="AF291" s="12"/>
      <c r="AG291" s="12"/>
      <c r="AH291" s="12"/>
      <c r="AI291" s="12">
        <f t="shared" si="95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90"/>
        <v>0</v>
      </c>
      <c r="H292" s="12"/>
      <c r="I292" s="12"/>
      <c r="J292" s="12"/>
      <c r="K292" s="12">
        <f t="shared" si="91"/>
        <v>0</v>
      </c>
      <c r="M292" s="10">
        <v>6</v>
      </c>
      <c r="N292" s="30">
        <v>46235</v>
      </c>
      <c r="O292" s="31">
        <f t="shared" si="97"/>
        <v>8144</v>
      </c>
      <c r="P292" s="32">
        <f>7800+9.5*12</f>
        <v>7914</v>
      </c>
      <c r="Q292" s="32"/>
      <c r="R292" s="32"/>
      <c r="S292" s="32">
        <f t="shared" si="92"/>
        <v>7914</v>
      </c>
      <c r="T292" s="12"/>
      <c r="U292" s="12"/>
      <c r="V292" s="10"/>
      <c r="W292" s="12">
        <f t="shared" si="93"/>
        <v>7914</v>
      </c>
      <c r="Y292" s="10">
        <v>6</v>
      </c>
      <c r="Z292" s="30"/>
      <c r="AA292" s="31"/>
      <c r="AB292" s="32"/>
      <c r="AC292" s="32"/>
      <c r="AD292" s="32"/>
      <c r="AE292" s="32">
        <f t="shared" si="99"/>
        <v>0</v>
      </c>
      <c r="AF292" s="12"/>
      <c r="AG292" s="12"/>
      <c r="AH292" s="10"/>
      <c r="AI292" s="12">
        <f t="shared" si="95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90"/>
        <v>0</v>
      </c>
      <c r="H293" s="12"/>
      <c r="I293" s="12"/>
      <c r="J293" s="12"/>
      <c r="K293" s="12">
        <f t="shared" si="91"/>
        <v>0</v>
      </c>
      <c r="M293" s="10">
        <v>7</v>
      </c>
      <c r="N293" s="30">
        <v>46235</v>
      </c>
      <c r="O293" s="31">
        <f t="shared" si="97"/>
        <v>8145</v>
      </c>
      <c r="P293" s="32">
        <f>650*6+9.5*6</f>
        <v>3957</v>
      </c>
      <c r="Q293" s="32"/>
      <c r="R293" s="32"/>
      <c r="S293" s="32">
        <f t="shared" si="92"/>
        <v>3957</v>
      </c>
      <c r="T293" s="12"/>
      <c r="U293" s="12"/>
      <c r="V293" s="12"/>
      <c r="W293" s="12">
        <f t="shared" si="93"/>
        <v>3957</v>
      </c>
      <c r="Y293" s="10">
        <v>7</v>
      </c>
      <c r="Z293" s="30"/>
      <c r="AA293" s="31"/>
      <c r="AB293" s="32"/>
      <c r="AC293" s="32"/>
      <c r="AD293" s="32"/>
      <c r="AE293" s="32">
        <f t="shared" si="99"/>
        <v>0</v>
      </c>
      <c r="AF293" s="12"/>
      <c r="AG293" s="58"/>
      <c r="AH293" s="12"/>
      <c r="AI293" s="12">
        <f t="shared" si="95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90"/>
        <v>0</v>
      </c>
      <c r="H294" s="12"/>
      <c r="I294" s="12"/>
      <c r="J294" s="12"/>
      <c r="K294" s="12">
        <f t="shared" si="91"/>
        <v>0</v>
      </c>
      <c r="M294" s="10">
        <v>8</v>
      </c>
      <c r="N294" s="30">
        <v>46235</v>
      </c>
      <c r="O294" s="31">
        <f t="shared" si="97"/>
        <v>8146</v>
      </c>
      <c r="P294" s="32">
        <f>912</f>
        <v>912</v>
      </c>
      <c r="Q294" s="32"/>
      <c r="R294" s="32"/>
      <c r="S294" s="32">
        <f t="shared" si="92"/>
        <v>912</v>
      </c>
      <c r="T294" s="12"/>
      <c r="U294" s="12"/>
      <c r="V294" s="12"/>
      <c r="W294" s="12">
        <f t="shared" si="93"/>
        <v>912</v>
      </c>
      <c r="Y294" s="10">
        <v>8</v>
      </c>
      <c r="Z294" s="30"/>
      <c r="AA294" s="31"/>
      <c r="AB294" s="32"/>
      <c r="AC294" s="32"/>
      <c r="AE294" s="32">
        <f t="shared" si="99"/>
        <v>0</v>
      </c>
      <c r="AF294" s="12"/>
      <c r="AG294" s="12"/>
      <c r="AH294" s="12"/>
      <c r="AI294" s="12">
        <f t="shared" si="95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90"/>
        <v>0</v>
      </c>
      <c r="H295" s="12"/>
      <c r="I295" s="12"/>
      <c r="J295" s="12"/>
      <c r="K295" s="12">
        <f t="shared" si="91"/>
        <v>0</v>
      </c>
      <c r="M295" s="10">
        <v>9</v>
      </c>
      <c r="N295" s="30">
        <v>46235</v>
      </c>
      <c r="O295" s="31">
        <f t="shared" si="97"/>
        <v>8147</v>
      </c>
      <c r="P295" s="32">
        <f>650*47+670*2+872*4</f>
        <v>35378</v>
      </c>
      <c r="Q295" s="32"/>
      <c r="R295" s="32"/>
      <c r="S295" s="32">
        <f t="shared" si="92"/>
        <v>35378</v>
      </c>
      <c r="T295" s="12"/>
      <c r="U295" s="12">
        <f>120+2.25*12</f>
        <v>147</v>
      </c>
      <c r="V295" s="12"/>
      <c r="W295" s="12">
        <f t="shared" si="93"/>
        <v>35525</v>
      </c>
      <c r="Y295" s="10">
        <v>9</v>
      </c>
      <c r="Z295" s="30"/>
      <c r="AA295" s="31"/>
      <c r="AB295" s="32"/>
      <c r="AC295" s="32"/>
      <c r="AD295" s="32"/>
      <c r="AE295" s="32">
        <f t="shared" si="99"/>
        <v>0</v>
      </c>
      <c r="AF295" s="12"/>
      <c r="AH295" s="12"/>
      <c r="AI295" s="12">
        <f t="shared" si="95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90"/>
        <v>0</v>
      </c>
      <c r="H296" s="12"/>
      <c r="I296" s="12"/>
      <c r="J296" s="12"/>
      <c r="K296" s="12">
        <f t="shared" si="91"/>
        <v>0</v>
      </c>
      <c r="M296" s="10">
        <v>10</v>
      </c>
      <c r="N296" s="30">
        <v>46235</v>
      </c>
      <c r="O296" s="31">
        <f t="shared" si="97"/>
        <v>8148</v>
      </c>
      <c r="P296" s="32">
        <f>650*28+9.5*6</f>
        <v>18257</v>
      </c>
      <c r="Q296" s="32"/>
      <c r="R296" s="32"/>
      <c r="S296" s="32">
        <f t="shared" si="92"/>
        <v>18257</v>
      </c>
      <c r="T296" s="12"/>
      <c r="U296" s="12">
        <v>22.5</v>
      </c>
      <c r="V296" s="12"/>
      <c r="W296" s="12">
        <f t="shared" si="93"/>
        <v>18279.5</v>
      </c>
      <c r="Y296" s="10">
        <v>10</v>
      </c>
      <c r="Z296" s="30"/>
      <c r="AA296" s="31"/>
      <c r="AB296" s="32"/>
      <c r="AC296" s="32"/>
      <c r="AD296" s="32"/>
      <c r="AE296" s="32">
        <f t="shared" si="99"/>
        <v>0</v>
      </c>
      <c r="AF296" s="12"/>
      <c r="AG296" s="12"/>
      <c r="AH296" s="12"/>
      <c r="AI296" s="12">
        <f t="shared" si="95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>
        <v>46235</v>
      </c>
      <c r="O297" s="31">
        <f t="shared" si="97"/>
        <v>8149</v>
      </c>
      <c r="P297" s="32">
        <f>650*10+9.5*10</f>
        <v>6595</v>
      </c>
      <c r="Q297" s="32"/>
      <c r="R297" s="32"/>
      <c r="S297" s="32">
        <f t="shared" si="92"/>
        <v>6595</v>
      </c>
      <c r="T297" s="12"/>
      <c r="U297" s="12"/>
      <c r="V297" s="12"/>
      <c r="W297" s="12">
        <f t="shared" si="93"/>
        <v>6595</v>
      </c>
      <c r="Y297" s="10">
        <v>11</v>
      </c>
      <c r="Z297" s="30"/>
      <c r="AA297" s="31"/>
      <c r="AB297" s="32"/>
      <c r="AC297" s="32"/>
      <c r="AD297" s="32"/>
      <c r="AE297" s="32">
        <f t="shared" si="99"/>
        <v>0</v>
      </c>
      <c r="AF297" s="12"/>
      <c r="AG297" s="12"/>
      <c r="AH297" s="12"/>
      <c r="AI297" s="12">
        <f t="shared" si="95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>
        <v>46235</v>
      </c>
      <c r="O298" s="31">
        <f t="shared" si="97"/>
        <v>8150</v>
      </c>
      <c r="P298" s="32">
        <f>1300+9.5*2</f>
        <v>1319</v>
      </c>
      <c r="Q298" s="32"/>
      <c r="R298" s="32"/>
      <c r="S298" s="32">
        <f t="shared" si="92"/>
        <v>1319</v>
      </c>
      <c r="T298" s="12"/>
      <c r="U298" s="12">
        <f>1.5*2+4.5</f>
        <v>7.5</v>
      </c>
      <c r="V298" s="12"/>
      <c r="W298" s="12">
        <f t="shared" si="93"/>
        <v>1326.5</v>
      </c>
      <c r="Y298" s="10">
        <v>12</v>
      </c>
      <c r="Z298" s="30"/>
      <c r="AB298" s="32"/>
      <c r="AC298" s="32"/>
      <c r="AD298" s="32"/>
      <c r="AE298" s="32">
        <f t="shared" si="99"/>
        <v>0</v>
      </c>
      <c r="AF298" s="12"/>
      <c r="AG298" s="12"/>
      <c r="AH298" s="12"/>
      <c r="AI298" s="12">
        <f t="shared" si="95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>
        <v>46235</v>
      </c>
      <c r="O299" s="31">
        <v>8159</v>
      </c>
      <c r="P299" s="32">
        <f>3900+57</f>
        <v>3957</v>
      </c>
      <c r="Q299" s="32"/>
      <c r="R299" s="32"/>
      <c r="S299" s="32">
        <f t="shared" si="92"/>
        <v>3957</v>
      </c>
      <c r="T299" s="12"/>
      <c r="U299" s="12">
        <v>9</v>
      </c>
      <c r="V299" s="12"/>
      <c r="W299" s="12">
        <f t="shared" si="93"/>
        <v>3966</v>
      </c>
      <c r="Y299" s="10">
        <v>13</v>
      </c>
      <c r="Z299" s="30"/>
      <c r="AA299" s="31"/>
      <c r="AB299" s="32"/>
      <c r="AC299" s="32"/>
      <c r="AD299" s="32"/>
      <c r="AE299" s="32">
        <f t="shared" si="99"/>
        <v>0</v>
      </c>
      <c r="AF299" s="12"/>
      <c r="AG299" s="12"/>
      <c r="AH299" s="12"/>
      <c r="AI299" s="12">
        <f t="shared" si="95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>
        <v>46235</v>
      </c>
      <c r="O300" s="31">
        <f t="shared" si="97"/>
        <v>8160</v>
      </c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9"/>
        <v>0</v>
      </c>
      <c r="AF300" s="12"/>
      <c r="AG300" s="12"/>
      <c r="AH300" s="12"/>
      <c r="AI300" s="12">
        <f t="shared" si="95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>
        <v>46235</v>
      </c>
      <c r="O301" s="31">
        <f t="shared" si="97"/>
        <v>8161</v>
      </c>
      <c r="P301" s="32">
        <f>650*70+229</f>
        <v>45729</v>
      </c>
      <c r="Q301" s="32"/>
      <c r="R301" s="32"/>
      <c r="S301" s="32">
        <f t="shared" si="92"/>
        <v>45729</v>
      </c>
      <c r="T301" s="12"/>
      <c r="U301" s="12">
        <v>36</v>
      </c>
      <c r="V301" s="12"/>
      <c r="W301" s="12">
        <f t="shared" si="93"/>
        <v>45765</v>
      </c>
      <c r="Y301" s="10">
        <v>15</v>
      </c>
      <c r="Z301" s="30"/>
      <c r="AA301" s="31"/>
      <c r="AB301" s="32"/>
      <c r="AC301" s="32"/>
      <c r="AD301" s="32"/>
      <c r="AE301" s="32">
        <f t="shared" si="99"/>
        <v>0</v>
      </c>
      <c r="AF301" s="12"/>
      <c r="AG301" s="12"/>
      <c r="AH301" s="12"/>
      <c r="AI301" s="12">
        <f t="shared" si="95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>
        <v>46235</v>
      </c>
      <c r="O302" s="31">
        <f t="shared" si="97"/>
        <v>8162</v>
      </c>
      <c r="P302" s="32">
        <f>650+622+19</f>
        <v>1291</v>
      </c>
      <c r="Q302" s="32"/>
      <c r="R302" s="32"/>
      <c r="S302" s="32">
        <f t="shared" si="92"/>
        <v>1291</v>
      </c>
      <c r="T302" s="12"/>
      <c r="U302" s="12"/>
      <c r="V302" s="12"/>
      <c r="W302" s="12">
        <f t="shared" si="93"/>
        <v>1291</v>
      </c>
      <c r="Y302" s="10">
        <v>16</v>
      </c>
      <c r="Z302" s="30"/>
      <c r="AB302" s="32"/>
      <c r="AC302" s="32"/>
      <c r="AD302" s="32"/>
      <c r="AE302" s="32">
        <f t="shared" si="99"/>
        <v>0</v>
      </c>
      <c r="AF302" s="12"/>
      <c r="AG302" s="12"/>
      <c r="AH302" s="12"/>
      <c r="AI302" s="12">
        <f t="shared" si="95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>
        <v>46235</v>
      </c>
      <c r="O303" s="31">
        <f t="shared" si="97"/>
        <v>8163</v>
      </c>
      <c r="P303" s="35">
        <f>8450+123.5</f>
        <v>8573.5</v>
      </c>
      <c r="Q303" s="32"/>
      <c r="R303" s="32"/>
      <c r="S303" s="32">
        <f t="shared" si="92"/>
        <v>8573.5</v>
      </c>
      <c r="T303" s="12"/>
      <c r="U303" s="12"/>
      <c r="V303" s="12"/>
      <c r="W303" s="12">
        <f t="shared" si="93"/>
        <v>8573.5</v>
      </c>
      <c r="Y303" s="10">
        <v>17</v>
      </c>
      <c r="Z303" s="30"/>
      <c r="AA303" s="31"/>
      <c r="AB303" s="35"/>
      <c r="AC303" s="32"/>
      <c r="AD303" s="32"/>
      <c r="AE303" s="32">
        <f t="shared" si="99"/>
        <v>0</v>
      </c>
      <c r="AF303" s="12"/>
      <c r="AG303" s="12"/>
      <c r="AH303" s="12"/>
      <c r="AI303" s="12">
        <f t="shared" si="95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91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>
        <v>46235</v>
      </c>
      <c r="O304" s="31">
        <f t="shared" si="97"/>
        <v>8164</v>
      </c>
      <c r="P304" s="32">
        <f>1950+28.5</f>
        <v>1978.5</v>
      </c>
      <c r="Q304" s="32"/>
      <c r="R304" s="32"/>
      <c r="S304" s="32">
        <f t="shared" si="92"/>
        <v>1978.5</v>
      </c>
      <c r="T304" s="12"/>
      <c r="U304" s="12">
        <v>-666</v>
      </c>
      <c r="V304" s="12"/>
      <c r="W304" s="12">
        <f t="shared" si="93"/>
        <v>1312.5</v>
      </c>
      <c r="Y304" s="10">
        <v>18</v>
      </c>
      <c r="Z304" s="30"/>
      <c r="AA304" s="31"/>
      <c r="AB304" s="32"/>
      <c r="AC304" s="32"/>
      <c r="AD304" s="32"/>
      <c r="AE304" s="32">
        <f t="shared" si="99"/>
        <v>0</v>
      </c>
      <c r="AF304" s="12"/>
      <c r="AG304" s="12"/>
      <c r="AH304" s="12"/>
      <c r="AI304" s="12">
        <f t="shared" si="95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>
        <v>46235</v>
      </c>
      <c r="O305" s="31">
        <f t="shared" si="97"/>
        <v>8165</v>
      </c>
      <c r="P305" s="32">
        <f>6500+95</f>
        <v>6595</v>
      </c>
      <c r="Q305" s="32"/>
      <c r="R305" s="32"/>
      <c r="S305" s="32">
        <f t="shared" si="92"/>
        <v>6595</v>
      </c>
      <c r="T305" s="12"/>
      <c r="U305" s="12"/>
      <c r="V305" s="12"/>
      <c r="W305" s="12">
        <f t="shared" si="93"/>
        <v>6595</v>
      </c>
      <c r="Y305" s="10">
        <v>19</v>
      </c>
      <c r="Z305" s="30"/>
      <c r="AA305" s="31"/>
      <c r="AB305" s="32"/>
      <c r="AC305" s="32"/>
      <c r="AD305" s="32"/>
      <c r="AE305" s="32">
        <f t="shared" si="99"/>
        <v>0</v>
      </c>
      <c r="AF305" s="12"/>
      <c r="AG305" s="12"/>
      <c r="AH305" s="12"/>
      <c r="AI305" s="12">
        <f t="shared" si="95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57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>
        <v>46235</v>
      </c>
      <c r="O306" s="31">
        <f t="shared" si="97"/>
        <v>8166</v>
      </c>
      <c r="P306" s="32">
        <f>1950+28.5</f>
        <v>1978.5</v>
      </c>
      <c r="Q306" s="32"/>
      <c r="R306" s="32"/>
      <c r="S306" s="32">
        <f t="shared" si="92"/>
        <v>1978.5</v>
      </c>
      <c r="T306" s="12"/>
      <c r="U306" s="12"/>
      <c r="V306" s="12"/>
      <c r="W306" s="12">
        <f t="shared" si="93"/>
        <v>1978.5</v>
      </c>
      <c r="Y306" s="10">
        <v>20</v>
      </c>
      <c r="Z306" s="30"/>
      <c r="AA306" s="31"/>
      <c r="AB306" s="32"/>
      <c r="AC306" s="32"/>
      <c r="AD306" s="32"/>
      <c r="AE306" s="32">
        <f t="shared" si="99"/>
        <v>0</v>
      </c>
      <c r="AF306" s="12"/>
      <c r="AG306" s="12"/>
      <c r="AH306" s="12"/>
      <c r="AI306" s="12">
        <f t="shared" si="95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>
        <v>46235</v>
      </c>
      <c r="O307" s="31">
        <f t="shared" si="97"/>
        <v>8167</v>
      </c>
      <c r="P307" s="46">
        <f>1866+28.5</f>
        <v>1894.5</v>
      </c>
      <c r="Q307" s="31"/>
      <c r="R307" s="31"/>
      <c r="S307" s="32">
        <f t="shared" si="92"/>
        <v>1894.5</v>
      </c>
      <c r="T307" s="10"/>
      <c r="U307" s="10"/>
      <c r="V307" s="10"/>
      <c r="W307" s="12">
        <f t="shared" si="93"/>
        <v>1894.5</v>
      </c>
      <c r="Y307" s="10">
        <v>21</v>
      </c>
      <c r="Z307" s="30"/>
      <c r="AB307" s="46"/>
      <c r="AC307" s="31"/>
      <c r="AD307" s="31"/>
      <c r="AE307" s="32">
        <f t="shared" si="99"/>
        <v>0</v>
      </c>
      <c r="AF307" s="10"/>
      <c r="AG307" s="10"/>
      <c r="AH307" s="10"/>
      <c r="AI307" s="12">
        <f t="shared" si="95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>
        <v>46235</v>
      </c>
      <c r="O308" s="31">
        <f t="shared" si="97"/>
        <v>8168</v>
      </c>
      <c r="P308" s="45">
        <f>1244+19</f>
        <v>1263</v>
      </c>
      <c r="Q308" s="31"/>
      <c r="R308" s="31"/>
      <c r="S308" s="32">
        <f t="shared" si="92"/>
        <v>1263</v>
      </c>
      <c r="T308" s="10"/>
      <c r="U308" s="10"/>
      <c r="V308" s="10"/>
      <c r="W308" s="12">
        <f t="shared" si="93"/>
        <v>1263</v>
      </c>
      <c r="Y308" s="10">
        <v>22</v>
      </c>
      <c r="Z308" s="30"/>
      <c r="AA308" s="31"/>
      <c r="AB308" s="45"/>
      <c r="AC308" s="31"/>
      <c r="AD308" s="31"/>
      <c r="AE308" s="32">
        <f t="shared" si="99"/>
        <v>0</v>
      </c>
      <c r="AF308" s="10"/>
      <c r="AG308" s="10"/>
      <c r="AH308" s="10"/>
      <c r="AI308" s="12">
        <f t="shared" si="95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>
        <v>46235</v>
      </c>
      <c r="O309" s="31">
        <f t="shared" si="97"/>
        <v>8169</v>
      </c>
      <c r="P309" s="47">
        <f>3250+1244</f>
        <v>4494</v>
      </c>
      <c r="S309" s="32">
        <f t="shared" si="92"/>
        <v>4494</v>
      </c>
      <c r="T309" s="10"/>
      <c r="U309" s="10">
        <v>40.5</v>
      </c>
      <c r="V309" s="10"/>
      <c r="W309" s="12">
        <f t="shared" si="93"/>
        <v>4534.5</v>
      </c>
      <c r="Y309" s="10">
        <v>23</v>
      </c>
      <c r="Z309" s="30"/>
      <c r="AA309" s="31"/>
      <c r="AB309" s="47"/>
      <c r="AE309" s="32">
        <f t="shared" si="99"/>
        <v>0</v>
      </c>
      <c r="AF309" s="10"/>
      <c r="AG309" s="10"/>
      <c r="AH309" s="10"/>
      <c r="AI309" s="12">
        <f t="shared" si="95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>
        <v>46235</v>
      </c>
      <c r="O310" s="31">
        <f t="shared" si="97"/>
        <v>8170</v>
      </c>
      <c r="P310" s="47">
        <f>1300+622+28.5</f>
        <v>1950.5</v>
      </c>
      <c r="Q310" s="31"/>
      <c r="R310" s="31"/>
      <c r="S310" s="32">
        <f t="shared" si="92"/>
        <v>1950.5</v>
      </c>
      <c r="T310" s="10"/>
      <c r="U310" s="10"/>
      <c r="V310" s="10"/>
      <c r="W310" s="12">
        <f t="shared" si="93"/>
        <v>1950.5</v>
      </c>
      <c r="Y310" s="10">
        <v>24</v>
      </c>
      <c r="Z310" s="30"/>
      <c r="AA310" s="31"/>
      <c r="AB310" s="47"/>
      <c r="AC310" s="31"/>
      <c r="AD310" s="31"/>
      <c r="AE310" s="32">
        <f t="shared" si="99"/>
        <v>0</v>
      </c>
      <c r="AF310" s="10"/>
      <c r="AG310" s="10"/>
      <c r="AH310" s="10"/>
      <c r="AI310" s="12">
        <f t="shared" si="95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91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11" t="s">
        <v>27</v>
      </c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99"/>
        <v>0</v>
      </c>
      <c r="AF311" s="10"/>
      <c r="AG311" s="10"/>
      <c r="AH311" s="10"/>
      <c r="AI311" s="12">
        <f t="shared" si="95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99"/>
        <v>0</v>
      </c>
      <c r="AF312" s="10"/>
      <c r="AG312" s="10"/>
      <c r="AH312" s="10"/>
      <c r="AI312" s="12">
        <f t="shared" si="95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9"/>
        <v>0</v>
      </c>
      <c r="AF313" s="10"/>
      <c r="AG313" s="10"/>
      <c r="AH313" s="10"/>
      <c r="AI313" s="12">
        <f t="shared" si="95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9"/>
        <v>0</v>
      </c>
      <c r="AF314" s="10"/>
      <c r="AG314" s="10"/>
      <c r="AH314" s="10"/>
      <c r="AI314" s="12">
        <f t="shared" si="95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9"/>
        <v>0</v>
      </c>
      <c r="AF315" s="10"/>
      <c r="AG315" s="10"/>
      <c r="AH315" s="10"/>
      <c r="AI315" s="12">
        <f t="shared" si="95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O316" s="31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9"/>
        <v>0</v>
      </c>
      <c r="AF316" s="10"/>
      <c r="AG316" s="10"/>
      <c r="AH316" s="10"/>
      <c r="AI316" s="12">
        <f t="shared" si="95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9"/>
        <v>0</v>
      </c>
      <c r="AF317" s="10"/>
      <c r="AG317" s="10"/>
      <c r="AH317" s="10"/>
      <c r="AI317" s="12">
        <f t="shared" si="95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9"/>
        <v>0</v>
      </c>
      <c r="AF318" s="10"/>
      <c r="AG318" s="10"/>
      <c r="AH318" s="10"/>
      <c r="AI318" s="12">
        <f t="shared" si="95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9"/>
        <v>0</v>
      </c>
      <c r="AF319" s="10"/>
      <c r="AG319" s="10"/>
      <c r="AH319" s="10"/>
      <c r="AI319" s="12">
        <f t="shared" si="95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100">SUM(AB320:AC320)</f>
        <v>0</v>
      </c>
      <c r="AF320" s="10"/>
      <c r="AG320" s="10"/>
      <c r="AH320" s="10"/>
      <c r="AI320" s="12">
        <f t="shared" ref="AI320:AI328" si="101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9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0"/>
        <v>0</v>
      </c>
      <c r="AF321" s="10"/>
      <c r="AG321" s="10"/>
      <c r="AH321" s="10"/>
      <c r="AI321" s="12">
        <f t="shared" si="10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9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0"/>
        <v>0</v>
      </c>
      <c r="AF322" s="10"/>
      <c r="AG322" s="10"/>
      <c r="AH322" s="10"/>
      <c r="AI322" s="12">
        <f t="shared" si="10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0"/>
        <v>0</v>
      </c>
      <c r="AF323" s="10"/>
      <c r="AG323" s="10"/>
      <c r="AH323" s="10"/>
      <c r="AI323" s="12">
        <f t="shared" si="10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0"/>
        <v>0</v>
      </c>
      <c r="AF324" s="10"/>
      <c r="AG324" s="10"/>
      <c r="AH324" s="10"/>
      <c r="AI324" s="12">
        <f t="shared" si="10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0"/>
        <v>0</v>
      </c>
      <c r="AF325" s="10"/>
      <c r="AG325" s="10"/>
      <c r="AH325" s="10"/>
      <c r="AI325" s="12">
        <f t="shared" si="10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2">SUM(D327:E327)</f>
        <v>0</v>
      </c>
      <c r="H327" s="10"/>
      <c r="I327" s="10"/>
      <c r="J327" s="10"/>
      <c r="K327" s="12">
        <f t="shared" ref="K327" si="103">SUM(G327:J327)</f>
        <v>0</v>
      </c>
      <c r="M327" s="10"/>
      <c r="N327" s="30"/>
      <c r="O327" s="31"/>
      <c r="P327" s="47"/>
      <c r="Q327" s="31"/>
      <c r="R327" s="31"/>
      <c r="S327" s="32">
        <f t="shared" ref="S327" si="104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5">SUM(AB327:AC327)</f>
        <v>0</v>
      </c>
      <c r="AF327" s="10"/>
      <c r="AG327" s="10"/>
      <c r="AH327" s="10"/>
      <c r="AI327" s="12">
        <f t="shared" si="10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472529</v>
      </c>
      <c r="E330" s="38">
        <f t="shared" ref="E330:F330" si="106">SUM(E287:E327)</f>
        <v>-3882</v>
      </c>
      <c r="F330" s="38">
        <f t="shared" si="106"/>
        <v>0</v>
      </c>
      <c r="G330" s="38">
        <f>SUM(G287:G329)</f>
        <v>468647</v>
      </c>
      <c r="H330" s="4"/>
      <c r="I330" s="39">
        <f>SUM(I287:I329)</f>
        <v>1770</v>
      </c>
      <c r="J330" s="39">
        <f>SUM(J287:J329)</f>
        <v>0</v>
      </c>
      <c r="K330" s="40">
        <f>SUM(K287:K329)</f>
        <v>470417</v>
      </c>
      <c r="N330" s="57"/>
      <c r="O330" s="57"/>
      <c r="P330" s="38">
        <f>SUM(P287:P329)</f>
        <v>222590</v>
      </c>
      <c r="Q330" s="38">
        <f>SUM(Q287:Q311)</f>
        <v>0</v>
      </c>
      <c r="R330" s="38">
        <f>SUM(R287:R311)</f>
        <v>0</v>
      </c>
      <c r="S330" s="38">
        <f>SUM(S287:S329)</f>
        <v>222590</v>
      </c>
      <c r="T330" s="4"/>
      <c r="U330" s="41">
        <f>SUM(U287:U329)</f>
        <v>-289.5</v>
      </c>
      <c r="V330" s="41">
        <f>SUM(V287:V311)</f>
        <v>-13870.5</v>
      </c>
      <c r="W330" s="42">
        <f>SUM(W287:W329)</f>
        <v>208430</v>
      </c>
      <c r="Z330" s="57"/>
      <c r="AA330" s="57"/>
      <c r="AB330" s="38">
        <f>SUM(AB287:AB329)</f>
        <v>371057</v>
      </c>
      <c r="AC330" s="38">
        <f>SUM(AC287:AC311)</f>
        <v>-3102</v>
      </c>
      <c r="AD330" s="38">
        <f>SUM(AD287:AD311)</f>
        <v>0</v>
      </c>
      <c r="AE330" s="38">
        <f>SUM(AE287:AE329)</f>
        <v>367955</v>
      </c>
      <c r="AF330" s="4"/>
      <c r="AG330" s="41">
        <f>SUM(AG287:AG329)</f>
        <v>0</v>
      </c>
      <c r="AH330" s="41">
        <f>SUM(AH287:AH311)</f>
        <v>-3135</v>
      </c>
      <c r="AI330" s="42">
        <f>SUM(AI287:AI329)</f>
        <v>364820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59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59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54</v>
      </c>
      <c r="W338" s="24"/>
      <c r="Y338" s="21" t="s">
        <v>59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1" t="s">
        <v>17</v>
      </c>
      <c r="E340" s="121"/>
      <c r="F340" s="102"/>
      <c r="G340" s="27"/>
      <c r="I340" s="117" t="s">
        <v>18</v>
      </c>
      <c r="J340" s="118"/>
      <c r="K340" s="119" t="s">
        <v>19</v>
      </c>
      <c r="N340" s="25"/>
      <c r="O340" s="26"/>
      <c r="P340" s="121" t="s">
        <v>17</v>
      </c>
      <c r="Q340" s="121"/>
      <c r="R340" s="102"/>
      <c r="S340" s="27"/>
      <c r="U340" s="117" t="s">
        <v>18</v>
      </c>
      <c r="V340" s="118"/>
      <c r="W340" s="119" t="s">
        <v>19</v>
      </c>
      <c r="Z340" s="25"/>
      <c r="AA340" s="26"/>
      <c r="AB340" s="121" t="s">
        <v>17</v>
      </c>
      <c r="AC340" s="121"/>
      <c r="AD340" s="102"/>
      <c r="AE340" s="27"/>
      <c r="AG340" s="117" t="s">
        <v>18</v>
      </c>
      <c r="AH340" s="118"/>
      <c r="AI340" s="11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20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20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2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46266</v>
      </c>
      <c r="C342" s="91">
        <v>8337</v>
      </c>
      <c r="D342" s="32">
        <f>650*647+229*20</f>
        <v>425130</v>
      </c>
      <c r="E342" s="32">
        <v>-3882</v>
      </c>
      <c r="F342" s="32"/>
      <c r="G342" s="32">
        <f t="shared" ref="G342:G375" si="107">SUM(D342:E342)</f>
        <v>421248</v>
      </c>
      <c r="H342" s="12"/>
      <c r="I342" s="12"/>
      <c r="J342" s="12">
        <f>-24087+-390+-1428</f>
        <v>-25905</v>
      </c>
      <c r="K342" s="12">
        <f t="shared" ref="K342:K375" si="108">SUM(G342:J342)</f>
        <v>395343</v>
      </c>
      <c r="M342" s="10">
        <v>1</v>
      </c>
      <c r="N342" s="30">
        <v>46266</v>
      </c>
      <c r="O342" s="31">
        <v>8172</v>
      </c>
      <c r="P342" s="32">
        <f>622*3+9.5*3</f>
        <v>1894.5</v>
      </c>
      <c r="Q342" s="32"/>
      <c r="R342" s="32"/>
      <c r="S342" s="32">
        <f>SUM(P342:Q342)</f>
        <v>1894.5</v>
      </c>
      <c r="T342" s="12"/>
      <c r="U342" s="12">
        <v>4.5</v>
      </c>
      <c r="V342" s="12"/>
      <c r="W342" s="12">
        <f>SUM(S342:V342)</f>
        <v>1899</v>
      </c>
      <c r="Y342" s="10">
        <v>1</v>
      </c>
      <c r="Z342" s="30">
        <v>46266</v>
      </c>
      <c r="AA342" s="31">
        <v>8368</v>
      </c>
      <c r="AB342" s="32">
        <f>650*25+670*2+622*3+229</f>
        <v>19685</v>
      </c>
      <c r="AC342" s="32"/>
      <c r="AD342" s="32"/>
      <c r="AE342" s="32">
        <f>SUM(AB342:AC342)</f>
        <v>19685</v>
      </c>
      <c r="AF342" s="12"/>
      <c r="AG342" s="12"/>
      <c r="AH342" s="12"/>
      <c r="AI342" s="12">
        <f>SUM(AE342:AH342)</f>
        <v>19685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/>
      <c r="C343" s="11" t="s">
        <v>27</v>
      </c>
      <c r="D343" s="32"/>
      <c r="E343" s="32"/>
      <c r="F343" s="32"/>
      <c r="G343" s="32">
        <f t="shared" si="107"/>
        <v>0</v>
      </c>
      <c r="H343" s="12"/>
      <c r="I343" s="12"/>
      <c r="J343" s="12"/>
      <c r="K343" s="12">
        <f t="shared" si="108"/>
        <v>0</v>
      </c>
      <c r="M343" s="10">
        <v>2</v>
      </c>
      <c r="N343" s="30">
        <v>46266</v>
      </c>
      <c r="O343" s="31">
        <f>O342+1</f>
        <v>8173</v>
      </c>
      <c r="P343" s="32">
        <f>97500+6030+12440+916</f>
        <v>116886</v>
      </c>
      <c r="Q343" s="32">
        <v>-1074</v>
      </c>
      <c r="R343" s="32"/>
      <c r="S343" s="32">
        <f t="shared" ref="S343:S380" si="109">SUM(P343:Q343)</f>
        <v>115812</v>
      </c>
      <c r="T343" s="12"/>
      <c r="U343" s="12">
        <v>144</v>
      </c>
      <c r="V343" s="12">
        <v>-5883</v>
      </c>
      <c r="W343" s="12">
        <f t="shared" ref="W343:W383" si="110">SUM(S343:V343)</f>
        <v>110073</v>
      </c>
      <c r="Y343" s="10">
        <v>2</v>
      </c>
      <c r="Z343" s="30">
        <v>46266</v>
      </c>
      <c r="AA343" s="31">
        <f>AA342+1</f>
        <v>8369</v>
      </c>
      <c r="AB343" s="32">
        <f>70200+1824+3488</f>
        <v>75512</v>
      </c>
      <c r="AC343" s="32">
        <v>-684</v>
      </c>
      <c r="AD343" s="32"/>
      <c r="AE343" s="32">
        <f t="shared" ref="AE343:AE345" si="111">SUM(AB343:AC343)</f>
        <v>74828</v>
      </c>
      <c r="AF343" s="12"/>
      <c r="AG343" s="12"/>
      <c r="AH343" s="12"/>
      <c r="AI343" s="12">
        <f t="shared" ref="AI343:AI374" si="112">SUM(AE343:AH343)</f>
        <v>74828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/>
      <c r="C344" s="91"/>
      <c r="D344" s="33"/>
      <c r="E344" s="33"/>
      <c r="F344" s="33"/>
      <c r="G344" s="33">
        <f t="shared" si="107"/>
        <v>0</v>
      </c>
      <c r="H344" s="34"/>
      <c r="I344" s="34"/>
      <c r="J344" s="34"/>
      <c r="K344" s="34">
        <f t="shared" si="108"/>
        <v>0</v>
      </c>
      <c r="M344" s="10">
        <v>3</v>
      </c>
      <c r="N344" s="30">
        <v>46266</v>
      </c>
      <c r="O344" s="31">
        <f t="shared" ref="O344:O351" si="113">O343+1</f>
        <v>8174</v>
      </c>
      <c r="P344" s="32">
        <f>3250+47.5</f>
        <v>3297.5</v>
      </c>
      <c r="Q344" s="32"/>
      <c r="R344" s="32"/>
      <c r="S344" s="32">
        <f t="shared" si="109"/>
        <v>3297.5</v>
      </c>
      <c r="T344" s="12"/>
      <c r="U344" s="12"/>
      <c r="V344" s="12"/>
      <c r="W344" s="12">
        <f t="shared" si="110"/>
        <v>3297.5</v>
      </c>
      <c r="Y344" s="10">
        <v>3</v>
      </c>
      <c r="Z344" s="30">
        <v>46266</v>
      </c>
      <c r="AA344" s="31">
        <f t="shared" ref="AA344:AA347" si="114">AA343+1</f>
        <v>8370</v>
      </c>
      <c r="AB344" s="33">
        <f>650*100+622*30+229*5</f>
        <v>84805</v>
      </c>
      <c r="AC344" s="33"/>
      <c r="AD344" s="32"/>
      <c r="AE344" s="32">
        <f t="shared" si="111"/>
        <v>84805</v>
      </c>
      <c r="AF344" s="12"/>
      <c r="AG344" s="12">
        <v>72</v>
      </c>
      <c r="AH344" s="12"/>
      <c r="AI344" s="12">
        <f t="shared" si="112"/>
        <v>84877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/>
      <c r="D345" s="32"/>
      <c r="E345" s="32"/>
      <c r="F345" s="32"/>
      <c r="G345" s="32">
        <f t="shared" si="107"/>
        <v>0</v>
      </c>
      <c r="H345" s="12"/>
      <c r="I345" s="12"/>
      <c r="J345" s="12"/>
      <c r="K345" s="12">
        <f t="shared" si="108"/>
        <v>0</v>
      </c>
      <c r="M345" s="10">
        <v>4</v>
      </c>
      <c r="N345" s="30">
        <v>46266</v>
      </c>
      <c r="O345" s="31">
        <f t="shared" si="113"/>
        <v>8175</v>
      </c>
      <c r="P345" s="32">
        <f>1950+28.5</f>
        <v>1978.5</v>
      </c>
      <c r="Q345" s="32"/>
      <c r="R345" s="32"/>
      <c r="S345" s="32">
        <f t="shared" si="109"/>
        <v>1978.5</v>
      </c>
      <c r="T345" s="12"/>
      <c r="U345" s="12"/>
      <c r="V345" s="12"/>
      <c r="W345" s="12">
        <f t="shared" si="110"/>
        <v>1978.5</v>
      </c>
      <c r="Y345" s="10">
        <v>4</v>
      </c>
      <c r="Z345" s="30">
        <v>46266</v>
      </c>
      <c r="AA345" s="31">
        <f t="shared" si="114"/>
        <v>8371</v>
      </c>
      <c r="AB345" s="32">
        <f>650*70+670*10+622*30+872*2+229*4</f>
        <v>73520</v>
      </c>
      <c r="AC345" s="32">
        <v>-672</v>
      </c>
      <c r="AD345" s="32"/>
      <c r="AE345" s="32">
        <f t="shared" si="111"/>
        <v>72848</v>
      </c>
      <c r="AF345" s="12"/>
      <c r="AG345">
        <v>144</v>
      </c>
      <c r="AH345" s="12"/>
      <c r="AI345" s="12">
        <f t="shared" si="112"/>
        <v>72992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91"/>
      <c r="D346" s="32"/>
      <c r="E346" s="32"/>
      <c r="F346" s="32"/>
      <c r="G346" s="32">
        <f t="shared" si="107"/>
        <v>0</v>
      </c>
      <c r="H346" s="12"/>
      <c r="I346" s="12"/>
      <c r="J346" s="12"/>
      <c r="K346" s="12">
        <f t="shared" si="108"/>
        <v>0</v>
      </c>
      <c r="M346" s="10">
        <v>5</v>
      </c>
      <c r="N346" s="30">
        <v>46266</v>
      </c>
      <c r="O346" s="31">
        <f t="shared" si="113"/>
        <v>8176</v>
      </c>
      <c r="P346" s="32">
        <f>70200+1050+1744+1030+1000</f>
        <v>75024</v>
      </c>
      <c r="Q346" s="32"/>
      <c r="R346" s="32"/>
      <c r="S346" s="32">
        <f t="shared" si="109"/>
        <v>75024</v>
      </c>
      <c r="T346" s="12"/>
      <c r="U346" s="12">
        <f>120+222+54+1.5*78</f>
        <v>513</v>
      </c>
      <c r="V346" s="12"/>
      <c r="W346" s="12">
        <f t="shared" si="110"/>
        <v>75537</v>
      </c>
      <c r="Y346" s="10">
        <v>5</v>
      </c>
      <c r="Z346" s="30">
        <v>46266</v>
      </c>
      <c r="AA346" s="31">
        <f t="shared" si="114"/>
        <v>8372</v>
      </c>
      <c r="AB346" s="32">
        <f>650*40+622*10</f>
        <v>32220</v>
      </c>
      <c r="AC346" s="32"/>
      <c r="AD346" s="32"/>
      <c r="AE346" s="32">
        <f t="shared" ref="AE346:AE374" si="115">SUM(AB346:AC346)</f>
        <v>32220</v>
      </c>
      <c r="AF346" s="12"/>
      <c r="AG346" s="12"/>
      <c r="AH346" s="12"/>
      <c r="AI346" s="12">
        <f t="shared" si="112"/>
        <v>32220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91"/>
      <c r="D347" s="32"/>
      <c r="E347" s="32"/>
      <c r="F347" s="32"/>
      <c r="G347" s="32">
        <f t="shared" si="107"/>
        <v>0</v>
      </c>
      <c r="H347" s="12"/>
      <c r="I347" s="12"/>
      <c r="J347" s="12"/>
      <c r="K347" s="12">
        <f t="shared" si="108"/>
        <v>0</v>
      </c>
      <c r="M347" s="10">
        <v>6</v>
      </c>
      <c r="N347" s="30">
        <v>46266</v>
      </c>
      <c r="O347" s="31">
        <f t="shared" si="113"/>
        <v>8177</v>
      </c>
      <c r="P347" s="32">
        <f>7800+114</f>
        <v>7914</v>
      </c>
      <c r="Q347" s="32"/>
      <c r="R347" s="32"/>
      <c r="S347" s="32">
        <f t="shared" si="109"/>
        <v>7914</v>
      </c>
      <c r="T347" s="12"/>
      <c r="U347" s="12">
        <f>1.5*12</f>
        <v>18</v>
      </c>
      <c r="V347" s="10">
        <v>-168</v>
      </c>
      <c r="W347" s="12">
        <f t="shared" si="110"/>
        <v>7764</v>
      </c>
      <c r="Y347" s="10">
        <v>6</v>
      </c>
      <c r="Z347" s="30">
        <v>46266</v>
      </c>
      <c r="AA347" s="31">
        <f t="shared" si="114"/>
        <v>8373</v>
      </c>
      <c r="AB347" s="32">
        <f>700*4+622*6</f>
        <v>6532</v>
      </c>
      <c r="AC347" s="32"/>
      <c r="AD347" s="32"/>
      <c r="AE347" s="32">
        <f t="shared" si="115"/>
        <v>6532</v>
      </c>
      <c r="AF347" s="12"/>
      <c r="AG347" s="12"/>
      <c r="AH347" s="10">
        <v>-1776</v>
      </c>
      <c r="AI347" s="12">
        <f t="shared" si="112"/>
        <v>4756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91"/>
      <c r="D348" s="32"/>
      <c r="E348" s="32"/>
      <c r="F348" s="32"/>
      <c r="G348" s="32">
        <f t="shared" si="107"/>
        <v>0</v>
      </c>
      <c r="H348" s="12"/>
      <c r="I348" s="12"/>
      <c r="J348" s="12"/>
      <c r="K348" s="12">
        <f t="shared" si="108"/>
        <v>0</v>
      </c>
      <c r="M348" s="10">
        <v>7</v>
      </c>
      <c r="N348" s="30">
        <v>46266</v>
      </c>
      <c r="O348" s="31">
        <f t="shared" si="113"/>
        <v>8178</v>
      </c>
      <c r="P348" s="32">
        <f>13000+229</f>
        <v>13229</v>
      </c>
      <c r="Q348" s="32"/>
      <c r="R348" s="32"/>
      <c r="S348" s="32">
        <f t="shared" si="109"/>
        <v>13229</v>
      </c>
      <c r="T348" s="12"/>
      <c r="U348" s="12"/>
      <c r="V348" s="12"/>
      <c r="W348" s="12">
        <f t="shared" si="110"/>
        <v>13229</v>
      </c>
      <c r="Y348" s="10">
        <v>7</v>
      </c>
      <c r="Z348" s="30"/>
      <c r="AA348" s="11" t="s">
        <v>27</v>
      </c>
      <c r="AB348" s="32"/>
      <c r="AC348" s="32"/>
      <c r="AD348" s="32"/>
      <c r="AE348" s="32">
        <f t="shared" si="115"/>
        <v>0</v>
      </c>
      <c r="AF348" s="12"/>
      <c r="AG348" s="58"/>
      <c r="AH348" s="12"/>
      <c r="AI348" s="12">
        <f t="shared" si="112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91"/>
      <c r="D349" s="32"/>
      <c r="E349" s="32"/>
      <c r="F349" s="32"/>
      <c r="G349" s="32">
        <f t="shared" si="107"/>
        <v>0</v>
      </c>
      <c r="H349" s="12"/>
      <c r="I349" s="12"/>
      <c r="J349" s="12"/>
      <c r="K349" s="12">
        <f t="shared" si="108"/>
        <v>0</v>
      </c>
      <c r="M349" s="10">
        <v>8</v>
      </c>
      <c r="N349" s="30">
        <v>46266</v>
      </c>
      <c r="O349" s="31">
        <f t="shared" si="113"/>
        <v>8179</v>
      </c>
      <c r="P349" s="32">
        <f>4550+232</f>
        <v>4782</v>
      </c>
      <c r="Q349" s="32"/>
      <c r="R349" s="32"/>
      <c r="S349" s="32">
        <f t="shared" si="109"/>
        <v>4782</v>
      </c>
      <c r="T349" s="12"/>
      <c r="U349" s="12"/>
      <c r="V349" s="12"/>
      <c r="W349" s="12">
        <f t="shared" si="110"/>
        <v>4782</v>
      </c>
      <c r="Y349" s="10">
        <v>8</v>
      </c>
      <c r="Z349" s="30"/>
      <c r="AA349" s="31"/>
      <c r="AB349" s="32"/>
      <c r="AC349" s="32"/>
      <c r="AE349" s="32">
        <f t="shared" si="115"/>
        <v>0</v>
      </c>
      <c r="AF349" s="12"/>
      <c r="AG349" s="12"/>
      <c r="AH349" s="12"/>
      <c r="AI349" s="12">
        <f t="shared" si="112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91"/>
      <c r="D350" s="32"/>
      <c r="E350" s="32"/>
      <c r="F350" s="32"/>
      <c r="G350" s="32">
        <f t="shared" si="107"/>
        <v>0</v>
      </c>
      <c r="H350" s="12"/>
      <c r="I350" s="12"/>
      <c r="J350" s="12"/>
      <c r="K350" s="12">
        <f t="shared" si="108"/>
        <v>0</v>
      </c>
      <c r="M350" s="10">
        <v>9</v>
      </c>
      <c r="N350" s="30">
        <v>46266</v>
      </c>
      <c r="O350" s="31">
        <f t="shared" si="113"/>
        <v>8180</v>
      </c>
      <c r="P350" s="32">
        <f>1950+28.5</f>
        <v>1978.5</v>
      </c>
      <c r="Q350" s="32"/>
      <c r="R350" s="32"/>
      <c r="S350" s="32">
        <f t="shared" si="109"/>
        <v>1978.5</v>
      </c>
      <c r="T350" s="12"/>
      <c r="U350" s="12"/>
      <c r="V350" s="12"/>
      <c r="W350" s="12">
        <f t="shared" si="110"/>
        <v>1978.5</v>
      </c>
      <c r="Y350" s="10">
        <v>9</v>
      </c>
      <c r="Z350" s="30"/>
      <c r="AA350" s="31"/>
      <c r="AB350" s="32"/>
      <c r="AC350" s="32"/>
      <c r="AD350" s="32"/>
      <c r="AE350" s="32">
        <f t="shared" si="115"/>
        <v>0</v>
      </c>
      <c r="AF350" s="12"/>
      <c r="AH350" s="12"/>
      <c r="AI350" s="12">
        <f t="shared" si="112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91"/>
      <c r="D351" s="32"/>
      <c r="E351" s="32"/>
      <c r="F351" s="32"/>
      <c r="G351" s="32">
        <f t="shared" si="107"/>
        <v>0</v>
      </c>
      <c r="H351" s="12"/>
      <c r="I351" s="12"/>
      <c r="J351" s="12"/>
      <c r="K351" s="12">
        <f t="shared" si="108"/>
        <v>0</v>
      </c>
      <c r="M351" s="10">
        <v>10</v>
      </c>
      <c r="N351" s="30">
        <v>46266</v>
      </c>
      <c r="O351" s="31">
        <f t="shared" si="113"/>
        <v>8181</v>
      </c>
      <c r="P351" s="32">
        <f>5200+9.5*8</f>
        <v>5276</v>
      </c>
      <c r="Q351" s="32"/>
      <c r="R351" s="32"/>
      <c r="S351" s="32">
        <f t="shared" si="109"/>
        <v>5276</v>
      </c>
      <c r="T351" s="12"/>
      <c r="U351" s="12"/>
      <c r="V351" s="12"/>
      <c r="W351" s="12">
        <f t="shared" si="110"/>
        <v>5276</v>
      </c>
      <c r="Y351" s="10">
        <v>10</v>
      </c>
      <c r="Z351" s="30"/>
      <c r="AA351" s="31"/>
      <c r="AB351" s="32"/>
      <c r="AC351" s="32"/>
      <c r="AD351" s="32"/>
      <c r="AE351" s="32">
        <f t="shared" si="115"/>
        <v>0</v>
      </c>
      <c r="AF351" s="12"/>
      <c r="AG351" s="12"/>
      <c r="AH351" s="12"/>
      <c r="AI351" s="12">
        <f t="shared" si="112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91"/>
      <c r="D352" s="32"/>
      <c r="E352" s="32"/>
      <c r="F352" s="32"/>
      <c r="G352" s="32">
        <f t="shared" si="107"/>
        <v>0</v>
      </c>
      <c r="H352" s="12"/>
      <c r="I352" s="12"/>
      <c r="J352" s="12"/>
      <c r="K352" s="12">
        <f t="shared" si="108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09"/>
        <v>0</v>
      </c>
      <c r="T352" s="12"/>
      <c r="U352" s="12"/>
      <c r="V352" s="12"/>
      <c r="W352" s="12">
        <f t="shared" si="110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15"/>
        <v>0</v>
      </c>
      <c r="AF352" s="12"/>
      <c r="AG352" s="12"/>
      <c r="AH352" s="12"/>
      <c r="AI352" s="12">
        <f t="shared" si="112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91"/>
      <c r="D353" s="32"/>
      <c r="E353" s="32"/>
      <c r="F353" s="32"/>
      <c r="G353" s="32">
        <f t="shared" si="107"/>
        <v>0</v>
      </c>
      <c r="H353" s="12"/>
      <c r="I353" s="12"/>
      <c r="J353" s="10"/>
      <c r="K353" s="12">
        <f t="shared" si="108"/>
        <v>0</v>
      </c>
      <c r="M353" s="10">
        <v>12</v>
      </c>
      <c r="N353" s="30"/>
      <c r="O353" s="31"/>
      <c r="P353" s="32"/>
      <c r="Q353" s="32"/>
      <c r="R353" s="32"/>
      <c r="S353" s="32">
        <f t="shared" si="109"/>
        <v>0</v>
      </c>
      <c r="T353" s="12"/>
      <c r="U353" s="12"/>
      <c r="V353" s="12"/>
      <c r="W353" s="12">
        <f t="shared" si="110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5"/>
        <v>0</v>
      </c>
      <c r="AF353" s="12"/>
      <c r="AG353" s="12"/>
      <c r="AH353" s="12"/>
      <c r="AI353" s="12">
        <f t="shared" si="112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91"/>
      <c r="D354" s="32"/>
      <c r="E354" s="32"/>
      <c r="F354" s="32"/>
      <c r="G354" s="32">
        <f t="shared" si="107"/>
        <v>0</v>
      </c>
      <c r="H354" s="12"/>
      <c r="I354" s="12"/>
      <c r="J354" s="12"/>
      <c r="K354" s="12">
        <f t="shared" si="108"/>
        <v>0</v>
      </c>
      <c r="M354" s="10">
        <v>13</v>
      </c>
      <c r="N354" s="30"/>
      <c r="O354" s="31"/>
      <c r="P354" s="32"/>
      <c r="Q354" s="32"/>
      <c r="R354" s="32"/>
      <c r="S354" s="32">
        <f t="shared" si="109"/>
        <v>0</v>
      </c>
      <c r="T354" s="12"/>
      <c r="U354" s="12"/>
      <c r="V354" s="12"/>
      <c r="W354" s="12">
        <f t="shared" si="110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5"/>
        <v>0</v>
      </c>
      <c r="AF354" s="12"/>
      <c r="AG354" s="12"/>
      <c r="AH354" s="12"/>
      <c r="AI354" s="12">
        <f t="shared" si="112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91"/>
      <c r="D355" s="32"/>
      <c r="E355" s="32"/>
      <c r="F355" s="32"/>
      <c r="G355" s="32">
        <f t="shared" si="107"/>
        <v>0</v>
      </c>
      <c r="H355" s="12"/>
      <c r="I355" s="12"/>
      <c r="J355" s="12"/>
      <c r="K355" s="12">
        <f t="shared" si="108"/>
        <v>0</v>
      </c>
      <c r="M355" s="10">
        <v>14</v>
      </c>
      <c r="N355" s="30"/>
      <c r="O355" s="31"/>
      <c r="P355" s="32"/>
      <c r="Q355" s="32"/>
      <c r="R355" s="32"/>
      <c r="S355" s="32">
        <f t="shared" si="109"/>
        <v>0</v>
      </c>
      <c r="T355" s="12"/>
      <c r="U355" s="12"/>
      <c r="V355" s="12"/>
      <c r="W355" s="12">
        <f t="shared" si="110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5"/>
        <v>0</v>
      </c>
      <c r="AF355" s="12"/>
      <c r="AG355" s="12"/>
      <c r="AH355" s="12"/>
      <c r="AI355" s="12">
        <f t="shared" si="112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7"/>
        <v>0</v>
      </c>
      <c r="H356" s="12"/>
      <c r="I356" s="12"/>
      <c r="J356" s="12"/>
      <c r="K356" s="12">
        <f t="shared" si="108"/>
        <v>0</v>
      </c>
      <c r="M356" s="10">
        <v>15</v>
      </c>
      <c r="N356" s="30"/>
      <c r="O356" s="31"/>
      <c r="P356" s="32"/>
      <c r="Q356" s="32"/>
      <c r="R356" s="32"/>
      <c r="S356" s="32">
        <f t="shared" si="109"/>
        <v>0</v>
      </c>
      <c r="T356" s="12"/>
      <c r="U356" s="12"/>
      <c r="V356" s="12"/>
      <c r="W356" s="12">
        <f t="shared" si="110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5"/>
        <v>0</v>
      </c>
      <c r="AF356" s="12"/>
      <c r="AG356" s="12"/>
      <c r="AH356" s="12"/>
      <c r="AI356" s="12">
        <f t="shared" si="112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107"/>
        <v>0</v>
      </c>
      <c r="H357" s="12"/>
      <c r="I357" s="12"/>
      <c r="J357" s="12"/>
      <c r="K357" s="12">
        <f t="shared" si="108"/>
        <v>0</v>
      </c>
      <c r="M357" s="10">
        <v>16</v>
      </c>
      <c r="N357" s="30"/>
      <c r="O357" s="31"/>
      <c r="P357" s="32"/>
      <c r="Q357" s="32"/>
      <c r="R357" s="32"/>
      <c r="S357" s="32">
        <f t="shared" si="109"/>
        <v>0</v>
      </c>
      <c r="T357" s="12"/>
      <c r="U357" s="12"/>
      <c r="V357" s="12"/>
      <c r="W357" s="12">
        <f t="shared" si="110"/>
        <v>0</v>
      </c>
      <c r="Y357" s="10">
        <v>16</v>
      </c>
      <c r="Z357" s="30"/>
      <c r="AA357" s="31"/>
      <c r="AB357" s="32"/>
      <c r="AC357" s="32"/>
      <c r="AD357" s="32"/>
      <c r="AE357" s="32">
        <f t="shared" si="115"/>
        <v>0</v>
      </c>
      <c r="AF357" s="12"/>
      <c r="AG357" s="12"/>
      <c r="AH357" s="12"/>
      <c r="AI357" s="12">
        <f t="shared" si="112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7"/>
        <v>0</v>
      </c>
      <c r="H358" s="12"/>
      <c r="I358" s="12"/>
      <c r="J358" s="12"/>
      <c r="K358" s="12">
        <f t="shared" si="108"/>
        <v>0</v>
      </c>
      <c r="M358" s="10">
        <v>17</v>
      </c>
      <c r="N358" s="30"/>
      <c r="O358" s="31"/>
      <c r="P358" s="35"/>
      <c r="Q358" s="32"/>
      <c r="R358" s="32"/>
      <c r="S358" s="32">
        <f t="shared" si="109"/>
        <v>0</v>
      </c>
      <c r="T358" s="12"/>
      <c r="U358" s="12"/>
      <c r="V358" s="12"/>
      <c r="W358" s="12">
        <f t="shared" si="110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5"/>
        <v>0</v>
      </c>
      <c r="AF358" s="12"/>
      <c r="AG358" s="12"/>
      <c r="AH358" s="12"/>
      <c r="AI358" s="12">
        <f t="shared" si="112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7"/>
        <v>0</v>
      </c>
      <c r="H359" s="12"/>
      <c r="I359" s="12"/>
      <c r="J359" s="12"/>
      <c r="K359" s="12">
        <f t="shared" si="108"/>
        <v>0</v>
      </c>
      <c r="M359" s="10">
        <v>18</v>
      </c>
      <c r="N359" s="30"/>
      <c r="O359" s="31"/>
      <c r="P359" s="32"/>
      <c r="Q359" s="32"/>
      <c r="R359" s="32"/>
      <c r="S359" s="32">
        <f t="shared" si="109"/>
        <v>0</v>
      </c>
      <c r="T359" s="12"/>
      <c r="U359" s="12"/>
      <c r="V359" s="12"/>
      <c r="W359" s="12">
        <f t="shared" si="110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5"/>
        <v>0</v>
      </c>
      <c r="AF359" s="12"/>
      <c r="AG359" s="12"/>
      <c r="AH359" s="12"/>
      <c r="AI359" s="12">
        <f t="shared" si="112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7"/>
        <v>0</v>
      </c>
      <c r="H360" s="12"/>
      <c r="I360" s="12"/>
      <c r="J360" s="12"/>
      <c r="K360" s="12">
        <f t="shared" si="108"/>
        <v>0</v>
      </c>
      <c r="M360" s="10">
        <v>19</v>
      </c>
      <c r="N360" s="30"/>
      <c r="O360" s="31"/>
      <c r="P360" s="32"/>
      <c r="Q360" s="32"/>
      <c r="R360" s="32"/>
      <c r="S360" s="32">
        <f t="shared" si="109"/>
        <v>0</v>
      </c>
      <c r="T360" s="12"/>
      <c r="U360" s="12"/>
      <c r="V360" s="12"/>
      <c r="W360" s="12">
        <f t="shared" si="110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5"/>
        <v>0</v>
      </c>
      <c r="AF360" s="12"/>
      <c r="AG360" s="12"/>
      <c r="AH360" s="12"/>
      <c r="AI360" s="12">
        <f t="shared" si="112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57"/>
      <c r="D361" s="32"/>
      <c r="E361" s="32"/>
      <c r="F361" s="32"/>
      <c r="G361" s="32">
        <f t="shared" si="107"/>
        <v>0</v>
      </c>
      <c r="H361" s="12"/>
      <c r="I361" s="12"/>
      <c r="J361" s="12"/>
      <c r="K361" s="12">
        <f t="shared" si="108"/>
        <v>0</v>
      </c>
      <c r="M361" s="10">
        <v>20</v>
      </c>
      <c r="N361" s="30"/>
      <c r="O361" s="31"/>
      <c r="P361" s="32"/>
      <c r="Q361" s="32"/>
      <c r="R361" s="32"/>
      <c r="S361" s="32">
        <f t="shared" si="109"/>
        <v>0</v>
      </c>
      <c r="T361" s="12"/>
      <c r="U361" s="12"/>
      <c r="V361" s="12"/>
      <c r="W361" s="12">
        <f t="shared" si="110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5"/>
        <v>0</v>
      </c>
      <c r="AF361" s="12"/>
      <c r="AG361" s="12"/>
      <c r="AH361" s="12"/>
      <c r="AI361" s="12">
        <f t="shared" si="112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7"/>
        <v>0</v>
      </c>
      <c r="H362" s="10"/>
      <c r="I362" s="10"/>
      <c r="J362" s="10"/>
      <c r="K362" s="12">
        <f t="shared" si="108"/>
        <v>0</v>
      </c>
      <c r="M362" s="10">
        <v>21</v>
      </c>
      <c r="N362" s="30"/>
      <c r="O362" s="31"/>
      <c r="P362" s="46"/>
      <c r="Q362" s="31"/>
      <c r="R362" s="31"/>
      <c r="S362" s="32">
        <f t="shared" si="109"/>
        <v>0</v>
      </c>
      <c r="T362" s="10"/>
      <c r="U362" s="10"/>
      <c r="V362" s="10"/>
      <c r="W362" s="12">
        <f t="shared" si="110"/>
        <v>0</v>
      </c>
      <c r="Y362" s="10">
        <v>21</v>
      </c>
      <c r="Z362" s="30"/>
      <c r="AB362" s="46"/>
      <c r="AC362" s="31"/>
      <c r="AD362" s="31"/>
      <c r="AE362" s="32">
        <f t="shared" si="115"/>
        <v>0</v>
      </c>
      <c r="AF362" s="10"/>
      <c r="AG362" s="10"/>
      <c r="AH362" s="10"/>
      <c r="AI362" s="12">
        <f t="shared" si="112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7"/>
        <v>0</v>
      </c>
      <c r="H363" s="10"/>
      <c r="I363" s="10"/>
      <c r="J363" s="10"/>
      <c r="K363" s="12">
        <f t="shared" si="108"/>
        <v>0</v>
      </c>
      <c r="M363" s="10">
        <v>22</v>
      </c>
      <c r="N363" s="30"/>
      <c r="O363" s="31"/>
      <c r="P363" s="45"/>
      <c r="Q363" s="31"/>
      <c r="R363" s="31"/>
      <c r="S363" s="32">
        <f t="shared" si="109"/>
        <v>0</v>
      </c>
      <c r="T363" s="10"/>
      <c r="U363" s="10"/>
      <c r="V363" s="10"/>
      <c r="W363" s="12">
        <f t="shared" si="110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5"/>
        <v>0</v>
      </c>
      <c r="AF363" s="10"/>
      <c r="AG363" s="10"/>
      <c r="AH363" s="10"/>
      <c r="AI363" s="12">
        <f t="shared" si="112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7"/>
        <v>0</v>
      </c>
      <c r="H364" s="10"/>
      <c r="I364" s="10"/>
      <c r="J364" s="12"/>
      <c r="K364" s="12">
        <f t="shared" si="108"/>
        <v>0</v>
      </c>
      <c r="M364" s="10">
        <v>23</v>
      </c>
      <c r="N364" s="30"/>
      <c r="O364" s="31"/>
      <c r="P364" s="47"/>
      <c r="Q364" s="31"/>
      <c r="S364" s="32">
        <f t="shared" si="109"/>
        <v>0</v>
      </c>
      <c r="T364" s="10"/>
      <c r="U364" s="10"/>
      <c r="V364" s="10"/>
      <c r="W364" s="12">
        <f t="shared" si="110"/>
        <v>0</v>
      </c>
      <c r="Y364" s="10">
        <v>23</v>
      </c>
      <c r="Z364" s="30"/>
      <c r="AA364" s="31"/>
      <c r="AB364" s="47"/>
      <c r="AC364" s="31"/>
      <c r="AE364" s="32">
        <f t="shared" si="115"/>
        <v>0</v>
      </c>
      <c r="AF364" s="10"/>
      <c r="AG364" s="10"/>
      <c r="AH364" s="10"/>
      <c r="AI364" s="12">
        <f t="shared" si="112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7"/>
        <v>0</v>
      </c>
      <c r="H365" s="10"/>
      <c r="I365" s="10"/>
      <c r="J365" s="10"/>
      <c r="K365" s="12">
        <f t="shared" si="108"/>
        <v>0</v>
      </c>
      <c r="M365" s="10">
        <v>24</v>
      </c>
      <c r="N365" s="30"/>
      <c r="O365" s="31"/>
      <c r="P365" s="47"/>
      <c r="Q365" s="31"/>
      <c r="R365" s="31"/>
      <c r="S365" s="32">
        <f t="shared" si="109"/>
        <v>0</v>
      </c>
      <c r="T365" s="10"/>
      <c r="U365" s="10"/>
      <c r="V365" s="10"/>
      <c r="W365" s="12">
        <f t="shared" si="110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5"/>
        <v>0</v>
      </c>
      <c r="AF365" s="10"/>
      <c r="AG365" s="10"/>
      <c r="AH365" s="10"/>
      <c r="AI365" s="12">
        <f t="shared" si="112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91"/>
      <c r="D366" s="32"/>
      <c r="E366" s="32"/>
      <c r="F366" s="32"/>
      <c r="G366" s="32">
        <f t="shared" si="107"/>
        <v>0</v>
      </c>
      <c r="H366" s="10"/>
      <c r="I366" s="10"/>
      <c r="J366" s="10"/>
      <c r="K366" s="12">
        <f t="shared" si="108"/>
        <v>0</v>
      </c>
      <c r="M366" s="10">
        <v>25</v>
      </c>
      <c r="N366" s="30"/>
      <c r="O366" s="31"/>
      <c r="P366" s="47"/>
      <c r="Q366" s="31"/>
      <c r="R366" s="31"/>
      <c r="S366" s="32">
        <f t="shared" si="109"/>
        <v>0</v>
      </c>
      <c r="T366" s="10"/>
      <c r="U366" s="10"/>
      <c r="V366" s="10"/>
      <c r="W366" s="12">
        <f t="shared" si="110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5"/>
        <v>0</v>
      </c>
      <c r="AF366" s="10"/>
      <c r="AG366" s="10"/>
      <c r="AH366" s="10"/>
      <c r="AI366" s="12">
        <f t="shared" si="112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7"/>
        <v>0</v>
      </c>
      <c r="H367" s="10"/>
      <c r="I367" s="10"/>
      <c r="J367" s="10"/>
      <c r="K367" s="12">
        <f t="shared" si="108"/>
        <v>0</v>
      </c>
      <c r="M367" s="10">
        <v>26</v>
      </c>
      <c r="N367" s="30"/>
      <c r="O367" s="31"/>
      <c r="P367" s="47"/>
      <c r="Q367" s="31"/>
      <c r="R367" s="31"/>
      <c r="S367" s="32">
        <f t="shared" si="109"/>
        <v>0</v>
      </c>
      <c r="T367" s="10"/>
      <c r="U367" s="10"/>
      <c r="V367" s="10"/>
      <c r="W367" s="12">
        <f t="shared" si="110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5"/>
        <v>0</v>
      </c>
      <c r="AF367" s="10"/>
      <c r="AG367" s="10"/>
      <c r="AH367" s="10"/>
      <c r="AI367" s="12">
        <f t="shared" si="112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7"/>
        <v>0</v>
      </c>
      <c r="H368" s="10"/>
      <c r="I368" s="10"/>
      <c r="J368" s="10"/>
      <c r="K368" s="12">
        <f t="shared" si="108"/>
        <v>0</v>
      </c>
      <c r="M368" s="10">
        <v>27</v>
      </c>
      <c r="N368" s="30"/>
      <c r="O368" s="31"/>
      <c r="P368" s="47"/>
      <c r="Q368" s="31"/>
      <c r="R368" s="31"/>
      <c r="S368" s="32">
        <f t="shared" si="109"/>
        <v>0</v>
      </c>
      <c r="T368" s="10"/>
      <c r="U368" s="10"/>
      <c r="V368" s="10"/>
      <c r="W368" s="12">
        <f t="shared" si="110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5"/>
        <v>0</v>
      </c>
      <c r="AF368" s="10"/>
      <c r="AG368" s="10"/>
      <c r="AH368" s="10"/>
      <c r="AI368" s="12">
        <f t="shared" si="112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7"/>
        <v>0</v>
      </c>
      <c r="H369" s="10"/>
      <c r="I369" s="10"/>
      <c r="J369" s="10"/>
      <c r="K369" s="12">
        <f t="shared" si="108"/>
        <v>0</v>
      </c>
      <c r="M369" s="10">
        <v>28</v>
      </c>
      <c r="N369" s="30"/>
      <c r="O369" s="31"/>
      <c r="P369" s="47"/>
      <c r="Q369" s="31"/>
      <c r="R369" s="31"/>
      <c r="S369" s="32">
        <f t="shared" si="109"/>
        <v>0</v>
      </c>
      <c r="T369" s="10"/>
      <c r="U369" s="10"/>
      <c r="V369" s="10"/>
      <c r="W369" s="12">
        <f t="shared" si="110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5"/>
        <v>0</v>
      </c>
      <c r="AF369" s="10"/>
      <c r="AG369" s="10"/>
      <c r="AH369" s="10"/>
      <c r="AI369" s="12">
        <f t="shared" si="112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7"/>
        <v>0</v>
      </c>
      <c r="H370" s="10"/>
      <c r="I370" s="10"/>
      <c r="J370" s="10"/>
      <c r="K370" s="12">
        <f t="shared" si="108"/>
        <v>0</v>
      </c>
      <c r="M370" s="10">
        <v>29</v>
      </c>
      <c r="N370" s="30"/>
      <c r="O370" s="31"/>
      <c r="P370" s="47"/>
      <c r="Q370" s="31"/>
      <c r="R370" s="31"/>
      <c r="S370" s="32">
        <f t="shared" si="109"/>
        <v>0</v>
      </c>
      <c r="T370" s="10"/>
      <c r="U370" s="10"/>
      <c r="V370" s="10"/>
      <c r="W370" s="12">
        <f t="shared" si="110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5"/>
        <v>0</v>
      </c>
      <c r="AF370" s="10"/>
      <c r="AG370" s="10"/>
      <c r="AH370" s="10"/>
      <c r="AI370" s="12">
        <f t="shared" si="112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7"/>
        <v>0</v>
      </c>
      <c r="H371" s="10"/>
      <c r="I371" s="10"/>
      <c r="J371" s="10"/>
      <c r="K371" s="12">
        <f t="shared" si="108"/>
        <v>0</v>
      </c>
      <c r="M371" s="10">
        <v>30</v>
      </c>
      <c r="N371" s="30"/>
      <c r="O371" s="31"/>
      <c r="P371" s="47"/>
      <c r="Q371" s="31"/>
      <c r="R371" s="31"/>
      <c r="S371" s="32">
        <f t="shared" si="109"/>
        <v>0</v>
      </c>
      <c r="T371" s="10"/>
      <c r="U371" s="10"/>
      <c r="V371" s="10"/>
      <c r="W371" s="12">
        <f t="shared" si="110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5"/>
        <v>0</v>
      </c>
      <c r="AF371" s="10"/>
      <c r="AG371" s="10"/>
      <c r="AH371" s="10"/>
      <c r="AI371" s="12">
        <f t="shared" si="112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7"/>
        <v>0</v>
      </c>
      <c r="H372" s="10"/>
      <c r="I372" s="10"/>
      <c r="J372" s="10"/>
      <c r="K372" s="12">
        <f t="shared" si="108"/>
        <v>0</v>
      </c>
      <c r="M372" s="10">
        <v>31</v>
      </c>
      <c r="N372" s="30"/>
      <c r="O372" s="31"/>
      <c r="P372" s="47"/>
      <c r="Q372" s="31"/>
      <c r="R372" s="31"/>
      <c r="S372" s="32">
        <f t="shared" si="109"/>
        <v>0</v>
      </c>
      <c r="T372" s="10"/>
      <c r="U372" s="10"/>
      <c r="V372" s="10"/>
      <c r="W372" s="12">
        <f t="shared" si="110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5"/>
        <v>0</v>
      </c>
      <c r="AF372" s="10"/>
      <c r="AG372" s="10"/>
      <c r="AH372" s="10"/>
      <c r="AI372" s="12">
        <f t="shared" si="112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7"/>
        <v>0</v>
      </c>
      <c r="H373" s="10"/>
      <c r="I373" s="10"/>
      <c r="J373" s="10"/>
      <c r="K373" s="12">
        <f t="shared" si="108"/>
        <v>0</v>
      </c>
      <c r="M373" s="10">
        <v>32</v>
      </c>
      <c r="N373" s="30"/>
      <c r="O373" s="31"/>
      <c r="P373" s="47"/>
      <c r="Q373" s="31"/>
      <c r="R373" s="31"/>
      <c r="S373" s="32">
        <f t="shared" si="109"/>
        <v>0</v>
      </c>
      <c r="T373" s="10"/>
      <c r="U373" s="10"/>
      <c r="V373" s="10"/>
      <c r="W373" s="12">
        <f t="shared" si="110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5"/>
        <v>0</v>
      </c>
      <c r="AF373" s="10"/>
      <c r="AG373" s="10"/>
      <c r="AH373" s="10"/>
      <c r="AI373" s="12">
        <f t="shared" si="112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7"/>
        <v>0</v>
      </c>
      <c r="H374" s="10"/>
      <c r="I374" s="10"/>
      <c r="J374" s="10"/>
      <c r="K374" s="12">
        <f t="shared" si="108"/>
        <v>0</v>
      </c>
      <c r="M374" s="10">
        <v>33</v>
      </c>
      <c r="N374" s="30"/>
      <c r="O374" s="31"/>
      <c r="P374" s="47"/>
      <c r="Q374" s="31"/>
      <c r="R374" s="31"/>
      <c r="S374" s="32">
        <f t="shared" si="109"/>
        <v>0</v>
      </c>
      <c r="T374" s="10"/>
      <c r="U374" s="10"/>
      <c r="V374" s="10"/>
      <c r="W374" s="12">
        <f t="shared" si="110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5"/>
        <v>0</v>
      </c>
      <c r="AF374" s="10"/>
      <c r="AG374" s="10"/>
      <c r="AH374" s="10"/>
      <c r="AI374" s="12">
        <f t="shared" si="112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7"/>
        <v>0</v>
      </c>
      <c r="H375" s="10"/>
      <c r="I375" s="10"/>
      <c r="J375" s="10"/>
      <c r="K375" s="12">
        <f t="shared" si="108"/>
        <v>0</v>
      </c>
      <c r="M375" s="10">
        <v>34</v>
      </c>
      <c r="N375" s="30"/>
      <c r="O375" s="31"/>
      <c r="P375" s="47"/>
      <c r="Q375" s="31"/>
      <c r="R375" s="31"/>
      <c r="S375" s="32">
        <f t="shared" si="109"/>
        <v>0</v>
      </c>
      <c r="T375" s="10"/>
      <c r="U375" s="10"/>
      <c r="V375" s="10"/>
      <c r="W375" s="12">
        <f t="shared" si="110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16">SUM(AB375:AC375)</f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9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9"/>
        <v>0</v>
      </c>
      <c r="T376" s="10"/>
      <c r="U376" s="10"/>
      <c r="V376" s="10"/>
      <c r="W376" s="12">
        <f t="shared" si="110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6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9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9"/>
        <v>0</v>
      </c>
      <c r="T377" s="10"/>
      <c r="U377" s="10"/>
      <c r="V377" s="10"/>
      <c r="W377" s="12">
        <f t="shared" si="110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6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9"/>
        <v>0</v>
      </c>
      <c r="T378" s="10"/>
      <c r="U378" s="10"/>
      <c r="V378" s="10"/>
      <c r="W378" s="12">
        <f t="shared" si="110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6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9"/>
        <v>0</v>
      </c>
      <c r="T379" s="10"/>
      <c r="U379" s="10"/>
      <c r="V379" s="10"/>
      <c r="W379" s="12">
        <f t="shared" si="110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6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9"/>
        <v>0</v>
      </c>
      <c r="T380" s="10"/>
      <c r="U380" s="10"/>
      <c r="V380" s="10"/>
      <c r="W380" s="12">
        <f t="shared" si="110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6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0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0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0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425130</v>
      </c>
      <c r="E385" s="38">
        <f t="shared" ref="E385:F385" si="122">SUM(E342:E382)</f>
        <v>-3882</v>
      </c>
      <c r="F385" s="38">
        <f t="shared" si="122"/>
        <v>0</v>
      </c>
      <c r="G385" s="38">
        <f>SUM(G342:G384)</f>
        <v>421248</v>
      </c>
      <c r="H385" s="4"/>
      <c r="I385" s="39">
        <f>SUM(I342:I384)</f>
        <v>0</v>
      </c>
      <c r="J385" s="39">
        <f>SUM(J342:J384)</f>
        <v>-25905</v>
      </c>
      <c r="K385" s="40">
        <f>SUM(K342:K384)</f>
        <v>395343</v>
      </c>
      <c r="N385" s="57"/>
      <c r="O385" s="57"/>
      <c r="P385" s="38">
        <f>SUM(P342:P384)</f>
        <v>232260</v>
      </c>
      <c r="Q385" s="38">
        <f>SUM(Q342:Q366)</f>
        <v>-1074</v>
      </c>
      <c r="R385" s="38">
        <f>SUM(R342:R366)</f>
        <v>0</v>
      </c>
      <c r="S385" s="38">
        <f>SUM(S342:S384)</f>
        <v>231186</v>
      </c>
      <c r="T385" s="4"/>
      <c r="U385" s="41">
        <f>SUM(U342:U384)</f>
        <v>679.5</v>
      </c>
      <c r="V385" s="41">
        <f>SUM(V342:V366)</f>
        <v>-6051</v>
      </c>
      <c r="W385" s="42">
        <f>SUM(W342:W384)</f>
        <v>225814.5</v>
      </c>
      <c r="Z385" s="57"/>
      <c r="AA385" s="57"/>
      <c r="AB385" s="38">
        <f>SUM(AB342:AB384)</f>
        <v>292274</v>
      </c>
      <c r="AC385" s="38">
        <f>SUM(AC342:AC366)</f>
        <v>-1356</v>
      </c>
      <c r="AD385" s="38">
        <f>SUM(AD342:AD366)</f>
        <v>0</v>
      </c>
      <c r="AE385" s="38">
        <f>SUM(AE342:AE384)</f>
        <v>290918</v>
      </c>
      <c r="AF385" s="4"/>
      <c r="AG385" s="41">
        <f>SUM(AG342:AG384)</f>
        <v>216</v>
      </c>
      <c r="AH385" s="41">
        <f>SUM(AH342:AH366)</f>
        <v>-1776</v>
      </c>
      <c r="AI385" s="42">
        <f>SUM(AI342:AI384)</f>
        <v>289358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61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54</v>
      </c>
      <c r="W393" s="24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21" t="s">
        <v>17</v>
      </c>
      <c r="E395" s="121"/>
      <c r="F395" s="103"/>
      <c r="G395" s="27"/>
      <c r="I395" s="117" t="s">
        <v>18</v>
      </c>
      <c r="J395" s="118"/>
      <c r="K395" s="119" t="s">
        <v>19</v>
      </c>
      <c r="N395" s="25"/>
      <c r="O395" s="26"/>
      <c r="P395" s="121" t="s">
        <v>17</v>
      </c>
      <c r="Q395" s="121"/>
      <c r="R395" s="103"/>
      <c r="S395" s="27"/>
      <c r="U395" s="117" t="s">
        <v>18</v>
      </c>
      <c r="V395" s="118"/>
      <c r="W395" s="119" t="s">
        <v>19</v>
      </c>
      <c r="Z395" s="25"/>
      <c r="AA395" s="26"/>
      <c r="AB395" s="121" t="s">
        <v>17</v>
      </c>
      <c r="AC395" s="121"/>
      <c r="AD395" s="103"/>
      <c r="AE395" s="27"/>
      <c r="AG395" s="117" t="s">
        <v>18</v>
      </c>
      <c r="AH395" s="118"/>
      <c r="AI395" s="11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20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20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2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46296</v>
      </c>
      <c r="C397" s="91">
        <v>8338</v>
      </c>
      <c r="D397" s="32">
        <f>650*15</f>
        <v>9750</v>
      </c>
      <c r="E397" s="32"/>
      <c r="F397" s="32"/>
      <c r="G397" s="32">
        <f t="shared" ref="G397:G430" si="123">SUM(D397:E397)</f>
        <v>9750</v>
      </c>
      <c r="H397" s="12"/>
      <c r="I397" s="12"/>
      <c r="J397" s="12"/>
      <c r="K397" s="12">
        <f t="shared" ref="K397:K430" si="124">SUM(G397:J397)</f>
        <v>9750</v>
      </c>
      <c r="M397" s="10">
        <v>1</v>
      </c>
      <c r="N397" s="30">
        <v>46296</v>
      </c>
      <c r="O397" s="31">
        <v>8182</v>
      </c>
      <c r="P397" s="32">
        <f>19500+6700+6220+229</f>
        <v>32649</v>
      </c>
      <c r="Q397" s="32"/>
      <c r="R397" s="32"/>
      <c r="S397" s="32">
        <f>SUM(P397:Q397)</f>
        <v>32649</v>
      </c>
      <c r="T397" s="12"/>
      <c r="U397" s="12"/>
      <c r="V397" s="12"/>
      <c r="W397" s="12">
        <f>SUM(S397:V397)</f>
        <v>32649</v>
      </c>
      <c r="Y397" s="10">
        <v>1</v>
      </c>
      <c r="Z397" s="30">
        <v>46296</v>
      </c>
      <c r="AA397" s="31">
        <v>8374</v>
      </c>
      <c r="AB397" s="32">
        <f>650*25+670*3+622+229</f>
        <v>19111</v>
      </c>
      <c r="AC397" s="32"/>
      <c r="AD397" s="32"/>
      <c r="AE397" s="32">
        <f>SUM(AB397:AC397)</f>
        <v>19111</v>
      </c>
      <c r="AF397" s="12"/>
      <c r="AG397" s="12">
        <v>117</v>
      </c>
      <c r="AH397" s="12"/>
      <c r="AI397" s="12">
        <f>SUM(AE397:AH397)</f>
        <v>19228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46296</v>
      </c>
      <c r="C398" s="31">
        <f>C397+1</f>
        <v>8339</v>
      </c>
      <c r="D398" s="32">
        <f>4550+670+66.5</f>
        <v>5286.5</v>
      </c>
      <c r="E398" s="32"/>
      <c r="F398" s="32"/>
      <c r="G398" s="32">
        <f t="shared" si="123"/>
        <v>5286.5</v>
      </c>
      <c r="H398" s="12"/>
      <c r="I398" s="12"/>
      <c r="J398" s="12"/>
      <c r="K398" s="12">
        <f t="shared" si="124"/>
        <v>5286.5</v>
      </c>
      <c r="M398" s="10">
        <v>2</v>
      </c>
      <c r="N398" s="30">
        <v>46296</v>
      </c>
      <c r="O398" s="31">
        <f>O397+1</f>
        <v>8183</v>
      </c>
      <c r="P398" s="32">
        <f>5200+1244+9.5*10</f>
        <v>6539</v>
      </c>
      <c r="Q398" s="32"/>
      <c r="R398" s="32"/>
      <c r="S398" s="32">
        <f t="shared" ref="S398:S435" si="125">SUM(P398:Q398)</f>
        <v>6539</v>
      </c>
      <c r="T398" s="12"/>
      <c r="U398" s="12"/>
      <c r="V398" s="12"/>
      <c r="W398" s="12">
        <f t="shared" ref="W398:W438" si="126">SUM(S398:V398)</f>
        <v>6539</v>
      </c>
      <c r="Y398" s="10">
        <v>2</v>
      </c>
      <c r="Z398" s="30">
        <v>46296</v>
      </c>
      <c r="AA398" s="31">
        <f>AA397+1</f>
        <v>8375</v>
      </c>
      <c r="AB398" s="32">
        <f>650*45+622*10+872*2+229</f>
        <v>37443</v>
      </c>
      <c r="AC398" s="32">
        <v>-342</v>
      </c>
      <c r="AD398" s="32"/>
      <c r="AE398" s="32">
        <f t="shared" ref="AE398:AE400" si="127">SUM(AB398:AC398)</f>
        <v>37101</v>
      </c>
      <c r="AF398" s="12"/>
      <c r="AG398" s="12"/>
      <c r="AH398" s="12"/>
      <c r="AI398" s="12">
        <f t="shared" ref="AI398:AI429" si="128">SUM(AE398:AH398)</f>
        <v>37101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46296</v>
      </c>
      <c r="C399" s="31">
        <f t="shared" ref="C399:C417" si="129">C398+1</f>
        <v>8340</v>
      </c>
      <c r="D399" s="33">
        <f>6500+95</f>
        <v>6595</v>
      </c>
      <c r="E399" s="33"/>
      <c r="F399" s="33"/>
      <c r="G399" s="33">
        <f t="shared" si="123"/>
        <v>6595</v>
      </c>
      <c r="H399" s="34"/>
      <c r="I399" s="34">
        <v>9</v>
      </c>
      <c r="J399" s="34"/>
      <c r="K399" s="34">
        <f t="shared" si="124"/>
        <v>6604</v>
      </c>
      <c r="M399" s="10">
        <v>3</v>
      </c>
      <c r="N399" s="30">
        <v>46296</v>
      </c>
      <c r="O399" s="31">
        <f t="shared" ref="O399:O410" si="130">O398+1</f>
        <v>8184</v>
      </c>
      <c r="P399" s="32">
        <f>650*4+670*2+9.5*4</f>
        <v>3978</v>
      </c>
      <c r="Q399" s="32"/>
      <c r="R399" s="32"/>
      <c r="S399" s="32">
        <f t="shared" si="125"/>
        <v>3978</v>
      </c>
      <c r="T399" s="12"/>
      <c r="U399" s="12"/>
      <c r="V399" s="12"/>
      <c r="W399" s="12">
        <f t="shared" si="126"/>
        <v>3978</v>
      </c>
      <c r="Y399" s="10">
        <v>3</v>
      </c>
      <c r="Z399" s="30">
        <v>46296</v>
      </c>
      <c r="AA399" s="31">
        <f t="shared" ref="AA399:AA400" si="131">AA398+1</f>
        <v>8376</v>
      </c>
      <c r="AB399" s="33">
        <f>140400</f>
        <v>140400</v>
      </c>
      <c r="AC399" s="33">
        <v>-1296</v>
      </c>
      <c r="AD399" s="32"/>
      <c r="AE399" s="32">
        <f t="shared" si="127"/>
        <v>139104</v>
      </c>
      <c r="AF399" s="12"/>
      <c r="AG399" s="12"/>
      <c r="AH399" s="12"/>
      <c r="AI399" s="12">
        <f t="shared" si="128"/>
        <v>139104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46296</v>
      </c>
      <c r="C400" s="31">
        <f t="shared" si="129"/>
        <v>8341</v>
      </c>
      <c r="D400" s="32">
        <f>650*62+229</f>
        <v>40529</v>
      </c>
      <c r="E400" s="32"/>
      <c r="F400" s="32"/>
      <c r="G400" s="32">
        <f t="shared" si="123"/>
        <v>40529</v>
      </c>
      <c r="H400" s="12"/>
      <c r="I400" s="12"/>
      <c r="J400" s="12"/>
      <c r="K400" s="12">
        <f t="shared" si="124"/>
        <v>40529</v>
      </c>
      <c r="M400" s="10">
        <v>4</v>
      </c>
      <c r="N400" s="30">
        <v>46296</v>
      </c>
      <c r="O400" s="31">
        <f t="shared" si="130"/>
        <v>8185</v>
      </c>
      <c r="P400" s="32">
        <f>2600+9.5*4</f>
        <v>2638</v>
      </c>
      <c r="Q400" s="32"/>
      <c r="R400" s="32"/>
      <c r="S400" s="32">
        <f t="shared" si="125"/>
        <v>2638</v>
      </c>
      <c r="T400" s="12"/>
      <c r="U400" s="12"/>
      <c r="V400" s="12"/>
      <c r="W400" s="12">
        <f t="shared" si="126"/>
        <v>2638</v>
      </c>
      <c r="Y400" s="10">
        <v>4</v>
      </c>
      <c r="Z400" s="30">
        <v>46296</v>
      </c>
      <c r="AA400" s="31">
        <f t="shared" si="131"/>
        <v>8377</v>
      </c>
      <c r="AB400" s="32">
        <f>650*108+1175+912*2+229*4</f>
        <v>74115</v>
      </c>
      <c r="AC400" s="32">
        <v>-666</v>
      </c>
      <c r="AD400" s="32"/>
      <c r="AE400" s="32">
        <f t="shared" si="127"/>
        <v>73449</v>
      </c>
      <c r="AF400" s="12"/>
      <c r="AG400">
        <f>312</f>
        <v>312</v>
      </c>
      <c r="AH400" s="12">
        <f>-111*227+-168+-3696+-630</f>
        <v>-29691</v>
      </c>
      <c r="AI400" s="12">
        <f t="shared" si="128"/>
        <v>44070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46296</v>
      </c>
      <c r="C401" s="31">
        <f t="shared" si="129"/>
        <v>8342</v>
      </c>
      <c r="D401" s="32">
        <f>5200+1340+76</f>
        <v>6616</v>
      </c>
      <c r="E401" s="32"/>
      <c r="F401" s="32"/>
      <c r="G401" s="32">
        <f t="shared" si="123"/>
        <v>6616</v>
      </c>
      <c r="H401" s="12"/>
      <c r="I401" s="12"/>
      <c r="J401" s="12"/>
      <c r="K401" s="12">
        <f t="shared" si="124"/>
        <v>6616</v>
      </c>
      <c r="M401" s="10">
        <v>5</v>
      </c>
      <c r="N401" s="30">
        <v>46296</v>
      </c>
      <c r="O401" s="31">
        <f t="shared" si="130"/>
        <v>8186</v>
      </c>
      <c r="P401" s="32">
        <f>650*3+622*2+9.5*5</f>
        <v>3241.5</v>
      </c>
      <c r="Q401" s="32"/>
      <c r="R401" s="32"/>
      <c r="S401" s="32">
        <f t="shared" si="125"/>
        <v>3241.5</v>
      </c>
      <c r="T401" s="12"/>
      <c r="U401" s="12"/>
      <c r="V401" s="12"/>
      <c r="W401" s="12">
        <f t="shared" si="126"/>
        <v>3241.5</v>
      </c>
      <c r="Y401" s="10">
        <v>5</v>
      </c>
      <c r="Z401" s="30"/>
      <c r="AA401" s="11" t="s">
        <v>27</v>
      </c>
      <c r="AB401" s="32"/>
      <c r="AC401" s="32"/>
      <c r="AD401" s="32"/>
      <c r="AE401" s="32">
        <f t="shared" ref="AE401:AE429" si="132">SUM(AB401:AC401)</f>
        <v>0</v>
      </c>
      <c r="AF401" s="12"/>
      <c r="AG401" s="12"/>
      <c r="AH401" s="12"/>
      <c r="AI401" s="12">
        <f t="shared" si="12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46296</v>
      </c>
      <c r="C402" s="31">
        <f t="shared" si="129"/>
        <v>8343</v>
      </c>
      <c r="D402" s="32">
        <f>32500+458</f>
        <v>32958</v>
      </c>
      <c r="E402" s="32"/>
      <c r="F402" s="32"/>
      <c r="G402" s="32">
        <f t="shared" si="123"/>
        <v>32958</v>
      </c>
      <c r="H402" s="12"/>
      <c r="I402" s="12"/>
      <c r="J402" s="12"/>
      <c r="K402" s="12">
        <f t="shared" si="124"/>
        <v>32958</v>
      </c>
      <c r="M402" s="10">
        <v>6</v>
      </c>
      <c r="N402" s="30">
        <v>46296</v>
      </c>
      <c r="O402" s="31">
        <f t="shared" si="130"/>
        <v>8187</v>
      </c>
      <c r="P402" s="32">
        <f>1950+622+9.5*4</f>
        <v>2610</v>
      </c>
      <c r="Q402" s="32"/>
      <c r="R402" s="32"/>
      <c r="S402" s="32">
        <f t="shared" si="125"/>
        <v>2610</v>
      </c>
      <c r="T402" s="12"/>
      <c r="U402" s="12">
        <f>45+13.5</f>
        <v>58.5</v>
      </c>
      <c r="V402" s="10"/>
      <c r="W402" s="12">
        <f t="shared" si="126"/>
        <v>2668.5</v>
      </c>
      <c r="Y402" s="10">
        <v>6</v>
      </c>
      <c r="Z402" s="30"/>
      <c r="AA402" s="31"/>
      <c r="AB402" s="32"/>
      <c r="AC402" s="32"/>
      <c r="AD402" s="32"/>
      <c r="AE402" s="32">
        <f t="shared" si="132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46296</v>
      </c>
      <c r="C403" s="31">
        <f t="shared" si="129"/>
        <v>8344</v>
      </c>
      <c r="D403" s="32">
        <f>20800+229</f>
        <v>21029</v>
      </c>
      <c r="E403" s="32"/>
      <c r="F403" s="32"/>
      <c r="G403" s="32">
        <f t="shared" si="123"/>
        <v>21029</v>
      </c>
      <c r="H403" s="12"/>
      <c r="I403" s="12"/>
      <c r="J403" s="12"/>
      <c r="K403" s="12">
        <f t="shared" si="124"/>
        <v>21029</v>
      </c>
      <c r="M403" s="10">
        <v>7</v>
      </c>
      <c r="N403" s="30">
        <v>46296</v>
      </c>
      <c r="O403" s="31">
        <f t="shared" si="130"/>
        <v>8188</v>
      </c>
      <c r="P403" s="32">
        <f>650*4+622*2+9.5*6</f>
        <v>3901</v>
      </c>
      <c r="Q403" s="32"/>
      <c r="R403" s="32"/>
      <c r="S403" s="32">
        <f t="shared" si="125"/>
        <v>3901</v>
      </c>
      <c r="T403" s="12"/>
      <c r="U403" s="12"/>
      <c r="V403" s="12"/>
      <c r="W403" s="12">
        <f t="shared" si="126"/>
        <v>3901</v>
      </c>
      <c r="Y403" s="10">
        <v>7</v>
      </c>
      <c r="Z403" s="30"/>
      <c r="AB403" s="32"/>
      <c r="AC403" s="32"/>
      <c r="AD403" s="32"/>
      <c r="AE403" s="32">
        <f t="shared" si="132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46296</v>
      </c>
      <c r="C404" s="31">
        <f t="shared" si="129"/>
        <v>8345</v>
      </c>
      <c r="D404" s="32">
        <f>37050+12440</f>
        <v>49490</v>
      </c>
      <c r="E404" s="32"/>
      <c r="F404" s="32"/>
      <c r="G404" s="32">
        <f t="shared" si="123"/>
        <v>49490</v>
      </c>
      <c r="H404" s="12"/>
      <c r="I404" s="12"/>
      <c r="J404" s="12"/>
      <c r="K404" s="12">
        <f t="shared" si="124"/>
        <v>49490</v>
      </c>
      <c r="M404" s="10">
        <v>8</v>
      </c>
      <c r="N404" s="30">
        <v>46296</v>
      </c>
      <c r="O404" s="31">
        <f t="shared" si="130"/>
        <v>8189</v>
      </c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32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46296</v>
      </c>
      <c r="C405" s="31">
        <f t="shared" si="129"/>
        <v>8346</v>
      </c>
      <c r="D405" s="32">
        <f>3250+47.5</f>
        <v>3297.5</v>
      </c>
      <c r="E405" s="32"/>
      <c r="F405" s="32"/>
      <c r="G405" s="32">
        <f t="shared" si="123"/>
        <v>3297.5</v>
      </c>
      <c r="H405" s="12"/>
      <c r="I405" s="12"/>
      <c r="J405" s="12"/>
      <c r="K405" s="12">
        <f t="shared" si="124"/>
        <v>3297.5</v>
      </c>
      <c r="M405" s="10">
        <v>9</v>
      </c>
      <c r="N405" s="30">
        <v>46296</v>
      </c>
      <c r="O405" s="31">
        <f t="shared" si="130"/>
        <v>8190</v>
      </c>
      <c r="P405" s="32">
        <f>650*170+670*5+1667+622*20+229*7+650*2</f>
        <v>130860</v>
      </c>
      <c r="Q405" s="32">
        <v>-1176</v>
      </c>
      <c r="R405" s="32"/>
      <c r="S405" s="32">
        <f t="shared" si="125"/>
        <v>129684</v>
      </c>
      <c r="T405" s="12"/>
      <c r="U405" s="12">
        <v>390</v>
      </c>
      <c r="V405" s="12">
        <v>-5328</v>
      </c>
      <c r="W405" s="12">
        <f t="shared" si="126"/>
        <v>124746</v>
      </c>
      <c r="Y405" s="10">
        <v>9</v>
      </c>
      <c r="Z405" s="30"/>
      <c r="AA405" s="31"/>
      <c r="AB405" s="32"/>
      <c r="AC405" s="32"/>
      <c r="AD405" s="32"/>
      <c r="AE405" s="32">
        <f t="shared" si="132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46296</v>
      </c>
      <c r="C406" s="31">
        <f t="shared" si="129"/>
        <v>8347</v>
      </c>
      <c r="D406" s="32">
        <f>6500+95</f>
        <v>6595</v>
      </c>
      <c r="E406" s="32"/>
      <c r="F406" s="32"/>
      <c r="G406" s="32">
        <f t="shared" si="123"/>
        <v>6595</v>
      </c>
      <c r="H406" s="12"/>
      <c r="I406" s="12"/>
      <c r="J406" s="12"/>
      <c r="K406" s="12">
        <f t="shared" si="124"/>
        <v>6595</v>
      </c>
      <c r="M406" s="10">
        <v>10</v>
      </c>
      <c r="N406" s="30">
        <v>46296</v>
      </c>
      <c r="O406" s="31">
        <f t="shared" si="130"/>
        <v>8191</v>
      </c>
      <c r="P406" s="32">
        <f>650*17+670*2</f>
        <v>12390</v>
      </c>
      <c r="Q406" s="32"/>
      <c r="R406" s="32"/>
      <c r="S406" s="32">
        <f t="shared" si="125"/>
        <v>12390</v>
      </c>
      <c r="T406" s="12"/>
      <c r="U406" s="12">
        <v>18</v>
      </c>
      <c r="V406" s="12"/>
      <c r="W406" s="12">
        <f t="shared" si="126"/>
        <v>12408</v>
      </c>
      <c r="Y406" s="10">
        <v>10</v>
      </c>
      <c r="Z406" s="30"/>
      <c r="AA406" s="31"/>
      <c r="AB406" s="32"/>
      <c r="AC406" s="32"/>
      <c r="AD406" s="32"/>
      <c r="AE406" s="32">
        <f t="shared" si="132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46296</v>
      </c>
      <c r="C407" s="31">
        <f t="shared" si="129"/>
        <v>8348</v>
      </c>
      <c r="D407" s="32">
        <f>18200+872</f>
        <v>19072</v>
      </c>
      <c r="E407" s="32"/>
      <c r="F407" s="32"/>
      <c r="G407" s="32">
        <f t="shared" si="123"/>
        <v>19072</v>
      </c>
      <c r="H407" s="12"/>
      <c r="I407" s="12">
        <f>36+90</f>
        <v>126</v>
      </c>
      <c r="J407" s="12"/>
      <c r="K407" s="12">
        <f t="shared" si="124"/>
        <v>19198</v>
      </c>
      <c r="M407" s="10">
        <v>11</v>
      </c>
      <c r="N407" s="30">
        <v>46296</v>
      </c>
      <c r="O407" s="31">
        <f t="shared" si="130"/>
        <v>8192</v>
      </c>
      <c r="P407" s="32">
        <f>5200+76</f>
        <v>5276</v>
      </c>
      <c r="Q407" s="32"/>
      <c r="R407" s="32"/>
      <c r="S407" s="32">
        <f t="shared" si="125"/>
        <v>5276</v>
      </c>
      <c r="T407" s="12"/>
      <c r="U407" s="12"/>
      <c r="V407" s="12">
        <v>-3108</v>
      </c>
      <c r="W407" s="12">
        <f t="shared" si="126"/>
        <v>2168</v>
      </c>
      <c r="Y407" s="10">
        <v>11</v>
      </c>
      <c r="Z407" s="30"/>
      <c r="AA407" s="31"/>
      <c r="AB407" s="32"/>
      <c r="AC407" s="32"/>
      <c r="AD407" s="32"/>
      <c r="AE407" s="32">
        <f t="shared" si="132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46296</v>
      </c>
      <c r="C408" s="31">
        <f t="shared" si="129"/>
        <v>8349</v>
      </c>
      <c r="D408" s="32">
        <f>11700+171</f>
        <v>11871</v>
      </c>
      <c r="E408" s="32"/>
      <c r="F408" s="32"/>
      <c r="G408" s="32">
        <f t="shared" si="123"/>
        <v>11871</v>
      </c>
      <c r="H408" s="12"/>
      <c r="I408" s="12">
        <v>99</v>
      </c>
      <c r="J408" s="10"/>
      <c r="K408" s="12">
        <f t="shared" si="124"/>
        <v>11970</v>
      </c>
      <c r="M408" s="10">
        <v>12</v>
      </c>
      <c r="N408" s="30">
        <v>46296</v>
      </c>
      <c r="O408" s="31">
        <f t="shared" si="130"/>
        <v>8193</v>
      </c>
      <c r="P408" s="32">
        <f>3250+872+47.5</f>
        <v>4169.5</v>
      </c>
      <c r="Q408" s="32"/>
      <c r="R408" s="32"/>
      <c r="S408" s="32">
        <f t="shared" si="125"/>
        <v>4169.5</v>
      </c>
      <c r="T408" s="12"/>
      <c r="U408" s="12"/>
      <c r="V408" s="12"/>
      <c r="W408" s="12">
        <f t="shared" si="126"/>
        <v>4169.5</v>
      </c>
      <c r="Y408" s="10">
        <v>12</v>
      </c>
      <c r="Z408" s="30"/>
      <c r="AA408" s="31"/>
      <c r="AB408" s="32"/>
      <c r="AC408" s="32"/>
      <c r="AD408" s="32"/>
      <c r="AE408" s="32">
        <f t="shared" si="132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46296</v>
      </c>
      <c r="C409" s="31">
        <f t="shared" si="129"/>
        <v>8350</v>
      </c>
      <c r="D409" s="32">
        <f>3250+47.5</f>
        <v>3297.5</v>
      </c>
      <c r="E409" s="32"/>
      <c r="F409" s="32"/>
      <c r="G409" s="32">
        <f t="shared" si="123"/>
        <v>3297.5</v>
      </c>
      <c r="H409" s="12"/>
      <c r="I409" s="12">
        <v>555</v>
      </c>
      <c r="J409" s="12"/>
      <c r="K409" s="12">
        <f t="shared" si="124"/>
        <v>3852.5</v>
      </c>
      <c r="M409" s="10">
        <v>13</v>
      </c>
      <c r="N409" s="30">
        <v>46296</v>
      </c>
      <c r="O409" s="31">
        <f t="shared" si="130"/>
        <v>8194</v>
      </c>
      <c r="P409" s="32">
        <f>650*2+9.5*2</f>
        <v>1319</v>
      </c>
      <c r="Q409" s="32"/>
      <c r="R409" s="32"/>
      <c r="S409" s="32">
        <f t="shared" si="125"/>
        <v>1319</v>
      </c>
      <c r="T409" s="12"/>
      <c r="U409" s="12"/>
      <c r="V409" s="12"/>
      <c r="W409" s="12">
        <f t="shared" si="126"/>
        <v>1319</v>
      </c>
      <c r="Y409" s="10">
        <v>13</v>
      </c>
      <c r="Z409" s="30"/>
      <c r="AA409" s="31"/>
      <c r="AB409" s="32"/>
      <c r="AC409" s="32"/>
      <c r="AD409" s="32"/>
      <c r="AE409" s="32">
        <f t="shared" si="132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46296</v>
      </c>
      <c r="C410" s="31">
        <v>8401</v>
      </c>
      <c r="D410" s="32">
        <f>650*113</f>
        <v>73450</v>
      </c>
      <c r="E410" s="32"/>
      <c r="F410" s="32"/>
      <c r="G410" s="32">
        <f t="shared" si="123"/>
        <v>73450</v>
      </c>
      <c r="H410" s="12"/>
      <c r="I410" s="12">
        <v>27</v>
      </c>
      <c r="J410" s="12"/>
      <c r="K410" s="12">
        <f t="shared" si="124"/>
        <v>73477</v>
      </c>
      <c r="M410" s="10">
        <v>14</v>
      </c>
      <c r="N410" s="30">
        <v>46296</v>
      </c>
      <c r="O410" s="31">
        <f t="shared" si="130"/>
        <v>8195</v>
      </c>
      <c r="P410" s="32">
        <f>3900+872+57</f>
        <v>4829</v>
      </c>
      <c r="Q410" s="32"/>
      <c r="R410" s="32"/>
      <c r="S410" s="32">
        <f t="shared" si="125"/>
        <v>4829</v>
      </c>
      <c r="T410" s="12"/>
      <c r="U410" s="12"/>
      <c r="V410" s="12"/>
      <c r="W410" s="12">
        <f t="shared" si="126"/>
        <v>4829</v>
      </c>
      <c r="Y410" s="10">
        <v>14</v>
      </c>
      <c r="Z410" s="30"/>
      <c r="AA410" s="31"/>
      <c r="AB410" s="32"/>
      <c r="AC410" s="32"/>
      <c r="AD410" s="32"/>
      <c r="AE410" s="32">
        <f t="shared" si="132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46296</v>
      </c>
      <c r="C411" s="31">
        <f t="shared" si="129"/>
        <v>8402</v>
      </c>
      <c r="D411" s="32">
        <f>1950+28.5</f>
        <v>1978.5</v>
      </c>
      <c r="E411" s="32"/>
      <c r="F411" s="32"/>
      <c r="G411" s="32">
        <f t="shared" si="123"/>
        <v>1978.5</v>
      </c>
      <c r="H411" s="12"/>
      <c r="I411" s="12"/>
      <c r="J411" s="12"/>
      <c r="K411" s="12">
        <f t="shared" si="124"/>
        <v>1978.5</v>
      </c>
      <c r="M411" s="10">
        <v>15</v>
      </c>
      <c r="N411" s="30"/>
      <c r="O411" s="11" t="s">
        <v>27</v>
      </c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2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46296</v>
      </c>
      <c r="C412" s="31">
        <f t="shared" si="129"/>
        <v>8403</v>
      </c>
      <c r="D412" s="32">
        <f>9750+142.56</f>
        <v>9892.56</v>
      </c>
      <c r="E412" s="32"/>
      <c r="F412" s="32"/>
      <c r="G412" s="32">
        <f t="shared" si="123"/>
        <v>9892.56</v>
      </c>
      <c r="H412" s="12"/>
      <c r="I412" s="12"/>
      <c r="J412" s="12"/>
      <c r="K412" s="12">
        <f t="shared" si="124"/>
        <v>9892.56</v>
      </c>
      <c r="M412" s="10">
        <v>16</v>
      </c>
      <c r="N412" s="30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32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46296</v>
      </c>
      <c r="C413" s="31">
        <f t="shared" si="129"/>
        <v>8404</v>
      </c>
      <c r="D413" s="32">
        <f>8450</f>
        <v>8450</v>
      </c>
      <c r="E413" s="32"/>
      <c r="F413" s="32"/>
      <c r="G413" s="32">
        <f t="shared" si="123"/>
        <v>8450</v>
      </c>
      <c r="H413" s="12"/>
      <c r="I413" s="12"/>
      <c r="J413" s="12"/>
      <c r="K413" s="12">
        <f t="shared" si="124"/>
        <v>8450</v>
      </c>
      <c r="M413" s="10">
        <v>17</v>
      </c>
      <c r="N413" s="30"/>
      <c r="O413" s="31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2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46296</v>
      </c>
      <c r="C414" s="31">
        <f t="shared" si="129"/>
        <v>8405</v>
      </c>
      <c r="D414" s="32">
        <f>3900+57</f>
        <v>3957</v>
      </c>
      <c r="E414" s="32"/>
      <c r="F414" s="32"/>
      <c r="G414" s="32">
        <f t="shared" si="123"/>
        <v>3957</v>
      </c>
      <c r="H414" s="12"/>
      <c r="I414" s="12"/>
      <c r="J414" s="12"/>
      <c r="K414" s="12">
        <f t="shared" si="124"/>
        <v>3957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2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46296</v>
      </c>
      <c r="C415" s="31">
        <f t="shared" si="129"/>
        <v>8406</v>
      </c>
      <c r="D415" s="32">
        <f>650*6+57</f>
        <v>3957</v>
      </c>
      <c r="E415" s="32"/>
      <c r="F415" s="32"/>
      <c r="G415" s="32">
        <f t="shared" si="123"/>
        <v>3957</v>
      </c>
      <c r="H415" s="12"/>
      <c r="I415" s="12"/>
      <c r="J415" s="12"/>
      <c r="K415" s="12">
        <f t="shared" si="124"/>
        <v>3957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2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46296</v>
      </c>
      <c r="C416" s="31">
        <f t="shared" si="129"/>
        <v>8407</v>
      </c>
      <c r="D416" s="32">
        <f>650*4</f>
        <v>2600</v>
      </c>
      <c r="E416" s="32"/>
      <c r="F416" s="32"/>
      <c r="G416" s="32">
        <f t="shared" si="123"/>
        <v>2600</v>
      </c>
      <c r="H416" s="12"/>
      <c r="I416" s="12"/>
      <c r="J416" s="12"/>
      <c r="K416" s="12">
        <f t="shared" si="124"/>
        <v>2600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32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46296</v>
      </c>
      <c r="C417" s="31">
        <f t="shared" si="129"/>
        <v>8408</v>
      </c>
      <c r="D417" s="32">
        <f>973*70+912*2+1050*2+872*2</f>
        <v>73778</v>
      </c>
      <c r="E417" s="32"/>
      <c r="F417" s="32"/>
      <c r="G417" s="32">
        <f t="shared" si="123"/>
        <v>73778</v>
      </c>
      <c r="H417" s="10"/>
      <c r="I417" s="10"/>
      <c r="J417" s="10"/>
      <c r="K417" s="12">
        <f t="shared" si="124"/>
        <v>73778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32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11" t="s">
        <v>27</v>
      </c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2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31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Q419" s="31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C419" s="31"/>
      <c r="AE419" s="32">
        <f t="shared" si="132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2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2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3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O422" s="31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2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31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2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2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O425" s="31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2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91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O426" s="31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2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2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O428" s="31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2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2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si="125"/>
        <v>0</v>
      </c>
      <c r="T430" s="10"/>
      <c r="U430" s="10"/>
      <c r="V430" s="10"/>
      <c r="W430" s="12">
        <f t="shared" si="126"/>
        <v>0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33">SUM(AB430:AC430)</f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9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5"/>
        <v>0</v>
      </c>
      <c r="T431" s="10"/>
      <c r="U431" s="10"/>
      <c r="V431" s="10"/>
      <c r="W431" s="12">
        <f t="shared" si="12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3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9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5"/>
        <v>0</v>
      </c>
      <c r="T432" s="10"/>
      <c r="U432" s="10"/>
      <c r="V432" s="10"/>
      <c r="W432" s="12">
        <f t="shared" si="12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3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5"/>
        <v>0</v>
      </c>
      <c r="T433" s="10"/>
      <c r="U433" s="10"/>
      <c r="V433" s="10"/>
      <c r="W433" s="12">
        <f t="shared" si="12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3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5"/>
        <v>0</v>
      </c>
      <c r="T434" s="10"/>
      <c r="U434" s="10"/>
      <c r="V434" s="10"/>
      <c r="W434" s="12">
        <f t="shared" si="12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3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5"/>
        <v>0</v>
      </c>
      <c r="T435" s="10"/>
      <c r="U435" s="10"/>
      <c r="V435" s="10"/>
      <c r="W435" s="12">
        <f t="shared" si="12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3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26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394449.56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394449.56</v>
      </c>
      <c r="H440" s="4"/>
      <c r="I440" s="39">
        <f>SUM(I397:I439)</f>
        <v>816</v>
      </c>
      <c r="J440" s="39">
        <f>SUM(J397:J439)</f>
        <v>0</v>
      </c>
      <c r="K440" s="40">
        <f>SUM(K397:K439)</f>
        <v>395265.56</v>
      </c>
      <c r="N440" s="57"/>
      <c r="O440" s="57"/>
      <c r="P440" s="38">
        <f>SUM(P397:P439)</f>
        <v>214400</v>
      </c>
      <c r="Q440" s="38">
        <f>SUM(Q397:Q421)</f>
        <v>-1176</v>
      </c>
      <c r="R440" s="38">
        <f>SUM(R397:R421)</f>
        <v>0</v>
      </c>
      <c r="S440" s="38">
        <f>SUM(S397:S439)</f>
        <v>213224</v>
      </c>
      <c r="T440" s="4"/>
      <c r="U440" s="41">
        <f>SUM(U397:U439)</f>
        <v>466.5</v>
      </c>
      <c r="V440" s="41">
        <f>SUM(V397:V421)</f>
        <v>-8436</v>
      </c>
      <c r="W440" s="42">
        <f>SUM(W397:W439)</f>
        <v>205254.5</v>
      </c>
      <c r="Z440" s="57"/>
      <c r="AA440" s="57"/>
      <c r="AB440" s="38">
        <f>SUM(AB397:AB439)</f>
        <v>271069</v>
      </c>
      <c r="AC440" s="38">
        <f>SUM(AC397:AC421)</f>
        <v>-2304</v>
      </c>
      <c r="AD440" s="38">
        <f>SUM(AD397:AD421)</f>
        <v>0</v>
      </c>
      <c r="AE440" s="38">
        <f>SUM(AE397:AE439)</f>
        <v>268765</v>
      </c>
      <c r="AF440" s="4"/>
      <c r="AG440" s="41">
        <f>SUM(AG397:AG439)</f>
        <v>429</v>
      </c>
      <c r="AH440" s="41">
        <f>SUM(AH397:AH421)</f>
        <v>-29691</v>
      </c>
      <c r="AI440" s="42">
        <f>SUM(AI397:AI439)</f>
        <v>239503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63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63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54</v>
      </c>
      <c r="W448" s="24"/>
      <c r="Y448" s="21" t="s">
        <v>63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1" t="s">
        <v>17</v>
      </c>
      <c r="E450" s="121"/>
      <c r="F450" s="104"/>
      <c r="G450" s="27"/>
      <c r="I450" s="117" t="s">
        <v>18</v>
      </c>
      <c r="J450" s="118"/>
      <c r="K450" s="119" t="s">
        <v>19</v>
      </c>
      <c r="N450" s="25"/>
      <c r="O450" s="26"/>
      <c r="P450" s="121" t="s">
        <v>17</v>
      </c>
      <c r="Q450" s="121"/>
      <c r="R450" s="104"/>
      <c r="S450" s="27"/>
      <c r="U450" s="117" t="s">
        <v>18</v>
      </c>
      <c r="V450" s="118"/>
      <c r="W450" s="119" t="s">
        <v>19</v>
      </c>
      <c r="Z450" s="25"/>
      <c r="AA450" s="26"/>
      <c r="AB450" s="121" t="s">
        <v>17</v>
      </c>
      <c r="AC450" s="121"/>
      <c r="AD450" s="104"/>
      <c r="AE450" s="27"/>
      <c r="AG450" s="117" t="s">
        <v>18</v>
      </c>
      <c r="AH450" s="118"/>
      <c r="AI450" s="11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20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20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2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46357</v>
      </c>
      <c r="C452" s="91">
        <v>8409</v>
      </c>
      <c r="D452" s="32">
        <f>1950+28.5</f>
        <v>1978.5</v>
      </c>
      <c r="E452" s="32"/>
      <c r="F452" s="32"/>
      <c r="G452" s="32">
        <f t="shared" ref="G452:G485" si="140">SUM(D452:E452)</f>
        <v>1978.5</v>
      </c>
      <c r="H452" s="12"/>
      <c r="I452" s="12">
        <v>13.5</v>
      </c>
      <c r="J452" s="12"/>
      <c r="K452" s="12">
        <f t="shared" ref="K452:K485" si="141">SUM(G452:J452)</f>
        <v>1992</v>
      </c>
      <c r="M452" s="10">
        <v>1</v>
      </c>
      <c r="N452" s="30">
        <v>46357</v>
      </c>
      <c r="O452" s="31">
        <v>8196</v>
      </c>
      <c r="P452" s="32">
        <f>458</f>
        <v>458</v>
      </c>
      <c r="Q452" s="32"/>
      <c r="R452" s="32"/>
      <c r="S452" s="32">
        <f>SUM(P452:Q452)</f>
        <v>458</v>
      </c>
      <c r="T452" s="12"/>
      <c r="U452" s="12"/>
      <c r="V452" s="12"/>
      <c r="W452" s="12">
        <f>SUM(S452:V452)</f>
        <v>458</v>
      </c>
      <c r="Y452" s="10">
        <v>1</v>
      </c>
      <c r="Z452" s="30">
        <v>46357</v>
      </c>
      <c r="AA452" s="31">
        <v>8378</v>
      </c>
      <c r="AB452" s="32">
        <f>115*650+670*6+622*50</f>
        <v>109870</v>
      </c>
      <c r="AC452" s="32">
        <v>-1026</v>
      </c>
      <c r="AD452" s="32"/>
      <c r="AE452" s="32">
        <f>SUM(AB452:AC452)</f>
        <v>108844</v>
      </c>
      <c r="AF452" s="12"/>
      <c r="AG452" s="12"/>
      <c r="AH452" s="12">
        <v>-756</v>
      </c>
      <c r="AI452" s="12">
        <f>SUM(AE452:AH452)</f>
        <v>108088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46357</v>
      </c>
      <c r="C453" s="31">
        <f>C452+1</f>
        <v>8410</v>
      </c>
      <c r="D453" s="32">
        <f>4550+66.5</f>
        <v>4616.5</v>
      </c>
      <c r="E453" s="32"/>
      <c r="F453" s="32"/>
      <c r="G453" s="32">
        <f t="shared" si="140"/>
        <v>4616.5</v>
      </c>
      <c r="H453" s="12"/>
      <c r="I453" s="12">
        <v>6</v>
      </c>
      <c r="J453" s="12"/>
      <c r="K453" s="12">
        <f t="shared" si="141"/>
        <v>4622.5</v>
      </c>
      <c r="M453" s="10">
        <v>2</v>
      </c>
      <c r="N453" s="30">
        <v>46357</v>
      </c>
      <c r="O453" s="31">
        <f>O452+1</f>
        <v>8197</v>
      </c>
      <c r="P453" s="32">
        <f>5200+1244+95</f>
        <v>6539</v>
      </c>
      <c r="Q453" s="32"/>
      <c r="R453" s="32"/>
      <c r="S453" s="32">
        <f t="shared" ref="S453:S490" si="142">SUM(P453:Q453)</f>
        <v>6539</v>
      </c>
      <c r="T453" s="12"/>
      <c r="U453" s="12"/>
      <c r="V453" s="12"/>
      <c r="W453" s="12">
        <f t="shared" ref="W453:W493" si="143">SUM(S453:V453)</f>
        <v>6539</v>
      </c>
      <c r="Y453" s="10">
        <v>2</v>
      </c>
      <c r="Z453" s="30">
        <v>46357</v>
      </c>
      <c r="AA453" s="31">
        <f>AA452+1</f>
        <v>8379</v>
      </c>
      <c r="AB453" s="32">
        <f>1300+872+229</f>
        <v>2401</v>
      </c>
      <c r="AC453" s="32"/>
      <c r="AD453" s="32"/>
      <c r="AE453" s="32">
        <f t="shared" ref="AE453:AE455" si="144">SUM(AB453:AC453)</f>
        <v>2401</v>
      </c>
      <c r="AF453" s="12"/>
      <c r="AG453" s="12"/>
      <c r="AH453" s="12"/>
      <c r="AI453" s="12">
        <f t="shared" ref="AI453:AI484" si="145">SUM(AE453:AH453)</f>
        <v>2401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46357</v>
      </c>
      <c r="C454" s="31">
        <f t="shared" ref="C454:C463" si="146">C453+1</f>
        <v>8411</v>
      </c>
      <c r="D454" s="33">
        <f>650*25+670*4+973*2+1175+912+1050+2616+142.5+1000</f>
        <v>27771.5</v>
      </c>
      <c r="E454" s="33"/>
      <c r="F454" s="33"/>
      <c r="G454" s="33">
        <f t="shared" si="140"/>
        <v>27771.5</v>
      </c>
      <c r="H454" s="34"/>
      <c r="I454" s="34">
        <f>1.5*15+594+120+156</f>
        <v>892.5</v>
      </c>
      <c r="J454" s="34"/>
      <c r="K454" s="34">
        <f t="shared" si="141"/>
        <v>28664</v>
      </c>
      <c r="M454" s="10">
        <v>3</v>
      </c>
      <c r="N454" s="30">
        <v>46357</v>
      </c>
      <c r="O454" s="31">
        <f t="shared" ref="O454:O458" si="147">O453+1</f>
        <v>8198</v>
      </c>
      <c r="P454" s="32">
        <f>3250+47.5+1.5</f>
        <v>3299</v>
      </c>
      <c r="Q454" s="32"/>
      <c r="R454" s="32"/>
      <c r="S454" s="32">
        <f t="shared" si="142"/>
        <v>3299</v>
      </c>
      <c r="T454" s="12"/>
      <c r="U454" s="12"/>
      <c r="V454" s="12"/>
      <c r="W454" s="12">
        <f t="shared" si="143"/>
        <v>3299</v>
      </c>
      <c r="Y454" s="10">
        <v>3</v>
      </c>
      <c r="Z454" s="30">
        <v>46357</v>
      </c>
      <c r="AA454" s="31">
        <f t="shared" ref="AA454:AA456" si="148">AA453+1</f>
        <v>8380</v>
      </c>
      <c r="AB454" s="33">
        <f>650*50+1744+458</f>
        <v>34702</v>
      </c>
      <c r="AC454" s="33">
        <v>-312</v>
      </c>
      <c r="AD454" s="32"/>
      <c r="AE454" s="32">
        <f t="shared" si="144"/>
        <v>34390</v>
      </c>
      <c r="AF454" s="12"/>
      <c r="AG454" s="12">
        <v>72</v>
      </c>
      <c r="AH454" s="12"/>
      <c r="AI454" s="12">
        <f t="shared" si="145"/>
        <v>34462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46357</v>
      </c>
      <c r="C455" s="31">
        <f t="shared" si="146"/>
        <v>8412</v>
      </c>
      <c r="D455" s="32">
        <f>650*17+670*2</f>
        <v>12390</v>
      </c>
      <c r="E455" s="32"/>
      <c r="F455" s="32"/>
      <c r="G455" s="32">
        <f t="shared" si="140"/>
        <v>12390</v>
      </c>
      <c r="H455" s="12"/>
      <c r="I455" s="12">
        <v>31.5</v>
      </c>
      <c r="J455" s="12"/>
      <c r="K455" s="12">
        <f t="shared" si="141"/>
        <v>12421.5</v>
      </c>
      <c r="M455" s="10">
        <v>4</v>
      </c>
      <c r="N455" s="30">
        <v>46357</v>
      </c>
      <c r="O455" s="31">
        <f t="shared" si="147"/>
        <v>8199</v>
      </c>
      <c r="P455" s="32">
        <f>650*4+670+9.5*4</f>
        <v>3308</v>
      </c>
      <c r="Q455" s="32"/>
      <c r="R455" s="32"/>
      <c r="S455" s="32">
        <f t="shared" si="142"/>
        <v>3308</v>
      </c>
      <c r="T455" s="12"/>
      <c r="U455" s="12"/>
      <c r="V455" s="12">
        <f>-222+-78</f>
        <v>-300</v>
      </c>
      <c r="W455" s="12">
        <f t="shared" si="143"/>
        <v>3008</v>
      </c>
      <c r="Y455" s="10">
        <v>4</v>
      </c>
      <c r="Z455" s="30">
        <v>46357</v>
      </c>
      <c r="AA455" s="31">
        <f t="shared" si="148"/>
        <v>8381</v>
      </c>
      <c r="AB455" s="32">
        <f>650*78+700+622*14</f>
        <v>60108</v>
      </c>
      <c r="AC455" s="32"/>
      <c r="AD455" s="32"/>
      <c r="AE455" s="32">
        <f t="shared" si="144"/>
        <v>60108</v>
      </c>
      <c r="AF455" s="12"/>
      <c r="AG455">
        <v>324</v>
      </c>
      <c r="AH455" s="12">
        <f>-111*31</f>
        <v>-3441</v>
      </c>
      <c r="AI455" s="12">
        <f t="shared" si="145"/>
        <v>56991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46357</v>
      </c>
      <c r="C456" s="31">
        <f t="shared" si="146"/>
        <v>8413</v>
      </c>
      <c r="D456" s="32">
        <f>2600+38</f>
        <v>2638</v>
      </c>
      <c r="E456" s="32"/>
      <c r="F456" s="32"/>
      <c r="G456" s="32">
        <f t="shared" si="140"/>
        <v>2638</v>
      </c>
      <c r="H456" s="12"/>
      <c r="I456" s="12"/>
      <c r="J456" s="12"/>
      <c r="K456" s="12">
        <f t="shared" si="141"/>
        <v>2638</v>
      </c>
      <c r="M456" s="10">
        <v>5</v>
      </c>
      <c r="N456" s="30">
        <v>46357</v>
      </c>
      <c r="O456" s="31">
        <f t="shared" si="147"/>
        <v>8200</v>
      </c>
      <c r="P456" s="32">
        <f>5850+85.5</f>
        <v>5935.5</v>
      </c>
      <c r="Q456" s="32"/>
      <c r="R456" s="32"/>
      <c r="S456" s="32">
        <f t="shared" si="142"/>
        <v>5935.5</v>
      </c>
      <c r="T456" s="12"/>
      <c r="U456" s="12"/>
      <c r="V456" s="12"/>
      <c r="W456" s="12">
        <f t="shared" si="143"/>
        <v>5935.5</v>
      </c>
      <c r="Y456" s="10">
        <v>5</v>
      </c>
      <c r="Z456" s="30">
        <v>46357</v>
      </c>
      <c r="AA456" s="31">
        <f t="shared" si="148"/>
        <v>8382</v>
      </c>
      <c r="AB456" s="32">
        <f>650*190+622*50+872*2+229*10</f>
        <v>158634</v>
      </c>
      <c r="AC456" s="32"/>
      <c r="AD456" s="32"/>
      <c r="AE456" s="32">
        <f t="shared" ref="AE456:AE484" si="149">SUM(AB456:AC456)</f>
        <v>158634</v>
      </c>
      <c r="AF456" s="12"/>
      <c r="AG456" s="12"/>
      <c r="AH456" s="12">
        <f>-16650+-1260</f>
        <v>-17910</v>
      </c>
      <c r="AI456" s="12">
        <f t="shared" si="145"/>
        <v>140724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46357</v>
      </c>
      <c r="C457" s="31">
        <f t="shared" si="146"/>
        <v>8414</v>
      </c>
      <c r="D457" s="32">
        <f>3250+1866+76</f>
        <v>5192</v>
      </c>
      <c r="E457" s="32"/>
      <c r="F457" s="32"/>
      <c r="G457" s="32">
        <f t="shared" si="140"/>
        <v>5192</v>
      </c>
      <c r="H457" s="12"/>
      <c r="I457" s="12"/>
      <c r="J457" s="12"/>
      <c r="K457" s="12">
        <f t="shared" si="141"/>
        <v>5192</v>
      </c>
      <c r="M457" s="10">
        <v>6</v>
      </c>
      <c r="N457" s="30">
        <v>46357</v>
      </c>
      <c r="O457" s="31">
        <v>8451</v>
      </c>
      <c r="P457" s="32">
        <f>650+9.5</f>
        <v>659.5</v>
      </c>
      <c r="Q457" s="32"/>
      <c r="R457" s="32"/>
      <c r="S457" s="32">
        <f t="shared" si="142"/>
        <v>659.5</v>
      </c>
      <c r="T457" s="12"/>
      <c r="U457" s="12">
        <v>18</v>
      </c>
      <c r="V457" s="10"/>
      <c r="W457" s="12">
        <f t="shared" si="143"/>
        <v>677.5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49"/>
        <v>0</v>
      </c>
      <c r="AF457" s="12"/>
      <c r="AG457" s="12"/>
      <c r="AH457" s="10"/>
      <c r="AI457" s="12">
        <f t="shared" si="145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46357</v>
      </c>
      <c r="C458" s="31">
        <f t="shared" si="146"/>
        <v>8415</v>
      </c>
      <c r="D458" s="32">
        <f>14950+1340+3110</f>
        <v>19400</v>
      </c>
      <c r="E458" s="32"/>
      <c r="F458" s="32"/>
      <c r="G458" s="32">
        <f t="shared" si="140"/>
        <v>19400</v>
      </c>
      <c r="H458" s="12"/>
      <c r="I458" s="12">
        <v>810</v>
      </c>
      <c r="J458" s="12"/>
      <c r="K458" s="12">
        <f t="shared" si="141"/>
        <v>20210</v>
      </c>
      <c r="M458" s="10">
        <v>7</v>
      </c>
      <c r="N458" s="30">
        <v>46357</v>
      </c>
      <c r="O458" s="31">
        <f t="shared" si="147"/>
        <v>8452</v>
      </c>
      <c r="P458" s="32">
        <f>324*650+670*10+622*108+10*229</f>
        <v>286766</v>
      </c>
      <c r="Q458" s="32">
        <v>-2652</v>
      </c>
      <c r="R458" s="32"/>
      <c r="S458" s="32">
        <f t="shared" si="142"/>
        <v>284114</v>
      </c>
      <c r="T458" s="12"/>
      <c r="U458" s="12"/>
      <c r="V458" s="12"/>
      <c r="W458" s="12">
        <f t="shared" si="143"/>
        <v>284114</v>
      </c>
      <c r="Y458" s="10">
        <v>7</v>
      </c>
      <c r="Z458" s="30"/>
      <c r="AA458" s="31"/>
      <c r="AB458" s="32"/>
      <c r="AC458" s="32"/>
      <c r="AD458" s="32"/>
      <c r="AE458" s="32">
        <f t="shared" si="149"/>
        <v>0</v>
      </c>
      <c r="AF458" s="12"/>
      <c r="AG458" s="58"/>
      <c r="AH458" s="12"/>
      <c r="AI458" s="12">
        <f t="shared" si="145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46357</v>
      </c>
      <c r="C459" s="31">
        <f t="shared" si="146"/>
        <v>8416</v>
      </c>
      <c r="D459" s="32">
        <f>1244</f>
        <v>1244</v>
      </c>
      <c r="E459" s="32"/>
      <c r="F459" s="32"/>
      <c r="G459" s="32">
        <f t="shared" si="140"/>
        <v>1244</v>
      </c>
      <c r="H459" s="12"/>
      <c r="I459" s="12">
        <v>222</v>
      </c>
      <c r="J459" s="12"/>
      <c r="K459" s="12">
        <f t="shared" si="141"/>
        <v>1466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42"/>
        <v>0</v>
      </c>
      <c r="T459" s="12"/>
      <c r="U459" s="12"/>
      <c r="V459" s="12"/>
      <c r="W459" s="12">
        <f t="shared" si="143"/>
        <v>0</v>
      </c>
      <c r="Y459" s="10">
        <v>8</v>
      </c>
      <c r="Z459" s="30"/>
      <c r="AA459" s="31"/>
      <c r="AB459" s="32"/>
      <c r="AC459" s="32"/>
      <c r="AE459" s="32">
        <f t="shared" si="149"/>
        <v>0</v>
      </c>
      <c r="AF459" s="12"/>
      <c r="AG459" s="12"/>
      <c r="AH459" s="12"/>
      <c r="AI459" s="12">
        <f t="shared" si="145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46357</v>
      </c>
      <c r="C460" s="31">
        <f t="shared" si="146"/>
        <v>8417</v>
      </c>
      <c r="D460" s="32">
        <f>650*5+670</f>
        <v>3920</v>
      </c>
      <c r="E460" s="32"/>
      <c r="F460" s="32"/>
      <c r="G460" s="32">
        <f t="shared" si="140"/>
        <v>3920</v>
      </c>
      <c r="H460" s="12"/>
      <c r="I460" s="12"/>
      <c r="J460" s="12"/>
      <c r="K460" s="12">
        <f t="shared" si="141"/>
        <v>3920</v>
      </c>
      <c r="M460" s="10">
        <v>9</v>
      </c>
      <c r="N460" s="30"/>
      <c r="O460" s="31"/>
      <c r="P460" s="32"/>
      <c r="Q460" s="32"/>
      <c r="R460" s="32"/>
      <c r="S460" s="32">
        <f t="shared" si="142"/>
        <v>0</v>
      </c>
      <c r="T460" s="12"/>
      <c r="U460" s="12"/>
      <c r="V460" s="12"/>
      <c r="W460" s="12">
        <f t="shared" si="143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9"/>
        <v>0</v>
      </c>
      <c r="AF460" s="12"/>
      <c r="AH460" s="12"/>
      <c r="AI460" s="12">
        <f t="shared" si="145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46357</v>
      </c>
      <c r="C461" s="31">
        <f t="shared" si="146"/>
        <v>8418</v>
      </c>
      <c r="D461" s="32">
        <f>650*125+700*5+973+622*10+912*2+1050+872*2+229*6</f>
        <v>97935</v>
      </c>
      <c r="E461" s="32"/>
      <c r="F461" s="32"/>
      <c r="G461" s="32">
        <f t="shared" si="140"/>
        <v>97935</v>
      </c>
      <c r="H461" s="12"/>
      <c r="I461" s="12">
        <v>2664</v>
      </c>
      <c r="J461" s="12">
        <v>-1092</v>
      </c>
      <c r="K461" s="12">
        <f t="shared" si="141"/>
        <v>99507</v>
      </c>
      <c r="M461" s="10">
        <v>10</v>
      </c>
      <c r="N461" s="30"/>
      <c r="O461" s="31"/>
      <c r="P461" s="32"/>
      <c r="Q461" s="32"/>
      <c r="R461" s="32"/>
      <c r="S461" s="32">
        <f t="shared" si="142"/>
        <v>0</v>
      </c>
      <c r="T461" s="12"/>
      <c r="U461" s="12"/>
      <c r="V461" s="12"/>
      <c r="W461" s="12">
        <f t="shared" si="143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9"/>
        <v>0</v>
      </c>
      <c r="AF461" s="12"/>
      <c r="AG461" s="12"/>
      <c r="AH461" s="12"/>
      <c r="AI461" s="12">
        <f t="shared" si="145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46357</v>
      </c>
      <c r="C462" s="31">
        <f t="shared" si="146"/>
        <v>8419</v>
      </c>
      <c r="D462" s="32">
        <f>9750+1340+142.5</f>
        <v>11232.5</v>
      </c>
      <c r="E462" s="32"/>
      <c r="F462" s="32"/>
      <c r="G462" s="32">
        <f t="shared" si="140"/>
        <v>11232.5</v>
      </c>
      <c r="H462" s="12"/>
      <c r="I462" s="12">
        <v>216</v>
      </c>
      <c r="J462" s="12"/>
      <c r="K462" s="12">
        <f t="shared" si="141"/>
        <v>11448.5</v>
      </c>
      <c r="M462" s="10">
        <v>11</v>
      </c>
      <c r="N462" s="30"/>
      <c r="O462" s="31"/>
      <c r="P462" s="32"/>
      <c r="Q462" s="32"/>
      <c r="R462" s="32"/>
      <c r="S462" s="32">
        <f t="shared" si="142"/>
        <v>0</v>
      </c>
      <c r="T462" s="12"/>
      <c r="U462" s="12"/>
      <c r="V462" s="12"/>
      <c r="W462" s="12">
        <f t="shared" si="143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9"/>
        <v>0</v>
      </c>
      <c r="AF462" s="12"/>
      <c r="AG462" s="12"/>
      <c r="AH462" s="12"/>
      <c r="AI462" s="12">
        <f t="shared" si="145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46357</v>
      </c>
      <c r="C463" s="31">
        <f t="shared" si="146"/>
        <v>8420</v>
      </c>
      <c r="D463" s="32">
        <f>2350+1175+1050</f>
        <v>4575</v>
      </c>
      <c r="E463" s="32"/>
      <c r="F463" s="32"/>
      <c r="G463" s="32">
        <f t="shared" si="140"/>
        <v>4575</v>
      </c>
      <c r="H463" s="12"/>
      <c r="I463" s="12"/>
      <c r="J463" s="10"/>
      <c r="K463" s="12">
        <f t="shared" si="141"/>
        <v>4575</v>
      </c>
      <c r="M463" s="10">
        <v>12</v>
      </c>
      <c r="N463" s="30"/>
      <c r="O463" s="31"/>
      <c r="P463" s="32"/>
      <c r="Q463" s="32"/>
      <c r="R463" s="32"/>
      <c r="S463" s="32">
        <f t="shared" si="142"/>
        <v>0</v>
      </c>
      <c r="T463" s="12"/>
      <c r="U463" s="12"/>
      <c r="V463" s="12"/>
      <c r="W463" s="12">
        <f t="shared" si="143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9"/>
        <v>0</v>
      </c>
      <c r="AF463" s="12"/>
      <c r="AG463" s="12"/>
      <c r="AH463" s="12"/>
      <c r="AI463" s="12">
        <f t="shared" si="145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11" t="s">
        <v>27</v>
      </c>
      <c r="D464" s="32"/>
      <c r="E464" s="32"/>
      <c r="F464" s="32"/>
      <c r="G464" s="32">
        <f t="shared" si="140"/>
        <v>0</v>
      </c>
      <c r="H464" s="12"/>
      <c r="I464" s="12"/>
      <c r="J464" s="12"/>
      <c r="K464" s="12">
        <f t="shared" si="141"/>
        <v>0</v>
      </c>
      <c r="M464" s="10">
        <v>13</v>
      </c>
      <c r="N464" s="30"/>
      <c r="O464" s="31"/>
      <c r="P464" s="32"/>
      <c r="Q464" s="32"/>
      <c r="R464" s="32"/>
      <c r="S464" s="32">
        <f t="shared" si="142"/>
        <v>0</v>
      </c>
      <c r="T464" s="12"/>
      <c r="U464" s="12"/>
      <c r="V464" s="12"/>
      <c r="W464" s="12">
        <f t="shared" si="143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9"/>
        <v>0</v>
      </c>
      <c r="AF464" s="12"/>
      <c r="AG464" s="12"/>
      <c r="AH464" s="12"/>
      <c r="AI464" s="12">
        <f t="shared" si="145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40"/>
        <v>0</v>
      </c>
      <c r="H465" s="12"/>
      <c r="I465" s="12"/>
      <c r="J465" s="12"/>
      <c r="K465" s="12">
        <f t="shared" si="141"/>
        <v>0</v>
      </c>
      <c r="M465" s="10">
        <v>14</v>
      </c>
      <c r="N465" s="30"/>
      <c r="O465" s="31"/>
      <c r="P465" s="32"/>
      <c r="Q465" s="32"/>
      <c r="R465" s="32"/>
      <c r="S465" s="32">
        <f t="shared" si="142"/>
        <v>0</v>
      </c>
      <c r="T465" s="12"/>
      <c r="U465" s="12"/>
      <c r="V465" s="12"/>
      <c r="W465" s="12">
        <f t="shared" si="143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9"/>
        <v>0</v>
      </c>
      <c r="AF465" s="12"/>
      <c r="AG465" s="12"/>
      <c r="AH465" s="12"/>
      <c r="AI465" s="12">
        <f t="shared" si="145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40"/>
        <v>0</v>
      </c>
      <c r="H466" s="12"/>
      <c r="I466" s="12"/>
      <c r="J466" s="12"/>
      <c r="K466" s="12">
        <f t="shared" si="141"/>
        <v>0</v>
      </c>
      <c r="M466" s="10">
        <v>15</v>
      </c>
      <c r="N466" s="30"/>
      <c r="P466" s="32"/>
      <c r="Q466" s="32"/>
      <c r="R466" s="32"/>
      <c r="S466" s="32">
        <f t="shared" si="142"/>
        <v>0</v>
      </c>
      <c r="T466" s="12"/>
      <c r="U466" s="12"/>
      <c r="V466" s="12"/>
      <c r="W466" s="12">
        <f t="shared" si="143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9"/>
        <v>0</v>
      </c>
      <c r="AF466" s="12"/>
      <c r="AG466" s="12"/>
      <c r="AH466" s="12"/>
      <c r="AI466" s="12">
        <f t="shared" si="145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31"/>
      <c r="D467" s="32"/>
      <c r="E467" s="32"/>
      <c r="F467" s="32"/>
      <c r="G467" s="32">
        <f t="shared" si="140"/>
        <v>0</v>
      </c>
      <c r="H467" s="12"/>
      <c r="I467" s="12"/>
      <c r="J467" s="12"/>
      <c r="K467" s="12">
        <f t="shared" si="141"/>
        <v>0</v>
      </c>
      <c r="M467" s="10">
        <v>16</v>
      </c>
      <c r="N467" s="30"/>
      <c r="P467" s="32"/>
      <c r="Q467" s="32"/>
      <c r="R467" s="32"/>
      <c r="S467" s="32">
        <f t="shared" si="142"/>
        <v>0</v>
      </c>
      <c r="T467" s="12"/>
      <c r="U467" s="12"/>
      <c r="V467" s="12"/>
      <c r="W467" s="12">
        <f t="shared" si="143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49"/>
        <v>0</v>
      </c>
      <c r="AF467" s="12"/>
      <c r="AG467" s="12"/>
      <c r="AH467" s="12"/>
      <c r="AI467" s="12">
        <f t="shared" si="145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31"/>
      <c r="D468" s="32"/>
      <c r="E468" s="32"/>
      <c r="F468" s="32"/>
      <c r="G468" s="32">
        <f t="shared" si="140"/>
        <v>0</v>
      </c>
      <c r="H468" s="12"/>
      <c r="I468" s="12"/>
      <c r="J468" s="12"/>
      <c r="K468" s="12">
        <f t="shared" si="141"/>
        <v>0</v>
      </c>
      <c r="M468" s="10">
        <v>17</v>
      </c>
      <c r="N468" s="30"/>
      <c r="O468" s="31"/>
      <c r="P468" s="35"/>
      <c r="Q468" s="32"/>
      <c r="R468" s="32"/>
      <c r="S468" s="32">
        <f t="shared" si="142"/>
        <v>0</v>
      </c>
      <c r="T468" s="12"/>
      <c r="U468" s="12"/>
      <c r="V468" s="12"/>
      <c r="W468" s="12">
        <f t="shared" si="143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9"/>
        <v>0</v>
      </c>
      <c r="AF468" s="12"/>
      <c r="AG468" s="12"/>
      <c r="AH468" s="12"/>
      <c r="AI468" s="12">
        <f t="shared" si="145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140"/>
        <v>0</v>
      </c>
      <c r="H469" s="12"/>
      <c r="I469" s="12"/>
      <c r="J469" s="12"/>
      <c r="K469" s="12">
        <f t="shared" si="141"/>
        <v>0</v>
      </c>
      <c r="M469" s="10">
        <v>18</v>
      </c>
      <c r="N469" s="30"/>
      <c r="O469" s="31"/>
      <c r="P469" s="32"/>
      <c r="Q469" s="32"/>
      <c r="R469" s="32"/>
      <c r="S469" s="32">
        <f t="shared" si="142"/>
        <v>0</v>
      </c>
      <c r="T469" s="12"/>
      <c r="U469" s="12"/>
      <c r="V469" s="12"/>
      <c r="W469" s="12">
        <f t="shared" si="143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9"/>
        <v>0</v>
      </c>
      <c r="AF469" s="12"/>
      <c r="AG469" s="12"/>
      <c r="AH469" s="12"/>
      <c r="AI469" s="12">
        <f t="shared" si="145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140"/>
        <v>0</v>
      </c>
      <c r="H470" s="12"/>
      <c r="I470" s="12"/>
      <c r="J470" s="12"/>
      <c r="K470" s="12">
        <f t="shared" si="141"/>
        <v>0</v>
      </c>
      <c r="M470" s="10">
        <v>19</v>
      </c>
      <c r="N470" s="30"/>
      <c r="O470" s="31"/>
      <c r="P470" s="32"/>
      <c r="Q470" s="32"/>
      <c r="R470" s="32"/>
      <c r="S470" s="32">
        <f t="shared" si="142"/>
        <v>0</v>
      </c>
      <c r="T470" s="12"/>
      <c r="U470" s="12"/>
      <c r="V470" s="12"/>
      <c r="W470" s="12">
        <f t="shared" si="143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9"/>
        <v>0</v>
      </c>
      <c r="AF470" s="12"/>
      <c r="AG470" s="12"/>
      <c r="AH470" s="12"/>
      <c r="AI470" s="12">
        <f t="shared" si="145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140"/>
        <v>0</v>
      </c>
      <c r="H471" s="12"/>
      <c r="I471" s="12"/>
      <c r="J471" s="12"/>
      <c r="K471" s="12">
        <f t="shared" si="141"/>
        <v>0</v>
      </c>
      <c r="M471" s="10">
        <v>20</v>
      </c>
      <c r="N471" s="30"/>
      <c r="O471" s="31"/>
      <c r="P471" s="32"/>
      <c r="Q471" s="32"/>
      <c r="R471" s="32"/>
      <c r="S471" s="32">
        <f t="shared" si="142"/>
        <v>0</v>
      </c>
      <c r="T471" s="12"/>
      <c r="U471" s="12"/>
      <c r="V471" s="12"/>
      <c r="W471" s="12">
        <f t="shared" si="143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9"/>
        <v>0</v>
      </c>
      <c r="AF471" s="12"/>
      <c r="AG471" s="12"/>
      <c r="AH471" s="12"/>
      <c r="AI471" s="12">
        <f t="shared" si="145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140"/>
        <v>0</v>
      </c>
      <c r="H472" s="10"/>
      <c r="I472" s="10"/>
      <c r="J472" s="10"/>
      <c r="K472" s="12">
        <f t="shared" si="141"/>
        <v>0</v>
      </c>
      <c r="M472" s="10">
        <v>21</v>
      </c>
      <c r="N472" s="30"/>
      <c r="O472" s="31"/>
      <c r="P472" s="46"/>
      <c r="Q472" s="31"/>
      <c r="R472" s="31"/>
      <c r="S472" s="32">
        <f t="shared" si="142"/>
        <v>0</v>
      </c>
      <c r="T472" s="10"/>
      <c r="U472" s="10"/>
      <c r="V472" s="10"/>
      <c r="W472" s="12">
        <f t="shared" si="143"/>
        <v>0</v>
      </c>
      <c r="Y472" s="10">
        <v>21</v>
      </c>
      <c r="Z472" s="30"/>
      <c r="AB472" s="46"/>
      <c r="AC472" s="31"/>
      <c r="AD472" s="31"/>
      <c r="AE472" s="32">
        <f t="shared" si="149"/>
        <v>0</v>
      </c>
      <c r="AF472" s="10"/>
      <c r="AG472" s="10"/>
      <c r="AH472" s="10"/>
      <c r="AI472" s="12">
        <f t="shared" si="145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D473" s="32"/>
      <c r="E473" s="32"/>
      <c r="F473" s="32"/>
      <c r="G473" s="32">
        <f t="shared" si="140"/>
        <v>0</v>
      </c>
      <c r="H473" s="10"/>
      <c r="I473" s="10"/>
      <c r="J473" s="10"/>
      <c r="K473" s="12">
        <f t="shared" si="141"/>
        <v>0</v>
      </c>
      <c r="M473" s="10">
        <v>22</v>
      </c>
      <c r="N473" s="30"/>
      <c r="O473" s="31"/>
      <c r="P473" s="45"/>
      <c r="Q473" s="31"/>
      <c r="R473" s="31"/>
      <c r="S473" s="32">
        <f t="shared" si="142"/>
        <v>0</v>
      </c>
      <c r="T473" s="10"/>
      <c r="U473" s="10"/>
      <c r="V473" s="10"/>
      <c r="W473" s="12">
        <f t="shared" si="143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9"/>
        <v>0</v>
      </c>
      <c r="AF473" s="10"/>
      <c r="AG473" s="10"/>
      <c r="AH473" s="10"/>
      <c r="AI473" s="12">
        <f t="shared" si="145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140"/>
        <v>0</v>
      </c>
      <c r="H474" s="10"/>
      <c r="I474" s="10"/>
      <c r="J474" s="12"/>
      <c r="K474" s="12">
        <f t="shared" si="141"/>
        <v>0</v>
      </c>
      <c r="M474" s="10">
        <v>23</v>
      </c>
      <c r="N474" s="30"/>
      <c r="O474" s="31"/>
      <c r="P474" s="47"/>
      <c r="Q474" s="31"/>
      <c r="S474" s="32">
        <f t="shared" si="142"/>
        <v>0</v>
      </c>
      <c r="T474" s="10"/>
      <c r="U474" s="10"/>
      <c r="V474" s="10"/>
      <c r="W474" s="12">
        <f t="shared" si="143"/>
        <v>0</v>
      </c>
      <c r="Y474" s="10">
        <v>23</v>
      </c>
      <c r="Z474" s="30"/>
      <c r="AA474" s="31"/>
      <c r="AB474" s="47"/>
      <c r="AC474" s="31"/>
      <c r="AE474" s="32">
        <f t="shared" si="149"/>
        <v>0</v>
      </c>
      <c r="AF474" s="10"/>
      <c r="AG474" s="10"/>
      <c r="AH474" s="10"/>
      <c r="AI474" s="12">
        <f t="shared" si="145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140"/>
        <v>0</v>
      </c>
      <c r="H475" s="10"/>
      <c r="I475" s="10"/>
      <c r="J475" s="10"/>
      <c r="K475" s="12">
        <f t="shared" si="141"/>
        <v>0</v>
      </c>
      <c r="M475" s="10">
        <v>24</v>
      </c>
      <c r="N475" s="30"/>
      <c r="P475" s="47"/>
      <c r="Q475" s="31"/>
      <c r="R475" s="31"/>
      <c r="S475" s="32">
        <f t="shared" si="142"/>
        <v>0</v>
      </c>
      <c r="T475" s="10"/>
      <c r="U475" s="10"/>
      <c r="V475" s="10"/>
      <c r="W475" s="12">
        <f t="shared" si="143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9"/>
        <v>0</v>
      </c>
      <c r="AF475" s="10"/>
      <c r="AG475" s="10"/>
      <c r="AH475" s="10"/>
      <c r="AI475" s="12">
        <f t="shared" si="145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140"/>
        <v>0</v>
      </c>
      <c r="H476" s="10"/>
      <c r="I476" s="10"/>
      <c r="J476" s="10"/>
      <c r="K476" s="12">
        <f t="shared" si="141"/>
        <v>0</v>
      </c>
      <c r="M476" s="10">
        <v>25</v>
      </c>
      <c r="N476" s="30"/>
      <c r="O476" s="31"/>
      <c r="P476" s="47"/>
      <c r="Q476" s="31"/>
      <c r="R476" s="31"/>
      <c r="S476" s="32">
        <f t="shared" si="142"/>
        <v>0</v>
      </c>
      <c r="T476" s="10"/>
      <c r="U476" s="10"/>
      <c r="V476" s="10"/>
      <c r="W476" s="12">
        <f t="shared" si="143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9"/>
        <v>0</v>
      </c>
      <c r="AF476" s="10"/>
      <c r="AG476" s="10"/>
      <c r="AH476" s="10"/>
      <c r="AI476" s="12">
        <f t="shared" si="145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140"/>
        <v>0</v>
      </c>
      <c r="H477" s="10"/>
      <c r="I477" s="10"/>
      <c r="J477" s="10"/>
      <c r="K477" s="12">
        <f t="shared" si="141"/>
        <v>0</v>
      </c>
      <c r="M477" s="10">
        <v>26</v>
      </c>
      <c r="N477" s="30"/>
      <c r="O477" s="31"/>
      <c r="P477" s="47"/>
      <c r="Q477" s="31"/>
      <c r="R477" s="31"/>
      <c r="S477" s="32">
        <f t="shared" si="142"/>
        <v>0</v>
      </c>
      <c r="T477" s="10"/>
      <c r="U477" s="10"/>
      <c r="V477" s="10"/>
      <c r="W477" s="12">
        <f t="shared" si="143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9"/>
        <v>0</v>
      </c>
      <c r="AF477" s="10"/>
      <c r="AG477" s="10"/>
      <c r="AH477" s="10"/>
      <c r="AI477" s="12">
        <f t="shared" si="145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140"/>
        <v>0</v>
      </c>
      <c r="H478" s="10"/>
      <c r="I478" s="10"/>
      <c r="J478" s="10"/>
      <c r="K478" s="12">
        <f t="shared" si="141"/>
        <v>0</v>
      </c>
      <c r="M478" s="10">
        <v>27</v>
      </c>
      <c r="N478" s="30"/>
      <c r="O478" s="31"/>
      <c r="P478" s="47"/>
      <c r="Q478" s="31"/>
      <c r="R478" s="31"/>
      <c r="S478" s="32">
        <f t="shared" si="142"/>
        <v>0</v>
      </c>
      <c r="T478" s="10"/>
      <c r="U478" s="10"/>
      <c r="V478" s="10"/>
      <c r="W478" s="12">
        <f t="shared" si="143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9"/>
        <v>0</v>
      </c>
      <c r="AF478" s="10"/>
      <c r="AG478" s="10"/>
      <c r="AH478" s="10"/>
      <c r="AI478" s="12">
        <f t="shared" si="145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31"/>
      <c r="D479" s="32"/>
      <c r="E479" s="32"/>
      <c r="F479" s="32"/>
      <c r="G479" s="32">
        <f t="shared" si="140"/>
        <v>0</v>
      </c>
      <c r="H479" s="10"/>
      <c r="I479" s="10"/>
      <c r="J479" s="10"/>
      <c r="K479" s="12">
        <f t="shared" si="141"/>
        <v>0</v>
      </c>
      <c r="M479" s="10">
        <v>28</v>
      </c>
      <c r="N479" s="30"/>
      <c r="O479" s="31"/>
      <c r="P479" s="47"/>
      <c r="Q479" s="31"/>
      <c r="R479" s="31"/>
      <c r="S479" s="32">
        <f t="shared" si="142"/>
        <v>0</v>
      </c>
      <c r="T479" s="10"/>
      <c r="U479" s="10"/>
      <c r="V479" s="10"/>
      <c r="W479" s="12">
        <f t="shared" si="143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9"/>
        <v>0</v>
      </c>
      <c r="AF479" s="10"/>
      <c r="AG479" s="10"/>
      <c r="AH479" s="10"/>
      <c r="AI479" s="12">
        <f t="shared" si="145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40"/>
        <v>0</v>
      </c>
      <c r="H480" s="10"/>
      <c r="I480" s="10"/>
      <c r="J480" s="10"/>
      <c r="K480" s="12">
        <f t="shared" si="141"/>
        <v>0</v>
      </c>
      <c r="M480" s="10">
        <v>29</v>
      </c>
      <c r="N480" s="30"/>
      <c r="O480" s="31"/>
      <c r="P480" s="47"/>
      <c r="Q480" s="31"/>
      <c r="R480" s="31"/>
      <c r="S480" s="32">
        <f t="shared" si="142"/>
        <v>0</v>
      </c>
      <c r="T480" s="10"/>
      <c r="U480" s="10"/>
      <c r="V480" s="10"/>
      <c r="W480" s="12">
        <f t="shared" si="143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9"/>
        <v>0</v>
      </c>
      <c r="AF480" s="10"/>
      <c r="AG480" s="10"/>
      <c r="AH480" s="10"/>
      <c r="AI480" s="12">
        <f t="shared" si="145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91"/>
      <c r="D481" s="32"/>
      <c r="E481" s="32"/>
      <c r="F481" s="32"/>
      <c r="G481" s="32">
        <f t="shared" si="140"/>
        <v>0</v>
      </c>
      <c r="H481" s="10"/>
      <c r="I481" s="10"/>
      <c r="J481" s="10"/>
      <c r="K481" s="12">
        <f t="shared" si="141"/>
        <v>0</v>
      </c>
      <c r="M481" s="10">
        <v>30</v>
      </c>
      <c r="N481" s="30"/>
      <c r="O481" s="31"/>
      <c r="P481" s="47"/>
      <c r="Q481" s="31"/>
      <c r="R481" s="31"/>
      <c r="S481" s="32">
        <f t="shared" si="142"/>
        <v>0</v>
      </c>
      <c r="T481" s="10"/>
      <c r="U481" s="10"/>
      <c r="V481" s="10"/>
      <c r="W481" s="12">
        <f t="shared" si="143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9"/>
        <v>0</v>
      </c>
      <c r="AF481" s="10"/>
      <c r="AG481" s="10"/>
      <c r="AH481" s="10"/>
      <c r="AI481" s="12">
        <f t="shared" si="145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40"/>
        <v>0</v>
      </c>
      <c r="H482" s="10"/>
      <c r="I482" s="10"/>
      <c r="J482" s="10"/>
      <c r="K482" s="12">
        <f t="shared" si="141"/>
        <v>0</v>
      </c>
      <c r="M482" s="10">
        <v>31</v>
      </c>
      <c r="N482" s="30"/>
      <c r="O482" s="31"/>
      <c r="P482" s="47"/>
      <c r="Q482" s="31"/>
      <c r="R482" s="31"/>
      <c r="S482" s="32">
        <f t="shared" si="142"/>
        <v>0</v>
      </c>
      <c r="T482" s="10"/>
      <c r="U482" s="10"/>
      <c r="V482" s="10"/>
      <c r="W482" s="12">
        <f t="shared" si="143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9"/>
        <v>0</v>
      </c>
      <c r="AF482" s="10"/>
      <c r="AG482" s="10"/>
      <c r="AH482" s="10"/>
      <c r="AI482" s="12">
        <f t="shared" si="145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57"/>
      <c r="D483" s="32"/>
      <c r="E483" s="32"/>
      <c r="F483" s="32"/>
      <c r="G483" s="32">
        <f t="shared" si="140"/>
        <v>0</v>
      </c>
      <c r="H483" s="10"/>
      <c r="I483" s="10"/>
      <c r="J483" s="10"/>
      <c r="K483" s="12">
        <f t="shared" si="141"/>
        <v>0</v>
      </c>
      <c r="M483" s="10">
        <v>32</v>
      </c>
      <c r="N483" s="30"/>
      <c r="O483" s="31"/>
      <c r="P483" s="47"/>
      <c r="Q483" s="31"/>
      <c r="R483" s="31"/>
      <c r="S483" s="32">
        <f t="shared" si="142"/>
        <v>0</v>
      </c>
      <c r="T483" s="10"/>
      <c r="U483" s="10"/>
      <c r="V483" s="10"/>
      <c r="W483" s="12">
        <f t="shared" si="143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9"/>
        <v>0</v>
      </c>
      <c r="AF483" s="10"/>
      <c r="AG483" s="10"/>
      <c r="AH483" s="10"/>
      <c r="AI483" s="12">
        <f t="shared" si="145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40"/>
        <v>0</v>
      </c>
      <c r="H484" s="10"/>
      <c r="I484" s="10"/>
      <c r="J484" s="10"/>
      <c r="K484" s="12">
        <f t="shared" si="141"/>
        <v>0</v>
      </c>
      <c r="M484" s="10">
        <v>33</v>
      </c>
      <c r="N484" s="30"/>
      <c r="O484" s="31"/>
      <c r="P484" s="47"/>
      <c r="Q484" s="31"/>
      <c r="R484" s="31"/>
      <c r="S484" s="32">
        <f t="shared" si="142"/>
        <v>0</v>
      </c>
      <c r="T484" s="10"/>
      <c r="U484" s="10"/>
      <c r="V484" s="10"/>
      <c r="W484" s="12">
        <f t="shared" si="143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9"/>
        <v>0</v>
      </c>
      <c r="AF484" s="10"/>
      <c r="AG484" s="10"/>
      <c r="AH484" s="10"/>
      <c r="AI484" s="12">
        <f t="shared" si="145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40"/>
        <v>0</v>
      </c>
      <c r="H485" s="10"/>
      <c r="I485" s="10"/>
      <c r="J485" s="10"/>
      <c r="K485" s="12">
        <f t="shared" si="141"/>
        <v>0</v>
      </c>
      <c r="M485" s="10">
        <v>34</v>
      </c>
      <c r="N485" s="30"/>
      <c r="O485" s="31"/>
      <c r="P485" s="47"/>
      <c r="Q485" s="31"/>
      <c r="R485" s="31"/>
      <c r="S485" s="32">
        <f t="shared" si="142"/>
        <v>0</v>
      </c>
      <c r="T485" s="10"/>
      <c r="U485" s="10"/>
      <c r="V485" s="10"/>
      <c r="W485" s="12">
        <f t="shared" si="143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50">SUM(AB485:AC485)</f>
        <v>0</v>
      </c>
      <c r="AF485" s="10"/>
      <c r="AG485" s="10"/>
      <c r="AH485" s="10"/>
      <c r="AI485" s="12">
        <f t="shared" ref="AI485:AI493" si="151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9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2"/>
        <v>0</v>
      </c>
      <c r="T486" s="10"/>
      <c r="U486" s="10"/>
      <c r="V486" s="10"/>
      <c r="W486" s="12">
        <f t="shared" si="143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0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9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2"/>
        <v>0</v>
      </c>
      <c r="T487" s="10"/>
      <c r="U487" s="10"/>
      <c r="V487" s="10"/>
      <c r="W487" s="12">
        <f t="shared" si="143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0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2"/>
        <v>0</v>
      </c>
      <c r="T488" s="10"/>
      <c r="U488" s="10"/>
      <c r="V488" s="10"/>
      <c r="W488" s="12">
        <f t="shared" si="143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0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2"/>
        <v>0</v>
      </c>
      <c r="T489" s="10"/>
      <c r="U489" s="10"/>
      <c r="V489" s="10"/>
      <c r="W489" s="12">
        <f t="shared" si="143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0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2"/>
        <v>0</v>
      </c>
      <c r="T490" s="10"/>
      <c r="U490" s="10"/>
      <c r="V490" s="10"/>
      <c r="W490" s="12">
        <f t="shared" si="143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0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3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2">SUM(D492:E492)</f>
        <v>0</v>
      </c>
      <c r="H492" s="10"/>
      <c r="I492" s="10"/>
      <c r="J492" s="10"/>
      <c r="K492" s="12">
        <f t="shared" ref="K492" si="153">SUM(G492:J492)</f>
        <v>0</v>
      </c>
      <c r="M492" s="10"/>
      <c r="N492" s="30"/>
      <c r="O492" s="31"/>
      <c r="P492" s="47"/>
      <c r="Q492" s="31"/>
      <c r="R492" s="31"/>
      <c r="S492" s="32">
        <f t="shared" ref="S492" si="154">SUM(P492:Q492)</f>
        <v>0</v>
      </c>
      <c r="T492" s="10"/>
      <c r="U492" s="10"/>
      <c r="V492" s="10"/>
      <c r="W492" s="12">
        <f t="shared" si="143"/>
        <v>0</v>
      </c>
      <c r="Y492" s="10"/>
      <c r="Z492" s="30"/>
      <c r="AA492" s="31"/>
      <c r="AB492" s="47"/>
      <c r="AC492" s="31"/>
      <c r="AD492" s="31"/>
      <c r="AE492" s="32">
        <f t="shared" ref="AE492" si="155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3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192893</v>
      </c>
      <c r="E495" s="38">
        <f t="shared" ref="E495:F495" si="156">SUM(E452:E492)</f>
        <v>0</v>
      </c>
      <c r="F495" s="38">
        <f t="shared" si="156"/>
        <v>0</v>
      </c>
      <c r="G495" s="38">
        <f>SUM(G452:G494)</f>
        <v>192893</v>
      </c>
      <c r="H495" s="4"/>
      <c r="I495" s="39">
        <f>SUM(I452:I494)</f>
        <v>4855.5</v>
      </c>
      <c r="J495" s="39">
        <f>SUM(J452:J494)</f>
        <v>-1092</v>
      </c>
      <c r="K495" s="40">
        <f>SUM(K452:K494)</f>
        <v>196656.5</v>
      </c>
      <c r="N495" s="57"/>
      <c r="O495" s="57"/>
      <c r="P495" s="38">
        <f>SUM(P452:P494)</f>
        <v>306965</v>
      </c>
      <c r="Q495" s="38">
        <f>SUM(Q452:Q476)</f>
        <v>-2652</v>
      </c>
      <c r="R495" s="38">
        <f>SUM(R452:R476)</f>
        <v>0</v>
      </c>
      <c r="S495" s="38">
        <f>SUM(S452:S494)</f>
        <v>304313</v>
      </c>
      <c r="T495" s="4"/>
      <c r="U495" s="41">
        <f>SUM(U452:U494)</f>
        <v>18</v>
      </c>
      <c r="V495" s="41">
        <f>SUM(V452:V476)</f>
        <v>-300</v>
      </c>
      <c r="W495" s="42">
        <f>SUM(W452:W494)</f>
        <v>304031</v>
      </c>
      <c r="Z495" s="57"/>
      <c r="AA495" s="57"/>
      <c r="AB495" s="38">
        <f>SUM(AB452:AB494)</f>
        <v>365715</v>
      </c>
      <c r="AC495" s="38">
        <f>SUM(AC452:AC476)</f>
        <v>-1338</v>
      </c>
      <c r="AD495" s="38">
        <f>SUM(AD452:AD476)</f>
        <v>0</v>
      </c>
      <c r="AE495" s="38">
        <f>SUM(AE452:AE494)</f>
        <v>364377</v>
      </c>
      <c r="AF495" s="4"/>
      <c r="AG495" s="41">
        <f>SUM(AG452:AG494)</f>
        <v>396</v>
      </c>
      <c r="AH495" s="41">
        <f>SUM(AH452:AH476)</f>
        <v>-22107</v>
      </c>
      <c r="AI495" s="42">
        <f>SUM(AI452:AI494)</f>
        <v>342666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49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49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49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54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1" t="s">
        <v>17</v>
      </c>
      <c r="E505" s="121"/>
      <c r="F505" s="105"/>
      <c r="G505" s="27"/>
      <c r="I505" s="117" t="s">
        <v>18</v>
      </c>
      <c r="J505" s="118"/>
      <c r="K505" s="119" t="s">
        <v>19</v>
      </c>
      <c r="N505" s="25"/>
      <c r="O505" s="26"/>
      <c r="P505" s="121" t="s">
        <v>17</v>
      </c>
      <c r="Q505" s="121"/>
      <c r="R505" s="105"/>
      <c r="S505" s="27"/>
      <c r="U505" s="117" t="s">
        <v>18</v>
      </c>
      <c r="V505" s="118"/>
      <c r="W505" s="119" t="s">
        <v>19</v>
      </c>
      <c r="Z505" s="25"/>
      <c r="AA505" s="26"/>
      <c r="AB505" s="121" t="s">
        <v>17</v>
      </c>
      <c r="AC505" s="121"/>
      <c r="AD505" s="105"/>
      <c r="AE505" s="27"/>
      <c r="AG505" s="117" t="s">
        <v>18</v>
      </c>
      <c r="AH505" s="118"/>
      <c r="AI505" s="11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20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20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2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91">
        <v>8420</v>
      </c>
      <c r="D507" s="32">
        <f>650+9.5</f>
        <v>659.5</v>
      </c>
      <c r="E507" s="32"/>
      <c r="F507" s="32"/>
      <c r="G507" s="32">
        <f t="shared" ref="G507:G540" si="157">SUM(D507:E507)</f>
        <v>659.5</v>
      </c>
      <c r="H507" s="12"/>
      <c r="I507" s="12"/>
      <c r="J507" s="12"/>
      <c r="K507" s="12">
        <f t="shared" ref="K507:K540" si="158">SUM(G507:J507)</f>
        <v>659.5</v>
      </c>
      <c r="M507" s="10">
        <v>1</v>
      </c>
      <c r="N507" s="30" t="s">
        <v>66</v>
      </c>
      <c r="O507" s="31">
        <v>8453</v>
      </c>
      <c r="P507" s="32">
        <f>650*20+622*10+872+229</f>
        <v>20321</v>
      </c>
      <c r="Q507" s="32"/>
      <c r="R507" s="32"/>
      <c r="S507" s="32">
        <f>SUM(P507:Q507)</f>
        <v>20321</v>
      </c>
      <c r="T507" s="12"/>
      <c r="U507" s="12">
        <v>36</v>
      </c>
      <c r="V507" s="12"/>
      <c r="W507" s="12">
        <f>SUM(S507:V507)</f>
        <v>20357</v>
      </c>
      <c r="Y507" s="10">
        <v>1</v>
      </c>
      <c r="Z507" s="30">
        <v>46357</v>
      </c>
      <c r="AA507" s="31">
        <v>8383</v>
      </c>
      <c r="AB507" s="32">
        <f>650*216+229*9</f>
        <v>142461</v>
      </c>
      <c r="AC507" s="32">
        <v>-1296</v>
      </c>
      <c r="AD507" s="32"/>
      <c r="AE507" s="32">
        <f>SUM(AB507:AC507)</f>
        <v>141165</v>
      </c>
      <c r="AF507" s="12"/>
      <c r="AG507" s="12"/>
      <c r="AH507" s="12">
        <v>-23976</v>
      </c>
      <c r="AI507" s="12">
        <f>SUM(AE507:AH507)</f>
        <v>117189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31">
        <f>C507+1</f>
        <v>8421</v>
      </c>
      <c r="D508" s="32">
        <f>59150+6220+872+500</f>
        <v>66742</v>
      </c>
      <c r="E508" s="32"/>
      <c r="F508" s="32"/>
      <c r="G508" s="32">
        <f t="shared" si="157"/>
        <v>66742</v>
      </c>
      <c r="H508" s="12"/>
      <c r="I508" s="12">
        <v>13</v>
      </c>
      <c r="J508" s="12"/>
      <c r="K508" s="12">
        <f t="shared" si="158"/>
        <v>66755</v>
      </c>
      <c r="M508" s="10">
        <v>2</v>
      </c>
      <c r="N508" s="30" t="s">
        <v>66</v>
      </c>
      <c r="O508" s="31">
        <f>O507+1</f>
        <v>8454</v>
      </c>
      <c r="P508" s="32">
        <f>650*25</f>
        <v>16250</v>
      </c>
      <c r="Q508" s="32"/>
      <c r="R508" s="32"/>
      <c r="S508" s="32">
        <f t="shared" ref="S508:S545" si="159">SUM(P508:Q508)</f>
        <v>16250</v>
      </c>
      <c r="T508" s="12"/>
      <c r="U508" s="12"/>
      <c r="V508" s="12"/>
      <c r="W508" s="12">
        <f t="shared" ref="W508:W548" si="160">SUM(S508:V508)</f>
        <v>16250</v>
      </c>
      <c r="Y508" s="10">
        <v>2</v>
      </c>
      <c r="Z508" s="30">
        <v>46357</v>
      </c>
      <c r="AA508" s="31">
        <f>AA507+1</f>
        <v>8384</v>
      </c>
      <c r="AB508" s="32">
        <f>650*45+670*3+622*5+912</f>
        <v>35282</v>
      </c>
      <c r="AC508" s="32">
        <v>-324</v>
      </c>
      <c r="AD508" s="32"/>
      <c r="AE508" s="32">
        <f t="shared" ref="AE508:AE510" si="161">SUM(AB508:AC508)</f>
        <v>34958</v>
      </c>
      <c r="AF508" s="12"/>
      <c r="AG508" s="12"/>
      <c r="AH508" s="12"/>
      <c r="AI508" s="12">
        <f t="shared" ref="AI508:AI539" si="162">SUM(AE508:AH508)</f>
        <v>34958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31">
        <f t="shared" ref="C509:C516" si="163">C508+1</f>
        <v>8422</v>
      </c>
      <c r="D509" s="33">
        <f>16250+3110+229</f>
        <v>19589</v>
      </c>
      <c r="E509" s="33"/>
      <c r="F509" s="33"/>
      <c r="G509" s="33">
        <f t="shared" si="157"/>
        <v>19589</v>
      </c>
      <c r="H509" s="34"/>
      <c r="I509" s="34"/>
      <c r="J509" s="34"/>
      <c r="K509" s="34">
        <f t="shared" si="158"/>
        <v>19589</v>
      </c>
      <c r="M509" s="10">
        <v>3</v>
      </c>
      <c r="N509" s="30" t="s">
        <v>66</v>
      </c>
      <c r="O509" s="31">
        <f t="shared" ref="O509:O517" si="164">O508+1</f>
        <v>8455</v>
      </c>
      <c r="P509" s="32">
        <f>1950+28.5</f>
        <v>1978.5</v>
      </c>
      <c r="Q509" s="32"/>
      <c r="R509" s="32"/>
      <c r="S509" s="32">
        <f t="shared" si="159"/>
        <v>1978.5</v>
      </c>
      <c r="T509" s="12"/>
      <c r="U509" s="12"/>
      <c r="V509" s="12"/>
      <c r="W509" s="12">
        <f t="shared" si="160"/>
        <v>1978.5</v>
      </c>
      <c r="Y509" s="10">
        <v>3</v>
      </c>
      <c r="Z509" s="30">
        <v>46357</v>
      </c>
      <c r="AA509" s="31">
        <f t="shared" ref="AA509:AA513" si="165">AA508+1</f>
        <v>8385</v>
      </c>
      <c r="AB509" s="33">
        <f>650*60+1665+1175+458</f>
        <v>42298</v>
      </c>
      <c r="AC509" s="33"/>
      <c r="AD509" s="32"/>
      <c r="AE509" s="32">
        <f t="shared" si="161"/>
        <v>42298</v>
      </c>
      <c r="AF509" s="12"/>
      <c r="AG509" s="12">
        <v>729</v>
      </c>
      <c r="AH509" s="12"/>
      <c r="AI509" s="12">
        <f t="shared" si="162"/>
        <v>43027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66</v>
      </c>
      <c r="C510" s="31">
        <f t="shared" si="163"/>
        <v>8423</v>
      </c>
      <c r="D510" s="32">
        <f>1950+670+622</f>
        <v>3242</v>
      </c>
      <c r="E510" s="32"/>
      <c r="F510" s="32"/>
      <c r="G510" s="32">
        <f t="shared" si="157"/>
        <v>3242</v>
      </c>
      <c r="H510" s="12"/>
      <c r="I510" s="12"/>
      <c r="J510" s="12"/>
      <c r="K510" s="12">
        <f t="shared" si="158"/>
        <v>3242</v>
      </c>
      <c r="M510" s="10">
        <v>4</v>
      </c>
      <c r="N510" s="30" t="s">
        <v>66</v>
      </c>
      <c r="O510" s="31">
        <f t="shared" si="164"/>
        <v>8456</v>
      </c>
      <c r="P510" s="32">
        <f>650+9.5</f>
        <v>659.5</v>
      </c>
      <c r="Q510" s="32"/>
      <c r="R510" s="32"/>
      <c r="S510" s="32">
        <f t="shared" si="159"/>
        <v>659.5</v>
      </c>
      <c r="T510" s="12"/>
      <c r="U510" s="12"/>
      <c r="V510" s="12"/>
      <c r="W510" s="12">
        <f t="shared" si="160"/>
        <v>659.5</v>
      </c>
      <c r="Y510" s="10">
        <v>4</v>
      </c>
      <c r="Z510" s="30">
        <v>46357</v>
      </c>
      <c r="AA510" s="31">
        <f t="shared" si="165"/>
        <v>8386</v>
      </c>
      <c r="AB510" s="32">
        <f>650*15+670*4+622*5+912*2+229</f>
        <v>17593</v>
      </c>
      <c r="AC510" s="32"/>
      <c r="AD510" s="32"/>
      <c r="AE510" s="32">
        <f t="shared" si="161"/>
        <v>17593</v>
      </c>
      <c r="AF510" s="12"/>
      <c r="AH510" s="12"/>
      <c r="AI510" s="12">
        <f t="shared" si="162"/>
        <v>17593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66</v>
      </c>
      <c r="C511" s="31">
        <f t="shared" si="163"/>
        <v>8424</v>
      </c>
      <c r="D511" s="32">
        <f>2600+670+38</f>
        <v>3308</v>
      </c>
      <c r="E511" s="32"/>
      <c r="F511" s="32"/>
      <c r="G511" s="32">
        <f t="shared" si="157"/>
        <v>3308</v>
      </c>
      <c r="H511" s="12"/>
      <c r="I511" s="12"/>
      <c r="J511" s="12"/>
      <c r="K511" s="12">
        <f t="shared" si="158"/>
        <v>3308</v>
      </c>
      <c r="M511" s="10">
        <v>5</v>
      </c>
      <c r="N511" s="30" t="s">
        <v>66</v>
      </c>
      <c r="O511" s="31">
        <f t="shared" si="164"/>
        <v>8457</v>
      </c>
      <c r="P511" s="32">
        <f>650+9.5</f>
        <v>659.5</v>
      </c>
      <c r="Q511" s="32"/>
      <c r="R511" s="32"/>
      <c r="S511" s="32">
        <f t="shared" si="159"/>
        <v>659.5</v>
      </c>
      <c r="T511" s="12"/>
      <c r="U511" s="12"/>
      <c r="V511" s="12"/>
      <c r="W511" s="12">
        <f t="shared" si="160"/>
        <v>659.5</v>
      </c>
      <c r="Y511" s="10">
        <v>5</v>
      </c>
      <c r="Z511" s="30">
        <v>46357</v>
      </c>
      <c r="AA511" s="31">
        <f t="shared" si="165"/>
        <v>8387</v>
      </c>
      <c r="AB511" s="32">
        <f>622*6</f>
        <v>3732</v>
      </c>
      <c r="AC511" s="32"/>
      <c r="AD511" s="32"/>
      <c r="AE511" s="32">
        <f t="shared" ref="AE511:AE539" si="166">SUM(AB511:AC511)</f>
        <v>3732</v>
      </c>
      <c r="AF511" s="12"/>
      <c r="AG511" s="12"/>
      <c r="AH511" s="12"/>
      <c r="AI511" s="12">
        <f t="shared" si="162"/>
        <v>3732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66</v>
      </c>
      <c r="C512" s="31">
        <f t="shared" si="163"/>
        <v>8425</v>
      </c>
      <c r="D512" s="32">
        <f>3900+2488+95+500</f>
        <v>6983</v>
      </c>
      <c r="E512" s="32"/>
      <c r="F512" s="32"/>
      <c r="G512" s="32">
        <f t="shared" si="157"/>
        <v>6983</v>
      </c>
      <c r="H512" s="12"/>
      <c r="I512" s="12"/>
      <c r="J512" s="12"/>
      <c r="K512" s="12">
        <f t="shared" si="158"/>
        <v>6983</v>
      </c>
      <c r="M512" s="10">
        <v>6</v>
      </c>
      <c r="N512" s="30" t="s">
        <v>66</v>
      </c>
      <c r="O512" s="31">
        <f t="shared" si="164"/>
        <v>8458</v>
      </c>
      <c r="P512" s="32">
        <f>57200+6220</f>
        <v>63420</v>
      </c>
      <c r="Q512" s="32"/>
      <c r="R512" s="32"/>
      <c r="S512" s="32">
        <f t="shared" si="159"/>
        <v>63420</v>
      </c>
      <c r="T512" s="12"/>
      <c r="U512" s="12">
        <v>72</v>
      </c>
      <c r="V512" s="10"/>
      <c r="W512" s="12">
        <f t="shared" si="160"/>
        <v>63492</v>
      </c>
      <c r="Y512" s="10">
        <v>6</v>
      </c>
      <c r="Z512" s="30">
        <v>46357</v>
      </c>
      <c r="AA512" s="31">
        <f t="shared" si="165"/>
        <v>8388</v>
      </c>
      <c r="AB512" s="32">
        <f>650*20</f>
        <v>13000</v>
      </c>
      <c r="AC512" s="32"/>
      <c r="AD512" s="32"/>
      <c r="AE512" s="32">
        <f t="shared" si="166"/>
        <v>13000</v>
      </c>
      <c r="AF512" s="12"/>
      <c r="AG512" s="12"/>
      <c r="AH512" s="10"/>
      <c r="AI512" s="12">
        <f t="shared" si="162"/>
        <v>13000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66</v>
      </c>
      <c r="C513" s="31">
        <f t="shared" si="163"/>
        <v>8426</v>
      </c>
      <c r="D513" s="32">
        <f>9100+670+700</f>
        <v>10470</v>
      </c>
      <c r="E513" s="32"/>
      <c r="F513" s="32"/>
      <c r="G513" s="32">
        <f t="shared" si="157"/>
        <v>10470</v>
      </c>
      <c r="H513" s="12"/>
      <c r="I513" s="12"/>
      <c r="J513" s="12"/>
      <c r="K513" s="12">
        <f t="shared" si="158"/>
        <v>10470</v>
      </c>
      <c r="M513" s="10">
        <v>7</v>
      </c>
      <c r="N513" s="30" t="s">
        <v>66</v>
      </c>
      <c r="O513" s="31">
        <f t="shared" si="164"/>
        <v>8459</v>
      </c>
      <c r="P513" s="32">
        <f>7150+232</f>
        <v>7382</v>
      </c>
      <c r="Q513" s="32"/>
      <c r="R513" s="32"/>
      <c r="S513" s="32">
        <f t="shared" si="159"/>
        <v>7382</v>
      </c>
      <c r="T513" s="12"/>
      <c r="U513" s="12">
        <f>4.5*7</f>
        <v>31.5</v>
      </c>
      <c r="V513" s="12">
        <v>-234</v>
      </c>
      <c r="W513" s="12">
        <f t="shared" si="160"/>
        <v>7179.5</v>
      </c>
      <c r="Y513" s="10">
        <v>7</v>
      </c>
      <c r="Z513" s="30">
        <v>46357</v>
      </c>
      <c r="AA513" s="31">
        <f t="shared" si="165"/>
        <v>8389</v>
      </c>
      <c r="AB513" s="32">
        <f>650*7+622</f>
        <v>5172</v>
      </c>
      <c r="AC513" s="32"/>
      <c r="AD513" s="32"/>
      <c r="AE513" s="32">
        <f t="shared" si="166"/>
        <v>5172</v>
      </c>
      <c r="AF513" s="12"/>
      <c r="AG513" s="58"/>
      <c r="AH513" s="12">
        <v>-222</v>
      </c>
      <c r="AI513" s="12">
        <f t="shared" si="162"/>
        <v>4950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66</v>
      </c>
      <c r="C514" s="31">
        <f t="shared" si="163"/>
        <v>8427</v>
      </c>
      <c r="D514" s="32">
        <f>3250+47</f>
        <v>3297</v>
      </c>
      <c r="E514" s="32"/>
      <c r="F514" s="32"/>
      <c r="G514" s="32">
        <f t="shared" si="157"/>
        <v>3297</v>
      </c>
      <c r="H514" s="12"/>
      <c r="I514" s="12"/>
      <c r="J514" s="12">
        <v>-111</v>
      </c>
      <c r="K514" s="12">
        <f t="shared" si="158"/>
        <v>3186</v>
      </c>
      <c r="M514" s="10">
        <v>8</v>
      </c>
      <c r="N514" s="30" t="s">
        <v>66</v>
      </c>
      <c r="O514" s="31">
        <f t="shared" si="164"/>
        <v>8460</v>
      </c>
      <c r="P514" s="32">
        <f>650*2+670+19</f>
        <v>1989</v>
      </c>
      <c r="Q514" s="32"/>
      <c r="R514" s="32"/>
      <c r="S514" s="32">
        <f t="shared" si="159"/>
        <v>1989</v>
      </c>
      <c r="T514" s="12"/>
      <c r="U514" s="12"/>
      <c r="V514" s="12"/>
      <c r="W514" s="12">
        <f t="shared" si="160"/>
        <v>1989</v>
      </c>
      <c r="Y514" s="10">
        <v>8</v>
      </c>
      <c r="Z514" s="30"/>
      <c r="AA514" s="11" t="s">
        <v>27</v>
      </c>
      <c r="AB514" s="32"/>
      <c r="AC514" s="32"/>
      <c r="AE514" s="32">
        <f t="shared" si="166"/>
        <v>0</v>
      </c>
      <c r="AF514" s="12"/>
      <c r="AG514" s="12"/>
      <c r="AH514" s="12"/>
      <c r="AI514" s="12">
        <f t="shared" si="16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66</v>
      </c>
      <c r="C515" s="31">
        <f t="shared" si="163"/>
        <v>8428</v>
      </c>
      <c r="D515" s="32">
        <f>650*2+19</f>
        <v>1319</v>
      </c>
      <c r="E515" s="32"/>
      <c r="F515" s="32"/>
      <c r="G515" s="32">
        <f t="shared" si="157"/>
        <v>1319</v>
      </c>
      <c r="H515" s="12"/>
      <c r="I515" s="12"/>
      <c r="J515" s="12"/>
      <c r="K515" s="12">
        <f t="shared" si="158"/>
        <v>1319</v>
      </c>
      <c r="M515" s="10">
        <v>9</v>
      </c>
      <c r="N515" s="30" t="s">
        <v>66</v>
      </c>
      <c r="O515" s="31">
        <f t="shared" si="164"/>
        <v>8461</v>
      </c>
      <c r="P515" s="32">
        <f>650*6+9.5*6</f>
        <v>3957</v>
      </c>
      <c r="Q515" s="32"/>
      <c r="R515" s="32"/>
      <c r="S515" s="32">
        <f t="shared" si="159"/>
        <v>3957</v>
      </c>
      <c r="T515" s="12"/>
      <c r="U515" s="12"/>
      <c r="V515" s="12"/>
      <c r="W515" s="12">
        <f t="shared" si="160"/>
        <v>3957</v>
      </c>
      <c r="Y515" s="10">
        <v>9</v>
      </c>
      <c r="Z515" s="30"/>
      <c r="AA515" s="31"/>
      <c r="AB515" s="32"/>
      <c r="AC515" s="32"/>
      <c r="AD515" s="32"/>
      <c r="AE515" s="32">
        <f t="shared" si="166"/>
        <v>0</v>
      </c>
      <c r="AF515" s="12"/>
      <c r="AH515" s="12"/>
      <c r="AI515" s="12">
        <f t="shared" si="16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66</v>
      </c>
      <c r="C516" s="31">
        <f t="shared" si="163"/>
        <v>8429</v>
      </c>
      <c r="D516" s="32">
        <f>650*203+912*5+1050*6+872*5+229*7</f>
        <v>148773</v>
      </c>
      <c r="E516" s="32">
        <v>-1314</v>
      </c>
      <c r="F516" s="32"/>
      <c r="G516" s="32">
        <f t="shared" si="157"/>
        <v>147459</v>
      </c>
      <c r="H516" s="12"/>
      <c r="I516" s="12">
        <v>234</v>
      </c>
      <c r="J516" s="12">
        <f>-600+-74592+-1554+-1680</f>
        <v>-78426</v>
      </c>
      <c r="K516" s="12">
        <f t="shared" si="158"/>
        <v>69267</v>
      </c>
      <c r="M516" s="10">
        <v>10</v>
      </c>
      <c r="N516" s="30" t="s">
        <v>66</v>
      </c>
      <c r="O516" s="31">
        <f t="shared" si="164"/>
        <v>8462</v>
      </c>
      <c r="P516" s="32">
        <f>650*3+622+9.5*7</f>
        <v>2638.5</v>
      </c>
      <c r="Q516" s="32"/>
      <c r="R516" s="32"/>
      <c r="S516" s="32">
        <f t="shared" si="159"/>
        <v>2638.5</v>
      </c>
      <c r="T516" s="12"/>
      <c r="U516" s="12"/>
      <c r="V516" s="12">
        <f>-333+-333</f>
        <v>-666</v>
      </c>
      <c r="W516" s="12">
        <f t="shared" si="160"/>
        <v>1972.5</v>
      </c>
      <c r="Y516" s="10">
        <v>10</v>
      </c>
      <c r="Z516" s="30"/>
      <c r="AA516" s="31"/>
      <c r="AB516" s="32"/>
      <c r="AC516" s="32"/>
      <c r="AD516" s="32"/>
      <c r="AE516" s="32">
        <f t="shared" si="166"/>
        <v>0</v>
      </c>
      <c r="AF516" s="12"/>
      <c r="AG516" s="12"/>
      <c r="AH516" s="12"/>
      <c r="AI516" s="12">
        <f t="shared" si="16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11" t="s">
        <v>27</v>
      </c>
      <c r="D517" s="32"/>
      <c r="E517" s="32"/>
      <c r="F517" s="32"/>
      <c r="G517" s="32">
        <f t="shared" si="157"/>
        <v>0</v>
      </c>
      <c r="H517" s="12"/>
      <c r="I517" s="12"/>
      <c r="J517" s="12"/>
      <c r="K517" s="12">
        <f t="shared" si="158"/>
        <v>0</v>
      </c>
      <c r="M517" s="10">
        <v>11</v>
      </c>
      <c r="N517" s="30" t="s">
        <v>66</v>
      </c>
      <c r="O517" s="31">
        <f t="shared" si="164"/>
        <v>8463</v>
      </c>
      <c r="P517" s="32">
        <f>650*170+670*5+622*18+1175+1175+872*2+229*7+650*2</f>
        <v>132043</v>
      </c>
      <c r="Q517" s="32">
        <v>-1182</v>
      </c>
      <c r="R517" s="32"/>
      <c r="S517" s="32">
        <f t="shared" si="159"/>
        <v>130861</v>
      </c>
      <c r="T517" s="12"/>
      <c r="U517" s="12">
        <f>3774+312</f>
        <v>4086</v>
      </c>
      <c r="V517" s="12">
        <f>-360+-1680+-1134</f>
        <v>-3174</v>
      </c>
      <c r="W517" s="12">
        <f t="shared" si="160"/>
        <v>131773</v>
      </c>
      <c r="Y517" s="10">
        <v>11</v>
      </c>
      <c r="Z517" s="30"/>
      <c r="AA517" s="31"/>
      <c r="AB517" s="32"/>
      <c r="AC517" s="32"/>
      <c r="AD517" s="32"/>
      <c r="AE517" s="32">
        <f t="shared" si="166"/>
        <v>0</v>
      </c>
      <c r="AF517" s="12"/>
      <c r="AG517" s="12"/>
      <c r="AH517" s="12"/>
      <c r="AI517" s="12">
        <f t="shared" si="16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57"/>
        <v>0</v>
      </c>
      <c r="H518" s="12"/>
      <c r="I518" s="12"/>
      <c r="J518" s="10"/>
      <c r="K518" s="12">
        <f t="shared" si="158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59"/>
        <v>0</v>
      </c>
      <c r="T518" s="12"/>
      <c r="U518" s="12"/>
      <c r="V518" s="12"/>
      <c r="W518" s="12">
        <f t="shared" si="160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6"/>
        <v>0</v>
      </c>
      <c r="AF518" s="12"/>
      <c r="AG518" s="12"/>
      <c r="AH518" s="12"/>
      <c r="AI518" s="12">
        <f t="shared" si="16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11"/>
      <c r="D519" s="32"/>
      <c r="E519" s="32"/>
      <c r="F519" s="32"/>
      <c r="G519" s="32">
        <f t="shared" si="157"/>
        <v>0</v>
      </c>
      <c r="H519" s="12"/>
      <c r="I519" s="12"/>
      <c r="J519" s="12"/>
      <c r="K519" s="12">
        <f t="shared" si="158"/>
        <v>0</v>
      </c>
      <c r="M519" s="10">
        <v>13</v>
      </c>
      <c r="N519" s="30"/>
      <c r="O519" s="31"/>
      <c r="P519" s="32"/>
      <c r="Q519" s="32"/>
      <c r="R519" s="32"/>
      <c r="S519" s="32">
        <f t="shared" si="159"/>
        <v>0</v>
      </c>
      <c r="T519" s="12"/>
      <c r="U519" s="12"/>
      <c r="V519" s="12"/>
      <c r="W519" s="12">
        <f t="shared" si="160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6"/>
        <v>0</v>
      </c>
      <c r="AF519" s="12"/>
      <c r="AG519" s="12"/>
      <c r="AH519" s="12"/>
      <c r="AI519" s="12">
        <f t="shared" si="16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57"/>
        <v>0</v>
      </c>
      <c r="H520" s="12"/>
      <c r="I520" s="12"/>
      <c r="J520" s="12"/>
      <c r="K520" s="12">
        <f t="shared" si="158"/>
        <v>0</v>
      </c>
      <c r="M520" s="10">
        <v>14</v>
      </c>
      <c r="N520" s="30"/>
      <c r="O520" s="31"/>
      <c r="P520" s="32"/>
      <c r="Q520" s="32"/>
      <c r="R520" s="32"/>
      <c r="S520" s="32">
        <f t="shared" si="159"/>
        <v>0</v>
      </c>
      <c r="T520" s="12"/>
      <c r="U520" s="12"/>
      <c r="V520" s="12"/>
      <c r="W520" s="12">
        <f t="shared" si="160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6"/>
        <v>0</v>
      </c>
      <c r="AF520" s="12"/>
      <c r="AG520" s="12"/>
      <c r="AH520" s="12"/>
      <c r="AI520" s="12">
        <f t="shared" si="16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57"/>
        <v>0</v>
      </c>
      <c r="H521" s="12"/>
      <c r="I521" s="12"/>
      <c r="J521" s="12"/>
      <c r="K521" s="12">
        <f t="shared" si="158"/>
        <v>0</v>
      </c>
      <c r="M521" s="10">
        <v>15</v>
      </c>
      <c r="N521" s="30"/>
      <c r="O521" s="31"/>
      <c r="P521" s="32"/>
      <c r="Q521" s="32"/>
      <c r="R521" s="32"/>
      <c r="S521" s="32">
        <f t="shared" si="159"/>
        <v>0</v>
      </c>
      <c r="T521" s="12"/>
      <c r="U521" s="12"/>
      <c r="V521" s="12"/>
      <c r="W521" s="12">
        <f t="shared" si="160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6"/>
        <v>0</v>
      </c>
      <c r="AF521" s="12"/>
      <c r="AG521" s="12"/>
      <c r="AH521" s="12"/>
      <c r="AI521" s="12">
        <f t="shared" si="16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31"/>
      <c r="D522" s="32"/>
      <c r="E522" s="32"/>
      <c r="F522" s="32"/>
      <c r="G522" s="32">
        <f t="shared" si="157"/>
        <v>0</v>
      </c>
      <c r="H522" s="12"/>
      <c r="I522" s="12"/>
      <c r="J522" s="12"/>
      <c r="K522" s="12">
        <f t="shared" si="158"/>
        <v>0</v>
      </c>
      <c r="M522" s="10">
        <v>16</v>
      </c>
      <c r="N522" s="30"/>
      <c r="P522" s="32"/>
      <c r="Q522" s="32"/>
      <c r="R522" s="32"/>
      <c r="S522" s="32">
        <f t="shared" si="159"/>
        <v>0</v>
      </c>
      <c r="T522" s="12"/>
      <c r="U522" s="12"/>
      <c r="V522" s="12"/>
      <c r="W522" s="12">
        <f t="shared" si="160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66"/>
        <v>0</v>
      </c>
      <c r="AF522" s="12"/>
      <c r="AG522" s="12"/>
      <c r="AH522" s="12"/>
      <c r="AI522" s="12">
        <f t="shared" si="16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31"/>
      <c r="D523" s="32"/>
      <c r="E523" s="32"/>
      <c r="F523" s="32"/>
      <c r="G523" s="32">
        <f t="shared" si="157"/>
        <v>0</v>
      </c>
      <c r="H523" s="12"/>
      <c r="I523" s="12"/>
      <c r="J523" s="12"/>
      <c r="K523" s="12">
        <f t="shared" si="158"/>
        <v>0</v>
      </c>
      <c r="M523" s="10">
        <v>17</v>
      </c>
      <c r="N523" s="30"/>
      <c r="O523" s="31"/>
      <c r="P523" s="35"/>
      <c r="Q523" s="32"/>
      <c r="R523" s="32"/>
      <c r="S523" s="32">
        <f t="shared" si="159"/>
        <v>0</v>
      </c>
      <c r="T523" s="12"/>
      <c r="U523" s="12"/>
      <c r="V523" s="12"/>
      <c r="W523" s="12">
        <f t="shared" si="160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6"/>
        <v>0</v>
      </c>
      <c r="AF523" s="12"/>
      <c r="AG523" s="12"/>
      <c r="AH523" s="12"/>
      <c r="AI523" s="12">
        <f t="shared" si="16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31"/>
      <c r="D524" s="32"/>
      <c r="E524" s="32"/>
      <c r="F524" s="32"/>
      <c r="G524" s="32">
        <f t="shared" si="157"/>
        <v>0</v>
      </c>
      <c r="H524" s="12"/>
      <c r="I524" s="12"/>
      <c r="J524" s="12"/>
      <c r="K524" s="12">
        <f t="shared" si="158"/>
        <v>0</v>
      </c>
      <c r="M524" s="10">
        <v>18</v>
      </c>
      <c r="N524" s="30"/>
      <c r="O524" s="31"/>
      <c r="P524" s="32"/>
      <c r="Q524" s="32"/>
      <c r="R524" s="32"/>
      <c r="S524" s="32">
        <f t="shared" si="159"/>
        <v>0</v>
      </c>
      <c r="T524" s="12"/>
      <c r="U524" s="12"/>
      <c r="V524" s="12"/>
      <c r="W524" s="12">
        <f t="shared" si="160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6"/>
        <v>0</v>
      </c>
      <c r="AF524" s="12"/>
      <c r="AG524" s="12"/>
      <c r="AH524" s="12"/>
      <c r="AI524" s="12">
        <f t="shared" si="16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31"/>
      <c r="D525" s="32"/>
      <c r="E525" s="32"/>
      <c r="F525" s="32"/>
      <c r="G525" s="32">
        <f t="shared" si="157"/>
        <v>0</v>
      </c>
      <c r="H525" s="12"/>
      <c r="I525" s="12"/>
      <c r="J525" s="12"/>
      <c r="K525" s="12">
        <f t="shared" si="158"/>
        <v>0</v>
      </c>
      <c r="M525" s="10">
        <v>19</v>
      </c>
      <c r="N525" s="30"/>
      <c r="O525" s="31"/>
      <c r="P525" s="32"/>
      <c r="Q525" s="32"/>
      <c r="R525" s="32"/>
      <c r="S525" s="32">
        <f t="shared" si="159"/>
        <v>0</v>
      </c>
      <c r="T525" s="12"/>
      <c r="U525" s="12"/>
      <c r="V525" s="12"/>
      <c r="W525" s="12">
        <f t="shared" si="160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6"/>
        <v>0</v>
      </c>
      <c r="AF525" s="12"/>
      <c r="AG525" s="12"/>
      <c r="AH525" s="12"/>
      <c r="AI525" s="12">
        <f t="shared" si="16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31"/>
      <c r="D526" s="32"/>
      <c r="E526" s="32"/>
      <c r="F526" s="32"/>
      <c r="G526" s="32">
        <f t="shared" si="157"/>
        <v>0</v>
      </c>
      <c r="H526" s="12"/>
      <c r="I526" s="12"/>
      <c r="J526" s="12"/>
      <c r="K526" s="12">
        <f t="shared" si="158"/>
        <v>0</v>
      </c>
      <c r="M526" s="10">
        <v>20</v>
      </c>
      <c r="N526" s="30"/>
      <c r="O526" s="31"/>
      <c r="P526" s="32"/>
      <c r="Q526" s="32"/>
      <c r="R526" s="32"/>
      <c r="S526" s="32">
        <f t="shared" si="159"/>
        <v>0</v>
      </c>
      <c r="T526" s="12"/>
      <c r="U526" s="12"/>
      <c r="V526" s="12"/>
      <c r="W526" s="12">
        <f t="shared" si="160"/>
        <v>0</v>
      </c>
      <c r="Y526" s="10">
        <v>20</v>
      </c>
      <c r="Z526" s="30"/>
      <c r="AB526" s="32"/>
      <c r="AC526" s="32"/>
      <c r="AD526" s="32"/>
      <c r="AE526" s="32">
        <f t="shared" si="166"/>
        <v>0</v>
      </c>
      <c r="AF526" s="12"/>
      <c r="AG526" s="12"/>
      <c r="AH526" s="12"/>
      <c r="AI526" s="12">
        <f t="shared" si="16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31"/>
      <c r="D527" s="32"/>
      <c r="E527" s="32"/>
      <c r="F527" s="32"/>
      <c r="G527" s="32">
        <f t="shared" si="157"/>
        <v>0</v>
      </c>
      <c r="H527" s="10"/>
      <c r="I527" s="10"/>
      <c r="J527" s="10"/>
      <c r="K527" s="12">
        <f t="shared" si="158"/>
        <v>0</v>
      </c>
      <c r="M527" s="10">
        <v>21</v>
      </c>
      <c r="N527" s="30"/>
      <c r="O527" s="31"/>
      <c r="P527" s="46"/>
      <c r="Q527" s="31"/>
      <c r="R527" s="31"/>
      <c r="S527" s="32">
        <f t="shared" si="159"/>
        <v>0</v>
      </c>
      <c r="T527" s="10"/>
      <c r="U527" s="10"/>
      <c r="V527" s="10"/>
      <c r="W527" s="12">
        <f t="shared" si="160"/>
        <v>0</v>
      </c>
      <c r="Y527" s="10">
        <v>21</v>
      </c>
      <c r="Z527" s="30"/>
      <c r="AB527" s="46"/>
      <c r="AC527" s="31"/>
      <c r="AD527" s="31"/>
      <c r="AE527" s="32">
        <f t="shared" si="166"/>
        <v>0</v>
      </c>
      <c r="AF527" s="10"/>
      <c r="AG527" s="10"/>
      <c r="AH527" s="10"/>
      <c r="AI527" s="12">
        <f t="shared" si="16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57"/>
      <c r="D528" s="32"/>
      <c r="E528" s="32"/>
      <c r="F528" s="32"/>
      <c r="G528" s="32">
        <f t="shared" si="157"/>
        <v>0</v>
      </c>
      <c r="H528" s="10"/>
      <c r="I528" s="10"/>
      <c r="J528" s="10"/>
      <c r="K528" s="12">
        <f t="shared" si="158"/>
        <v>0</v>
      </c>
      <c r="M528" s="10">
        <v>22</v>
      </c>
      <c r="N528" s="30"/>
      <c r="O528" s="31"/>
      <c r="P528" s="45"/>
      <c r="Q528" s="31"/>
      <c r="R528" s="31"/>
      <c r="S528" s="32">
        <f t="shared" si="159"/>
        <v>0</v>
      </c>
      <c r="T528" s="10"/>
      <c r="U528" s="10"/>
      <c r="V528" s="10"/>
      <c r="W528" s="12">
        <f t="shared" si="160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6"/>
        <v>0</v>
      </c>
      <c r="AF528" s="10"/>
      <c r="AG528" s="10"/>
      <c r="AH528" s="10"/>
      <c r="AI528" s="12">
        <f t="shared" si="16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57"/>
        <v>0</v>
      </c>
      <c r="H529" s="10"/>
      <c r="I529" s="10"/>
      <c r="J529" s="12"/>
      <c r="K529" s="12">
        <f t="shared" si="158"/>
        <v>0</v>
      </c>
      <c r="M529" s="10">
        <v>23</v>
      </c>
      <c r="N529" s="30"/>
      <c r="O529" s="31"/>
      <c r="P529" s="47"/>
      <c r="Q529" s="31"/>
      <c r="S529" s="32">
        <f t="shared" si="159"/>
        <v>0</v>
      </c>
      <c r="T529" s="10"/>
      <c r="U529" s="10"/>
      <c r="V529" s="10"/>
      <c r="W529" s="12">
        <f t="shared" si="160"/>
        <v>0</v>
      </c>
      <c r="Y529" s="10">
        <v>23</v>
      </c>
      <c r="Z529" s="30"/>
      <c r="AA529" s="31"/>
      <c r="AB529" s="47"/>
      <c r="AC529" s="31"/>
      <c r="AE529" s="32">
        <f t="shared" si="166"/>
        <v>0</v>
      </c>
      <c r="AF529" s="10"/>
      <c r="AG529" s="10"/>
      <c r="AH529" s="10"/>
      <c r="AI529" s="12">
        <f t="shared" si="16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7"/>
        <v>0</v>
      </c>
      <c r="H530" s="10"/>
      <c r="I530" s="10"/>
      <c r="J530" s="10"/>
      <c r="K530" s="12">
        <f t="shared" si="158"/>
        <v>0</v>
      </c>
      <c r="M530" s="10">
        <v>24</v>
      </c>
      <c r="N530" s="30"/>
      <c r="P530" s="47"/>
      <c r="Q530" s="31"/>
      <c r="R530" s="31"/>
      <c r="S530" s="32">
        <f t="shared" si="159"/>
        <v>0</v>
      </c>
      <c r="T530" s="10"/>
      <c r="U530" s="10"/>
      <c r="V530" s="10"/>
      <c r="W530" s="12">
        <f t="shared" si="160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6"/>
        <v>0</v>
      </c>
      <c r="AF530" s="10"/>
      <c r="AG530" s="10"/>
      <c r="AH530" s="10"/>
      <c r="AI530" s="12">
        <f t="shared" si="16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7"/>
        <v>0</v>
      </c>
      <c r="H531" s="10"/>
      <c r="I531" s="10"/>
      <c r="J531" s="10"/>
      <c r="K531" s="12">
        <f t="shared" si="158"/>
        <v>0</v>
      </c>
      <c r="M531" s="10">
        <v>25</v>
      </c>
      <c r="N531" s="30"/>
      <c r="O531" s="31"/>
      <c r="P531" s="47"/>
      <c r="Q531" s="31"/>
      <c r="R531" s="31"/>
      <c r="S531" s="32">
        <f t="shared" si="159"/>
        <v>0</v>
      </c>
      <c r="T531" s="10"/>
      <c r="U531" s="10"/>
      <c r="V531" s="10"/>
      <c r="W531" s="12">
        <f t="shared" si="160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6"/>
        <v>0</v>
      </c>
      <c r="AF531" s="10"/>
      <c r="AG531" s="10"/>
      <c r="AH531" s="10"/>
      <c r="AI531" s="12">
        <f t="shared" si="16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57"/>
        <v>0</v>
      </c>
      <c r="H532" s="10"/>
      <c r="I532" s="10"/>
      <c r="J532" s="10"/>
      <c r="K532" s="12">
        <f t="shared" si="158"/>
        <v>0</v>
      </c>
      <c r="M532" s="10">
        <v>26</v>
      </c>
      <c r="N532" s="30"/>
      <c r="O532" s="31"/>
      <c r="P532" s="47"/>
      <c r="Q532" s="31"/>
      <c r="R532" s="31"/>
      <c r="S532" s="32">
        <f t="shared" si="159"/>
        <v>0</v>
      </c>
      <c r="T532" s="10"/>
      <c r="U532" s="10"/>
      <c r="V532" s="10"/>
      <c r="W532" s="12">
        <f t="shared" si="160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6"/>
        <v>0</v>
      </c>
      <c r="AF532" s="10"/>
      <c r="AG532" s="10"/>
      <c r="AH532" s="10"/>
      <c r="AI532" s="12">
        <f t="shared" si="16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57"/>
        <v>0</v>
      </c>
      <c r="H533" s="10"/>
      <c r="I533" s="10"/>
      <c r="J533" s="10"/>
      <c r="K533" s="12">
        <f t="shared" si="158"/>
        <v>0</v>
      </c>
      <c r="M533" s="10">
        <v>27</v>
      </c>
      <c r="N533" s="30"/>
      <c r="O533" s="31"/>
      <c r="P533" s="47"/>
      <c r="Q533" s="31"/>
      <c r="R533" s="31"/>
      <c r="S533" s="32">
        <f t="shared" si="159"/>
        <v>0</v>
      </c>
      <c r="T533" s="10"/>
      <c r="U533" s="10"/>
      <c r="V533" s="10"/>
      <c r="W533" s="12">
        <f t="shared" si="160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6"/>
        <v>0</v>
      </c>
      <c r="AF533" s="10"/>
      <c r="AG533" s="10"/>
      <c r="AH533" s="10"/>
      <c r="AI533" s="12">
        <f t="shared" si="16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7"/>
        <v>0</v>
      </c>
      <c r="H534" s="10"/>
      <c r="I534" s="10"/>
      <c r="J534" s="10"/>
      <c r="K534" s="12">
        <f t="shared" si="158"/>
        <v>0</v>
      </c>
      <c r="M534" s="10">
        <v>28</v>
      </c>
      <c r="N534" s="30"/>
      <c r="O534" s="31"/>
      <c r="P534" s="47"/>
      <c r="Q534" s="31"/>
      <c r="R534" s="31"/>
      <c r="S534" s="32">
        <f t="shared" si="159"/>
        <v>0</v>
      </c>
      <c r="T534" s="10"/>
      <c r="U534" s="10"/>
      <c r="V534" s="10"/>
      <c r="W534" s="12">
        <f t="shared" si="160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6"/>
        <v>0</v>
      </c>
      <c r="AF534" s="10"/>
      <c r="AG534" s="10"/>
      <c r="AH534" s="10"/>
      <c r="AI534" s="12">
        <f t="shared" si="16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91"/>
      <c r="D535" s="32"/>
      <c r="E535" s="32"/>
      <c r="F535" s="32"/>
      <c r="G535" s="32">
        <f t="shared" si="157"/>
        <v>0</v>
      </c>
      <c r="H535" s="10"/>
      <c r="I535" s="10"/>
      <c r="J535" s="10"/>
      <c r="K535" s="12">
        <f t="shared" si="158"/>
        <v>0</v>
      </c>
      <c r="M535" s="10">
        <v>29</v>
      </c>
      <c r="N535" s="30"/>
      <c r="O535" s="31"/>
      <c r="P535" s="47"/>
      <c r="Q535" s="31"/>
      <c r="R535" s="31"/>
      <c r="S535" s="32">
        <f t="shared" si="159"/>
        <v>0</v>
      </c>
      <c r="T535" s="10"/>
      <c r="U535" s="10"/>
      <c r="V535" s="10"/>
      <c r="W535" s="12">
        <f t="shared" si="160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6"/>
        <v>0</v>
      </c>
      <c r="AF535" s="10"/>
      <c r="AG535" s="10"/>
      <c r="AH535" s="10"/>
      <c r="AI535" s="12">
        <f t="shared" si="16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91"/>
      <c r="D536" s="32"/>
      <c r="E536" s="32"/>
      <c r="F536" s="32"/>
      <c r="G536" s="32">
        <f t="shared" si="157"/>
        <v>0</v>
      </c>
      <c r="H536" s="10"/>
      <c r="I536" s="10"/>
      <c r="J536" s="10"/>
      <c r="K536" s="12">
        <f t="shared" si="158"/>
        <v>0</v>
      </c>
      <c r="M536" s="10">
        <v>30</v>
      </c>
      <c r="N536" s="30"/>
      <c r="O536" s="31"/>
      <c r="P536" s="47"/>
      <c r="Q536" s="31"/>
      <c r="R536" s="31"/>
      <c r="S536" s="32">
        <f t="shared" si="159"/>
        <v>0</v>
      </c>
      <c r="T536" s="10"/>
      <c r="U536" s="10"/>
      <c r="V536" s="10"/>
      <c r="W536" s="12">
        <f t="shared" si="160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6"/>
        <v>0</v>
      </c>
      <c r="AF536" s="10"/>
      <c r="AG536" s="10"/>
      <c r="AH536" s="10"/>
      <c r="AI536" s="12">
        <f t="shared" si="16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91"/>
      <c r="D537" s="32"/>
      <c r="E537" s="32"/>
      <c r="F537" s="32"/>
      <c r="G537" s="32">
        <f t="shared" si="157"/>
        <v>0</v>
      </c>
      <c r="H537" s="10"/>
      <c r="I537" s="10"/>
      <c r="J537" s="10"/>
      <c r="K537" s="12">
        <f t="shared" si="158"/>
        <v>0</v>
      </c>
      <c r="M537" s="10">
        <v>31</v>
      </c>
      <c r="N537" s="30"/>
      <c r="O537" s="31"/>
      <c r="P537" s="47"/>
      <c r="Q537" s="31"/>
      <c r="R537" s="31"/>
      <c r="S537" s="32">
        <f t="shared" si="159"/>
        <v>0</v>
      </c>
      <c r="T537" s="10"/>
      <c r="U537" s="10"/>
      <c r="V537" s="10"/>
      <c r="W537" s="12">
        <f t="shared" si="160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6"/>
        <v>0</v>
      </c>
      <c r="AF537" s="10"/>
      <c r="AG537" s="10"/>
      <c r="AH537" s="10"/>
      <c r="AI537" s="12">
        <f t="shared" si="16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57"/>
      <c r="D538" s="32"/>
      <c r="E538" s="32"/>
      <c r="F538" s="32"/>
      <c r="G538" s="32">
        <f t="shared" si="157"/>
        <v>0</v>
      </c>
      <c r="H538" s="10"/>
      <c r="I538" s="10"/>
      <c r="J538" s="10"/>
      <c r="K538" s="12">
        <f t="shared" si="158"/>
        <v>0</v>
      </c>
      <c r="M538" s="10">
        <v>32</v>
      </c>
      <c r="N538" s="30"/>
      <c r="O538" s="31"/>
      <c r="P538" s="47"/>
      <c r="Q538" s="31"/>
      <c r="R538" s="31"/>
      <c r="S538" s="32">
        <f t="shared" si="159"/>
        <v>0</v>
      </c>
      <c r="T538" s="10"/>
      <c r="U538" s="10"/>
      <c r="V538" s="10"/>
      <c r="W538" s="12">
        <f t="shared" si="160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6"/>
        <v>0</v>
      </c>
      <c r="AF538" s="10"/>
      <c r="AG538" s="10"/>
      <c r="AH538" s="10"/>
      <c r="AI538" s="12">
        <f t="shared" si="16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91"/>
      <c r="D539" s="32"/>
      <c r="E539" s="32"/>
      <c r="F539" s="32"/>
      <c r="G539" s="32">
        <f t="shared" si="157"/>
        <v>0</v>
      </c>
      <c r="H539" s="10"/>
      <c r="I539" s="10"/>
      <c r="J539" s="10"/>
      <c r="K539" s="12">
        <f t="shared" si="158"/>
        <v>0</v>
      </c>
      <c r="M539" s="10">
        <v>33</v>
      </c>
      <c r="N539" s="30"/>
      <c r="O539" s="31"/>
      <c r="P539" s="47"/>
      <c r="Q539" s="31"/>
      <c r="R539" s="31"/>
      <c r="S539" s="32">
        <f t="shared" si="159"/>
        <v>0</v>
      </c>
      <c r="T539" s="10"/>
      <c r="U539" s="10"/>
      <c r="V539" s="10"/>
      <c r="W539" s="12">
        <f t="shared" si="160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6"/>
        <v>0</v>
      </c>
      <c r="AF539" s="10"/>
      <c r="AG539" s="10"/>
      <c r="AH539" s="10"/>
      <c r="AI539" s="12">
        <f t="shared" si="16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91"/>
      <c r="D540" s="32"/>
      <c r="E540" s="32"/>
      <c r="F540" s="32"/>
      <c r="G540" s="32">
        <f t="shared" si="157"/>
        <v>0</v>
      </c>
      <c r="H540" s="10"/>
      <c r="I540" s="10"/>
      <c r="J540" s="10"/>
      <c r="K540" s="12">
        <f t="shared" si="158"/>
        <v>0</v>
      </c>
      <c r="M540" s="10">
        <v>34</v>
      </c>
      <c r="N540" s="30"/>
      <c r="O540" s="31"/>
      <c r="P540" s="47"/>
      <c r="Q540" s="31"/>
      <c r="R540" s="31"/>
      <c r="S540" s="32">
        <f t="shared" si="159"/>
        <v>0</v>
      </c>
      <c r="T540" s="10"/>
      <c r="U540" s="10"/>
      <c r="V540" s="10"/>
      <c r="W540" s="12">
        <f t="shared" si="160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67">SUM(AB540:AC540)</f>
        <v>0</v>
      </c>
      <c r="AF540" s="10"/>
      <c r="AG540" s="10"/>
      <c r="AH540" s="10"/>
      <c r="AI540" s="12">
        <f t="shared" ref="AI540:AI548" si="168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9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9"/>
        <v>0</v>
      </c>
      <c r="T541" s="10"/>
      <c r="U541" s="10"/>
      <c r="V541" s="10"/>
      <c r="W541" s="12">
        <f t="shared" si="160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7"/>
        <v>0</v>
      </c>
      <c r="AF541" s="10"/>
      <c r="AG541" s="10"/>
      <c r="AH541" s="10"/>
      <c r="AI541" s="12">
        <f t="shared" si="168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9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9"/>
        <v>0</v>
      </c>
      <c r="T542" s="10"/>
      <c r="U542" s="10"/>
      <c r="V542" s="10"/>
      <c r="W542" s="12">
        <f t="shared" si="160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7"/>
        <v>0</v>
      </c>
      <c r="AF542" s="10"/>
      <c r="AG542" s="10"/>
      <c r="AH542" s="10"/>
      <c r="AI542" s="12">
        <f t="shared" si="168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9"/>
        <v>0</v>
      </c>
      <c r="T543" s="10"/>
      <c r="U543" s="10"/>
      <c r="V543" s="10"/>
      <c r="W543" s="12">
        <f t="shared" si="160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7"/>
        <v>0</v>
      </c>
      <c r="AF543" s="10"/>
      <c r="AG543" s="10"/>
      <c r="AH543" s="10"/>
      <c r="AI543" s="12">
        <f t="shared" si="168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9"/>
        <v>0</v>
      </c>
      <c r="T544" s="10"/>
      <c r="U544" s="10"/>
      <c r="V544" s="10"/>
      <c r="W544" s="12">
        <f t="shared" si="160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7"/>
        <v>0</v>
      </c>
      <c r="AF544" s="10"/>
      <c r="AG544" s="10"/>
      <c r="AH544" s="10"/>
      <c r="AI544" s="12">
        <f t="shared" si="168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9"/>
        <v>0</v>
      </c>
      <c r="T545" s="10"/>
      <c r="U545" s="10"/>
      <c r="V545" s="10"/>
      <c r="W545" s="12">
        <f t="shared" si="160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7"/>
        <v>0</v>
      </c>
      <c r="AF545" s="10"/>
      <c r="AG545" s="10"/>
      <c r="AH545" s="10"/>
      <c r="AI545" s="12">
        <f t="shared" si="168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0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8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0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8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0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8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264382.5</v>
      </c>
      <c r="E550" s="38">
        <f t="shared" ref="E550:F550" si="173">SUM(E507:E547)</f>
        <v>-1314</v>
      </c>
      <c r="F550" s="38">
        <f t="shared" si="173"/>
        <v>0</v>
      </c>
      <c r="G550" s="38">
        <f>SUM(G507:G549)</f>
        <v>263068.5</v>
      </c>
      <c r="H550" s="4"/>
      <c r="I550" s="39">
        <f>SUM(I507:I549)</f>
        <v>247</v>
      </c>
      <c r="J550" s="39">
        <f>SUM(J507:J549)</f>
        <v>-78537</v>
      </c>
      <c r="K550" s="40">
        <f>SUM(K507:K549)</f>
        <v>184778.5</v>
      </c>
      <c r="N550" s="57"/>
      <c r="O550" s="57"/>
      <c r="P550" s="38">
        <f>SUM(P507:P549)</f>
        <v>251298</v>
      </c>
      <c r="Q550" s="38">
        <f>SUM(Q507:Q531)</f>
        <v>-1182</v>
      </c>
      <c r="R550" s="38">
        <f>SUM(R507:R531)</f>
        <v>0</v>
      </c>
      <c r="S550" s="38">
        <f>SUM(S507:S549)</f>
        <v>250116</v>
      </c>
      <c r="T550" s="4"/>
      <c r="U550" s="41">
        <f>SUM(U507:U549)</f>
        <v>4225.5</v>
      </c>
      <c r="V550" s="41">
        <f>SUM(V507:V531)</f>
        <v>-4074</v>
      </c>
      <c r="W550" s="42">
        <f>SUM(W507:W549)</f>
        <v>250267.5</v>
      </c>
      <c r="Z550" s="57"/>
      <c r="AA550" s="57"/>
      <c r="AB550" s="38">
        <f>SUM(AB507:AB549)</f>
        <v>259538</v>
      </c>
      <c r="AC550" s="38">
        <f>SUM(AC507:AC531)</f>
        <v>-1620</v>
      </c>
      <c r="AD550" s="38">
        <f>SUM(AD507:AD531)</f>
        <v>0</v>
      </c>
      <c r="AE550" s="38">
        <f>SUM(AE507:AE549)</f>
        <v>257918</v>
      </c>
      <c r="AF550" s="4"/>
      <c r="AG550" s="41">
        <f>SUM(AG507:AG549)</f>
        <v>729</v>
      </c>
      <c r="AH550" s="41">
        <f>SUM(AH507:AH531)</f>
        <v>-24198</v>
      </c>
      <c r="AI550" s="42">
        <f>SUM(AI507:AI549)</f>
        <v>234449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4"/>
      <c r="C552" s="94"/>
      <c r="D552" s="94"/>
      <c r="E552" s="94"/>
      <c r="F552" s="94"/>
      <c r="G552" s="94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4"/>
      <c r="C553" s="94"/>
      <c r="D553" s="94"/>
      <c r="E553" s="94"/>
      <c r="F553" s="94"/>
      <c r="G553" s="94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4"/>
      <c r="C554" s="94"/>
      <c r="D554" s="94"/>
      <c r="E554" s="94"/>
      <c r="F554" s="94"/>
      <c r="G554" s="94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4"/>
      <c r="C555" s="94"/>
      <c r="D555" s="94"/>
      <c r="E555" s="94"/>
      <c r="F555" s="94"/>
      <c r="G555" s="94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4"/>
      <c r="C556" s="94"/>
      <c r="D556" s="94"/>
      <c r="E556" s="94"/>
      <c r="F556" s="94"/>
      <c r="G556" s="94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4"/>
      <c r="C557" s="94"/>
      <c r="D557" s="94"/>
      <c r="E557" s="94"/>
      <c r="F557" s="94"/>
      <c r="G557" s="94"/>
      <c r="H557" s="62"/>
      <c r="I557" s="94"/>
      <c r="J557" s="74"/>
      <c r="K557" s="62"/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4"/>
      <c r="C558" s="94"/>
      <c r="D558" s="94"/>
      <c r="E558" s="94"/>
      <c r="F558" s="94"/>
      <c r="G558" s="94"/>
      <c r="H558" s="62"/>
      <c r="I558" s="65"/>
      <c r="J558" s="65"/>
      <c r="K558" s="62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54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4"/>
      <c r="C559" s="94"/>
      <c r="D559" s="94"/>
      <c r="E559" s="94"/>
      <c r="F559" s="94"/>
      <c r="G559" s="94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4"/>
      <c r="D560" s="116"/>
      <c r="E560" s="116"/>
      <c r="F560" s="94"/>
      <c r="G560" s="94"/>
      <c r="H560" s="62"/>
      <c r="I560" s="116"/>
      <c r="J560" s="116"/>
      <c r="K560" s="115"/>
      <c r="N560" s="25"/>
      <c r="O560" s="26"/>
      <c r="P560" s="121" t="s">
        <v>17</v>
      </c>
      <c r="Q560" s="121"/>
      <c r="R560" s="106"/>
      <c r="S560" s="27"/>
      <c r="U560" s="117" t="s">
        <v>18</v>
      </c>
      <c r="V560" s="118"/>
      <c r="W560" s="119" t="s">
        <v>19</v>
      </c>
      <c r="Z560" s="25"/>
      <c r="AA560" s="26"/>
      <c r="AB560" s="121" t="s">
        <v>17</v>
      </c>
      <c r="AC560" s="121"/>
      <c r="AD560" s="106"/>
      <c r="AE560" s="27"/>
      <c r="AG560" s="117" t="s">
        <v>18</v>
      </c>
      <c r="AH560" s="118"/>
      <c r="AI560" s="11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94"/>
      <c r="C561" s="94"/>
      <c r="D561" s="81"/>
      <c r="E561" s="82"/>
      <c r="F561" s="83"/>
      <c r="G561" s="83"/>
      <c r="H561" s="62"/>
      <c r="I561" s="93"/>
      <c r="J561" s="93"/>
      <c r="K561" s="115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20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2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2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69</v>
      </c>
      <c r="O562" s="31">
        <v>8465</v>
      </c>
      <c r="P562" s="32">
        <f>650*4+9.5*10</f>
        <v>2695</v>
      </c>
      <c r="Q562" s="32"/>
      <c r="R562" s="32"/>
      <c r="S562" s="32">
        <f>SUM(P562:Q562)</f>
        <v>2695</v>
      </c>
      <c r="T562" s="12"/>
      <c r="U562" s="12"/>
      <c r="V562" s="12">
        <f>-21*111</f>
        <v>-2331</v>
      </c>
      <c r="W562" s="12">
        <f>SUM(S562:V562)</f>
        <v>364</v>
      </c>
      <c r="Y562" s="10">
        <v>1</v>
      </c>
      <c r="Z562" s="30" t="s">
        <v>69</v>
      </c>
      <c r="AA562" s="31">
        <v>8390</v>
      </c>
      <c r="AB562" s="32">
        <f>125*650+912*2+872+229*5</f>
        <v>85091</v>
      </c>
      <c r="AC562" s="32">
        <f>-128*6</f>
        <v>-768</v>
      </c>
      <c r="AD562" s="32"/>
      <c r="AE562" s="32">
        <f>SUM(AB562:AC562)</f>
        <v>84323</v>
      </c>
      <c r="AF562" s="12"/>
      <c r="AG562" s="12"/>
      <c r="AH562" s="12"/>
      <c r="AI562" s="12">
        <f>SUM(AE562:AH562)</f>
        <v>84323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2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 t="s">
        <v>69</v>
      </c>
      <c r="O563" s="31">
        <f>O562+1</f>
        <v>8466</v>
      </c>
      <c r="P563" s="32">
        <f>650+622+19</f>
        <v>1291</v>
      </c>
      <c r="Q563" s="32"/>
      <c r="R563" s="32"/>
      <c r="S563" s="32">
        <f t="shared" ref="S563:S600" si="174">SUM(P563:Q563)</f>
        <v>1291</v>
      </c>
      <c r="T563" s="12"/>
      <c r="U563" s="12">
        <f>222+3</f>
        <v>225</v>
      </c>
      <c r="V563" s="12"/>
      <c r="W563" s="12">
        <f t="shared" ref="W563:W603" si="175">SUM(S563:V563)</f>
        <v>1516</v>
      </c>
      <c r="Y563" s="10">
        <v>2</v>
      </c>
      <c r="Z563" s="30" t="s">
        <v>69</v>
      </c>
      <c r="AA563" s="31">
        <f>AA562+1</f>
        <v>8391</v>
      </c>
      <c r="AB563" s="32">
        <f>32500+458</f>
        <v>32958</v>
      </c>
      <c r="AC563" s="32">
        <v>-300</v>
      </c>
      <c r="AD563" s="32"/>
      <c r="AE563" s="32">
        <f t="shared" ref="AE563:AE594" si="176">SUM(AB563:AC563)</f>
        <v>32658</v>
      </c>
      <c r="AF563" s="12"/>
      <c r="AG563" s="12">
        <v>72</v>
      </c>
      <c r="AH563" s="12"/>
      <c r="AI563" s="12">
        <f t="shared" ref="AI563:AI594" si="177">SUM(AE563:AH563)</f>
        <v>32730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2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 t="s">
        <v>69</v>
      </c>
      <c r="O564" s="31">
        <f t="shared" ref="O564:O565" si="178">O563+1</f>
        <v>8467</v>
      </c>
      <c r="P564" s="32">
        <f>132600+19282+916</f>
        <v>152798</v>
      </c>
      <c r="Q564" s="32">
        <v>-1410</v>
      </c>
      <c r="R564" s="32"/>
      <c r="S564" s="32">
        <f t="shared" si="174"/>
        <v>151388</v>
      </c>
      <c r="T564" s="12"/>
      <c r="U564" s="12"/>
      <c r="V564" s="12"/>
      <c r="W564" s="12">
        <f t="shared" si="175"/>
        <v>151388</v>
      </c>
      <c r="Y564" s="10">
        <v>3</v>
      </c>
      <c r="Z564" s="30" t="s">
        <v>69</v>
      </c>
      <c r="AA564" s="31">
        <f t="shared" ref="AA564:AA565" si="179">AA563+1</f>
        <v>8392</v>
      </c>
      <c r="AB564" s="33">
        <f>650*20+622*5</f>
        <v>16110</v>
      </c>
      <c r="AC564" s="33"/>
      <c r="AD564" s="32"/>
      <c r="AE564" s="32">
        <f t="shared" si="176"/>
        <v>16110</v>
      </c>
      <c r="AF564" s="12"/>
      <c r="AG564" s="12"/>
      <c r="AH564" s="12"/>
      <c r="AI564" s="12">
        <f t="shared" si="177"/>
        <v>16110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 t="s">
        <v>69</v>
      </c>
      <c r="O565" s="31">
        <f t="shared" si="178"/>
        <v>8468</v>
      </c>
      <c r="P565" s="32">
        <f>650*300+622*50+229*14</f>
        <v>229306</v>
      </c>
      <c r="Q565" s="32">
        <v>-2100</v>
      </c>
      <c r="R565" s="32"/>
      <c r="S565" s="32">
        <f t="shared" si="174"/>
        <v>227206</v>
      </c>
      <c r="T565" s="12"/>
      <c r="U565" s="12">
        <v>858</v>
      </c>
      <c r="V565" s="12">
        <v>-11988</v>
      </c>
      <c r="W565" s="12">
        <f t="shared" si="175"/>
        <v>216076</v>
      </c>
      <c r="Y565" s="10">
        <v>4</v>
      </c>
      <c r="Z565" s="30" t="s">
        <v>69</v>
      </c>
      <c r="AA565" s="31">
        <f t="shared" si="179"/>
        <v>8393</v>
      </c>
      <c r="AB565" s="32">
        <f>650*10</f>
        <v>6500</v>
      </c>
      <c r="AC565" s="32"/>
      <c r="AD565" s="32"/>
      <c r="AE565" s="32">
        <f t="shared" si="176"/>
        <v>6500</v>
      </c>
      <c r="AF565" s="12"/>
      <c r="AH565" s="12"/>
      <c r="AI565" s="12">
        <f t="shared" si="177"/>
        <v>6500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11" t="s">
        <v>27</v>
      </c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/>
      <c r="AA566" s="11" t="s">
        <v>27</v>
      </c>
      <c r="AB566" s="32"/>
      <c r="AC566" s="32"/>
      <c r="AD566" s="32"/>
      <c r="AE566" s="32">
        <f t="shared" si="176"/>
        <v>0</v>
      </c>
      <c r="AF566" s="12"/>
      <c r="AG566" s="12"/>
      <c r="AH566" s="12"/>
      <c r="AI566" s="12">
        <f t="shared" si="177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2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31"/>
      <c r="AB567" s="32"/>
      <c r="AC567" s="32"/>
      <c r="AD567" s="32"/>
      <c r="AE567" s="32">
        <f t="shared" si="176"/>
        <v>0</v>
      </c>
      <c r="AF567" s="12"/>
      <c r="AG567" s="12"/>
      <c r="AH567" s="10"/>
      <c r="AI567" s="12">
        <f t="shared" si="177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2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76"/>
        <v>0</v>
      </c>
      <c r="AF568" s="12"/>
      <c r="AG568" s="58"/>
      <c r="AH568" s="12"/>
      <c r="AI568" s="12">
        <f t="shared" si="177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2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76"/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2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76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2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76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76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2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76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2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76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92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76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2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76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76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2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76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76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4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6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2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76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2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B582" s="46"/>
      <c r="AC582" s="31"/>
      <c r="AD582" s="31"/>
      <c r="AE582" s="32">
        <f t="shared" si="176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2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76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4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76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6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76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76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6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6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6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4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76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76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6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6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80">SUM(AB595:AC595)</f>
        <v>0</v>
      </c>
      <c r="AF595" s="10"/>
      <c r="AG595" s="10"/>
      <c r="AH595" s="10"/>
      <c r="AI595" s="12">
        <f t="shared" ref="AI595:AI603" si="181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4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8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4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8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4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8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4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8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4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8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4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4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2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3">SUM(AB602:AC602)</f>
        <v>0</v>
      </c>
      <c r="AF602" s="10"/>
      <c r="AG602" s="10"/>
      <c r="AH602" s="10"/>
      <c r="AI602" s="12">
        <f t="shared" si="18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4"/>
      <c r="C604" s="94"/>
      <c r="D604" s="94"/>
      <c r="E604" s="94"/>
      <c r="F604" s="94"/>
      <c r="G604" s="94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4"/>
      <c r="C605" s="94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386090</v>
      </c>
      <c r="Q605" s="38">
        <f>SUM(Q562:Q586)</f>
        <v>-3510</v>
      </c>
      <c r="R605" s="38">
        <f>SUM(R562:R586)</f>
        <v>0</v>
      </c>
      <c r="S605" s="38">
        <f>SUM(S562:S604)</f>
        <v>382580</v>
      </c>
      <c r="T605" s="4"/>
      <c r="U605" s="41">
        <f>SUM(U562:U604)</f>
        <v>1083</v>
      </c>
      <c r="V605" s="41">
        <f>SUM(V562:V586)</f>
        <v>-14319</v>
      </c>
      <c r="W605" s="42">
        <f>SUM(W562:W604)</f>
        <v>369344</v>
      </c>
      <c r="Z605" s="57"/>
      <c r="AA605" s="57"/>
      <c r="AB605" s="38">
        <f>SUM(AB562:AB604)</f>
        <v>140659</v>
      </c>
      <c r="AC605" s="38">
        <f>SUM(AC562:AC586)</f>
        <v>-1068</v>
      </c>
      <c r="AD605" s="38">
        <f>SUM(AD562:AD586)</f>
        <v>0</v>
      </c>
      <c r="AE605" s="38">
        <f>SUM(AE562:AE604)</f>
        <v>139591</v>
      </c>
      <c r="AF605" s="4"/>
      <c r="AG605" s="41">
        <f>SUM(AG562:AG604)</f>
        <v>72</v>
      </c>
      <c r="AH605" s="41">
        <f>SUM(AH562:AH586)</f>
        <v>0</v>
      </c>
      <c r="AI605" s="42">
        <f>SUM(AI562:AI604)</f>
        <v>139663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56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56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56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71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54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1" t="s">
        <v>17</v>
      </c>
      <c r="E615" s="121"/>
      <c r="F615" s="107"/>
      <c r="G615" s="27"/>
      <c r="I615" s="117" t="s">
        <v>18</v>
      </c>
      <c r="J615" s="118"/>
      <c r="K615" s="119" t="s">
        <v>19</v>
      </c>
      <c r="N615" s="25"/>
      <c r="O615" s="26"/>
      <c r="P615" s="121" t="s">
        <v>17</v>
      </c>
      <c r="Q615" s="121"/>
      <c r="R615" s="107"/>
      <c r="S615" s="27"/>
      <c r="U615" s="117" t="s">
        <v>18</v>
      </c>
      <c r="V615" s="118"/>
      <c r="W615" s="119" t="s">
        <v>19</v>
      </c>
      <c r="Z615" s="25"/>
      <c r="AA615" s="26"/>
      <c r="AB615" s="121" t="s">
        <v>17</v>
      </c>
      <c r="AC615" s="121"/>
      <c r="AD615" s="107"/>
      <c r="AE615" s="27"/>
      <c r="AG615" s="117" t="s">
        <v>18</v>
      </c>
      <c r="AH615" s="118"/>
      <c r="AI615" s="11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20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20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2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72</v>
      </c>
      <c r="C617" s="91">
        <v>8430</v>
      </c>
      <c r="D617" s="32">
        <f>650*432+229*15</f>
        <v>284235</v>
      </c>
      <c r="E617" s="32">
        <v>-2592</v>
      </c>
      <c r="F617" s="32"/>
      <c r="G617" s="32">
        <f t="shared" ref="G617:G650" si="184">SUM(D617:E617)</f>
        <v>281643</v>
      </c>
      <c r="H617" s="12"/>
      <c r="I617" s="12">
        <v>780</v>
      </c>
      <c r="J617" s="12">
        <f>-2400+-11877+-10878+-5040</f>
        <v>-30195</v>
      </c>
      <c r="K617" s="12">
        <f t="shared" ref="K617:K650" si="185">SUM(G617:J617)</f>
        <v>252228</v>
      </c>
      <c r="M617" s="10">
        <v>1</v>
      </c>
      <c r="N617" s="30" t="s">
        <v>72</v>
      </c>
      <c r="O617" s="31">
        <v>8469</v>
      </c>
      <c r="P617" s="32">
        <f>650*2+9.5*2</f>
        <v>1319</v>
      </c>
      <c r="Q617" s="32"/>
      <c r="R617" s="32"/>
      <c r="S617" s="32">
        <f>SUM(P617:Q617)</f>
        <v>1319</v>
      </c>
      <c r="T617" s="12"/>
      <c r="U617" s="12">
        <v>3</v>
      </c>
      <c r="V617" s="12"/>
      <c r="W617" s="12">
        <f>SUM(S617:V617)</f>
        <v>1322</v>
      </c>
      <c r="Y617" s="10">
        <v>1</v>
      </c>
      <c r="Z617" s="30" t="s">
        <v>72</v>
      </c>
      <c r="AA617" s="31">
        <v>8394</v>
      </c>
      <c r="AB617" s="32">
        <f>650*291+229*5</f>
        <v>190295</v>
      </c>
      <c r="AC617" s="32">
        <f>-291*6</f>
        <v>-1746</v>
      </c>
      <c r="AD617" s="32"/>
      <c r="AE617" s="32">
        <f>SUM(AB617:AC617)</f>
        <v>188549</v>
      </c>
      <c r="AF617" s="12"/>
      <c r="AG617" s="12"/>
      <c r="AH617" s="12">
        <v>-11100</v>
      </c>
      <c r="AI617" s="12">
        <f>SUM(AE617:AH617)</f>
        <v>177449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72</v>
      </c>
      <c r="C618" s="31">
        <f>C617+1</f>
        <v>8431</v>
      </c>
      <c r="D618" s="32">
        <f>650*21+670*25+622*7+229</f>
        <v>34983</v>
      </c>
      <c r="E618" s="32"/>
      <c r="F618" s="32"/>
      <c r="G618" s="32">
        <f t="shared" si="184"/>
        <v>34983</v>
      </c>
      <c r="H618" s="12"/>
      <c r="I618" s="12"/>
      <c r="J618" s="12">
        <v>-3774</v>
      </c>
      <c r="K618" s="12">
        <f t="shared" si="185"/>
        <v>31209</v>
      </c>
      <c r="M618" s="10">
        <v>2</v>
      </c>
      <c r="N618" s="30" t="s">
        <v>72</v>
      </c>
      <c r="O618" s="31">
        <f>O617+1</f>
        <v>8470</v>
      </c>
      <c r="P618" s="32">
        <f>650*10+9.5*10</f>
        <v>6595</v>
      </c>
      <c r="Q618" s="32"/>
      <c r="R618" s="32"/>
      <c r="S618" s="32">
        <f t="shared" ref="S618:S655" si="186">SUM(P618:Q618)</f>
        <v>6595</v>
      </c>
      <c r="T618" s="12"/>
      <c r="U618" s="12">
        <v>12</v>
      </c>
      <c r="V618" s="12"/>
      <c r="W618" s="12">
        <f t="shared" ref="W618:W658" si="187">SUM(S618:V618)</f>
        <v>6607</v>
      </c>
      <c r="Y618" s="10">
        <v>2</v>
      </c>
      <c r="Z618" s="30" t="s">
        <v>72</v>
      </c>
      <c r="AA618" s="31">
        <f>AA617+1</f>
        <v>8395</v>
      </c>
      <c r="AB618" s="32">
        <f>650*50+622*5+1050</f>
        <v>36660</v>
      </c>
      <c r="AC618" s="32">
        <f>-56*6</f>
        <v>-336</v>
      </c>
      <c r="AD618" s="32"/>
      <c r="AE618" s="32">
        <f t="shared" ref="AE618:AE649" si="188">SUM(AB618:AC618)</f>
        <v>36324</v>
      </c>
      <c r="AF618" s="12"/>
      <c r="AG618" s="12"/>
      <c r="AH618" s="12"/>
      <c r="AI618" s="12">
        <f t="shared" ref="AI618:AI649" si="189">SUM(AE618:AH618)</f>
        <v>36324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72</v>
      </c>
      <c r="C619" s="31">
        <f t="shared" ref="C619" si="190">C618+1</f>
        <v>8432</v>
      </c>
      <c r="D619" s="33">
        <f>32500+622*3+229</f>
        <v>34595</v>
      </c>
      <c r="E619" s="33"/>
      <c r="F619" s="33"/>
      <c r="G619" s="33">
        <f t="shared" si="184"/>
        <v>34595</v>
      </c>
      <c r="H619" s="34"/>
      <c r="I619" s="34">
        <v>261</v>
      </c>
      <c r="J619" s="34"/>
      <c r="K619" s="34">
        <f t="shared" si="185"/>
        <v>34856</v>
      </c>
      <c r="M619" s="10">
        <v>3</v>
      </c>
      <c r="N619" s="30" t="s">
        <v>72</v>
      </c>
      <c r="O619" s="31">
        <f t="shared" ref="O619:O636" si="191">O618+1</f>
        <v>8471</v>
      </c>
      <c r="P619" s="32">
        <f>650*13+622*5+9.5*18</f>
        <v>11731</v>
      </c>
      <c r="Q619" s="32"/>
      <c r="R619" s="32"/>
      <c r="S619" s="32">
        <f t="shared" si="186"/>
        <v>11731</v>
      </c>
      <c r="T619" s="12"/>
      <c r="U619" s="12"/>
      <c r="V619" s="12"/>
      <c r="W619" s="12">
        <f t="shared" si="187"/>
        <v>11731</v>
      </c>
      <c r="Y619" s="10">
        <v>3</v>
      </c>
      <c r="Z619" s="30" t="s">
        <v>72</v>
      </c>
      <c r="AA619" s="31">
        <f t="shared" ref="AA619" si="192">AA618+1</f>
        <v>8396</v>
      </c>
      <c r="AB619" s="33">
        <f>650*79+622*10</f>
        <v>57570</v>
      </c>
      <c r="AC619" s="33"/>
      <c r="AD619" s="32"/>
      <c r="AE619" s="32">
        <f t="shared" si="188"/>
        <v>57570</v>
      </c>
      <c r="AF619" s="12"/>
      <c r="AG619" s="12"/>
      <c r="AH619" s="12"/>
      <c r="AI619" s="12">
        <f t="shared" si="189"/>
        <v>57570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11" t="s">
        <v>27</v>
      </c>
      <c r="D620" s="32"/>
      <c r="E620" s="32"/>
      <c r="F620" s="32"/>
      <c r="G620" s="32">
        <f t="shared" si="184"/>
        <v>0</v>
      </c>
      <c r="H620" s="12"/>
      <c r="I620" s="12"/>
      <c r="J620" s="12"/>
      <c r="K620" s="12">
        <f t="shared" si="185"/>
        <v>0</v>
      </c>
      <c r="M620" s="10">
        <v>4</v>
      </c>
      <c r="N620" s="30" t="s">
        <v>72</v>
      </c>
      <c r="O620" s="31">
        <f t="shared" si="191"/>
        <v>8472</v>
      </c>
      <c r="P620" s="32">
        <f>650*6+9.5*6</f>
        <v>3957</v>
      </c>
      <c r="Q620" s="32"/>
      <c r="R620" s="32"/>
      <c r="S620" s="32">
        <f t="shared" si="186"/>
        <v>3957</v>
      </c>
      <c r="T620" s="12"/>
      <c r="U620" s="12"/>
      <c r="V620" s="12"/>
      <c r="W620" s="12">
        <f t="shared" si="187"/>
        <v>3957</v>
      </c>
      <c r="Y620" s="10">
        <v>4</v>
      </c>
      <c r="Z620" s="30"/>
      <c r="AA620" s="11" t="s">
        <v>27</v>
      </c>
      <c r="AB620" s="32"/>
      <c r="AC620" s="32"/>
      <c r="AD620" s="32"/>
      <c r="AE620" s="32">
        <f t="shared" si="188"/>
        <v>0</v>
      </c>
      <c r="AF620" s="12"/>
      <c r="AH620" s="12"/>
      <c r="AI620" s="12">
        <f t="shared" si="189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84"/>
        <v>0</v>
      </c>
      <c r="H621" s="12"/>
      <c r="I621" s="12"/>
      <c r="J621" s="12"/>
      <c r="K621" s="12">
        <f t="shared" si="185"/>
        <v>0</v>
      </c>
      <c r="M621" s="10">
        <v>5</v>
      </c>
      <c r="N621" s="30" t="s">
        <v>72</v>
      </c>
      <c r="O621" s="31">
        <f t="shared" si="191"/>
        <v>8473</v>
      </c>
      <c r="P621" s="32">
        <f>650+9.5</f>
        <v>659.5</v>
      </c>
      <c r="Q621" s="32"/>
      <c r="R621" s="32"/>
      <c r="S621" s="32">
        <f t="shared" si="186"/>
        <v>659.5</v>
      </c>
      <c r="T621" s="12"/>
      <c r="U621" s="12"/>
      <c r="V621" s="12"/>
      <c r="W621" s="12">
        <f t="shared" si="187"/>
        <v>659.5</v>
      </c>
      <c r="Y621" s="10">
        <v>5</v>
      </c>
      <c r="Z621" s="30"/>
      <c r="AA621" s="11"/>
      <c r="AB621" s="32"/>
      <c r="AC621" s="32"/>
      <c r="AD621" s="32"/>
      <c r="AE621" s="32">
        <f t="shared" si="188"/>
        <v>0</v>
      </c>
      <c r="AF621" s="12"/>
      <c r="AG621" s="12"/>
      <c r="AH621" s="12"/>
      <c r="AI621" s="12">
        <f t="shared" si="189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84"/>
        <v>0</v>
      </c>
      <c r="H622" s="12"/>
      <c r="I622" s="12"/>
      <c r="J622" s="12"/>
      <c r="K622" s="12">
        <f t="shared" si="185"/>
        <v>0</v>
      </c>
      <c r="M622" s="10">
        <v>6</v>
      </c>
      <c r="N622" s="30" t="s">
        <v>72</v>
      </c>
      <c r="O622" s="31">
        <f t="shared" si="191"/>
        <v>8474</v>
      </c>
      <c r="P622" s="32">
        <f>622*2+19</f>
        <v>1263</v>
      </c>
      <c r="Q622" s="32"/>
      <c r="R622" s="32"/>
      <c r="S622" s="32">
        <f t="shared" si="186"/>
        <v>1263</v>
      </c>
      <c r="T622" s="12"/>
      <c r="U622" s="12"/>
      <c r="V622" s="10"/>
      <c r="W622" s="12">
        <f t="shared" si="187"/>
        <v>1263</v>
      </c>
      <c r="Y622" s="10">
        <v>6</v>
      </c>
      <c r="Z622" s="30"/>
      <c r="AA622" s="31"/>
      <c r="AB622" s="32"/>
      <c r="AC622" s="32"/>
      <c r="AD622" s="32"/>
      <c r="AE622" s="32">
        <f t="shared" si="188"/>
        <v>0</v>
      </c>
      <c r="AF622" s="12"/>
      <c r="AG622" s="12"/>
      <c r="AH622" s="10"/>
      <c r="AI622" s="12">
        <f t="shared" si="189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84"/>
        <v>0</v>
      </c>
      <c r="H623" s="12"/>
      <c r="I623" s="12"/>
      <c r="J623" s="12"/>
      <c r="K623" s="12">
        <f t="shared" si="185"/>
        <v>0</v>
      </c>
      <c r="M623" s="10">
        <v>7</v>
      </c>
      <c r="N623" s="30" t="s">
        <v>72</v>
      </c>
      <c r="O623" s="31">
        <f t="shared" si="191"/>
        <v>8475</v>
      </c>
      <c r="P623" s="32">
        <f>650*11+9.5*11</f>
        <v>7254.5</v>
      </c>
      <c r="Q623" s="32"/>
      <c r="R623" s="32"/>
      <c r="S623" s="32">
        <f t="shared" si="186"/>
        <v>7254.5</v>
      </c>
      <c r="T623" s="12"/>
      <c r="U623" s="12"/>
      <c r="V623" s="12"/>
      <c r="W623" s="12">
        <f t="shared" si="187"/>
        <v>7254.5</v>
      </c>
      <c r="Y623" s="10">
        <v>7</v>
      </c>
      <c r="Z623" s="30"/>
      <c r="AA623" s="31"/>
      <c r="AB623" s="32"/>
      <c r="AC623" s="32"/>
      <c r="AD623" s="32"/>
      <c r="AE623" s="32">
        <f t="shared" si="188"/>
        <v>0</v>
      </c>
      <c r="AF623" s="12"/>
      <c r="AG623" s="58"/>
      <c r="AH623" s="12"/>
      <c r="AI623" s="12">
        <f t="shared" si="189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84"/>
        <v>0</v>
      </c>
      <c r="H624" s="12"/>
      <c r="I624" s="12"/>
      <c r="J624" s="12"/>
      <c r="K624" s="12">
        <f t="shared" si="185"/>
        <v>0</v>
      </c>
      <c r="M624" s="10">
        <v>8</v>
      </c>
      <c r="N624" s="30" t="s">
        <v>72</v>
      </c>
      <c r="O624" s="31">
        <f t="shared" si="191"/>
        <v>8476</v>
      </c>
      <c r="P624" s="32">
        <f>650*2+19</f>
        <v>1319</v>
      </c>
      <c r="Q624" s="32"/>
      <c r="R624" s="32"/>
      <c r="S624" s="32">
        <f t="shared" si="186"/>
        <v>1319</v>
      </c>
      <c r="T624" s="12"/>
      <c r="U624" s="12"/>
      <c r="V624" s="12"/>
      <c r="W624" s="12">
        <f t="shared" si="187"/>
        <v>1319</v>
      </c>
      <c r="Y624" s="10">
        <v>8</v>
      </c>
      <c r="Z624" s="30"/>
      <c r="AB624" s="32"/>
      <c r="AC624" s="32"/>
      <c r="AE624" s="32">
        <f t="shared" si="188"/>
        <v>0</v>
      </c>
      <c r="AF624" s="12"/>
      <c r="AG624" s="12"/>
      <c r="AH624" s="12"/>
      <c r="AI624" s="12">
        <f t="shared" si="189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84"/>
        <v>0</v>
      </c>
      <c r="H625" s="12"/>
      <c r="I625" s="12"/>
      <c r="J625" s="12"/>
      <c r="K625" s="12">
        <f t="shared" si="185"/>
        <v>0</v>
      </c>
      <c r="M625" s="10">
        <v>9</v>
      </c>
      <c r="N625" s="30" t="s">
        <v>72</v>
      </c>
      <c r="O625" s="31">
        <f t="shared" si="191"/>
        <v>8477</v>
      </c>
      <c r="P625" s="32">
        <f>1300+19</f>
        <v>1319</v>
      </c>
      <c r="Q625" s="32"/>
      <c r="R625" s="32"/>
      <c r="S625" s="32">
        <f t="shared" si="186"/>
        <v>1319</v>
      </c>
      <c r="T625" s="12"/>
      <c r="U625" s="12"/>
      <c r="V625" s="12"/>
      <c r="W625" s="12">
        <f t="shared" si="187"/>
        <v>1319</v>
      </c>
      <c r="Y625" s="10">
        <v>9</v>
      </c>
      <c r="Z625" s="30"/>
      <c r="AA625" s="31"/>
      <c r="AB625" s="32"/>
      <c r="AC625" s="32"/>
      <c r="AD625" s="32"/>
      <c r="AE625" s="32">
        <f t="shared" si="188"/>
        <v>0</v>
      </c>
      <c r="AF625" s="12"/>
      <c r="AH625" s="12"/>
      <c r="AI625" s="12">
        <f t="shared" si="189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84"/>
        <v>0</v>
      </c>
      <c r="H626" s="12"/>
      <c r="I626" s="12"/>
      <c r="J626" s="12"/>
      <c r="K626" s="12">
        <f t="shared" si="185"/>
        <v>0</v>
      </c>
      <c r="M626" s="10">
        <v>10</v>
      </c>
      <c r="N626" s="30" t="s">
        <v>72</v>
      </c>
      <c r="O626" s="31">
        <f t="shared" si="191"/>
        <v>8478</v>
      </c>
      <c r="P626" s="32">
        <f>5200+1244+229</f>
        <v>6673</v>
      </c>
      <c r="Q626" s="32"/>
      <c r="R626" s="32"/>
      <c r="S626" s="32">
        <f t="shared" si="186"/>
        <v>6673</v>
      </c>
      <c r="T626" s="12"/>
      <c r="U626" s="12">
        <v>1.5</v>
      </c>
      <c r="V626" s="12"/>
      <c r="W626" s="12">
        <f t="shared" si="187"/>
        <v>6674.5</v>
      </c>
      <c r="Y626" s="10">
        <v>10</v>
      </c>
      <c r="Z626" s="30"/>
      <c r="AA626" s="31"/>
      <c r="AB626" s="32"/>
      <c r="AC626" s="32"/>
      <c r="AD626" s="32"/>
      <c r="AE626" s="32">
        <f t="shared" si="188"/>
        <v>0</v>
      </c>
      <c r="AF626" s="12"/>
      <c r="AG626" s="12"/>
      <c r="AH626" s="12"/>
      <c r="AI626" s="12">
        <f t="shared" si="189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D627" s="32"/>
      <c r="E627" s="32"/>
      <c r="F627" s="32"/>
      <c r="G627" s="32">
        <f t="shared" si="184"/>
        <v>0</v>
      </c>
      <c r="H627" s="12"/>
      <c r="I627" s="12"/>
      <c r="J627" s="12"/>
      <c r="K627" s="12">
        <f t="shared" si="185"/>
        <v>0</v>
      </c>
      <c r="M627" s="10">
        <v>11</v>
      </c>
      <c r="N627" s="30" t="s">
        <v>72</v>
      </c>
      <c r="O627" s="31">
        <f t="shared" si="191"/>
        <v>8479</v>
      </c>
      <c r="P627" s="32">
        <f>1300+622*3+47.5</f>
        <v>3213.5</v>
      </c>
      <c r="Q627" s="32"/>
      <c r="R627" s="32"/>
      <c r="S627" s="32">
        <f t="shared" si="186"/>
        <v>3213.5</v>
      </c>
      <c r="T627" s="12"/>
      <c r="U627" s="12"/>
      <c r="V627" s="12"/>
      <c r="W627" s="12">
        <f t="shared" si="187"/>
        <v>3213.5</v>
      </c>
      <c r="Y627" s="10">
        <v>11</v>
      </c>
      <c r="Z627" s="30"/>
      <c r="AA627" s="31"/>
      <c r="AB627" s="32"/>
      <c r="AC627" s="32"/>
      <c r="AD627" s="32"/>
      <c r="AE627" s="32">
        <f t="shared" si="188"/>
        <v>0</v>
      </c>
      <c r="AF627" s="12"/>
      <c r="AG627" s="12"/>
      <c r="AH627" s="12"/>
      <c r="AI627" s="12">
        <f t="shared" si="189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84"/>
        <v>0</v>
      </c>
      <c r="H628" s="12"/>
      <c r="I628" s="12"/>
      <c r="J628" s="10"/>
      <c r="K628" s="12">
        <f t="shared" si="185"/>
        <v>0</v>
      </c>
      <c r="M628" s="10">
        <v>12</v>
      </c>
      <c r="N628" s="30" t="s">
        <v>72</v>
      </c>
      <c r="O628" s="31">
        <f t="shared" si="191"/>
        <v>8480</v>
      </c>
      <c r="P628" s="32">
        <f>650*4+670+1244+9.5*6</f>
        <v>4571</v>
      </c>
      <c r="Q628" s="32"/>
      <c r="R628" s="32"/>
      <c r="S628" s="32">
        <f t="shared" si="186"/>
        <v>4571</v>
      </c>
      <c r="T628" s="12"/>
      <c r="U628" s="12"/>
      <c r="V628" s="12"/>
      <c r="W628" s="12">
        <f t="shared" si="187"/>
        <v>4571</v>
      </c>
      <c r="Y628" s="10">
        <v>12</v>
      </c>
      <c r="Z628" s="30"/>
      <c r="AA628" s="31"/>
      <c r="AB628" s="32"/>
      <c r="AC628" s="32"/>
      <c r="AD628" s="32"/>
      <c r="AE628" s="32">
        <f t="shared" si="188"/>
        <v>0</v>
      </c>
      <c r="AF628" s="12"/>
      <c r="AG628" s="12"/>
      <c r="AH628" s="12"/>
      <c r="AI628" s="12">
        <f t="shared" si="189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11"/>
      <c r="D629" s="32"/>
      <c r="E629" s="32"/>
      <c r="F629" s="32"/>
      <c r="G629" s="32">
        <f t="shared" si="184"/>
        <v>0</v>
      </c>
      <c r="H629" s="12"/>
      <c r="I629" s="12"/>
      <c r="J629" s="12"/>
      <c r="K629" s="12">
        <f t="shared" si="185"/>
        <v>0</v>
      </c>
      <c r="M629" s="10">
        <v>13</v>
      </c>
      <c r="N629" s="30" t="s">
        <v>72</v>
      </c>
      <c r="O629" s="31">
        <f t="shared" si="191"/>
        <v>8481</v>
      </c>
      <c r="P629" s="32">
        <f>1300+622*2+38</f>
        <v>2582</v>
      </c>
      <c r="Q629" s="32"/>
      <c r="R629" s="32"/>
      <c r="S629" s="32">
        <f t="shared" si="186"/>
        <v>2582</v>
      </c>
      <c r="T629" s="12"/>
      <c r="U629" s="12">
        <v>6</v>
      </c>
      <c r="V629" s="12"/>
      <c r="W629" s="12">
        <f t="shared" si="187"/>
        <v>2588</v>
      </c>
      <c r="Y629" s="10">
        <v>13</v>
      </c>
      <c r="Z629" s="30"/>
      <c r="AA629" s="31"/>
      <c r="AB629" s="32"/>
      <c r="AC629" s="32"/>
      <c r="AD629" s="32"/>
      <c r="AE629" s="32">
        <f t="shared" si="188"/>
        <v>0</v>
      </c>
      <c r="AF629" s="12"/>
      <c r="AG629" s="12"/>
      <c r="AH629" s="12"/>
      <c r="AI629" s="12">
        <f t="shared" si="189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84"/>
        <v>0</v>
      </c>
      <c r="H630" s="12"/>
      <c r="I630" s="12"/>
      <c r="J630" s="12"/>
      <c r="K630" s="12">
        <f t="shared" si="185"/>
        <v>0</v>
      </c>
      <c r="M630" s="10">
        <v>14</v>
      </c>
      <c r="N630" s="30" t="s">
        <v>72</v>
      </c>
      <c r="O630" s="31">
        <f t="shared" si="191"/>
        <v>8482</v>
      </c>
      <c r="P630" s="32">
        <f>1300+622+9.5*3</f>
        <v>1950.5</v>
      </c>
      <c r="Q630" s="32"/>
      <c r="R630" s="32"/>
      <c r="S630" s="32">
        <f t="shared" si="186"/>
        <v>1950.5</v>
      </c>
      <c r="T630" s="12"/>
      <c r="U630" s="12"/>
      <c r="V630" s="12"/>
      <c r="W630" s="12">
        <f t="shared" si="187"/>
        <v>1950.5</v>
      </c>
      <c r="Y630" s="10">
        <v>14</v>
      </c>
      <c r="Z630" s="30"/>
      <c r="AA630" s="31"/>
      <c r="AB630" s="32"/>
      <c r="AC630" s="32"/>
      <c r="AD630" s="32"/>
      <c r="AE630" s="32">
        <f t="shared" si="188"/>
        <v>0</v>
      </c>
      <c r="AF630" s="12"/>
      <c r="AG630" s="12"/>
      <c r="AH630" s="12"/>
      <c r="AI630" s="12">
        <f t="shared" si="189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31"/>
      <c r="D631" s="32"/>
      <c r="E631" s="32"/>
      <c r="F631" s="32"/>
      <c r="G631" s="32">
        <f t="shared" si="184"/>
        <v>0</v>
      </c>
      <c r="H631" s="12"/>
      <c r="I631" s="12"/>
      <c r="J631" s="12"/>
      <c r="K631" s="12">
        <f t="shared" si="185"/>
        <v>0</v>
      </c>
      <c r="M631" s="10">
        <v>15</v>
      </c>
      <c r="N631" s="30" t="s">
        <v>72</v>
      </c>
      <c r="O631" s="31">
        <f t="shared" si="191"/>
        <v>8483</v>
      </c>
      <c r="P631" s="32">
        <f>670+622+9.5</f>
        <v>1301.5</v>
      </c>
      <c r="Q631" s="32"/>
      <c r="R631" s="32"/>
      <c r="S631" s="32">
        <f t="shared" si="186"/>
        <v>1301.5</v>
      </c>
      <c r="T631" s="12"/>
      <c r="U631" s="12"/>
      <c r="V631" s="12"/>
      <c r="W631" s="12">
        <f t="shared" si="187"/>
        <v>1301.5</v>
      </c>
      <c r="Y631" s="10">
        <v>15</v>
      </c>
      <c r="Z631" s="30"/>
      <c r="AA631" s="31"/>
      <c r="AB631" s="32"/>
      <c r="AC631" s="32"/>
      <c r="AD631" s="32"/>
      <c r="AE631" s="32">
        <f t="shared" si="188"/>
        <v>0</v>
      </c>
      <c r="AF631" s="12"/>
      <c r="AG631" s="12"/>
      <c r="AH631" s="12"/>
      <c r="AI631" s="12">
        <f t="shared" si="189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84"/>
        <v>0</v>
      </c>
      <c r="H632" s="12"/>
      <c r="I632" s="12"/>
      <c r="J632" s="12"/>
      <c r="K632" s="12">
        <f t="shared" si="185"/>
        <v>0</v>
      </c>
      <c r="M632" s="10">
        <v>16</v>
      </c>
      <c r="N632" s="30" t="s">
        <v>72</v>
      </c>
      <c r="O632" s="31">
        <f t="shared" si="191"/>
        <v>8484</v>
      </c>
      <c r="P632" s="32">
        <f>650+9.5</f>
        <v>659.5</v>
      </c>
      <c r="Q632" s="32"/>
      <c r="R632" s="32"/>
      <c r="S632" s="32">
        <f t="shared" si="186"/>
        <v>659.5</v>
      </c>
      <c r="T632" s="12"/>
      <c r="U632" s="12"/>
      <c r="V632" s="12"/>
      <c r="W632" s="12">
        <f t="shared" si="187"/>
        <v>659.5</v>
      </c>
      <c r="Y632" s="10">
        <v>16</v>
      </c>
      <c r="Z632" s="30"/>
      <c r="AA632" s="31"/>
      <c r="AB632" s="32"/>
      <c r="AC632" s="32"/>
      <c r="AD632" s="32"/>
      <c r="AE632" s="32">
        <f t="shared" si="188"/>
        <v>0</v>
      </c>
      <c r="AF632" s="12"/>
      <c r="AG632" s="12"/>
      <c r="AH632" s="12"/>
      <c r="AI632" s="12">
        <f t="shared" si="189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84"/>
        <v>0</v>
      </c>
      <c r="H633" s="12"/>
      <c r="I633" s="12"/>
      <c r="J633" s="12"/>
      <c r="K633" s="12">
        <f t="shared" si="185"/>
        <v>0</v>
      </c>
      <c r="M633" s="10">
        <v>17</v>
      </c>
      <c r="N633" s="30" t="s">
        <v>72</v>
      </c>
      <c r="O633" s="31">
        <f t="shared" si="191"/>
        <v>8485</v>
      </c>
      <c r="P633" s="35">
        <f>670</f>
        <v>670</v>
      </c>
      <c r="Q633" s="32"/>
      <c r="R633" s="32"/>
      <c r="S633" s="32">
        <f t="shared" si="186"/>
        <v>670</v>
      </c>
      <c r="T633" s="12"/>
      <c r="U633" s="12"/>
      <c r="V633" s="12"/>
      <c r="W633" s="12">
        <f t="shared" si="187"/>
        <v>670</v>
      </c>
      <c r="Y633" s="10">
        <v>17</v>
      </c>
      <c r="Z633" s="30"/>
      <c r="AA633" s="31"/>
      <c r="AB633" s="35"/>
      <c r="AC633" s="32"/>
      <c r="AD633" s="32"/>
      <c r="AE633" s="32">
        <f t="shared" si="188"/>
        <v>0</v>
      </c>
      <c r="AF633" s="12"/>
      <c r="AG633" s="12"/>
      <c r="AH633" s="12"/>
      <c r="AI633" s="12">
        <f t="shared" si="189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84"/>
        <v>0</v>
      </c>
      <c r="H634" s="12"/>
      <c r="I634" s="12"/>
      <c r="J634" s="12"/>
      <c r="K634" s="12">
        <f t="shared" si="185"/>
        <v>0</v>
      </c>
      <c r="M634" s="10">
        <v>18</v>
      </c>
      <c r="N634" s="30" t="s">
        <v>72</v>
      </c>
      <c r="O634" s="31">
        <f t="shared" si="191"/>
        <v>8486</v>
      </c>
      <c r="P634" s="32">
        <f>650*216+229*8+9.5*23</f>
        <v>142450.5</v>
      </c>
      <c r="Q634" s="32">
        <v>-1296</v>
      </c>
      <c r="R634" s="32"/>
      <c r="S634" s="32">
        <f t="shared" si="186"/>
        <v>141154.5</v>
      </c>
      <c r="T634" s="12"/>
      <c r="U634" s="12">
        <v>258</v>
      </c>
      <c r="V634" s="12">
        <v>-23976</v>
      </c>
      <c r="W634" s="12">
        <f t="shared" si="187"/>
        <v>117436.5</v>
      </c>
      <c r="Y634" s="10">
        <v>18</v>
      </c>
      <c r="Z634" s="30"/>
      <c r="AA634" s="31"/>
      <c r="AB634" s="32"/>
      <c r="AC634" s="32"/>
      <c r="AD634" s="32"/>
      <c r="AE634" s="32">
        <f t="shared" si="188"/>
        <v>0</v>
      </c>
      <c r="AF634" s="12"/>
      <c r="AG634" s="12"/>
      <c r="AH634" s="12"/>
      <c r="AI634" s="12">
        <f t="shared" si="189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84"/>
        <v>0</v>
      </c>
      <c r="H635" s="12"/>
      <c r="I635" s="12"/>
      <c r="J635" s="12"/>
      <c r="K635" s="12">
        <f t="shared" si="185"/>
        <v>0</v>
      </c>
      <c r="M635" s="10">
        <v>19</v>
      </c>
      <c r="N635" s="30" t="s">
        <v>72</v>
      </c>
      <c r="O635" s="31">
        <f t="shared" si="191"/>
        <v>8487</v>
      </c>
      <c r="P635" s="32">
        <f>1866</f>
        <v>1866</v>
      </c>
      <c r="Q635" s="32"/>
      <c r="R635" s="32"/>
      <c r="S635" s="32">
        <f t="shared" si="186"/>
        <v>1866</v>
      </c>
      <c r="T635" s="12"/>
      <c r="U635" s="12">
        <f>111+4.5*2</f>
        <v>120</v>
      </c>
      <c r="V635" s="12"/>
      <c r="W635" s="12">
        <f t="shared" si="187"/>
        <v>1986</v>
      </c>
      <c r="Y635" s="10">
        <v>19</v>
      </c>
      <c r="Z635" s="30"/>
      <c r="AA635" s="31"/>
      <c r="AB635" s="32"/>
      <c r="AC635" s="32"/>
      <c r="AD635" s="32"/>
      <c r="AE635" s="32">
        <f t="shared" si="188"/>
        <v>0</v>
      </c>
      <c r="AF635" s="12"/>
      <c r="AG635" s="12"/>
      <c r="AH635" s="12"/>
      <c r="AI635" s="12">
        <f t="shared" si="189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84"/>
        <v>0</v>
      </c>
      <c r="H636" s="12"/>
      <c r="I636" s="12"/>
      <c r="J636" s="12"/>
      <c r="K636" s="12">
        <f t="shared" si="185"/>
        <v>0</v>
      </c>
      <c r="M636" s="10">
        <v>20</v>
      </c>
      <c r="N636" s="30" t="s">
        <v>72</v>
      </c>
      <c r="O636" s="31">
        <f t="shared" si="191"/>
        <v>8488</v>
      </c>
      <c r="P636" s="32">
        <f>650*2+9.5*2</f>
        <v>1319</v>
      </c>
      <c r="Q636" s="32"/>
      <c r="R636" s="32"/>
      <c r="S636" s="32">
        <f t="shared" si="186"/>
        <v>1319</v>
      </c>
      <c r="T636" s="12"/>
      <c r="U636" s="12"/>
      <c r="V636" s="12">
        <v>-111</v>
      </c>
      <c r="W636" s="12">
        <f t="shared" si="187"/>
        <v>1208</v>
      </c>
      <c r="Y636" s="10">
        <v>20</v>
      </c>
      <c r="Z636" s="30"/>
      <c r="AB636" s="32"/>
      <c r="AC636" s="32"/>
      <c r="AD636" s="32"/>
      <c r="AE636" s="32">
        <f t="shared" si="188"/>
        <v>0</v>
      </c>
      <c r="AF636" s="12"/>
      <c r="AG636" s="12"/>
      <c r="AH636" s="12"/>
      <c r="AI636" s="12">
        <f t="shared" si="189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84"/>
        <v>0</v>
      </c>
      <c r="H637" s="10"/>
      <c r="I637" s="10"/>
      <c r="J637" s="10"/>
      <c r="K637" s="12">
        <f t="shared" si="185"/>
        <v>0</v>
      </c>
      <c r="M637" s="10">
        <v>21</v>
      </c>
      <c r="N637" s="30"/>
      <c r="O637" s="11" t="s">
        <v>27</v>
      </c>
      <c r="P637" s="46"/>
      <c r="Q637" s="31"/>
      <c r="R637" s="31"/>
      <c r="S637" s="32">
        <f t="shared" si="186"/>
        <v>0</v>
      </c>
      <c r="T637" s="10"/>
      <c r="U637" s="10"/>
      <c r="V637" s="10"/>
      <c r="W637" s="12">
        <f t="shared" si="187"/>
        <v>0</v>
      </c>
      <c r="Y637" s="10">
        <v>21</v>
      </c>
      <c r="Z637" s="30"/>
      <c r="AB637" s="46"/>
      <c r="AC637" s="31"/>
      <c r="AD637" s="31"/>
      <c r="AE637" s="32">
        <f t="shared" si="188"/>
        <v>0</v>
      </c>
      <c r="AF637" s="10"/>
      <c r="AG637" s="10"/>
      <c r="AH637" s="10"/>
      <c r="AI637" s="12">
        <f t="shared" si="189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84"/>
        <v>0</v>
      </c>
      <c r="H638" s="10"/>
      <c r="I638" s="10"/>
      <c r="J638" s="10"/>
      <c r="K638" s="12">
        <f t="shared" si="185"/>
        <v>0</v>
      </c>
      <c r="M638" s="10">
        <v>22</v>
      </c>
      <c r="N638" s="30"/>
      <c r="O638" s="31"/>
      <c r="P638" s="45"/>
      <c r="Q638" s="31"/>
      <c r="R638" s="31"/>
      <c r="S638" s="32">
        <f t="shared" si="186"/>
        <v>0</v>
      </c>
      <c r="T638" s="10"/>
      <c r="U638" s="10"/>
      <c r="V638" s="10"/>
      <c r="W638" s="12">
        <f t="shared" si="187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8"/>
        <v>0</v>
      </c>
      <c r="AF638" s="10"/>
      <c r="AG638" s="10"/>
      <c r="AH638" s="10"/>
      <c r="AI638" s="12">
        <f t="shared" si="189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84"/>
        <v>0</v>
      </c>
      <c r="H639" s="10"/>
      <c r="I639" s="10"/>
      <c r="J639" s="12"/>
      <c r="K639" s="12">
        <f t="shared" si="185"/>
        <v>0</v>
      </c>
      <c r="M639" s="10">
        <v>23</v>
      </c>
      <c r="N639" s="30"/>
      <c r="O639" s="31"/>
      <c r="P639" s="47"/>
      <c r="Q639" s="31"/>
      <c r="S639" s="32">
        <f t="shared" si="186"/>
        <v>0</v>
      </c>
      <c r="T639" s="10"/>
      <c r="U639" s="10"/>
      <c r="V639" s="10"/>
      <c r="W639" s="12">
        <f t="shared" si="187"/>
        <v>0</v>
      </c>
      <c r="Y639" s="10">
        <v>23</v>
      </c>
      <c r="Z639" s="30"/>
      <c r="AA639" s="31"/>
      <c r="AB639" s="47"/>
      <c r="AC639" s="31"/>
      <c r="AE639" s="32">
        <f t="shared" si="188"/>
        <v>0</v>
      </c>
      <c r="AF639" s="10"/>
      <c r="AG639" s="10"/>
      <c r="AH639" s="10"/>
      <c r="AI639" s="12">
        <f t="shared" si="189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4"/>
        <v>0</v>
      </c>
      <c r="H640" s="10"/>
      <c r="I640" s="10"/>
      <c r="J640" s="10"/>
      <c r="K640" s="12">
        <f t="shared" si="185"/>
        <v>0</v>
      </c>
      <c r="M640" s="10">
        <v>24</v>
      </c>
      <c r="N640" s="30"/>
      <c r="O640" s="31"/>
      <c r="P640" s="47"/>
      <c r="Q640" s="31"/>
      <c r="R640" s="31"/>
      <c r="S640" s="32">
        <f t="shared" si="186"/>
        <v>0</v>
      </c>
      <c r="T640" s="10"/>
      <c r="U640" s="10"/>
      <c r="V640" s="10"/>
      <c r="W640" s="12">
        <f t="shared" si="187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8"/>
        <v>0</v>
      </c>
      <c r="AF640" s="10"/>
      <c r="AG640" s="10"/>
      <c r="AH640" s="10"/>
      <c r="AI640" s="12">
        <f t="shared" si="189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4"/>
        <v>0</v>
      </c>
      <c r="H641" s="10"/>
      <c r="I641" s="10"/>
      <c r="J641" s="10"/>
      <c r="K641" s="12">
        <f t="shared" si="185"/>
        <v>0</v>
      </c>
      <c r="M641" s="10">
        <v>25</v>
      </c>
      <c r="N641" s="30"/>
      <c r="O641" s="31"/>
      <c r="P641" s="47"/>
      <c r="Q641" s="31"/>
      <c r="R641" s="31"/>
      <c r="S641" s="32">
        <f t="shared" si="186"/>
        <v>0</v>
      </c>
      <c r="T641" s="10"/>
      <c r="U641" s="10"/>
      <c r="V641" s="10"/>
      <c r="W641" s="12">
        <f t="shared" si="187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8"/>
        <v>0</v>
      </c>
      <c r="AF641" s="10"/>
      <c r="AG641" s="10"/>
      <c r="AH641" s="10"/>
      <c r="AI641" s="12">
        <f t="shared" si="189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84"/>
        <v>0</v>
      </c>
      <c r="H642" s="10"/>
      <c r="I642" s="10"/>
      <c r="J642" s="10"/>
      <c r="K642" s="12">
        <f t="shared" si="185"/>
        <v>0</v>
      </c>
      <c r="M642" s="10">
        <v>26</v>
      </c>
      <c r="N642" s="30"/>
      <c r="O642" s="31"/>
      <c r="P642" s="47"/>
      <c r="Q642" s="31"/>
      <c r="R642" s="31"/>
      <c r="S642" s="32">
        <f t="shared" si="186"/>
        <v>0</v>
      </c>
      <c r="T642" s="10"/>
      <c r="U642" s="10"/>
      <c r="V642" s="10"/>
      <c r="W642" s="12">
        <f t="shared" si="187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88"/>
        <v>0</v>
      </c>
      <c r="AF642" s="10"/>
      <c r="AG642" s="10"/>
      <c r="AH642" s="10"/>
      <c r="AI642" s="12">
        <f t="shared" si="189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84"/>
        <v>0</v>
      </c>
      <c r="H643" s="10"/>
      <c r="I643" s="10"/>
      <c r="J643" s="10"/>
      <c r="K643" s="12">
        <f t="shared" si="185"/>
        <v>0</v>
      </c>
      <c r="M643" s="10">
        <v>27</v>
      </c>
      <c r="N643" s="30"/>
      <c r="O643" s="31"/>
      <c r="P643" s="47"/>
      <c r="Q643" s="31"/>
      <c r="R643" s="31"/>
      <c r="S643" s="32">
        <f t="shared" si="186"/>
        <v>0</v>
      </c>
      <c r="T643" s="10"/>
      <c r="U643" s="10"/>
      <c r="V643" s="10"/>
      <c r="W643" s="12">
        <f t="shared" si="187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8"/>
        <v>0</v>
      </c>
      <c r="AF643" s="10"/>
      <c r="AG643" s="10"/>
      <c r="AH643" s="10"/>
      <c r="AI643" s="12">
        <f t="shared" si="189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4"/>
        <v>0</v>
      </c>
      <c r="H644" s="10"/>
      <c r="I644" s="10"/>
      <c r="J644" s="10"/>
      <c r="K644" s="12">
        <f t="shared" si="185"/>
        <v>0</v>
      </c>
      <c r="M644" s="10">
        <v>28</v>
      </c>
      <c r="N644" s="30"/>
      <c r="O644" s="31"/>
      <c r="P644" s="47"/>
      <c r="Q644" s="31"/>
      <c r="R644" s="31"/>
      <c r="S644" s="32">
        <f t="shared" si="186"/>
        <v>0</v>
      </c>
      <c r="T644" s="10"/>
      <c r="U644" s="10"/>
      <c r="V644" s="10"/>
      <c r="W644" s="12">
        <f t="shared" si="187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8"/>
        <v>0</v>
      </c>
      <c r="AF644" s="10"/>
      <c r="AG644" s="10"/>
      <c r="AH644" s="10"/>
      <c r="AI644" s="12">
        <f t="shared" si="189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84"/>
        <v>0</v>
      </c>
      <c r="H645" s="10"/>
      <c r="I645" s="10"/>
      <c r="J645" s="10"/>
      <c r="K645" s="12">
        <f t="shared" si="185"/>
        <v>0</v>
      </c>
      <c r="M645" s="10">
        <v>29</v>
      </c>
      <c r="N645" s="30"/>
      <c r="P645" s="47"/>
      <c r="Q645" s="31"/>
      <c r="R645" s="31"/>
      <c r="S645" s="32">
        <f t="shared" si="186"/>
        <v>0</v>
      </c>
      <c r="T645" s="10"/>
      <c r="U645" s="10"/>
      <c r="V645" s="10"/>
      <c r="W645" s="12">
        <f t="shared" si="187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8"/>
        <v>0</v>
      </c>
      <c r="AF645" s="10"/>
      <c r="AG645" s="10"/>
      <c r="AH645" s="10"/>
      <c r="AI645" s="12">
        <f t="shared" si="189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91"/>
      <c r="D646" s="32"/>
      <c r="E646" s="32"/>
      <c r="F646" s="32"/>
      <c r="G646" s="32">
        <f t="shared" si="184"/>
        <v>0</v>
      </c>
      <c r="H646" s="10"/>
      <c r="I646" s="10"/>
      <c r="J646" s="10"/>
      <c r="K646" s="12">
        <f t="shared" si="185"/>
        <v>0</v>
      </c>
      <c r="M646" s="10">
        <v>30</v>
      </c>
      <c r="N646" s="30"/>
      <c r="O646" s="31"/>
      <c r="P646" s="47"/>
      <c r="Q646" s="31"/>
      <c r="R646" s="31"/>
      <c r="S646" s="32">
        <f t="shared" si="186"/>
        <v>0</v>
      </c>
      <c r="T646" s="10"/>
      <c r="U646" s="10"/>
      <c r="V646" s="10"/>
      <c r="W646" s="12">
        <f t="shared" si="187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8"/>
        <v>0</v>
      </c>
      <c r="AF646" s="10"/>
      <c r="AG646" s="10"/>
      <c r="AH646" s="10"/>
      <c r="AI646" s="12">
        <f t="shared" si="189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84"/>
        <v>0</v>
      </c>
      <c r="H647" s="10"/>
      <c r="I647" s="10"/>
      <c r="J647" s="10"/>
      <c r="K647" s="12">
        <f t="shared" si="185"/>
        <v>0</v>
      </c>
      <c r="M647" s="10">
        <v>31</v>
      </c>
      <c r="N647" s="30"/>
      <c r="O647" s="31"/>
      <c r="P647" s="47"/>
      <c r="Q647" s="31"/>
      <c r="R647" s="31"/>
      <c r="S647" s="32">
        <f t="shared" si="186"/>
        <v>0</v>
      </c>
      <c r="T647" s="10"/>
      <c r="U647" s="10"/>
      <c r="V647" s="10"/>
      <c r="W647" s="12">
        <f t="shared" si="187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8"/>
        <v>0</v>
      </c>
      <c r="AF647" s="10"/>
      <c r="AG647" s="10"/>
      <c r="AH647" s="10"/>
      <c r="AI647" s="12">
        <f t="shared" si="189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57"/>
      <c r="D648" s="32"/>
      <c r="E648" s="32"/>
      <c r="F648" s="32"/>
      <c r="G648" s="32">
        <f t="shared" si="184"/>
        <v>0</v>
      </c>
      <c r="H648" s="10"/>
      <c r="I648" s="10"/>
      <c r="J648" s="10"/>
      <c r="K648" s="12">
        <f t="shared" si="185"/>
        <v>0</v>
      </c>
      <c r="M648" s="10">
        <v>32</v>
      </c>
      <c r="N648" s="30"/>
      <c r="O648" s="31"/>
      <c r="P648" s="47"/>
      <c r="Q648" s="31"/>
      <c r="R648" s="31"/>
      <c r="S648" s="32">
        <f t="shared" si="186"/>
        <v>0</v>
      </c>
      <c r="T648" s="10"/>
      <c r="U648" s="10"/>
      <c r="V648" s="10"/>
      <c r="W648" s="12">
        <f t="shared" si="187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8"/>
        <v>0</v>
      </c>
      <c r="AF648" s="10"/>
      <c r="AG648" s="10"/>
      <c r="AH648" s="10"/>
      <c r="AI648" s="12">
        <f t="shared" si="189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84"/>
        <v>0</v>
      </c>
      <c r="H649" s="10"/>
      <c r="I649" s="10"/>
      <c r="J649" s="10"/>
      <c r="K649" s="12">
        <f t="shared" si="185"/>
        <v>0</v>
      </c>
      <c r="M649" s="10">
        <v>33</v>
      </c>
      <c r="N649" s="30"/>
      <c r="O649" s="31"/>
      <c r="P649" s="47"/>
      <c r="Q649" s="31"/>
      <c r="R649" s="31"/>
      <c r="S649" s="32">
        <f t="shared" si="186"/>
        <v>0</v>
      </c>
      <c r="T649" s="10"/>
      <c r="U649" s="10"/>
      <c r="V649" s="10"/>
      <c r="W649" s="12">
        <f t="shared" si="187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8"/>
        <v>0</v>
      </c>
      <c r="AF649" s="10"/>
      <c r="AG649" s="10"/>
      <c r="AH649" s="10"/>
      <c r="AI649" s="12">
        <f t="shared" si="189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84"/>
        <v>0</v>
      </c>
      <c r="H650" s="10"/>
      <c r="I650" s="10"/>
      <c r="J650" s="10"/>
      <c r="K650" s="12">
        <f t="shared" si="185"/>
        <v>0</v>
      </c>
      <c r="M650" s="10">
        <v>34</v>
      </c>
      <c r="N650" s="30"/>
      <c r="O650" s="31"/>
      <c r="P650" s="47"/>
      <c r="Q650" s="31"/>
      <c r="R650" s="31"/>
      <c r="S650" s="32">
        <f t="shared" si="186"/>
        <v>0</v>
      </c>
      <c r="T650" s="10"/>
      <c r="U650" s="10"/>
      <c r="V650" s="10"/>
      <c r="W650" s="12">
        <f t="shared" si="187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93">SUM(AB650:AC650)</f>
        <v>0</v>
      </c>
      <c r="AF650" s="10"/>
      <c r="AG650" s="10"/>
      <c r="AH650" s="10"/>
      <c r="AI650" s="12">
        <f t="shared" ref="AI650:AI658" si="194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9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6"/>
        <v>0</v>
      </c>
      <c r="T651" s="10"/>
      <c r="U651" s="10"/>
      <c r="V651" s="10"/>
      <c r="W651" s="12">
        <f t="shared" si="187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4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9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6"/>
        <v>0</v>
      </c>
      <c r="T652" s="10"/>
      <c r="U652" s="10"/>
      <c r="V652" s="10"/>
      <c r="W652" s="12">
        <f t="shared" si="187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4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6"/>
        <v>0</v>
      </c>
      <c r="T653" s="10"/>
      <c r="U653" s="10"/>
      <c r="V653" s="10"/>
      <c r="W653" s="12">
        <f t="shared" si="187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4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6"/>
        <v>0</v>
      </c>
      <c r="T654" s="10"/>
      <c r="U654" s="10"/>
      <c r="V654" s="10"/>
      <c r="W654" s="12">
        <f t="shared" si="187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4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6"/>
        <v>0</v>
      </c>
      <c r="T655" s="10"/>
      <c r="U655" s="10"/>
      <c r="V655" s="10"/>
      <c r="W655" s="12">
        <f t="shared" si="187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4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7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4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5">SUM(D657:E657)</f>
        <v>0</v>
      </c>
      <c r="H657" s="10"/>
      <c r="I657" s="10"/>
      <c r="J657" s="10"/>
      <c r="K657" s="12">
        <f t="shared" ref="K657" si="196">SUM(G657:J657)</f>
        <v>0</v>
      </c>
      <c r="M657" s="10"/>
      <c r="N657" s="30"/>
      <c r="O657" s="31"/>
      <c r="P657" s="47"/>
      <c r="Q657" s="31"/>
      <c r="R657" s="31"/>
      <c r="S657" s="32">
        <f t="shared" ref="S657" si="197">SUM(P657:Q657)</f>
        <v>0</v>
      </c>
      <c r="T657" s="10"/>
      <c r="U657" s="10"/>
      <c r="V657" s="10"/>
      <c r="W657" s="12">
        <f t="shared" si="187"/>
        <v>0</v>
      </c>
      <c r="Y657" s="10"/>
      <c r="Z657" s="30"/>
      <c r="AA657" s="31"/>
      <c r="AB657" s="47"/>
      <c r="AC657" s="31"/>
      <c r="AD657" s="31"/>
      <c r="AE657" s="32">
        <f t="shared" ref="AE657" si="198">SUM(AB657:AC657)</f>
        <v>0</v>
      </c>
      <c r="AF657" s="10"/>
      <c r="AG657" s="10"/>
      <c r="AH657" s="10"/>
      <c r="AI657" s="12">
        <f t="shared" si="194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7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4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353813</v>
      </c>
      <c r="E660" s="38">
        <f t="shared" ref="E660:F660" si="199">SUM(E617:E657)</f>
        <v>-2592</v>
      </c>
      <c r="F660" s="38">
        <f t="shared" si="199"/>
        <v>0</v>
      </c>
      <c r="G660" s="38">
        <f>SUM(G617:G659)</f>
        <v>351221</v>
      </c>
      <c r="H660" s="4"/>
      <c r="I660" s="39">
        <f>SUM(I617:I659)</f>
        <v>1041</v>
      </c>
      <c r="J660" s="39">
        <f>SUM(J617:J659)</f>
        <v>-33969</v>
      </c>
      <c r="K660" s="40">
        <f>SUM(K617:K659)</f>
        <v>318293</v>
      </c>
      <c r="N660" s="57"/>
      <c r="O660" s="57"/>
      <c r="P660" s="38">
        <f>SUM(P617:P659)</f>
        <v>202673.5</v>
      </c>
      <c r="Q660" s="38">
        <f>SUM(Q617:Q641)</f>
        <v>-1296</v>
      </c>
      <c r="R660" s="38">
        <f>SUM(R617:R641)</f>
        <v>0</v>
      </c>
      <c r="S660" s="38">
        <f>SUM(S617:S659)</f>
        <v>201377.5</v>
      </c>
      <c r="T660" s="4"/>
      <c r="U660" s="41">
        <f>SUM(U617:U659)</f>
        <v>400.5</v>
      </c>
      <c r="V660" s="41">
        <f>SUM(V617:V641)</f>
        <v>-24087</v>
      </c>
      <c r="W660" s="42">
        <f>SUM(W617:W659)</f>
        <v>177691</v>
      </c>
      <c r="Z660" s="57"/>
      <c r="AA660" s="57"/>
      <c r="AB660" s="38">
        <f>SUM(AB617:AB659)</f>
        <v>284525</v>
      </c>
      <c r="AC660" s="38">
        <f>SUM(AC617:AC641)</f>
        <v>-2082</v>
      </c>
      <c r="AD660" s="38">
        <f>SUM(AD617:AD641)</f>
        <v>0</v>
      </c>
      <c r="AE660" s="38">
        <f>SUM(AE617:AE659)</f>
        <v>282443</v>
      </c>
      <c r="AF660" s="4"/>
      <c r="AG660" s="41">
        <f>SUM(AG617:AG659)</f>
        <v>0</v>
      </c>
      <c r="AH660" s="41">
        <f>SUM(AH617:AH641)</f>
        <v>-11100</v>
      </c>
      <c r="AI660" s="42">
        <f>SUM(AI617:AI659)</f>
        <v>271343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40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40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40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54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21" t="s">
        <v>17</v>
      </c>
      <c r="E670" s="121"/>
      <c r="F670" s="108"/>
      <c r="G670" s="27"/>
      <c r="I670" s="117" t="s">
        <v>18</v>
      </c>
      <c r="J670" s="118"/>
      <c r="K670" s="119" t="s">
        <v>19</v>
      </c>
      <c r="N670" s="25"/>
      <c r="O670" s="26"/>
      <c r="P670" s="121" t="s">
        <v>17</v>
      </c>
      <c r="Q670" s="121"/>
      <c r="R670" s="108"/>
      <c r="S670" s="27"/>
      <c r="U670" s="117" t="s">
        <v>18</v>
      </c>
      <c r="V670" s="118"/>
      <c r="W670" s="119" t="s">
        <v>19</v>
      </c>
      <c r="Z670" s="25"/>
      <c r="AA670" s="26"/>
      <c r="AB670" s="121" t="s">
        <v>17</v>
      </c>
      <c r="AC670" s="121"/>
      <c r="AD670" s="108"/>
      <c r="AE670" s="27"/>
      <c r="AG670" s="117" t="s">
        <v>18</v>
      </c>
      <c r="AH670" s="118"/>
      <c r="AI670" s="11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20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20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2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8434</v>
      </c>
      <c r="D672" s="32">
        <f>650*17+622*3</f>
        <v>12916</v>
      </c>
      <c r="E672" s="32"/>
      <c r="F672" s="32"/>
      <c r="G672" s="32">
        <f t="shared" ref="G672:G705" si="200">SUM(D672:E672)</f>
        <v>12916</v>
      </c>
      <c r="H672" s="12"/>
      <c r="I672" s="12"/>
      <c r="J672" s="12"/>
      <c r="K672" s="12">
        <f t="shared" ref="K672:K705" si="201">SUM(G672:J672)</f>
        <v>12916</v>
      </c>
      <c r="M672" s="10">
        <v>1</v>
      </c>
      <c r="N672" s="30" t="s">
        <v>75</v>
      </c>
      <c r="O672" s="31">
        <v>8489</v>
      </c>
      <c r="P672" s="32">
        <f>650*216+229*9</f>
        <v>142461</v>
      </c>
      <c r="Q672" s="32">
        <v>-1296</v>
      </c>
      <c r="R672" s="32"/>
      <c r="S672" s="32">
        <f>SUM(P672:Q672)</f>
        <v>141165</v>
      </c>
      <c r="T672" s="12"/>
      <c r="U672" s="12">
        <v>180</v>
      </c>
      <c r="V672" s="12"/>
      <c r="W672" s="12">
        <f>SUM(S672:V672)</f>
        <v>141345</v>
      </c>
      <c r="Y672" s="10">
        <v>1</v>
      </c>
      <c r="Z672" s="30" t="s">
        <v>75</v>
      </c>
      <c r="AA672" s="31">
        <v>8397</v>
      </c>
      <c r="AB672" s="32">
        <f>650*24+670+622*5+229*2+500</f>
        <v>20338</v>
      </c>
      <c r="AC672" s="32"/>
      <c r="AD672" s="32"/>
      <c r="AE672" s="32">
        <f>SUM(AB672:AC672)</f>
        <v>20338</v>
      </c>
      <c r="AF672" s="12"/>
      <c r="AG672" s="12">
        <f>120+78</f>
        <v>198</v>
      </c>
      <c r="AH672" s="12">
        <f>-57*111+-1512</f>
        <v>-7839</v>
      </c>
      <c r="AI672" s="12">
        <f>SUM(AE672:AH672)</f>
        <v>12697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31">
        <f>C672+1</f>
        <v>8435</v>
      </c>
      <c r="D673" s="32">
        <f>650*50+670*5+622*15+872+229</f>
        <v>46281</v>
      </c>
      <c r="E673" s="32"/>
      <c r="F673" s="32"/>
      <c r="G673" s="32">
        <f t="shared" si="200"/>
        <v>46281</v>
      </c>
      <c r="H673" s="12"/>
      <c r="I673" s="12">
        <f>36+270</f>
        <v>306</v>
      </c>
      <c r="J673" s="12"/>
      <c r="K673" s="12">
        <f t="shared" si="201"/>
        <v>46587</v>
      </c>
      <c r="M673" s="10">
        <v>2</v>
      </c>
      <c r="N673" s="30" t="s">
        <v>75</v>
      </c>
      <c r="O673" s="31">
        <f>O672+1</f>
        <v>8490</v>
      </c>
      <c r="P673" s="32">
        <f>650*4+229</f>
        <v>2829</v>
      </c>
      <c r="Q673" s="32"/>
      <c r="R673" s="32"/>
      <c r="S673" s="32">
        <f t="shared" ref="S673:S710" si="202">SUM(P673:Q673)</f>
        <v>2829</v>
      </c>
      <c r="T673" s="12"/>
      <c r="U673" s="12"/>
      <c r="V673" s="12"/>
      <c r="W673" s="12">
        <f t="shared" ref="W673:W713" si="203">SUM(S673:V673)</f>
        <v>2829</v>
      </c>
      <c r="Y673" s="10">
        <v>2</v>
      </c>
      <c r="Z673" s="30" t="s">
        <v>75</v>
      </c>
      <c r="AA673" s="31">
        <f>AA672+1</f>
        <v>8398</v>
      </c>
      <c r="AB673" s="32">
        <f>650*200+700*10+973*10+622*100+912*10+1050*20+872*21+872*3+500*10</f>
        <v>264978</v>
      </c>
      <c r="AC673" s="32"/>
      <c r="AD673" s="32"/>
      <c r="AE673" s="32">
        <f t="shared" ref="AE673:AE704" si="204">SUM(AB673:AC673)</f>
        <v>264978</v>
      </c>
      <c r="AF673" s="12"/>
      <c r="AG673" s="12">
        <f>120*94+111*310</f>
        <v>45690</v>
      </c>
      <c r="AH673" s="12">
        <f>-118*111+-420*84+-185*84</f>
        <v>-63918</v>
      </c>
      <c r="AI673" s="12">
        <f t="shared" ref="AI673:AI704" si="205">SUM(AE673:AH673)</f>
        <v>246750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31">
        <f t="shared" ref="C674:C688" si="206">C673+1</f>
        <v>8436</v>
      </c>
      <c r="D674" s="33">
        <f>1300+19</f>
        <v>1319</v>
      </c>
      <c r="E674" s="33"/>
      <c r="F674" s="33"/>
      <c r="G674" s="33">
        <f t="shared" si="200"/>
        <v>1319</v>
      </c>
      <c r="H674" s="34"/>
      <c r="I674" s="34"/>
      <c r="J674" s="34"/>
      <c r="K674" s="34">
        <f t="shared" si="201"/>
        <v>1319</v>
      </c>
      <c r="M674" s="10">
        <v>3</v>
      </c>
      <c r="N674" s="30" t="s">
        <v>75</v>
      </c>
      <c r="O674" s="31">
        <f t="shared" ref="O674:O690" si="207">O673+1</f>
        <v>8491</v>
      </c>
      <c r="P674" s="32">
        <f>650*30+229*1+9.5*6</f>
        <v>19786</v>
      </c>
      <c r="Q674" s="32"/>
      <c r="R674" s="32"/>
      <c r="S674" s="32">
        <f t="shared" si="202"/>
        <v>19786</v>
      </c>
      <c r="T674" s="12"/>
      <c r="U674" s="12">
        <f>78+1.5*6</f>
        <v>87</v>
      </c>
      <c r="V674" s="12"/>
      <c r="W674" s="12">
        <f t="shared" si="203"/>
        <v>19873</v>
      </c>
      <c r="Y674" s="10">
        <v>3</v>
      </c>
      <c r="Z674" s="30" t="s">
        <v>75</v>
      </c>
      <c r="AA674" s="31">
        <f t="shared" ref="AA674:AA675" si="208">AA673+1</f>
        <v>8399</v>
      </c>
      <c r="AB674" s="33">
        <f>1175*10+1175*10+1102*4+650*3+1122+1157+872*3+1582+500*15</f>
        <v>43835</v>
      </c>
      <c r="AC674" s="33"/>
      <c r="AD674" s="32"/>
      <c r="AE674" s="32">
        <f t="shared" si="204"/>
        <v>43835</v>
      </c>
      <c r="AF674" s="12"/>
      <c r="AG674" s="12"/>
      <c r="AH674" s="12"/>
      <c r="AI674" s="12">
        <f t="shared" si="205"/>
        <v>43835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31">
        <f t="shared" si="206"/>
        <v>8437</v>
      </c>
      <c r="D675" s="32">
        <f>650+670+9.5</f>
        <v>1329.5</v>
      </c>
      <c r="E675" s="32"/>
      <c r="F675" s="32"/>
      <c r="G675" s="32">
        <f t="shared" si="200"/>
        <v>1329.5</v>
      </c>
      <c r="H675" s="12"/>
      <c r="I675" s="12"/>
      <c r="J675" s="12"/>
      <c r="K675" s="12">
        <f t="shared" si="201"/>
        <v>1329.5</v>
      </c>
      <c r="M675" s="10">
        <v>4</v>
      </c>
      <c r="N675" s="30" t="s">
        <v>75</v>
      </c>
      <c r="O675" s="31">
        <f t="shared" si="207"/>
        <v>8492</v>
      </c>
      <c r="P675" s="32">
        <f>650*4+670+9.5*4</f>
        <v>3308</v>
      </c>
      <c r="Q675" s="32"/>
      <c r="R675" s="32"/>
      <c r="S675" s="32">
        <f t="shared" si="202"/>
        <v>3308</v>
      </c>
      <c r="T675" s="12"/>
      <c r="U675" s="12"/>
      <c r="V675" s="12"/>
      <c r="W675" s="12">
        <f t="shared" si="203"/>
        <v>3308</v>
      </c>
      <c r="Y675" s="10">
        <v>4</v>
      </c>
      <c r="Z675" s="30" t="s">
        <v>75</v>
      </c>
      <c r="AA675" s="31">
        <f t="shared" si="208"/>
        <v>8400</v>
      </c>
      <c r="AB675" s="32">
        <f>1582+1582+1582+1582</f>
        <v>6328</v>
      </c>
      <c r="AC675" s="32"/>
      <c r="AD675" s="32"/>
      <c r="AE675" s="32">
        <f t="shared" si="204"/>
        <v>6328</v>
      </c>
      <c r="AF675" s="12"/>
      <c r="AH675" s="12"/>
      <c r="AI675" s="12">
        <f t="shared" si="205"/>
        <v>6328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31">
        <f t="shared" si="206"/>
        <v>8438</v>
      </c>
      <c r="D676" s="32">
        <f>1300+19</f>
        <v>1319</v>
      </c>
      <c r="E676" s="32"/>
      <c r="F676" s="32"/>
      <c r="G676" s="32">
        <f t="shared" si="200"/>
        <v>1319</v>
      </c>
      <c r="H676" s="12"/>
      <c r="I676" s="12"/>
      <c r="J676" s="12"/>
      <c r="K676" s="12">
        <f t="shared" si="201"/>
        <v>1319</v>
      </c>
      <c r="M676" s="10">
        <v>5</v>
      </c>
      <c r="N676" s="30" t="s">
        <v>75</v>
      </c>
      <c r="O676" s="31">
        <f t="shared" si="207"/>
        <v>8493</v>
      </c>
      <c r="P676" s="32">
        <f>650*4+9.5*4</f>
        <v>2638</v>
      </c>
      <c r="Q676" s="32"/>
      <c r="R676" s="32"/>
      <c r="S676" s="32">
        <f t="shared" si="202"/>
        <v>2638</v>
      </c>
      <c r="T676" s="12"/>
      <c r="U676" s="12"/>
      <c r="V676" s="12"/>
      <c r="W676" s="12">
        <f t="shared" si="203"/>
        <v>2638</v>
      </c>
      <c r="Y676" s="10">
        <v>5</v>
      </c>
      <c r="Z676" s="30" t="s">
        <v>75</v>
      </c>
      <c r="AA676" s="31">
        <v>8501</v>
      </c>
      <c r="AB676" s="32">
        <f>650*3+670+622*2</f>
        <v>3864</v>
      </c>
      <c r="AC676" s="32"/>
      <c r="AD676" s="32"/>
      <c r="AE676" s="32">
        <f t="shared" si="204"/>
        <v>3864</v>
      </c>
      <c r="AF676" s="12"/>
      <c r="AG676" s="12"/>
      <c r="AH676" s="12"/>
      <c r="AI676" s="12">
        <f t="shared" si="205"/>
        <v>3864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31">
        <f t="shared" si="206"/>
        <v>8439</v>
      </c>
      <c r="D677" s="32">
        <f>5850+1340+1244</f>
        <v>8434</v>
      </c>
      <c r="E677" s="32"/>
      <c r="F677" s="32"/>
      <c r="G677" s="32">
        <f t="shared" si="200"/>
        <v>8434</v>
      </c>
      <c r="H677" s="12"/>
      <c r="I677" s="12"/>
      <c r="J677" s="12"/>
      <c r="K677" s="12">
        <f t="shared" si="201"/>
        <v>8434</v>
      </c>
      <c r="M677" s="10">
        <v>6</v>
      </c>
      <c r="N677" s="30" t="s">
        <v>75</v>
      </c>
      <c r="O677" s="31">
        <f t="shared" si="207"/>
        <v>8494</v>
      </c>
      <c r="P677" s="32">
        <f>4550+66.5</f>
        <v>4616.5</v>
      </c>
      <c r="Q677" s="32"/>
      <c r="R677" s="32"/>
      <c r="S677" s="32">
        <f t="shared" si="202"/>
        <v>4616.5</v>
      </c>
      <c r="T677" s="12"/>
      <c r="U677" s="12"/>
      <c r="V677" s="10"/>
      <c r="W677" s="12">
        <f t="shared" si="203"/>
        <v>4616.5</v>
      </c>
      <c r="Y677" s="10">
        <v>6</v>
      </c>
      <c r="Z677" s="30"/>
      <c r="AA677" s="11" t="s">
        <v>27</v>
      </c>
      <c r="AB677" s="32"/>
      <c r="AC677" s="32"/>
      <c r="AD677" s="32"/>
      <c r="AE677" s="32">
        <f t="shared" si="204"/>
        <v>0</v>
      </c>
      <c r="AF677" s="12"/>
      <c r="AG677" s="12"/>
      <c r="AH677" s="10"/>
      <c r="AI677" s="12">
        <f t="shared" si="205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31">
        <f t="shared" si="206"/>
        <v>8440</v>
      </c>
      <c r="D678" s="32">
        <f>1300+670+19</f>
        <v>1989</v>
      </c>
      <c r="E678" s="32"/>
      <c r="F678" s="32"/>
      <c r="G678" s="32">
        <f t="shared" si="200"/>
        <v>1989</v>
      </c>
      <c r="H678" s="12"/>
      <c r="I678" s="12"/>
      <c r="J678" s="12"/>
      <c r="K678" s="12">
        <f t="shared" si="201"/>
        <v>1989</v>
      </c>
      <c r="M678" s="10">
        <v>7</v>
      </c>
      <c r="N678" s="30" t="s">
        <v>75</v>
      </c>
      <c r="O678" s="31">
        <f t="shared" si="207"/>
        <v>8495</v>
      </c>
      <c r="P678" s="32">
        <f>650*2+9.5*2</f>
        <v>1319</v>
      </c>
      <c r="Q678" s="32"/>
      <c r="R678" s="32"/>
      <c r="S678" s="32">
        <f t="shared" si="202"/>
        <v>1319</v>
      </c>
      <c r="T678" s="12"/>
      <c r="U678" s="12"/>
      <c r="V678" s="12"/>
      <c r="W678" s="12">
        <f t="shared" si="203"/>
        <v>1319</v>
      </c>
      <c r="Y678" s="10">
        <v>7</v>
      </c>
      <c r="Z678" s="30"/>
      <c r="AB678" s="32"/>
      <c r="AC678" s="32"/>
      <c r="AD678" s="32"/>
      <c r="AE678" s="32">
        <f t="shared" si="204"/>
        <v>0</v>
      </c>
      <c r="AF678" s="12"/>
      <c r="AG678" s="58"/>
      <c r="AH678" s="12"/>
      <c r="AI678" s="12">
        <f t="shared" si="205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31">
        <f t="shared" si="206"/>
        <v>8441</v>
      </c>
      <c r="D679" s="32">
        <f>3250+47.5</f>
        <v>3297.5</v>
      </c>
      <c r="E679" s="32"/>
      <c r="F679" s="32"/>
      <c r="G679" s="32">
        <f t="shared" si="200"/>
        <v>3297.5</v>
      </c>
      <c r="H679" s="12"/>
      <c r="I679" s="12"/>
      <c r="J679" s="12"/>
      <c r="K679" s="12">
        <f t="shared" si="201"/>
        <v>3297.5</v>
      </c>
      <c r="M679" s="10">
        <v>8</v>
      </c>
      <c r="N679" s="30" t="s">
        <v>75</v>
      </c>
      <c r="O679" s="31">
        <f t="shared" si="207"/>
        <v>8496</v>
      </c>
      <c r="P679" s="32">
        <f>650+9.5</f>
        <v>659.5</v>
      </c>
      <c r="Q679" s="32"/>
      <c r="R679" s="32"/>
      <c r="S679" s="32">
        <f t="shared" si="202"/>
        <v>659.5</v>
      </c>
      <c r="T679" s="12"/>
      <c r="U679" s="12"/>
      <c r="V679" s="12"/>
      <c r="W679" s="12">
        <f t="shared" si="203"/>
        <v>659.5</v>
      </c>
      <c r="Y679" s="10">
        <v>8</v>
      </c>
      <c r="Z679" s="30"/>
      <c r="AA679" s="31"/>
      <c r="AB679" s="32"/>
      <c r="AC679" s="32"/>
      <c r="AE679" s="32">
        <f t="shared" si="204"/>
        <v>0</v>
      </c>
      <c r="AF679" s="12"/>
      <c r="AG679" s="12"/>
      <c r="AH679" s="12"/>
      <c r="AI679" s="12">
        <f t="shared" si="205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31">
        <f t="shared" si="206"/>
        <v>8442</v>
      </c>
      <c r="D680" s="32">
        <f>9750+872+142.5</f>
        <v>10764.5</v>
      </c>
      <c r="E680" s="32"/>
      <c r="F680" s="32"/>
      <c r="G680" s="32">
        <f t="shared" si="200"/>
        <v>10764.5</v>
      </c>
      <c r="H680" s="12"/>
      <c r="I680" s="12">
        <v>840</v>
      </c>
      <c r="J680" s="12"/>
      <c r="K680" s="12">
        <f t="shared" si="201"/>
        <v>11604.5</v>
      </c>
      <c r="M680" s="10">
        <v>9</v>
      </c>
      <c r="N680" s="30" t="s">
        <v>75</v>
      </c>
      <c r="O680" s="31">
        <f t="shared" si="207"/>
        <v>8497</v>
      </c>
      <c r="P680" s="32">
        <f>5200+912+76</f>
        <v>6188</v>
      </c>
      <c r="Q680" s="32"/>
      <c r="R680" s="32"/>
      <c r="S680" s="32">
        <f t="shared" si="202"/>
        <v>6188</v>
      </c>
      <c r="T680" s="12"/>
      <c r="U680" s="12">
        <f>120+27+4.5</f>
        <v>151.5</v>
      </c>
      <c r="V680" s="12"/>
      <c r="W680" s="12">
        <f t="shared" si="203"/>
        <v>6339.5</v>
      </c>
      <c r="Y680" s="10">
        <v>9</v>
      </c>
      <c r="Z680" s="30"/>
      <c r="AA680" s="31"/>
      <c r="AB680" s="32"/>
      <c r="AC680" s="32"/>
      <c r="AD680" s="32"/>
      <c r="AE680" s="32">
        <f t="shared" si="204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31">
        <f t="shared" si="206"/>
        <v>8443</v>
      </c>
      <c r="D681" s="32">
        <f>2600+670+229</f>
        <v>3499</v>
      </c>
      <c r="E681" s="32"/>
      <c r="F681" s="32"/>
      <c r="G681" s="32">
        <f t="shared" si="200"/>
        <v>3499</v>
      </c>
      <c r="H681" s="12"/>
      <c r="I681" s="12"/>
      <c r="J681" s="12"/>
      <c r="K681" s="12">
        <f t="shared" si="201"/>
        <v>3499</v>
      </c>
      <c r="M681" s="10">
        <v>10</v>
      </c>
      <c r="N681" s="30" t="s">
        <v>75</v>
      </c>
      <c r="O681" s="31">
        <f t="shared" si="207"/>
        <v>8498</v>
      </c>
      <c r="P681" s="32">
        <f>2600+622+9.5*5</f>
        <v>3269.5</v>
      </c>
      <c r="Q681" s="32"/>
      <c r="R681" s="32"/>
      <c r="S681" s="32">
        <f t="shared" si="202"/>
        <v>3269.5</v>
      </c>
      <c r="T681" s="12"/>
      <c r="U681" s="12"/>
      <c r="V681" s="12"/>
      <c r="W681" s="12">
        <f t="shared" si="203"/>
        <v>3269.5</v>
      </c>
      <c r="Y681" s="10">
        <v>10</v>
      </c>
      <c r="Z681" s="30"/>
      <c r="AA681" s="31"/>
      <c r="AB681" s="32"/>
      <c r="AC681" s="32"/>
      <c r="AD681" s="32"/>
      <c r="AE681" s="32">
        <f t="shared" si="204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31">
        <f t="shared" si="206"/>
        <v>8444</v>
      </c>
      <c r="D682" s="32">
        <f>3900+670+1244</f>
        <v>5814</v>
      </c>
      <c r="E682" s="32"/>
      <c r="F682" s="32"/>
      <c r="G682" s="32">
        <f t="shared" si="200"/>
        <v>5814</v>
      </c>
      <c r="H682" s="12"/>
      <c r="I682" s="12"/>
      <c r="J682" s="12"/>
      <c r="K682" s="12">
        <f t="shared" si="201"/>
        <v>5814</v>
      </c>
      <c r="M682" s="10">
        <v>11</v>
      </c>
      <c r="N682" s="30" t="s">
        <v>75</v>
      </c>
      <c r="O682" s="31">
        <f t="shared" si="207"/>
        <v>8499</v>
      </c>
      <c r="P682" s="32">
        <f>650*6+9.5*6</f>
        <v>3957</v>
      </c>
      <c r="Q682" s="32"/>
      <c r="R682" s="32"/>
      <c r="S682" s="32">
        <f t="shared" si="202"/>
        <v>3957</v>
      </c>
      <c r="T682" s="12"/>
      <c r="U682" s="12"/>
      <c r="V682" s="12"/>
      <c r="W682" s="12">
        <f t="shared" si="203"/>
        <v>3957</v>
      </c>
      <c r="Y682" s="10">
        <v>11</v>
      </c>
      <c r="Z682" s="30"/>
      <c r="AA682" s="31"/>
      <c r="AB682" s="32"/>
      <c r="AC682" s="32"/>
      <c r="AD682" s="32"/>
      <c r="AE682" s="32">
        <f t="shared" si="204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31">
        <f t="shared" si="206"/>
        <v>8445</v>
      </c>
      <c r="D683" s="32">
        <f>2600</f>
        <v>2600</v>
      </c>
      <c r="E683" s="32"/>
      <c r="F683" s="32"/>
      <c r="G683" s="32">
        <f t="shared" si="200"/>
        <v>2600</v>
      </c>
      <c r="H683" s="12"/>
      <c r="I683" s="12"/>
      <c r="J683" s="10"/>
      <c r="K683" s="12">
        <f t="shared" si="201"/>
        <v>2600</v>
      </c>
      <c r="M683" s="10">
        <v>12</v>
      </c>
      <c r="N683" s="30" t="s">
        <v>75</v>
      </c>
      <c r="O683" s="31">
        <f t="shared" si="207"/>
        <v>8500</v>
      </c>
      <c r="P683" s="32">
        <f>650*6+622+66.5</f>
        <v>4588.5</v>
      </c>
      <c r="Q683" s="32"/>
      <c r="R683" s="32"/>
      <c r="S683" s="32">
        <f t="shared" si="202"/>
        <v>4588.5</v>
      </c>
      <c r="T683" s="12"/>
      <c r="U683" s="12"/>
      <c r="V683" s="12"/>
      <c r="W683" s="12">
        <f t="shared" si="203"/>
        <v>4588.5</v>
      </c>
      <c r="Y683" s="10">
        <v>12</v>
      </c>
      <c r="Z683" s="30"/>
      <c r="AA683" s="31"/>
      <c r="AB683" s="32"/>
      <c r="AC683" s="32"/>
      <c r="AD683" s="32"/>
      <c r="AE683" s="32">
        <f t="shared" si="204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31">
        <f t="shared" si="206"/>
        <v>8446</v>
      </c>
      <c r="D684" s="32">
        <f>19500+3110</f>
        <v>22610</v>
      </c>
      <c r="E684" s="32"/>
      <c r="F684" s="32"/>
      <c r="G684" s="32">
        <f t="shared" si="200"/>
        <v>22610</v>
      </c>
      <c r="H684" s="12"/>
      <c r="I684" s="12"/>
      <c r="J684" s="12"/>
      <c r="K684" s="12">
        <f t="shared" si="201"/>
        <v>22610</v>
      </c>
      <c r="M684" s="10">
        <v>13</v>
      </c>
      <c r="N684" s="30" t="s">
        <v>75</v>
      </c>
      <c r="O684" s="31">
        <v>8551</v>
      </c>
      <c r="P684" s="32">
        <f>4550+66.5</f>
        <v>4616.5</v>
      </c>
      <c r="Q684" s="32"/>
      <c r="R684" s="32"/>
      <c r="S684" s="32">
        <f t="shared" si="202"/>
        <v>4616.5</v>
      </c>
      <c r="T684" s="12"/>
      <c r="U684" s="12">
        <v>10.5</v>
      </c>
      <c r="V684" s="12"/>
      <c r="W684" s="12">
        <f t="shared" si="203"/>
        <v>4627</v>
      </c>
      <c r="Y684" s="10">
        <v>13</v>
      </c>
      <c r="Z684" s="30"/>
      <c r="AA684" s="31"/>
      <c r="AB684" s="32"/>
      <c r="AC684" s="32"/>
      <c r="AD684" s="32"/>
      <c r="AE684" s="32">
        <f t="shared" si="204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31">
        <f t="shared" si="206"/>
        <v>8447</v>
      </c>
      <c r="D685" s="32">
        <f>5200+3732+133+650</f>
        <v>9715</v>
      </c>
      <c r="E685" s="32"/>
      <c r="F685" s="32"/>
      <c r="G685" s="32">
        <f t="shared" si="200"/>
        <v>9715</v>
      </c>
      <c r="H685" s="12"/>
      <c r="I685" s="12">
        <v>63</v>
      </c>
      <c r="J685" s="12"/>
      <c r="K685" s="12">
        <f t="shared" si="201"/>
        <v>9778</v>
      </c>
      <c r="M685" s="10">
        <v>14</v>
      </c>
      <c r="N685" s="30" t="s">
        <v>75</v>
      </c>
      <c r="O685" s="31">
        <f t="shared" si="207"/>
        <v>8552</v>
      </c>
      <c r="P685" s="32">
        <f>650*9+9.5*9</f>
        <v>5935.5</v>
      </c>
      <c r="Q685" s="32"/>
      <c r="R685" s="32"/>
      <c r="S685" s="32">
        <f t="shared" si="202"/>
        <v>5935.5</v>
      </c>
      <c r="T685" s="12"/>
      <c r="U685" s="12"/>
      <c r="V685" s="12"/>
      <c r="W685" s="12">
        <f t="shared" si="203"/>
        <v>5935.5</v>
      </c>
      <c r="Y685" s="10">
        <v>14</v>
      </c>
      <c r="Z685" s="30"/>
      <c r="AA685" s="31"/>
      <c r="AB685" s="32"/>
      <c r="AC685" s="32"/>
      <c r="AD685" s="32"/>
      <c r="AE685" s="32">
        <f t="shared" si="204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31">
        <f t="shared" si="206"/>
        <v>8448</v>
      </c>
      <c r="D686" s="32">
        <f>11050+1866+190</f>
        <v>13106</v>
      </c>
      <c r="E686" s="32"/>
      <c r="F686" s="32"/>
      <c r="G686" s="32">
        <f t="shared" si="200"/>
        <v>13106</v>
      </c>
      <c r="H686" s="12"/>
      <c r="I686" s="12"/>
      <c r="J686" s="12"/>
      <c r="K686" s="12">
        <f t="shared" si="201"/>
        <v>13106</v>
      </c>
      <c r="M686" s="10">
        <v>15</v>
      </c>
      <c r="N686" s="30" t="s">
        <v>75</v>
      </c>
      <c r="O686" s="31">
        <f t="shared" si="207"/>
        <v>8553</v>
      </c>
      <c r="P686" s="32">
        <f>650+9.5</f>
        <v>659.5</v>
      </c>
      <c r="Q686" s="32"/>
      <c r="R686" s="32"/>
      <c r="S686" s="32">
        <f t="shared" si="202"/>
        <v>659.5</v>
      </c>
      <c r="T686" s="12"/>
      <c r="U686" s="12"/>
      <c r="V686" s="12"/>
      <c r="W686" s="12">
        <f t="shared" si="203"/>
        <v>659.5</v>
      </c>
      <c r="Y686" s="10">
        <v>15</v>
      </c>
      <c r="Z686" s="30"/>
      <c r="AA686" s="31"/>
      <c r="AB686" s="32"/>
      <c r="AC686" s="32"/>
      <c r="AD686" s="32"/>
      <c r="AE686" s="32">
        <f t="shared" si="204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31">
        <f t="shared" si="206"/>
        <v>8449</v>
      </c>
      <c r="D687" s="32">
        <f>22750+9330+2616+458</f>
        <v>35154</v>
      </c>
      <c r="E687" s="32"/>
      <c r="F687" s="32"/>
      <c r="G687" s="32">
        <f t="shared" si="200"/>
        <v>35154</v>
      </c>
      <c r="H687" s="12"/>
      <c r="I687" s="12"/>
      <c r="J687" s="12"/>
      <c r="K687" s="12">
        <f t="shared" si="201"/>
        <v>35154</v>
      </c>
      <c r="M687" s="10">
        <v>16</v>
      </c>
      <c r="N687" s="30" t="s">
        <v>75</v>
      </c>
      <c r="O687" s="31">
        <f t="shared" si="207"/>
        <v>8554</v>
      </c>
      <c r="P687" s="32">
        <f>650*10+9.5*10</f>
        <v>6595</v>
      </c>
      <c r="Q687" s="32"/>
      <c r="R687" s="32"/>
      <c r="S687" s="32">
        <f t="shared" si="202"/>
        <v>6595</v>
      </c>
      <c r="T687" s="12"/>
      <c r="U687" s="12">
        <v>31.5</v>
      </c>
      <c r="V687" s="12"/>
      <c r="W687" s="12">
        <f t="shared" si="203"/>
        <v>6626.5</v>
      </c>
      <c r="Y687" s="10">
        <v>16</v>
      </c>
      <c r="Z687" s="30"/>
      <c r="AA687" s="31"/>
      <c r="AB687" s="32"/>
      <c r="AC687" s="32"/>
      <c r="AD687" s="32"/>
      <c r="AE687" s="32">
        <f t="shared" si="204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 t="s">
        <v>75</v>
      </c>
      <c r="C688" s="31">
        <f t="shared" si="206"/>
        <v>8450</v>
      </c>
      <c r="D688" s="32">
        <f>1950+28.5</f>
        <v>1978.5</v>
      </c>
      <c r="E688" s="32"/>
      <c r="F688" s="32"/>
      <c r="G688" s="32">
        <f t="shared" si="200"/>
        <v>1978.5</v>
      </c>
      <c r="H688" s="12"/>
      <c r="I688" s="12"/>
      <c r="J688" s="12"/>
      <c r="K688" s="12">
        <f t="shared" si="201"/>
        <v>1978.5</v>
      </c>
      <c r="M688" s="10">
        <v>17</v>
      </c>
      <c r="N688" s="30" t="s">
        <v>75</v>
      </c>
      <c r="O688" s="31">
        <f t="shared" si="207"/>
        <v>8555</v>
      </c>
      <c r="P688" s="35">
        <f>650*6+622+9.5*7</f>
        <v>4588.5</v>
      </c>
      <c r="Q688" s="32"/>
      <c r="R688" s="32"/>
      <c r="S688" s="32">
        <f t="shared" si="202"/>
        <v>4588.5</v>
      </c>
      <c r="T688" s="12"/>
      <c r="U688" s="12"/>
      <c r="V688" s="12"/>
      <c r="W688" s="12">
        <f t="shared" si="203"/>
        <v>4588.5</v>
      </c>
      <c r="Y688" s="10">
        <v>17</v>
      </c>
      <c r="Z688" s="30"/>
      <c r="AA688" s="31"/>
      <c r="AB688" s="35"/>
      <c r="AC688" s="32"/>
      <c r="AD688" s="32"/>
      <c r="AE688" s="32">
        <f t="shared" si="204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11" t="s">
        <v>27</v>
      </c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 t="s">
        <v>75</v>
      </c>
      <c r="O689" s="31">
        <f t="shared" si="207"/>
        <v>8556</v>
      </c>
      <c r="P689" s="32">
        <f>650*20+622*15+229</f>
        <v>22559</v>
      </c>
      <c r="Q689" s="32"/>
      <c r="R689" s="32"/>
      <c r="S689" s="32">
        <f t="shared" si="202"/>
        <v>22559</v>
      </c>
      <c r="T689" s="12"/>
      <c r="U689" s="12">
        <v>36</v>
      </c>
      <c r="V689" s="12"/>
      <c r="W689" s="12">
        <f t="shared" si="203"/>
        <v>22595</v>
      </c>
      <c r="Y689" s="10">
        <v>18</v>
      </c>
      <c r="Z689" s="30"/>
      <c r="AA689" s="31"/>
      <c r="AB689" s="32"/>
      <c r="AC689" s="32"/>
      <c r="AD689" s="32"/>
      <c r="AE689" s="32">
        <f t="shared" si="204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 t="s">
        <v>75</v>
      </c>
      <c r="O690" s="31">
        <f t="shared" si="207"/>
        <v>8557</v>
      </c>
      <c r="P690" s="32">
        <f>650+9.5</f>
        <v>659.5</v>
      </c>
      <c r="Q690" s="32"/>
      <c r="R690" s="32"/>
      <c r="S690" s="32">
        <f t="shared" si="202"/>
        <v>659.5</v>
      </c>
      <c r="T690" s="12"/>
      <c r="U690" s="12"/>
      <c r="V690" s="12">
        <v>-444</v>
      </c>
      <c r="W690" s="12">
        <f t="shared" si="203"/>
        <v>215.5</v>
      </c>
      <c r="Y690" s="10">
        <v>19</v>
      </c>
      <c r="Z690" s="30"/>
      <c r="AA690" s="31"/>
      <c r="AB690" s="32"/>
      <c r="AC690" s="32"/>
      <c r="AD690" s="32"/>
      <c r="AE690" s="32">
        <f t="shared" si="204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11" t="s">
        <v>27</v>
      </c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04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31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B692" s="46"/>
      <c r="AC692" s="31"/>
      <c r="AD692" s="31"/>
      <c r="AE692" s="32">
        <f t="shared" si="204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4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Q694" s="31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04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4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4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3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4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31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4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4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4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91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4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4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57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4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4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209">SUM(AB705:AC705)</f>
        <v>0</v>
      </c>
      <c r="AF705" s="10"/>
      <c r="AG705" s="10"/>
      <c r="AH705" s="10"/>
      <c r="AI705" s="12">
        <f t="shared" ref="AI705:AI713" si="210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9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1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9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1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1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1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1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1">SUM(D712:E712)</f>
        <v>0</v>
      </c>
      <c r="H712" s="10"/>
      <c r="I712" s="10"/>
      <c r="J712" s="10"/>
      <c r="K712" s="12">
        <f t="shared" ref="K712" si="212">SUM(G712:J712)</f>
        <v>0</v>
      </c>
      <c r="M712" s="10"/>
      <c r="N712" s="30"/>
      <c r="O712" s="31"/>
      <c r="P712" s="47"/>
      <c r="Q712" s="31"/>
      <c r="R712" s="31"/>
      <c r="S712" s="32">
        <f t="shared" ref="S712" si="213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4">SUM(AB712:AC712)</f>
        <v>0</v>
      </c>
      <c r="AF712" s="10"/>
      <c r="AG712" s="10"/>
      <c r="AH712" s="10"/>
      <c r="AI712" s="12">
        <f t="shared" si="21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182126</v>
      </c>
      <c r="E715" s="38">
        <f t="shared" ref="E715:F715" si="215">SUM(E672:E712)</f>
        <v>0</v>
      </c>
      <c r="F715" s="38">
        <f t="shared" si="215"/>
        <v>0</v>
      </c>
      <c r="G715" s="38">
        <f>SUM(G672:G714)</f>
        <v>182126</v>
      </c>
      <c r="H715" s="4"/>
      <c r="I715" s="39">
        <f>SUM(I672:I714)</f>
        <v>1209</v>
      </c>
      <c r="J715" s="39">
        <f>SUM(J672:J714)</f>
        <v>0</v>
      </c>
      <c r="K715" s="40">
        <f>SUM(K672:K714)</f>
        <v>183335</v>
      </c>
      <c r="N715" s="57"/>
      <c r="O715" s="57"/>
      <c r="P715" s="38">
        <f>SUM(P672:P714)</f>
        <v>241233.5</v>
      </c>
      <c r="Q715" s="38">
        <f>SUM(Q672:Q696)</f>
        <v>-1296</v>
      </c>
      <c r="R715" s="38">
        <f>SUM(R672:R696)</f>
        <v>0</v>
      </c>
      <c r="S715" s="38">
        <f>SUM(S672:S714)</f>
        <v>239937.5</v>
      </c>
      <c r="T715" s="4"/>
      <c r="U715" s="41">
        <f>SUM(U672:U714)</f>
        <v>496.5</v>
      </c>
      <c r="V715" s="41">
        <f>SUM(V672:V696)</f>
        <v>-444</v>
      </c>
      <c r="W715" s="42">
        <f>SUM(W672:W714)</f>
        <v>239990</v>
      </c>
      <c r="Z715" s="57"/>
      <c r="AA715" s="57"/>
      <c r="AB715" s="38">
        <f>SUM(AB672:AB714)</f>
        <v>339343</v>
      </c>
      <c r="AC715" s="38">
        <f>SUM(AC672:AC696)</f>
        <v>0</v>
      </c>
      <c r="AD715" s="38">
        <f>SUM(AD672:AD696)</f>
        <v>0</v>
      </c>
      <c r="AE715" s="38">
        <f>SUM(AE672:AE714)</f>
        <v>339343</v>
      </c>
      <c r="AF715" s="4"/>
      <c r="AG715" s="41">
        <f>SUM(AG672:AG714)</f>
        <v>45888</v>
      </c>
      <c r="AH715" s="41">
        <f>SUM(AH672:AH696)</f>
        <v>-71757</v>
      </c>
      <c r="AI715" s="42">
        <f>SUM(AI672:AI714)</f>
        <v>313474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54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1" t="s">
        <v>17</v>
      </c>
      <c r="E725" s="121"/>
      <c r="F725" s="109"/>
      <c r="G725" s="27"/>
      <c r="I725" s="117" t="s">
        <v>18</v>
      </c>
      <c r="J725" s="118"/>
      <c r="K725" s="119" t="s">
        <v>19</v>
      </c>
      <c r="N725" s="25"/>
      <c r="O725" s="26"/>
      <c r="P725" s="121" t="s">
        <v>17</v>
      </c>
      <c r="Q725" s="121"/>
      <c r="R725" s="109"/>
      <c r="S725" s="27"/>
      <c r="U725" s="117" t="s">
        <v>18</v>
      </c>
      <c r="V725" s="118"/>
      <c r="W725" s="119" t="s">
        <v>19</v>
      </c>
      <c r="Z725" s="25"/>
      <c r="AA725" s="26"/>
      <c r="AB725" s="121" t="s">
        <v>17</v>
      </c>
      <c r="AC725" s="121"/>
      <c r="AD725" s="109"/>
      <c r="AE725" s="27"/>
      <c r="AG725" s="117" t="s">
        <v>18</v>
      </c>
      <c r="AH725" s="118"/>
      <c r="AI725" s="11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20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20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2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8601</v>
      </c>
      <c r="D727" s="32">
        <f>8450+1244</f>
        <v>9694</v>
      </c>
      <c r="E727" s="32"/>
      <c r="F727" s="32"/>
      <c r="G727" s="32">
        <f t="shared" ref="G727:G760" si="216">SUM(D727:E727)</f>
        <v>9694</v>
      </c>
      <c r="H727" s="12"/>
      <c r="I727" s="12"/>
      <c r="J727" s="12"/>
      <c r="K727" s="12">
        <f t="shared" ref="K727:K760" si="217">SUM(G727:J727)</f>
        <v>9694</v>
      </c>
      <c r="M727" s="10">
        <v>1</v>
      </c>
      <c r="N727" s="30" t="s">
        <v>78</v>
      </c>
      <c r="O727" s="31">
        <v>8558</v>
      </c>
      <c r="P727" s="32">
        <f>650*2+670+19</f>
        <v>1989</v>
      </c>
      <c r="Q727" s="32"/>
      <c r="R727" s="32"/>
      <c r="S727" s="32">
        <f>SUM(P727:Q727)</f>
        <v>1989</v>
      </c>
      <c r="T727" s="12"/>
      <c r="U727" s="12"/>
      <c r="V727" s="12"/>
      <c r="W727" s="12">
        <f>SUM(S727:V727)</f>
        <v>1989</v>
      </c>
      <c r="Y727" s="10">
        <v>1</v>
      </c>
      <c r="Z727" s="30" t="s">
        <v>78</v>
      </c>
      <c r="AA727" s="31">
        <v>8502</v>
      </c>
      <c r="AB727" s="32">
        <f>650*65+670*3+622*10+229*2</f>
        <v>50938</v>
      </c>
      <c r="AC727" s="32">
        <f>-78*6</f>
        <v>-468</v>
      </c>
      <c r="AD727" s="32"/>
      <c r="AE727" s="32">
        <f>SUM(AB727:AC727)</f>
        <v>50470</v>
      </c>
      <c r="AF727" s="12"/>
      <c r="AG727" s="12"/>
      <c r="AH727" s="12"/>
      <c r="AI727" s="12">
        <f>SUM(AE727:AH727)</f>
        <v>50470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31">
        <f>C727+1</f>
        <v>8602</v>
      </c>
      <c r="D728" s="32">
        <f>3250+622</f>
        <v>3872</v>
      </c>
      <c r="E728" s="32"/>
      <c r="F728" s="32"/>
      <c r="G728" s="32">
        <f t="shared" si="216"/>
        <v>3872</v>
      </c>
      <c r="H728" s="12"/>
      <c r="I728" s="12"/>
      <c r="J728" s="12"/>
      <c r="K728" s="12">
        <f t="shared" si="217"/>
        <v>3872</v>
      </c>
      <c r="M728" s="10">
        <v>2</v>
      </c>
      <c r="N728" s="30" t="s">
        <v>78</v>
      </c>
      <c r="O728" s="31">
        <f>O727+1</f>
        <v>8559</v>
      </c>
      <c r="P728" s="32">
        <f>650+670+622+9.5*2</f>
        <v>1961</v>
      </c>
      <c r="Q728" s="32"/>
      <c r="R728" s="32"/>
      <c r="S728" s="32">
        <f t="shared" ref="S728:S765" si="218">SUM(P728:Q728)</f>
        <v>1961</v>
      </c>
      <c r="T728" s="12"/>
      <c r="U728" s="12"/>
      <c r="V728" s="12"/>
      <c r="W728" s="12">
        <f t="shared" ref="W728:W768" si="219">SUM(S728:V728)</f>
        <v>1961</v>
      </c>
      <c r="Y728" s="10">
        <v>2</v>
      </c>
      <c r="Z728" s="30" t="s">
        <v>78</v>
      </c>
      <c r="AA728" s="31">
        <f>AA727+1</f>
        <v>8503</v>
      </c>
      <c r="AB728" s="32">
        <f>650*108+229*4</f>
        <v>71116</v>
      </c>
      <c r="AC728" s="32">
        <f>-108*6</f>
        <v>-648</v>
      </c>
      <c r="AD728" s="32"/>
      <c r="AE728" s="32">
        <f t="shared" ref="AE728:AE759" si="220">SUM(AB728:AC728)</f>
        <v>70468</v>
      </c>
      <c r="AF728" s="12"/>
      <c r="AG728" s="12"/>
      <c r="AH728" s="12">
        <f>-120*10+-453*111+-84*14</f>
        <v>-52659</v>
      </c>
      <c r="AI728" s="12">
        <f t="shared" ref="AI728:AI768" si="221">SUM(AE728:AH728)</f>
        <v>17809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31">
        <f t="shared" ref="C729:C748" si="222">C728+1</f>
        <v>8603</v>
      </c>
      <c r="D729" s="33">
        <f>10400+1340+912</f>
        <v>12652</v>
      </c>
      <c r="E729" s="33"/>
      <c r="F729" s="33"/>
      <c r="G729" s="33">
        <f t="shared" si="216"/>
        <v>12652</v>
      </c>
      <c r="H729" s="34"/>
      <c r="I729" s="34"/>
      <c r="J729" s="34"/>
      <c r="K729" s="34">
        <f t="shared" si="217"/>
        <v>12652</v>
      </c>
      <c r="M729" s="10">
        <v>3</v>
      </c>
      <c r="N729" s="30" t="s">
        <v>78</v>
      </c>
      <c r="O729" s="31">
        <f t="shared" ref="O729:O738" si="223">O728+1</f>
        <v>8560</v>
      </c>
      <c r="P729" s="32">
        <f>650*70+622*20+229*2</f>
        <v>58398</v>
      </c>
      <c r="Q729" s="32"/>
      <c r="R729" s="32"/>
      <c r="S729" s="32">
        <f t="shared" si="218"/>
        <v>58398</v>
      </c>
      <c r="T729" s="12"/>
      <c r="U729" s="12"/>
      <c r="V729" s="12"/>
      <c r="W729" s="12">
        <f t="shared" si="219"/>
        <v>58398</v>
      </c>
      <c r="Y729" s="10">
        <v>3</v>
      </c>
      <c r="Z729" s="30" t="s">
        <v>78</v>
      </c>
      <c r="AA729" s="31">
        <f t="shared" ref="AA729:AA731" si="224">AA728+1</f>
        <v>8504</v>
      </c>
      <c r="AB729" s="33">
        <f>650*4+622</f>
        <v>3222</v>
      </c>
      <c r="AC729" s="33"/>
      <c r="AD729" s="32"/>
      <c r="AE729" s="32">
        <f t="shared" si="220"/>
        <v>3222</v>
      </c>
      <c r="AF729" s="12"/>
      <c r="AG729" s="12"/>
      <c r="AH729" s="12"/>
      <c r="AI729" s="12">
        <f t="shared" si="221"/>
        <v>3222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31">
        <f t="shared" si="222"/>
        <v>8604</v>
      </c>
      <c r="D730" s="32">
        <f>7800+1340+1866+142.5</f>
        <v>11148.5</v>
      </c>
      <c r="E730" s="32"/>
      <c r="F730" s="32"/>
      <c r="G730" s="32">
        <f t="shared" si="216"/>
        <v>11148.5</v>
      </c>
      <c r="H730" s="12"/>
      <c r="I730" s="12"/>
      <c r="J730" s="12"/>
      <c r="K730" s="12">
        <f t="shared" si="217"/>
        <v>11148.5</v>
      </c>
      <c r="M730" s="10">
        <v>4</v>
      </c>
      <c r="N730" s="30" t="s">
        <v>78</v>
      </c>
      <c r="O730" s="31">
        <f t="shared" si="223"/>
        <v>8561</v>
      </c>
      <c r="P730" s="32">
        <f>458</f>
        <v>458</v>
      </c>
      <c r="Q730" s="32"/>
      <c r="R730" s="32"/>
      <c r="S730" s="32">
        <f t="shared" si="218"/>
        <v>458</v>
      </c>
      <c r="T730" s="12"/>
      <c r="U730" s="12"/>
      <c r="V730" s="12"/>
      <c r="W730" s="12">
        <f t="shared" si="219"/>
        <v>458</v>
      </c>
      <c r="Y730" s="10">
        <v>4</v>
      </c>
      <c r="Z730" s="30" t="s">
        <v>78</v>
      </c>
      <c r="AA730" s="31">
        <f t="shared" si="224"/>
        <v>8505</v>
      </c>
      <c r="AB730" s="32">
        <f>650*48+622*17+872+229*2</f>
        <v>43104</v>
      </c>
      <c r="AC730" s="32"/>
      <c r="AD730" s="32"/>
      <c r="AE730" s="32">
        <f t="shared" si="220"/>
        <v>43104</v>
      </c>
      <c r="AF730" s="12"/>
      <c r="AH730" s="12"/>
      <c r="AI730" s="12">
        <f t="shared" si="221"/>
        <v>43104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31">
        <f t="shared" si="222"/>
        <v>8605</v>
      </c>
      <c r="D731" s="32">
        <f>1300+622+28.5</f>
        <v>1950.5</v>
      </c>
      <c r="E731" s="32"/>
      <c r="F731" s="32"/>
      <c r="G731" s="32">
        <f t="shared" si="216"/>
        <v>1950.5</v>
      </c>
      <c r="H731" s="12"/>
      <c r="I731" s="12"/>
      <c r="J731" s="12"/>
      <c r="K731" s="12">
        <f t="shared" si="217"/>
        <v>1950.5</v>
      </c>
      <c r="M731" s="10">
        <v>5</v>
      </c>
      <c r="N731" s="30" t="s">
        <v>78</v>
      </c>
      <c r="O731" s="31">
        <f t="shared" si="223"/>
        <v>8562</v>
      </c>
      <c r="P731" s="32">
        <f>16250+229</f>
        <v>16479</v>
      </c>
      <c r="Q731" s="32"/>
      <c r="R731" s="32"/>
      <c r="S731" s="32">
        <f t="shared" si="218"/>
        <v>16479</v>
      </c>
      <c r="T731" s="12"/>
      <c r="U731" s="12">
        <v>18</v>
      </c>
      <c r="V731" s="12"/>
      <c r="W731" s="12">
        <f t="shared" si="219"/>
        <v>16497</v>
      </c>
      <c r="Y731" s="10">
        <v>5</v>
      </c>
      <c r="Z731" s="30" t="s">
        <v>78</v>
      </c>
      <c r="AA731" s="31">
        <f t="shared" si="224"/>
        <v>8506</v>
      </c>
      <c r="AB731" s="32">
        <f>650*5+622*5</f>
        <v>6360</v>
      </c>
      <c r="AC731" s="32"/>
      <c r="AD731" s="32"/>
      <c r="AE731" s="32">
        <f t="shared" si="220"/>
        <v>6360</v>
      </c>
      <c r="AF731" s="12"/>
      <c r="AG731" s="12"/>
      <c r="AH731" s="12"/>
      <c r="AI731" s="12">
        <f t="shared" si="221"/>
        <v>6360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31">
        <f t="shared" si="222"/>
        <v>8606</v>
      </c>
      <c r="D732" s="32">
        <f>7800+4354+9.5*19</f>
        <v>12334.5</v>
      </c>
      <c r="E732" s="32"/>
      <c r="F732" s="32"/>
      <c r="G732" s="32">
        <f t="shared" si="216"/>
        <v>12334.5</v>
      </c>
      <c r="H732" s="12"/>
      <c r="I732" s="12">
        <v>888</v>
      </c>
      <c r="J732" s="12"/>
      <c r="K732" s="12">
        <f t="shared" si="217"/>
        <v>13222.5</v>
      </c>
      <c r="M732" s="10">
        <v>6</v>
      </c>
      <c r="N732" s="30" t="s">
        <v>78</v>
      </c>
      <c r="O732" s="31">
        <f t="shared" si="223"/>
        <v>8563</v>
      </c>
      <c r="P732" s="32">
        <f>650*8+76</f>
        <v>5276</v>
      </c>
      <c r="Q732" s="32"/>
      <c r="R732" s="32"/>
      <c r="S732" s="32">
        <f t="shared" si="218"/>
        <v>5276</v>
      </c>
      <c r="T732" s="12"/>
      <c r="U732" s="12"/>
      <c r="V732" s="10"/>
      <c r="W732" s="12">
        <f t="shared" si="219"/>
        <v>5276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0"/>
        <v>0</v>
      </c>
      <c r="AF732" s="12"/>
      <c r="AG732" s="12"/>
      <c r="AH732" s="10"/>
      <c r="AI732" s="12">
        <f t="shared" si="221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31">
        <f t="shared" si="222"/>
        <v>8607</v>
      </c>
      <c r="D733" s="32">
        <f>5200+1340+76+500</f>
        <v>7116</v>
      </c>
      <c r="E733" s="32"/>
      <c r="F733" s="32"/>
      <c r="G733" s="32">
        <f t="shared" si="216"/>
        <v>7116</v>
      </c>
      <c r="H733" s="12"/>
      <c r="I733" s="12"/>
      <c r="J733" s="12"/>
      <c r="K733" s="12">
        <f t="shared" si="217"/>
        <v>7116</v>
      </c>
      <c r="M733" s="10">
        <v>7</v>
      </c>
      <c r="N733" s="30" t="s">
        <v>78</v>
      </c>
      <c r="O733" s="31">
        <f t="shared" si="223"/>
        <v>8564</v>
      </c>
      <c r="P733" s="32">
        <f>1950+28.5</f>
        <v>1978.5</v>
      </c>
      <c r="Q733" s="32"/>
      <c r="R733" s="32"/>
      <c r="S733" s="32">
        <f t="shared" si="218"/>
        <v>1978.5</v>
      </c>
      <c r="T733" s="12"/>
      <c r="U733" s="12"/>
      <c r="V733" s="12"/>
      <c r="W733" s="12">
        <f t="shared" si="219"/>
        <v>1978.5</v>
      </c>
      <c r="Y733" s="10">
        <v>7</v>
      </c>
      <c r="Z733" s="30"/>
      <c r="AA733" s="31"/>
      <c r="AB733" s="32"/>
      <c r="AC733" s="32"/>
      <c r="AD733" s="32"/>
      <c r="AE733" s="32">
        <f t="shared" si="220"/>
        <v>0</v>
      </c>
      <c r="AF733" s="12"/>
      <c r="AG733" s="58"/>
      <c r="AH733" s="12"/>
      <c r="AI733" s="12">
        <f t="shared" si="221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31">
        <f t="shared" si="222"/>
        <v>8608</v>
      </c>
      <c r="D734" s="32">
        <f>650*32+622*5+229</f>
        <v>24139</v>
      </c>
      <c r="E734" s="32"/>
      <c r="F734" s="32"/>
      <c r="G734" s="32">
        <f t="shared" si="216"/>
        <v>24139</v>
      </c>
      <c r="H734" s="12"/>
      <c r="I734" s="12"/>
      <c r="J734" s="12"/>
      <c r="K734" s="12">
        <f t="shared" si="217"/>
        <v>24139</v>
      </c>
      <c r="M734" s="10">
        <v>8</v>
      </c>
      <c r="N734" s="30" t="s">
        <v>78</v>
      </c>
      <c r="O734" s="31">
        <f t="shared" si="223"/>
        <v>8565</v>
      </c>
      <c r="P734" s="32">
        <f>650*13+9.5*5</f>
        <v>8497.5</v>
      </c>
      <c r="Q734" s="32"/>
      <c r="R734" s="32"/>
      <c r="S734" s="32">
        <f t="shared" si="218"/>
        <v>8497.5</v>
      </c>
      <c r="T734" s="12"/>
      <c r="U734" s="12"/>
      <c r="V734" s="12"/>
      <c r="W734" s="12">
        <f t="shared" si="219"/>
        <v>8497.5</v>
      </c>
      <c r="Y734" s="10">
        <v>8</v>
      </c>
      <c r="Z734" s="30"/>
      <c r="AA734" s="31"/>
      <c r="AB734" s="32"/>
      <c r="AC734" s="32"/>
      <c r="AE734" s="32">
        <f t="shared" si="220"/>
        <v>0</v>
      </c>
      <c r="AF734" s="12"/>
      <c r="AG734" s="12"/>
      <c r="AH734" s="12"/>
      <c r="AI734" s="12">
        <f t="shared" si="221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31">
        <f t="shared" si="222"/>
        <v>8609</v>
      </c>
      <c r="D735" s="32">
        <f>10400+622</f>
        <v>11022</v>
      </c>
      <c r="E735" s="32"/>
      <c r="F735" s="32"/>
      <c r="G735" s="32">
        <f t="shared" si="216"/>
        <v>11022</v>
      </c>
      <c r="H735" s="12"/>
      <c r="I735" s="12"/>
      <c r="J735" s="12"/>
      <c r="K735" s="12">
        <f t="shared" si="217"/>
        <v>11022</v>
      </c>
      <c r="M735" s="10">
        <v>9</v>
      </c>
      <c r="N735" s="30" t="s">
        <v>78</v>
      </c>
      <c r="O735" s="31">
        <f t="shared" si="223"/>
        <v>8566</v>
      </c>
      <c r="P735" s="32">
        <f>650*21+622*15+9.5*12</f>
        <v>23094</v>
      </c>
      <c r="Q735" s="32"/>
      <c r="R735" s="32"/>
      <c r="S735" s="32">
        <f t="shared" si="218"/>
        <v>23094</v>
      </c>
      <c r="T735" s="12"/>
      <c r="U735" s="12">
        <v>184.5</v>
      </c>
      <c r="V735" s="12"/>
      <c r="W735" s="12">
        <f t="shared" si="219"/>
        <v>23278.5</v>
      </c>
      <c r="Y735" s="10">
        <v>9</v>
      </c>
      <c r="Z735" s="30"/>
      <c r="AA735" s="31"/>
      <c r="AB735" s="32"/>
      <c r="AC735" s="32"/>
      <c r="AD735" s="32"/>
      <c r="AE735" s="32">
        <f t="shared" si="220"/>
        <v>0</v>
      </c>
      <c r="AF735" s="12"/>
      <c r="AH735" s="12"/>
      <c r="AI735" s="12">
        <f t="shared" si="221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31">
        <f t="shared" si="222"/>
        <v>8610</v>
      </c>
      <c r="D736" s="32">
        <f>11050+229</f>
        <v>11279</v>
      </c>
      <c r="E736" s="32"/>
      <c r="F736" s="32"/>
      <c r="G736" s="32">
        <f t="shared" si="216"/>
        <v>11279</v>
      </c>
      <c r="H736" s="12"/>
      <c r="I736" s="12"/>
      <c r="J736" s="12"/>
      <c r="K736" s="12">
        <f t="shared" si="217"/>
        <v>11279</v>
      </c>
      <c r="M736" s="10">
        <v>10</v>
      </c>
      <c r="N736" s="30" t="s">
        <v>78</v>
      </c>
      <c r="O736" s="31">
        <f t="shared" si="223"/>
        <v>8567</v>
      </c>
      <c r="P736" s="32">
        <f>650*8+622+9.5*12</f>
        <v>5936</v>
      </c>
      <c r="Q736" s="32"/>
      <c r="R736" s="32"/>
      <c r="S736" s="32">
        <f t="shared" si="218"/>
        <v>5936</v>
      </c>
      <c r="T736" s="12"/>
      <c r="U736" s="12"/>
      <c r="V736" s="12">
        <v>-999</v>
      </c>
      <c r="W736" s="12">
        <f t="shared" si="219"/>
        <v>4937</v>
      </c>
      <c r="Y736" s="10">
        <v>10</v>
      </c>
      <c r="Z736" s="30"/>
      <c r="AA736" s="31"/>
      <c r="AB736" s="32"/>
      <c r="AC736" s="32"/>
      <c r="AD736" s="32"/>
      <c r="AE736" s="32">
        <f t="shared" si="220"/>
        <v>0</v>
      </c>
      <c r="AF736" s="12"/>
      <c r="AG736" s="12"/>
      <c r="AH736" s="12"/>
      <c r="AI736" s="12">
        <f t="shared" si="221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31">
        <f t="shared" si="222"/>
        <v>8611</v>
      </c>
      <c r="D737" s="32">
        <f>26000+229</f>
        <v>26229</v>
      </c>
      <c r="E737" s="32"/>
      <c r="F737" s="32"/>
      <c r="G737" s="32">
        <f t="shared" si="216"/>
        <v>26229</v>
      </c>
      <c r="H737" s="12"/>
      <c r="I737" s="12"/>
      <c r="J737" s="12"/>
      <c r="K737" s="12">
        <f t="shared" si="217"/>
        <v>26229</v>
      </c>
      <c r="M737" s="10">
        <v>11</v>
      </c>
      <c r="N737" s="30" t="s">
        <v>78</v>
      </c>
      <c r="O737" s="31">
        <f t="shared" si="223"/>
        <v>8568</v>
      </c>
      <c r="P737" s="32">
        <f>650+9.5</f>
        <v>659.5</v>
      </c>
      <c r="Q737" s="32"/>
      <c r="R737" s="32"/>
      <c r="S737" s="32">
        <f t="shared" si="218"/>
        <v>659.5</v>
      </c>
      <c r="T737" s="12"/>
      <c r="U737" s="12"/>
      <c r="V737" s="12"/>
      <c r="W737" s="12">
        <f t="shared" si="219"/>
        <v>659.5</v>
      </c>
      <c r="Y737" s="10">
        <v>11</v>
      </c>
      <c r="Z737" s="30"/>
      <c r="AA737" s="31"/>
      <c r="AB737" s="32"/>
      <c r="AC737" s="32"/>
      <c r="AD737" s="32"/>
      <c r="AE737" s="32">
        <f t="shared" si="220"/>
        <v>0</v>
      </c>
      <c r="AF737" s="12"/>
      <c r="AG737" s="12"/>
      <c r="AH737" s="12"/>
      <c r="AI737" s="12">
        <f t="shared" si="221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31">
        <f t="shared" si="222"/>
        <v>8612</v>
      </c>
      <c r="D738" s="32">
        <f>2600+38</f>
        <v>2638</v>
      </c>
      <c r="E738" s="32"/>
      <c r="F738" s="32"/>
      <c r="G738" s="32">
        <f t="shared" si="216"/>
        <v>2638</v>
      </c>
      <c r="H738" s="12"/>
      <c r="I738" s="12"/>
      <c r="J738" s="10"/>
      <c r="K738" s="12">
        <f t="shared" si="217"/>
        <v>2638</v>
      </c>
      <c r="M738" s="10">
        <v>12</v>
      </c>
      <c r="N738" s="30" t="s">
        <v>78</v>
      </c>
      <c r="O738" s="31">
        <f t="shared" si="223"/>
        <v>8569</v>
      </c>
      <c r="P738" s="32">
        <f>650*2+9.5*2</f>
        <v>1319</v>
      </c>
      <c r="Q738" s="32"/>
      <c r="R738" s="32"/>
      <c r="S738" s="32">
        <f t="shared" si="218"/>
        <v>1319</v>
      </c>
      <c r="T738" s="12"/>
      <c r="U738" s="12"/>
      <c r="V738" s="12"/>
      <c r="W738" s="12">
        <f t="shared" si="219"/>
        <v>1319</v>
      </c>
      <c r="Y738" s="10">
        <v>12</v>
      </c>
      <c r="Z738" s="30"/>
      <c r="AA738" s="31"/>
      <c r="AB738" s="32"/>
      <c r="AC738" s="32"/>
      <c r="AD738" s="32"/>
      <c r="AE738" s="32">
        <f t="shared" si="220"/>
        <v>0</v>
      </c>
      <c r="AF738" s="12"/>
      <c r="AG738" s="12"/>
      <c r="AH738" s="12"/>
      <c r="AI738" s="12">
        <f t="shared" si="221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31">
        <f t="shared" si="222"/>
        <v>8613</v>
      </c>
      <c r="D739" s="32">
        <f>10400+152</f>
        <v>10552</v>
      </c>
      <c r="E739" s="32"/>
      <c r="F739" s="32"/>
      <c r="G739" s="32">
        <f t="shared" si="216"/>
        <v>10552</v>
      </c>
      <c r="H739" s="12"/>
      <c r="I739" s="12">
        <v>162</v>
      </c>
      <c r="J739" s="12"/>
      <c r="K739" s="12">
        <f t="shared" si="217"/>
        <v>10714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8"/>
        <v>0</v>
      </c>
      <c r="T739" s="12"/>
      <c r="U739" s="12"/>
      <c r="V739" s="12"/>
      <c r="W739" s="12">
        <f t="shared" si="219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0"/>
        <v>0</v>
      </c>
      <c r="AF739" s="12"/>
      <c r="AG739" s="12"/>
      <c r="AH739" s="12"/>
      <c r="AI739" s="12">
        <f t="shared" si="221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31">
        <f t="shared" si="222"/>
        <v>8614</v>
      </c>
      <c r="D740" s="32">
        <f>9750+9.5*15</f>
        <v>9892.5</v>
      </c>
      <c r="E740" s="32"/>
      <c r="F740" s="32"/>
      <c r="G740" s="32">
        <f t="shared" si="216"/>
        <v>9892.5</v>
      </c>
      <c r="H740" s="12"/>
      <c r="I740" s="12"/>
      <c r="J740" s="12"/>
      <c r="K740" s="12">
        <f t="shared" si="217"/>
        <v>9892.5</v>
      </c>
      <c r="M740" s="10">
        <v>14</v>
      </c>
      <c r="N740" s="30"/>
      <c r="O740" s="31"/>
      <c r="P740" s="32"/>
      <c r="Q740" s="32"/>
      <c r="R740" s="32"/>
      <c r="S740" s="32">
        <f t="shared" si="218"/>
        <v>0</v>
      </c>
      <c r="T740" s="12"/>
      <c r="U740" s="12"/>
      <c r="V740" s="12"/>
      <c r="W740" s="12">
        <f t="shared" si="219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0"/>
        <v>0</v>
      </c>
      <c r="AF740" s="12"/>
      <c r="AG740" s="12"/>
      <c r="AH740" s="12"/>
      <c r="AI740" s="12">
        <f t="shared" si="221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31">
        <f t="shared" si="222"/>
        <v>8615</v>
      </c>
      <c r="D741" s="32">
        <f>650*5+9.5*5</f>
        <v>3297.5</v>
      </c>
      <c r="E741" s="32"/>
      <c r="F741" s="32"/>
      <c r="G741" s="32">
        <f t="shared" si="216"/>
        <v>3297.5</v>
      </c>
      <c r="H741" s="12"/>
      <c r="I741" s="12"/>
      <c r="J741" s="12"/>
      <c r="K741" s="12">
        <f t="shared" si="217"/>
        <v>3297.5</v>
      </c>
      <c r="M741" s="10">
        <v>15</v>
      </c>
      <c r="N741" s="30"/>
      <c r="O741" s="31"/>
      <c r="P741" s="32"/>
      <c r="Q741" s="32"/>
      <c r="R741" s="32"/>
      <c r="S741" s="32">
        <f t="shared" si="218"/>
        <v>0</v>
      </c>
      <c r="T741" s="12"/>
      <c r="U741" s="12"/>
      <c r="V741" s="12"/>
      <c r="W741" s="12">
        <f t="shared" si="219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0"/>
        <v>0</v>
      </c>
      <c r="AF741" s="12"/>
      <c r="AG741" s="12"/>
      <c r="AH741" s="12"/>
      <c r="AI741" s="12">
        <f t="shared" si="221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31">
        <f t="shared" si="222"/>
        <v>8616</v>
      </c>
      <c r="D742" s="32">
        <f>650*5</f>
        <v>3250</v>
      </c>
      <c r="E742" s="32"/>
      <c r="F742" s="32"/>
      <c r="G742" s="32">
        <f t="shared" si="216"/>
        <v>3250</v>
      </c>
      <c r="H742" s="12"/>
      <c r="I742" s="12"/>
      <c r="J742" s="12"/>
      <c r="K742" s="12">
        <f t="shared" si="217"/>
        <v>3250</v>
      </c>
      <c r="M742" s="10">
        <v>16</v>
      </c>
      <c r="N742" s="30"/>
      <c r="O742" s="31"/>
      <c r="P742" s="32"/>
      <c r="Q742" s="32"/>
      <c r="R742" s="32"/>
      <c r="S742" s="32">
        <f t="shared" si="218"/>
        <v>0</v>
      </c>
      <c r="T742" s="12"/>
      <c r="U742" s="12"/>
      <c r="V742" s="12"/>
      <c r="W742" s="12">
        <f t="shared" si="219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0"/>
        <v>0</v>
      </c>
      <c r="AF742" s="12"/>
      <c r="AG742" s="12"/>
      <c r="AH742" s="12"/>
      <c r="AI742" s="12">
        <f t="shared" si="221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31">
        <f t="shared" si="222"/>
        <v>8617</v>
      </c>
      <c r="D743" s="32">
        <f>650*17+9.5*17</f>
        <v>11211.5</v>
      </c>
      <c r="E743" s="32"/>
      <c r="F743" s="32"/>
      <c r="G743" s="32">
        <f t="shared" si="216"/>
        <v>11211.5</v>
      </c>
      <c r="H743" s="12"/>
      <c r="I743" s="12">
        <v>58.5</v>
      </c>
      <c r="J743" s="12"/>
      <c r="K743" s="12">
        <f t="shared" si="217"/>
        <v>11270</v>
      </c>
      <c r="M743" s="10">
        <v>17</v>
      </c>
      <c r="N743" s="30"/>
      <c r="O743" s="31"/>
      <c r="P743" s="35"/>
      <c r="Q743" s="32"/>
      <c r="R743" s="32"/>
      <c r="S743" s="32">
        <f t="shared" si="218"/>
        <v>0</v>
      </c>
      <c r="T743" s="12"/>
      <c r="U743" s="12"/>
      <c r="V743" s="12"/>
      <c r="W743" s="12">
        <f t="shared" si="219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0"/>
        <v>0</v>
      </c>
      <c r="AF743" s="12"/>
      <c r="AG743" s="12"/>
      <c r="AH743" s="12"/>
      <c r="AI743" s="12">
        <f t="shared" si="221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31">
        <f t="shared" si="222"/>
        <v>8618</v>
      </c>
      <c r="D744" s="32">
        <f>650*3</f>
        <v>1950</v>
      </c>
      <c r="E744" s="32"/>
      <c r="F744" s="32"/>
      <c r="G744" s="32">
        <f t="shared" si="216"/>
        <v>1950</v>
      </c>
      <c r="H744" s="12"/>
      <c r="I744" s="12">
        <v>333</v>
      </c>
      <c r="J744" s="12"/>
      <c r="K744" s="12">
        <f t="shared" si="217"/>
        <v>2283</v>
      </c>
      <c r="M744" s="10">
        <v>18</v>
      </c>
      <c r="N744" s="30"/>
      <c r="O744" s="31"/>
      <c r="P744" s="32"/>
      <c r="Q744" s="32"/>
      <c r="R744" s="32"/>
      <c r="S744" s="32">
        <f t="shared" si="218"/>
        <v>0</v>
      </c>
      <c r="T744" s="12"/>
      <c r="U744" s="12"/>
      <c r="V744" s="12"/>
      <c r="W744" s="12">
        <f t="shared" si="219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0"/>
        <v>0</v>
      </c>
      <c r="AF744" s="12"/>
      <c r="AG744" s="12"/>
      <c r="AH744" s="12"/>
      <c r="AI744" s="12">
        <f t="shared" si="221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31">
        <f t="shared" si="222"/>
        <v>8619</v>
      </c>
      <c r="D745" s="32">
        <f>650*4</f>
        <v>2600</v>
      </c>
      <c r="E745" s="32"/>
      <c r="F745" s="32"/>
      <c r="G745" s="32">
        <f t="shared" si="216"/>
        <v>2600</v>
      </c>
      <c r="H745" s="12"/>
      <c r="I745" s="12"/>
      <c r="J745" s="12"/>
      <c r="K745" s="12">
        <f t="shared" si="217"/>
        <v>2600</v>
      </c>
      <c r="M745" s="10">
        <v>19</v>
      </c>
      <c r="N745" s="30"/>
      <c r="O745" s="31"/>
      <c r="P745" s="32"/>
      <c r="Q745" s="32"/>
      <c r="R745" s="32"/>
      <c r="S745" s="32">
        <f t="shared" si="218"/>
        <v>0</v>
      </c>
      <c r="T745" s="12"/>
      <c r="U745" s="12"/>
      <c r="V745" s="12"/>
      <c r="W745" s="12">
        <f t="shared" si="219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0"/>
        <v>0</v>
      </c>
      <c r="AF745" s="12"/>
      <c r="AG745" s="12"/>
      <c r="AH745" s="12"/>
      <c r="AI745" s="12">
        <f t="shared" si="221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31">
        <f t="shared" si="222"/>
        <v>8620</v>
      </c>
      <c r="D746" s="32">
        <f>650*100+700*2</f>
        <v>66400</v>
      </c>
      <c r="E746" s="32"/>
      <c r="F746" s="32"/>
      <c r="G746" s="32">
        <f t="shared" si="216"/>
        <v>66400</v>
      </c>
      <c r="H746" s="12"/>
      <c r="I746" s="12">
        <v>1998</v>
      </c>
      <c r="J746" s="12"/>
      <c r="K746" s="12">
        <f t="shared" si="217"/>
        <v>68398</v>
      </c>
      <c r="M746" s="10">
        <v>20</v>
      </c>
      <c r="N746" s="30"/>
      <c r="O746" s="31"/>
      <c r="P746" s="32"/>
      <c r="Q746" s="32"/>
      <c r="R746" s="32"/>
      <c r="S746" s="32">
        <f t="shared" si="218"/>
        <v>0</v>
      </c>
      <c r="T746" s="12"/>
      <c r="U746" s="12"/>
      <c r="V746" s="12"/>
      <c r="W746" s="12">
        <f t="shared" si="219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20"/>
        <v>0</v>
      </c>
      <c r="AF746" s="12"/>
      <c r="AG746" s="12"/>
      <c r="AH746" s="12"/>
      <c r="AI746" s="12">
        <f t="shared" si="221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31">
        <f t="shared" si="222"/>
        <v>8621</v>
      </c>
      <c r="D747" s="32">
        <f>973*60+912*2+872*3</f>
        <v>62820</v>
      </c>
      <c r="E747" s="32"/>
      <c r="F747" s="32"/>
      <c r="G747" s="32">
        <f t="shared" si="216"/>
        <v>62820</v>
      </c>
      <c r="H747" s="10"/>
      <c r="I747" s="10"/>
      <c r="J747" s="10"/>
      <c r="K747" s="12">
        <f t="shared" si="217"/>
        <v>62820</v>
      </c>
      <c r="M747" s="10">
        <v>21</v>
      </c>
      <c r="N747" s="30"/>
      <c r="O747" s="31"/>
      <c r="P747" s="46"/>
      <c r="Q747" s="31"/>
      <c r="R747" s="31"/>
      <c r="S747" s="32">
        <f t="shared" si="218"/>
        <v>0</v>
      </c>
      <c r="T747" s="10"/>
      <c r="U747" s="10"/>
      <c r="V747" s="10"/>
      <c r="W747" s="12">
        <f t="shared" si="219"/>
        <v>0</v>
      </c>
      <c r="Y747" s="10">
        <v>21</v>
      </c>
      <c r="Z747" s="30"/>
      <c r="AA747" s="11"/>
      <c r="AB747" s="46"/>
      <c r="AC747" s="31"/>
      <c r="AD747" s="31"/>
      <c r="AE747" s="32">
        <f t="shared" si="220"/>
        <v>0</v>
      </c>
      <c r="AF747" s="10"/>
      <c r="AG747" s="10"/>
      <c r="AH747" s="10"/>
      <c r="AI747" s="12">
        <f t="shared" si="221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31">
        <f t="shared" si="222"/>
        <v>8622</v>
      </c>
      <c r="D748" s="32">
        <f>458</f>
        <v>458</v>
      </c>
      <c r="E748" s="32"/>
      <c r="F748" s="32"/>
      <c r="G748" s="32">
        <f t="shared" si="216"/>
        <v>458</v>
      </c>
      <c r="H748" s="10"/>
      <c r="I748" s="10"/>
      <c r="J748" s="10"/>
      <c r="K748" s="12">
        <f t="shared" si="217"/>
        <v>458</v>
      </c>
      <c r="M748" s="10">
        <v>22</v>
      </c>
      <c r="N748" s="30"/>
      <c r="O748" s="31"/>
      <c r="P748" s="45"/>
      <c r="Q748" s="31"/>
      <c r="R748" s="31"/>
      <c r="S748" s="32">
        <f t="shared" si="218"/>
        <v>0</v>
      </c>
      <c r="T748" s="10"/>
      <c r="U748" s="10"/>
      <c r="V748" s="10"/>
      <c r="W748" s="12">
        <f t="shared" si="219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0"/>
        <v>0</v>
      </c>
      <c r="AF748" s="10"/>
      <c r="AG748" s="10"/>
      <c r="AH748" s="10"/>
      <c r="AI748" s="12">
        <f t="shared" si="221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16"/>
        <v>0</v>
      </c>
      <c r="H749" s="10"/>
      <c r="I749" s="10"/>
      <c r="J749" s="12"/>
      <c r="K749" s="12">
        <f t="shared" si="217"/>
        <v>0</v>
      </c>
      <c r="M749" s="10">
        <v>23</v>
      </c>
      <c r="N749" s="30"/>
      <c r="O749" s="31"/>
      <c r="P749" s="47"/>
      <c r="Q749" s="31"/>
      <c r="S749" s="32">
        <f t="shared" si="218"/>
        <v>0</v>
      </c>
      <c r="T749" s="10"/>
      <c r="U749" s="10"/>
      <c r="V749" s="10"/>
      <c r="W749" s="12">
        <f t="shared" si="219"/>
        <v>0</v>
      </c>
      <c r="Y749" s="10">
        <v>23</v>
      </c>
      <c r="Z749" s="30"/>
      <c r="AA749" s="31"/>
      <c r="AB749" s="47"/>
      <c r="AC749" s="31"/>
      <c r="AE749" s="32">
        <f t="shared" si="220"/>
        <v>0</v>
      </c>
      <c r="AF749" s="10"/>
      <c r="AG749" s="10"/>
      <c r="AH749" s="10"/>
      <c r="AI749" s="12">
        <f t="shared" si="221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31"/>
      <c r="D750" s="32"/>
      <c r="E750" s="32"/>
      <c r="F750" s="32"/>
      <c r="G750" s="32">
        <f t="shared" si="216"/>
        <v>0</v>
      </c>
      <c r="H750" s="10"/>
      <c r="I750" s="10"/>
      <c r="J750" s="10"/>
      <c r="K750" s="12">
        <f t="shared" si="217"/>
        <v>0</v>
      </c>
      <c r="M750" s="10">
        <v>24</v>
      </c>
      <c r="N750" s="30"/>
      <c r="O750" s="31"/>
      <c r="P750" s="47"/>
      <c r="Q750" s="31"/>
      <c r="R750" s="31"/>
      <c r="S750" s="32">
        <f t="shared" si="218"/>
        <v>0</v>
      </c>
      <c r="T750" s="10"/>
      <c r="U750" s="10"/>
      <c r="V750" s="10"/>
      <c r="W750" s="12">
        <f t="shared" si="219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0"/>
        <v>0</v>
      </c>
      <c r="AF750" s="10"/>
      <c r="AG750" s="10"/>
      <c r="AH750" s="10"/>
      <c r="AI750" s="12">
        <f t="shared" si="221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6"/>
        <v>0</v>
      </c>
      <c r="H751" s="10"/>
      <c r="I751" s="10"/>
      <c r="J751" s="10"/>
      <c r="K751" s="12">
        <f t="shared" si="217"/>
        <v>0</v>
      </c>
      <c r="M751" s="10">
        <v>25</v>
      </c>
      <c r="N751" s="30"/>
      <c r="O751" s="31"/>
      <c r="P751" s="47"/>
      <c r="Q751" s="31"/>
      <c r="R751" s="31"/>
      <c r="S751" s="32">
        <f t="shared" si="218"/>
        <v>0</v>
      </c>
      <c r="T751" s="10"/>
      <c r="U751" s="10"/>
      <c r="V751" s="10"/>
      <c r="W751" s="12">
        <f t="shared" si="219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0"/>
        <v>0</v>
      </c>
      <c r="AF751" s="10"/>
      <c r="AG751" s="10"/>
      <c r="AH751" s="10"/>
      <c r="AI751" s="12">
        <f t="shared" si="221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216"/>
        <v>0</v>
      </c>
      <c r="H752" s="10"/>
      <c r="I752" s="10"/>
      <c r="J752" s="10"/>
      <c r="K752" s="12">
        <f t="shared" si="217"/>
        <v>0</v>
      </c>
      <c r="M752" s="10">
        <v>26</v>
      </c>
      <c r="N752" s="30"/>
      <c r="O752" s="31"/>
      <c r="P752" s="47"/>
      <c r="Q752" s="31"/>
      <c r="R752" s="31"/>
      <c r="S752" s="32">
        <f t="shared" si="218"/>
        <v>0</v>
      </c>
      <c r="T752" s="10"/>
      <c r="U752" s="10"/>
      <c r="V752" s="10"/>
      <c r="W752" s="12">
        <f t="shared" si="219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0"/>
        <v>0</v>
      </c>
      <c r="AF752" s="10"/>
      <c r="AG752" s="10"/>
      <c r="AH752" s="10"/>
      <c r="AI752" s="12">
        <f t="shared" si="221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216"/>
        <v>0</v>
      </c>
      <c r="H753" s="10"/>
      <c r="I753" s="10"/>
      <c r="J753" s="10"/>
      <c r="K753" s="12">
        <f t="shared" si="217"/>
        <v>0</v>
      </c>
      <c r="M753" s="10">
        <v>27</v>
      </c>
      <c r="N753" s="30"/>
      <c r="O753" s="31"/>
      <c r="P753" s="47"/>
      <c r="Q753" s="31"/>
      <c r="R753" s="31"/>
      <c r="S753" s="32">
        <f t="shared" si="218"/>
        <v>0</v>
      </c>
      <c r="T753" s="10"/>
      <c r="U753" s="10"/>
      <c r="V753" s="10"/>
      <c r="W753" s="12">
        <f t="shared" si="219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0"/>
        <v>0</v>
      </c>
      <c r="AF753" s="10"/>
      <c r="AG753" s="10"/>
      <c r="AH753" s="10"/>
      <c r="AI753" s="12">
        <f t="shared" si="221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6"/>
        <v>0</v>
      </c>
      <c r="H754" s="10"/>
      <c r="I754" s="10"/>
      <c r="J754" s="10"/>
      <c r="K754" s="12">
        <f t="shared" si="217"/>
        <v>0</v>
      </c>
      <c r="M754" s="10">
        <v>28</v>
      </c>
      <c r="N754" s="30"/>
      <c r="O754" s="31"/>
      <c r="P754" s="47"/>
      <c r="Q754" s="31"/>
      <c r="R754" s="31"/>
      <c r="S754" s="32">
        <f t="shared" si="218"/>
        <v>0</v>
      </c>
      <c r="T754" s="10"/>
      <c r="U754" s="10"/>
      <c r="V754" s="10"/>
      <c r="W754" s="12">
        <f t="shared" si="219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0"/>
        <v>0</v>
      </c>
      <c r="AF754" s="10"/>
      <c r="AG754" s="10"/>
      <c r="AH754" s="10"/>
      <c r="AI754" s="12">
        <f t="shared" si="221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6"/>
        <v>0</v>
      </c>
      <c r="H755" s="10"/>
      <c r="I755" s="10"/>
      <c r="J755" s="10"/>
      <c r="K755" s="12">
        <f t="shared" si="217"/>
        <v>0</v>
      </c>
      <c r="M755" s="10">
        <v>29</v>
      </c>
      <c r="N755" s="30"/>
      <c r="P755" s="47"/>
      <c r="Q755" s="31"/>
      <c r="R755" s="31"/>
      <c r="S755" s="32">
        <f t="shared" si="218"/>
        <v>0</v>
      </c>
      <c r="T755" s="10"/>
      <c r="U755" s="10"/>
      <c r="V755" s="10"/>
      <c r="W755" s="12">
        <f t="shared" si="219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0"/>
        <v>0</v>
      </c>
      <c r="AF755" s="10"/>
      <c r="AG755" s="10"/>
      <c r="AH755" s="10"/>
      <c r="AI755" s="12">
        <f t="shared" si="221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16"/>
        <v>0</v>
      </c>
      <c r="H756" s="10"/>
      <c r="I756" s="10"/>
      <c r="J756" s="10"/>
      <c r="K756" s="12">
        <f t="shared" si="217"/>
        <v>0</v>
      </c>
      <c r="M756" s="10">
        <v>30</v>
      </c>
      <c r="N756" s="30"/>
      <c r="O756" s="31"/>
      <c r="P756" s="47"/>
      <c r="Q756" s="31"/>
      <c r="R756" s="31"/>
      <c r="S756" s="32">
        <f t="shared" si="218"/>
        <v>0</v>
      </c>
      <c r="T756" s="10"/>
      <c r="U756" s="10"/>
      <c r="V756" s="10"/>
      <c r="W756" s="12">
        <f t="shared" si="219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0"/>
        <v>0</v>
      </c>
      <c r="AF756" s="10"/>
      <c r="AG756" s="10"/>
      <c r="AH756" s="10"/>
      <c r="AI756" s="12">
        <f t="shared" si="221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16"/>
        <v>0</v>
      </c>
      <c r="H757" s="10"/>
      <c r="I757" s="10"/>
      <c r="J757" s="10"/>
      <c r="K757" s="12">
        <f t="shared" si="217"/>
        <v>0</v>
      </c>
      <c r="M757" s="10">
        <v>31</v>
      </c>
      <c r="N757" s="30"/>
      <c r="O757" s="31"/>
      <c r="P757" s="47"/>
      <c r="Q757" s="31"/>
      <c r="R757" s="31"/>
      <c r="S757" s="32">
        <f t="shared" si="218"/>
        <v>0</v>
      </c>
      <c r="T757" s="10"/>
      <c r="U757" s="10"/>
      <c r="V757" s="10"/>
      <c r="W757" s="12">
        <f t="shared" si="219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0"/>
        <v>0</v>
      </c>
      <c r="AF757" s="10"/>
      <c r="AG757" s="10"/>
      <c r="AH757" s="10"/>
      <c r="AI757" s="12">
        <f t="shared" si="221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57"/>
      <c r="D758" s="32"/>
      <c r="E758" s="32"/>
      <c r="F758" s="32"/>
      <c r="G758" s="32">
        <f t="shared" si="216"/>
        <v>0</v>
      </c>
      <c r="H758" s="10"/>
      <c r="I758" s="10"/>
      <c r="J758" s="10"/>
      <c r="K758" s="12">
        <f t="shared" si="217"/>
        <v>0</v>
      </c>
      <c r="M758" s="10">
        <v>32</v>
      </c>
      <c r="N758" s="30"/>
      <c r="O758" s="31"/>
      <c r="P758" s="47"/>
      <c r="Q758" s="31"/>
      <c r="R758" s="31"/>
      <c r="S758" s="32">
        <f t="shared" si="218"/>
        <v>0</v>
      </c>
      <c r="T758" s="10"/>
      <c r="U758" s="10"/>
      <c r="V758" s="10"/>
      <c r="W758" s="12">
        <f t="shared" si="219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0"/>
        <v>0</v>
      </c>
      <c r="AF758" s="10"/>
      <c r="AG758" s="10"/>
      <c r="AH758" s="10"/>
      <c r="AI758" s="12">
        <f t="shared" si="221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16"/>
        <v>0</v>
      </c>
      <c r="H759" s="10"/>
      <c r="I759" s="10"/>
      <c r="J759" s="10"/>
      <c r="K759" s="12">
        <f t="shared" si="217"/>
        <v>0</v>
      </c>
      <c r="M759" s="10">
        <v>33</v>
      </c>
      <c r="N759" s="30"/>
      <c r="O759" s="31"/>
      <c r="P759" s="47"/>
      <c r="Q759" s="31"/>
      <c r="R759" s="31"/>
      <c r="S759" s="32">
        <f t="shared" si="218"/>
        <v>0</v>
      </c>
      <c r="T759" s="10"/>
      <c r="U759" s="10"/>
      <c r="V759" s="10"/>
      <c r="W759" s="12">
        <f t="shared" si="219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0"/>
        <v>0</v>
      </c>
      <c r="AF759" s="10"/>
      <c r="AG759" s="10"/>
      <c r="AH759" s="10"/>
      <c r="AI759" s="12">
        <f t="shared" si="221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16"/>
        <v>0</v>
      </c>
      <c r="H760" s="10"/>
      <c r="I760" s="10"/>
      <c r="J760" s="10"/>
      <c r="K760" s="12">
        <f t="shared" si="217"/>
        <v>0</v>
      </c>
      <c r="M760" s="10">
        <v>34</v>
      </c>
      <c r="N760" s="30"/>
      <c r="O760" s="31"/>
      <c r="P760" s="47"/>
      <c r="Q760" s="31"/>
      <c r="R760" s="31"/>
      <c r="S760" s="32">
        <f t="shared" si="218"/>
        <v>0</v>
      </c>
      <c r="T760" s="10"/>
      <c r="U760" s="10"/>
      <c r="V760" s="10"/>
      <c r="W760" s="12">
        <f t="shared" si="219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225">SUM(AB760:AC760)</f>
        <v>0</v>
      </c>
      <c r="AF760" s="10"/>
      <c r="AG760" s="10"/>
      <c r="AH760" s="10"/>
      <c r="AI760" s="12">
        <f t="shared" si="221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9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8"/>
        <v>0</v>
      </c>
      <c r="T761" s="10"/>
      <c r="U761" s="10"/>
      <c r="V761" s="10"/>
      <c r="W761" s="12">
        <f t="shared" si="219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5"/>
        <v>0</v>
      </c>
      <c r="AF761" s="10"/>
      <c r="AG761" s="10"/>
      <c r="AH761" s="10"/>
      <c r="AI761" s="12">
        <f t="shared" si="221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9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8"/>
        <v>0</v>
      </c>
      <c r="T762" s="10"/>
      <c r="U762" s="10"/>
      <c r="V762" s="10"/>
      <c r="W762" s="12">
        <f t="shared" si="219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5"/>
        <v>0</v>
      </c>
      <c r="AF762" s="10"/>
      <c r="AG762" s="10"/>
      <c r="AH762" s="10"/>
      <c r="AI762" s="12">
        <f t="shared" si="221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8"/>
        <v>0</v>
      </c>
      <c r="T763" s="10"/>
      <c r="U763" s="10"/>
      <c r="V763" s="10"/>
      <c r="W763" s="12">
        <f t="shared" si="219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5"/>
        <v>0</v>
      </c>
      <c r="AF763" s="10"/>
      <c r="AG763" s="10"/>
      <c r="AH763" s="10"/>
      <c r="AI763" s="12">
        <f t="shared" si="221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8"/>
        <v>0</v>
      </c>
      <c r="T764" s="10"/>
      <c r="U764" s="10"/>
      <c r="V764" s="10"/>
      <c r="W764" s="12">
        <f t="shared" si="219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5"/>
        <v>0</v>
      </c>
      <c r="AF764" s="10"/>
      <c r="AG764" s="10"/>
      <c r="AH764" s="10"/>
      <c r="AI764" s="12">
        <f t="shared" si="221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8"/>
        <v>0</v>
      </c>
      <c r="T765" s="10"/>
      <c r="U765" s="10"/>
      <c r="V765" s="10"/>
      <c r="W765" s="12">
        <f t="shared" si="219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5"/>
        <v>0</v>
      </c>
      <c r="AF765" s="10"/>
      <c r="AG765" s="10"/>
      <c r="AH765" s="10"/>
      <c r="AI765" s="12">
        <f t="shared" si="221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9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1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9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1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9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1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306506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306506</v>
      </c>
      <c r="H770" s="4"/>
      <c r="I770" s="39">
        <f>SUM(I727:I769)</f>
        <v>3439.5</v>
      </c>
      <c r="J770" s="39">
        <f>SUM(J727:J769)</f>
        <v>0</v>
      </c>
      <c r="K770" s="40">
        <f>SUM(K727:K769)</f>
        <v>309945.5</v>
      </c>
      <c r="N770" s="57"/>
      <c r="O770" s="57"/>
      <c r="P770" s="38">
        <f>SUM(P727:P769)</f>
        <v>126045.5</v>
      </c>
      <c r="Q770" s="38">
        <f>SUM(Q727:Q751)</f>
        <v>0</v>
      </c>
      <c r="R770" s="38">
        <f>SUM(R727:R751)</f>
        <v>0</v>
      </c>
      <c r="S770" s="38">
        <f>SUM(S727:S769)</f>
        <v>126045.5</v>
      </c>
      <c r="T770" s="4"/>
      <c r="U770" s="41">
        <f>SUM(U727:U769)</f>
        <v>202.5</v>
      </c>
      <c r="V770" s="41">
        <f>SUM(V727:V751)</f>
        <v>-999</v>
      </c>
      <c r="W770" s="42">
        <f>SUM(W727:W769)</f>
        <v>125249</v>
      </c>
      <c r="Z770" s="57"/>
      <c r="AA770" s="57"/>
      <c r="AB770" s="38">
        <f>SUM(AB727:AB769)</f>
        <v>174740</v>
      </c>
      <c r="AC770" s="38">
        <f>SUM(AC727:AC751)</f>
        <v>-1116</v>
      </c>
      <c r="AD770" s="38">
        <f>SUM(AD727:AD751)</f>
        <v>0</v>
      </c>
      <c r="AE770" s="38">
        <f>SUM(AE727:AE769)</f>
        <v>173624</v>
      </c>
      <c r="AF770" s="4"/>
      <c r="AG770" s="41">
        <f>SUM(AG727:AG769)</f>
        <v>0</v>
      </c>
      <c r="AH770" s="41">
        <f>SUM(AH727:AH751)</f>
        <v>-52659</v>
      </c>
      <c r="AI770" s="42">
        <f>SUM(AI727:AI769)</f>
        <v>120965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80</v>
      </c>
      <c r="B778" s="20"/>
      <c r="C778" s="57"/>
      <c r="D778" s="57"/>
      <c r="E778" s="57"/>
      <c r="G778" s="57"/>
      <c r="I778" s="22" t="s">
        <v>16</v>
      </c>
      <c r="J778" s="23" t="s">
        <v>33</v>
      </c>
      <c r="K778" s="24"/>
      <c r="M778" s="21" t="s">
        <v>80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82</v>
      </c>
      <c r="W778" s="24"/>
      <c r="Y778" s="21" t="s">
        <v>80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31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1" t="s">
        <v>17</v>
      </c>
      <c r="E780" s="121"/>
      <c r="F780" s="110"/>
      <c r="G780" s="27"/>
      <c r="I780" s="117" t="s">
        <v>18</v>
      </c>
      <c r="J780" s="118"/>
      <c r="K780" s="119" t="s">
        <v>19</v>
      </c>
      <c r="N780" s="25"/>
      <c r="O780" s="26"/>
      <c r="P780" s="121" t="s">
        <v>17</v>
      </c>
      <c r="Q780" s="121"/>
      <c r="R780" s="110"/>
      <c r="S780" s="27"/>
      <c r="U780" s="117" t="s">
        <v>18</v>
      </c>
      <c r="V780" s="118"/>
      <c r="W780" s="119" t="s">
        <v>19</v>
      </c>
      <c r="Z780" s="25"/>
      <c r="AA780" s="26"/>
      <c r="AB780" s="121" t="s">
        <v>17</v>
      </c>
      <c r="AC780" s="121"/>
      <c r="AD780" s="110"/>
      <c r="AE780" s="27"/>
      <c r="AG780" s="117" t="s">
        <v>18</v>
      </c>
      <c r="AH780" s="118"/>
      <c r="AI780" s="119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9" t="s">
        <v>22</v>
      </c>
      <c r="E781" s="78" t="s">
        <v>23</v>
      </c>
      <c r="F781" s="80" t="s">
        <v>32</v>
      </c>
      <c r="G781" s="80" t="s">
        <v>24</v>
      </c>
      <c r="I781" s="29" t="s">
        <v>25</v>
      </c>
      <c r="J781" s="29" t="s">
        <v>26</v>
      </c>
      <c r="K781" s="120"/>
      <c r="N781" s="28" t="s">
        <v>20</v>
      </c>
      <c r="O781" s="28" t="s">
        <v>21</v>
      </c>
      <c r="P781" s="79" t="s">
        <v>22</v>
      </c>
      <c r="Q781" s="80" t="s">
        <v>23</v>
      </c>
      <c r="R781" s="80" t="s">
        <v>32</v>
      </c>
      <c r="S781" s="80" t="s">
        <v>24</v>
      </c>
      <c r="U781" s="29" t="s">
        <v>25</v>
      </c>
      <c r="V781" s="29" t="s">
        <v>26</v>
      </c>
      <c r="W781" s="120"/>
      <c r="Z781" s="28" t="s">
        <v>20</v>
      </c>
      <c r="AA781" s="28" t="s">
        <v>21</v>
      </c>
      <c r="AB781" s="79" t="s">
        <v>22</v>
      </c>
      <c r="AC781" s="80" t="s">
        <v>23</v>
      </c>
      <c r="AD781" s="80" t="s">
        <v>32</v>
      </c>
      <c r="AE781" s="80" t="s">
        <v>24</v>
      </c>
      <c r="AG781" s="29" t="s">
        <v>25</v>
      </c>
      <c r="AH781" s="29" t="s">
        <v>26</v>
      </c>
      <c r="AI781" s="120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81</v>
      </c>
      <c r="C782" s="91">
        <v>8623</v>
      </c>
      <c r="D782" s="32">
        <f>700*5+670*5+973*10+622*100+912*20+29*1050+872*15+872*5+500*15+500*5</f>
        <v>154910</v>
      </c>
      <c r="E782" s="32"/>
      <c r="F782" s="32"/>
      <c r="G782" s="32">
        <f t="shared" ref="G782:G826" si="231">SUM(D782:E782)</f>
        <v>154910</v>
      </c>
      <c r="H782" s="12"/>
      <c r="I782" s="12"/>
      <c r="J782" s="12"/>
      <c r="K782" s="12">
        <f t="shared" ref="K782:K826" si="232">SUM(G782:J782)</f>
        <v>154910</v>
      </c>
      <c r="M782" s="10">
        <v>1</v>
      </c>
      <c r="N782" s="30" t="s">
        <v>81</v>
      </c>
      <c r="O782" s="31">
        <v>8570</v>
      </c>
      <c r="P782" s="32">
        <f>650*5+9.5*5</f>
        <v>3297.5</v>
      </c>
      <c r="Q782" s="32"/>
      <c r="R782" s="32"/>
      <c r="S782" s="32">
        <f>SUM(P782:Q782)</f>
        <v>3297.5</v>
      </c>
      <c r="T782" s="12"/>
      <c r="U782" s="12"/>
      <c r="V782" s="12"/>
      <c r="W782" s="12">
        <f>SUM(S782:V782)</f>
        <v>3297.5</v>
      </c>
      <c r="Y782" s="10">
        <v>1</v>
      </c>
      <c r="Z782" s="30" t="s">
        <v>81</v>
      </c>
      <c r="AA782" s="31">
        <v>8507</v>
      </c>
      <c r="AB782" s="32">
        <f>650*268+622*50</f>
        <v>205300</v>
      </c>
      <c r="AC782" s="32">
        <v>-1908</v>
      </c>
      <c r="AD782" s="32"/>
      <c r="AE782" s="32">
        <f>SUM(AB782:AC782)</f>
        <v>203392</v>
      </c>
      <c r="AF782" s="12"/>
      <c r="AG782" s="12"/>
      <c r="AH782" s="12"/>
      <c r="AI782" s="12">
        <f>SUM(AE782:AH782)</f>
        <v>203392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81</v>
      </c>
      <c r="C783" s="31">
        <f>C782+1</f>
        <v>8624</v>
      </c>
      <c r="D783" s="32">
        <f>1582+1728+2350+1102+2350+1582+1300+6500</f>
        <v>18494</v>
      </c>
      <c r="E783" s="32"/>
      <c r="F783" s="32"/>
      <c r="G783" s="32">
        <f t="shared" si="231"/>
        <v>18494</v>
      </c>
      <c r="H783" s="12"/>
      <c r="I783" s="12">
        <f>12000+11655+555</f>
        <v>24210</v>
      </c>
      <c r="J783" s="12">
        <f>-600+-8991+-111+-84*104+-84*140+-84*31</f>
        <v>-32802</v>
      </c>
      <c r="K783" s="12">
        <f t="shared" si="232"/>
        <v>9902</v>
      </c>
      <c r="M783" s="10">
        <v>2</v>
      </c>
      <c r="N783" s="30" t="s">
        <v>81</v>
      </c>
      <c r="O783" s="31">
        <f>O782+1</f>
        <v>8571</v>
      </c>
      <c r="P783" s="32">
        <f>650*10+9.5*10</f>
        <v>6595</v>
      </c>
      <c r="Q783" s="32"/>
      <c r="R783" s="32"/>
      <c r="S783" s="32">
        <f t="shared" ref="S783:S826" si="233">SUM(P783:Q783)</f>
        <v>6595</v>
      </c>
      <c r="T783" s="12"/>
      <c r="U783" s="12"/>
      <c r="V783" s="12"/>
      <c r="W783" s="12">
        <f t="shared" ref="W783:W826" si="234">SUM(S783:V783)</f>
        <v>6595</v>
      </c>
      <c r="Y783" s="10">
        <v>2</v>
      </c>
      <c r="Z783" s="30" t="s">
        <v>81</v>
      </c>
      <c r="AA783" s="31">
        <f>AA782+1</f>
        <v>8508</v>
      </c>
      <c r="AB783" s="32">
        <f>650*30+486+456</f>
        <v>20442</v>
      </c>
      <c r="AC783" s="32"/>
      <c r="AD783" s="32"/>
      <c r="AE783" s="32">
        <f t="shared" ref="AE783:AE826" si="235">SUM(AB783:AC783)</f>
        <v>20442</v>
      </c>
      <c r="AF783" s="12"/>
      <c r="AG783" s="12"/>
      <c r="AH783" s="12"/>
      <c r="AI783" s="12">
        <f t="shared" ref="AI783:AI826" si="236">SUM(AE783:AH783)</f>
        <v>20442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81</v>
      </c>
      <c r="C784" s="31">
        <f t="shared" ref="C784:C803" si="237">C783+1</f>
        <v>8625</v>
      </c>
      <c r="D784" s="33">
        <f>650*50+670*2+622*5</f>
        <v>36950</v>
      </c>
      <c r="E784" s="33"/>
      <c r="F784" s="33"/>
      <c r="G784" s="33">
        <f t="shared" si="231"/>
        <v>36950</v>
      </c>
      <c r="H784" s="34"/>
      <c r="I784" s="34">
        <v>216</v>
      </c>
      <c r="J784" s="34">
        <v>-2220</v>
      </c>
      <c r="K784" s="34">
        <f t="shared" si="232"/>
        <v>34946</v>
      </c>
      <c r="M784" s="10">
        <v>3</v>
      </c>
      <c r="N784" s="30" t="s">
        <v>81</v>
      </c>
      <c r="O784" s="31">
        <f t="shared" ref="O784:O793" si="238">O783+1</f>
        <v>8572</v>
      </c>
      <c r="P784" s="32">
        <f>650*216+622*50+229*11</f>
        <v>174019</v>
      </c>
      <c r="Q784" s="32">
        <v>-1596</v>
      </c>
      <c r="R784" s="32"/>
      <c r="S784" s="32">
        <f t="shared" si="233"/>
        <v>172423</v>
      </c>
      <c r="T784" s="12"/>
      <c r="U784" s="12">
        <f>1.5*240</f>
        <v>360</v>
      </c>
      <c r="V784" s="12">
        <v>-378</v>
      </c>
      <c r="W784" s="12">
        <f t="shared" si="234"/>
        <v>172405</v>
      </c>
      <c r="Y784" s="10">
        <v>3</v>
      </c>
      <c r="Z784" s="30" t="s">
        <v>81</v>
      </c>
      <c r="AA784" s="31">
        <f t="shared" ref="AA784:AA786" si="239">AA783+1</f>
        <v>8509</v>
      </c>
      <c r="AB784" s="33">
        <f>650*5+670*2</f>
        <v>4590</v>
      </c>
      <c r="AC784" s="33"/>
      <c r="AD784" s="32"/>
      <c r="AE784" s="32">
        <f t="shared" si="235"/>
        <v>4590</v>
      </c>
      <c r="AF784" s="12"/>
      <c r="AG784" s="12"/>
      <c r="AH784" s="12">
        <f>-111*19</f>
        <v>-2109</v>
      </c>
      <c r="AI784" s="12">
        <f t="shared" si="236"/>
        <v>2481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81</v>
      </c>
      <c r="C785" s="31">
        <f t="shared" si="237"/>
        <v>8626</v>
      </c>
      <c r="D785" s="32">
        <f>650*40</f>
        <v>26000</v>
      </c>
      <c r="E785" s="32"/>
      <c r="F785" s="32"/>
      <c r="G785" s="32">
        <f t="shared" si="231"/>
        <v>26000</v>
      </c>
      <c r="H785" s="12"/>
      <c r="I785" s="12"/>
      <c r="J785" s="12"/>
      <c r="K785" s="12">
        <f t="shared" si="232"/>
        <v>26000</v>
      </c>
      <c r="M785" s="10">
        <v>4</v>
      </c>
      <c r="N785" s="30" t="s">
        <v>81</v>
      </c>
      <c r="O785" s="31">
        <f t="shared" si="238"/>
        <v>8573</v>
      </c>
      <c r="P785" s="32">
        <f>650*12</f>
        <v>7800</v>
      </c>
      <c r="Q785" s="32"/>
      <c r="R785" s="32"/>
      <c r="S785" s="32">
        <f t="shared" si="233"/>
        <v>7800</v>
      </c>
      <c r="T785" s="12"/>
      <c r="U785" s="12"/>
      <c r="V785" s="12"/>
      <c r="W785" s="12">
        <f t="shared" si="234"/>
        <v>7800</v>
      </c>
      <c r="Y785" s="10">
        <v>4</v>
      </c>
      <c r="Z785" s="30" t="s">
        <v>81</v>
      </c>
      <c r="AA785" s="31">
        <f t="shared" si="239"/>
        <v>8510</v>
      </c>
      <c r="AB785" s="32">
        <f>650*20</f>
        <v>13000</v>
      </c>
      <c r="AC785" s="32"/>
      <c r="AD785" s="32"/>
      <c r="AE785" s="32">
        <f t="shared" si="235"/>
        <v>13000</v>
      </c>
      <c r="AF785" s="12"/>
      <c r="AH785" s="12"/>
      <c r="AI785" s="12">
        <f t="shared" si="236"/>
        <v>13000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81</v>
      </c>
      <c r="C786" s="31">
        <f t="shared" si="237"/>
        <v>8627</v>
      </c>
      <c r="D786" s="32">
        <f>650*30+229</f>
        <v>19729</v>
      </c>
      <c r="E786" s="32"/>
      <c r="F786" s="32"/>
      <c r="G786" s="32">
        <f t="shared" si="231"/>
        <v>19729</v>
      </c>
      <c r="H786" s="12"/>
      <c r="I786" s="12">
        <f>540+36</f>
        <v>576</v>
      </c>
      <c r="J786" s="12"/>
      <c r="K786" s="12">
        <f t="shared" si="232"/>
        <v>20305</v>
      </c>
      <c r="M786" s="10">
        <v>5</v>
      </c>
      <c r="N786" s="30" t="s">
        <v>81</v>
      </c>
      <c r="O786" s="31">
        <f t="shared" si="238"/>
        <v>8574</v>
      </c>
      <c r="P786" s="32">
        <f>650*4+9.5*4</f>
        <v>2638</v>
      </c>
      <c r="Q786" s="32"/>
      <c r="R786" s="32"/>
      <c r="S786" s="32">
        <f t="shared" si="233"/>
        <v>2638</v>
      </c>
      <c r="T786" s="12"/>
      <c r="U786" s="12"/>
      <c r="V786" s="12"/>
      <c r="W786" s="12">
        <f t="shared" si="234"/>
        <v>2638</v>
      </c>
      <c r="Y786" s="10">
        <v>5</v>
      </c>
      <c r="Z786" s="30" t="s">
        <v>81</v>
      </c>
      <c r="AA786" s="31">
        <f t="shared" si="239"/>
        <v>8511</v>
      </c>
      <c r="AB786" s="32">
        <f>160*650+622*50+229*9</f>
        <v>137161</v>
      </c>
      <c r="AC786" s="32"/>
      <c r="AD786" s="32"/>
      <c r="AE786" s="32">
        <f t="shared" si="235"/>
        <v>137161</v>
      </c>
      <c r="AF786" s="12"/>
      <c r="AG786" s="12"/>
      <c r="AH786" s="12">
        <f>-111*71+-84*10+-16*42</f>
        <v>-9393</v>
      </c>
      <c r="AI786" s="12">
        <f t="shared" si="236"/>
        <v>127768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81</v>
      </c>
      <c r="C787" s="31">
        <f t="shared" si="237"/>
        <v>8628</v>
      </c>
      <c r="D787" s="32">
        <f>650*2+9.5*2</f>
        <v>1319</v>
      </c>
      <c r="E787" s="32"/>
      <c r="F787" s="32"/>
      <c r="G787" s="32">
        <f t="shared" si="231"/>
        <v>1319</v>
      </c>
      <c r="H787" s="12"/>
      <c r="I787" s="12"/>
      <c r="J787" s="12">
        <v>-504</v>
      </c>
      <c r="K787" s="12">
        <f t="shared" si="232"/>
        <v>815</v>
      </c>
      <c r="M787" s="10">
        <v>6</v>
      </c>
      <c r="N787" s="30" t="s">
        <v>81</v>
      </c>
      <c r="O787" s="31">
        <f t="shared" si="238"/>
        <v>8575</v>
      </c>
      <c r="P787" s="32">
        <f>650*3+622</f>
        <v>2572</v>
      </c>
      <c r="Q787" s="32"/>
      <c r="R787" s="32"/>
      <c r="S787" s="32">
        <f t="shared" si="233"/>
        <v>2572</v>
      </c>
      <c r="T787" s="12"/>
      <c r="U787" s="12"/>
      <c r="V787" s="10"/>
      <c r="W787" s="12">
        <f t="shared" si="234"/>
        <v>2572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35"/>
        <v>0</v>
      </c>
      <c r="AF787" s="12"/>
      <c r="AG787" s="12"/>
      <c r="AH787" s="10"/>
      <c r="AI787" s="12">
        <f t="shared" si="236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81</v>
      </c>
      <c r="C788" s="31">
        <f t="shared" si="237"/>
        <v>8629</v>
      </c>
      <c r="D788" s="32">
        <f>650*3+9.5*3</f>
        <v>1978.5</v>
      </c>
      <c r="E788" s="32"/>
      <c r="F788" s="32"/>
      <c r="G788" s="32">
        <f t="shared" si="231"/>
        <v>1978.5</v>
      </c>
      <c r="H788" s="12"/>
      <c r="I788" s="12">
        <v>4.5</v>
      </c>
      <c r="J788" s="12"/>
      <c r="K788" s="12">
        <f t="shared" si="232"/>
        <v>1983</v>
      </c>
      <c r="M788" s="10">
        <v>7</v>
      </c>
      <c r="N788" s="30"/>
      <c r="O788" s="11" t="s">
        <v>27</v>
      </c>
      <c r="P788" s="32"/>
      <c r="Q788" s="32"/>
      <c r="R788" s="32"/>
      <c r="S788" s="32">
        <f t="shared" si="233"/>
        <v>0</v>
      </c>
      <c r="T788" s="12"/>
      <c r="U788" s="12"/>
      <c r="V788" s="12"/>
      <c r="W788" s="12">
        <f t="shared" si="234"/>
        <v>0</v>
      </c>
      <c r="Y788" s="10">
        <v>7</v>
      </c>
      <c r="Z788" s="30"/>
      <c r="AA788" s="31"/>
      <c r="AB788" s="32"/>
      <c r="AC788" s="32"/>
      <c r="AD788" s="32"/>
      <c r="AE788" s="32">
        <f t="shared" si="235"/>
        <v>0</v>
      </c>
      <c r="AF788" s="12"/>
      <c r="AG788" s="58"/>
      <c r="AH788" s="12"/>
      <c r="AI788" s="12">
        <f t="shared" si="236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81</v>
      </c>
      <c r="C789" s="31">
        <f t="shared" si="237"/>
        <v>8630</v>
      </c>
      <c r="D789" s="32">
        <f>650*5+670+622*3+9.5*8</f>
        <v>5862</v>
      </c>
      <c r="E789" s="32"/>
      <c r="F789" s="32"/>
      <c r="G789" s="32">
        <f t="shared" si="231"/>
        <v>5862</v>
      </c>
      <c r="H789" s="12"/>
      <c r="I789" s="12"/>
      <c r="J789" s="12">
        <v>-840</v>
      </c>
      <c r="K789" s="12">
        <f t="shared" si="232"/>
        <v>5022</v>
      </c>
      <c r="M789" s="10">
        <v>8</v>
      </c>
      <c r="N789" s="30"/>
      <c r="O789" s="31"/>
      <c r="P789" s="32"/>
      <c r="Q789" s="32"/>
      <c r="R789" s="32"/>
      <c r="S789" s="32">
        <f t="shared" si="233"/>
        <v>0</v>
      </c>
      <c r="T789" s="12"/>
      <c r="U789" s="12"/>
      <c r="V789" s="12"/>
      <c r="W789" s="12">
        <f t="shared" si="234"/>
        <v>0</v>
      </c>
      <c r="Y789" s="10">
        <v>8</v>
      </c>
      <c r="Z789" s="30"/>
      <c r="AA789" s="31"/>
      <c r="AB789" s="32"/>
      <c r="AC789" s="32"/>
      <c r="AE789" s="32">
        <f t="shared" si="235"/>
        <v>0</v>
      </c>
      <c r="AF789" s="12"/>
      <c r="AG789" s="12"/>
      <c r="AH789" s="12"/>
      <c r="AI789" s="12">
        <f t="shared" si="236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81</v>
      </c>
      <c r="C790" s="31">
        <f t="shared" si="237"/>
        <v>8631</v>
      </c>
      <c r="D790" s="32">
        <f>650*16+622*5</f>
        <v>13510</v>
      </c>
      <c r="E790" s="32"/>
      <c r="F790" s="32"/>
      <c r="G790" s="32">
        <f t="shared" si="231"/>
        <v>13510</v>
      </c>
      <c r="H790" s="12"/>
      <c r="I790" s="12"/>
      <c r="J790" s="12">
        <v>-2100</v>
      </c>
      <c r="K790" s="12">
        <f t="shared" si="232"/>
        <v>11410</v>
      </c>
      <c r="M790" s="10">
        <v>9</v>
      </c>
      <c r="N790" s="30"/>
      <c r="O790" s="31"/>
      <c r="P790" s="32"/>
      <c r="Q790" s="32"/>
      <c r="R790" s="32"/>
      <c r="S790" s="32">
        <f t="shared" si="233"/>
        <v>0</v>
      </c>
      <c r="T790" s="12"/>
      <c r="U790" s="12"/>
      <c r="V790" s="12"/>
      <c r="W790" s="12">
        <f t="shared" si="234"/>
        <v>0</v>
      </c>
      <c r="Y790" s="10">
        <v>9</v>
      </c>
      <c r="Z790" s="30"/>
      <c r="AA790" s="31"/>
      <c r="AB790" s="32"/>
      <c r="AC790" s="32"/>
      <c r="AD790" s="32"/>
      <c r="AE790" s="32">
        <f t="shared" si="235"/>
        <v>0</v>
      </c>
      <c r="AF790" s="12"/>
      <c r="AH790" s="12"/>
      <c r="AI790" s="12">
        <f t="shared" si="236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81</v>
      </c>
      <c r="C791" s="31">
        <f t="shared" si="237"/>
        <v>8632</v>
      </c>
      <c r="D791" s="32">
        <f>650*20+670*2+973+622*3+912+872+500*2</f>
        <v>19963</v>
      </c>
      <c r="E791" s="32"/>
      <c r="F791" s="32"/>
      <c r="G791" s="32">
        <f t="shared" si="231"/>
        <v>19963</v>
      </c>
      <c r="H791" s="12"/>
      <c r="I791" s="12">
        <f>48*2.25+72*1.5</f>
        <v>216</v>
      </c>
      <c r="J791" s="12"/>
      <c r="K791" s="12">
        <f t="shared" si="232"/>
        <v>20179</v>
      </c>
      <c r="M791" s="10">
        <v>10</v>
      </c>
      <c r="N791" s="30"/>
      <c r="O791" s="31"/>
      <c r="P791" s="32"/>
      <c r="Q791" s="32"/>
      <c r="R791" s="32"/>
      <c r="S791" s="32">
        <f t="shared" si="233"/>
        <v>0</v>
      </c>
      <c r="T791" s="12"/>
      <c r="U791" s="12"/>
      <c r="V791" s="12"/>
      <c r="W791" s="12">
        <f t="shared" si="234"/>
        <v>0</v>
      </c>
      <c r="Y791" s="10">
        <v>10</v>
      </c>
      <c r="Z791" s="30"/>
      <c r="AA791" s="31"/>
      <c r="AB791" s="32"/>
      <c r="AC791" s="32"/>
      <c r="AD791" s="32"/>
      <c r="AE791" s="32">
        <f t="shared" si="235"/>
        <v>0</v>
      </c>
      <c r="AF791" s="12"/>
      <c r="AG791" s="12"/>
      <c r="AH791" s="12"/>
      <c r="AI791" s="12">
        <f t="shared" si="236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81</v>
      </c>
      <c r="C792" s="31">
        <f t="shared" si="237"/>
        <v>8633</v>
      </c>
      <c r="D792" s="32">
        <f>650*2+622</f>
        <v>1922</v>
      </c>
      <c r="E792" s="32"/>
      <c r="F792" s="32"/>
      <c r="G792" s="32">
        <f t="shared" si="231"/>
        <v>1922</v>
      </c>
      <c r="H792" s="12"/>
      <c r="I792" s="12"/>
      <c r="J792" s="12">
        <v>-924</v>
      </c>
      <c r="K792" s="12">
        <f t="shared" si="232"/>
        <v>998</v>
      </c>
      <c r="M792" s="10">
        <v>11</v>
      </c>
      <c r="N792" s="30"/>
      <c r="O792" s="31"/>
      <c r="P792" s="32"/>
      <c r="Q792" s="32"/>
      <c r="R792" s="32"/>
      <c r="S792" s="32">
        <f t="shared" si="233"/>
        <v>0</v>
      </c>
      <c r="T792" s="12"/>
      <c r="U792" s="12"/>
      <c r="V792" s="12"/>
      <c r="W792" s="12">
        <f t="shared" si="234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35"/>
        <v>0</v>
      </c>
      <c r="AF792" s="12"/>
      <c r="AG792" s="12"/>
      <c r="AH792" s="12"/>
      <c r="AI792" s="12">
        <f t="shared" si="236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11" t="s">
        <v>27</v>
      </c>
      <c r="D793" s="32"/>
      <c r="E793" s="32"/>
      <c r="F793" s="32"/>
      <c r="G793" s="32">
        <f t="shared" si="231"/>
        <v>0</v>
      </c>
      <c r="H793" s="12"/>
      <c r="I793" s="12"/>
      <c r="J793" s="10"/>
      <c r="K793" s="12">
        <f t="shared" si="232"/>
        <v>0</v>
      </c>
      <c r="M793" s="10">
        <v>12</v>
      </c>
      <c r="N793" s="30"/>
      <c r="O793" s="31"/>
      <c r="P793" s="32"/>
      <c r="Q793" s="32"/>
      <c r="R793" s="32"/>
      <c r="S793" s="32">
        <f t="shared" si="233"/>
        <v>0</v>
      </c>
      <c r="T793" s="12"/>
      <c r="U793" s="12"/>
      <c r="V793" s="12"/>
      <c r="W793" s="12">
        <f t="shared" si="234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35"/>
        <v>0</v>
      </c>
      <c r="AF793" s="12"/>
      <c r="AG793" s="12"/>
      <c r="AH793" s="12"/>
      <c r="AI793" s="12">
        <f t="shared" si="236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31"/>
      <c r="D794" s="32"/>
      <c r="E794" s="32"/>
      <c r="F794" s="32"/>
      <c r="G794" s="32">
        <f t="shared" si="231"/>
        <v>0</v>
      </c>
      <c r="H794" s="12"/>
      <c r="I794" s="12"/>
      <c r="J794" s="12"/>
      <c r="K794" s="12">
        <f t="shared" si="232"/>
        <v>0</v>
      </c>
      <c r="M794" s="10">
        <v>13</v>
      </c>
      <c r="N794" s="30"/>
      <c r="P794" s="32"/>
      <c r="Q794" s="32"/>
      <c r="R794" s="32"/>
      <c r="S794" s="32">
        <f t="shared" si="233"/>
        <v>0</v>
      </c>
      <c r="T794" s="12"/>
      <c r="U794" s="12"/>
      <c r="V794" s="12"/>
      <c r="W794" s="12">
        <f t="shared" si="234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35"/>
        <v>0</v>
      </c>
      <c r="AF794" s="12"/>
      <c r="AG794" s="12"/>
      <c r="AH794" s="12"/>
      <c r="AI794" s="12">
        <f t="shared" si="236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31"/>
      <c r="D795" s="32"/>
      <c r="E795" s="32"/>
      <c r="F795" s="32"/>
      <c r="G795" s="32">
        <f t="shared" si="231"/>
        <v>0</v>
      </c>
      <c r="H795" s="12"/>
      <c r="I795" s="12"/>
      <c r="J795" s="12"/>
      <c r="K795" s="12">
        <f t="shared" si="232"/>
        <v>0</v>
      </c>
      <c r="M795" s="10">
        <v>14</v>
      </c>
      <c r="N795" s="30"/>
      <c r="O795" s="31"/>
      <c r="P795" s="32"/>
      <c r="Q795" s="32"/>
      <c r="R795" s="32"/>
      <c r="S795" s="32">
        <f t="shared" si="233"/>
        <v>0</v>
      </c>
      <c r="T795" s="12"/>
      <c r="U795" s="12"/>
      <c r="V795" s="12"/>
      <c r="W795" s="12">
        <f t="shared" si="234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35"/>
        <v>0</v>
      </c>
      <c r="AF795" s="12"/>
      <c r="AG795" s="12"/>
      <c r="AH795" s="12"/>
      <c r="AI795" s="12">
        <f t="shared" si="236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31"/>
      <c r="D796" s="32"/>
      <c r="E796" s="32"/>
      <c r="F796" s="32"/>
      <c r="G796" s="32">
        <f t="shared" si="231"/>
        <v>0</v>
      </c>
      <c r="H796" s="12"/>
      <c r="I796" s="12"/>
      <c r="J796" s="12"/>
      <c r="K796" s="12">
        <f t="shared" si="232"/>
        <v>0</v>
      </c>
      <c r="M796" s="10">
        <v>15</v>
      </c>
      <c r="N796" s="30"/>
      <c r="O796" s="31"/>
      <c r="P796" s="32"/>
      <c r="Q796" s="32"/>
      <c r="R796" s="32"/>
      <c r="S796" s="32">
        <f t="shared" si="233"/>
        <v>0</v>
      </c>
      <c r="T796" s="12"/>
      <c r="U796" s="12"/>
      <c r="V796" s="12"/>
      <c r="W796" s="12">
        <f t="shared" si="234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35"/>
        <v>0</v>
      </c>
      <c r="AF796" s="12"/>
      <c r="AG796" s="12"/>
      <c r="AH796" s="12"/>
      <c r="AI796" s="12">
        <f t="shared" si="236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31"/>
      <c r="D797" s="32"/>
      <c r="E797" s="32"/>
      <c r="F797" s="32"/>
      <c r="G797" s="32">
        <f t="shared" si="231"/>
        <v>0</v>
      </c>
      <c r="H797" s="12"/>
      <c r="I797" s="12"/>
      <c r="J797" s="12"/>
      <c r="K797" s="12">
        <f t="shared" si="232"/>
        <v>0</v>
      </c>
      <c r="M797" s="10">
        <v>16</v>
      </c>
      <c r="N797" s="30"/>
      <c r="O797" s="31"/>
      <c r="P797" s="32"/>
      <c r="Q797" s="32"/>
      <c r="R797" s="32"/>
      <c r="S797" s="32">
        <f t="shared" si="233"/>
        <v>0</v>
      </c>
      <c r="T797" s="12"/>
      <c r="U797" s="12"/>
      <c r="V797" s="12"/>
      <c r="W797" s="12">
        <f t="shared" si="234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35"/>
        <v>0</v>
      </c>
      <c r="AF797" s="12"/>
      <c r="AG797" s="12"/>
      <c r="AH797" s="12"/>
      <c r="AI797" s="12">
        <f t="shared" si="236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31"/>
      <c r="D798" s="32"/>
      <c r="E798" s="32"/>
      <c r="F798" s="32"/>
      <c r="G798" s="32">
        <f t="shared" si="231"/>
        <v>0</v>
      </c>
      <c r="H798" s="12"/>
      <c r="I798" s="12"/>
      <c r="J798" s="12"/>
      <c r="K798" s="12">
        <f t="shared" si="232"/>
        <v>0</v>
      </c>
      <c r="M798" s="10">
        <v>17</v>
      </c>
      <c r="N798" s="30"/>
      <c r="O798" s="31"/>
      <c r="P798" s="35"/>
      <c r="Q798" s="32"/>
      <c r="R798" s="32"/>
      <c r="S798" s="32">
        <f t="shared" si="233"/>
        <v>0</v>
      </c>
      <c r="T798" s="12"/>
      <c r="U798" s="12"/>
      <c r="V798" s="12"/>
      <c r="W798" s="12">
        <f t="shared" si="234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35"/>
        <v>0</v>
      </c>
      <c r="AF798" s="12"/>
      <c r="AG798" s="12"/>
      <c r="AH798" s="12"/>
      <c r="AI798" s="12">
        <f t="shared" si="236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31"/>
      <c r="D799" s="32"/>
      <c r="E799" s="32"/>
      <c r="F799" s="32"/>
      <c r="G799" s="32">
        <f t="shared" si="231"/>
        <v>0</v>
      </c>
      <c r="H799" s="12"/>
      <c r="I799" s="12"/>
      <c r="J799" s="12"/>
      <c r="K799" s="12">
        <f t="shared" si="232"/>
        <v>0</v>
      </c>
      <c r="M799" s="10">
        <v>18</v>
      </c>
      <c r="N799" s="30"/>
      <c r="O799" s="31"/>
      <c r="P799" s="32"/>
      <c r="Q799" s="32"/>
      <c r="R799" s="32"/>
      <c r="S799" s="32">
        <f t="shared" si="233"/>
        <v>0</v>
      </c>
      <c r="T799" s="12"/>
      <c r="U799" s="12"/>
      <c r="V799" s="12"/>
      <c r="W799" s="12">
        <f t="shared" si="234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5"/>
        <v>0</v>
      </c>
      <c r="AF799" s="12"/>
      <c r="AG799" s="12"/>
      <c r="AH799" s="12"/>
      <c r="AI799" s="12">
        <f t="shared" si="236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231"/>
        <v>0</v>
      </c>
      <c r="H800" s="12"/>
      <c r="I800" s="12"/>
      <c r="J800" s="12"/>
      <c r="K800" s="12">
        <f t="shared" si="232"/>
        <v>0</v>
      </c>
      <c r="M800" s="10">
        <v>19</v>
      </c>
      <c r="N800" s="30"/>
      <c r="O800" s="31"/>
      <c r="P800" s="32"/>
      <c r="Q800" s="32"/>
      <c r="R800" s="32"/>
      <c r="S800" s="32">
        <f t="shared" si="233"/>
        <v>0</v>
      </c>
      <c r="T800" s="12"/>
      <c r="U800" s="12"/>
      <c r="V800" s="12"/>
      <c r="W800" s="12">
        <f t="shared" si="234"/>
        <v>0</v>
      </c>
      <c r="Y800" s="10">
        <v>19</v>
      </c>
      <c r="Z800" s="30"/>
      <c r="AB800" s="32"/>
      <c r="AC800" s="32"/>
      <c r="AD800" s="32"/>
      <c r="AE800" s="32">
        <f t="shared" si="235"/>
        <v>0</v>
      </c>
      <c r="AF800" s="12"/>
      <c r="AG800" s="12"/>
      <c r="AH800" s="12"/>
      <c r="AI800" s="12">
        <f t="shared" si="236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231"/>
        <v>0</v>
      </c>
      <c r="H801" s="12"/>
      <c r="I801" s="12"/>
      <c r="J801" s="12"/>
      <c r="K801" s="12">
        <f t="shared" si="232"/>
        <v>0</v>
      </c>
      <c r="M801" s="10">
        <v>20</v>
      </c>
      <c r="N801" s="30"/>
      <c r="O801" s="31"/>
      <c r="P801" s="32"/>
      <c r="Q801" s="32"/>
      <c r="R801" s="32"/>
      <c r="S801" s="32">
        <f t="shared" si="233"/>
        <v>0</v>
      </c>
      <c r="T801" s="12"/>
      <c r="U801" s="12"/>
      <c r="V801" s="12"/>
      <c r="W801" s="12">
        <f t="shared" si="234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35"/>
        <v>0</v>
      </c>
      <c r="AF801" s="12"/>
      <c r="AG801" s="12"/>
      <c r="AH801" s="12"/>
      <c r="AI801" s="12">
        <f t="shared" si="236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231"/>
        <v>0</v>
      </c>
      <c r="H802" s="10"/>
      <c r="I802" s="10"/>
      <c r="J802" s="10"/>
      <c r="K802" s="12">
        <f t="shared" si="232"/>
        <v>0</v>
      </c>
      <c r="M802" s="10">
        <v>21</v>
      </c>
      <c r="N802" s="30"/>
      <c r="O802" s="31"/>
      <c r="P802" s="46"/>
      <c r="Q802" s="31"/>
      <c r="R802" s="31"/>
      <c r="S802" s="32">
        <f t="shared" si="233"/>
        <v>0</v>
      </c>
      <c r="T802" s="10"/>
      <c r="U802" s="10"/>
      <c r="V802" s="10"/>
      <c r="W802" s="12">
        <f t="shared" si="234"/>
        <v>0</v>
      </c>
      <c r="Y802" s="10">
        <v>21</v>
      </c>
      <c r="Z802" s="30"/>
      <c r="AA802" s="11"/>
      <c r="AB802" s="46"/>
      <c r="AC802" s="31"/>
      <c r="AD802" s="31"/>
      <c r="AE802" s="32">
        <f t="shared" si="235"/>
        <v>0</v>
      </c>
      <c r="AF802" s="10"/>
      <c r="AG802" s="10"/>
      <c r="AH802" s="10"/>
      <c r="AI802" s="12">
        <f t="shared" si="236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231"/>
        <v>0</v>
      </c>
      <c r="H803" s="10"/>
      <c r="I803" s="10"/>
      <c r="J803" s="10"/>
      <c r="K803" s="12">
        <f t="shared" si="232"/>
        <v>0</v>
      </c>
      <c r="M803" s="10">
        <v>22</v>
      </c>
      <c r="N803" s="30"/>
      <c r="O803" s="31"/>
      <c r="P803" s="45"/>
      <c r="Q803" s="31"/>
      <c r="R803" s="31"/>
      <c r="S803" s="32">
        <f t="shared" si="233"/>
        <v>0</v>
      </c>
      <c r="T803" s="10"/>
      <c r="U803" s="10"/>
      <c r="V803" s="10"/>
      <c r="W803" s="12">
        <f t="shared" si="234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5"/>
        <v>0</v>
      </c>
      <c r="AF803" s="10"/>
      <c r="AG803" s="10"/>
      <c r="AH803" s="10"/>
      <c r="AI803" s="12">
        <f t="shared" si="236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D804" s="32"/>
      <c r="E804" s="32"/>
      <c r="F804" s="32"/>
      <c r="G804" s="32">
        <f t="shared" si="231"/>
        <v>0</v>
      </c>
      <c r="H804" s="10"/>
      <c r="I804" s="10"/>
      <c r="J804" s="12"/>
      <c r="K804" s="12">
        <f t="shared" si="232"/>
        <v>0</v>
      </c>
      <c r="M804" s="10">
        <v>23</v>
      </c>
      <c r="N804" s="30"/>
      <c r="O804" s="31"/>
      <c r="P804" s="47"/>
      <c r="Q804" s="31"/>
      <c r="S804" s="32">
        <f t="shared" si="233"/>
        <v>0</v>
      </c>
      <c r="T804" s="10"/>
      <c r="U804" s="10"/>
      <c r="V804" s="10"/>
      <c r="W804" s="12">
        <f t="shared" si="234"/>
        <v>0</v>
      </c>
      <c r="Y804" s="10">
        <v>23</v>
      </c>
      <c r="Z804" s="30"/>
      <c r="AA804" s="31"/>
      <c r="AB804" s="47"/>
      <c r="AC804" s="31"/>
      <c r="AE804" s="32">
        <f t="shared" si="235"/>
        <v>0</v>
      </c>
      <c r="AF804" s="10"/>
      <c r="AG804" s="10"/>
      <c r="AH804" s="10"/>
      <c r="AI804" s="12">
        <f t="shared" si="236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231"/>
        <v>0</v>
      </c>
      <c r="H805" s="10"/>
      <c r="I805" s="10"/>
      <c r="J805" s="10"/>
      <c r="K805" s="12">
        <f t="shared" si="232"/>
        <v>0</v>
      </c>
      <c r="M805" s="10">
        <v>24</v>
      </c>
      <c r="N805" s="30"/>
      <c r="O805" s="31"/>
      <c r="P805" s="47"/>
      <c r="Q805" s="31"/>
      <c r="R805" s="31"/>
      <c r="S805" s="32">
        <f t="shared" si="233"/>
        <v>0</v>
      </c>
      <c r="T805" s="10"/>
      <c r="U805" s="10"/>
      <c r="V805" s="10"/>
      <c r="W805" s="12">
        <f t="shared" si="234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5"/>
        <v>0</v>
      </c>
      <c r="AF805" s="10"/>
      <c r="AG805" s="10"/>
      <c r="AH805" s="10"/>
      <c r="AI805" s="12">
        <f t="shared" si="236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31"/>
      <c r="D806" s="32"/>
      <c r="E806" s="32"/>
      <c r="F806" s="32"/>
      <c r="G806" s="32">
        <f t="shared" si="231"/>
        <v>0</v>
      </c>
      <c r="H806" s="10"/>
      <c r="I806" s="10"/>
      <c r="J806" s="10"/>
      <c r="K806" s="12">
        <f t="shared" si="232"/>
        <v>0</v>
      </c>
      <c r="M806" s="10">
        <v>25</v>
      </c>
      <c r="N806" s="30"/>
      <c r="O806" s="31"/>
      <c r="P806" s="47"/>
      <c r="Q806" s="31"/>
      <c r="R806" s="31"/>
      <c r="S806" s="32">
        <f t="shared" si="233"/>
        <v>0</v>
      </c>
      <c r="T806" s="10"/>
      <c r="U806" s="10"/>
      <c r="V806" s="10"/>
      <c r="W806" s="12">
        <f t="shared" si="234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5"/>
        <v>0</v>
      </c>
      <c r="AF806" s="10"/>
      <c r="AG806" s="10"/>
      <c r="AH806" s="10"/>
      <c r="AI806" s="12">
        <f t="shared" si="236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231"/>
        <v>0</v>
      </c>
      <c r="H807" s="10"/>
      <c r="I807" s="10"/>
      <c r="J807" s="10"/>
      <c r="K807" s="12">
        <f t="shared" si="232"/>
        <v>0</v>
      </c>
      <c r="M807" s="10">
        <v>26</v>
      </c>
      <c r="N807" s="30"/>
      <c r="O807" s="31"/>
      <c r="P807" s="47"/>
      <c r="Q807" s="31"/>
      <c r="R807" s="31"/>
      <c r="S807" s="32">
        <f t="shared" si="233"/>
        <v>0</v>
      </c>
      <c r="T807" s="10"/>
      <c r="U807" s="10"/>
      <c r="V807" s="10"/>
      <c r="W807" s="12">
        <f t="shared" si="234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5"/>
        <v>0</v>
      </c>
      <c r="AF807" s="10"/>
      <c r="AG807" s="10"/>
      <c r="AH807" s="10"/>
      <c r="AI807" s="12">
        <f t="shared" si="236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231"/>
        <v>0</v>
      </c>
      <c r="H808" s="10"/>
      <c r="I808" s="10"/>
      <c r="J808" s="10"/>
      <c r="K808" s="12">
        <f t="shared" si="232"/>
        <v>0</v>
      </c>
      <c r="M808" s="10">
        <v>27</v>
      </c>
      <c r="N808" s="30"/>
      <c r="O808" s="31"/>
      <c r="P808" s="47"/>
      <c r="Q808" s="31"/>
      <c r="R808" s="31"/>
      <c r="S808" s="32">
        <f t="shared" si="233"/>
        <v>0</v>
      </c>
      <c r="T808" s="10"/>
      <c r="U808" s="10"/>
      <c r="V808" s="10"/>
      <c r="W808" s="12">
        <f t="shared" si="234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5"/>
        <v>0</v>
      </c>
      <c r="AF808" s="10"/>
      <c r="AG808" s="10"/>
      <c r="AH808" s="10"/>
      <c r="AI808" s="12">
        <f t="shared" si="236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31"/>
      <c r="D809" s="32"/>
      <c r="E809" s="32"/>
      <c r="F809" s="32"/>
      <c r="G809" s="32">
        <f t="shared" si="231"/>
        <v>0</v>
      </c>
      <c r="H809" s="10"/>
      <c r="I809" s="10"/>
      <c r="J809" s="10"/>
      <c r="K809" s="12">
        <f t="shared" si="232"/>
        <v>0</v>
      </c>
      <c r="M809" s="10">
        <v>28</v>
      </c>
      <c r="N809" s="30"/>
      <c r="O809" s="31"/>
      <c r="P809" s="47"/>
      <c r="Q809" s="31"/>
      <c r="R809" s="31"/>
      <c r="S809" s="32">
        <f t="shared" si="233"/>
        <v>0</v>
      </c>
      <c r="T809" s="10"/>
      <c r="U809" s="10"/>
      <c r="V809" s="10"/>
      <c r="W809" s="12">
        <f t="shared" si="234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5"/>
        <v>0</v>
      </c>
      <c r="AF809" s="10"/>
      <c r="AG809" s="10"/>
      <c r="AH809" s="10"/>
      <c r="AI809" s="12">
        <f t="shared" si="236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31"/>
      <c r="D810" s="32"/>
      <c r="E810" s="32"/>
      <c r="F810" s="32"/>
      <c r="G810" s="32">
        <f t="shared" si="231"/>
        <v>0</v>
      </c>
      <c r="H810" s="10"/>
      <c r="I810" s="10"/>
      <c r="J810" s="10"/>
      <c r="K810" s="12">
        <f t="shared" si="232"/>
        <v>0</v>
      </c>
      <c r="M810" s="10">
        <v>29</v>
      </c>
      <c r="N810" s="30"/>
      <c r="P810" s="47"/>
      <c r="Q810" s="31"/>
      <c r="R810" s="31"/>
      <c r="S810" s="32">
        <f t="shared" si="233"/>
        <v>0</v>
      </c>
      <c r="T810" s="10"/>
      <c r="U810" s="10"/>
      <c r="V810" s="10"/>
      <c r="W810" s="12">
        <f t="shared" si="234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5"/>
        <v>0</v>
      </c>
      <c r="AF810" s="10"/>
      <c r="AG810" s="10"/>
      <c r="AH810" s="10"/>
      <c r="AI810" s="12">
        <f t="shared" si="236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57"/>
      <c r="D811" s="32"/>
      <c r="E811" s="32"/>
      <c r="F811" s="32"/>
      <c r="G811" s="32">
        <f t="shared" si="231"/>
        <v>0</v>
      </c>
      <c r="H811" s="10"/>
      <c r="I811" s="10"/>
      <c r="J811" s="10"/>
      <c r="K811" s="12">
        <f t="shared" si="232"/>
        <v>0</v>
      </c>
      <c r="M811" s="10">
        <v>30</v>
      </c>
      <c r="N811" s="30"/>
      <c r="O811" s="31"/>
      <c r="P811" s="47"/>
      <c r="Q811" s="31"/>
      <c r="R811" s="31"/>
      <c r="S811" s="32">
        <f t="shared" si="233"/>
        <v>0</v>
      </c>
      <c r="T811" s="10"/>
      <c r="U811" s="10"/>
      <c r="V811" s="10"/>
      <c r="W811" s="12">
        <f t="shared" si="234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5"/>
        <v>0</v>
      </c>
      <c r="AF811" s="10"/>
      <c r="AG811" s="10"/>
      <c r="AH811" s="10"/>
      <c r="AI811" s="12">
        <f t="shared" si="236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91"/>
      <c r="D812" s="32"/>
      <c r="E812" s="32"/>
      <c r="F812" s="32"/>
      <c r="G812" s="32">
        <f t="shared" si="231"/>
        <v>0</v>
      </c>
      <c r="H812" s="10"/>
      <c r="I812" s="10"/>
      <c r="J812" s="10"/>
      <c r="K812" s="12">
        <f t="shared" si="232"/>
        <v>0</v>
      </c>
      <c r="M812" s="10">
        <v>31</v>
      </c>
      <c r="N812" s="30"/>
      <c r="O812" s="31"/>
      <c r="P812" s="47"/>
      <c r="Q812" s="31"/>
      <c r="R812" s="31"/>
      <c r="S812" s="32">
        <f t="shared" si="233"/>
        <v>0</v>
      </c>
      <c r="T812" s="10"/>
      <c r="U812" s="10"/>
      <c r="V812" s="10"/>
      <c r="W812" s="12">
        <f t="shared" si="234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5"/>
        <v>0</v>
      </c>
      <c r="AF812" s="10"/>
      <c r="AG812" s="10"/>
      <c r="AH812" s="10"/>
      <c r="AI812" s="12">
        <f t="shared" si="236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57"/>
      <c r="D813" s="32"/>
      <c r="E813" s="32"/>
      <c r="F813" s="32"/>
      <c r="G813" s="32">
        <f t="shared" si="231"/>
        <v>0</v>
      </c>
      <c r="H813" s="10"/>
      <c r="I813" s="10"/>
      <c r="J813" s="10"/>
      <c r="K813" s="12">
        <f t="shared" si="232"/>
        <v>0</v>
      </c>
      <c r="M813" s="10">
        <v>32</v>
      </c>
      <c r="N813" s="30"/>
      <c r="O813" s="31"/>
      <c r="P813" s="47"/>
      <c r="Q813" s="31"/>
      <c r="R813" s="31"/>
      <c r="S813" s="32">
        <f t="shared" si="233"/>
        <v>0</v>
      </c>
      <c r="T813" s="10"/>
      <c r="U813" s="10"/>
      <c r="V813" s="10"/>
      <c r="W813" s="12">
        <f t="shared" si="234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5"/>
        <v>0</v>
      </c>
      <c r="AF813" s="10"/>
      <c r="AG813" s="10"/>
      <c r="AH813" s="10"/>
      <c r="AI813" s="12">
        <f t="shared" si="236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91"/>
      <c r="D814" s="32"/>
      <c r="E814" s="32"/>
      <c r="F814" s="32"/>
      <c r="G814" s="32">
        <f t="shared" si="231"/>
        <v>0</v>
      </c>
      <c r="H814" s="10"/>
      <c r="I814" s="10"/>
      <c r="J814" s="10"/>
      <c r="K814" s="12">
        <f t="shared" si="232"/>
        <v>0</v>
      </c>
      <c r="M814" s="10">
        <v>33</v>
      </c>
      <c r="N814" s="30"/>
      <c r="O814" s="31"/>
      <c r="P814" s="47"/>
      <c r="Q814" s="31"/>
      <c r="R814" s="31"/>
      <c r="S814" s="32">
        <f t="shared" si="233"/>
        <v>0</v>
      </c>
      <c r="T814" s="10"/>
      <c r="U814" s="10"/>
      <c r="V814" s="10"/>
      <c r="W814" s="12">
        <f t="shared" si="234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5"/>
        <v>0</v>
      </c>
      <c r="AF814" s="10"/>
      <c r="AG814" s="10"/>
      <c r="AH814" s="10"/>
      <c r="AI814" s="12">
        <f t="shared" si="236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91"/>
      <c r="D815" s="32"/>
      <c r="E815" s="32"/>
      <c r="F815" s="32"/>
      <c r="G815" s="32">
        <f t="shared" si="231"/>
        <v>0</v>
      </c>
      <c r="H815" s="10"/>
      <c r="I815" s="10"/>
      <c r="J815" s="10"/>
      <c r="K815" s="12">
        <f t="shared" si="232"/>
        <v>0</v>
      </c>
      <c r="M815" s="10">
        <v>34</v>
      </c>
      <c r="N815" s="30"/>
      <c r="O815" s="31"/>
      <c r="P815" s="47"/>
      <c r="Q815" s="31"/>
      <c r="R815" s="31"/>
      <c r="S815" s="32">
        <f t="shared" si="233"/>
        <v>0</v>
      </c>
      <c r="T815" s="10"/>
      <c r="U815" s="10"/>
      <c r="V815" s="10"/>
      <c r="W815" s="12">
        <f t="shared" si="234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5" si="240">SUM(AB815:AC815)</f>
        <v>0</v>
      </c>
      <c r="AF815" s="10"/>
      <c r="AG815" s="10"/>
      <c r="AH815" s="10"/>
      <c r="AI815" s="12">
        <f t="shared" si="236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9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233"/>
        <v>0</v>
      </c>
      <c r="T816" s="10"/>
      <c r="U816" s="10"/>
      <c r="V816" s="10"/>
      <c r="W816" s="12">
        <f t="shared" si="234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40"/>
        <v>0</v>
      </c>
      <c r="AF816" s="10"/>
      <c r="AG816" s="10"/>
      <c r="AH816" s="10"/>
      <c r="AI816" s="12">
        <f t="shared" si="236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9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33"/>
        <v>0</v>
      </c>
      <c r="T817" s="10"/>
      <c r="U817" s="10"/>
      <c r="V817" s="10"/>
      <c r="W817" s="12">
        <f t="shared" si="234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40"/>
        <v>0</v>
      </c>
      <c r="AF817" s="10"/>
      <c r="AG817" s="10"/>
      <c r="AH817" s="10"/>
      <c r="AI817" s="12">
        <f t="shared" si="236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233"/>
        <v>0</v>
      </c>
      <c r="T818" s="10"/>
      <c r="U818" s="10"/>
      <c r="V818" s="10"/>
      <c r="W818" s="12">
        <f t="shared" si="234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40"/>
        <v>0</v>
      </c>
      <c r="AF818" s="10"/>
      <c r="AG818" s="10"/>
      <c r="AH818" s="10"/>
      <c r="AI818" s="12">
        <f t="shared" si="236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33"/>
        <v>0</v>
      </c>
      <c r="T819" s="10"/>
      <c r="U819" s="10"/>
      <c r="V819" s="10"/>
      <c r="W819" s="12">
        <f t="shared" si="234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40"/>
        <v>0</v>
      </c>
      <c r="AF819" s="10"/>
      <c r="AG819" s="10"/>
      <c r="AH819" s="10"/>
      <c r="AI819" s="12">
        <f t="shared" si="236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33"/>
        <v>0</v>
      </c>
      <c r="T820" s="10"/>
      <c r="U820" s="10"/>
      <c r="V820" s="10"/>
      <c r="W820" s="12">
        <f t="shared" si="234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40"/>
        <v>0</v>
      </c>
      <c r="AF820" s="10"/>
      <c r="AG820" s="10"/>
      <c r="AH820" s="10"/>
      <c r="AI820" s="12">
        <f t="shared" si="236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4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6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41">SUM(D822:E822)</f>
        <v>0</v>
      </c>
      <c r="H822" s="10"/>
      <c r="I822" s="10"/>
      <c r="J822" s="10"/>
      <c r="K822" s="12">
        <f t="shared" ref="K822" si="242">SUM(G822:J822)</f>
        <v>0</v>
      </c>
      <c r="M822" s="10"/>
      <c r="N822" s="30"/>
      <c r="O822" s="31"/>
      <c r="P822" s="47"/>
      <c r="Q822" s="31"/>
      <c r="R822" s="31"/>
      <c r="S822" s="32">
        <f t="shared" ref="S822" si="243">SUM(P822:Q822)</f>
        <v>0</v>
      </c>
      <c r="T822" s="10"/>
      <c r="U822" s="10"/>
      <c r="V822" s="10"/>
      <c r="W822" s="12">
        <f t="shared" si="234"/>
        <v>0</v>
      </c>
      <c r="Y822" s="10"/>
      <c r="Z822" s="30"/>
      <c r="AA822" s="31"/>
      <c r="AB822" s="47"/>
      <c r="AC822" s="31"/>
      <c r="AD822" s="31"/>
      <c r="AE822" s="32">
        <f t="shared" ref="AE822" si="244">SUM(AB822:AC822)</f>
        <v>0</v>
      </c>
      <c r="AF822" s="10"/>
      <c r="AG822" s="10"/>
      <c r="AH822" s="10"/>
      <c r="AI822" s="12">
        <f t="shared" si="236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4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6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300637.5</v>
      </c>
      <c r="E825" s="38">
        <f t="shared" ref="E825:G825" si="245">SUM(E782:E822)</f>
        <v>0</v>
      </c>
      <c r="F825" s="38">
        <f t="shared" si="245"/>
        <v>0</v>
      </c>
      <c r="G825" s="38">
        <f>SUM(G782:G824)</f>
        <v>300637.5</v>
      </c>
      <c r="H825" s="4"/>
      <c r="I825" s="39">
        <f>SUM(I782:I824)</f>
        <v>25222.5</v>
      </c>
      <c r="J825" s="39">
        <f>SUM(J782:J824)</f>
        <v>-39390</v>
      </c>
      <c r="K825" s="40">
        <f>SUM(K782:K824)</f>
        <v>286470</v>
      </c>
      <c r="N825" s="57"/>
      <c r="O825" s="57"/>
      <c r="P825" s="38">
        <f>SUM(P782:P824)</f>
        <v>196921.5</v>
      </c>
      <c r="Q825" s="38">
        <f>SUM(Q782:Q806)</f>
        <v>-1596</v>
      </c>
      <c r="R825" s="38">
        <f>SUM(R782:R806)</f>
        <v>0</v>
      </c>
      <c r="S825" s="38">
        <f>SUM(S782:S824)</f>
        <v>195325.5</v>
      </c>
      <c r="T825" s="4"/>
      <c r="U825" s="41">
        <f>SUM(U782:U824)</f>
        <v>360</v>
      </c>
      <c r="V825" s="41">
        <f>SUM(V782:V806)</f>
        <v>-378</v>
      </c>
      <c r="W825" s="42">
        <f>SUM(W782:W824)</f>
        <v>195307.5</v>
      </c>
      <c r="Z825" s="57"/>
      <c r="AA825" s="57"/>
      <c r="AB825" s="38">
        <f>SUM(AB782:AB824)</f>
        <v>380493</v>
      </c>
      <c r="AC825" s="38">
        <f>SUM(AC782:AC806)</f>
        <v>-1908</v>
      </c>
      <c r="AD825" s="38">
        <f>SUM(AD782:AD806)</f>
        <v>0</v>
      </c>
      <c r="AE825" s="38">
        <f>SUM(AE782:AE824)</f>
        <v>378585</v>
      </c>
      <c r="AF825" s="4"/>
      <c r="AG825" s="41">
        <f>SUM(AG782:AG824)</f>
        <v>0</v>
      </c>
      <c r="AH825" s="41">
        <f>SUM(AH782:AH806)</f>
        <v>-11502</v>
      </c>
      <c r="AI825" s="42">
        <f>SUM(AI782:AI824)</f>
        <v>367083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4"/>
      <c r="C827" s="94"/>
      <c r="D827" s="94"/>
      <c r="E827" s="94"/>
      <c r="F827" s="94"/>
      <c r="G827" s="94"/>
      <c r="H827" s="62"/>
      <c r="I827" s="62"/>
      <c r="J827" s="62"/>
      <c r="K827" s="62"/>
      <c r="L827" s="62"/>
      <c r="M827" s="62"/>
      <c r="N827" s="94"/>
      <c r="O827" s="94"/>
      <c r="P827" s="94"/>
      <c r="Q827" s="94"/>
      <c r="R827" s="94"/>
      <c r="S827" s="94"/>
      <c r="T827" s="62"/>
      <c r="U827" s="62"/>
      <c r="V827" s="62"/>
      <c r="W827" s="62"/>
      <c r="X827" s="62"/>
      <c r="Y827" s="62"/>
      <c r="Z827" s="94"/>
      <c r="AA827" s="94"/>
      <c r="AB827" s="94"/>
      <c r="AC827" s="94"/>
      <c r="AD827" s="94"/>
      <c r="AE827" s="94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4"/>
      <c r="C828" s="94"/>
      <c r="D828" s="94"/>
      <c r="E828" s="94"/>
      <c r="F828" s="94"/>
      <c r="G828" s="94"/>
      <c r="H828" s="62"/>
      <c r="I828" s="62"/>
      <c r="J828" s="62"/>
      <c r="K828" s="62"/>
      <c r="L828" s="62"/>
      <c r="M828" s="62"/>
      <c r="N828" s="94"/>
      <c r="O828" s="94"/>
      <c r="P828" s="94"/>
      <c r="Q828" s="94"/>
      <c r="R828" s="94"/>
      <c r="S828" s="94"/>
      <c r="T828" s="62"/>
      <c r="U828" s="62"/>
      <c r="V828" s="62"/>
      <c r="W828" s="62"/>
      <c r="X828" s="62"/>
      <c r="Y828" s="62"/>
      <c r="Z828" s="94"/>
      <c r="AA828" s="94"/>
      <c r="AB828" s="94"/>
      <c r="AC828" s="94"/>
      <c r="AD828" s="94"/>
      <c r="AE828" s="94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4"/>
      <c r="C829" s="94"/>
      <c r="D829" s="94"/>
      <c r="E829" s="94"/>
      <c r="F829" s="94"/>
      <c r="G829" s="94"/>
      <c r="H829" s="62"/>
      <c r="I829" s="62"/>
      <c r="J829" s="62"/>
      <c r="K829" s="62"/>
      <c r="L829" s="62"/>
      <c r="M829" s="62"/>
      <c r="N829" s="94"/>
      <c r="O829" s="94"/>
      <c r="P829" s="94"/>
      <c r="Q829" s="94"/>
      <c r="R829" s="94"/>
      <c r="S829" s="94"/>
      <c r="T829" s="62"/>
      <c r="U829" s="62"/>
      <c r="V829" s="62"/>
      <c r="W829" s="62"/>
      <c r="X829" s="62"/>
      <c r="Y829" s="62"/>
      <c r="Z829" s="94"/>
      <c r="AA829" s="94"/>
      <c r="AB829" s="94"/>
      <c r="AC829" s="94"/>
      <c r="AD829" s="94"/>
      <c r="AE829" s="94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4"/>
      <c r="C830" s="94"/>
      <c r="D830" s="94"/>
      <c r="E830" s="94"/>
      <c r="F830" s="94"/>
      <c r="G830" s="94"/>
      <c r="H830" s="62"/>
      <c r="I830" s="62"/>
      <c r="J830" s="62"/>
      <c r="K830" s="62"/>
      <c r="L830" s="62"/>
      <c r="M830" s="63"/>
      <c r="N830" s="94"/>
      <c r="O830" s="94"/>
      <c r="P830" s="94"/>
      <c r="Q830" s="94"/>
      <c r="R830" s="94"/>
      <c r="S830" s="94"/>
      <c r="T830" s="62"/>
      <c r="U830" s="62"/>
      <c r="V830" s="62"/>
      <c r="W830" s="62"/>
      <c r="X830" s="62"/>
      <c r="Y830" s="63"/>
      <c r="Z830" s="94"/>
      <c r="AA830" s="94"/>
      <c r="AB830" s="94"/>
      <c r="AC830" s="94"/>
      <c r="AD830" s="94"/>
      <c r="AE830" s="94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4"/>
      <c r="C831" s="94"/>
      <c r="D831" s="94"/>
      <c r="E831" s="94"/>
      <c r="F831" s="94"/>
      <c r="G831" s="94"/>
      <c r="H831" s="62"/>
      <c r="I831" s="62"/>
      <c r="J831" s="62"/>
      <c r="K831" s="62"/>
      <c r="L831" s="62"/>
      <c r="M831" s="62"/>
      <c r="N831" s="94"/>
      <c r="O831" s="94"/>
      <c r="P831" s="94"/>
      <c r="Q831" s="94"/>
      <c r="R831" s="94"/>
      <c r="S831" s="94"/>
      <c r="T831" s="62"/>
      <c r="U831" s="62"/>
      <c r="V831" s="62"/>
      <c r="W831" s="62"/>
      <c r="X831" s="62"/>
      <c r="Y831" s="62"/>
      <c r="Z831" s="94"/>
      <c r="AA831" s="94"/>
      <c r="AB831" s="94"/>
      <c r="AC831" s="94"/>
      <c r="AD831" s="94"/>
      <c r="AE831" s="94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4"/>
      <c r="C832" s="94"/>
      <c r="D832" s="94"/>
      <c r="E832" s="94"/>
      <c r="F832" s="94"/>
      <c r="G832" s="94"/>
      <c r="H832" s="62"/>
      <c r="I832" s="94"/>
      <c r="J832" s="74"/>
      <c r="K832" s="62"/>
      <c r="L832" s="62"/>
      <c r="M832" s="62"/>
      <c r="N832" s="94"/>
      <c r="O832" s="94"/>
      <c r="P832" s="94"/>
      <c r="Q832" s="94"/>
      <c r="R832" s="94"/>
      <c r="S832" s="94"/>
      <c r="T832" s="62"/>
      <c r="U832" s="94"/>
      <c r="V832" s="74"/>
      <c r="W832" s="62"/>
      <c r="X832" s="62"/>
      <c r="Y832" s="62"/>
      <c r="Z832" s="94"/>
      <c r="AA832" s="94"/>
      <c r="AB832" s="94"/>
      <c r="AC832" s="94"/>
      <c r="AD832" s="94"/>
      <c r="AE832" s="94"/>
      <c r="AF832" s="62"/>
      <c r="AG832" s="94"/>
      <c r="AH832" s="9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4"/>
      <c r="C833" s="94"/>
      <c r="D833" s="94"/>
      <c r="E833" s="94"/>
      <c r="F833" s="94"/>
      <c r="G833" s="94"/>
      <c r="H833" s="62"/>
      <c r="I833" s="65"/>
      <c r="J833" s="65"/>
      <c r="K833" s="62"/>
      <c r="L833" s="62"/>
      <c r="M833" s="64"/>
      <c r="N833" s="94"/>
      <c r="O833" s="94"/>
      <c r="P833" s="94"/>
      <c r="Q833" s="94"/>
      <c r="R833" s="94"/>
      <c r="S833" s="94"/>
      <c r="T833" s="62"/>
      <c r="U833" s="65"/>
      <c r="V833" s="65"/>
      <c r="W833" s="62"/>
      <c r="X833" s="62"/>
      <c r="Y833" s="64"/>
      <c r="Z833" s="94"/>
      <c r="AA833" s="94"/>
      <c r="AB833" s="94"/>
      <c r="AC833" s="94"/>
      <c r="AD833" s="94"/>
      <c r="AE833" s="94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4"/>
      <c r="C834" s="94"/>
      <c r="D834" s="94"/>
      <c r="E834" s="94"/>
      <c r="F834" s="94"/>
      <c r="G834" s="94"/>
      <c r="H834" s="62"/>
      <c r="I834" s="62"/>
      <c r="J834" s="62"/>
      <c r="K834" s="62"/>
      <c r="L834" s="62"/>
      <c r="M834" s="62"/>
      <c r="N834" s="94"/>
      <c r="O834" s="94"/>
      <c r="P834" s="94"/>
      <c r="Q834" s="94"/>
      <c r="R834" s="94"/>
      <c r="S834" s="94"/>
      <c r="T834" s="62"/>
      <c r="U834" s="62"/>
      <c r="V834" s="62"/>
      <c r="W834" s="62"/>
      <c r="X834" s="62"/>
      <c r="Y834" s="62"/>
      <c r="Z834" s="94"/>
      <c r="AA834" s="94"/>
      <c r="AB834" s="94"/>
      <c r="AC834" s="94"/>
      <c r="AD834" s="94"/>
      <c r="AE834" s="94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4"/>
      <c r="D835" s="116"/>
      <c r="E835" s="116"/>
      <c r="F835" s="94"/>
      <c r="G835" s="94"/>
      <c r="H835" s="62"/>
      <c r="I835" s="116"/>
      <c r="J835" s="116"/>
      <c r="K835" s="115"/>
      <c r="L835" s="62"/>
      <c r="M835" s="62"/>
      <c r="N835" s="65"/>
      <c r="O835" s="94"/>
      <c r="P835" s="116"/>
      <c r="Q835" s="116"/>
      <c r="R835" s="94"/>
      <c r="S835" s="94"/>
      <c r="T835" s="62"/>
      <c r="U835" s="116"/>
      <c r="V835" s="116"/>
      <c r="W835" s="115"/>
      <c r="X835" s="62"/>
      <c r="Y835" s="62"/>
      <c r="Z835" s="65"/>
      <c r="AA835" s="94"/>
      <c r="AB835" s="116"/>
      <c r="AC835" s="116"/>
      <c r="AD835" s="94"/>
      <c r="AE835" s="94"/>
      <c r="AF835" s="62"/>
      <c r="AG835" s="116"/>
      <c r="AH835" s="116"/>
      <c r="AI835" s="11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4"/>
      <c r="C836" s="94"/>
      <c r="D836" s="81"/>
      <c r="E836" s="82"/>
      <c r="F836" s="83"/>
      <c r="G836" s="83"/>
      <c r="H836" s="62"/>
      <c r="I836" s="93"/>
      <c r="J836" s="93"/>
      <c r="K836" s="115"/>
      <c r="L836" s="62"/>
      <c r="M836" s="62"/>
      <c r="N836" s="94"/>
      <c r="O836" s="94"/>
      <c r="P836" s="81"/>
      <c r="Q836" s="83"/>
      <c r="R836" s="83"/>
      <c r="S836" s="83"/>
      <c r="T836" s="62"/>
      <c r="U836" s="93"/>
      <c r="V836" s="93"/>
      <c r="W836" s="115"/>
      <c r="X836" s="62"/>
      <c r="Y836" s="62"/>
      <c r="Z836" s="94"/>
      <c r="AA836" s="94"/>
      <c r="AB836" s="81"/>
      <c r="AC836" s="83"/>
      <c r="AD836" s="83"/>
      <c r="AE836" s="83"/>
      <c r="AF836" s="62"/>
      <c r="AG836" s="93"/>
      <c r="AH836" s="93"/>
      <c r="AI836" s="11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2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4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4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2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4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4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65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4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4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92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4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4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2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4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4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2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4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4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2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4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4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2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4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4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2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4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4"/>
      <c r="AB845" s="62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2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4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4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4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2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4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4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2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4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4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2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4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4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2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4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4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2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94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2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4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4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4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4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2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4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4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2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65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4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2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4"/>
      <c r="P857" s="67"/>
      <c r="Q857" s="94"/>
      <c r="R857" s="94"/>
      <c r="S857" s="60"/>
      <c r="T857" s="62"/>
      <c r="U857" s="62"/>
      <c r="V857" s="62"/>
      <c r="W857" s="61"/>
      <c r="X857" s="62"/>
      <c r="Y857" s="62"/>
      <c r="Z857" s="66"/>
      <c r="AA857" s="94"/>
      <c r="AB857" s="67"/>
      <c r="AC857" s="94"/>
      <c r="AD857" s="94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2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4"/>
      <c r="P858" s="68"/>
      <c r="Q858" s="94"/>
      <c r="R858" s="94"/>
      <c r="S858" s="60"/>
      <c r="T858" s="62"/>
      <c r="U858" s="62"/>
      <c r="V858" s="62"/>
      <c r="W858" s="61"/>
      <c r="X858" s="62"/>
      <c r="Y858" s="62"/>
      <c r="Z858" s="66"/>
      <c r="AA858" s="94"/>
      <c r="AB858" s="68"/>
      <c r="AC858" s="94"/>
      <c r="AD858" s="94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2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4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94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4"/>
      <c r="P860" s="69"/>
      <c r="Q860" s="94"/>
      <c r="R860" s="94"/>
      <c r="S860" s="60"/>
      <c r="T860" s="62"/>
      <c r="U860" s="62"/>
      <c r="V860" s="62"/>
      <c r="W860" s="61"/>
      <c r="X860" s="62"/>
      <c r="Y860" s="62"/>
      <c r="Z860" s="66"/>
      <c r="AA860" s="94"/>
      <c r="AB860" s="69"/>
      <c r="AC860" s="94"/>
      <c r="AD860" s="94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62"/>
      <c r="P861" s="69"/>
      <c r="Q861" s="94"/>
      <c r="R861" s="94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4"/>
      <c r="AD861" s="94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65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4"/>
      <c r="R862" s="94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4"/>
      <c r="AD862" s="94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4"/>
      <c r="P863" s="69"/>
      <c r="Q863" s="94"/>
      <c r="R863" s="94"/>
      <c r="S863" s="60"/>
      <c r="T863" s="62"/>
      <c r="U863" s="62"/>
      <c r="V863" s="62"/>
      <c r="W863" s="61"/>
      <c r="X863" s="62"/>
      <c r="Y863" s="62"/>
      <c r="Z863" s="66"/>
      <c r="AA863" s="94"/>
      <c r="AB863" s="69"/>
      <c r="AC863" s="94"/>
      <c r="AD863" s="94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4"/>
      <c r="P864" s="69"/>
      <c r="Q864" s="94"/>
      <c r="R864" s="94"/>
      <c r="S864" s="60"/>
      <c r="T864" s="62"/>
      <c r="U864" s="62"/>
      <c r="V864" s="62"/>
      <c r="W864" s="61"/>
      <c r="X864" s="62"/>
      <c r="Y864" s="62"/>
      <c r="Z864" s="66"/>
      <c r="AA864" s="94"/>
      <c r="AB864" s="69"/>
      <c r="AC864" s="94"/>
      <c r="AD864" s="94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94"/>
      <c r="R865" s="94"/>
      <c r="S865" s="60"/>
      <c r="T865" s="62"/>
      <c r="U865" s="62"/>
      <c r="V865" s="62"/>
      <c r="W865" s="61"/>
      <c r="X865" s="62"/>
      <c r="Y865" s="62"/>
      <c r="Z865" s="66"/>
      <c r="AA865" s="94"/>
      <c r="AB865" s="69"/>
      <c r="AC865" s="94"/>
      <c r="AD865" s="94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4"/>
      <c r="R866" s="94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4"/>
      <c r="AD866" s="94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4"/>
      <c r="P867" s="69"/>
      <c r="Q867" s="94"/>
      <c r="R867" s="94"/>
      <c r="S867" s="60"/>
      <c r="T867" s="62"/>
      <c r="U867" s="62"/>
      <c r="V867" s="62"/>
      <c r="W867" s="61"/>
      <c r="X867" s="62"/>
      <c r="Y867" s="62"/>
      <c r="Z867" s="66"/>
      <c r="AA867" s="62"/>
      <c r="AB867" s="69"/>
      <c r="AC867" s="94"/>
      <c r="AD867" s="94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62"/>
      <c r="P868" s="69"/>
      <c r="Q868" s="94"/>
      <c r="R868" s="94"/>
      <c r="S868" s="60"/>
      <c r="T868" s="62"/>
      <c r="U868" s="62"/>
      <c r="V868" s="62"/>
      <c r="W868" s="61"/>
      <c r="X868" s="62"/>
      <c r="Y868" s="62"/>
      <c r="Z868" s="66"/>
      <c r="AA868" s="94"/>
      <c r="AB868" s="69"/>
      <c r="AC868" s="94"/>
      <c r="AD868" s="94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4"/>
      <c r="P869" s="69"/>
      <c r="Q869" s="94"/>
      <c r="R869" s="94"/>
      <c r="S869" s="60"/>
      <c r="T869" s="62"/>
      <c r="U869" s="62"/>
      <c r="V869" s="62"/>
      <c r="W869" s="61"/>
      <c r="X869" s="62"/>
      <c r="Y869" s="62"/>
      <c r="Z869" s="66"/>
      <c r="AA869" s="94"/>
      <c r="AB869" s="69"/>
      <c r="AC869" s="94"/>
      <c r="AD869" s="94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4"/>
      <c r="P870" s="69"/>
      <c r="Q870" s="94"/>
      <c r="R870" s="94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4"/>
      <c r="AD870" s="94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4"/>
      <c r="P871" s="69"/>
      <c r="Q871" s="94"/>
      <c r="R871" s="94"/>
      <c r="S871" s="60"/>
      <c r="T871" s="62"/>
      <c r="U871" s="62"/>
      <c r="V871" s="62"/>
      <c r="W871" s="61"/>
      <c r="X871" s="62"/>
      <c r="Y871" s="62"/>
      <c r="Z871" s="66"/>
      <c r="AA871" s="94"/>
      <c r="AB871" s="69"/>
      <c r="AC871" s="94"/>
      <c r="AD871" s="94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4"/>
      <c r="P872" s="69"/>
      <c r="Q872" s="94"/>
      <c r="R872" s="94"/>
      <c r="S872" s="60"/>
      <c r="T872" s="62"/>
      <c r="U872" s="62"/>
      <c r="V872" s="62"/>
      <c r="W872" s="61"/>
      <c r="X872" s="62"/>
      <c r="Y872" s="62"/>
      <c r="Z872" s="66"/>
      <c r="AA872" s="94"/>
      <c r="AB872" s="69"/>
      <c r="AC872" s="94"/>
      <c r="AD872" s="94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4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4"/>
      <c r="R873" s="94"/>
      <c r="S873" s="60"/>
      <c r="T873" s="62"/>
      <c r="U873" s="62"/>
      <c r="V873" s="62"/>
      <c r="W873" s="61"/>
      <c r="X873" s="62"/>
      <c r="Y873" s="62"/>
      <c r="Z873" s="66"/>
      <c r="AA873" s="94"/>
      <c r="AB873" s="69"/>
      <c r="AC873" s="94"/>
      <c r="AD873" s="94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4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4"/>
      <c r="P874" s="69"/>
      <c r="Q874" s="94"/>
      <c r="R874" s="94"/>
      <c r="S874" s="60"/>
      <c r="T874" s="62"/>
      <c r="U874" s="62"/>
      <c r="V874" s="62"/>
      <c r="W874" s="61"/>
      <c r="X874" s="62"/>
      <c r="Y874" s="62"/>
      <c r="Z874" s="66"/>
      <c r="AA874" s="94"/>
      <c r="AB874" s="69"/>
      <c r="AC874" s="94"/>
      <c r="AD874" s="94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4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4"/>
      <c r="P875" s="69"/>
      <c r="Q875" s="94"/>
      <c r="R875" s="94"/>
      <c r="S875" s="60"/>
      <c r="T875" s="62"/>
      <c r="U875" s="62"/>
      <c r="V875" s="62"/>
      <c r="W875" s="61"/>
      <c r="X875" s="62"/>
      <c r="Y875" s="62"/>
      <c r="Z875" s="66"/>
      <c r="AA875" s="94"/>
      <c r="AB875" s="69"/>
      <c r="AC875" s="94"/>
      <c r="AD875" s="94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4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4"/>
      <c r="R876" s="94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4"/>
      <c r="AD876" s="94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4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4"/>
      <c r="P877" s="69"/>
      <c r="Q877" s="94"/>
      <c r="R877" s="94"/>
      <c r="S877" s="60"/>
      <c r="T877" s="62"/>
      <c r="U877" s="62"/>
      <c r="V877" s="62"/>
      <c r="W877" s="61"/>
      <c r="X877" s="62"/>
      <c r="Y877" s="62"/>
      <c r="Z877" s="66"/>
      <c r="AA877" s="94"/>
      <c r="AB877" s="69"/>
      <c r="AC877" s="94"/>
      <c r="AD877" s="94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4"/>
      <c r="O878" s="94"/>
      <c r="P878" s="94"/>
      <c r="Q878" s="94"/>
      <c r="R878" s="94"/>
      <c r="S878" s="94"/>
      <c r="T878" s="62"/>
      <c r="U878" s="62"/>
      <c r="V878" s="62"/>
      <c r="W878" s="61"/>
      <c r="X878" s="62"/>
      <c r="Y878" s="62"/>
      <c r="Z878" s="94"/>
      <c r="AA878" s="94"/>
      <c r="AB878" s="94"/>
      <c r="AC878" s="94"/>
      <c r="AD878" s="94"/>
      <c r="AE878" s="94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4"/>
      <c r="C879" s="94"/>
      <c r="D879" s="94"/>
      <c r="E879" s="94"/>
      <c r="F879" s="94"/>
      <c r="G879" s="94"/>
      <c r="H879" s="62"/>
      <c r="I879" s="62"/>
      <c r="J879" s="62"/>
      <c r="K879" s="62"/>
      <c r="L879" s="62"/>
      <c r="M879" s="62"/>
      <c r="N879" s="94"/>
      <c r="O879" s="94"/>
      <c r="P879" s="94"/>
      <c r="Q879" s="94"/>
      <c r="R879" s="94"/>
      <c r="S879" s="94"/>
      <c r="T879" s="62"/>
      <c r="U879" s="62"/>
      <c r="V879" s="62"/>
      <c r="W879" s="62"/>
      <c r="X879" s="62"/>
      <c r="Y879" s="62"/>
      <c r="Z879" s="94"/>
      <c r="AA879" s="94"/>
      <c r="AB879" s="94"/>
      <c r="AC879" s="94"/>
      <c r="AD879" s="94"/>
      <c r="AE879" s="94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4"/>
      <c r="C880" s="94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4"/>
      <c r="O880" s="94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4"/>
      <c r="AA880" s="94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4"/>
      <c r="C882" s="94"/>
      <c r="D882" s="94"/>
      <c r="E882" s="94"/>
      <c r="F882" s="94"/>
      <c r="G882" s="94"/>
      <c r="H882" s="62"/>
      <c r="I882" s="62"/>
      <c r="J882" s="62"/>
      <c r="K882" s="62"/>
      <c r="L882" s="62"/>
      <c r="M882" s="62"/>
      <c r="N882" s="94"/>
      <c r="O882" s="94"/>
      <c r="P882" s="94"/>
      <c r="Q882" s="94"/>
      <c r="R882" s="94"/>
      <c r="S882" s="94"/>
      <c r="T882" s="62"/>
      <c r="U882" s="62"/>
      <c r="V882" s="62"/>
      <c r="W882" s="62"/>
      <c r="X882" s="62"/>
      <c r="Y882" s="62"/>
      <c r="Z882" s="94"/>
      <c r="AA882" s="94"/>
      <c r="AB882" s="94"/>
      <c r="AC882" s="94"/>
      <c r="AD882" s="94"/>
      <c r="AE882" s="94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4"/>
      <c r="C883" s="94"/>
      <c r="D883" s="94"/>
      <c r="E883" s="94"/>
      <c r="F883" s="94"/>
      <c r="G883" s="94"/>
      <c r="H883" s="62"/>
      <c r="I883" s="62"/>
      <c r="J883" s="62"/>
      <c r="K883" s="62"/>
      <c r="L883" s="62"/>
      <c r="M883" s="62"/>
      <c r="N883" s="94"/>
      <c r="O883" s="94"/>
      <c r="P883" s="94"/>
      <c r="Q883" s="94"/>
      <c r="R883" s="94"/>
      <c r="S883" s="94"/>
      <c r="T883" s="62"/>
      <c r="U883" s="62"/>
      <c r="V883" s="62"/>
      <c r="W883" s="62"/>
      <c r="X883" s="62"/>
      <c r="Y883" s="62"/>
      <c r="Z883" s="94"/>
      <c r="AA883" s="94"/>
      <c r="AB883" s="94"/>
      <c r="AC883" s="94"/>
      <c r="AD883" s="94"/>
      <c r="AE883" s="94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4"/>
      <c r="C884" s="94"/>
      <c r="D884" s="94"/>
      <c r="E884" s="94"/>
      <c r="F884" s="94"/>
      <c r="G884" s="94"/>
      <c r="H884" s="62"/>
      <c r="I884" s="62"/>
      <c r="J884" s="62"/>
      <c r="K884" s="62"/>
      <c r="L884" s="62"/>
      <c r="M884" s="62"/>
      <c r="N884" s="94"/>
      <c r="O884" s="94"/>
      <c r="P884" s="94"/>
      <c r="Q884" s="94"/>
      <c r="R884" s="94"/>
      <c r="S884" s="94"/>
      <c r="T884" s="62"/>
      <c r="U884" s="62"/>
      <c r="V884" s="62"/>
      <c r="W884" s="62"/>
      <c r="X884" s="62"/>
      <c r="Y884" s="62"/>
      <c r="Z884" s="94"/>
      <c r="AA884" s="94"/>
      <c r="AB884" s="94"/>
      <c r="AC884" s="94"/>
      <c r="AD884" s="94"/>
      <c r="AE884" s="94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4"/>
      <c r="C885" s="94"/>
      <c r="D885" s="94"/>
      <c r="E885" s="94"/>
      <c r="F885" s="94"/>
      <c r="G885" s="94"/>
      <c r="H885" s="62"/>
      <c r="I885" s="62"/>
      <c r="J885" s="62"/>
      <c r="K885" s="62"/>
      <c r="L885" s="62"/>
      <c r="M885" s="63"/>
      <c r="N885" s="94"/>
      <c r="O885" s="94"/>
      <c r="P885" s="94"/>
      <c r="Q885" s="94"/>
      <c r="R885" s="94"/>
      <c r="S885" s="94"/>
      <c r="T885" s="62"/>
      <c r="U885" s="62"/>
      <c r="V885" s="62"/>
      <c r="W885" s="62"/>
      <c r="X885" s="62"/>
      <c r="Y885" s="63"/>
      <c r="Z885" s="94"/>
      <c r="AA885" s="94"/>
      <c r="AB885" s="94"/>
      <c r="AC885" s="94"/>
      <c r="AD885" s="94"/>
      <c r="AE885" s="94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4"/>
      <c r="C886" s="94"/>
      <c r="D886" s="94"/>
      <c r="E886" s="94"/>
      <c r="F886" s="94"/>
      <c r="G886" s="94"/>
      <c r="H886" s="62"/>
      <c r="I886" s="62"/>
      <c r="J886" s="62"/>
      <c r="K886" s="62"/>
      <c r="L886" s="62"/>
      <c r="M886" s="62"/>
      <c r="N886" s="94"/>
      <c r="O886" s="94"/>
      <c r="P886" s="94"/>
      <c r="Q886" s="94"/>
      <c r="R886" s="94"/>
      <c r="S886" s="94"/>
      <c r="T886" s="62"/>
      <c r="U886" s="62"/>
      <c r="V886" s="62"/>
      <c r="W886" s="62"/>
      <c r="X886" s="62"/>
      <c r="Y886" s="62"/>
      <c r="Z886" s="94"/>
      <c r="AA886" s="94"/>
      <c r="AB886" s="94"/>
      <c r="AC886" s="94"/>
      <c r="AD886" s="94"/>
      <c r="AE886" s="94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4"/>
      <c r="C887" s="94"/>
      <c r="D887" s="94"/>
      <c r="E887" s="94"/>
      <c r="F887" s="94"/>
      <c r="G887" s="94"/>
      <c r="H887" s="62"/>
      <c r="I887" s="94"/>
      <c r="J887" s="74"/>
      <c r="K887" s="62"/>
      <c r="L887" s="62"/>
      <c r="M887" s="62"/>
      <c r="N887" s="94"/>
      <c r="O887" s="94"/>
      <c r="P887" s="94"/>
      <c r="Q887" s="94"/>
      <c r="R887" s="94"/>
      <c r="S887" s="94"/>
      <c r="T887" s="62"/>
      <c r="U887" s="94"/>
      <c r="V887" s="74"/>
      <c r="W887" s="62"/>
      <c r="X887" s="62"/>
      <c r="Y887" s="62"/>
      <c r="Z887" s="94"/>
      <c r="AA887" s="94"/>
      <c r="AB887" s="94"/>
      <c r="AC887" s="94"/>
      <c r="AD887" s="94"/>
      <c r="AE887" s="94"/>
      <c r="AF887" s="62"/>
      <c r="AG887" s="94"/>
      <c r="AH887" s="9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4"/>
      <c r="C888" s="94"/>
      <c r="D888" s="94"/>
      <c r="E888" s="94"/>
      <c r="F888" s="94"/>
      <c r="G888" s="94"/>
      <c r="H888" s="62"/>
      <c r="I888" s="65"/>
      <c r="J888" s="65"/>
      <c r="K888" s="62"/>
      <c r="L888" s="62"/>
      <c r="M888" s="64"/>
      <c r="N888" s="94"/>
      <c r="O888" s="94"/>
      <c r="P888" s="94"/>
      <c r="Q888" s="94"/>
      <c r="R888" s="94"/>
      <c r="S888" s="94"/>
      <c r="T888" s="62"/>
      <c r="U888" s="65"/>
      <c r="V888" s="65"/>
      <c r="W888" s="62"/>
      <c r="X888" s="62"/>
      <c r="Y888" s="64"/>
      <c r="Z888" s="94"/>
      <c r="AA888" s="94"/>
      <c r="AB888" s="94"/>
      <c r="AC888" s="94"/>
      <c r="AD888" s="94"/>
      <c r="AE888" s="94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4"/>
      <c r="C889" s="94"/>
      <c r="D889" s="94"/>
      <c r="E889" s="94"/>
      <c r="F889" s="94"/>
      <c r="G889" s="94"/>
      <c r="H889" s="62"/>
      <c r="I889" s="62"/>
      <c r="J889" s="62"/>
      <c r="K889" s="62"/>
      <c r="L889" s="62"/>
      <c r="M889" s="62"/>
      <c r="N889" s="94"/>
      <c r="O889" s="94"/>
      <c r="P889" s="94"/>
      <c r="Q889" s="94"/>
      <c r="R889" s="94"/>
      <c r="S889" s="94"/>
      <c r="T889" s="62"/>
      <c r="U889" s="62"/>
      <c r="V889" s="62"/>
      <c r="W889" s="62"/>
      <c r="X889" s="62"/>
      <c r="Y889" s="62"/>
      <c r="Z889" s="94"/>
      <c r="AA889" s="94"/>
      <c r="AB889" s="94"/>
      <c r="AC889" s="94"/>
      <c r="AD889" s="94"/>
      <c r="AE889" s="94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4"/>
      <c r="D890" s="116"/>
      <c r="E890" s="116"/>
      <c r="F890" s="94"/>
      <c r="G890" s="94"/>
      <c r="H890" s="62"/>
      <c r="I890" s="116"/>
      <c r="J890" s="116"/>
      <c r="K890" s="115"/>
      <c r="L890" s="62"/>
      <c r="M890" s="62"/>
      <c r="N890" s="65"/>
      <c r="O890" s="94"/>
      <c r="P890" s="116"/>
      <c r="Q890" s="116"/>
      <c r="R890" s="94"/>
      <c r="S890" s="94"/>
      <c r="T890" s="62"/>
      <c r="U890" s="116"/>
      <c r="V890" s="116"/>
      <c r="W890" s="115"/>
      <c r="X890" s="62"/>
      <c r="Y890" s="62"/>
      <c r="Z890" s="65"/>
      <c r="AA890" s="94"/>
      <c r="AB890" s="116"/>
      <c r="AC890" s="116"/>
      <c r="AD890" s="94"/>
      <c r="AE890" s="94"/>
      <c r="AF890" s="62"/>
      <c r="AG890" s="116"/>
      <c r="AH890" s="116"/>
      <c r="AI890" s="11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4"/>
      <c r="C891" s="94"/>
      <c r="D891" s="81"/>
      <c r="E891" s="82"/>
      <c r="F891" s="83"/>
      <c r="G891" s="83"/>
      <c r="H891" s="62"/>
      <c r="I891" s="93"/>
      <c r="J891" s="93"/>
      <c r="K891" s="115"/>
      <c r="L891" s="62"/>
      <c r="M891" s="62"/>
      <c r="N891" s="94"/>
      <c r="O891" s="94"/>
      <c r="P891" s="81"/>
      <c r="Q891" s="83"/>
      <c r="R891" s="83"/>
      <c r="S891" s="83"/>
      <c r="T891" s="62"/>
      <c r="U891" s="93"/>
      <c r="V891" s="93"/>
      <c r="W891" s="115"/>
      <c r="X891" s="62"/>
      <c r="Y891" s="62"/>
      <c r="Z891" s="94"/>
      <c r="AA891" s="94"/>
      <c r="AB891" s="81"/>
      <c r="AC891" s="83"/>
      <c r="AD891" s="83"/>
      <c r="AE891" s="83"/>
      <c r="AF891" s="62"/>
      <c r="AG891" s="93"/>
      <c r="AH891" s="93"/>
      <c r="AI891" s="11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2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4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4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2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4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4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2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4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4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2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4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4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2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4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4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2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4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65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2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4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4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65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4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4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2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4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4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2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4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4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2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4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92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4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4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2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4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4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2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4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4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2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4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4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4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2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4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4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4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4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2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4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4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2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4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4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2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94"/>
      <c r="R912" s="94"/>
      <c r="S912" s="60"/>
      <c r="T912" s="62"/>
      <c r="U912" s="62"/>
      <c r="V912" s="62"/>
      <c r="W912" s="61"/>
      <c r="X912" s="62"/>
      <c r="Y912" s="62"/>
      <c r="Z912" s="66"/>
      <c r="AA912" s="94"/>
      <c r="AB912" s="67"/>
      <c r="AC912" s="94"/>
      <c r="AD912" s="94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2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4"/>
      <c r="P913" s="68"/>
      <c r="Q913" s="94"/>
      <c r="R913" s="94"/>
      <c r="S913" s="60"/>
      <c r="T913" s="62"/>
      <c r="U913" s="62"/>
      <c r="V913" s="62"/>
      <c r="W913" s="61"/>
      <c r="X913" s="62"/>
      <c r="Y913" s="62"/>
      <c r="Z913" s="66"/>
      <c r="AA913" s="94"/>
      <c r="AB913" s="68"/>
      <c r="AC913" s="94"/>
      <c r="AD913" s="94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2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4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94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4"/>
      <c r="P915" s="69"/>
      <c r="Q915" s="94"/>
      <c r="R915" s="94"/>
      <c r="S915" s="60"/>
      <c r="T915" s="62"/>
      <c r="U915" s="62"/>
      <c r="V915" s="62"/>
      <c r="W915" s="61"/>
      <c r="X915" s="62"/>
      <c r="Y915" s="62"/>
      <c r="Z915" s="66"/>
      <c r="AA915" s="94"/>
      <c r="AB915" s="69"/>
      <c r="AC915" s="94"/>
      <c r="AD915" s="94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62"/>
      <c r="P916" s="69"/>
      <c r="Q916" s="94"/>
      <c r="R916" s="94"/>
      <c r="S916" s="60"/>
      <c r="T916" s="62"/>
      <c r="U916" s="62"/>
      <c r="V916" s="62"/>
      <c r="W916" s="61"/>
      <c r="X916" s="62"/>
      <c r="Y916" s="62"/>
      <c r="Z916" s="66"/>
      <c r="AA916" s="65"/>
      <c r="AB916" s="69"/>
      <c r="AC916" s="94"/>
      <c r="AD916" s="94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65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94"/>
      <c r="R917" s="94"/>
      <c r="S917" s="60"/>
      <c r="T917" s="62"/>
      <c r="U917" s="62"/>
      <c r="V917" s="62"/>
      <c r="W917" s="61"/>
      <c r="X917" s="62"/>
      <c r="Y917" s="62"/>
      <c r="Z917" s="66"/>
      <c r="AA917" s="62"/>
      <c r="AB917" s="69"/>
      <c r="AC917" s="94"/>
      <c r="AD917" s="94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4"/>
      <c r="P918" s="69"/>
      <c r="Q918" s="94"/>
      <c r="R918" s="94"/>
      <c r="S918" s="60"/>
      <c r="T918" s="62"/>
      <c r="U918" s="62"/>
      <c r="V918" s="62"/>
      <c r="W918" s="61"/>
      <c r="X918" s="62"/>
      <c r="Y918" s="62"/>
      <c r="Z918" s="66"/>
      <c r="AA918" s="94"/>
      <c r="AB918" s="69"/>
      <c r="AC918" s="94"/>
      <c r="AD918" s="94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4"/>
      <c r="P919" s="69"/>
      <c r="Q919" s="94"/>
      <c r="R919" s="94"/>
      <c r="S919" s="60"/>
      <c r="T919" s="62"/>
      <c r="U919" s="62"/>
      <c r="V919" s="62"/>
      <c r="W919" s="61"/>
      <c r="X919" s="62"/>
      <c r="Y919" s="62"/>
      <c r="Z919" s="66"/>
      <c r="AA919" s="94"/>
      <c r="AB919" s="69"/>
      <c r="AC919" s="94"/>
      <c r="AD919" s="94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94"/>
      <c r="R920" s="94"/>
      <c r="S920" s="60"/>
      <c r="T920" s="62"/>
      <c r="U920" s="62"/>
      <c r="V920" s="62"/>
      <c r="W920" s="61"/>
      <c r="X920" s="62"/>
      <c r="Y920" s="62"/>
      <c r="Z920" s="66"/>
      <c r="AA920" s="94"/>
      <c r="AB920" s="69"/>
      <c r="AC920" s="94"/>
      <c r="AD920" s="94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94"/>
      <c r="R921" s="94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4"/>
      <c r="AD921" s="94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4"/>
      <c r="P922" s="69"/>
      <c r="Q922" s="94"/>
      <c r="R922" s="94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4"/>
      <c r="AD922" s="94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62"/>
      <c r="P923" s="69"/>
      <c r="Q923" s="94"/>
      <c r="R923" s="94"/>
      <c r="S923" s="60"/>
      <c r="T923" s="62"/>
      <c r="U923" s="62"/>
      <c r="V923" s="62"/>
      <c r="W923" s="61"/>
      <c r="X923" s="62"/>
      <c r="Y923" s="62"/>
      <c r="Z923" s="66"/>
      <c r="AA923" s="94"/>
      <c r="AB923" s="69"/>
      <c r="AC923" s="94"/>
      <c r="AD923" s="94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4"/>
      <c r="P924" s="69"/>
      <c r="Q924" s="94"/>
      <c r="R924" s="94"/>
      <c r="S924" s="60"/>
      <c r="T924" s="62"/>
      <c r="U924" s="62"/>
      <c r="V924" s="62"/>
      <c r="W924" s="61"/>
      <c r="X924" s="62"/>
      <c r="Y924" s="62"/>
      <c r="Z924" s="66"/>
      <c r="AA924" s="94"/>
      <c r="AB924" s="69"/>
      <c r="AC924" s="94"/>
      <c r="AD924" s="94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4"/>
      <c r="P925" s="69"/>
      <c r="Q925" s="94"/>
      <c r="R925" s="94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4"/>
      <c r="AD925" s="94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4"/>
      <c r="P926" s="69"/>
      <c r="Q926" s="94"/>
      <c r="R926" s="94"/>
      <c r="S926" s="60"/>
      <c r="T926" s="62"/>
      <c r="U926" s="62"/>
      <c r="V926" s="62"/>
      <c r="W926" s="61"/>
      <c r="X926" s="62"/>
      <c r="Y926" s="62"/>
      <c r="Z926" s="66"/>
      <c r="AA926" s="94"/>
      <c r="AB926" s="69"/>
      <c r="AC926" s="94"/>
      <c r="AD926" s="94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4"/>
      <c r="P927" s="69"/>
      <c r="Q927" s="94"/>
      <c r="R927" s="94"/>
      <c r="S927" s="60"/>
      <c r="T927" s="62"/>
      <c r="U927" s="62"/>
      <c r="V927" s="62"/>
      <c r="W927" s="61"/>
      <c r="X927" s="62"/>
      <c r="Y927" s="62"/>
      <c r="Z927" s="66"/>
      <c r="AA927" s="94"/>
      <c r="AB927" s="69"/>
      <c r="AC927" s="94"/>
      <c r="AD927" s="94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4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4"/>
      <c r="R928" s="94"/>
      <c r="S928" s="60"/>
      <c r="T928" s="62"/>
      <c r="U928" s="62"/>
      <c r="V928" s="62"/>
      <c r="W928" s="61"/>
      <c r="X928" s="62"/>
      <c r="Y928" s="62"/>
      <c r="Z928" s="66"/>
      <c r="AA928" s="94"/>
      <c r="AB928" s="69"/>
      <c r="AC928" s="94"/>
      <c r="AD928" s="94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4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4"/>
      <c r="P929" s="69"/>
      <c r="Q929" s="94"/>
      <c r="R929" s="94"/>
      <c r="S929" s="60"/>
      <c r="T929" s="62"/>
      <c r="U929" s="62"/>
      <c r="V929" s="62"/>
      <c r="W929" s="61"/>
      <c r="X929" s="62"/>
      <c r="Y929" s="62"/>
      <c r="Z929" s="66"/>
      <c r="AA929" s="94"/>
      <c r="AB929" s="69"/>
      <c r="AC929" s="94"/>
      <c r="AD929" s="94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4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4"/>
      <c r="P930" s="69"/>
      <c r="Q930" s="94"/>
      <c r="R930" s="94"/>
      <c r="S930" s="60"/>
      <c r="T930" s="62"/>
      <c r="U930" s="62"/>
      <c r="V930" s="62"/>
      <c r="W930" s="61"/>
      <c r="X930" s="62"/>
      <c r="Y930" s="62"/>
      <c r="Z930" s="66"/>
      <c r="AA930" s="94"/>
      <c r="AB930" s="69"/>
      <c r="AC930" s="94"/>
      <c r="AD930" s="94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4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4"/>
      <c r="R931" s="94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4"/>
      <c r="AD931" s="94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4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4"/>
      <c r="P932" s="69"/>
      <c r="Q932" s="94"/>
      <c r="R932" s="94"/>
      <c r="S932" s="60"/>
      <c r="T932" s="62"/>
      <c r="U932" s="62"/>
      <c r="V932" s="62"/>
      <c r="W932" s="61"/>
      <c r="X932" s="62"/>
      <c r="Y932" s="62"/>
      <c r="Z932" s="66"/>
      <c r="AA932" s="94"/>
      <c r="AB932" s="69"/>
      <c r="AC932" s="94"/>
      <c r="AD932" s="94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4"/>
      <c r="O933" s="94"/>
      <c r="P933" s="94"/>
      <c r="Q933" s="94"/>
      <c r="R933" s="94"/>
      <c r="S933" s="94"/>
      <c r="T933" s="62"/>
      <c r="U933" s="62"/>
      <c r="V933" s="62"/>
      <c r="W933" s="61"/>
      <c r="X933" s="62"/>
      <c r="Y933" s="62"/>
      <c r="Z933" s="94"/>
      <c r="AA933" s="94"/>
      <c r="AB933" s="94"/>
      <c r="AC933" s="94"/>
      <c r="AD933" s="94"/>
      <c r="AE933" s="94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4"/>
      <c r="C934" s="94"/>
      <c r="D934" s="94"/>
      <c r="E934" s="94"/>
      <c r="F934" s="94"/>
      <c r="G934" s="94"/>
      <c r="H934" s="62"/>
      <c r="I934" s="62"/>
      <c r="J934" s="62"/>
      <c r="K934" s="62"/>
      <c r="L934" s="62"/>
      <c r="M934" s="62"/>
      <c r="N934" s="94"/>
      <c r="O934" s="94"/>
      <c r="P934" s="94"/>
      <c r="Q934" s="94"/>
      <c r="R934" s="94"/>
      <c r="S934" s="94"/>
      <c r="T934" s="62"/>
      <c r="U934" s="62"/>
      <c r="V934" s="62"/>
      <c r="W934" s="62"/>
      <c r="X934" s="62"/>
      <c r="Y934" s="62"/>
      <c r="Z934" s="94"/>
      <c r="AA934" s="94"/>
      <c r="AB934" s="94"/>
      <c r="AC934" s="94"/>
      <c r="AD934" s="94"/>
      <c r="AE934" s="94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4"/>
      <c r="C935" s="94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4"/>
      <c r="O935" s="94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4"/>
      <c r="AA935" s="94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4"/>
      <c r="C937" s="94"/>
      <c r="D937" s="94"/>
      <c r="E937" s="94"/>
      <c r="F937" s="94"/>
      <c r="G937" s="94"/>
      <c r="H937" s="62"/>
      <c r="I937" s="62"/>
      <c r="J937" s="62"/>
      <c r="K937" s="62"/>
      <c r="L937" s="62"/>
      <c r="M937" s="62"/>
      <c r="N937" s="94"/>
      <c r="O937" s="94"/>
      <c r="P937" s="94"/>
      <c r="Q937" s="94"/>
      <c r="R937" s="94"/>
      <c r="S937" s="94"/>
      <c r="T937" s="62"/>
      <c r="U937" s="62"/>
      <c r="V937" s="62"/>
      <c r="W937" s="62"/>
      <c r="X937" s="62"/>
      <c r="Y937" s="62"/>
      <c r="Z937" s="94"/>
      <c r="AA937" s="94"/>
      <c r="AB937" s="94"/>
      <c r="AC937" s="94"/>
      <c r="AD937" s="94"/>
      <c r="AE937" s="94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4"/>
      <c r="C938" s="94"/>
      <c r="D938" s="94"/>
      <c r="E938" s="94"/>
      <c r="F938" s="94"/>
      <c r="G938" s="94"/>
      <c r="H938" s="62"/>
      <c r="I938" s="62"/>
      <c r="J938" s="62"/>
      <c r="K938" s="62"/>
      <c r="L938" s="62"/>
      <c r="M938" s="62"/>
      <c r="N938" s="94"/>
      <c r="O938" s="94"/>
      <c r="P938" s="94"/>
      <c r="Q938" s="94"/>
      <c r="R938" s="94"/>
      <c r="S938" s="94"/>
      <c r="T938" s="62"/>
      <c r="U938" s="62"/>
      <c r="V938" s="62"/>
      <c r="W938" s="62"/>
      <c r="X938" s="62"/>
      <c r="Y938" s="62"/>
      <c r="Z938" s="94"/>
      <c r="AA938" s="94"/>
      <c r="AB938" s="94"/>
      <c r="AC938" s="94"/>
      <c r="AD938" s="94"/>
      <c r="AE938" s="94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4"/>
      <c r="C939" s="94"/>
      <c r="D939" s="94"/>
      <c r="E939" s="94"/>
      <c r="F939" s="94"/>
      <c r="G939" s="94"/>
      <c r="H939" s="62"/>
      <c r="I939" s="62"/>
      <c r="J939" s="62"/>
      <c r="K939" s="62"/>
      <c r="L939" s="62"/>
      <c r="M939" s="62"/>
      <c r="N939" s="94"/>
      <c r="O939" s="94"/>
      <c r="P939" s="94"/>
      <c r="Q939" s="94"/>
      <c r="R939" s="94"/>
      <c r="S939" s="94"/>
      <c r="T939" s="62"/>
      <c r="U939" s="62"/>
      <c r="V939" s="62"/>
      <c r="W939" s="62"/>
      <c r="X939" s="62"/>
      <c r="Y939" s="62"/>
      <c r="Z939" s="94"/>
      <c r="AA939" s="94"/>
      <c r="AB939" s="94"/>
      <c r="AC939" s="94"/>
      <c r="AD939" s="94"/>
      <c r="AE939" s="94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4"/>
      <c r="C940" s="94"/>
      <c r="D940" s="94"/>
      <c r="E940" s="94"/>
      <c r="F940" s="94"/>
      <c r="G940" s="94"/>
      <c r="H940" s="62"/>
      <c r="I940" s="62"/>
      <c r="J940" s="62"/>
      <c r="K940" s="62"/>
      <c r="L940" s="62"/>
      <c r="M940" s="63"/>
      <c r="N940" s="94"/>
      <c r="O940" s="94"/>
      <c r="P940" s="94"/>
      <c r="Q940" s="94"/>
      <c r="R940" s="94"/>
      <c r="S940" s="94"/>
      <c r="T940" s="62"/>
      <c r="U940" s="62"/>
      <c r="V940" s="62"/>
      <c r="W940" s="62"/>
      <c r="X940" s="62"/>
      <c r="Y940" s="63"/>
      <c r="Z940" s="94"/>
      <c r="AA940" s="94"/>
      <c r="AB940" s="94"/>
      <c r="AC940" s="94"/>
      <c r="AD940" s="94"/>
      <c r="AE940" s="94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4"/>
      <c r="C941" s="94"/>
      <c r="D941" s="94"/>
      <c r="E941" s="94"/>
      <c r="F941" s="94"/>
      <c r="G941" s="94"/>
      <c r="H941" s="62"/>
      <c r="I941" s="62"/>
      <c r="J941" s="62"/>
      <c r="K941" s="62"/>
      <c r="L941" s="62"/>
      <c r="M941" s="62"/>
      <c r="N941" s="94"/>
      <c r="O941" s="94"/>
      <c r="P941" s="94"/>
      <c r="Q941" s="94"/>
      <c r="R941" s="94"/>
      <c r="S941" s="94"/>
      <c r="T941" s="62"/>
      <c r="U941" s="62"/>
      <c r="V941" s="62"/>
      <c r="W941" s="62"/>
      <c r="X941" s="62"/>
      <c r="Y941" s="62"/>
      <c r="Z941" s="94"/>
      <c r="AA941" s="94"/>
      <c r="AB941" s="94"/>
      <c r="AC941" s="94"/>
      <c r="AD941" s="94"/>
      <c r="AE941" s="94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4"/>
      <c r="C942" s="94"/>
      <c r="D942" s="94"/>
      <c r="E942" s="94"/>
      <c r="F942" s="94"/>
      <c r="G942" s="94"/>
      <c r="H942" s="62"/>
      <c r="I942" s="94"/>
      <c r="J942" s="74"/>
      <c r="K942" s="62"/>
      <c r="L942" s="62"/>
      <c r="M942" s="62"/>
      <c r="N942" s="94"/>
      <c r="O942" s="94"/>
      <c r="P942" s="94"/>
      <c r="Q942" s="94"/>
      <c r="R942" s="94"/>
      <c r="S942" s="94"/>
      <c r="T942" s="62"/>
      <c r="U942" s="94"/>
      <c r="V942" s="74"/>
      <c r="W942" s="62"/>
      <c r="X942" s="62"/>
      <c r="Y942" s="62"/>
      <c r="Z942" s="94"/>
      <c r="AA942" s="94"/>
      <c r="AB942" s="94"/>
      <c r="AC942" s="94"/>
      <c r="AD942" s="94"/>
      <c r="AE942" s="94"/>
      <c r="AF942" s="62"/>
      <c r="AG942" s="94"/>
      <c r="AH942" s="9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4"/>
      <c r="C943" s="94"/>
      <c r="D943" s="94"/>
      <c r="E943" s="94"/>
      <c r="F943" s="94"/>
      <c r="G943" s="94"/>
      <c r="H943" s="62"/>
      <c r="I943" s="65"/>
      <c r="J943" s="65"/>
      <c r="K943" s="62"/>
      <c r="L943" s="62"/>
      <c r="M943" s="64"/>
      <c r="N943" s="94"/>
      <c r="O943" s="94"/>
      <c r="P943" s="94"/>
      <c r="Q943" s="94"/>
      <c r="R943" s="94"/>
      <c r="S943" s="94"/>
      <c r="T943" s="62"/>
      <c r="U943" s="65"/>
      <c r="V943" s="65"/>
      <c r="W943" s="62"/>
      <c r="X943" s="62"/>
      <c r="Y943" s="64"/>
      <c r="Z943" s="94"/>
      <c r="AA943" s="94"/>
      <c r="AB943" s="94"/>
      <c r="AC943" s="94"/>
      <c r="AD943" s="94"/>
      <c r="AE943" s="94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4"/>
      <c r="C944" s="94"/>
      <c r="D944" s="94"/>
      <c r="E944" s="94"/>
      <c r="F944" s="94"/>
      <c r="G944" s="94"/>
      <c r="H944" s="62"/>
      <c r="I944" s="62"/>
      <c r="J944" s="62"/>
      <c r="K944" s="62"/>
      <c r="L944" s="62"/>
      <c r="M944" s="62"/>
      <c r="N944" s="94"/>
      <c r="O944" s="94"/>
      <c r="P944" s="94"/>
      <c r="Q944" s="94"/>
      <c r="R944" s="94"/>
      <c r="S944" s="94"/>
      <c r="T944" s="62"/>
      <c r="U944" s="62"/>
      <c r="V944" s="62"/>
      <c r="W944" s="62"/>
      <c r="X944" s="62"/>
      <c r="Y944" s="62"/>
      <c r="Z944" s="94"/>
      <c r="AA944" s="94"/>
      <c r="AB944" s="94"/>
      <c r="AC944" s="94"/>
      <c r="AD944" s="94"/>
      <c r="AE944" s="94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4"/>
      <c r="D945" s="116"/>
      <c r="E945" s="116"/>
      <c r="F945" s="94"/>
      <c r="G945" s="94"/>
      <c r="H945" s="62"/>
      <c r="I945" s="116"/>
      <c r="J945" s="116"/>
      <c r="K945" s="115"/>
      <c r="L945" s="62"/>
      <c r="M945" s="62"/>
      <c r="N945" s="65"/>
      <c r="O945" s="94"/>
      <c r="P945" s="116"/>
      <c r="Q945" s="116"/>
      <c r="R945" s="94"/>
      <c r="S945" s="94"/>
      <c r="T945" s="62"/>
      <c r="U945" s="116"/>
      <c r="V945" s="116"/>
      <c r="W945" s="115"/>
      <c r="X945" s="62"/>
      <c r="Y945" s="62"/>
      <c r="Z945" s="65"/>
      <c r="AA945" s="94"/>
      <c r="AB945" s="116"/>
      <c r="AC945" s="116"/>
      <c r="AD945" s="94"/>
      <c r="AE945" s="94"/>
      <c r="AF945" s="62"/>
      <c r="AG945" s="116"/>
      <c r="AH945" s="116"/>
      <c r="AI945" s="115"/>
      <c r="AJ945" s="62"/>
      <c r="AK945" s="62"/>
      <c r="AL945" s="65"/>
      <c r="AM945" s="87"/>
      <c r="AN945" s="116"/>
      <c r="AO945" s="116"/>
      <c r="AP945" s="87"/>
      <c r="AQ945" s="84"/>
      <c r="AR945" s="62"/>
      <c r="AS945" s="116"/>
      <c r="AT945" s="116"/>
      <c r="AU945" s="115"/>
      <c r="AV945" s="62"/>
      <c r="AW945" s="62"/>
      <c r="AX945" s="62"/>
      <c r="AY945" s="62"/>
      <c r="AZ945" s="62"/>
    </row>
    <row r="946" spans="1:52" x14ac:dyDescent="0.25">
      <c r="A946" s="62"/>
      <c r="B946" s="94"/>
      <c r="C946" s="94"/>
      <c r="D946" s="81"/>
      <c r="E946" s="82"/>
      <c r="F946" s="83"/>
      <c r="G946" s="83"/>
      <c r="H946" s="62"/>
      <c r="I946" s="93"/>
      <c r="J946" s="93"/>
      <c r="K946" s="115"/>
      <c r="L946" s="62"/>
      <c r="M946" s="62"/>
      <c r="N946" s="94"/>
      <c r="O946" s="94"/>
      <c r="P946" s="81"/>
      <c r="Q946" s="83"/>
      <c r="R946" s="83"/>
      <c r="S946" s="83"/>
      <c r="T946" s="62"/>
      <c r="U946" s="93"/>
      <c r="V946" s="93"/>
      <c r="W946" s="115"/>
      <c r="X946" s="62"/>
      <c r="Y946" s="62"/>
      <c r="Z946" s="94"/>
      <c r="AA946" s="94"/>
      <c r="AB946" s="81"/>
      <c r="AC946" s="83"/>
      <c r="AD946" s="83"/>
      <c r="AE946" s="83"/>
      <c r="AF946" s="62"/>
      <c r="AG946" s="93"/>
      <c r="AH946" s="93"/>
      <c r="AI946" s="115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2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4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4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2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4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4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2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4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4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2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4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4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2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4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94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2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4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4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2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4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2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4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4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2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4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4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2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4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4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2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4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5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4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4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2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4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4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92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94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4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2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4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4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2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4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2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4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4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2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4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4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2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4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4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2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4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4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94"/>
      <c r="R967" s="94"/>
      <c r="S967" s="60"/>
      <c r="T967" s="62"/>
      <c r="U967" s="62"/>
      <c r="V967" s="62"/>
      <c r="W967" s="61"/>
      <c r="X967" s="62"/>
      <c r="Y967" s="62"/>
      <c r="Z967" s="66"/>
      <c r="AA967" s="94"/>
      <c r="AB967" s="67"/>
      <c r="AC967" s="94"/>
      <c r="AD967" s="94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2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4"/>
      <c r="P968" s="68"/>
      <c r="Q968" s="94"/>
      <c r="R968" s="94"/>
      <c r="S968" s="60"/>
      <c r="T968" s="62"/>
      <c r="U968" s="62"/>
      <c r="V968" s="62"/>
      <c r="W968" s="61"/>
      <c r="X968" s="62"/>
      <c r="Y968" s="62"/>
      <c r="Z968" s="66"/>
      <c r="AA968" s="94"/>
      <c r="AB968" s="68"/>
      <c r="AC968" s="94"/>
      <c r="AD968" s="94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2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4"/>
      <c r="P969" s="69"/>
      <c r="Q969" s="62"/>
      <c r="R969" s="62"/>
      <c r="S969" s="60"/>
      <c r="T969" s="62"/>
      <c r="U969" s="62"/>
      <c r="V969" s="62"/>
      <c r="W969" s="61"/>
      <c r="X969" s="62"/>
      <c r="Y969" s="62"/>
      <c r="Z969" s="66"/>
      <c r="AA969" s="94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4"/>
      <c r="P970" s="69"/>
      <c r="Q970" s="94"/>
      <c r="R970" s="94"/>
      <c r="S970" s="60"/>
      <c r="T970" s="62"/>
      <c r="U970" s="62"/>
      <c r="V970" s="62"/>
      <c r="W970" s="61"/>
      <c r="X970" s="62"/>
      <c r="Y970" s="62"/>
      <c r="Z970" s="66"/>
      <c r="AA970" s="94"/>
      <c r="AB970" s="69"/>
      <c r="AC970" s="94"/>
      <c r="AD970" s="94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62"/>
      <c r="P971" s="69"/>
      <c r="Q971" s="94"/>
      <c r="R971" s="94"/>
      <c r="S971" s="60"/>
      <c r="T971" s="62"/>
      <c r="U971" s="62"/>
      <c r="V971" s="62"/>
      <c r="W971" s="61"/>
      <c r="X971" s="62"/>
      <c r="Y971" s="62"/>
      <c r="Z971" s="66"/>
      <c r="AA971" s="62"/>
      <c r="AB971" s="69"/>
      <c r="AC971" s="94"/>
      <c r="AD971" s="94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6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94"/>
      <c r="R972" s="94"/>
      <c r="S972" s="60"/>
      <c r="T972" s="62"/>
      <c r="U972" s="62"/>
      <c r="V972" s="62"/>
      <c r="W972" s="61"/>
      <c r="X972" s="62"/>
      <c r="Y972" s="62"/>
      <c r="Z972" s="66"/>
      <c r="AA972" s="62"/>
      <c r="AB972" s="69"/>
      <c r="AC972" s="94"/>
      <c r="AD972" s="94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4"/>
      <c r="P973" s="69"/>
      <c r="Q973" s="94"/>
      <c r="R973" s="94"/>
      <c r="S973" s="60"/>
      <c r="T973" s="62"/>
      <c r="U973" s="62"/>
      <c r="V973" s="62"/>
      <c r="W973" s="61"/>
      <c r="X973" s="62"/>
      <c r="Y973" s="62"/>
      <c r="Z973" s="66"/>
      <c r="AA973" s="94"/>
      <c r="AB973" s="69"/>
      <c r="AC973" s="94"/>
      <c r="AD973" s="94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4"/>
      <c r="P974" s="69"/>
      <c r="Q974" s="94"/>
      <c r="R974" s="94"/>
      <c r="S974" s="60"/>
      <c r="T974" s="62"/>
      <c r="U974" s="62"/>
      <c r="V974" s="62"/>
      <c r="W974" s="61"/>
      <c r="X974" s="62"/>
      <c r="Y974" s="62"/>
      <c r="Z974" s="66"/>
      <c r="AA974" s="94"/>
      <c r="AB974" s="69"/>
      <c r="AC974" s="94"/>
      <c r="AD974" s="94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94"/>
      <c r="R975" s="94"/>
      <c r="S975" s="60"/>
      <c r="T975" s="62"/>
      <c r="U975" s="62"/>
      <c r="V975" s="62"/>
      <c r="W975" s="61"/>
      <c r="X975" s="62"/>
      <c r="Y975" s="62"/>
      <c r="Z975" s="66"/>
      <c r="AA975" s="94"/>
      <c r="AB975" s="69"/>
      <c r="AC975" s="94"/>
      <c r="AD975" s="94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4"/>
      <c r="R976" s="94"/>
      <c r="S976" s="60"/>
      <c r="T976" s="62"/>
      <c r="U976" s="62"/>
      <c r="V976" s="62"/>
      <c r="W976" s="61"/>
      <c r="X976" s="62"/>
      <c r="Y976" s="62"/>
      <c r="Z976" s="66"/>
      <c r="AA976" s="62"/>
      <c r="AB976" s="69"/>
      <c r="AC976" s="94"/>
      <c r="AD976" s="94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94"/>
      <c r="P977" s="69"/>
      <c r="Q977" s="94"/>
      <c r="R977" s="94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4"/>
      <c r="AD977" s="94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62"/>
      <c r="P978" s="69"/>
      <c r="Q978" s="94"/>
      <c r="R978" s="94"/>
      <c r="S978" s="60"/>
      <c r="T978" s="62"/>
      <c r="U978" s="62"/>
      <c r="V978" s="62"/>
      <c r="W978" s="61"/>
      <c r="X978" s="62"/>
      <c r="Y978" s="62"/>
      <c r="Z978" s="66"/>
      <c r="AA978" s="94"/>
      <c r="AB978" s="69"/>
      <c r="AC978" s="94"/>
      <c r="AD978" s="94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4"/>
      <c r="P979" s="69"/>
      <c r="Q979" s="94"/>
      <c r="R979" s="94"/>
      <c r="S979" s="60"/>
      <c r="T979" s="62"/>
      <c r="U979" s="62"/>
      <c r="V979" s="62"/>
      <c r="W979" s="61"/>
      <c r="X979" s="62"/>
      <c r="Y979" s="62"/>
      <c r="Z979" s="66"/>
      <c r="AA979" s="94"/>
      <c r="AB979" s="69"/>
      <c r="AC979" s="94"/>
      <c r="AD979" s="94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94"/>
      <c r="P980" s="69"/>
      <c r="Q980" s="94"/>
      <c r="R980" s="94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4"/>
      <c r="AD980" s="94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4"/>
      <c r="P981" s="69"/>
      <c r="Q981" s="94"/>
      <c r="R981" s="94"/>
      <c r="S981" s="60"/>
      <c r="T981" s="62"/>
      <c r="U981" s="62"/>
      <c r="V981" s="62"/>
      <c r="W981" s="61"/>
      <c r="X981" s="62"/>
      <c r="Y981" s="62"/>
      <c r="Z981" s="66"/>
      <c r="AA981" s="94"/>
      <c r="AB981" s="69"/>
      <c r="AC981" s="94"/>
      <c r="AD981" s="94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4"/>
      <c r="P982" s="69"/>
      <c r="Q982" s="94"/>
      <c r="R982" s="94"/>
      <c r="S982" s="60"/>
      <c r="T982" s="62"/>
      <c r="U982" s="62"/>
      <c r="V982" s="62"/>
      <c r="W982" s="61"/>
      <c r="X982" s="62"/>
      <c r="Y982" s="62"/>
      <c r="Z982" s="66"/>
      <c r="AA982" s="94"/>
      <c r="AB982" s="69"/>
      <c r="AC982" s="94"/>
      <c r="AD982" s="94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4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4"/>
      <c r="R983" s="94"/>
      <c r="S983" s="60"/>
      <c r="T983" s="62"/>
      <c r="U983" s="62"/>
      <c r="V983" s="62"/>
      <c r="W983" s="61"/>
      <c r="X983" s="62"/>
      <c r="Y983" s="62"/>
      <c r="Z983" s="66"/>
      <c r="AA983" s="94"/>
      <c r="AB983" s="69"/>
      <c r="AC983" s="94"/>
      <c r="AD983" s="94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4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4"/>
      <c r="P984" s="69"/>
      <c r="Q984" s="94"/>
      <c r="R984" s="94"/>
      <c r="S984" s="60"/>
      <c r="T984" s="62"/>
      <c r="U984" s="62"/>
      <c r="V984" s="62"/>
      <c r="W984" s="61"/>
      <c r="X984" s="62"/>
      <c r="Y984" s="62"/>
      <c r="Z984" s="66"/>
      <c r="AA984" s="94"/>
      <c r="AB984" s="69"/>
      <c r="AC984" s="94"/>
      <c r="AD984" s="94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4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4"/>
      <c r="P985" s="69"/>
      <c r="Q985" s="94"/>
      <c r="R985" s="94"/>
      <c r="S985" s="60"/>
      <c r="T985" s="62"/>
      <c r="U985" s="62"/>
      <c r="V985" s="62"/>
      <c r="W985" s="61"/>
      <c r="X985" s="62"/>
      <c r="Y985" s="62"/>
      <c r="Z985" s="66"/>
      <c r="AA985" s="94"/>
      <c r="AB985" s="69"/>
      <c r="AC985" s="94"/>
      <c r="AD985" s="94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4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4"/>
      <c r="R986" s="94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4"/>
      <c r="AD986" s="94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4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4"/>
      <c r="P987" s="69"/>
      <c r="Q987" s="94"/>
      <c r="R987" s="94"/>
      <c r="S987" s="60"/>
      <c r="T987" s="62"/>
      <c r="U987" s="62"/>
      <c r="V987" s="62"/>
      <c r="W987" s="61"/>
      <c r="X987" s="62"/>
      <c r="Y987" s="62"/>
      <c r="Z987" s="66"/>
      <c r="AA987" s="94"/>
      <c r="AB987" s="69"/>
      <c r="AC987" s="94"/>
      <c r="AD987" s="94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4"/>
      <c r="O988" s="94"/>
      <c r="P988" s="94"/>
      <c r="Q988" s="94"/>
      <c r="R988" s="94"/>
      <c r="S988" s="94"/>
      <c r="T988" s="62"/>
      <c r="U988" s="62"/>
      <c r="V988" s="62"/>
      <c r="W988" s="61"/>
      <c r="X988" s="62"/>
      <c r="Y988" s="62"/>
      <c r="Z988" s="94"/>
      <c r="AA988" s="94"/>
      <c r="AB988" s="94"/>
      <c r="AC988" s="94"/>
      <c r="AD988" s="94"/>
      <c r="AE988" s="94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4"/>
      <c r="C989" s="94"/>
      <c r="D989" s="94"/>
      <c r="E989" s="94"/>
      <c r="F989" s="94"/>
      <c r="G989" s="94"/>
      <c r="H989" s="62"/>
      <c r="I989" s="62"/>
      <c r="J989" s="62"/>
      <c r="K989" s="62"/>
      <c r="L989" s="62"/>
      <c r="M989" s="62"/>
      <c r="N989" s="94"/>
      <c r="O989" s="94"/>
      <c r="P989" s="94"/>
      <c r="Q989" s="94"/>
      <c r="R989" s="94"/>
      <c r="S989" s="94"/>
      <c r="T989" s="62"/>
      <c r="U989" s="62"/>
      <c r="V989" s="62"/>
      <c r="W989" s="62"/>
      <c r="X989" s="62"/>
      <c r="Y989" s="62"/>
      <c r="Z989" s="94"/>
      <c r="AA989" s="94"/>
      <c r="AB989" s="94"/>
      <c r="AC989" s="94"/>
      <c r="AD989" s="94"/>
      <c r="AE989" s="94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4"/>
      <c r="C990" s="94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4"/>
      <c r="O990" s="94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4"/>
      <c r="AA990" s="94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4"/>
      <c r="C992" s="94"/>
      <c r="D992" s="94"/>
      <c r="E992" s="94"/>
      <c r="F992" s="94"/>
      <c r="G992" s="94"/>
      <c r="H992" s="62"/>
      <c r="I992" s="62"/>
      <c r="J992" s="62"/>
      <c r="K992" s="62"/>
      <c r="L992" s="62"/>
      <c r="M992" s="62"/>
      <c r="N992" s="94"/>
      <c r="O992" s="94"/>
      <c r="P992" s="94"/>
      <c r="Q992" s="94"/>
      <c r="R992" s="94"/>
      <c r="S992" s="94"/>
      <c r="T992" s="62"/>
      <c r="U992" s="62"/>
      <c r="V992" s="62"/>
      <c r="W992" s="62"/>
      <c r="X992" s="62"/>
      <c r="Y992" s="62"/>
      <c r="Z992" s="94"/>
      <c r="AA992" s="94"/>
      <c r="AB992" s="94"/>
      <c r="AC992" s="94"/>
      <c r="AD992" s="94"/>
      <c r="AE992" s="94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4"/>
      <c r="C993" s="94"/>
      <c r="D993" s="94"/>
      <c r="E993" s="94"/>
      <c r="F993" s="94"/>
      <c r="G993" s="94"/>
      <c r="H993" s="62"/>
      <c r="I993" s="62"/>
      <c r="J993" s="62"/>
      <c r="K993" s="62"/>
      <c r="L993" s="62"/>
      <c r="M993" s="62"/>
      <c r="N993" s="94"/>
      <c r="O993" s="94"/>
      <c r="P993" s="94"/>
      <c r="Q993" s="94"/>
      <c r="R993" s="94"/>
      <c r="S993" s="94"/>
      <c r="T993" s="62"/>
      <c r="U993" s="62"/>
      <c r="V993" s="62"/>
      <c r="W993" s="62"/>
      <c r="X993" s="62"/>
      <c r="Y993" s="62"/>
      <c r="Z993" s="94"/>
      <c r="AA993" s="94"/>
      <c r="AB993" s="94"/>
      <c r="AC993" s="94"/>
      <c r="AD993" s="94"/>
      <c r="AE993" s="94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4"/>
      <c r="C994" s="94"/>
      <c r="D994" s="94"/>
      <c r="E994" s="94"/>
      <c r="F994" s="94"/>
      <c r="G994" s="94"/>
      <c r="H994" s="62"/>
      <c r="I994" s="62"/>
      <c r="J994" s="62"/>
      <c r="K994" s="62"/>
      <c r="L994" s="62"/>
      <c r="M994" s="62"/>
      <c r="N994" s="94"/>
      <c r="O994" s="94"/>
      <c r="P994" s="94"/>
      <c r="Q994" s="94"/>
      <c r="R994" s="94"/>
      <c r="S994" s="94"/>
      <c r="T994" s="62"/>
      <c r="U994" s="62"/>
      <c r="V994" s="62"/>
      <c r="W994" s="62"/>
      <c r="X994" s="62"/>
      <c r="Y994" s="62"/>
      <c r="Z994" s="94"/>
      <c r="AA994" s="94"/>
      <c r="AB994" s="94"/>
      <c r="AC994" s="94"/>
      <c r="AD994" s="94"/>
      <c r="AE994" s="94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4"/>
      <c r="C995" s="94"/>
      <c r="D995" s="94"/>
      <c r="E995" s="94"/>
      <c r="F995" s="94"/>
      <c r="G995" s="94"/>
      <c r="H995" s="62"/>
      <c r="I995" s="62"/>
      <c r="J995" s="62"/>
      <c r="K995" s="62"/>
      <c r="L995" s="62"/>
      <c r="M995" s="63"/>
      <c r="N995" s="94"/>
      <c r="O995" s="94"/>
      <c r="P995" s="94"/>
      <c r="Q995" s="94"/>
      <c r="R995" s="94"/>
      <c r="S995" s="94"/>
      <c r="T995" s="62"/>
      <c r="U995" s="62"/>
      <c r="V995" s="62"/>
      <c r="W995" s="62"/>
      <c r="X995" s="62"/>
      <c r="Y995" s="63"/>
      <c r="Z995" s="94"/>
      <c r="AA995" s="94"/>
      <c r="AB995" s="94"/>
      <c r="AC995" s="94"/>
      <c r="AD995" s="94"/>
      <c r="AE995" s="94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4"/>
      <c r="C996" s="94"/>
      <c r="D996" s="94"/>
      <c r="E996" s="94"/>
      <c r="F996" s="94"/>
      <c r="G996" s="94"/>
      <c r="H996" s="62"/>
      <c r="I996" s="62"/>
      <c r="J996" s="62"/>
      <c r="K996" s="62"/>
      <c r="L996" s="62"/>
      <c r="M996" s="62"/>
      <c r="N996" s="94"/>
      <c r="O996" s="94"/>
      <c r="P996" s="94"/>
      <c r="Q996" s="94"/>
      <c r="R996" s="94"/>
      <c r="S996" s="94"/>
      <c r="T996" s="62"/>
      <c r="U996" s="62"/>
      <c r="V996" s="62"/>
      <c r="W996" s="62"/>
      <c r="X996" s="62"/>
      <c r="Y996" s="62"/>
      <c r="Z996" s="94"/>
      <c r="AA996" s="94"/>
      <c r="AB996" s="94"/>
      <c r="AC996" s="94"/>
      <c r="AD996" s="94"/>
      <c r="AE996" s="94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4"/>
      <c r="C997" s="94"/>
      <c r="D997" s="94"/>
      <c r="E997" s="94"/>
      <c r="F997" s="94"/>
      <c r="G997" s="94"/>
      <c r="H997" s="62"/>
      <c r="I997" s="94"/>
      <c r="J997" s="74"/>
      <c r="K997" s="62"/>
      <c r="L997" s="62"/>
      <c r="M997" s="62"/>
      <c r="N997" s="94"/>
      <c r="O997" s="94"/>
      <c r="P997" s="94"/>
      <c r="Q997" s="94"/>
      <c r="R997" s="94"/>
      <c r="S997" s="94"/>
      <c r="T997" s="62"/>
      <c r="U997" s="94"/>
      <c r="V997" s="74"/>
      <c r="W997" s="62"/>
      <c r="X997" s="62"/>
      <c r="Y997" s="62"/>
      <c r="Z997" s="94"/>
      <c r="AA997" s="94"/>
      <c r="AB997" s="94"/>
      <c r="AC997" s="94"/>
      <c r="AD997" s="94"/>
      <c r="AE997" s="94"/>
      <c r="AF997" s="62"/>
      <c r="AG997" s="94"/>
      <c r="AH997" s="9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4"/>
      <c r="C998" s="94"/>
      <c r="D998" s="94"/>
      <c r="E998" s="94"/>
      <c r="F998" s="94"/>
      <c r="G998" s="94"/>
      <c r="H998" s="62"/>
      <c r="I998" s="65"/>
      <c r="J998" s="65"/>
      <c r="K998" s="62"/>
      <c r="L998" s="62"/>
      <c r="M998" s="64"/>
      <c r="N998" s="94"/>
      <c r="O998" s="94"/>
      <c r="P998" s="94"/>
      <c r="Q998" s="94"/>
      <c r="R998" s="94"/>
      <c r="S998" s="94"/>
      <c r="T998" s="62"/>
      <c r="U998" s="65"/>
      <c r="V998" s="65"/>
      <c r="W998" s="62"/>
      <c r="X998" s="62"/>
      <c r="Y998" s="64"/>
      <c r="Z998" s="94"/>
      <c r="AA998" s="94"/>
      <c r="AB998" s="94"/>
      <c r="AC998" s="94"/>
      <c r="AD998" s="94"/>
      <c r="AE998" s="94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4"/>
      <c r="C999" s="94"/>
      <c r="D999" s="94"/>
      <c r="E999" s="94"/>
      <c r="F999" s="94"/>
      <c r="G999" s="94"/>
      <c r="H999" s="62"/>
      <c r="I999" s="62"/>
      <c r="J999" s="62"/>
      <c r="K999" s="62"/>
      <c r="L999" s="62"/>
      <c r="M999" s="62"/>
      <c r="N999" s="94"/>
      <c r="O999" s="94"/>
      <c r="P999" s="94"/>
      <c r="Q999" s="94"/>
      <c r="R999" s="94"/>
      <c r="S999" s="94"/>
      <c r="T999" s="62"/>
      <c r="U999" s="62"/>
      <c r="V999" s="62"/>
      <c r="W999" s="62"/>
      <c r="X999" s="62"/>
      <c r="Y999" s="62"/>
      <c r="Z999" s="94"/>
      <c r="AA999" s="94"/>
      <c r="AB999" s="94"/>
      <c r="AC999" s="94"/>
      <c r="AD999" s="94"/>
      <c r="AE999" s="94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4"/>
      <c r="D1000" s="116"/>
      <c r="E1000" s="116"/>
      <c r="F1000" s="94"/>
      <c r="G1000" s="94"/>
      <c r="H1000" s="62"/>
      <c r="I1000" s="116"/>
      <c r="J1000" s="116"/>
      <c r="K1000" s="115"/>
      <c r="L1000" s="62"/>
      <c r="M1000" s="62"/>
      <c r="N1000" s="65"/>
      <c r="O1000" s="94"/>
      <c r="P1000" s="116"/>
      <c r="Q1000" s="116"/>
      <c r="R1000" s="94"/>
      <c r="S1000" s="94"/>
      <c r="T1000" s="62"/>
      <c r="U1000" s="116"/>
      <c r="V1000" s="116"/>
      <c r="W1000" s="115"/>
      <c r="X1000" s="62"/>
      <c r="Y1000" s="62"/>
      <c r="Z1000" s="65"/>
      <c r="AA1000" s="94"/>
      <c r="AB1000" s="116"/>
      <c r="AC1000" s="116"/>
      <c r="AD1000" s="94"/>
      <c r="AE1000" s="94"/>
      <c r="AF1000" s="62"/>
      <c r="AG1000" s="116"/>
      <c r="AH1000" s="116"/>
      <c r="AI1000" s="11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4"/>
      <c r="C1001" s="94"/>
      <c r="D1001" s="81"/>
      <c r="E1001" s="82"/>
      <c r="F1001" s="83"/>
      <c r="G1001" s="83"/>
      <c r="H1001" s="62"/>
      <c r="I1001" s="93"/>
      <c r="J1001" s="93"/>
      <c r="K1001" s="115"/>
      <c r="L1001" s="62"/>
      <c r="M1001" s="62"/>
      <c r="N1001" s="94"/>
      <c r="O1001" s="94"/>
      <c r="P1001" s="81"/>
      <c r="Q1001" s="83"/>
      <c r="R1001" s="83"/>
      <c r="S1001" s="83"/>
      <c r="T1001" s="62"/>
      <c r="U1001" s="93"/>
      <c r="V1001" s="93"/>
      <c r="W1001" s="115"/>
      <c r="X1001" s="62"/>
      <c r="Y1001" s="62"/>
      <c r="Z1001" s="94"/>
      <c r="AA1001" s="94"/>
      <c r="AB1001" s="81"/>
      <c r="AC1001" s="83"/>
      <c r="AD1001" s="83"/>
      <c r="AE1001" s="83"/>
      <c r="AF1001" s="62"/>
      <c r="AG1001" s="93"/>
      <c r="AH1001" s="93"/>
      <c r="AI1001" s="11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2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4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4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2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4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4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2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4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4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2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4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2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4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4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65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4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4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2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4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94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2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65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4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2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62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4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2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4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4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2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94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4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4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2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4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4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2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4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4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92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4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4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2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4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2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4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4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2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4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4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2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4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4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2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4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4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4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4"/>
      <c r="R1022" s="94"/>
      <c r="S1022" s="60"/>
      <c r="T1022" s="62"/>
      <c r="U1022" s="62"/>
      <c r="V1022" s="62"/>
      <c r="W1022" s="61"/>
      <c r="X1022" s="62"/>
      <c r="Y1022" s="62"/>
      <c r="Z1022" s="66"/>
      <c r="AA1022" s="94"/>
      <c r="AB1022" s="67"/>
      <c r="AC1022" s="94"/>
      <c r="AD1022" s="94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2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4"/>
      <c r="P1023" s="68"/>
      <c r="Q1023" s="94"/>
      <c r="R1023" s="94"/>
      <c r="S1023" s="60"/>
      <c r="T1023" s="62"/>
      <c r="U1023" s="62"/>
      <c r="V1023" s="62"/>
      <c r="W1023" s="61"/>
      <c r="X1023" s="62"/>
      <c r="Y1023" s="62"/>
      <c r="Z1023" s="66"/>
      <c r="AA1023" s="94"/>
      <c r="AB1023" s="68"/>
      <c r="AC1023" s="94"/>
      <c r="AD1023" s="94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2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4"/>
      <c r="P1024" s="69"/>
      <c r="Q1024" s="62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4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4"/>
      <c r="P1025" s="69"/>
      <c r="Q1025" s="94"/>
      <c r="R1025" s="94"/>
      <c r="S1025" s="60"/>
      <c r="T1025" s="62"/>
      <c r="U1025" s="62"/>
      <c r="V1025" s="62"/>
      <c r="W1025" s="61"/>
      <c r="X1025" s="62"/>
      <c r="Y1025" s="62"/>
      <c r="Z1025" s="66"/>
      <c r="AA1025" s="94"/>
      <c r="AB1025" s="69"/>
      <c r="AC1025" s="94"/>
      <c r="AD1025" s="94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2"/>
      <c r="P1026" s="69"/>
      <c r="Q1026" s="94"/>
      <c r="R1026" s="94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94"/>
      <c r="AD1026" s="94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65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94"/>
      <c r="R1027" s="94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94"/>
      <c r="AD1027" s="94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4"/>
      <c r="P1028" s="69"/>
      <c r="Q1028" s="94"/>
      <c r="R1028" s="94"/>
      <c r="S1028" s="60"/>
      <c r="T1028" s="62"/>
      <c r="U1028" s="62"/>
      <c r="V1028" s="62"/>
      <c r="W1028" s="61"/>
      <c r="X1028" s="62"/>
      <c r="Y1028" s="62"/>
      <c r="Z1028" s="66"/>
      <c r="AA1028" s="94"/>
      <c r="AB1028" s="69"/>
      <c r="AC1028" s="94"/>
      <c r="AD1028" s="94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4"/>
      <c r="P1029" s="69"/>
      <c r="Q1029" s="94"/>
      <c r="R1029" s="94"/>
      <c r="S1029" s="60"/>
      <c r="T1029" s="62"/>
      <c r="U1029" s="62"/>
      <c r="V1029" s="62"/>
      <c r="W1029" s="61"/>
      <c r="X1029" s="62"/>
      <c r="Y1029" s="62"/>
      <c r="Z1029" s="66"/>
      <c r="AA1029" s="94"/>
      <c r="AB1029" s="69"/>
      <c r="AC1029" s="94"/>
      <c r="AD1029" s="94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94"/>
      <c r="R1030" s="94"/>
      <c r="S1030" s="60"/>
      <c r="T1030" s="62"/>
      <c r="U1030" s="62"/>
      <c r="V1030" s="62"/>
      <c r="W1030" s="61"/>
      <c r="X1030" s="62"/>
      <c r="Y1030" s="62"/>
      <c r="Z1030" s="66"/>
      <c r="AA1030" s="94"/>
      <c r="AB1030" s="69"/>
      <c r="AC1030" s="94"/>
      <c r="AD1030" s="94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4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4"/>
      <c r="R1031" s="94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94"/>
      <c r="AD1031" s="94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94"/>
      <c r="P1032" s="69"/>
      <c r="Q1032" s="94"/>
      <c r="R1032" s="94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4"/>
      <c r="AD1032" s="94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62"/>
      <c r="P1033" s="69"/>
      <c r="Q1033" s="94"/>
      <c r="R1033" s="94"/>
      <c r="S1033" s="60"/>
      <c r="T1033" s="62"/>
      <c r="U1033" s="62"/>
      <c r="V1033" s="62"/>
      <c r="W1033" s="61"/>
      <c r="X1033" s="62"/>
      <c r="Y1033" s="62"/>
      <c r="Z1033" s="66"/>
      <c r="AA1033" s="94"/>
      <c r="AB1033" s="69"/>
      <c r="AC1033" s="94"/>
      <c r="AD1033" s="94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4"/>
      <c r="P1034" s="69"/>
      <c r="Q1034" s="94"/>
      <c r="R1034" s="94"/>
      <c r="S1034" s="60"/>
      <c r="T1034" s="62"/>
      <c r="U1034" s="62"/>
      <c r="V1034" s="62"/>
      <c r="W1034" s="61"/>
      <c r="X1034" s="62"/>
      <c r="Y1034" s="62"/>
      <c r="Z1034" s="66"/>
      <c r="AA1034" s="94"/>
      <c r="AB1034" s="69"/>
      <c r="AC1034" s="94"/>
      <c r="AD1034" s="94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94"/>
      <c r="P1035" s="69"/>
      <c r="Q1035" s="94"/>
      <c r="R1035" s="94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4"/>
      <c r="AD1035" s="94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4"/>
      <c r="P1036" s="69"/>
      <c r="Q1036" s="94"/>
      <c r="R1036" s="94"/>
      <c r="S1036" s="60"/>
      <c r="T1036" s="62"/>
      <c r="U1036" s="62"/>
      <c r="V1036" s="62"/>
      <c r="W1036" s="61"/>
      <c r="X1036" s="62"/>
      <c r="Y1036" s="62"/>
      <c r="Z1036" s="66"/>
      <c r="AA1036" s="94"/>
      <c r="AB1036" s="69"/>
      <c r="AC1036" s="94"/>
      <c r="AD1036" s="94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4"/>
      <c r="P1037" s="69"/>
      <c r="Q1037" s="94"/>
      <c r="R1037" s="94"/>
      <c r="S1037" s="60"/>
      <c r="T1037" s="62"/>
      <c r="U1037" s="62"/>
      <c r="V1037" s="62"/>
      <c r="W1037" s="61"/>
      <c r="X1037" s="62"/>
      <c r="Y1037" s="62"/>
      <c r="Z1037" s="66"/>
      <c r="AA1037" s="94"/>
      <c r="AB1037" s="69"/>
      <c r="AC1037" s="94"/>
      <c r="AD1037" s="94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4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4"/>
      <c r="R1038" s="94"/>
      <c r="S1038" s="60"/>
      <c r="T1038" s="62"/>
      <c r="U1038" s="62"/>
      <c r="V1038" s="62"/>
      <c r="W1038" s="61"/>
      <c r="X1038" s="62"/>
      <c r="Y1038" s="62"/>
      <c r="Z1038" s="66"/>
      <c r="AA1038" s="94"/>
      <c r="AB1038" s="69"/>
      <c r="AC1038" s="94"/>
      <c r="AD1038" s="94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4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4"/>
      <c r="P1039" s="69"/>
      <c r="Q1039" s="94"/>
      <c r="R1039" s="94"/>
      <c r="S1039" s="60"/>
      <c r="T1039" s="62"/>
      <c r="U1039" s="62"/>
      <c r="V1039" s="62"/>
      <c r="W1039" s="61"/>
      <c r="X1039" s="62"/>
      <c r="Y1039" s="62"/>
      <c r="Z1039" s="66"/>
      <c r="AA1039" s="94"/>
      <c r="AB1039" s="69"/>
      <c r="AC1039" s="94"/>
      <c r="AD1039" s="94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4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4"/>
      <c r="P1040" s="69"/>
      <c r="Q1040" s="94"/>
      <c r="R1040" s="94"/>
      <c r="S1040" s="60"/>
      <c r="T1040" s="62"/>
      <c r="U1040" s="62"/>
      <c r="V1040" s="62"/>
      <c r="W1040" s="61"/>
      <c r="X1040" s="62"/>
      <c r="Y1040" s="62"/>
      <c r="Z1040" s="66"/>
      <c r="AA1040" s="94"/>
      <c r="AB1040" s="69"/>
      <c r="AC1040" s="94"/>
      <c r="AD1040" s="94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4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4"/>
      <c r="R1041" s="94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4"/>
      <c r="AD1041" s="94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4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4"/>
      <c r="P1042" s="69"/>
      <c r="Q1042" s="94"/>
      <c r="R1042" s="94"/>
      <c r="S1042" s="60"/>
      <c r="T1042" s="62"/>
      <c r="U1042" s="62"/>
      <c r="V1042" s="62"/>
      <c r="W1042" s="61"/>
      <c r="X1042" s="62"/>
      <c r="Y1042" s="62"/>
      <c r="Z1042" s="66"/>
      <c r="AA1042" s="94"/>
      <c r="AB1042" s="69"/>
      <c r="AC1042" s="94"/>
      <c r="AD1042" s="94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4"/>
      <c r="O1043" s="94"/>
      <c r="P1043" s="94"/>
      <c r="Q1043" s="94"/>
      <c r="R1043" s="94"/>
      <c r="S1043" s="94"/>
      <c r="T1043" s="62"/>
      <c r="U1043" s="62"/>
      <c r="V1043" s="62"/>
      <c r="W1043" s="61"/>
      <c r="X1043" s="62"/>
      <c r="Y1043" s="62"/>
      <c r="Z1043" s="94"/>
      <c r="AA1043" s="94"/>
      <c r="AB1043" s="94"/>
      <c r="AC1043" s="94"/>
      <c r="AD1043" s="94"/>
      <c r="AE1043" s="94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4"/>
      <c r="C1044" s="94"/>
      <c r="D1044" s="94"/>
      <c r="E1044" s="94"/>
      <c r="F1044" s="94"/>
      <c r="G1044" s="94"/>
      <c r="H1044" s="62"/>
      <c r="I1044" s="62"/>
      <c r="J1044" s="62"/>
      <c r="K1044" s="62"/>
      <c r="L1044" s="62"/>
      <c r="M1044" s="62"/>
      <c r="N1044" s="94"/>
      <c r="O1044" s="94"/>
      <c r="P1044" s="94"/>
      <c r="Q1044" s="94"/>
      <c r="R1044" s="94"/>
      <c r="S1044" s="94"/>
      <c r="T1044" s="62"/>
      <c r="U1044" s="62"/>
      <c r="V1044" s="62"/>
      <c r="W1044" s="62"/>
      <c r="X1044" s="62"/>
      <c r="Y1044" s="62"/>
      <c r="Z1044" s="94"/>
      <c r="AA1044" s="94"/>
      <c r="AB1044" s="94"/>
      <c r="AC1044" s="94"/>
      <c r="AD1044" s="94"/>
      <c r="AE1044" s="94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4"/>
      <c r="C1045" s="94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4"/>
      <c r="O1045" s="94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4"/>
      <c r="AA1045" s="94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4"/>
      <c r="C1047" s="94"/>
      <c r="D1047" s="94"/>
      <c r="E1047" s="94"/>
      <c r="F1047" s="94"/>
      <c r="G1047" s="94"/>
      <c r="H1047" s="62"/>
      <c r="I1047" s="62"/>
      <c r="J1047" s="62"/>
      <c r="K1047" s="62"/>
      <c r="L1047" s="62"/>
      <c r="M1047" s="62"/>
      <c r="N1047" s="94"/>
      <c r="O1047" s="94"/>
      <c r="P1047" s="94"/>
      <c r="Q1047" s="94"/>
      <c r="R1047" s="94"/>
      <c r="S1047" s="94"/>
      <c r="T1047" s="62"/>
      <c r="U1047" s="62"/>
      <c r="V1047" s="62"/>
      <c r="W1047" s="62"/>
      <c r="X1047" s="62"/>
      <c r="Y1047" s="62"/>
      <c r="Z1047" s="94"/>
      <c r="AA1047" s="94"/>
      <c r="AB1047" s="94"/>
      <c r="AC1047" s="94"/>
      <c r="AD1047" s="94"/>
      <c r="AE1047" s="94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4"/>
      <c r="C1048" s="94"/>
      <c r="D1048" s="94"/>
      <c r="E1048" s="94"/>
      <c r="F1048" s="94"/>
      <c r="G1048" s="94"/>
      <c r="H1048" s="62"/>
      <c r="I1048" s="62"/>
      <c r="J1048" s="62"/>
      <c r="K1048" s="62"/>
      <c r="L1048" s="62"/>
      <c r="M1048" s="62"/>
      <c r="N1048" s="94"/>
      <c r="O1048" s="94"/>
      <c r="P1048" s="94"/>
      <c r="Q1048" s="94"/>
      <c r="R1048" s="94"/>
      <c r="S1048" s="94"/>
      <c r="T1048" s="62"/>
      <c r="U1048" s="62"/>
      <c r="V1048" s="62"/>
      <c r="W1048" s="62"/>
      <c r="X1048" s="62"/>
      <c r="Y1048" s="62"/>
      <c r="Z1048" s="94"/>
      <c r="AA1048" s="94"/>
      <c r="AB1048" s="94"/>
      <c r="AC1048" s="94"/>
      <c r="AD1048" s="94"/>
      <c r="AE1048" s="94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4"/>
      <c r="C1049" s="94"/>
      <c r="D1049" s="94"/>
      <c r="E1049" s="94"/>
      <c r="F1049" s="94"/>
      <c r="G1049" s="94"/>
      <c r="H1049" s="62"/>
      <c r="I1049" s="62"/>
      <c r="J1049" s="62"/>
      <c r="K1049" s="62"/>
      <c r="L1049" s="62"/>
      <c r="M1049" s="62"/>
      <c r="N1049" s="94"/>
      <c r="O1049" s="94"/>
      <c r="P1049" s="94"/>
      <c r="Q1049" s="94"/>
      <c r="R1049" s="94"/>
      <c r="S1049" s="94"/>
      <c r="T1049" s="62"/>
      <c r="U1049" s="62"/>
      <c r="V1049" s="62"/>
      <c r="W1049" s="62"/>
      <c r="X1049" s="62"/>
      <c r="Y1049" s="62"/>
      <c r="Z1049" s="94"/>
      <c r="AA1049" s="94"/>
      <c r="AB1049" s="94"/>
      <c r="AC1049" s="94"/>
      <c r="AD1049" s="94"/>
      <c r="AE1049" s="94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4"/>
      <c r="C1050" s="94"/>
      <c r="D1050" s="94"/>
      <c r="E1050" s="94"/>
      <c r="F1050" s="94"/>
      <c r="G1050" s="94"/>
      <c r="H1050" s="62"/>
      <c r="I1050" s="62"/>
      <c r="J1050" s="62"/>
      <c r="K1050" s="62"/>
      <c r="L1050" s="62"/>
      <c r="M1050" s="63"/>
      <c r="N1050" s="94"/>
      <c r="O1050" s="94"/>
      <c r="P1050" s="94"/>
      <c r="Q1050" s="94"/>
      <c r="R1050" s="94"/>
      <c r="S1050" s="94"/>
      <c r="T1050" s="62"/>
      <c r="U1050" s="62"/>
      <c r="V1050" s="62"/>
      <c r="W1050" s="62"/>
      <c r="X1050" s="62"/>
      <c r="Y1050" s="63"/>
      <c r="Z1050" s="94"/>
      <c r="AA1050" s="94"/>
      <c r="AB1050" s="94"/>
      <c r="AC1050" s="94"/>
      <c r="AD1050" s="94"/>
      <c r="AE1050" s="94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4"/>
      <c r="C1051" s="94"/>
      <c r="D1051" s="94"/>
      <c r="E1051" s="94"/>
      <c r="F1051" s="94"/>
      <c r="G1051" s="94"/>
      <c r="H1051" s="62"/>
      <c r="I1051" s="62"/>
      <c r="J1051" s="62"/>
      <c r="K1051" s="62"/>
      <c r="L1051" s="62"/>
      <c r="M1051" s="62"/>
      <c r="N1051" s="94"/>
      <c r="O1051" s="94"/>
      <c r="P1051" s="94"/>
      <c r="Q1051" s="94"/>
      <c r="R1051" s="94"/>
      <c r="S1051" s="94"/>
      <c r="T1051" s="62"/>
      <c r="U1051" s="62"/>
      <c r="V1051" s="62"/>
      <c r="W1051" s="62"/>
      <c r="X1051" s="62"/>
      <c r="Y1051" s="62"/>
      <c r="Z1051" s="94"/>
      <c r="AA1051" s="94"/>
      <c r="AB1051" s="94"/>
      <c r="AC1051" s="94"/>
      <c r="AD1051" s="94"/>
      <c r="AE1051" s="94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4"/>
      <c r="C1052" s="94"/>
      <c r="D1052" s="94"/>
      <c r="E1052" s="94"/>
      <c r="F1052" s="94"/>
      <c r="G1052" s="94"/>
      <c r="H1052" s="62"/>
      <c r="I1052" s="94"/>
      <c r="J1052" s="74"/>
      <c r="K1052" s="62"/>
      <c r="L1052" s="62"/>
      <c r="M1052" s="62"/>
      <c r="N1052" s="94"/>
      <c r="O1052" s="94"/>
      <c r="P1052" s="94"/>
      <c r="Q1052" s="94"/>
      <c r="R1052" s="94"/>
      <c r="S1052" s="94"/>
      <c r="T1052" s="62"/>
      <c r="U1052" s="94"/>
      <c r="V1052" s="74"/>
      <c r="W1052" s="62"/>
      <c r="X1052" s="62"/>
      <c r="Y1052" s="62"/>
      <c r="Z1052" s="94"/>
      <c r="AA1052" s="94"/>
      <c r="AB1052" s="94"/>
      <c r="AC1052" s="94"/>
      <c r="AD1052" s="94"/>
      <c r="AE1052" s="94"/>
      <c r="AF1052" s="62"/>
      <c r="AG1052" s="94"/>
      <c r="AH1052" s="9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4"/>
      <c r="C1053" s="94"/>
      <c r="D1053" s="94"/>
      <c r="E1053" s="94"/>
      <c r="F1053" s="94"/>
      <c r="G1053" s="94"/>
      <c r="H1053" s="62"/>
      <c r="I1053" s="65"/>
      <c r="J1053" s="65"/>
      <c r="K1053" s="62"/>
      <c r="L1053" s="62"/>
      <c r="M1053" s="64"/>
      <c r="N1053" s="94"/>
      <c r="O1053" s="94"/>
      <c r="P1053" s="94"/>
      <c r="Q1053" s="94"/>
      <c r="R1053" s="94"/>
      <c r="S1053" s="94"/>
      <c r="T1053" s="62"/>
      <c r="U1053" s="65"/>
      <c r="V1053" s="65"/>
      <c r="W1053" s="62"/>
      <c r="X1053" s="62"/>
      <c r="Y1053" s="64"/>
      <c r="Z1053" s="94"/>
      <c r="AA1053" s="94"/>
      <c r="AB1053" s="94"/>
      <c r="AC1053" s="94"/>
      <c r="AD1053" s="94"/>
      <c r="AE1053" s="94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4"/>
      <c r="C1054" s="94"/>
      <c r="D1054" s="94"/>
      <c r="E1054" s="94"/>
      <c r="F1054" s="94"/>
      <c r="G1054" s="94"/>
      <c r="H1054" s="62"/>
      <c r="I1054" s="62"/>
      <c r="J1054" s="62"/>
      <c r="K1054" s="62"/>
      <c r="L1054" s="62"/>
      <c r="M1054" s="62"/>
      <c r="N1054" s="94"/>
      <c r="O1054" s="94"/>
      <c r="P1054" s="94"/>
      <c r="Q1054" s="94"/>
      <c r="R1054" s="94"/>
      <c r="S1054" s="94"/>
      <c r="T1054" s="62"/>
      <c r="U1054" s="62"/>
      <c r="V1054" s="62"/>
      <c r="W1054" s="62"/>
      <c r="X1054" s="62"/>
      <c r="Y1054" s="62"/>
      <c r="Z1054" s="94"/>
      <c r="AA1054" s="94"/>
      <c r="AB1054" s="94"/>
      <c r="AC1054" s="94"/>
      <c r="AD1054" s="94"/>
      <c r="AE1054" s="94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4"/>
      <c r="D1055" s="116"/>
      <c r="E1055" s="116"/>
      <c r="F1055" s="94"/>
      <c r="G1055" s="94"/>
      <c r="H1055" s="62"/>
      <c r="I1055" s="116"/>
      <c r="J1055" s="116"/>
      <c r="K1055" s="115"/>
      <c r="L1055" s="62"/>
      <c r="M1055" s="62"/>
      <c r="N1055" s="65"/>
      <c r="O1055" s="94"/>
      <c r="P1055" s="116"/>
      <c r="Q1055" s="116"/>
      <c r="R1055" s="94"/>
      <c r="S1055" s="94"/>
      <c r="T1055" s="62"/>
      <c r="U1055" s="116"/>
      <c r="V1055" s="116"/>
      <c r="W1055" s="115"/>
      <c r="X1055" s="62"/>
      <c r="Y1055" s="62"/>
      <c r="Z1055" s="65"/>
      <c r="AA1055" s="94"/>
      <c r="AB1055" s="116"/>
      <c r="AC1055" s="116"/>
      <c r="AD1055" s="94"/>
      <c r="AE1055" s="94"/>
      <c r="AF1055" s="62"/>
      <c r="AG1055" s="116"/>
      <c r="AH1055" s="116"/>
      <c r="AI1055" s="11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4"/>
      <c r="C1056" s="94"/>
      <c r="D1056" s="81"/>
      <c r="E1056" s="82"/>
      <c r="F1056" s="83"/>
      <c r="G1056" s="83"/>
      <c r="H1056" s="62"/>
      <c r="I1056" s="93"/>
      <c r="J1056" s="93"/>
      <c r="K1056" s="115"/>
      <c r="L1056" s="62"/>
      <c r="M1056" s="62"/>
      <c r="N1056" s="94"/>
      <c r="O1056" s="94"/>
      <c r="P1056" s="81"/>
      <c r="Q1056" s="83"/>
      <c r="R1056" s="83"/>
      <c r="S1056" s="83"/>
      <c r="T1056" s="62"/>
      <c r="U1056" s="93"/>
      <c r="V1056" s="93"/>
      <c r="W1056" s="115"/>
      <c r="X1056" s="62"/>
      <c r="Y1056" s="62"/>
      <c r="Z1056" s="94"/>
      <c r="AA1056" s="94"/>
      <c r="AB1056" s="81"/>
      <c r="AC1056" s="83"/>
      <c r="AD1056" s="83"/>
      <c r="AE1056" s="83"/>
      <c r="AF1056" s="62"/>
      <c r="AG1056" s="93"/>
      <c r="AH1056" s="93"/>
      <c r="AI1056" s="11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2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4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4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2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4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4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2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4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4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2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4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4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2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4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94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65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4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65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2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4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94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2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4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2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94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4"/>
      <c r="AB1065" s="62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2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4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4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2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4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65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4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2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4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4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2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4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4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2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4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4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92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4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62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2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4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4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2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4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4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2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4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4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2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62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4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4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4"/>
      <c r="R1077" s="94"/>
      <c r="S1077" s="60"/>
      <c r="T1077" s="62"/>
      <c r="U1077" s="62"/>
      <c r="V1077" s="62"/>
      <c r="W1077" s="61"/>
      <c r="X1077" s="62"/>
      <c r="Y1077" s="62"/>
      <c r="Z1077" s="66"/>
      <c r="AA1077" s="94"/>
      <c r="AB1077" s="67"/>
      <c r="AC1077" s="94"/>
      <c r="AD1077" s="94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2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4"/>
      <c r="P1078" s="68"/>
      <c r="Q1078" s="94"/>
      <c r="R1078" s="94"/>
      <c r="S1078" s="60"/>
      <c r="T1078" s="62"/>
      <c r="U1078" s="62"/>
      <c r="V1078" s="62"/>
      <c r="W1078" s="61"/>
      <c r="X1078" s="62"/>
      <c r="Y1078" s="62"/>
      <c r="Z1078" s="66"/>
      <c r="AA1078" s="94"/>
      <c r="AB1078" s="68"/>
      <c r="AC1078" s="94"/>
      <c r="AD1078" s="94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2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4"/>
      <c r="P1079" s="69"/>
      <c r="Q1079" s="62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4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4"/>
      <c r="P1080" s="69"/>
      <c r="Q1080" s="94"/>
      <c r="R1080" s="94"/>
      <c r="S1080" s="60"/>
      <c r="T1080" s="62"/>
      <c r="U1080" s="62"/>
      <c r="V1080" s="62"/>
      <c r="W1080" s="61"/>
      <c r="X1080" s="62"/>
      <c r="Y1080" s="62"/>
      <c r="Z1080" s="66"/>
      <c r="AA1080" s="94"/>
      <c r="AB1080" s="69"/>
      <c r="AC1080" s="94"/>
      <c r="AD1080" s="94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94"/>
      <c r="R1081" s="94"/>
      <c r="S1081" s="60"/>
      <c r="T1081" s="62"/>
      <c r="U1081" s="62"/>
      <c r="V1081" s="62"/>
      <c r="W1081" s="61"/>
      <c r="X1081" s="62"/>
      <c r="Y1081" s="62"/>
      <c r="Z1081" s="66"/>
      <c r="AA1081" s="62"/>
      <c r="AB1081" s="69"/>
      <c r="AC1081" s="94"/>
      <c r="AD1081" s="94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65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94"/>
      <c r="R1082" s="94"/>
      <c r="S1082" s="60"/>
      <c r="T1082" s="62"/>
      <c r="U1082" s="62"/>
      <c r="V1082" s="62"/>
      <c r="W1082" s="61"/>
      <c r="X1082" s="62"/>
      <c r="Y1082" s="62"/>
      <c r="Z1082" s="66"/>
      <c r="AA1082" s="62"/>
      <c r="AB1082" s="69"/>
      <c r="AC1082" s="94"/>
      <c r="AD1082" s="94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4"/>
      <c r="P1083" s="69"/>
      <c r="Q1083" s="94"/>
      <c r="R1083" s="94"/>
      <c r="S1083" s="60"/>
      <c r="T1083" s="62"/>
      <c r="U1083" s="62"/>
      <c r="V1083" s="62"/>
      <c r="W1083" s="61"/>
      <c r="X1083" s="62"/>
      <c r="Y1083" s="62"/>
      <c r="Z1083" s="66"/>
      <c r="AA1083" s="94"/>
      <c r="AB1083" s="69"/>
      <c r="AC1083" s="94"/>
      <c r="AD1083" s="94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4"/>
      <c r="P1084" s="69"/>
      <c r="Q1084" s="94"/>
      <c r="R1084" s="94"/>
      <c r="S1084" s="60"/>
      <c r="T1084" s="62"/>
      <c r="U1084" s="62"/>
      <c r="V1084" s="62"/>
      <c r="W1084" s="61"/>
      <c r="X1084" s="62"/>
      <c r="Y1084" s="62"/>
      <c r="Z1084" s="66"/>
      <c r="AA1084" s="94"/>
      <c r="AB1084" s="69"/>
      <c r="AC1084" s="94"/>
      <c r="AD1084" s="94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94"/>
      <c r="R1085" s="94"/>
      <c r="S1085" s="60"/>
      <c r="T1085" s="62"/>
      <c r="U1085" s="62"/>
      <c r="V1085" s="62"/>
      <c r="W1085" s="61"/>
      <c r="X1085" s="62"/>
      <c r="Y1085" s="62"/>
      <c r="Z1085" s="66"/>
      <c r="AA1085" s="94"/>
      <c r="AB1085" s="69"/>
      <c r="AC1085" s="94"/>
      <c r="AD1085" s="94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4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4"/>
      <c r="R1086" s="94"/>
      <c r="S1086" s="60"/>
      <c r="T1086" s="62"/>
      <c r="U1086" s="62"/>
      <c r="V1086" s="62"/>
      <c r="W1086" s="61"/>
      <c r="X1086" s="62"/>
      <c r="Y1086" s="62"/>
      <c r="Z1086" s="66"/>
      <c r="AA1086" s="62"/>
      <c r="AB1086" s="69"/>
      <c r="AC1086" s="94"/>
      <c r="AD1086" s="94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94"/>
      <c r="P1087" s="69"/>
      <c r="Q1087" s="94"/>
      <c r="R1087" s="94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4"/>
      <c r="AD1087" s="94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62"/>
      <c r="P1088" s="69"/>
      <c r="Q1088" s="94"/>
      <c r="R1088" s="94"/>
      <c r="S1088" s="60"/>
      <c r="T1088" s="62"/>
      <c r="U1088" s="62"/>
      <c r="V1088" s="62"/>
      <c r="W1088" s="61"/>
      <c r="X1088" s="62"/>
      <c r="Y1088" s="62"/>
      <c r="Z1088" s="66"/>
      <c r="AA1088" s="94"/>
      <c r="AB1088" s="69"/>
      <c r="AC1088" s="94"/>
      <c r="AD1088" s="94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4"/>
      <c r="P1089" s="69"/>
      <c r="Q1089" s="94"/>
      <c r="R1089" s="94"/>
      <c r="S1089" s="60"/>
      <c r="T1089" s="62"/>
      <c r="U1089" s="62"/>
      <c r="V1089" s="62"/>
      <c r="W1089" s="61"/>
      <c r="X1089" s="62"/>
      <c r="Y1089" s="62"/>
      <c r="Z1089" s="66"/>
      <c r="AA1089" s="94"/>
      <c r="AB1089" s="69"/>
      <c r="AC1089" s="94"/>
      <c r="AD1089" s="94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94"/>
      <c r="P1090" s="69"/>
      <c r="Q1090" s="94"/>
      <c r="R1090" s="94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4"/>
      <c r="AD1090" s="94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4"/>
      <c r="P1091" s="69"/>
      <c r="Q1091" s="94"/>
      <c r="R1091" s="94"/>
      <c r="S1091" s="60"/>
      <c r="T1091" s="62"/>
      <c r="U1091" s="62"/>
      <c r="V1091" s="62"/>
      <c r="W1091" s="61"/>
      <c r="X1091" s="62"/>
      <c r="Y1091" s="62"/>
      <c r="Z1091" s="66"/>
      <c r="AA1091" s="94"/>
      <c r="AB1091" s="69"/>
      <c r="AC1091" s="94"/>
      <c r="AD1091" s="94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4"/>
      <c r="P1092" s="69"/>
      <c r="Q1092" s="94"/>
      <c r="R1092" s="94"/>
      <c r="S1092" s="60"/>
      <c r="T1092" s="62"/>
      <c r="U1092" s="62"/>
      <c r="V1092" s="62"/>
      <c r="W1092" s="61"/>
      <c r="X1092" s="62"/>
      <c r="Y1092" s="62"/>
      <c r="Z1092" s="66"/>
      <c r="AA1092" s="94"/>
      <c r="AB1092" s="69"/>
      <c r="AC1092" s="94"/>
      <c r="AD1092" s="94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4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4"/>
      <c r="R1093" s="94"/>
      <c r="S1093" s="60"/>
      <c r="T1093" s="62"/>
      <c r="U1093" s="62"/>
      <c r="V1093" s="62"/>
      <c r="W1093" s="61"/>
      <c r="X1093" s="62"/>
      <c r="Y1093" s="62"/>
      <c r="Z1093" s="66"/>
      <c r="AA1093" s="94"/>
      <c r="AB1093" s="69"/>
      <c r="AC1093" s="94"/>
      <c r="AD1093" s="94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4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4"/>
      <c r="P1094" s="69"/>
      <c r="Q1094" s="94"/>
      <c r="R1094" s="94"/>
      <c r="S1094" s="60"/>
      <c r="T1094" s="62"/>
      <c r="U1094" s="62"/>
      <c r="V1094" s="62"/>
      <c r="W1094" s="61"/>
      <c r="X1094" s="62"/>
      <c r="Y1094" s="62"/>
      <c r="Z1094" s="66"/>
      <c r="AA1094" s="94"/>
      <c r="AB1094" s="69"/>
      <c r="AC1094" s="94"/>
      <c r="AD1094" s="94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4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4"/>
      <c r="P1095" s="69"/>
      <c r="Q1095" s="94"/>
      <c r="R1095" s="94"/>
      <c r="S1095" s="60"/>
      <c r="T1095" s="62"/>
      <c r="U1095" s="62"/>
      <c r="V1095" s="62"/>
      <c r="W1095" s="61"/>
      <c r="X1095" s="62"/>
      <c r="Y1095" s="62"/>
      <c r="Z1095" s="66"/>
      <c r="AA1095" s="94"/>
      <c r="AB1095" s="69"/>
      <c r="AC1095" s="94"/>
      <c r="AD1095" s="94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4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4"/>
      <c r="R1096" s="94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4"/>
      <c r="AD1096" s="94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4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4"/>
      <c r="P1097" s="69"/>
      <c r="Q1097" s="94"/>
      <c r="R1097" s="94"/>
      <c r="S1097" s="60"/>
      <c r="T1097" s="62"/>
      <c r="U1097" s="62"/>
      <c r="V1097" s="62"/>
      <c r="W1097" s="61"/>
      <c r="X1097" s="62"/>
      <c r="Y1097" s="62"/>
      <c r="Z1097" s="66"/>
      <c r="AA1097" s="94"/>
      <c r="AB1097" s="69"/>
      <c r="AC1097" s="94"/>
      <c r="AD1097" s="94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4"/>
      <c r="O1098" s="94"/>
      <c r="P1098" s="94"/>
      <c r="Q1098" s="94"/>
      <c r="R1098" s="94"/>
      <c r="S1098" s="94"/>
      <c r="T1098" s="62"/>
      <c r="U1098" s="62"/>
      <c r="V1098" s="62"/>
      <c r="W1098" s="61"/>
      <c r="X1098" s="62"/>
      <c r="Y1098" s="62"/>
      <c r="Z1098" s="94"/>
      <c r="AA1098" s="94"/>
      <c r="AB1098" s="94"/>
      <c r="AC1098" s="94"/>
      <c r="AD1098" s="94"/>
      <c r="AE1098" s="94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4"/>
      <c r="C1099" s="94"/>
      <c r="D1099" s="94"/>
      <c r="E1099" s="94"/>
      <c r="F1099" s="94"/>
      <c r="G1099" s="94"/>
      <c r="H1099" s="62"/>
      <c r="I1099" s="62"/>
      <c r="J1099" s="62"/>
      <c r="K1099" s="62"/>
      <c r="L1099" s="62"/>
      <c r="M1099" s="62"/>
      <c r="N1099" s="94"/>
      <c r="O1099" s="94"/>
      <c r="P1099" s="94"/>
      <c r="Q1099" s="94"/>
      <c r="R1099" s="94"/>
      <c r="S1099" s="94"/>
      <c r="T1099" s="62"/>
      <c r="U1099" s="62"/>
      <c r="V1099" s="62"/>
      <c r="W1099" s="62"/>
      <c r="X1099" s="62"/>
      <c r="Y1099" s="62"/>
      <c r="Z1099" s="94"/>
      <c r="AA1099" s="94"/>
      <c r="AB1099" s="94"/>
      <c r="AC1099" s="94"/>
      <c r="AD1099" s="94"/>
      <c r="AE1099" s="94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4"/>
      <c r="C1100" s="94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4"/>
      <c r="O1100" s="94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4"/>
      <c r="AA1100" s="94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94"/>
      <c r="C1102" s="94"/>
      <c r="D1102" s="94"/>
      <c r="E1102" s="94"/>
      <c r="F1102" s="94"/>
      <c r="G1102" s="94"/>
      <c r="H1102" s="62"/>
      <c r="I1102" s="62"/>
      <c r="J1102" s="62"/>
      <c r="K1102" s="62"/>
      <c r="L1102" s="62"/>
      <c r="M1102" s="62"/>
      <c r="N1102" s="94"/>
      <c r="O1102" s="94"/>
      <c r="P1102" s="94"/>
      <c r="Q1102" s="94"/>
      <c r="R1102" s="94"/>
      <c r="S1102" s="94"/>
      <c r="T1102" s="62"/>
      <c r="U1102" s="62"/>
      <c r="V1102" s="62"/>
      <c r="W1102" s="62"/>
      <c r="X1102" s="62"/>
      <c r="Y1102" s="62"/>
      <c r="Z1102" s="94"/>
      <c r="AA1102" s="94"/>
      <c r="AB1102" s="94"/>
      <c r="AC1102" s="94"/>
      <c r="AD1102" s="94"/>
      <c r="AE1102" s="94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94"/>
      <c r="C1103" s="94"/>
      <c r="D1103" s="94"/>
      <c r="E1103" s="94"/>
      <c r="F1103" s="94"/>
      <c r="G1103" s="94"/>
      <c r="H1103" s="62"/>
      <c r="I1103" s="62"/>
      <c r="J1103" s="62"/>
      <c r="K1103" s="62"/>
      <c r="L1103" s="62"/>
      <c r="M1103" s="62"/>
      <c r="N1103" s="94"/>
      <c r="O1103" s="94"/>
      <c r="P1103" s="94"/>
      <c r="Q1103" s="94"/>
      <c r="R1103" s="94"/>
      <c r="S1103" s="94"/>
      <c r="T1103" s="62"/>
      <c r="U1103" s="62"/>
      <c r="V1103" s="62"/>
      <c r="W1103" s="62"/>
      <c r="X1103" s="62"/>
      <c r="Y1103" s="62"/>
      <c r="Z1103" s="94"/>
      <c r="AA1103" s="94"/>
      <c r="AB1103" s="94"/>
      <c r="AC1103" s="94"/>
      <c r="AD1103" s="94"/>
      <c r="AE1103" s="94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94"/>
      <c r="C1104" s="94"/>
      <c r="D1104" s="94"/>
      <c r="E1104" s="94"/>
      <c r="F1104" s="94"/>
      <c r="G1104" s="94"/>
      <c r="H1104" s="62"/>
      <c r="I1104" s="62"/>
      <c r="J1104" s="62"/>
      <c r="K1104" s="62"/>
      <c r="L1104" s="62"/>
      <c r="M1104" s="62"/>
      <c r="N1104" s="94"/>
      <c r="O1104" s="94"/>
      <c r="P1104" s="94"/>
      <c r="Q1104" s="94"/>
      <c r="R1104" s="94"/>
      <c r="S1104" s="94"/>
      <c r="T1104" s="62"/>
      <c r="U1104" s="62"/>
      <c r="V1104" s="62"/>
      <c r="W1104" s="62"/>
      <c r="X1104" s="62"/>
      <c r="Y1104" s="62"/>
      <c r="Z1104" s="94"/>
      <c r="AA1104" s="94"/>
      <c r="AB1104" s="94"/>
      <c r="AC1104" s="94"/>
      <c r="AD1104" s="94"/>
      <c r="AE1104" s="94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94"/>
      <c r="C1105" s="94"/>
      <c r="D1105" s="94"/>
      <c r="E1105" s="94"/>
      <c r="F1105" s="94"/>
      <c r="G1105" s="94"/>
      <c r="H1105" s="62"/>
      <c r="I1105" s="62"/>
      <c r="J1105" s="62"/>
      <c r="K1105" s="62"/>
      <c r="L1105" s="62"/>
      <c r="M1105" s="63"/>
      <c r="N1105" s="94"/>
      <c r="O1105" s="94"/>
      <c r="P1105" s="94"/>
      <c r="Q1105" s="94"/>
      <c r="R1105" s="94"/>
      <c r="S1105" s="94"/>
      <c r="T1105" s="62"/>
      <c r="U1105" s="62"/>
      <c r="V1105" s="62"/>
      <c r="W1105" s="62"/>
      <c r="X1105" s="62"/>
      <c r="Y1105" s="63"/>
      <c r="Z1105" s="94"/>
      <c r="AA1105" s="94"/>
      <c r="AB1105" s="94"/>
      <c r="AC1105" s="94"/>
      <c r="AD1105" s="94"/>
      <c r="AE1105" s="94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94"/>
      <c r="C1106" s="94"/>
      <c r="D1106" s="94"/>
      <c r="E1106" s="94"/>
      <c r="F1106" s="94"/>
      <c r="G1106" s="94"/>
      <c r="H1106" s="62"/>
      <c r="I1106" s="62"/>
      <c r="J1106" s="62"/>
      <c r="K1106" s="62"/>
      <c r="L1106" s="62"/>
      <c r="M1106" s="62"/>
      <c r="N1106" s="94"/>
      <c r="O1106" s="94"/>
      <c r="P1106" s="94"/>
      <c r="Q1106" s="94"/>
      <c r="R1106" s="94"/>
      <c r="S1106" s="94"/>
      <c r="T1106" s="62"/>
      <c r="U1106" s="62"/>
      <c r="V1106" s="62"/>
      <c r="W1106" s="62"/>
      <c r="X1106" s="62"/>
      <c r="Y1106" s="62"/>
      <c r="Z1106" s="94"/>
      <c r="AA1106" s="94"/>
      <c r="AB1106" s="94"/>
      <c r="AC1106" s="94"/>
      <c r="AD1106" s="94"/>
      <c r="AE1106" s="94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94"/>
      <c r="C1107" s="94"/>
      <c r="D1107" s="94"/>
      <c r="E1107" s="94"/>
      <c r="F1107" s="94"/>
      <c r="G1107" s="94"/>
      <c r="H1107" s="62"/>
      <c r="I1107" s="94"/>
      <c r="J1107" s="74"/>
      <c r="K1107" s="62"/>
      <c r="L1107" s="62"/>
      <c r="M1107" s="62"/>
      <c r="N1107" s="94"/>
      <c r="O1107" s="94"/>
      <c r="P1107" s="94"/>
      <c r="Q1107" s="94"/>
      <c r="R1107" s="94"/>
      <c r="S1107" s="94"/>
      <c r="T1107" s="62"/>
      <c r="U1107" s="94"/>
      <c r="V1107" s="74"/>
      <c r="W1107" s="62"/>
      <c r="X1107" s="62"/>
      <c r="Y1107" s="62"/>
      <c r="Z1107" s="94"/>
      <c r="AA1107" s="94"/>
      <c r="AB1107" s="94"/>
      <c r="AC1107" s="94"/>
      <c r="AD1107" s="94"/>
      <c r="AE1107" s="94"/>
      <c r="AF1107" s="62"/>
      <c r="AG1107" s="94"/>
      <c r="AH1107" s="94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94"/>
      <c r="C1108" s="94"/>
      <c r="D1108" s="94"/>
      <c r="E1108" s="94"/>
      <c r="F1108" s="94"/>
      <c r="G1108" s="94"/>
      <c r="H1108" s="62"/>
      <c r="I1108" s="65"/>
      <c r="J1108" s="65"/>
      <c r="K1108" s="62"/>
      <c r="L1108" s="62"/>
      <c r="M1108" s="64"/>
      <c r="N1108" s="94"/>
      <c r="O1108" s="94"/>
      <c r="P1108" s="94"/>
      <c r="Q1108" s="94"/>
      <c r="R1108" s="94"/>
      <c r="S1108" s="94"/>
      <c r="T1108" s="62"/>
      <c r="U1108" s="65"/>
      <c r="V1108" s="65"/>
      <c r="W1108" s="62"/>
      <c r="X1108" s="62"/>
      <c r="Y1108" s="64"/>
      <c r="Z1108" s="94"/>
      <c r="AA1108" s="94"/>
      <c r="AB1108" s="94"/>
      <c r="AC1108" s="94"/>
      <c r="AD1108" s="94"/>
      <c r="AE1108" s="94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94"/>
      <c r="C1109" s="94"/>
      <c r="D1109" s="94"/>
      <c r="E1109" s="94"/>
      <c r="F1109" s="94"/>
      <c r="G1109" s="94"/>
      <c r="H1109" s="62"/>
      <c r="I1109" s="62"/>
      <c r="J1109" s="62"/>
      <c r="K1109" s="62"/>
      <c r="L1109" s="62"/>
      <c r="M1109" s="62"/>
      <c r="N1109" s="94"/>
      <c r="O1109" s="94"/>
      <c r="P1109" s="94"/>
      <c r="Q1109" s="94"/>
      <c r="R1109" s="94"/>
      <c r="S1109" s="94"/>
      <c r="T1109" s="62"/>
      <c r="U1109" s="62"/>
      <c r="V1109" s="62"/>
      <c r="W1109" s="62"/>
      <c r="X1109" s="62"/>
      <c r="Y1109" s="62"/>
      <c r="Z1109" s="94"/>
      <c r="AA1109" s="94"/>
      <c r="AB1109" s="94"/>
      <c r="AC1109" s="94"/>
      <c r="AD1109" s="94"/>
      <c r="AE1109" s="94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94"/>
      <c r="D1110" s="116"/>
      <c r="E1110" s="116"/>
      <c r="F1110" s="94"/>
      <c r="G1110" s="94"/>
      <c r="H1110" s="62"/>
      <c r="I1110" s="116"/>
      <c r="J1110" s="116"/>
      <c r="K1110" s="115"/>
      <c r="L1110" s="62"/>
      <c r="M1110" s="62"/>
      <c r="N1110" s="65"/>
      <c r="O1110" s="94"/>
      <c r="P1110" s="116"/>
      <c r="Q1110" s="116"/>
      <c r="R1110" s="94"/>
      <c r="S1110" s="94"/>
      <c r="T1110" s="62"/>
      <c r="U1110" s="116"/>
      <c r="V1110" s="116"/>
      <c r="W1110" s="115"/>
      <c r="X1110" s="62"/>
      <c r="Y1110" s="62"/>
      <c r="Z1110" s="65"/>
      <c r="AA1110" s="94"/>
      <c r="AB1110" s="116"/>
      <c r="AC1110" s="116"/>
      <c r="AD1110" s="94"/>
      <c r="AE1110" s="94"/>
      <c r="AF1110" s="62"/>
      <c r="AG1110" s="116"/>
      <c r="AH1110" s="116"/>
      <c r="AI1110" s="11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94"/>
      <c r="C1111" s="94"/>
      <c r="D1111" s="81"/>
      <c r="E1111" s="82"/>
      <c r="F1111" s="83"/>
      <c r="G1111" s="83"/>
      <c r="H1111" s="62"/>
      <c r="I1111" s="93"/>
      <c r="J1111" s="93"/>
      <c r="K1111" s="115"/>
      <c r="L1111" s="62"/>
      <c r="M1111" s="62"/>
      <c r="N1111" s="94"/>
      <c r="O1111" s="94"/>
      <c r="P1111" s="81"/>
      <c r="Q1111" s="83"/>
      <c r="R1111" s="83"/>
      <c r="S1111" s="83"/>
      <c r="T1111" s="62"/>
      <c r="U1111" s="93"/>
      <c r="V1111" s="93"/>
      <c r="W1111" s="115"/>
      <c r="X1111" s="62"/>
      <c r="Y1111" s="62"/>
      <c r="Z1111" s="94"/>
      <c r="AA1111" s="94"/>
      <c r="AB1111" s="81"/>
      <c r="AC1111" s="83"/>
      <c r="AD1111" s="83"/>
      <c r="AE1111" s="83"/>
      <c r="AF1111" s="62"/>
      <c r="AG1111" s="93"/>
      <c r="AH1111" s="93"/>
      <c r="AI1111" s="11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92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94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94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92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94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94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92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94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94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92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94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94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92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94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94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92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94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92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94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94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92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94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5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92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94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94"/>
      <c r="AB1120" s="62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92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94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94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92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94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65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62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94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92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94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94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92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94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94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92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94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94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92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94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62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92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94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94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92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94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94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92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94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94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92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62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94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94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94"/>
      <c r="R1132" s="94"/>
      <c r="S1132" s="60"/>
      <c r="T1132" s="62"/>
      <c r="U1132" s="62"/>
      <c r="V1132" s="62"/>
      <c r="W1132" s="61"/>
      <c r="X1132" s="62"/>
      <c r="Y1132" s="62"/>
      <c r="Z1132" s="66"/>
      <c r="AA1132" s="94"/>
      <c r="AB1132" s="67"/>
      <c r="AC1132" s="94"/>
      <c r="AD1132" s="94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92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94"/>
      <c r="P1133" s="68"/>
      <c r="Q1133" s="94"/>
      <c r="R1133" s="94"/>
      <c r="S1133" s="60"/>
      <c r="T1133" s="62"/>
      <c r="U1133" s="62"/>
      <c r="V1133" s="62"/>
      <c r="W1133" s="61"/>
      <c r="X1133" s="62"/>
      <c r="Y1133" s="62"/>
      <c r="Z1133" s="66"/>
      <c r="AA1133" s="94"/>
      <c r="AB1133" s="68"/>
      <c r="AC1133" s="94"/>
      <c r="AD1133" s="94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92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94"/>
      <c r="P1134" s="69"/>
      <c r="Q1134" s="62"/>
      <c r="R1134" s="62"/>
      <c r="S1134" s="60"/>
      <c r="T1134" s="62"/>
      <c r="U1134" s="62"/>
      <c r="V1134" s="62"/>
      <c r="W1134" s="61"/>
      <c r="X1134" s="62"/>
      <c r="Y1134" s="62"/>
      <c r="Z1134" s="66"/>
      <c r="AA1134" s="94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94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94"/>
      <c r="P1135" s="69"/>
      <c r="Q1135" s="94"/>
      <c r="R1135" s="94"/>
      <c r="S1135" s="60"/>
      <c r="T1135" s="62"/>
      <c r="U1135" s="62"/>
      <c r="V1135" s="62"/>
      <c r="W1135" s="61"/>
      <c r="X1135" s="62"/>
      <c r="Y1135" s="62"/>
      <c r="Z1135" s="66"/>
      <c r="AA1135" s="94"/>
      <c r="AB1135" s="69"/>
      <c r="AC1135" s="94"/>
      <c r="AD1135" s="94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94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94"/>
      <c r="R1136" s="94"/>
      <c r="S1136" s="60"/>
      <c r="T1136" s="62"/>
      <c r="U1136" s="62"/>
      <c r="V1136" s="62"/>
      <c r="W1136" s="61"/>
      <c r="X1136" s="62"/>
      <c r="Y1136" s="62"/>
      <c r="Z1136" s="66"/>
      <c r="AA1136" s="62"/>
      <c r="AB1136" s="69"/>
      <c r="AC1136" s="94"/>
      <c r="AD1136" s="94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65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94"/>
      <c r="R1137" s="94"/>
      <c r="S1137" s="60"/>
      <c r="T1137" s="62"/>
      <c r="U1137" s="62"/>
      <c r="V1137" s="62"/>
      <c r="W1137" s="61"/>
      <c r="X1137" s="62"/>
      <c r="Y1137" s="62"/>
      <c r="Z1137" s="66"/>
      <c r="AA1137" s="62"/>
      <c r="AB1137" s="69"/>
      <c r="AC1137" s="94"/>
      <c r="AD1137" s="94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94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94"/>
      <c r="P1138" s="69"/>
      <c r="Q1138" s="94"/>
      <c r="R1138" s="94"/>
      <c r="S1138" s="60"/>
      <c r="T1138" s="62"/>
      <c r="U1138" s="62"/>
      <c r="V1138" s="62"/>
      <c r="W1138" s="61"/>
      <c r="X1138" s="62"/>
      <c r="Y1138" s="62"/>
      <c r="Z1138" s="66"/>
      <c r="AA1138" s="94"/>
      <c r="AB1138" s="69"/>
      <c r="AC1138" s="94"/>
      <c r="AD1138" s="94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9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94"/>
      <c r="P1139" s="69"/>
      <c r="Q1139" s="94"/>
      <c r="R1139" s="94"/>
      <c r="S1139" s="60"/>
      <c r="T1139" s="62"/>
      <c r="U1139" s="62"/>
      <c r="V1139" s="62"/>
      <c r="W1139" s="61"/>
      <c r="X1139" s="62"/>
      <c r="Y1139" s="62"/>
      <c r="Z1139" s="66"/>
      <c r="AA1139" s="94"/>
      <c r="AB1139" s="69"/>
      <c r="AC1139" s="94"/>
      <c r="AD1139" s="94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9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94"/>
      <c r="R1140" s="94"/>
      <c r="S1140" s="60"/>
      <c r="T1140" s="62"/>
      <c r="U1140" s="62"/>
      <c r="V1140" s="62"/>
      <c r="W1140" s="61"/>
      <c r="X1140" s="62"/>
      <c r="Y1140" s="62"/>
      <c r="Z1140" s="66"/>
      <c r="AA1140" s="94"/>
      <c r="AB1140" s="69"/>
      <c r="AC1140" s="94"/>
      <c r="AD1140" s="94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9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94"/>
      <c r="R1141" s="94"/>
      <c r="S1141" s="60"/>
      <c r="T1141" s="62"/>
      <c r="U1141" s="62"/>
      <c r="V1141" s="62"/>
      <c r="W1141" s="61"/>
      <c r="X1141" s="62"/>
      <c r="Y1141" s="62"/>
      <c r="Z1141" s="66"/>
      <c r="AA1141" s="62"/>
      <c r="AB1141" s="69"/>
      <c r="AC1141" s="94"/>
      <c r="AD1141" s="94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9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94"/>
      <c r="P1142" s="69"/>
      <c r="Q1142" s="94"/>
      <c r="R1142" s="94"/>
      <c r="S1142" s="60"/>
      <c r="T1142" s="62"/>
      <c r="U1142" s="62"/>
      <c r="V1142" s="62"/>
      <c r="W1142" s="61"/>
      <c r="X1142" s="62"/>
      <c r="Y1142" s="62"/>
      <c r="Z1142" s="66"/>
      <c r="AA1142" s="62"/>
      <c r="AB1142" s="69"/>
      <c r="AC1142" s="94"/>
      <c r="AD1142" s="94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9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62"/>
      <c r="P1143" s="69"/>
      <c r="Q1143" s="94"/>
      <c r="R1143" s="94"/>
      <c r="S1143" s="60"/>
      <c r="T1143" s="62"/>
      <c r="U1143" s="62"/>
      <c r="V1143" s="62"/>
      <c r="W1143" s="61"/>
      <c r="X1143" s="62"/>
      <c r="Y1143" s="62"/>
      <c r="Z1143" s="66"/>
      <c r="AA1143" s="94"/>
      <c r="AB1143" s="69"/>
      <c r="AC1143" s="94"/>
      <c r="AD1143" s="94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9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94"/>
      <c r="P1144" s="69"/>
      <c r="Q1144" s="94"/>
      <c r="R1144" s="94"/>
      <c r="S1144" s="60"/>
      <c r="T1144" s="62"/>
      <c r="U1144" s="62"/>
      <c r="V1144" s="62"/>
      <c r="W1144" s="61"/>
      <c r="X1144" s="62"/>
      <c r="Y1144" s="62"/>
      <c r="Z1144" s="66"/>
      <c r="AA1144" s="94"/>
      <c r="AB1144" s="69"/>
      <c r="AC1144" s="94"/>
      <c r="AD1144" s="94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9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94"/>
      <c r="P1145" s="69"/>
      <c r="Q1145" s="94"/>
      <c r="R1145" s="94"/>
      <c r="S1145" s="60"/>
      <c r="T1145" s="62"/>
      <c r="U1145" s="62"/>
      <c r="V1145" s="62"/>
      <c r="W1145" s="61"/>
      <c r="X1145" s="62"/>
      <c r="Y1145" s="62"/>
      <c r="Z1145" s="66"/>
      <c r="AA1145" s="62"/>
      <c r="AB1145" s="69"/>
      <c r="AC1145" s="94"/>
      <c r="AD1145" s="94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9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94"/>
      <c r="P1146" s="69"/>
      <c r="Q1146" s="94"/>
      <c r="R1146" s="94"/>
      <c r="S1146" s="60"/>
      <c r="T1146" s="62"/>
      <c r="U1146" s="62"/>
      <c r="V1146" s="62"/>
      <c r="W1146" s="61"/>
      <c r="X1146" s="62"/>
      <c r="Y1146" s="62"/>
      <c r="Z1146" s="66"/>
      <c r="AA1146" s="94"/>
      <c r="AB1146" s="69"/>
      <c r="AC1146" s="94"/>
      <c r="AD1146" s="94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9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94"/>
      <c r="P1147" s="69"/>
      <c r="Q1147" s="94"/>
      <c r="R1147" s="94"/>
      <c r="S1147" s="60"/>
      <c r="T1147" s="62"/>
      <c r="U1147" s="62"/>
      <c r="V1147" s="62"/>
      <c r="W1147" s="61"/>
      <c r="X1147" s="62"/>
      <c r="Y1147" s="62"/>
      <c r="Z1147" s="66"/>
      <c r="AA1147" s="94"/>
      <c r="AB1147" s="69"/>
      <c r="AC1147" s="94"/>
      <c r="AD1147" s="94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94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94"/>
      <c r="R1148" s="94"/>
      <c r="S1148" s="60"/>
      <c r="T1148" s="62"/>
      <c r="U1148" s="62"/>
      <c r="V1148" s="62"/>
      <c r="W1148" s="61"/>
      <c r="X1148" s="62"/>
      <c r="Y1148" s="62"/>
      <c r="Z1148" s="66"/>
      <c r="AA1148" s="94"/>
      <c r="AB1148" s="69"/>
      <c r="AC1148" s="94"/>
      <c r="AD1148" s="94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94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94"/>
      <c r="P1149" s="69"/>
      <c r="Q1149" s="94"/>
      <c r="R1149" s="94"/>
      <c r="S1149" s="60"/>
      <c r="T1149" s="62"/>
      <c r="U1149" s="62"/>
      <c r="V1149" s="62"/>
      <c r="W1149" s="61"/>
      <c r="X1149" s="62"/>
      <c r="Y1149" s="62"/>
      <c r="Z1149" s="66"/>
      <c r="AA1149" s="94"/>
      <c r="AB1149" s="69"/>
      <c r="AC1149" s="94"/>
      <c r="AD1149" s="94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94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94"/>
      <c r="P1150" s="69"/>
      <c r="Q1150" s="94"/>
      <c r="R1150" s="94"/>
      <c r="S1150" s="60"/>
      <c r="T1150" s="62"/>
      <c r="U1150" s="62"/>
      <c r="V1150" s="62"/>
      <c r="W1150" s="61"/>
      <c r="X1150" s="62"/>
      <c r="Y1150" s="62"/>
      <c r="Z1150" s="66"/>
      <c r="AA1150" s="94"/>
      <c r="AB1150" s="69"/>
      <c r="AC1150" s="94"/>
      <c r="AD1150" s="94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94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94"/>
      <c r="R1151" s="94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94"/>
      <c r="AD1151" s="94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94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94"/>
      <c r="P1152" s="69"/>
      <c r="Q1152" s="94"/>
      <c r="R1152" s="94"/>
      <c r="S1152" s="60"/>
      <c r="T1152" s="62"/>
      <c r="U1152" s="62"/>
      <c r="V1152" s="62"/>
      <c r="W1152" s="61"/>
      <c r="X1152" s="62"/>
      <c r="Y1152" s="62"/>
      <c r="Z1152" s="66"/>
      <c r="AA1152" s="94"/>
      <c r="AB1152" s="69"/>
      <c r="AC1152" s="94"/>
      <c r="AD1152" s="94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94"/>
      <c r="O1153" s="94"/>
      <c r="P1153" s="94"/>
      <c r="Q1153" s="94"/>
      <c r="R1153" s="94"/>
      <c r="S1153" s="94"/>
      <c r="T1153" s="62"/>
      <c r="U1153" s="62"/>
      <c r="V1153" s="62"/>
      <c r="W1153" s="61"/>
      <c r="X1153" s="62"/>
      <c r="Y1153" s="62"/>
      <c r="Z1153" s="94"/>
      <c r="AA1153" s="94"/>
      <c r="AB1153" s="94"/>
      <c r="AC1153" s="94"/>
      <c r="AD1153" s="94"/>
      <c r="AE1153" s="94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94"/>
      <c r="C1154" s="94"/>
      <c r="D1154" s="94"/>
      <c r="E1154" s="94"/>
      <c r="F1154" s="94"/>
      <c r="G1154" s="94"/>
      <c r="H1154" s="62"/>
      <c r="I1154" s="62"/>
      <c r="J1154" s="62"/>
      <c r="K1154" s="62"/>
      <c r="L1154" s="62"/>
      <c r="M1154" s="62"/>
      <c r="N1154" s="94"/>
      <c r="O1154" s="94"/>
      <c r="P1154" s="94"/>
      <c r="Q1154" s="94"/>
      <c r="R1154" s="94"/>
      <c r="S1154" s="94"/>
      <c r="T1154" s="62"/>
      <c r="U1154" s="62"/>
      <c r="V1154" s="62"/>
      <c r="W1154" s="62"/>
      <c r="X1154" s="62"/>
      <c r="Y1154" s="62"/>
      <c r="Z1154" s="94"/>
      <c r="AA1154" s="94"/>
      <c r="AB1154" s="94"/>
      <c r="AC1154" s="94"/>
      <c r="AD1154" s="94"/>
      <c r="AE1154" s="94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94"/>
      <c r="C1155" s="94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94"/>
      <c r="O1155" s="94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94"/>
      <c r="AA1155" s="94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6"/>
      <c r="E1165" s="116"/>
      <c r="F1165" s="89"/>
      <c r="G1165" s="89"/>
      <c r="H1165" s="62"/>
      <c r="I1165" s="116"/>
      <c r="J1165" s="116"/>
      <c r="K1165" s="115"/>
      <c r="L1165" s="62"/>
      <c r="M1165" s="62"/>
      <c r="N1165" s="65"/>
      <c r="O1165" s="89"/>
      <c r="P1165" s="116"/>
      <c r="Q1165" s="116"/>
      <c r="R1165" s="89"/>
      <c r="S1165" s="89"/>
      <c r="T1165" s="62"/>
      <c r="U1165" s="116"/>
      <c r="V1165" s="116"/>
      <c r="W1165" s="115"/>
      <c r="X1165" s="62"/>
      <c r="Y1165" s="62"/>
      <c r="Z1165" s="65"/>
      <c r="AA1165" s="89"/>
      <c r="AB1165" s="116"/>
      <c r="AC1165" s="116"/>
      <c r="AD1165" s="89"/>
      <c r="AE1165" s="89"/>
      <c r="AF1165" s="62"/>
      <c r="AG1165" s="116"/>
      <c r="AH1165" s="116"/>
      <c r="AI1165" s="11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5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5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6"/>
      <c r="E1221" s="116"/>
      <c r="F1221" s="87"/>
      <c r="G1221" s="87"/>
      <c r="H1221" s="62"/>
      <c r="I1221" s="116"/>
      <c r="J1221" s="116"/>
      <c r="K1221" s="115"/>
      <c r="L1221" s="62"/>
      <c r="M1221" s="62"/>
      <c r="N1221" s="65"/>
      <c r="O1221" s="87"/>
      <c r="P1221" s="116"/>
      <c r="Q1221" s="116"/>
      <c r="R1221" s="87"/>
      <c r="S1221" s="87"/>
      <c r="T1221" s="62"/>
      <c r="U1221" s="116"/>
      <c r="V1221" s="116"/>
      <c r="W1221" s="115"/>
      <c r="X1221" s="62"/>
      <c r="Y1221" s="62"/>
      <c r="Z1221" s="65"/>
      <c r="AA1221" s="87"/>
      <c r="AB1221" s="116"/>
      <c r="AC1221" s="116"/>
      <c r="AD1221" s="87"/>
      <c r="AE1221" s="87"/>
      <c r="AF1221" s="62"/>
      <c r="AG1221" s="116"/>
      <c r="AH1221" s="116"/>
      <c r="AI1221" s="11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5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5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6"/>
      <c r="E1283" s="116"/>
      <c r="F1283" s="84"/>
      <c r="G1283" s="84"/>
      <c r="H1283" s="62"/>
      <c r="I1283" s="116"/>
      <c r="J1283" s="116"/>
      <c r="K1283" s="115"/>
      <c r="L1283" s="62"/>
      <c r="M1283" s="62"/>
      <c r="N1283" s="65"/>
      <c r="O1283" s="84"/>
      <c r="P1283" s="116"/>
      <c r="Q1283" s="116"/>
      <c r="R1283" s="84"/>
      <c r="S1283" s="84"/>
      <c r="T1283" s="62"/>
      <c r="U1283" s="116"/>
      <c r="V1283" s="116"/>
      <c r="W1283" s="115"/>
      <c r="X1283" s="62"/>
      <c r="Y1283" s="62"/>
      <c r="Z1283" s="65"/>
      <c r="AA1283" s="84"/>
      <c r="AB1283" s="116"/>
      <c r="AC1283" s="116"/>
      <c r="AD1283" s="84"/>
      <c r="AE1283" s="84"/>
      <c r="AF1283" s="62"/>
      <c r="AG1283" s="116"/>
      <c r="AH1283" s="116"/>
      <c r="AI1283" s="11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JANUARY</vt:lpstr>
      <vt:lpstr>DSIS | JANUARY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2026-01-20T00:36:22Z</dcterms:modified>
</cp:coreProperties>
</file>