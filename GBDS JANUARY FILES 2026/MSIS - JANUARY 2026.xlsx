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28151F6D-0FAB-4D4E-9DA9-76CE844D0F9F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027" i="2" l="1"/>
  <c r="P1026" i="2"/>
  <c r="S1026" i="2" s="1"/>
  <c r="W1026" i="2" s="1"/>
  <c r="P1025" i="2"/>
  <c r="S1025" i="2" s="1"/>
  <c r="W1025" i="2" s="1"/>
  <c r="P1024" i="2"/>
  <c r="S1024" i="2" s="1"/>
  <c r="W1024" i="2" s="1"/>
  <c r="P1023" i="2"/>
  <c r="S1023" i="2" s="1"/>
  <c r="W1023" i="2" s="1"/>
  <c r="P1022" i="2"/>
  <c r="S1022" i="2" s="1"/>
  <c r="W1022" i="2" s="1"/>
  <c r="P1021" i="2"/>
  <c r="S1021" i="2" s="1"/>
  <c r="W1021" i="2" s="1"/>
  <c r="P1020" i="2"/>
  <c r="S1020" i="2" s="1"/>
  <c r="W1020" i="2" s="1"/>
  <c r="P1019" i="2"/>
  <c r="S1019" i="2" s="1"/>
  <c r="W1019" i="2" s="1"/>
  <c r="P1018" i="2"/>
  <c r="P1017" i="2"/>
  <c r="P1016" i="2"/>
  <c r="S1016" i="2" s="1"/>
  <c r="W1016" i="2" s="1"/>
  <c r="P1015" i="2"/>
  <c r="S1015" i="2" s="1"/>
  <c r="W1015" i="2" s="1"/>
  <c r="P1014" i="2"/>
  <c r="S1014" i="2" s="1"/>
  <c r="W1014" i="2" s="1"/>
  <c r="P1013" i="2"/>
  <c r="S1013" i="2" s="1"/>
  <c r="W1013" i="2" s="1"/>
  <c r="P1012" i="2"/>
  <c r="S1012" i="2" s="1"/>
  <c r="W1012" i="2" s="1"/>
  <c r="P1011" i="2"/>
  <c r="S1011" i="2" s="1"/>
  <c r="W1011" i="2" s="1"/>
  <c r="P1010" i="2"/>
  <c r="S1010" i="2" s="1"/>
  <c r="W1010" i="2" s="1"/>
  <c r="P1009" i="2"/>
  <c r="S1009" i="2" s="1"/>
  <c r="W1009" i="2" s="1"/>
  <c r="P1008" i="2"/>
  <c r="S1008" i="2" s="1"/>
  <c r="W1008" i="2" s="1"/>
  <c r="P1007" i="2"/>
  <c r="P1006" i="2"/>
  <c r="P1005" i="2"/>
  <c r="S1005" i="2" s="1"/>
  <c r="W1005" i="2" s="1"/>
  <c r="P1004" i="2"/>
  <c r="S1004" i="2" s="1"/>
  <c r="W1004" i="2" s="1"/>
  <c r="P1003" i="2"/>
  <c r="S1003" i="2" s="1"/>
  <c r="W1003" i="2" s="1"/>
  <c r="P1002" i="2"/>
  <c r="O1003" i="2"/>
  <c r="O1004" i="2" s="1"/>
  <c r="O1005" i="2" s="1"/>
  <c r="O1006" i="2" s="1"/>
  <c r="O1007" i="2" s="1"/>
  <c r="O1008" i="2" s="1"/>
  <c r="O1009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S1006" i="2"/>
  <c r="W1006" i="2" s="1"/>
  <c r="S1007" i="2"/>
  <c r="W1007" i="2" s="1"/>
  <c r="S1017" i="2"/>
  <c r="W1017" i="2"/>
  <c r="S1018" i="2"/>
  <c r="W1018" i="2" s="1"/>
  <c r="S1027" i="2"/>
  <c r="W1027" i="2"/>
  <c r="S1028" i="2"/>
  <c r="W1028" i="2"/>
  <c r="S1029" i="2"/>
  <c r="W1029" i="2"/>
  <c r="S1030" i="2"/>
  <c r="W1030" i="2"/>
  <c r="S1031" i="2"/>
  <c r="W1031" i="2"/>
  <c r="S1032" i="2"/>
  <c r="W1032" i="2"/>
  <c r="S1033" i="2"/>
  <c r="W1033" i="2"/>
  <c r="S1034" i="2"/>
  <c r="W1034" i="2"/>
  <c r="S1035" i="2"/>
  <c r="W1035" i="2"/>
  <c r="S1036" i="2"/>
  <c r="W1036" i="2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Q1045" i="2"/>
  <c r="R1045" i="2"/>
  <c r="U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D1012" i="2"/>
  <c r="G1012" i="2" s="1"/>
  <c r="K1012" i="2" s="1"/>
  <c r="D1011" i="2"/>
  <c r="D1010" i="2"/>
  <c r="D1009" i="2"/>
  <c r="D1008" i="2"/>
  <c r="D1007" i="2"/>
  <c r="G1007" i="2" s="1"/>
  <c r="K1007" i="2" s="1"/>
  <c r="D1006" i="2"/>
  <c r="G1006" i="2" s="1"/>
  <c r="K1006" i="2" s="1"/>
  <c r="D1005" i="2"/>
  <c r="G1005" i="2"/>
  <c r="K1005" i="2" s="1"/>
  <c r="D1004" i="2"/>
  <c r="D1003" i="2"/>
  <c r="D1002" i="2"/>
  <c r="C1003" i="2"/>
  <c r="C1004" i="2" s="1"/>
  <c r="C1005" i="2" s="1"/>
  <c r="C1006" i="2" s="1"/>
  <c r="C1007" i="2" s="1"/>
  <c r="C1009" i="2" s="1"/>
  <c r="C1010" i="2" s="1"/>
  <c r="C1011" i="2" s="1"/>
  <c r="C1012" i="2" s="1"/>
  <c r="C1013" i="2" s="1"/>
  <c r="C1014" i="2" s="1"/>
  <c r="C1015" i="2" s="1"/>
  <c r="G1003" i="2"/>
  <c r="K1003" i="2" s="1"/>
  <c r="G1004" i="2"/>
  <c r="K1004" i="2" s="1"/>
  <c r="G1008" i="2"/>
  <c r="K1008" i="2"/>
  <c r="G1009" i="2"/>
  <c r="K1009" i="2" s="1"/>
  <c r="G1010" i="2"/>
  <c r="K1010" i="2" s="1"/>
  <c r="G1011" i="2"/>
  <c r="K1011" i="2" s="1"/>
  <c r="G1013" i="2"/>
  <c r="G1016" i="2"/>
  <c r="K1016" i="2"/>
  <c r="G1017" i="2"/>
  <c r="K1017" i="2" s="1"/>
  <c r="G1018" i="2"/>
  <c r="K1018" i="2"/>
  <c r="G1019" i="2"/>
  <c r="K1019" i="2" s="1"/>
  <c r="G1020" i="2"/>
  <c r="K1020" i="2"/>
  <c r="G1021" i="2"/>
  <c r="K1021" i="2" s="1"/>
  <c r="G1022" i="2"/>
  <c r="K1022" i="2" s="1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/>
  <c r="G1029" i="2"/>
  <c r="K1029" i="2"/>
  <c r="G1030" i="2"/>
  <c r="K1030" i="2" s="1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/>
  <c r="E1045" i="2"/>
  <c r="F1045" i="2"/>
  <c r="J1045" i="2"/>
  <c r="P1045" i="2" l="1"/>
  <c r="S1002" i="2"/>
  <c r="W1002" i="2" s="1"/>
  <c r="W1045" i="2" s="1"/>
  <c r="K1013" i="2"/>
  <c r="D1045" i="2"/>
  <c r="G1002" i="2"/>
  <c r="G1045" i="2" s="1"/>
  <c r="AB949" i="2"/>
  <c r="AE949" i="2" s="1"/>
  <c r="AI949" i="2" s="1"/>
  <c r="AB948" i="2"/>
  <c r="AB947" i="2"/>
  <c r="AE947" i="2"/>
  <c r="AA948" i="2"/>
  <c r="AA949" i="2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/>
  <c r="AE961" i="2"/>
  <c r="AI961" i="2" s="1"/>
  <c r="AE962" i="2"/>
  <c r="AI962" i="2" s="1"/>
  <c r="AE963" i="2"/>
  <c r="AI963" i="2"/>
  <c r="AE964" i="2"/>
  <c r="AI964" i="2"/>
  <c r="AE965" i="2"/>
  <c r="AI965" i="2" s="1"/>
  <c r="AE966" i="2"/>
  <c r="AI966" i="2"/>
  <c r="AE967" i="2"/>
  <c r="AI967" i="2"/>
  <c r="AE968" i="2"/>
  <c r="AI968" i="2"/>
  <c r="AE969" i="2"/>
  <c r="AI969" i="2" s="1"/>
  <c r="AE970" i="2"/>
  <c r="AI970" i="2" s="1"/>
  <c r="AE971" i="2"/>
  <c r="AI971" i="2"/>
  <c r="AE972" i="2"/>
  <c r="AI972" i="2"/>
  <c r="AE973" i="2"/>
  <c r="AI973" i="2" s="1"/>
  <c r="AE974" i="2"/>
  <c r="AI974" i="2"/>
  <c r="AE975" i="2"/>
  <c r="AI975" i="2"/>
  <c r="AE976" i="2"/>
  <c r="AI976" i="2"/>
  <c r="AE977" i="2"/>
  <c r="AI977" i="2" s="1"/>
  <c r="AE978" i="2"/>
  <c r="AI978" i="2" s="1"/>
  <c r="AE979" i="2"/>
  <c r="AI979" i="2"/>
  <c r="AE980" i="2"/>
  <c r="AI980" i="2"/>
  <c r="AE981" i="2"/>
  <c r="AI981" i="2" s="1"/>
  <c r="AE982" i="2"/>
  <c r="AI982" i="2"/>
  <c r="AE983" i="2"/>
  <c r="AI983" i="2"/>
  <c r="AE984" i="2"/>
  <c r="AI984" i="2"/>
  <c r="AE985" i="2"/>
  <c r="AI985" i="2" s="1"/>
  <c r="AI986" i="2"/>
  <c r="AE987" i="2"/>
  <c r="AI987" i="2"/>
  <c r="AI988" i="2"/>
  <c r="AC990" i="2"/>
  <c r="AD990" i="2"/>
  <c r="AG990" i="2"/>
  <c r="AH990" i="2"/>
  <c r="V951" i="2"/>
  <c r="V990" i="2" s="1"/>
  <c r="P951" i="2"/>
  <c r="S951" i="2" s="1"/>
  <c r="W951" i="2" s="1"/>
  <c r="P950" i="2"/>
  <c r="P949" i="2"/>
  <c r="S949" i="2" s="1"/>
  <c r="W949" i="2" s="1"/>
  <c r="P948" i="2"/>
  <c r="P947" i="2"/>
  <c r="S947" i="2"/>
  <c r="W947" i="2" s="1"/>
  <c r="O948" i="2"/>
  <c r="O949" i="2" s="1"/>
  <c r="O950" i="2" s="1"/>
  <c r="O951" i="2" s="1"/>
  <c r="S948" i="2"/>
  <c r="W948" i="2"/>
  <c r="S950" i="2"/>
  <c r="S952" i="2"/>
  <c r="W952" i="2" s="1"/>
  <c r="S953" i="2"/>
  <c r="U990" i="2"/>
  <c r="W953" i="2"/>
  <c r="S954" i="2"/>
  <c r="W954" i="2" s="1"/>
  <c r="S955" i="2"/>
  <c r="W955" i="2"/>
  <c r="S956" i="2"/>
  <c r="W956" i="2" s="1"/>
  <c r="S957" i="2"/>
  <c r="W957" i="2"/>
  <c r="S958" i="2"/>
  <c r="W958" i="2"/>
  <c r="S959" i="2"/>
  <c r="W959" i="2"/>
  <c r="S960" i="2"/>
  <c r="W960" i="2" s="1"/>
  <c r="S961" i="2"/>
  <c r="W961" i="2" s="1"/>
  <c r="S962" i="2"/>
  <c r="W962" i="2"/>
  <c r="S963" i="2"/>
  <c r="W963" i="2"/>
  <c r="S964" i="2"/>
  <c r="W964" i="2" s="1"/>
  <c r="S965" i="2"/>
  <c r="W965" i="2"/>
  <c r="S966" i="2"/>
  <c r="W966" i="2"/>
  <c r="S967" i="2"/>
  <c r="W967" i="2"/>
  <c r="S968" i="2"/>
  <c r="W968" i="2"/>
  <c r="S969" i="2"/>
  <c r="W969" i="2" s="1"/>
  <c r="S970" i="2"/>
  <c r="W970" i="2"/>
  <c r="S971" i="2"/>
  <c r="W971" i="2"/>
  <c r="S972" i="2"/>
  <c r="W972" i="2" s="1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 s="1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D949" i="2"/>
  <c r="D948" i="2"/>
  <c r="G948" i="2" s="1"/>
  <c r="J947" i="2"/>
  <c r="J990" i="2" s="1"/>
  <c r="I947" i="2"/>
  <c r="I990" i="2" s="1"/>
  <c r="D947" i="2"/>
  <c r="C948" i="2"/>
  <c r="C949" i="2" s="1"/>
  <c r="G949" i="2"/>
  <c r="K949" i="2" s="1"/>
  <c r="G950" i="2"/>
  <c r="K950" i="2" s="1"/>
  <c r="G951" i="2"/>
  <c r="K951" i="2"/>
  <c r="G952" i="2"/>
  <c r="K952" i="2"/>
  <c r="G953" i="2"/>
  <c r="K953" i="2"/>
  <c r="G954" i="2"/>
  <c r="K954" i="2" s="1"/>
  <c r="G955" i="2"/>
  <c r="K955" i="2"/>
  <c r="G956" i="2"/>
  <c r="K956" i="2"/>
  <c r="G957" i="2"/>
  <c r="K957" i="2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S1045" i="2" l="1"/>
  <c r="K1002" i="2"/>
  <c r="K1045" i="2" s="1"/>
  <c r="AB990" i="2"/>
  <c r="AE948" i="2"/>
  <c r="AI948" i="2" s="1"/>
  <c r="AI947" i="2"/>
  <c r="P990" i="2"/>
  <c r="S990" i="2"/>
  <c r="W950" i="2"/>
  <c r="W990" i="2" s="1"/>
  <c r="D990" i="2"/>
  <c r="G947" i="2"/>
  <c r="K947" i="2" s="1"/>
  <c r="G990" i="2"/>
  <c r="K948" i="2"/>
  <c r="U898" i="2"/>
  <c r="AE990" i="2" l="1"/>
  <c r="AI990" i="2"/>
  <c r="K990" i="2"/>
  <c r="AB901" i="2"/>
  <c r="AB900" i="2"/>
  <c r="AE900" i="2" s="1"/>
  <c r="AI900" i="2" s="1"/>
  <c r="AB899" i="2"/>
  <c r="AE899" i="2" s="1"/>
  <c r="AI899" i="2" s="1"/>
  <c r="AB898" i="2"/>
  <c r="AB897" i="2"/>
  <c r="AE897" i="2" s="1"/>
  <c r="AI897" i="2" s="1"/>
  <c r="AB896" i="2"/>
  <c r="AB895" i="2"/>
  <c r="AE895" i="2" s="1"/>
  <c r="AI895" i="2" s="1"/>
  <c r="AG894" i="2"/>
  <c r="AG935" i="2" s="1"/>
  <c r="AB894" i="2"/>
  <c r="AB893" i="2"/>
  <c r="AE893" i="2" s="1"/>
  <c r="AI893" i="2" s="1"/>
  <c r="AB892" i="2"/>
  <c r="AE892" i="2"/>
  <c r="AI892" i="2" s="1"/>
  <c r="AA893" i="2"/>
  <c r="AA894" i="2" s="1"/>
  <c r="AA895" i="2" s="1"/>
  <c r="AA896" i="2" s="1"/>
  <c r="AA897" i="2" s="1"/>
  <c r="AA898" i="2" s="1"/>
  <c r="AA899" i="2" s="1"/>
  <c r="AA900" i="2" s="1"/>
  <c r="AA901" i="2" s="1"/>
  <c r="AE894" i="2"/>
  <c r="AE896" i="2"/>
  <c r="AI896" i="2" s="1"/>
  <c r="AE898" i="2"/>
  <c r="AI898" i="2"/>
  <c r="AE901" i="2"/>
  <c r="AI901" i="2" s="1"/>
  <c r="AE902" i="2"/>
  <c r="AI902" i="2"/>
  <c r="AE903" i="2"/>
  <c r="AI903" i="2" s="1"/>
  <c r="AE904" i="2"/>
  <c r="AI904" i="2" s="1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C935" i="2"/>
  <c r="AD935" i="2"/>
  <c r="AH935" i="2"/>
  <c r="V898" i="2"/>
  <c r="P898" i="2"/>
  <c r="S898" i="2" s="1"/>
  <c r="P900" i="2"/>
  <c r="S900" i="2" s="1"/>
  <c r="W900" i="2" s="1"/>
  <c r="P899" i="2"/>
  <c r="V935" i="2"/>
  <c r="U897" i="2"/>
  <c r="P897" i="2"/>
  <c r="P896" i="2"/>
  <c r="P895" i="2"/>
  <c r="P894" i="2"/>
  <c r="P893" i="2"/>
  <c r="P892" i="2"/>
  <c r="S892" i="2"/>
  <c r="W892" i="2" s="1"/>
  <c r="O893" i="2"/>
  <c r="O894" i="2" s="1"/>
  <c r="O895" i="2" s="1"/>
  <c r="O896" i="2" s="1"/>
  <c r="O897" i="2" s="1"/>
  <c r="O898" i="2" s="1"/>
  <c r="O899" i="2" s="1"/>
  <c r="O900" i="2" s="1"/>
  <c r="S893" i="2"/>
  <c r="S894" i="2"/>
  <c r="W894" i="2" s="1"/>
  <c r="S895" i="2"/>
  <c r="W895" i="2" s="1"/>
  <c r="S896" i="2"/>
  <c r="W896" i="2" s="1"/>
  <c r="S899" i="2"/>
  <c r="W899" i="2"/>
  <c r="S901" i="2"/>
  <c r="W901" i="2" s="1"/>
  <c r="S902" i="2"/>
  <c r="W902" i="2" s="1"/>
  <c r="S903" i="2"/>
  <c r="W903" i="2"/>
  <c r="S904" i="2"/>
  <c r="W904" i="2"/>
  <c r="S905" i="2"/>
  <c r="W905" i="2" s="1"/>
  <c r="S906" i="2"/>
  <c r="W906" i="2"/>
  <c r="S907" i="2"/>
  <c r="W907" i="2"/>
  <c r="S908" i="2"/>
  <c r="W908" i="2"/>
  <c r="S909" i="2"/>
  <c r="W909" i="2"/>
  <c r="S910" i="2"/>
  <c r="W910" i="2" s="1"/>
  <c r="S911" i="2"/>
  <c r="W911" i="2" s="1"/>
  <c r="S912" i="2"/>
  <c r="W912" i="2"/>
  <c r="S913" i="2"/>
  <c r="W913" i="2" s="1"/>
  <c r="S914" i="2"/>
  <c r="W914" i="2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 s="1"/>
  <c r="S922" i="2"/>
  <c r="W922" i="2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 s="1"/>
  <c r="S930" i="2"/>
  <c r="W930" i="2"/>
  <c r="W931" i="2"/>
  <c r="S932" i="2"/>
  <c r="W932" i="2"/>
  <c r="W933" i="2"/>
  <c r="Q935" i="2"/>
  <c r="R935" i="2"/>
  <c r="D894" i="2"/>
  <c r="J893" i="2"/>
  <c r="J935" i="2" s="1"/>
  <c r="D893" i="2"/>
  <c r="D892" i="2"/>
  <c r="G892" i="2" s="1"/>
  <c r="K892" i="2" s="1"/>
  <c r="C893" i="2"/>
  <c r="C894" i="2" s="1"/>
  <c r="G893" i="2"/>
  <c r="G894" i="2"/>
  <c r="G895" i="2"/>
  <c r="K895" i="2" s="1"/>
  <c r="G896" i="2"/>
  <c r="K896" i="2" s="1"/>
  <c r="G897" i="2"/>
  <c r="K897" i="2" s="1"/>
  <c r="G898" i="2"/>
  <c r="K898" i="2" s="1"/>
  <c r="G899" i="2"/>
  <c r="K899" i="2"/>
  <c r="G900" i="2"/>
  <c r="K900" i="2"/>
  <c r="G901" i="2"/>
  <c r="K901" i="2"/>
  <c r="G902" i="2"/>
  <c r="K902" i="2"/>
  <c r="G903" i="2"/>
  <c r="K903" i="2" s="1"/>
  <c r="G904" i="2"/>
  <c r="K904" i="2"/>
  <c r="G905" i="2"/>
  <c r="K905" i="2" s="1"/>
  <c r="G906" i="2"/>
  <c r="K906" i="2" s="1"/>
  <c r="G907" i="2"/>
  <c r="K907" i="2"/>
  <c r="G908" i="2"/>
  <c r="K908" i="2"/>
  <c r="G909" i="2"/>
  <c r="K909" i="2"/>
  <c r="G910" i="2"/>
  <c r="K910" i="2" s="1"/>
  <c r="G911" i="2"/>
  <c r="K911" i="2" s="1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 s="1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I935" i="2"/>
  <c r="AB935" i="2" l="1"/>
  <c r="AE935" i="2"/>
  <c r="AI894" i="2"/>
  <c r="AI935" i="2" s="1"/>
  <c r="U935" i="2"/>
  <c r="W898" i="2"/>
  <c r="P935" i="2"/>
  <c r="S897" i="2"/>
  <c r="W897" i="2" s="1"/>
  <c r="W893" i="2"/>
  <c r="W935" i="2" s="1"/>
  <c r="D935" i="2"/>
  <c r="G935" i="2"/>
  <c r="K893" i="2"/>
  <c r="K894" i="2"/>
  <c r="AB841" i="2"/>
  <c r="AE841" i="2" s="1"/>
  <c r="AI841" i="2" s="1"/>
  <c r="AG840" i="2"/>
  <c r="AB840" i="2"/>
  <c r="AE840" i="2" s="1"/>
  <c r="AI840" i="2" s="1"/>
  <c r="AB839" i="2"/>
  <c r="AE839" i="2" s="1"/>
  <c r="AB838" i="2"/>
  <c r="AB837" i="2"/>
  <c r="AE837" i="2"/>
  <c r="AA838" i="2"/>
  <c r="AE838" i="2"/>
  <c r="AI838" i="2" s="1"/>
  <c r="AA839" i="2"/>
  <c r="AA840" i="2" s="1"/>
  <c r="AA841" i="2" s="1"/>
  <c r="AH880" i="2"/>
  <c r="AE842" i="2"/>
  <c r="AI842" i="2" s="1"/>
  <c r="AE843" i="2"/>
  <c r="AI843" i="2" s="1"/>
  <c r="AE844" i="2"/>
  <c r="AI844" i="2"/>
  <c r="AE845" i="2"/>
  <c r="AI845" i="2"/>
  <c r="AE846" i="2"/>
  <c r="AI846" i="2"/>
  <c r="AE847" i="2"/>
  <c r="AI847" i="2" s="1"/>
  <c r="AE848" i="2"/>
  <c r="AI848" i="2" s="1"/>
  <c r="AE849" i="2"/>
  <c r="AI849" i="2"/>
  <c r="AE850" i="2"/>
  <c r="AI850" i="2" s="1"/>
  <c r="AE851" i="2"/>
  <c r="AI851" i="2" s="1"/>
  <c r="AE852" i="2"/>
  <c r="AI852" i="2"/>
  <c r="AE853" i="2"/>
  <c r="AI853" i="2"/>
  <c r="AE854" i="2"/>
  <c r="AI854" i="2"/>
  <c r="AE855" i="2"/>
  <c r="AI855" i="2" s="1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 s="1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 s="1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C880" i="2"/>
  <c r="AD880" i="2"/>
  <c r="AG880" i="2"/>
  <c r="U841" i="2"/>
  <c r="U880" i="2" s="1"/>
  <c r="P841" i="2"/>
  <c r="S841" i="2" s="1"/>
  <c r="W841" i="2" s="1"/>
  <c r="P840" i="2"/>
  <c r="S840" i="2" s="1"/>
  <c r="W840" i="2" s="1"/>
  <c r="P839" i="2"/>
  <c r="P838" i="2"/>
  <c r="U837" i="2"/>
  <c r="P837" i="2"/>
  <c r="S837" i="2"/>
  <c r="W837" i="2" s="1"/>
  <c r="O838" i="2"/>
  <c r="O839" i="2" s="1"/>
  <c r="O840" i="2" s="1"/>
  <c r="O841" i="2" s="1"/>
  <c r="S838" i="2"/>
  <c r="S839" i="2"/>
  <c r="W839" i="2" s="1"/>
  <c r="S842" i="2"/>
  <c r="W842" i="2" s="1"/>
  <c r="S843" i="2"/>
  <c r="W843" i="2"/>
  <c r="S844" i="2"/>
  <c r="W844" i="2"/>
  <c r="S845" i="2"/>
  <c r="W845" i="2"/>
  <c r="S846" i="2"/>
  <c r="W846" i="2"/>
  <c r="S847" i="2"/>
  <c r="W847" i="2" s="1"/>
  <c r="S848" i="2"/>
  <c r="W848" i="2"/>
  <c r="S849" i="2"/>
  <c r="W849" i="2"/>
  <c r="S850" i="2"/>
  <c r="W850" i="2"/>
  <c r="S851" i="2"/>
  <c r="W851" i="2"/>
  <c r="S852" i="2"/>
  <c r="W852" i="2"/>
  <c r="S853" i="2"/>
  <c r="W853" i="2"/>
  <c r="S854" i="2"/>
  <c r="W854" i="2" s="1"/>
  <c r="S855" i="2"/>
  <c r="W855" i="2" s="1"/>
  <c r="S856" i="2"/>
  <c r="W856" i="2"/>
  <c r="S857" i="2"/>
  <c r="W857" i="2"/>
  <c r="S858" i="2"/>
  <c r="W858" i="2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/>
  <c r="W878" i="2"/>
  <c r="Q880" i="2"/>
  <c r="R880" i="2"/>
  <c r="V880" i="2"/>
  <c r="I839" i="2"/>
  <c r="J839" i="2"/>
  <c r="J880" i="2" s="1"/>
  <c r="D839" i="2"/>
  <c r="D880" i="2" s="1"/>
  <c r="J838" i="2"/>
  <c r="I838" i="2"/>
  <c r="D838" i="2"/>
  <c r="D837" i="2"/>
  <c r="G837" i="2"/>
  <c r="C838" i="2"/>
  <c r="C839" i="2" s="1"/>
  <c r="G838" i="2"/>
  <c r="G839" i="2"/>
  <c r="G840" i="2"/>
  <c r="K840" i="2" s="1"/>
  <c r="G841" i="2"/>
  <c r="K841" i="2" s="1"/>
  <c r="G842" i="2"/>
  <c r="K842" i="2" s="1"/>
  <c r="G843" i="2"/>
  <c r="K843" i="2" s="1"/>
  <c r="G844" i="2"/>
  <c r="K844" i="2" s="1"/>
  <c r="G845" i="2"/>
  <c r="K845" i="2" s="1"/>
  <c r="G846" i="2"/>
  <c r="K846" i="2" s="1"/>
  <c r="G847" i="2"/>
  <c r="K847" i="2" s="1"/>
  <c r="G848" i="2"/>
  <c r="K848" i="2" s="1"/>
  <c r="G849" i="2"/>
  <c r="K849" i="2" s="1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 s="1"/>
  <c r="G857" i="2"/>
  <c r="K857" i="2" s="1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 s="1"/>
  <c r="G865" i="2"/>
  <c r="K865" i="2" s="1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S935" i="2" l="1"/>
  <c r="K935" i="2"/>
  <c r="AB880" i="2"/>
  <c r="AE880" i="2"/>
  <c r="AI837" i="2"/>
  <c r="AI839" i="2"/>
  <c r="P880" i="2"/>
  <c r="S880" i="2"/>
  <c r="W838" i="2"/>
  <c r="W880" i="2" s="1"/>
  <c r="K839" i="2"/>
  <c r="I880" i="2"/>
  <c r="K838" i="2"/>
  <c r="K837" i="2"/>
  <c r="G880" i="2"/>
  <c r="AB786" i="2"/>
  <c r="AE786" i="2" s="1"/>
  <c r="AH786" i="2"/>
  <c r="AB785" i="2"/>
  <c r="AH784" i="2"/>
  <c r="AH825" i="2" s="1"/>
  <c r="AB784" i="2"/>
  <c r="AB783" i="2"/>
  <c r="AB782" i="2"/>
  <c r="AE782" i="2" s="1"/>
  <c r="AI782" i="2" s="1"/>
  <c r="AA783" i="2"/>
  <c r="AA784" i="2" s="1"/>
  <c r="AA785" i="2" s="1"/>
  <c r="AA786" i="2" s="1"/>
  <c r="AE783" i="2"/>
  <c r="AE784" i="2"/>
  <c r="AE785" i="2"/>
  <c r="AI785" i="2" s="1"/>
  <c r="AE787" i="2"/>
  <c r="AI787" i="2"/>
  <c r="AE788" i="2"/>
  <c r="AI788" i="2" s="1"/>
  <c r="AE789" i="2"/>
  <c r="AI789" i="2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/>
  <c r="AE796" i="2"/>
  <c r="AI796" i="2" s="1"/>
  <c r="AE797" i="2"/>
  <c r="AI797" i="2"/>
  <c r="AE798" i="2"/>
  <c r="AI798" i="2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AG825" i="2"/>
  <c r="P787" i="2"/>
  <c r="S787" i="2" s="1"/>
  <c r="W787" i="2" s="1"/>
  <c r="P786" i="2"/>
  <c r="S786" i="2" s="1"/>
  <c r="W786" i="2" s="1"/>
  <c r="P785" i="2"/>
  <c r="U784" i="2"/>
  <c r="P784" i="2"/>
  <c r="S784" i="2" s="1"/>
  <c r="W784" i="2" s="1"/>
  <c r="P783" i="2"/>
  <c r="P782" i="2"/>
  <c r="S782" i="2"/>
  <c r="O783" i="2"/>
  <c r="O784" i="2" s="1"/>
  <c r="O785" i="2" s="1"/>
  <c r="O786" i="2" s="1"/>
  <c r="O787" i="2" s="1"/>
  <c r="S783" i="2"/>
  <c r="W783" i="2" s="1"/>
  <c r="S785" i="2"/>
  <c r="W785" i="2" s="1"/>
  <c r="S788" i="2"/>
  <c r="W788" i="2" s="1"/>
  <c r="S789" i="2"/>
  <c r="W789" i="2"/>
  <c r="S790" i="2"/>
  <c r="W790" i="2" s="1"/>
  <c r="S791" i="2"/>
  <c r="W791" i="2"/>
  <c r="S792" i="2"/>
  <c r="W792" i="2"/>
  <c r="S793" i="2"/>
  <c r="W793" i="2"/>
  <c r="S794" i="2"/>
  <c r="W794" i="2" s="1"/>
  <c r="S795" i="2"/>
  <c r="W795" i="2"/>
  <c r="S796" i="2"/>
  <c r="W796" i="2"/>
  <c r="S797" i="2"/>
  <c r="W797" i="2"/>
  <c r="S798" i="2"/>
  <c r="W798" i="2" s="1"/>
  <c r="S799" i="2"/>
  <c r="W799" i="2"/>
  <c r="S800" i="2"/>
  <c r="W800" i="2"/>
  <c r="S801" i="2"/>
  <c r="W801" i="2"/>
  <c r="S802" i="2"/>
  <c r="W802" i="2" s="1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/>
  <c r="S810" i="2"/>
  <c r="W810" i="2" s="1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Q825" i="2"/>
  <c r="R825" i="2"/>
  <c r="U825" i="2"/>
  <c r="V825" i="2"/>
  <c r="D792" i="2"/>
  <c r="G792" i="2" s="1"/>
  <c r="K792" i="2" s="1"/>
  <c r="I791" i="2"/>
  <c r="D791" i="2"/>
  <c r="G791" i="2" s="1"/>
  <c r="K791" i="2" s="1"/>
  <c r="D790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J783" i="2"/>
  <c r="J825" i="2"/>
  <c r="I783" i="2"/>
  <c r="D783" i="2"/>
  <c r="G783" i="2" s="1"/>
  <c r="D782" i="2"/>
  <c r="G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G785" i="2"/>
  <c r="K785" i="2" s="1"/>
  <c r="G788" i="2"/>
  <c r="K788" i="2" s="1"/>
  <c r="G789" i="2"/>
  <c r="K789" i="2" s="1"/>
  <c r="G790" i="2"/>
  <c r="K790" i="2" s="1"/>
  <c r="G793" i="2"/>
  <c r="K793" i="2" s="1"/>
  <c r="G794" i="2"/>
  <c r="K794" i="2" s="1"/>
  <c r="G795" i="2"/>
  <c r="K795" i="2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/>
  <c r="E825" i="2"/>
  <c r="F825" i="2"/>
  <c r="AI880" i="2" l="1"/>
  <c r="K880" i="2"/>
  <c r="AI786" i="2"/>
  <c r="AI784" i="2"/>
  <c r="AE825" i="2"/>
  <c r="AI783" i="2"/>
  <c r="AB825" i="2"/>
  <c r="W782" i="2"/>
  <c r="W825" i="2" s="1"/>
  <c r="S825" i="2"/>
  <c r="P825" i="2"/>
  <c r="K786" i="2"/>
  <c r="K783" i="2"/>
  <c r="K782" i="2"/>
  <c r="G825" i="2"/>
  <c r="D825" i="2"/>
  <c r="AB731" i="2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I825" i="2" l="1"/>
  <c r="K825" i="2"/>
  <c r="AB770" i="2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D31" i="1" s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family val="2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 BAGUIO
GOLEO, SINDANGAN</t>
        </r>
      </text>
    </comment>
    <comment ref="C782" authorId="0" shapeId="0" xr:uid="{1EE867EE-FCE1-4320-9A99-65F5B90FB7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2" authorId="0" shapeId="0" xr:uid="{60174420-C746-4EC8-AA60-E356BAAB7A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LAIZA STORE
DATU TANGKILAN, SINDANGAN</t>
        </r>
      </text>
    </comment>
    <comment ref="AA782" authorId="0" shapeId="0" xr:uid="{F93FB0AA-674B-4844-955D-11A75E7ECF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783" authorId="0" shapeId="0" xr:uid="{09C9EE9F-CEBE-4FAB-A697-8B4D0B319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3" authorId="0" shapeId="0" xr:uid="{FBCF79D3-6D49-4591-9E16-16A82A6974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DATU TANGKILAN, SINDANGAN</t>
        </r>
      </text>
    </comment>
    <comment ref="AA783" authorId="0" shapeId="0" xr:uid="{EAAD960A-3C1B-4185-88B7-393DD5651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784" authorId="0" shapeId="0" xr:uid="{CCB083D3-7F9D-4253-AFC5-8942FD050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784" authorId="0" shapeId="0" xr:uid="{EEFF1E72-AB5D-4EB5-B7E6-36420AFD2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ELUMBA STORE
POB, BACUNGAN</t>
        </r>
      </text>
    </comment>
    <comment ref="AA784" authorId="0" shapeId="0" xr:uid="{4DB3B951-8015-40E0-B528-B78F26AE2D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C785" authorId="0" shapeId="0" xr:uid="{64D86AB1-8E1F-4D57-A506-5BECD8EFFC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785" authorId="0" shapeId="0" xr:uid="{EFB52805-AF60-482D-AEC2-0B4A983AC4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
LAGAG, SINDANGAN</t>
        </r>
      </text>
    </comment>
    <comment ref="AA785" authorId="0" shapeId="0" xr:uid="{40F56A22-FF18-4FC8-932F-5B0752B1DA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86" authorId="0" shapeId="0" xr:uid="{9262D8B3-4A42-4D55-9D60-9DBC733026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786" authorId="0" shapeId="0" xr:uid="{F49EA94B-17E3-4D6F-BD90-ED12308A40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EDWARDO CAÑETE
GOLEO, SINDANGAN</t>
        </r>
      </text>
    </comment>
    <comment ref="AA786" authorId="0" shapeId="0" xr:uid="{EF29FDC8-477E-48BE-841E-FEE46D219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7" authorId="0" shapeId="0" xr:uid="{946F684B-EB69-499B-9416-5BAC50E0A6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787" authorId="0" shapeId="0" xr:uid="{D9ACA4C1-A98F-462F-8F1B-F1458F309F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C788" authorId="0" shapeId="0" xr:uid="{5064083C-30B1-48C4-97AA-9D52252959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C789" authorId="0" shapeId="0" xr:uid="{ECFD16AF-07D1-490E-A75D-14D516075C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THREE-M STORE
DISUD, SINDANGAN</t>
        </r>
      </text>
    </comment>
    <comment ref="C790" authorId="0" shapeId="0" xr:uid="{4A06E3CE-A5F4-4E9E-8A24-C7A76F496A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C791" authorId="0" shapeId="0" xr:uid="{A1AE2552-DB7E-4E6F-8159-532318E7BD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C792" authorId="0" shapeId="0" xr:uid="{762307E3-5BF7-430C-BF2C-6AD60790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837" authorId="0" shapeId="0" xr:uid="{DFFB8EE6-63AD-4C29-9BB5-38A03DDFCB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837" authorId="0" shapeId="0" xr:uid="{6BA3A827-BEAE-4C8C-9BE1-0D0396D6CB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MARTY STORE
POB, SINDANGAN</t>
        </r>
      </text>
    </comment>
    <comment ref="AA837" authorId="0" shapeId="0" xr:uid="{88342DAC-5E23-4318-901E-2A009E1EE7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838" authorId="0" shapeId="0" xr:uid="{42F9E9C7-8985-49C2-9BF1-2BC7EC3738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838" authorId="0" shapeId="0" xr:uid="{3E3D7E35-2DFF-45D2-9D89-C2624373DC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STORE
GOLEO, SINDANGAN</t>
        </r>
      </text>
    </comment>
    <comment ref="AA838" authorId="0" shapeId="0" xr:uid="{7FEB433F-E855-4B34-9429-531E9F4C31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
SLPA 2
BACONG, SALUG</t>
        </r>
      </text>
    </comment>
    <comment ref="C839" authorId="0" shapeId="0" xr:uid="{A588CA6F-5D48-4C95-8D96-4D80E3320A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</t>
        </r>
      </text>
    </comment>
    <comment ref="O839" authorId="0" shapeId="0" xr:uid="{B081E353-85EC-45B8-8988-66A97D5C6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TOBIAS STORE
DATU TANGKILAN, SINDANGAN</t>
        </r>
      </text>
    </comment>
    <comment ref="AA839" authorId="0" shapeId="0" xr:uid="{E28CF90F-98F8-4FCC-9366-7338D8DE3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840" authorId="0" shapeId="0" xr:uid="{C8491011-C731-4DF1-B8CF-9C26A43E77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BANDICO
GOLEO, SINDANGAN</t>
        </r>
      </text>
    </comment>
    <comment ref="AA840" authorId="0" shapeId="0" xr:uid="{5EB44E45-242E-4894-BCE3-AA2D6F2F5A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O841" authorId="0" shapeId="0" xr:uid="{BE82F6BF-1EE1-47F5-8F2A-710041F791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841" authorId="0" shapeId="0" xr:uid="{88B8C853-DBAA-4A23-9F7D-6FCB5860DD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ANTONIO BALASUELA
BAYBAY, LILOY</t>
        </r>
      </text>
    </comment>
    <comment ref="C892" authorId="0" shapeId="0" xr:uid="{906CA8B3-6F3F-45F5-B825-65BE3C998D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892" authorId="0" shapeId="0" xr:uid="{9B1486A6-2AA1-46A1-8719-57DAAA22D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CRYSTAL STORE
MARAS, SINDANGAN</t>
        </r>
      </text>
    </comment>
    <comment ref="AA892" authorId="0" shapeId="0" xr:uid="{39F18268-1080-4B5D-9E65-E7FE6B8DC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893" authorId="0" shapeId="0" xr:uid="{A51FBB01-A6CB-4185-8D1C-EC78F19F8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893" authorId="0" shapeId="0" xr:uid="{1CEFD5C7-D9ED-4F7D-B3BB-A9B21F5DF7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MITCHEL STORE
MARAS, SINDANGAN</t>
        </r>
      </text>
    </comment>
    <comment ref="AA893" authorId="0" shapeId="0" xr:uid="{3ADBEB63-EE96-4887-9257-2882D7F24A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C894" authorId="0" shapeId="0" xr:uid="{C09C7613-36CA-4E89-9293-F8050A378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894" authorId="0" shapeId="0" xr:uid="{3314EE7D-57C0-4D41-B896-801A162A21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DON STORE
</t>
        </r>
      </text>
    </comment>
    <comment ref="AA894" authorId="0" shapeId="0" xr:uid="{8D17EF3C-53F2-4B36-BE00-B1970AE1BB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895" authorId="0" shapeId="0" xr:uid="{792FEA43-EB5A-4D7D-8B83-869616A753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LEIZEL STORE
MARAS, SINDANGAN</t>
        </r>
      </text>
    </comment>
    <comment ref="AA895" authorId="0" shapeId="0" xr:uid="{DF6BD878-5C1D-4C3D-A241-967AC878BE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O896" authorId="0" shapeId="0" xr:uid="{BA2F78B4-38EA-479D-838F-7635117838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896" authorId="0" shapeId="0" xr:uid="{F55FAB53-EAE8-4E5C-9AC1-20EA5DA3B4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MIRACLE BEB'S
POB, SALUG</t>
        </r>
      </text>
    </comment>
    <comment ref="O897" authorId="0" shapeId="0" xr:uid="{2E09C10E-42B8-43A9-A2FE-9EB48A95CC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897" authorId="0" shapeId="0" xr:uid="{408E68AD-41B0-406D-AB6A-C06829FEB2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898" authorId="0" shapeId="0" xr:uid="{0CDC604B-84D4-49E2-A9B7-BF65E52D27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898" authorId="0" shapeId="0" xr:uid="{4F27C8D3-98D7-4D10-A1A7-A751E8DA42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899" authorId="0" shapeId="0" xr:uid="{CC41ACE8-867E-455C-9D69-0307644FB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 STORE
TALINGA, SINDANGAN</t>
        </r>
      </text>
    </comment>
    <comment ref="AA899" authorId="0" shapeId="0" xr:uid="{63FCB8BC-6082-4B4E-A04E-000E3C253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900" authorId="0" shapeId="0" xr:uid="{8F0900AA-47DD-4DD4-AF97-61255F82B0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900" authorId="0" shapeId="0" xr:uid="{57D4EC3C-B9D1-4B9D-817D-2A871779C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SALUG NATIONAL HIGH SCHOOL
POB, SALUG</t>
        </r>
      </text>
    </comment>
    <comment ref="AA901" authorId="0" shapeId="0" xr:uid="{9B31684D-E5DC-4AA9-956C-87E48EDCD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DIVINO
LIPAKAN, SALUG</t>
        </r>
      </text>
    </comment>
    <comment ref="C947" authorId="0" shapeId="0" xr:uid="{0BCCE6E3-B33F-4E83-96DB-8D115F0B7E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STORE
GUNYAN, SIAYAN</t>
        </r>
      </text>
    </comment>
    <comment ref="O947" authorId="0" shapeId="0" xr:uid="{BDF2086E-22F9-4770-8724-0C92A98B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GOLEO, SINDANGAN</t>
        </r>
      </text>
    </comment>
    <comment ref="AA947" authorId="0" shapeId="0" xr:uid="{B303F80F-A89E-4FC7-90B6-091A9F8F81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948" authorId="0" shapeId="0" xr:uid="{9E4E28A5-63D8-4089-8FF4-23E4FB6E5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948" authorId="0" shapeId="0" xr:uid="{43A238E8-2553-47F1-95E1-872CB757E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948" authorId="0" shapeId="0" xr:uid="{BF617E63-898F-4AD9-903D-F69A4D64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949" authorId="0" shapeId="0" xr:uid="{5737C87A-C45A-47C6-B2E1-0B1D745916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949" authorId="0" shapeId="0" xr:uid="{A9BAF84A-F1CA-46BA-B3BB-379D0B279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KAN-ANAN SA HIGHWAY
TALINGA, BACUNGAN</t>
        </r>
      </text>
    </comment>
    <comment ref="AA949" authorId="0" shapeId="0" xr:uid="{108DFCFB-F414-4B9E-9AE3-E44DBF720F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0" authorId="0" shapeId="0" xr:uid="{56522C6D-B59C-4CAF-AA36-DB57A5BE9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POB, BACUNGAN</t>
        </r>
      </text>
    </comment>
    <comment ref="O951" authorId="0" shapeId="0" xr:uid="{CB6D16E8-5DCB-41B7-852F-996CD12AC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C1002" authorId="0" shapeId="0" xr:uid="{4782F7FC-C384-4506-A5DB-D9541D8A2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O1002" authorId="0" shapeId="0" xr:uid="{B16603E3-2C18-4336-A7D0-335E022A9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1003" authorId="0" shapeId="0" xr:uid="{64F35F23-F719-4FA2-B6B1-C49705413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KOKOY STORE
POB, SINDANGAN</t>
        </r>
      </text>
    </comment>
    <comment ref="O1003" authorId="0" shapeId="0" xr:uid="{F0078EAA-2BBB-413C-9866-39D0B13E8B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ELLEN MANOS
TALINGA, BACUNGAN</t>
        </r>
      </text>
    </comment>
    <comment ref="C1004" authorId="0" shapeId="0" xr:uid="{A0BCF551-2BE6-4922-AE72-04BD4A9D9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POB, SINDANGAN</t>
        </r>
      </text>
    </comment>
    <comment ref="O1004" authorId="0" shapeId="0" xr:uid="{245E9C72-0BA4-4445-946B-CDD9BE8E1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1005" authorId="0" shapeId="0" xr:uid="{73E8308A-90BB-4D00-9F72-46AE7FFE5C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ORAIZ STORE
DAPAON, SINDANGAN</t>
        </r>
      </text>
    </comment>
    <comment ref="O1005" authorId="0" shapeId="0" xr:uid="{E93632A5-17F5-4E35-AA54-F7C0D81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QUIMNO
RM, SALUG</t>
        </r>
      </text>
    </comment>
    <comment ref="C1006" authorId="0" shapeId="0" xr:uid="{3AC8FC6F-3004-4B20-A682-1B5F3724F9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PROCOPIO STORE
DAPAON, SINDANGAN</t>
        </r>
      </text>
    </comment>
    <comment ref="O1006" authorId="0" shapeId="0" xr:uid="{87534150-794E-4456-87D9-1E4E5C0D0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1007" authorId="0" shapeId="0" xr:uid="{565F1A90-1A2E-4425-A5D8-D27FA37869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PBC STORE
DISUD, SINDANGAN</t>
        </r>
      </text>
    </comment>
    <comment ref="O1007" authorId="0" shapeId="0" xr:uid="{032D878B-1F22-4083-8F24-82F1A382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MOSQUEDA STORE
PALANDOK, BACUNGAN</t>
        </r>
      </text>
    </comment>
    <comment ref="C1008" authorId="0" shapeId="0" xr:uid="{30C5161C-448B-41EF-B443-DF0AD993AE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08" authorId="0" shapeId="0" xr:uid="{470800BA-B1DF-4F31-82A9-CD6F33D62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TRIPLE-Z STORE
PALANDOK, BACUNGAN</t>
        </r>
      </text>
    </comment>
    <comment ref="C1009" authorId="0" shapeId="0" xr:uid="{C109B3EE-344E-4ED8-A554-C24F233CC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09" authorId="0" shapeId="0" xr:uid="{D3548261-2A2B-45B3-B374-C19245DB3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C1010" authorId="0" shapeId="0" xr:uid="{8FB1A8D8-4A5D-4CFD-A66D-DDB9FE029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MORANOS STORE
DISUD, SINDANGAN</t>
        </r>
      </text>
    </comment>
    <comment ref="O1010" authorId="0" shapeId="0" xr:uid="{4765D5BA-B34E-4AE0-92F9-AED7420C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ARLENE LAMPAWOG
MANGOP, BACUNGAN</t>
        </r>
      </text>
    </comment>
    <comment ref="C1011" authorId="0" shapeId="0" xr:uid="{A41CC199-B87D-4A31-B4E1-C70E322991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 STORE
LABAKID, SINDANGAN</t>
        </r>
      </text>
    </comment>
    <comment ref="O1011" authorId="0" shapeId="0" xr:uid="{1AACFB12-3BE0-43F5-A40C-0CF7F71D1E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TEVES STORE
MANGOP, BACUNGAN</t>
        </r>
      </text>
    </comment>
    <comment ref="C1012" authorId="0" shapeId="0" xr:uid="{1727DB97-2866-4642-95CD-B1F638109A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012" authorId="0" shapeId="0" xr:uid="{55A42061-573F-4582-B13C-F76B563A4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1013" authorId="0" shapeId="0" xr:uid="{4FB83D81-1484-46F2-AA55-EFE8FAC541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 STORE
LABAKID, SINDANGAN</t>
        </r>
      </text>
    </comment>
    <comment ref="O1013" authorId="0" shapeId="0" xr:uid="{31B05730-3830-4C85-B145-A8A14D407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ELVE BAEL
BOGABONGAN, BACUNGAN</t>
        </r>
      </text>
    </comment>
    <comment ref="C1014" authorId="0" shapeId="0" xr:uid="{769828CA-2F40-439D-B065-F1A3F4387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ISTONG STORE
PIAO, SINDANGAN</t>
        </r>
      </text>
    </comment>
    <comment ref="O1014" authorId="0" shapeId="0" xr:uid="{C30BFCC0-5CD0-48F9-B1D8-7E38028A92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RAFLES
BOGABONGAN, BACUNGAN</t>
        </r>
      </text>
    </comment>
    <comment ref="C1015" authorId="0" shapeId="0" xr:uid="{5AFD3E97-6056-4E17-8624-9145D65A23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PIAO, SINDANGAN</t>
        </r>
      </text>
    </comment>
    <comment ref="O1015" authorId="0" shapeId="0" xr:uid="{57AF3457-D788-432D-A560-1E23B5108F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DURAN STORE
BOGABONGAN, BACUNGAN</t>
        </r>
      </text>
    </comment>
    <comment ref="O1016" authorId="0" shapeId="0" xr:uid="{3F690A3A-4EE3-4CE8-B876-85C21AE9C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GOMEZ
BOGABONGAN, BACUNGAN</t>
        </r>
      </text>
    </comment>
    <comment ref="O1017" authorId="0" shapeId="0" xr:uid="{0FFAADE0-18A8-4604-B4AA-9B9F174BD4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1018" authorId="0" shapeId="0" xr:uid="{A2ABA841-9F35-468F-A527-F3A9654B2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JEANIA'S STORE
BOGABONGAN, BACUNGAN</t>
        </r>
      </text>
    </comment>
    <comment ref="O1019" authorId="0" shapeId="0" xr:uid="{F5DCCAA3-8F6E-44BB-8D72-B7401016F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O1020" authorId="0" shapeId="0" xr:uid="{BC40B8A6-40A2-493C-BCED-9990595CEB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021" authorId="0" shapeId="0" xr:uid="{5397128B-F9B0-491E-9F2A-E3D8D6E3B7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022" authorId="0" shapeId="0" xr:uid="{03EADC7B-F8F8-4F72-97C8-65F72A069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023" authorId="0" shapeId="0" xr:uid="{821C10C7-7831-45CB-B380-4396A20008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024" authorId="0" shapeId="0" xr:uid="{1DDDEA21-51DB-4494-948A-FA04E5E962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O1025" authorId="0" shapeId="0" xr:uid="{129293D8-D590-42C9-BBF8-673A95261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1026" authorId="0" shapeId="0" xr:uid="{32CB6FB1-A643-417B-A146-D2832B5167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REDERA
TALINGA, SINDANGAN</t>
        </r>
      </text>
    </comment>
    <comment ref="O1027" authorId="0" shapeId="0" xr:uid="{B800E550-F35C-4DE3-B6E1-683335ADF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</commentList>
</comments>
</file>

<file path=xl/sharedStrings.xml><?xml version="1.0" encoding="utf-8"?>
<sst xmlns="http://schemas.openxmlformats.org/spreadsheetml/2006/main" count="1395" uniqueCount="96">
  <si>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</si>
  <si>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</si>
  <si>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</si>
  <si>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</si>
  <si>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</si>
  <si>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</si>
  <si>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</si>
  <si>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</si>
  <si>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</si>
  <si>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</si>
  <si>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</si>
  <si>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</si>
  <si>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</si>
  <si>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</si>
  <si>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</si>
  <si>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</si>
  <si>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</si>
  <si>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</si>
  <si>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</si>
  <si>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</si>
  <si>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</si>
  <si>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</si>
  <si>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</si>
  <si>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</si>
  <si>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</si>
  <si>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</si>
  <si>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</si>
  <si>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</si>
  <si>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</si>
  <si>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</si>
  <si>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</si>
  <si>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</si>
  <si>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</si>
  <si>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</si>
  <si>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</si>
  <si>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</si>
  <si>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</si>
  <si>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</si>
  <si>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</si>
  <si>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</si>
  <si>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</si>
  <si>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</si>
  <si>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</si>
  <si>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</si>
  <si>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</si>
  <si>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</si>
  <si>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</si>
  <si>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</si>
  <si>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</si>
  <si>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</si>
  <si>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</si>
  <si>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</si>
  <si>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</si>
  <si>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</si>
  <si>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</si>
  <si>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</si>
  <si>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</si>
  <si>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</si>
  <si>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</si>
  <si>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</si>
  <si>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</si>
  <si>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</si>
  <si>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</si>
  <si>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</si>
  <si>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</si>
  <si>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</si>
  <si>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</si>
  <si>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</si>
  <si>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</si>
  <si>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</si>
  <si>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</si>
  <si>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</si>
  <si>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</si>
  <si>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</si>
  <si>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</si>
  <si>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</si>
  <si>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</si>
  <si>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</si>
  <si>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</si>
  <si>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</si>
  <si>
    <t>JANUARY 19, 2026</t>
  </si>
  <si>
    <t>01/19/2026</t>
  </si>
  <si>
    <t>LOPEZ, GINA GRACE</t>
  </si>
  <si>
    <t>8623-8633/8570-8575/8507-8511</t>
  </si>
  <si>
    <t>JANUARY 20, 2026</t>
  </si>
  <si>
    <t>01/20/2026</t>
  </si>
  <si>
    <t>8634-8636/8576-8580/8512-8516</t>
  </si>
  <si>
    <t>JANUARY 21, 2026</t>
  </si>
  <si>
    <t>01/21/2026</t>
  </si>
  <si>
    <t>8637-8639/8581-8589/8517-8526</t>
  </si>
  <si>
    <t>JANUARY 22, 2026</t>
  </si>
  <si>
    <t>01/22/2026</t>
  </si>
  <si>
    <t>8640-8642/8590-8594/8527-8529</t>
  </si>
  <si>
    <t>JANUARY 23, 2026</t>
  </si>
  <si>
    <t>01/23/2026</t>
  </si>
  <si>
    <t>8595-8599,8600,8651-8658/8643-8650,8701-8718/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</si>
</sst>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F33" sqref="F3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5" t="s">
        <v>37</v>
      </c>
      <c r="B6" s="11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 t="s">
        <v>83</v>
      </c>
      <c r="D28" s="16">
        <f t="shared" si="3"/>
        <v>874548</v>
      </c>
      <c r="F28" s="14">
        <v>300637.5</v>
      </c>
      <c r="G28" s="14">
        <v>195325.5</v>
      </c>
      <c r="H28" s="14">
        <v>378585</v>
      </c>
      <c r="I28" s="14"/>
      <c r="J28" s="17">
        <f t="shared" si="0"/>
        <v>874548</v>
      </c>
    </row>
    <row r="29" spans="1:10" x14ac:dyDescent="0.25">
      <c r="A29" s="10">
        <f t="shared" si="2"/>
        <v>20</v>
      </c>
      <c r="B29" s="43" t="s">
        <v>8</v>
      </c>
      <c r="C29" s="12" t="s">
        <v>86</v>
      </c>
      <c r="D29" s="16">
        <f t="shared" ref="D29:D39" si="4">J29</f>
        <v>995759</v>
      </c>
      <c r="F29" s="14">
        <v>578178</v>
      </c>
      <c r="G29" s="14">
        <v>284738</v>
      </c>
      <c r="H29" s="14">
        <v>132843</v>
      </c>
      <c r="I29" s="14"/>
      <c r="J29" s="17">
        <f t="shared" si="0"/>
        <v>995759</v>
      </c>
    </row>
    <row r="30" spans="1:10" x14ac:dyDescent="0.25">
      <c r="A30" s="10">
        <f t="shared" si="2"/>
        <v>21</v>
      </c>
      <c r="B30" s="56" t="s">
        <v>9</v>
      </c>
      <c r="C30" s="12" t="s">
        <v>89</v>
      </c>
      <c r="D30" s="16">
        <f t="shared" si="4"/>
        <v>1013011.5</v>
      </c>
      <c r="F30" s="14">
        <v>422426</v>
      </c>
      <c r="G30" s="14">
        <v>239421.5</v>
      </c>
      <c r="H30" s="14">
        <v>351164</v>
      </c>
      <c r="I30" s="14"/>
      <c r="J30" s="17">
        <f t="shared" si="0"/>
        <v>1013011.5</v>
      </c>
    </row>
    <row r="31" spans="1:10" x14ac:dyDescent="0.25">
      <c r="A31" s="10">
        <f t="shared" si="2"/>
        <v>22</v>
      </c>
      <c r="B31" s="11" t="s">
        <v>30</v>
      </c>
      <c r="C31" s="12" t="s">
        <v>92</v>
      </c>
      <c r="D31" s="16">
        <f t="shared" si="4"/>
        <v>1149543</v>
      </c>
      <c r="E31" s="14"/>
      <c r="F31" s="14">
        <v>465043.5</v>
      </c>
      <c r="G31" s="14">
        <v>247375.5</v>
      </c>
      <c r="H31" s="14">
        <v>437124</v>
      </c>
      <c r="I31" s="14"/>
      <c r="J31" s="17">
        <f t="shared" si="0"/>
        <v>1149543</v>
      </c>
    </row>
    <row r="32" spans="1:10" x14ac:dyDescent="0.25">
      <c r="A32" s="10">
        <f t="shared" si="2"/>
        <v>23</v>
      </c>
      <c r="B32" s="43" t="s">
        <v>4</v>
      </c>
      <c r="C32" s="12" t="s">
        <v>95</v>
      </c>
      <c r="D32" s="16">
        <f t="shared" si="4"/>
        <v>249034.5</v>
      </c>
      <c r="E32" s="15"/>
      <c r="F32" s="15">
        <v>105259.5</v>
      </c>
      <c r="G32" s="14">
        <v>143775</v>
      </c>
      <c r="H32" s="54"/>
      <c r="I32" s="54"/>
      <c r="J32" s="17">
        <f t="shared" si="0"/>
        <v>249034.5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6" t="s">
        <v>10</v>
      </c>
      <c r="B42" s="117"/>
      <c r="C42" s="118"/>
      <c r="D42" s="48">
        <f>SUM(D2:D41)</f>
        <v>16189546.560000001</v>
      </c>
      <c r="J42" s="49">
        <f>SUM(J10:J41)</f>
        <v>16189546.560000001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1004" zoomScaleNormal="100" workbookViewId="0">
      <selection activeCell="S1045" sqref="S104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5" t="s">
        <v>17</v>
      </c>
      <c r="E10" s="125"/>
      <c r="F10" s="77"/>
      <c r="G10" s="27"/>
      <c r="I10" s="121" t="s">
        <v>18</v>
      </c>
      <c r="J10" s="122"/>
      <c r="K10" s="123" t="s">
        <v>19</v>
      </c>
      <c r="N10" s="25"/>
      <c r="O10" s="26"/>
      <c r="P10" s="125" t="s">
        <v>17</v>
      </c>
      <c r="Q10" s="125"/>
      <c r="R10" s="77"/>
      <c r="S10" s="27"/>
      <c r="U10" s="121" t="s">
        <v>18</v>
      </c>
      <c r="V10" s="122"/>
      <c r="W10" s="123" t="s">
        <v>19</v>
      </c>
      <c r="Z10" s="25"/>
      <c r="AA10" s="26"/>
      <c r="AB10" s="125" t="s">
        <v>17</v>
      </c>
      <c r="AC10" s="125"/>
      <c r="AD10" s="77"/>
      <c r="AE10" s="27"/>
      <c r="AG10" s="121" t="s">
        <v>18</v>
      </c>
      <c r="AH10" s="122"/>
      <c r="AI10" s="123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4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4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4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5" t="s">
        <v>17</v>
      </c>
      <c r="E65" s="125"/>
      <c r="F65" s="95"/>
      <c r="G65" s="27"/>
      <c r="I65" s="121" t="s">
        <v>18</v>
      </c>
      <c r="J65" s="122"/>
      <c r="K65" s="123" t="s">
        <v>19</v>
      </c>
      <c r="M65" s="62"/>
      <c r="N65" s="65"/>
      <c r="O65" s="97"/>
      <c r="P65" s="120"/>
      <c r="Q65" s="120"/>
      <c r="R65" s="97"/>
      <c r="S65" s="97"/>
      <c r="T65" s="62"/>
      <c r="U65" s="120"/>
      <c r="V65" s="120"/>
      <c r="W65" s="119"/>
      <c r="Z65" s="25"/>
      <c r="AA65" s="26"/>
      <c r="AB65" s="125" t="s">
        <v>17</v>
      </c>
      <c r="AC65" s="125"/>
      <c r="AD65" s="95"/>
      <c r="AE65" s="27"/>
      <c r="AG65" s="121" t="s">
        <v>18</v>
      </c>
      <c r="AH65" s="122"/>
      <c r="AI65" s="123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4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19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4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20"/>
      <c r="AO67" s="120"/>
      <c r="AP67" s="87"/>
      <c r="AQ67" s="62"/>
      <c r="AR67" s="120"/>
      <c r="AS67" s="120"/>
      <c r="AT67" s="11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5" t="s">
        <v>17</v>
      </c>
      <c r="E120" s="125"/>
      <c r="F120" s="98"/>
      <c r="G120" s="27"/>
      <c r="I120" s="121" t="s">
        <v>18</v>
      </c>
      <c r="J120" s="122"/>
      <c r="K120" s="123" t="s">
        <v>19</v>
      </c>
      <c r="N120" s="25"/>
      <c r="O120" s="26"/>
      <c r="P120" s="125" t="s">
        <v>17</v>
      </c>
      <c r="Q120" s="125"/>
      <c r="R120" s="98"/>
      <c r="S120" s="27"/>
      <c r="U120" s="121" t="s">
        <v>18</v>
      </c>
      <c r="V120" s="122"/>
      <c r="W120" s="123" t="s">
        <v>19</v>
      </c>
      <c r="Z120" s="25"/>
      <c r="AA120" s="26"/>
      <c r="AB120" s="125" t="s">
        <v>17</v>
      </c>
      <c r="AC120" s="125"/>
      <c r="AD120" s="98"/>
      <c r="AE120" s="27"/>
      <c r="AG120" s="121" t="s">
        <v>18</v>
      </c>
      <c r="AH120" s="122"/>
      <c r="AI120" s="12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4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4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5" t="s">
        <v>17</v>
      </c>
      <c r="E175" s="125"/>
      <c r="F175" s="99"/>
      <c r="G175" s="27"/>
      <c r="I175" s="121" t="s">
        <v>18</v>
      </c>
      <c r="J175" s="122"/>
      <c r="K175" s="123" t="s">
        <v>19</v>
      </c>
      <c r="N175" s="25"/>
      <c r="O175" s="26"/>
      <c r="P175" s="125" t="s">
        <v>17</v>
      </c>
      <c r="Q175" s="125"/>
      <c r="R175" s="99"/>
      <c r="S175" s="27"/>
      <c r="U175" s="121" t="s">
        <v>18</v>
      </c>
      <c r="V175" s="122"/>
      <c r="W175" s="123" t="s">
        <v>19</v>
      </c>
      <c r="Z175" s="25"/>
      <c r="AA175" s="26"/>
      <c r="AB175" s="125" t="s">
        <v>17</v>
      </c>
      <c r="AC175" s="125"/>
      <c r="AD175" s="99"/>
      <c r="AE175" s="27"/>
      <c r="AG175" s="121" t="s">
        <v>18</v>
      </c>
      <c r="AH175" s="122"/>
      <c r="AI175" s="123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24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4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4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20"/>
      <c r="AO181" s="120"/>
      <c r="AP181" s="87"/>
      <c r="AQ181" s="62"/>
      <c r="AR181" s="120"/>
      <c r="AS181" s="120"/>
      <c r="AT181" s="11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5" t="s">
        <v>17</v>
      </c>
      <c r="E230" s="125"/>
      <c r="F230" s="100"/>
      <c r="G230" s="27"/>
      <c r="I230" s="121" t="s">
        <v>18</v>
      </c>
      <c r="J230" s="122"/>
      <c r="K230" s="123" t="s">
        <v>19</v>
      </c>
      <c r="N230" s="25"/>
      <c r="O230" s="26"/>
      <c r="P230" s="125" t="s">
        <v>17</v>
      </c>
      <c r="Q230" s="125"/>
      <c r="R230" s="100"/>
      <c r="S230" s="27"/>
      <c r="U230" s="121" t="s">
        <v>18</v>
      </c>
      <c r="V230" s="122"/>
      <c r="W230" s="123" t="s">
        <v>19</v>
      </c>
      <c r="Z230" s="25"/>
      <c r="AA230" s="26"/>
      <c r="AB230" s="125" t="s">
        <v>17</v>
      </c>
      <c r="AC230" s="125"/>
      <c r="AD230" s="100"/>
      <c r="AE230" s="27"/>
      <c r="AG230" s="121" t="s">
        <v>18</v>
      </c>
      <c r="AH230" s="122"/>
      <c r="AI230" s="123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4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24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5" t="s">
        <v>17</v>
      </c>
      <c r="E285" s="125"/>
      <c r="F285" s="101"/>
      <c r="G285" s="27"/>
      <c r="I285" s="121" t="s">
        <v>18</v>
      </c>
      <c r="J285" s="122"/>
      <c r="K285" s="123" t="s">
        <v>19</v>
      </c>
      <c r="N285" s="25"/>
      <c r="O285" s="26"/>
      <c r="P285" s="125" t="s">
        <v>17</v>
      </c>
      <c r="Q285" s="125"/>
      <c r="R285" s="101"/>
      <c r="S285" s="27"/>
      <c r="U285" s="121" t="s">
        <v>18</v>
      </c>
      <c r="V285" s="122"/>
      <c r="W285" s="123" t="s">
        <v>19</v>
      </c>
      <c r="Z285" s="25"/>
      <c r="AA285" s="26"/>
      <c r="AB285" s="125" t="s">
        <v>17</v>
      </c>
      <c r="AC285" s="125"/>
      <c r="AD285" s="101"/>
      <c r="AE285" s="27"/>
      <c r="AG285" s="121" t="s">
        <v>18</v>
      </c>
      <c r="AH285" s="122"/>
      <c r="AI285" s="12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4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4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5" t="s">
        <v>17</v>
      </c>
      <c r="E340" s="125"/>
      <c r="F340" s="102"/>
      <c r="G340" s="27"/>
      <c r="I340" s="121" t="s">
        <v>18</v>
      </c>
      <c r="J340" s="122"/>
      <c r="K340" s="123" t="s">
        <v>19</v>
      </c>
      <c r="N340" s="25"/>
      <c r="O340" s="26"/>
      <c r="P340" s="125" t="s">
        <v>17</v>
      </c>
      <c r="Q340" s="125"/>
      <c r="R340" s="102"/>
      <c r="S340" s="27"/>
      <c r="U340" s="121" t="s">
        <v>18</v>
      </c>
      <c r="V340" s="122"/>
      <c r="W340" s="123" t="s">
        <v>19</v>
      </c>
      <c r="Z340" s="25"/>
      <c r="AA340" s="26"/>
      <c r="AB340" s="125" t="s">
        <v>17</v>
      </c>
      <c r="AC340" s="125"/>
      <c r="AD340" s="102"/>
      <c r="AE340" s="27"/>
      <c r="AG340" s="121" t="s">
        <v>18</v>
      </c>
      <c r="AH340" s="122"/>
      <c r="AI340" s="123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4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4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5" t="s">
        <v>17</v>
      </c>
      <c r="E395" s="125"/>
      <c r="F395" s="103"/>
      <c r="G395" s="27"/>
      <c r="I395" s="121" t="s">
        <v>18</v>
      </c>
      <c r="J395" s="122"/>
      <c r="K395" s="123" t="s">
        <v>19</v>
      </c>
      <c r="N395" s="25"/>
      <c r="O395" s="26"/>
      <c r="P395" s="125" t="s">
        <v>17</v>
      </c>
      <c r="Q395" s="125"/>
      <c r="R395" s="103"/>
      <c r="S395" s="27"/>
      <c r="U395" s="121" t="s">
        <v>18</v>
      </c>
      <c r="V395" s="122"/>
      <c r="W395" s="123" t="s">
        <v>19</v>
      </c>
      <c r="Z395" s="25"/>
      <c r="AA395" s="26"/>
      <c r="AB395" s="125" t="s">
        <v>17</v>
      </c>
      <c r="AC395" s="125"/>
      <c r="AD395" s="103"/>
      <c r="AE395" s="27"/>
      <c r="AG395" s="121" t="s">
        <v>18</v>
      </c>
      <c r="AH395" s="122"/>
      <c r="AI395" s="123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4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4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5" t="s">
        <v>17</v>
      </c>
      <c r="E450" s="125"/>
      <c r="F450" s="104"/>
      <c r="G450" s="27"/>
      <c r="I450" s="121" t="s">
        <v>18</v>
      </c>
      <c r="J450" s="122"/>
      <c r="K450" s="123" t="s">
        <v>19</v>
      </c>
      <c r="N450" s="25"/>
      <c r="O450" s="26"/>
      <c r="P450" s="125" t="s">
        <v>17</v>
      </c>
      <c r="Q450" s="125"/>
      <c r="R450" s="104"/>
      <c r="S450" s="27"/>
      <c r="U450" s="121" t="s">
        <v>18</v>
      </c>
      <c r="V450" s="122"/>
      <c r="W450" s="123" t="s">
        <v>19</v>
      </c>
      <c r="Z450" s="25"/>
      <c r="AA450" s="26"/>
      <c r="AB450" s="125" t="s">
        <v>17</v>
      </c>
      <c r="AC450" s="125"/>
      <c r="AD450" s="104"/>
      <c r="AE450" s="27"/>
      <c r="AG450" s="121" t="s">
        <v>18</v>
      </c>
      <c r="AH450" s="122"/>
      <c r="AI450" s="123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24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4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4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91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91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9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9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5" t="s">
        <v>17</v>
      </c>
      <c r="E505" s="125"/>
      <c r="F505" s="105"/>
      <c r="G505" s="27"/>
      <c r="I505" s="121" t="s">
        <v>18</v>
      </c>
      <c r="J505" s="122"/>
      <c r="K505" s="123" t="s">
        <v>19</v>
      </c>
      <c r="N505" s="25"/>
      <c r="O505" s="26"/>
      <c r="P505" s="125" t="s">
        <v>17</v>
      </c>
      <c r="Q505" s="125"/>
      <c r="R505" s="105"/>
      <c r="S505" s="27"/>
      <c r="U505" s="121" t="s">
        <v>18</v>
      </c>
      <c r="V505" s="122"/>
      <c r="W505" s="123" t="s">
        <v>19</v>
      </c>
      <c r="Z505" s="25"/>
      <c r="AA505" s="26"/>
      <c r="AB505" s="125" t="s">
        <v>17</v>
      </c>
      <c r="AC505" s="125"/>
      <c r="AD505" s="105"/>
      <c r="AE505" s="27"/>
      <c r="AG505" s="121" t="s">
        <v>18</v>
      </c>
      <c r="AH505" s="122"/>
      <c r="AI505" s="123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24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4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4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91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91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91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91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91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91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9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9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20"/>
      <c r="E560" s="120"/>
      <c r="F560" s="94"/>
      <c r="G560" s="94"/>
      <c r="H560" s="62"/>
      <c r="I560" s="120"/>
      <c r="J560" s="120"/>
      <c r="K560" s="119"/>
      <c r="N560" s="25"/>
      <c r="O560" s="26"/>
      <c r="P560" s="125" t="s">
        <v>17</v>
      </c>
      <c r="Q560" s="125"/>
      <c r="R560" s="106"/>
      <c r="S560" s="27"/>
      <c r="U560" s="121" t="s">
        <v>18</v>
      </c>
      <c r="V560" s="122"/>
      <c r="W560" s="123" t="s">
        <v>19</v>
      </c>
      <c r="Z560" s="25"/>
      <c r="AA560" s="26"/>
      <c r="AB560" s="125" t="s">
        <v>17</v>
      </c>
      <c r="AC560" s="125"/>
      <c r="AD560" s="106"/>
      <c r="AE560" s="27"/>
      <c r="AG560" s="121" t="s">
        <v>18</v>
      </c>
      <c r="AH560" s="122"/>
      <c r="AI560" s="123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19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4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4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5" t="s">
        <v>17</v>
      </c>
      <c r="E615" s="125"/>
      <c r="F615" s="107"/>
      <c r="G615" s="27"/>
      <c r="I615" s="121" t="s">
        <v>18</v>
      </c>
      <c r="J615" s="122"/>
      <c r="K615" s="123" t="s">
        <v>19</v>
      </c>
      <c r="N615" s="25"/>
      <c r="O615" s="26"/>
      <c r="P615" s="125" t="s">
        <v>17</v>
      </c>
      <c r="Q615" s="125"/>
      <c r="R615" s="107"/>
      <c r="S615" s="27"/>
      <c r="U615" s="121" t="s">
        <v>18</v>
      </c>
      <c r="V615" s="122"/>
      <c r="W615" s="123" t="s">
        <v>19</v>
      </c>
      <c r="Z615" s="25"/>
      <c r="AA615" s="26"/>
      <c r="AB615" s="125" t="s">
        <v>17</v>
      </c>
      <c r="AC615" s="125"/>
      <c r="AD615" s="107"/>
      <c r="AE615" s="27"/>
      <c r="AG615" s="121" t="s">
        <v>18</v>
      </c>
      <c r="AH615" s="122"/>
      <c r="AI615" s="123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4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24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4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91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91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9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9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5" t="s">
        <v>17</v>
      </c>
      <c r="E670" s="125"/>
      <c r="F670" s="108"/>
      <c r="G670" s="27"/>
      <c r="I670" s="121" t="s">
        <v>18</v>
      </c>
      <c r="J670" s="122"/>
      <c r="K670" s="123" t="s">
        <v>19</v>
      </c>
      <c r="N670" s="25"/>
      <c r="O670" s="26"/>
      <c r="P670" s="125" t="s">
        <v>17</v>
      </c>
      <c r="Q670" s="125"/>
      <c r="R670" s="108"/>
      <c r="S670" s="27"/>
      <c r="U670" s="121" t="s">
        <v>18</v>
      </c>
      <c r="V670" s="122"/>
      <c r="W670" s="123" t="s">
        <v>19</v>
      </c>
      <c r="Z670" s="25"/>
      <c r="AA670" s="26"/>
      <c r="AB670" s="125" t="s">
        <v>17</v>
      </c>
      <c r="AC670" s="125"/>
      <c r="AD670" s="108"/>
      <c r="AE670" s="27"/>
      <c r="AG670" s="121" t="s">
        <v>18</v>
      </c>
      <c r="AH670" s="122"/>
      <c r="AI670" s="123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4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4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4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91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9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9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5" t="s">
        <v>17</v>
      </c>
      <c r="E725" s="125"/>
      <c r="F725" s="109"/>
      <c r="G725" s="27"/>
      <c r="I725" s="121" t="s">
        <v>18</v>
      </c>
      <c r="J725" s="122"/>
      <c r="K725" s="123" t="s">
        <v>19</v>
      </c>
      <c r="N725" s="25"/>
      <c r="O725" s="26"/>
      <c r="P725" s="125" t="s">
        <v>17</v>
      </c>
      <c r="Q725" s="125"/>
      <c r="R725" s="109"/>
      <c r="S725" s="27"/>
      <c r="U725" s="121" t="s">
        <v>18</v>
      </c>
      <c r="V725" s="122"/>
      <c r="W725" s="123" t="s">
        <v>19</v>
      </c>
      <c r="Z725" s="25"/>
      <c r="AA725" s="26"/>
      <c r="AB725" s="125" t="s">
        <v>17</v>
      </c>
      <c r="AC725" s="125"/>
      <c r="AD725" s="109"/>
      <c r="AE725" s="27"/>
      <c r="AG725" s="121" t="s">
        <v>18</v>
      </c>
      <c r="AH725" s="122"/>
      <c r="AI725" s="123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4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4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4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8601</v>
      </c>
      <c r="D727" s="32">
        <f>8450+1244</f>
        <v>9694</v>
      </c>
      <c r="E727" s="32"/>
      <c r="F727" s="32"/>
      <c r="G727" s="32">
        <f t="shared" ref="G727:G760" si="216">SUM(D727:E727)</f>
        <v>9694</v>
      </c>
      <c r="H727" s="12"/>
      <c r="I727" s="12"/>
      <c r="J727" s="12"/>
      <c r="K727" s="12">
        <f t="shared" ref="K727:K760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65" si="218">SUM(P728:Q728)</f>
        <v>1961</v>
      </c>
      <c r="T728" s="12"/>
      <c r="U728" s="12"/>
      <c r="V728" s="12"/>
      <c r="W728" s="12">
        <f t="shared" ref="W728:W768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59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68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48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38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31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9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9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82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5" t="s">
        <v>17</v>
      </c>
      <c r="E780" s="125"/>
      <c r="F780" s="110"/>
      <c r="G780" s="27"/>
      <c r="I780" s="121" t="s">
        <v>18</v>
      </c>
      <c r="J780" s="122"/>
      <c r="K780" s="123" t="s">
        <v>19</v>
      </c>
      <c r="N780" s="25"/>
      <c r="O780" s="26"/>
      <c r="P780" s="125" t="s">
        <v>17</v>
      </c>
      <c r="Q780" s="125"/>
      <c r="R780" s="110"/>
      <c r="S780" s="27"/>
      <c r="U780" s="121" t="s">
        <v>18</v>
      </c>
      <c r="V780" s="122"/>
      <c r="W780" s="123" t="s">
        <v>19</v>
      </c>
      <c r="Z780" s="25"/>
      <c r="AA780" s="26"/>
      <c r="AB780" s="125" t="s">
        <v>17</v>
      </c>
      <c r="AC780" s="125"/>
      <c r="AD780" s="110"/>
      <c r="AE780" s="27"/>
      <c r="AG780" s="121" t="s">
        <v>18</v>
      </c>
      <c r="AH780" s="122"/>
      <c r="AI780" s="123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4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4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4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8623</v>
      </c>
      <c r="D782" s="32">
        <f>700*5+670*5+973*10+622*100+912*20+29*1050+872*15+872*5+500*15+500*5</f>
        <v>154910</v>
      </c>
      <c r="E782" s="32"/>
      <c r="F782" s="32"/>
      <c r="G782" s="32">
        <f t="shared" ref="G782:G815" si="231">SUM(D782:E782)</f>
        <v>154910</v>
      </c>
      <c r="H782" s="12"/>
      <c r="I782" s="12"/>
      <c r="J782" s="12"/>
      <c r="K782" s="12">
        <f t="shared" ref="K782:K815" si="232">SUM(G782:J782)</f>
        <v>154910</v>
      </c>
      <c r="M782" s="10">
        <v>1</v>
      </c>
      <c r="N782" s="30" t="s">
        <v>81</v>
      </c>
      <c r="O782" s="31">
        <v>8570</v>
      </c>
      <c r="P782" s="32">
        <f>650*5+9.5*5</f>
        <v>3297.5</v>
      </c>
      <c r="Q782" s="32"/>
      <c r="R782" s="32"/>
      <c r="S782" s="32">
        <f>SUM(P782:Q782)</f>
        <v>3297.5</v>
      </c>
      <c r="T782" s="12"/>
      <c r="U782" s="12"/>
      <c r="V782" s="12"/>
      <c r="W782" s="12">
        <f>SUM(S782:V782)</f>
        <v>3297.5</v>
      </c>
      <c r="Y782" s="10">
        <v>1</v>
      </c>
      <c r="Z782" s="30" t="s">
        <v>81</v>
      </c>
      <c r="AA782" s="31">
        <v>8507</v>
      </c>
      <c r="AB782" s="32">
        <f>650*268+622*50</f>
        <v>205300</v>
      </c>
      <c r="AC782" s="32">
        <v>-1908</v>
      </c>
      <c r="AD782" s="32"/>
      <c r="AE782" s="32">
        <f>SUM(AB782:AC782)</f>
        <v>203392</v>
      </c>
      <c r="AF782" s="12"/>
      <c r="AG782" s="12"/>
      <c r="AH782" s="12"/>
      <c r="AI782" s="12">
        <f>SUM(AE782:AH782)</f>
        <v>203392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31">
        <f>C782+1</f>
        <v>8624</v>
      </c>
      <c r="D783" s="32">
        <f>1582+1728+2350+1102+2350+1582+1300+6500</f>
        <v>18494</v>
      </c>
      <c r="E783" s="32"/>
      <c r="F783" s="32"/>
      <c r="G783" s="32">
        <f t="shared" si="231"/>
        <v>18494</v>
      </c>
      <c r="H783" s="12"/>
      <c r="I783" s="12">
        <f>12000+11655+555</f>
        <v>24210</v>
      </c>
      <c r="J783" s="12">
        <f>-600+-8991+-111+-84*104+-84*140+-84*31</f>
        <v>-32802</v>
      </c>
      <c r="K783" s="12">
        <f t="shared" si="232"/>
        <v>9902</v>
      </c>
      <c r="M783" s="10">
        <v>2</v>
      </c>
      <c r="N783" s="30" t="s">
        <v>81</v>
      </c>
      <c r="O783" s="31">
        <f>O782+1</f>
        <v>8571</v>
      </c>
      <c r="P783" s="32">
        <f>650*10+9.5*10</f>
        <v>6595</v>
      </c>
      <c r="Q783" s="32"/>
      <c r="R783" s="32"/>
      <c r="S783" s="32">
        <f t="shared" ref="S783:S820" si="233">SUM(P783:Q783)</f>
        <v>6595</v>
      </c>
      <c r="T783" s="12"/>
      <c r="U783" s="12"/>
      <c r="V783" s="12"/>
      <c r="W783" s="12">
        <f t="shared" ref="W783:W823" si="234">SUM(S783:V783)</f>
        <v>6595</v>
      </c>
      <c r="Y783" s="10">
        <v>2</v>
      </c>
      <c r="Z783" s="30" t="s">
        <v>81</v>
      </c>
      <c r="AA783" s="31">
        <f>AA782+1</f>
        <v>8508</v>
      </c>
      <c r="AB783" s="32">
        <f>650*30+486+456</f>
        <v>20442</v>
      </c>
      <c r="AC783" s="32"/>
      <c r="AD783" s="32"/>
      <c r="AE783" s="32">
        <f t="shared" ref="AE783:AE814" si="235">SUM(AB783:AC783)</f>
        <v>20442</v>
      </c>
      <c r="AF783" s="12"/>
      <c r="AG783" s="12"/>
      <c r="AH783" s="12"/>
      <c r="AI783" s="12">
        <f t="shared" ref="AI783:AI823" si="236">SUM(AE783:AH783)</f>
        <v>20442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31">
        <f t="shared" ref="C784:C792" si="237">C783+1</f>
        <v>8625</v>
      </c>
      <c r="D784" s="33">
        <f>650*50+670*2+622*5</f>
        <v>36950</v>
      </c>
      <c r="E784" s="33"/>
      <c r="F784" s="33"/>
      <c r="G784" s="33">
        <f t="shared" si="231"/>
        <v>36950</v>
      </c>
      <c r="H784" s="34"/>
      <c r="I784" s="34">
        <v>216</v>
      </c>
      <c r="J784" s="34">
        <v>-2220</v>
      </c>
      <c r="K784" s="34">
        <f t="shared" si="232"/>
        <v>34946</v>
      </c>
      <c r="M784" s="10">
        <v>3</v>
      </c>
      <c r="N784" s="30" t="s">
        <v>81</v>
      </c>
      <c r="O784" s="31">
        <f t="shared" ref="O784:O787" si="238">O783+1</f>
        <v>8572</v>
      </c>
      <c r="P784" s="32">
        <f>650*216+622*50+229*11</f>
        <v>174019</v>
      </c>
      <c r="Q784" s="32">
        <v>-1596</v>
      </c>
      <c r="R784" s="32"/>
      <c r="S784" s="32">
        <f t="shared" si="233"/>
        <v>172423</v>
      </c>
      <c r="T784" s="12"/>
      <c r="U784" s="12">
        <f>1.5*240</f>
        <v>360</v>
      </c>
      <c r="V784" s="12">
        <v>-378</v>
      </c>
      <c r="W784" s="12">
        <f t="shared" si="234"/>
        <v>172405</v>
      </c>
      <c r="Y784" s="10">
        <v>3</v>
      </c>
      <c r="Z784" s="30" t="s">
        <v>81</v>
      </c>
      <c r="AA784" s="31">
        <f t="shared" ref="AA784:AA786" si="239">AA783+1</f>
        <v>8509</v>
      </c>
      <c r="AB784" s="33">
        <f>650*5+670*2</f>
        <v>4590</v>
      </c>
      <c r="AC784" s="33"/>
      <c r="AD784" s="32"/>
      <c r="AE784" s="32">
        <f t="shared" si="235"/>
        <v>4590</v>
      </c>
      <c r="AF784" s="12"/>
      <c r="AG784" s="12"/>
      <c r="AH784" s="12">
        <f>-111*19</f>
        <v>-2109</v>
      </c>
      <c r="AI784" s="12">
        <f t="shared" si="236"/>
        <v>2481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31">
        <f t="shared" si="237"/>
        <v>8626</v>
      </c>
      <c r="D785" s="32">
        <f>650*40</f>
        <v>26000</v>
      </c>
      <c r="E785" s="32"/>
      <c r="F785" s="32"/>
      <c r="G785" s="32">
        <f t="shared" si="231"/>
        <v>26000</v>
      </c>
      <c r="H785" s="12"/>
      <c r="I785" s="12"/>
      <c r="J785" s="12"/>
      <c r="K785" s="12">
        <f t="shared" si="232"/>
        <v>26000</v>
      </c>
      <c r="M785" s="10">
        <v>4</v>
      </c>
      <c r="N785" s="30" t="s">
        <v>81</v>
      </c>
      <c r="O785" s="31">
        <f t="shared" si="238"/>
        <v>8573</v>
      </c>
      <c r="P785" s="32">
        <f>650*12</f>
        <v>7800</v>
      </c>
      <c r="Q785" s="32"/>
      <c r="R785" s="32"/>
      <c r="S785" s="32">
        <f t="shared" si="233"/>
        <v>7800</v>
      </c>
      <c r="T785" s="12"/>
      <c r="U785" s="12"/>
      <c r="V785" s="12"/>
      <c r="W785" s="12">
        <f t="shared" si="234"/>
        <v>7800</v>
      </c>
      <c r="Y785" s="10">
        <v>4</v>
      </c>
      <c r="Z785" s="30" t="s">
        <v>81</v>
      </c>
      <c r="AA785" s="31">
        <f t="shared" si="239"/>
        <v>8510</v>
      </c>
      <c r="AB785" s="32">
        <f>650*20</f>
        <v>13000</v>
      </c>
      <c r="AC785" s="32"/>
      <c r="AD785" s="32"/>
      <c r="AE785" s="32">
        <f t="shared" si="235"/>
        <v>13000</v>
      </c>
      <c r="AF785" s="12"/>
      <c r="AH785" s="12"/>
      <c r="AI785" s="12">
        <f t="shared" si="236"/>
        <v>13000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31">
        <f t="shared" si="237"/>
        <v>8627</v>
      </c>
      <c r="D786" s="32">
        <f>650*30+229</f>
        <v>19729</v>
      </c>
      <c r="E786" s="32"/>
      <c r="F786" s="32"/>
      <c r="G786" s="32">
        <f t="shared" si="231"/>
        <v>19729</v>
      </c>
      <c r="H786" s="12"/>
      <c r="I786" s="12">
        <f>540+36</f>
        <v>576</v>
      </c>
      <c r="J786" s="12"/>
      <c r="K786" s="12">
        <f t="shared" si="232"/>
        <v>20305</v>
      </c>
      <c r="M786" s="10">
        <v>5</v>
      </c>
      <c r="N786" s="30" t="s">
        <v>81</v>
      </c>
      <c r="O786" s="31">
        <f t="shared" si="238"/>
        <v>8574</v>
      </c>
      <c r="P786" s="32">
        <f>650*4+9.5*4</f>
        <v>2638</v>
      </c>
      <c r="Q786" s="32"/>
      <c r="R786" s="32"/>
      <c r="S786" s="32">
        <f t="shared" si="233"/>
        <v>2638</v>
      </c>
      <c r="T786" s="12"/>
      <c r="U786" s="12"/>
      <c r="V786" s="12"/>
      <c r="W786" s="12">
        <f t="shared" si="234"/>
        <v>2638</v>
      </c>
      <c r="Y786" s="10">
        <v>5</v>
      </c>
      <c r="Z786" s="30" t="s">
        <v>81</v>
      </c>
      <c r="AA786" s="31">
        <f t="shared" si="239"/>
        <v>8511</v>
      </c>
      <c r="AB786" s="32">
        <f>160*650+622*50+229*9</f>
        <v>137161</v>
      </c>
      <c r="AC786" s="32"/>
      <c r="AD786" s="32"/>
      <c r="AE786" s="32">
        <f t="shared" si="235"/>
        <v>137161</v>
      </c>
      <c r="AF786" s="12"/>
      <c r="AG786" s="12"/>
      <c r="AH786" s="12">
        <f>-111*71+-84*10+-16*42</f>
        <v>-9393</v>
      </c>
      <c r="AI786" s="12">
        <f t="shared" si="236"/>
        <v>127768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31">
        <f t="shared" si="237"/>
        <v>8628</v>
      </c>
      <c r="D787" s="32">
        <f>650*2+9.5*2</f>
        <v>1319</v>
      </c>
      <c r="E787" s="32"/>
      <c r="F787" s="32"/>
      <c r="G787" s="32">
        <f t="shared" si="231"/>
        <v>1319</v>
      </c>
      <c r="H787" s="12"/>
      <c r="I787" s="12"/>
      <c r="J787" s="12">
        <v>-504</v>
      </c>
      <c r="K787" s="12">
        <f t="shared" si="232"/>
        <v>815</v>
      </c>
      <c r="M787" s="10">
        <v>6</v>
      </c>
      <c r="N787" s="30" t="s">
        <v>81</v>
      </c>
      <c r="O787" s="31">
        <f t="shared" si="238"/>
        <v>8575</v>
      </c>
      <c r="P787" s="32">
        <f>650*3+622</f>
        <v>2572</v>
      </c>
      <c r="Q787" s="32"/>
      <c r="R787" s="32"/>
      <c r="S787" s="32">
        <f t="shared" si="233"/>
        <v>2572</v>
      </c>
      <c r="T787" s="12"/>
      <c r="U787" s="12"/>
      <c r="V787" s="10"/>
      <c r="W787" s="12">
        <f t="shared" si="234"/>
        <v>2572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35"/>
        <v>0</v>
      </c>
      <c r="AF787" s="12"/>
      <c r="AG787" s="12"/>
      <c r="AH787" s="10"/>
      <c r="AI787" s="12">
        <f t="shared" si="236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31">
        <f t="shared" si="237"/>
        <v>8629</v>
      </c>
      <c r="D788" s="32">
        <f>650*3+9.5*3</f>
        <v>1978.5</v>
      </c>
      <c r="E788" s="32"/>
      <c r="F788" s="32"/>
      <c r="G788" s="32">
        <f t="shared" si="231"/>
        <v>1978.5</v>
      </c>
      <c r="H788" s="12"/>
      <c r="I788" s="12">
        <v>4.5</v>
      </c>
      <c r="J788" s="12"/>
      <c r="K788" s="12">
        <f t="shared" si="232"/>
        <v>1983</v>
      </c>
      <c r="M788" s="10">
        <v>7</v>
      </c>
      <c r="N788" s="30"/>
      <c r="O788" s="11" t="s">
        <v>27</v>
      </c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/>
      <c r="AA788" s="31"/>
      <c r="AB788" s="32"/>
      <c r="AC788" s="32"/>
      <c r="AD788" s="32"/>
      <c r="AE788" s="32">
        <f t="shared" si="235"/>
        <v>0</v>
      </c>
      <c r="AF788" s="12"/>
      <c r="AG788" s="58"/>
      <c r="AH788" s="12"/>
      <c r="AI788" s="12">
        <f t="shared" si="236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31">
        <f t="shared" si="237"/>
        <v>8630</v>
      </c>
      <c r="D789" s="32">
        <f>650*5+670+622*3+9.5*8</f>
        <v>5862</v>
      </c>
      <c r="E789" s="32"/>
      <c r="F789" s="32"/>
      <c r="G789" s="32">
        <f t="shared" si="231"/>
        <v>5862</v>
      </c>
      <c r="H789" s="12"/>
      <c r="I789" s="12"/>
      <c r="J789" s="12">
        <v>-840</v>
      </c>
      <c r="K789" s="12">
        <f t="shared" si="232"/>
        <v>5022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/>
      <c r="AA789" s="31"/>
      <c r="AB789" s="32"/>
      <c r="AC789" s="32"/>
      <c r="AE789" s="32">
        <f t="shared" si="235"/>
        <v>0</v>
      </c>
      <c r="AF789" s="12"/>
      <c r="AG789" s="12"/>
      <c r="AH789" s="12"/>
      <c r="AI789" s="12">
        <f t="shared" si="236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31">
        <f t="shared" si="237"/>
        <v>8631</v>
      </c>
      <c r="D790" s="32">
        <f>650*16+622*5</f>
        <v>13510</v>
      </c>
      <c r="E790" s="32"/>
      <c r="F790" s="32"/>
      <c r="G790" s="32">
        <f t="shared" si="231"/>
        <v>13510</v>
      </c>
      <c r="H790" s="12"/>
      <c r="I790" s="12"/>
      <c r="J790" s="12">
        <v>-2100</v>
      </c>
      <c r="K790" s="12">
        <f t="shared" si="232"/>
        <v>11410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/>
      <c r="AA790" s="31"/>
      <c r="AB790" s="32"/>
      <c r="AC790" s="32"/>
      <c r="AD790" s="32"/>
      <c r="AE790" s="32">
        <f t="shared" si="235"/>
        <v>0</v>
      </c>
      <c r="AF790" s="12"/>
      <c r="AH790" s="12"/>
      <c r="AI790" s="12">
        <f t="shared" si="236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31">
        <f t="shared" si="237"/>
        <v>8632</v>
      </c>
      <c r="D791" s="32">
        <f>650*20+670*2+973+622*3+912+872+500*2</f>
        <v>19963</v>
      </c>
      <c r="E791" s="32"/>
      <c r="F791" s="32"/>
      <c r="G791" s="32">
        <f t="shared" si="231"/>
        <v>19963</v>
      </c>
      <c r="H791" s="12"/>
      <c r="I791" s="12">
        <f>48*2.25+72*1.5</f>
        <v>216</v>
      </c>
      <c r="J791" s="12"/>
      <c r="K791" s="12">
        <f t="shared" si="232"/>
        <v>20179</v>
      </c>
      <c r="M791" s="10">
        <v>10</v>
      </c>
      <c r="N791" s="30"/>
      <c r="O791" s="31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/>
      <c r="AA791" s="31"/>
      <c r="AB791" s="32"/>
      <c r="AC791" s="32"/>
      <c r="AD791" s="32"/>
      <c r="AE791" s="32">
        <f t="shared" si="235"/>
        <v>0</v>
      </c>
      <c r="AF791" s="12"/>
      <c r="AG791" s="12"/>
      <c r="AH791" s="12"/>
      <c r="AI791" s="12">
        <f t="shared" si="236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31">
        <f t="shared" si="237"/>
        <v>8633</v>
      </c>
      <c r="D792" s="32">
        <f>650*2+622</f>
        <v>1922</v>
      </c>
      <c r="E792" s="32"/>
      <c r="F792" s="32"/>
      <c r="G792" s="32">
        <f t="shared" si="231"/>
        <v>1922</v>
      </c>
      <c r="H792" s="12"/>
      <c r="I792" s="12"/>
      <c r="J792" s="12">
        <v>-924</v>
      </c>
      <c r="K792" s="12">
        <f t="shared" si="232"/>
        <v>998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3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O797" s="31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3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O800" s="31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Q804" s="31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C804" s="31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O806" s="31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O807" s="31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O811" s="31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57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O813" s="31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si="233"/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40">SUM(AB815:AC815)</f>
        <v>0</v>
      </c>
      <c r="AF815" s="10"/>
      <c r="AG815" s="10"/>
      <c r="AH815" s="10"/>
      <c r="AI815" s="12">
        <f t="shared" si="236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9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3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0"/>
        <v>0</v>
      </c>
      <c r="AF816" s="10"/>
      <c r="AG816" s="10"/>
      <c r="AH816" s="10"/>
      <c r="AI816" s="12">
        <f t="shared" si="236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9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3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0"/>
        <v>0</v>
      </c>
      <c r="AF817" s="10"/>
      <c r="AG817" s="10"/>
      <c r="AH817" s="10"/>
      <c r="AI817" s="12">
        <f t="shared" si="236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3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0"/>
        <v>0</v>
      </c>
      <c r="AF818" s="10"/>
      <c r="AG818" s="10"/>
      <c r="AH818" s="10"/>
      <c r="AI818" s="12">
        <f t="shared" si="236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3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0"/>
        <v>0</v>
      </c>
      <c r="AF819" s="10"/>
      <c r="AG819" s="10"/>
      <c r="AH819" s="10"/>
      <c r="AI819" s="12">
        <f t="shared" si="236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3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0"/>
        <v>0</v>
      </c>
      <c r="AF820" s="10"/>
      <c r="AG820" s="10"/>
      <c r="AH820" s="10"/>
      <c r="AI820" s="12">
        <f t="shared" si="236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6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36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6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300637.5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300637.5</v>
      </c>
      <c r="H825" s="4"/>
      <c r="I825" s="39">
        <f>SUM(I782:I824)</f>
        <v>25222.5</v>
      </c>
      <c r="J825" s="39">
        <f>SUM(J782:J824)</f>
        <v>-39390</v>
      </c>
      <c r="K825" s="40">
        <f>SUM(K782:K824)</f>
        <v>286470</v>
      </c>
      <c r="N825" s="57"/>
      <c r="O825" s="57"/>
      <c r="P825" s="38">
        <f>SUM(P782:P824)</f>
        <v>196921.5</v>
      </c>
      <c r="Q825" s="38">
        <f>SUM(Q782:Q806)</f>
        <v>-1596</v>
      </c>
      <c r="R825" s="38">
        <f>SUM(R782:R806)</f>
        <v>0</v>
      </c>
      <c r="S825" s="38">
        <f>SUM(S782:S824)</f>
        <v>195325.5</v>
      </c>
      <c r="T825" s="4"/>
      <c r="U825" s="41">
        <f>SUM(U782:U824)</f>
        <v>360</v>
      </c>
      <c r="V825" s="41">
        <f>SUM(V782:V806)</f>
        <v>-378</v>
      </c>
      <c r="W825" s="42">
        <f>SUM(W782:W824)</f>
        <v>195307.5</v>
      </c>
      <c r="Z825" s="57"/>
      <c r="AA825" s="57"/>
      <c r="AB825" s="38">
        <f>SUM(AB782:AB824)</f>
        <v>380493</v>
      </c>
      <c r="AC825" s="38">
        <f>SUM(AC782:AC806)</f>
        <v>-1908</v>
      </c>
      <c r="AD825" s="38">
        <f>SUM(AD782:AD806)</f>
        <v>0</v>
      </c>
      <c r="AE825" s="38">
        <f>SUM(AE782:AE824)</f>
        <v>378585</v>
      </c>
      <c r="AF825" s="4"/>
      <c r="AG825" s="41">
        <f>SUM(AG782:AG824)</f>
        <v>0</v>
      </c>
      <c r="AH825" s="41">
        <f>SUM(AH782:AH806)</f>
        <v>-11502</v>
      </c>
      <c r="AI825" s="42">
        <f>SUM(AI782:AI824)</f>
        <v>367083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49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49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49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82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5" t="s">
        <v>17</v>
      </c>
      <c r="E835" s="125"/>
      <c r="F835" s="111"/>
      <c r="G835" s="27"/>
      <c r="I835" s="121" t="s">
        <v>18</v>
      </c>
      <c r="J835" s="122"/>
      <c r="K835" s="123" t="s">
        <v>19</v>
      </c>
      <c r="N835" s="25"/>
      <c r="O835" s="26"/>
      <c r="P835" s="125" t="s">
        <v>17</v>
      </c>
      <c r="Q835" s="125"/>
      <c r="R835" s="111"/>
      <c r="S835" s="27"/>
      <c r="U835" s="121" t="s">
        <v>18</v>
      </c>
      <c r="V835" s="122"/>
      <c r="W835" s="123" t="s">
        <v>19</v>
      </c>
      <c r="Z835" s="25"/>
      <c r="AA835" s="26"/>
      <c r="AB835" s="125" t="s">
        <v>17</v>
      </c>
      <c r="AC835" s="125"/>
      <c r="AD835" s="111"/>
      <c r="AE835" s="27"/>
      <c r="AG835" s="121" t="s">
        <v>18</v>
      </c>
      <c r="AH835" s="122"/>
      <c r="AI835" s="123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4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24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4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91">
        <v>8634</v>
      </c>
      <c r="D837" s="32">
        <f>650*17+622*3</f>
        <v>12916</v>
      </c>
      <c r="E837" s="32"/>
      <c r="F837" s="32"/>
      <c r="G837" s="32">
        <f t="shared" ref="G837:G870" si="246">SUM(D837:E837)</f>
        <v>12916</v>
      </c>
      <c r="H837" s="12"/>
      <c r="I837" s="12"/>
      <c r="J837" s="12">
        <v>-2664</v>
      </c>
      <c r="K837" s="12">
        <f t="shared" ref="K837:K870" si="247">SUM(G837:J837)</f>
        <v>10252</v>
      </c>
      <c r="M837" s="10">
        <v>1</v>
      </c>
      <c r="N837" s="30" t="s">
        <v>85</v>
      </c>
      <c r="O837" s="31">
        <v>8576</v>
      </c>
      <c r="P837" s="32">
        <f>650*10</f>
        <v>6500</v>
      </c>
      <c r="Q837" s="32"/>
      <c r="R837" s="32"/>
      <c r="S837" s="32">
        <f>SUM(P837:Q837)</f>
        <v>6500</v>
      </c>
      <c r="T837" s="12"/>
      <c r="U837" s="12">
        <f>10*111</f>
        <v>1110</v>
      </c>
      <c r="V837" s="12"/>
      <c r="W837" s="12">
        <f>SUM(S837:V837)</f>
        <v>7610</v>
      </c>
      <c r="Y837" s="10">
        <v>1</v>
      </c>
      <c r="Z837" s="30" t="s">
        <v>85</v>
      </c>
      <c r="AA837" s="31">
        <v>8512</v>
      </c>
      <c r="AB837" s="32">
        <f>650*27+670+622*10+229</f>
        <v>24669</v>
      </c>
      <c r="AC837" s="32"/>
      <c r="AD837" s="32"/>
      <c r="AE837" s="32">
        <f>SUM(AB837:AC837)</f>
        <v>24669</v>
      </c>
      <c r="AF837" s="12"/>
      <c r="AG837" s="12"/>
      <c r="AH837" s="12"/>
      <c r="AI837" s="12">
        <f>SUM(AE837:AH837)</f>
        <v>24669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31">
        <f>C837+1</f>
        <v>8635</v>
      </c>
      <c r="D838" s="32">
        <f>650*431+622*10+229*15</f>
        <v>289805</v>
      </c>
      <c r="E838" s="32">
        <v>-2646</v>
      </c>
      <c r="F838" s="32"/>
      <c r="G838" s="32">
        <f t="shared" si="246"/>
        <v>287159</v>
      </c>
      <c r="H838" s="12"/>
      <c r="I838" s="12">
        <f>7770+624</f>
        <v>8394</v>
      </c>
      <c r="J838" s="12">
        <f>-777+-672+-2352+-3150+-480</f>
        <v>-7431</v>
      </c>
      <c r="K838" s="12">
        <f t="shared" si="247"/>
        <v>288122</v>
      </c>
      <c r="M838" s="10">
        <v>2</v>
      </c>
      <c r="N838" s="30" t="s">
        <v>85</v>
      </c>
      <c r="O838" s="31">
        <f>O837+1</f>
        <v>8577</v>
      </c>
      <c r="P838" s="32">
        <f>1989</f>
        <v>1989</v>
      </c>
      <c r="Q838" s="32"/>
      <c r="R838" s="32"/>
      <c r="S838" s="32">
        <f t="shared" ref="S838:S875" si="248">SUM(P838:Q838)</f>
        <v>1989</v>
      </c>
      <c r="T838" s="12"/>
      <c r="U838" s="12"/>
      <c r="V838" s="12"/>
      <c r="W838" s="12">
        <f t="shared" ref="W838:W878" si="249">SUM(S838:V838)</f>
        <v>1989</v>
      </c>
      <c r="Y838" s="10">
        <v>2</v>
      </c>
      <c r="Z838" s="30" t="s">
        <v>85</v>
      </c>
      <c r="AA838" s="31">
        <f>AA837+1</f>
        <v>8513</v>
      </c>
      <c r="AB838" s="32">
        <f>650*35+670*4+622*12+229*2</f>
        <v>33352</v>
      </c>
      <c r="AC838" s="32"/>
      <c r="AD838" s="32"/>
      <c r="AE838" s="32">
        <f t="shared" ref="AE838:AE869" si="250">SUM(AB838:AC838)</f>
        <v>33352</v>
      </c>
      <c r="AF838" s="12"/>
      <c r="AG838" s="12">
        <v>117</v>
      </c>
      <c r="AH838" s="12"/>
      <c r="AI838" s="12">
        <f t="shared" ref="AI838:AI878" si="251">SUM(AE838:AH838)</f>
        <v>33469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31">
        <f t="shared" ref="C839" si="252">C838+1</f>
        <v>8636</v>
      </c>
      <c r="D839" s="33">
        <f>650*324+670*50+622*50+229*13+500*5</f>
        <v>280677</v>
      </c>
      <c r="E839" s="33">
        <v>-2574</v>
      </c>
      <c r="F839" s="33"/>
      <c r="G839" s="33">
        <f t="shared" si="246"/>
        <v>278103</v>
      </c>
      <c r="H839" s="34"/>
      <c r="I839" s="34">
        <f>780+5550</f>
        <v>6330</v>
      </c>
      <c r="J839" s="34">
        <f>-720+-60717+-120</f>
        <v>-61557</v>
      </c>
      <c r="K839" s="34">
        <f t="shared" si="247"/>
        <v>222876</v>
      </c>
      <c r="M839" s="10">
        <v>3</v>
      </c>
      <c r="N839" s="30" t="s">
        <v>85</v>
      </c>
      <c r="O839" s="31">
        <f t="shared" ref="O839:O841" si="253">O838+1</f>
        <v>8578</v>
      </c>
      <c r="P839" s="32">
        <f>650*216+229*9</f>
        <v>142461</v>
      </c>
      <c r="Q839" s="32">
        <v>-1296</v>
      </c>
      <c r="R839" s="32"/>
      <c r="S839" s="32">
        <f t="shared" si="248"/>
        <v>141165</v>
      </c>
      <c r="T839" s="12"/>
      <c r="U839" s="12">
        <v>324</v>
      </c>
      <c r="V839" s="12">
        <v>-23976</v>
      </c>
      <c r="W839" s="12">
        <f t="shared" si="249"/>
        <v>117513</v>
      </c>
      <c r="Y839" s="10">
        <v>3</v>
      </c>
      <c r="Z839" s="30" t="s">
        <v>85</v>
      </c>
      <c r="AA839" s="31">
        <f t="shared" ref="AA839:AA841" si="254">AA838+1</f>
        <v>8514</v>
      </c>
      <c r="AB839" s="33">
        <f>35750+2680+1866</f>
        <v>40296</v>
      </c>
      <c r="AC839" s="33">
        <v>-372</v>
      </c>
      <c r="AD839" s="32"/>
      <c r="AE839" s="32">
        <f t="shared" si="250"/>
        <v>39924</v>
      </c>
      <c r="AF839" s="12"/>
      <c r="AG839" s="12"/>
      <c r="AH839" s="12"/>
      <c r="AI839" s="12">
        <f t="shared" si="251"/>
        <v>39924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85</v>
      </c>
      <c r="O840" s="31">
        <f t="shared" si="253"/>
        <v>8579</v>
      </c>
      <c r="P840" s="32">
        <f>1300+670+22</f>
        <v>1992</v>
      </c>
      <c r="Q840" s="32"/>
      <c r="R840" s="32"/>
      <c r="S840" s="32">
        <f t="shared" si="248"/>
        <v>1992</v>
      </c>
      <c r="T840" s="12"/>
      <c r="U840" s="12">
        <v>222</v>
      </c>
      <c r="V840" s="12"/>
      <c r="W840" s="12">
        <f t="shared" si="249"/>
        <v>2214</v>
      </c>
      <c r="Y840" s="10">
        <v>4</v>
      </c>
      <c r="Z840" s="30" t="s">
        <v>85</v>
      </c>
      <c r="AA840" s="31">
        <f t="shared" si="254"/>
        <v>8515</v>
      </c>
      <c r="AB840" s="32">
        <f>650*45+229+650</f>
        <v>30129</v>
      </c>
      <c r="AC840" s="32"/>
      <c r="AD840" s="32"/>
      <c r="AE840" s="32">
        <f t="shared" si="250"/>
        <v>30129</v>
      </c>
      <c r="AF840" s="12"/>
      <c r="AG840">
        <f>1221+121.5</f>
        <v>1342.5</v>
      </c>
      <c r="AH840" s="12"/>
      <c r="AI840" s="12">
        <f t="shared" si="251"/>
        <v>31471.5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3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85</v>
      </c>
      <c r="O841" s="31">
        <f t="shared" si="253"/>
        <v>8580</v>
      </c>
      <c r="P841" s="32">
        <f>650*180+622*20+872*2+229*8+650*2</f>
        <v>134316</v>
      </c>
      <c r="Q841" s="32">
        <v>-1224</v>
      </c>
      <c r="R841" s="32"/>
      <c r="S841" s="32">
        <f t="shared" si="248"/>
        <v>133092</v>
      </c>
      <c r="T841" s="12"/>
      <c r="U841" s="12">
        <f>252+36</f>
        <v>288</v>
      </c>
      <c r="V841" s="12">
        <v>-1776</v>
      </c>
      <c r="W841" s="12">
        <f t="shared" si="249"/>
        <v>131604</v>
      </c>
      <c r="Y841" s="10">
        <v>5</v>
      </c>
      <c r="Z841" s="30" t="s">
        <v>85</v>
      </c>
      <c r="AA841" s="31">
        <f t="shared" si="254"/>
        <v>8516</v>
      </c>
      <c r="AB841" s="32">
        <f>972+3110+687</f>
        <v>4769</v>
      </c>
      <c r="AC841" s="32"/>
      <c r="AD841" s="32"/>
      <c r="AE841" s="32">
        <f t="shared" si="250"/>
        <v>4769</v>
      </c>
      <c r="AF841" s="12"/>
      <c r="AG841" s="12"/>
      <c r="AH841" s="12">
        <v>-555</v>
      </c>
      <c r="AI841" s="12">
        <f t="shared" si="251"/>
        <v>4214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3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48"/>
        <v>0</v>
      </c>
      <c r="T842" s="12"/>
      <c r="U842" s="12"/>
      <c r="V842" s="10"/>
      <c r="W842" s="12">
        <f t="shared" si="249"/>
        <v>0</v>
      </c>
      <c r="Y842" s="10">
        <v>6</v>
      </c>
      <c r="Z842" s="30"/>
      <c r="AA842" s="11" t="s">
        <v>27</v>
      </c>
      <c r="AB842" s="32"/>
      <c r="AC842" s="32"/>
      <c r="AD842" s="32"/>
      <c r="AE842" s="32">
        <f t="shared" si="250"/>
        <v>0</v>
      </c>
      <c r="AF842" s="12"/>
      <c r="AG842" s="12"/>
      <c r="AH842" s="10"/>
      <c r="AI842" s="12">
        <f t="shared" si="251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3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/>
      <c r="P843" s="32"/>
      <c r="Q843" s="32"/>
      <c r="R843" s="32"/>
      <c r="S843" s="32">
        <f t="shared" si="248"/>
        <v>0</v>
      </c>
      <c r="T843" s="12"/>
      <c r="U843" s="12"/>
      <c r="V843" s="12"/>
      <c r="W843" s="12">
        <f t="shared" si="249"/>
        <v>0</v>
      </c>
      <c r="Y843" s="10">
        <v>7</v>
      </c>
      <c r="Z843" s="30"/>
      <c r="AA843" s="31"/>
      <c r="AB843" s="32"/>
      <c r="AC843" s="32"/>
      <c r="AD843" s="32"/>
      <c r="AE843" s="32">
        <f t="shared" si="250"/>
        <v>0</v>
      </c>
      <c r="AF843" s="12"/>
      <c r="AG843" s="58"/>
      <c r="AH843" s="12"/>
      <c r="AI843" s="12">
        <f t="shared" si="251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3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/>
      <c r="O844" s="31"/>
      <c r="P844" s="32"/>
      <c r="Q844" s="32"/>
      <c r="R844" s="32"/>
      <c r="S844" s="32">
        <f t="shared" si="248"/>
        <v>0</v>
      </c>
      <c r="T844" s="12"/>
      <c r="U844" s="12"/>
      <c r="V844" s="12"/>
      <c r="W844" s="12">
        <f t="shared" si="249"/>
        <v>0</v>
      </c>
      <c r="Y844" s="10">
        <v>8</v>
      </c>
      <c r="Z844" s="30"/>
      <c r="AA844" s="31"/>
      <c r="AB844" s="32"/>
      <c r="AC844" s="32"/>
      <c r="AE844" s="32">
        <f t="shared" si="250"/>
        <v>0</v>
      </c>
      <c r="AF844" s="12"/>
      <c r="AG844" s="12"/>
      <c r="AH844" s="12"/>
      <c r="AI844" s="12">
        <f t="shared" si="251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3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/>
      <c r="O845" s="31"/>
      <c r="P845" s="32"/>
      <c r="Q845" s="32"/>
      <c r="R845" s="32"/>
      <c r="S845" s="32">
        <f t="shared" si="248"/>
        <v>0</v>
      </c>
      <c r="T845" s="12"/>
      <c r="U845" s="12"/>
      <c r="V845" s="12"/>
      <c r="W845" s="12">
        <f t="shared" si="249"/>
        <v>0</v>
      </c>
      <c r="Y845" s="10">
        <v>9</v>
      </c>
      <c r="Z845" s="30"/>
      <c r="AA845" s="31"/>
      <c r="AB845" s="32"/>
      <c r="AC845" s="32"/>
      <c r="AD845" s="32"/>
      <c r="AE845" s="32">
        <f t="shared" si="250"/>
        <v>0</v>
      </c>
      <c r="AF845" s="12"/>
      <c r="AH845" s="12"/>
      <c r="AI845" s="12">
        <f t="shared" si="251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3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/>
      <c r="O846" s="31"/>
      <c r="P846" s="32"/>
      <c r="Q846" s="32"/>
      <c r="R846" s="32"/>
      <c r="S846" s="32">
        <f t="shared" si="248"/>
        <v>0</v>
      </c>
      <c r="T846" s="12"/>
      <c r="U846" s="12"/>
      <c r="V846" s="12"/>
      <c r="W846" s="12">
        <f t="shared" si="249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50"/>
        <v>0</v>
      </c>
      <c r="AF846" s="12"/>
      <c r="AG846" s="12"/>
      <c r="AH846" s="12"/>
      <c r="AI846" s="12">
        <f t="shared" si="251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31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/>
      <c r="O847" s="31"/>
      <c r="P847" s="32"/>
      <c r="Q847" s="32"/>
      <c r="R847" s="32"/>
      <c r="S847" s="32">
        <f t="shared" si="248"/>
        <v>0</v>
      </c>
      <c r="T847" s="12"/>
      <c r="U847" s="12"/>
      <c r="V847" s="12"/>
      <c r="W847" s="12">
        <f t="shared" si="249"/>
        <v>0</v>
      </c>
      <c r="Y847" s="10">
        <v>11</v>
      </c>
      <c r="Z847" s="30"/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1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/>
      <c r="O848" s="31"/>
      <c r="P848" s="32"/>
      <c r="Q848" s="32"/>
      <c r="R848" s="32"/>
      <c r="S848" s="32">
        <f t="shared" si="248"/>
        <v>0</v>
      </c>
      <c r="T848" s="12"/>
      <c r="U848" s="12"/>
      <c r="V848" s="12"/>
      <c r="W848" s="12">
        <f t="shared" si="249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3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/>
      <c r="P849" s="32"/>
      <c r="Q849" s="32"/>
      <c r="R849" s="32"/>
      <c r="S849" s="32">
        <f t="shared" si="248"/>
        <v>0</v>
      </c>
      <c r="T849" s="12"/>
      <c r="U849" s="12"/>
      <c r="V849" s="12"/>
      <c r="W849" s="12">
        <f t="shared" si="249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3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/>
      <c r="O850" s="31"/>
      <c r="P850" s="32"/>
      <c r="Q850" s="32"/>
      <c r="R850" s="32"/>
      <c r="S850" s="32">
        <f t="shared" si="248"/>
        <v>0</v>
      </c>
      <c r="T850" s="12"/>
      <c r="U850" s="12"/>
      <c r="V850" s="12"/>
      <c r="W850" s="12">
        <f t="shared" si="249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3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/>
      <c r="O851" s="31"/>
      <c r="P851" s="32"/>
      <c r="Q851" s="32"/>
      <c r="R851" s="32"/>
      <c r="S851" s="32">
        <f t="shared" si="248"/>
        <v>0</v>
      </c>
      <c r="T851" s="12"/>
      <c r="U851" s="12"/>
      <c r="V851" s="12"/>
      <c r="W851" s="12">
        <f t="shared" si="249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3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/>
      <c r="O852" s="31"/>
      <c r="P852" s="32"/>
      <c r="Q852" s="32"/>
      <c r="R852" s="32"/>
      <c r="S852" s="32">
        <f t="shared" si="248"/>
        <v>0</v>
      </c>
      <c r="T852" s="12"/>
      <c r="U852" s="12"/>
      <c r="V852" s="12"/>
      <c r="W852" s="12">
        <f t="shared" si="249"/>
        <v>0</v>
      </c>
      <c r="Y852" s="10">
        <v>16</v>
      </c>
      <c r="Z852" s="30"/>
      <c r="AA852" s="31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3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/>
      <c r="O853" s="31"/>
      <c r="P853" s="35"/>
      <c r="Q853" s="32"/>
      <c r="R853" s="32"/>
      <c r="S853" s="32">
        <f t="shared" si="248"/>
        <v>0</v>
      </c>
      <c r="T853" s="12"/>
      <c r="U853" s="12"/>
      <c r="V853" s="12"/>
      <c r="W853" s="12">
        <f t="shared" si="249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31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/>
      <c r="O854" s="31"/>
      <c r="P854" s="32"/>
      <c r="Q854" s="32"/>
      <c r="R854" s="32"/>
      <c r="S854" s="32">
        <f t="shared" si="248"/>
        <v>0</v>
      </c>
      <c r="T854" s="12"/>
      <c r="U854" s="12"/>
      <c r="V854" s="12"/>
      <c r="W854" s="12">
        <f t="shared" si="249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/>
      <c r="O855" s="31"/>
      <c r="P855" s="32"/>
      <c r="Q855" s="32"/>
      <c r="R855" s="32"/>
      <c r="S855" s="32">
        <f t="shared" si="248"/>
        <v>0</v>
      </c>
      <c r="T855" s="12"/>
      <c r="U855" s="12"/>
      <c r="V855" s="12"/>
      <c r="W855" s="12">
        <f t="shared" si="249"/>
        <v>0</v>
      </c>
      <c r="Y855" s="10">
        <v>19</v>
      </c>
      <c r="Z855" s="30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31"/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Q859" s="31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C859" s="31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O861" s="31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O862" s="31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O866" s="31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1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57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O868" s="31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1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1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si="248"/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55">SUM(AB870:AC870)</f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9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8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5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9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8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5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8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5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8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5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8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5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583398</v>
      </c>
      <c r="E880" s="38">
        <f t="shared" ref="E880:F880" si="260">SUM(E837:E877)</f>
        <v>-5220</v>
      </c>
      <c r="F880" s="38">
        <f t="shared" si="260"/>
        <v>0</v>
      </c>
      <c r="G880" s="38">
        <f>SUM(G837:G879)</f>
        <v>578178</v>
      </c>
      <c r="H880" s="4"/>
      <c r="I880" s="39">
        <f>SUM(I837:I879)</f>
        <v>14724</v>
      </c>
      <c r="J880" s="39">
        <f>SUM(J837:J879)</f>
        <v>-71652</v>
      </c>
      <c r="K880" s="40">
        <f>SUM(K837:K879)</f>
        <v>521250</v>
      </c>
      <c r="N880" s="57"/>
      <c r="O880" s="57"/>
      <c r="P880" s="38">
        <f>SUM(P837:P879)</f>
        <v>287258</v>
      </c>
      <c r="Q880" s="38">
        <f>SUM(Q837:Q861)</f>
        <v>-2520</v>
      </c>
      <c r="R880" s="38">
        <f>SUM(R837:R861)</f>
        <v>0</v>
      </c>
      <c r="S880" s="38">
        <f>SUM(S837:S879)</f>
        <v>284738</v>
      </c>
      <c r="T880" s="4"/>
      <c r="U880" s="41">
        <f>SUM(U837:U879)</f>
        <v>1944</v>
      </c>
      <c r="V880" s="41">
        <f>SUM(V837:V861)</f>
        <v>-25752</v>
      </c>
      <c r="W880" s="42">
        <f>SUM(W837:W879)</f>
        <v>260930</v>
      </c>
      <c r="Z880" s="57"/>
      <c r="AA880" s="57"/>
      <c r="AB880" s="38">
        <f>SUM(AB837:AB879)</f>
        <v>133215</v>
      </c>
      <c r="AC880" s="38">
        <f>SUM(AC837:AC861)</f>
        <v>-372</v>
      </c>
      <c r="AD880" s="38">
        <f>SUM(AD837:AD861)</f>
        <v>0</v>
      </c>
      <c r="AE880" s="38">
        <f>SUM(AE837:AE879)</f>
        <v>132843</v>
      </c>
      <c r="AF880" s="4"/>
      <c r="AG880" s="41">
        <f>SUM(AG837:AG879)</f>
        <v>1459.5</v>
      </c>
      <c r="AH880" s="41">
        <f>SUM(AH837:AH861)</f>
        <v>-555</v>
      </c>
      <c r="AI880" s="42">
        <f>SUM(AI837:AI879)</f>
        <v>133747.5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87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87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82</v>
      </c>
      <c r="W888" s="24"/>
      <c r="Y888" s="21" t="s">
        <v>87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5" t="s">
        <v>17</v>
      </c>
      <c r="E890" s="125"/>
      <c r="F890" s="112"/>
      <c r="G890" s="27"/>
      <c r="I890" s="121" t="s">
        <v>18</v>
      </c>
      <c r="J890" s="122"/>
      <c r="K890" s="123" t="s">
        <v>19</v>
      </c>
      <c r="N890" s="25"/>
      <c r="O890" s="26"/>
      <c r="P890" s="125" t="s">
        <v>17</v>
      </c>
      <c r="Q890" s="125"/>
      <c r="R890" s="112"/>
      <c r="S890" s="27"/>
      <c r="U890" s="121" t="s">
        <v>18</v>
      </c>
      <c r="V890" s="122"/>
      <c r="W890" s="123" t="s">
        <v>19</v>
      </c>
      <c r="Z890" s="25"/>
      <c r="AA890" s="26"/>
      <c r="AB890" s="125" t="s">
        <v>17</v>
      </c>
      <c r="AC890" s="125"/>
      <c r="AD890" s="112"/>
      <c r="AE890" s="27"/>
      <c r="AG890" s="121" t="s">
        <v>18</v>
      </c>
      <c r="AH890" s="122"/>
      <c r="AI890" s="123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4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4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4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88</v>
      </c>
      <c r="C892" s="91">
        <v>8637</v>
      </c>
      <c r="D892" s="32">
        <f>650*45+622*5+500</f>
        <v>32860</v>
      </c>
      <c r="E892" s="32"/>
      <c r="F892" s="32"/>
      <c r="G892" s="32">
        <f t="shared" ref="G892:G925" si="261">SUM(D892:E892)</f>
        <v>32860</v>
      </c>
      <c r="H892" s="12"/>
      <c r="I892" s="12"/>
      <c r="J892" s="12"/>
      <c r="K892" s="12">
        <f t="shared" ref="K892:K925" si="262">SUM(G892:J892)</f>
        <v>32860</v>
      </c>
      <c r="M892" s="10">
        <v>1</v>
      </c>
      <c r="N892" s="30" t="s">
        <v>88</v>
      </c>
      <c r="O892" s="31">
        <v>8581</v>
      </c>
      <c r="P892" s="32">
        <f>650*6+670+66.5</f>
        <v>4636.5</v>
      </c>
      <c r="Q892" s="32"/>
      <c r="R892" s="32"/>
      <c r="S892" s="32">
        <f>SUM(P892:Q892)</f>
        <v>4636.5</v>
      </c>
      <c r="T892" s="12"/>
      <c r="U892" s="12"/>
      <c r="V892" s="12"/>
      <c r="W892" s="12">
        <f>SUM(S892:V892)</f>
        <v>4636.5</v>
      </c>
      <c r="Y892" s="10">
        <v>1</v>
      </c>
      <c r="Z892" s="30" t="s">
        <v>88</v>
      </c>
      <c r="AA892" s="31">
        <v>8517</v>
      </c>
      <c r="AB892" s="32">
        <f>650*19+700</f>
        <v>13050</v>
      </c>
      <c r="AC892" s="32"/>
      <c r="AD892" s="32"/>
      <c r="AE892" s="32">
        <f>SUM(AB892:AC892)</f>
        <v>13050</v>
      </c>
      <c r="AF892" s="12"/>
      <c r="AG892" s="12"/>
      <c r="AH892" s="12"/>
      <c r="AI892" s="12">
        <f>SUM(AE892:AH892)</f>
        <v>13050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88</v>
      </c>
      <c r="C893" s="31">
        <f>C892+1</f>
        <v>8638</v>
      </c>
      <c r="D893" s="32">
        <f>431*650+622*36+229*16</f>
        <v>306206</v>
      </c>
      <c r="E893" s="32">
        <v>-2802</v>
      </c>
      <c r="F893" s="32"/>
      <c r="G893" s="32">
        <f t="shared" si="261"/>
        <v>303404</v>
      </c>
      <c r="H893" s="12"/>
      <c r="I893" s="12"/>
      <c r="J893" s="12">
        <f>-44067+-672</f>
        <v>-44739</v>
      </c>
      <c r="K893" s="12">
        <f t="shared" si="262"/>
        <v>258665</v>
      </c>
      <c r="M893" s="10">
        <v>2</v>
      </c>
      <c r="N893" s="30" t="s">
        <v>88</v>
      </c>
      <c r="O893" s="31">
        <f>O892+1</f>
        <v>8582</v>
      </c>
      <c r="P893" s="32">
        <f>650+9.5</f>
        <v>659.5</v>
      </c>
      <c r="Q893" s="32"/>
      <c r="R893" s="32"/>
      <c r="S893" s="32">
        <f t="shared" ref="S893:S930" si="263">SUM(P893:Q893)</f>
        <v>659.5</v>
      </c>
      <c r="T893" s="12"/>
      <c r="U893" s="12"/>
      <c r="V893" s="12"/>
      <c r="W893" s="12">
        <f t="shared" ref="W893:W933" si="264">SUM(S893:V893)</f>
        <v>659.5</v>
      </c>
      <c r="Y893" s="10">
        <v>2</v>
      </c>
      <c r="Z893" s="30" t="s">
        <v>88</v>
      </c>
      <c r="AA893" s="31">
        <f>AA892+1</f>
        <v>8518</v>
      </c>
      <c r="AB893" s="32">
        <f>650*10+670*5+700*2+622*5+9.5*15</f>
        <v>14502.5</v>
      </c>
      <c r="AC893" s="32"/>
      <c r="AD893" s="32"/>
      <c r="AE893" s="32">
        <f t="shared" ref="AE893:AE924" si="265">SUM(AB893:AC893)</f>
        <v>14502.5</v>
      </c>
      <c r="AF893" s="12"/>
      <c r="AG893" s="12"/>
      <c r="AH893" s="12"/>
      <c r="AI893" s="12">
        <f t="shared" ref="AI893:AI933" si="266">SUM(AE893:AH893)</f>
        <v>14502.5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88</v>
      </c>
      <c r="C894" s="31">
        <f t="shared" ref="C894" si="267">C893+1</f>
        <v>8639</v>
      </c>
      <c r="D894" s="33">
        <f>650*108+670*5+973+622*5+912+1175+872+229*5+500+650+1175+2100</f>
        <v>86162</v>
      </c>
      <c r="E894" s="33"/>
      <c r="F894" s="33"/>
      <c r="G894" s="33">
        <f t="shared" si="261"/>
        <v>86162</v>
      </c>
      <c r="H894" s="34"/>
      <c r="I894" s="34">
        <v>162</v>
      </c>
      <c r="J894" s="34"/>
      <c r="K894" s="34">
        <f t="shared" si="262"/>
        <v>86324</v>
      </c>
      <c r="M894" s="10">
        <v>3</v>
      </c>
      <c r="N894" s="30" t="s">
        <v>88</v>
      </c>
      <c r="O894" s="31">
        <f t="shared" ref="O894:O900" si="268">O893+1</f>
        <v>8583</v>
      </c>
      <c r="P894" s="32">
        <f>650+9.5</f>
        <v>659.5</v>
      </c>
      <c r="Q894" s="32"/>
      <c r="R894" s="32"/>
      <c r="S894" s="32">
        <f t="shared" si="263"/>
        <v>659.5</v>
      </c>
      <c r="T894" s="12"/>
      <c r="U894" s="12"/>
      <c r="V894" s="12"/>
      <c r="W894" s="12">
        <f t="shared" si="264"/>
        <v>659.5</v>
      </c>
      <c r="Y894" s="10">
        <v>3</v>
      </c>
      <c r="Z894" s="30" t="s">
        <v>88</v>
      </c>
      <c r="AA894" s="31">
        <f t="shared" ref="AA894:AA901" si="269">AA893+1</f>
        <v>8519</v>
      </c>
      <c r="AB894" s="33">
        <f>650*70+670*10+622*20+229*4</f>
        <v>65556</v>
      </c>
      <c r="AC894" s="33">
        <v>-600</v>
      </c>
      <c r="AD894" s="32"/>
      <c r="AE894" s="32">
        <f t="shared" si="265"/>
        <v>64956</v>
      </c>
      <c r="AF894" s="12"/>
      <c r="AG894" s="12">
        <f>1887+144</f>
        <v>2031</v>
      </c>
      <c r="AH894" s="12"/>
      <c r="AI894" s="12">
        <f t="shared" si="266"/>
        <v>66987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/>
      <c r="C895" s="11" t="s">
        <v>27</v>
      </c>
      <c r="D895" s="32"/>
      <c r="E895" s="32"/>
      <c r="F895" s="32"/>
      <c r="G895" s="32">
        <f t="shared" si="261"/>
        <v>0</v>
      </c>
      <c r="H895" s="12"/>
      <c r="I895" s="12"/>
      <c r="J895" s="12"/>
      <c r="K895" s="12">
        <f t="shared" si="262"/>
        <v>0</v>
      </c>
      <c r="M895" s="10">
        <v>4</v>
      </c>
      <c r="N895" s="30" t="s">
        <v>88</v>
      </c>
      <c r="O895" s="31">
        <f t="shared" si="268"/>
        <v>8584</v>
      </c>
      <c r="P895" s="32">
        <f>650+9.5</f>
        <v>659.5</v>
      </c>
      <c r="Q895" s="32"/>
      <c r="R895" s="32"/>
      <c r="S895" s="32">
        <f t="shared" si="263"/>
        <v>659.5</v>
      </c>
      <c r="T895" s="12"/>
      <c r="U895" s="12"/>
      <c r="V895" s="12"/>
      <c r="W895" s="12">
        <f t="shared" si="264"/>
        <v>659.5</v>
      </c>
      <c r="Y895" s="10">
        <v>4</v>
      </c>
      <c r="Z895" s="30" t="s">
        <v>88</v>
      </c>
      <c r="AA895" s="31">
        <f t="shared" si="269"/>
        <v>8520</v>
      </c>
      <c r="AB895" s="32">
        <f>650*5+9.5*5</f>
        <v>3297.5</v>
      </c>
      <c r="AC895" s="32"/>
      <c r="AD895" s="32"/>
      <c r="AE895" s="32">
        <f t="shared" si="265"/>
        <v>3297.5</v>
      </c>
      <c r="AF895" s="12"/>
      <c r="AH895" s="12"/>
      <c r="AI895" s="12">
        <f t="shared" si="266"/>
        <v>3297.5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/>
      <c r="C896" s="31"/>
      <c r="D896" s="32"/>
      <c r="E896" s="32"/>
      <c r="F896" s="32"/>
      <c r="G896" s="32">
        <f t="shared" si="261"/>
        <v>0</v>
      </c>
      <c r="H896" s="12"/>
      <c r="I896" s="12"/>
      <c r="J896" s="12"/>
      <c r="K896" s="12">
        <f t="shared" si="262"/>
        <v>0</v>
      </c>
      <c r="M896" s="10">
        <v>5</v>
      </c>
      <c r="N896" s="30" t="s">
        <v>88</v>
      </c>
      <c r="O896" s="31">
        <f t="shared" si="268"/>
        <v>8585</v>
      </c>
      <c r="P896" s="32">
        <f>181*650+622*27+229*8</f>
        <v>136276</v>
      </c>
      <c r="Q896" s="32">
        <v>-1248</v>
      </c>
      <c r="R896" s="32"/>
      <c r="S896" s="32">
        <f t="shared" si="263"/>
        <v>135028</v>
      </c>
      <c r="T896" s="12"/>
      <c r="U896" s="12">
        <v>252</v>
      </c>
      <c r="V896" s="12"/>
      <c r="W896" s="12">
        <f t="shared" si="264"/>
        <v>135280</v>
      </c>
      <c r="Y896" s="10">
        <v>5</v>
      </c>
      <c r="Z896" s="30" t="s">
        <v>88</v>
      </c>
      <c r="AA896" s="31">
        <f t="shared" si="269"/>
        <v>8521</v>
      </c>
      <c r="AB896" s="32">
        <f>650*100+670*5+229*4</f>
        <v>69266</v>
      </c>
      <c r="AC896" s="32">
        <v>-630</v>
      </c>
      <c r="AD896" s="32"/>
      <c r="AE896" s="32">
        <f t="shared" si="265"/>
        <v>68636</v>
      </c>
      <c r="AF896" s="12"/>
      <c r="AG896" s="12"/>
      <c r="AH896" s="12"/>
      <c r="AI896" s="12">
        <f t="shared" si="266"/>
        <v>68636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31"/>
      <c r="D897" s="32"/>
      <c r="E897" s="32"/>
      <c r="F897" s="32"/>
      <c r="G897" s="32">
        <f t="shared" si="261"/>
        <v>0</v>
      </c>
      <c r="H897" s="12"/>
      <c r="I897" s="12"/>
      <c r="J897" s="12"/>
      <c r="K897" s="12">
        <f t="shared" si="262"/>
        <v>0</v>
      </c>
      <c r="M897" s="10">
        <v>6</v>
      </c>
      <c r="N897" s="30" t="s">
        <v>88</v>
      </c>
      <c r="O897" s="31">
        <f t="shared" si="268"/>
        <v>8586</v>
      </c>
      <c r="P897" s="32">
        <f>650*68+700*2</f>
        <v>45600</v>
      </c>
      <c r="Q897" s="32"/>
      <c r="R897" s="32"/>
      <c r="S897" s="32">
        <f t="shared" si="263"/>
        <v>45600</v>
      </c>
      <c r="T897" s="12"/>
      <c r="U897" s="12">
        <f>4.5+222</f>
        <v>226.5</v>
      </c>
      <c r="V897" s="10"/>
      <c r="W897" s="12">
        <f t="shared" si="264"/>
        <v>45826.5</v>
      </c>
      <c r="Y897" s="10">
        <v>6</v>
      </c>
      <c r="Z897" s="30" t="s">
        <v>88</v>
      </c>
      <c r="AA897" s="31">
        <f t="shared" si="269"/>
        <v>8522</v>
      </c>
      <c r="AB897" s="32">
        <f>650*158+622*50</f>
        <v>133800</v>
      </c>
      <c r="AC897" s="32">
        <v>-1248</v>
      </c>
      <c r="AD897" s="32"/>
      <c r="AE897" s="32">
        <f t="shared" si="265"/>
        <v>132552</v>
      </c>
      <c r="AF897" s="12"/>
      <c r="AG897" s="12"/>
      <c r="AH897" s="10"/>
      <c r="AI897" s="12">
        <f t="shared" si="266"/>
        <v>132552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C898" s="31"/>
      <c r="D898" s="32"/>
      <c r="E898" s="32"/>
      <c r="F898" s="32"/>
      <c r="G898" s="32">
        <f t="shared" si="261"/>
        <v>0</v>
      </c>
      <c r="H898" s="12"/>
      <c r="I898" s="12"/>
      <c r="J898" s="12"/>
      <c r="K898" s="12">
        <f t="shared" si="262"/>
        <v>0</v>
      </c>
      <c r="M898" s="10">
        <v>7</v>
      </c>
      <c r="N898" s="30" t="s">
        <v>88</v>
      </c>
      <c r="O898" s="31">
        <f t="shared" si="268"/>
        <v>8587</v>
      </c>
      <c r="P898" s="32">
        <f>650*50+973+229</f>
        <v>33702</v>
      </c>
      <c r="Q898" s="32"/>
      <c r="R898" s="32"/>
      <c r="S898" s="32">
        <f t="shared" si="263"/>
        <v>33702</v>
      </c>
      <c r="T898" s="12"/>
      <c r="U898" s="12">
        <f>5550+40.5+15</f>
        <v>5605.5</v>
      </c>
      <c r="V898" s="12">
        <f>-1443</f>
        <v>-1443</v>
      </c>
      <c r="W898" s="12">
        <f t="shared" si="264"/>
        <v>37864.5</v>
      </c>
      <c r="Y898" s="10">
        <v>7</v>
      </c>
      <c r="Z898" s="30" t="s">
        <v>88</v>
      </c>
      <c r="AA898" s="31">
        <f t="shared" si="269"/>
        <v>8523</v>
      </c>
      <c r="AB898" s="32">
        <f>650*50</f>
        <v>32500</v>
      </c>
      <c r="AC898" s="32"/>
      <c r="AD898" s="32"/>
      <c r="AE898" s="32">
        <f t="shared" si="265"/>
        <v>32500</v>
      </c>
      <c r="AF898" s="12"/>
      <c r="AG898" s="58"/>
      <c r="AH898" s="12">
        <v>-7992</v>
      </c>
      <c r="AI898" s="12">
        <f t="shared" si="266"/>
        <v>24508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31"/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88</v>
      </c>
      <c r="O899" s="31">
        <f t="shared" si="268"/>
        <v>8588</v>
      </c>
      <c r="P899" s="32">
        <f>650*5+9.5*5</f>
        <v>3297.5</v>
      </c>
      <c r="Q899" s="32"/>
      <c r="R899" s="32"/>
      <c r="S899" s="32">
        <f t="shared" si="263"/>
        <v>3297.5</v>
      </c>
      <c r="T899" s="12"/>
      <c r="U899" s="12"/>
      <c r="V899" s="12"/>
      <c r="W899" s="12">
        <f t="shared" si="264"/>
        <v>3297.5</v>
      </c>
      <c r="Y899" s="10">
        <v>8</v>
      </c>
      <c r="Z899" s="30" t="s">
        <v>88</v>
      </c>
      <c r="AA899" s="31">
        <f t="shared" si="269"/>
        <v>8524</v>
      </c>
      <c r="AB899" s="32">
        <f>650*20+622*5</f>
        <v>16110</v>
      </c>
      <c r="AC899" s="32"/>
      <c r="AE899" s="32">
        <f t="shared" si="265"/>
        <v>16110</v>
      </c>
      <c r="AF899" s="12"/>
      <c r="AG899" s="12"/>
      <c r="AH899" s="12"/>
      <c r="AI899" s="12">
        <f t="shared" si="266"/>
        <v>16110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88</v>
      </c>
      <c r="O900" s="31">
        <f t="shared" si="268"/>
        <v>8589</v>
      </c>
      <c r="P900" s="32">
        <f>14950+229</f>
        <v>15179</v>
      </c>
      <c r="Q900" s="32"/>
      <c r="R900" s="32"/>
      <c r="S900" s="32">
        <f t="shared" si="263"/>
        <v>15179</v>
      </c>
      <c r="T900" s="12"/>
      <c r="U900" s="12">
        <v>78</v>
      </c>
      <c r="V900" s="12"/>
      <c r="W900" s="12">
        <f t="shared" si="264"/>
        <v>15257</v>
      </c>
      <c r="Y900" s="10">
        <v>9</v>
      </c>
      <c r="Z900" s="30" t="s">
        <v>88</v>
      </c>
      <c r="AA900" s="31">
        <f t="shared" si="269"/>
        <v>8525</v>
      </c>
      <c r="AB900" s="32">
        <f>650*3+500</f>
        <v>2450</v>
      </c>
      <c r="AC900" s="32"/>
      <c r="AD900" s="32"/>
      <c r="AE900" s="32">
        <f t="shared" si="265"/>
        <v>2450</v>
      </c>
      <c r="AF900" s="12"/>
      <c r="AH900" s="12"/>
      <c r="AI900" s="12">
        <f t="shared" si="266"/>
        <v>2450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/>
      <c r="O901" s="11" t="s">
        <v>27</v>
      </c>
      <c r="P901" s="32"/>
      <c r="Q901" s="32"/>
      <c r="R901" s="32"/>
      <c r="S901" s="32">
        <f t="shared" si="263"/>
        <v>0</v>
      </c>
      <c r="T901" s="12"/>
      <c r="U901" s="12"/>
      <c r="V901" s="12"/>
      <c r="W901" s="12">
        <f t="shared" si="264"/>
        <v>0</v>
      </c>
      <c r="Y901" s="10">
        <v>10</v>
      </c>
      <c r="Z901" s="30" t="s">
        <v>88</v>
      </c>
      <c r="AA901" s="31">
        <f t="shared" si="269"/>
        <v>8526</v>
      </c>
      <c r="AB901" s="32">
        <f>622*5</f>
        <v>3110</v>
      </c>
      <c r="AC901" s="32"/>
      <c r="AD901" s="32"/>
      <c r="AE901" s="32">
        <f t="shared" si="265"/>
        <v>3110</v>
      </c>
      <c r="AF901" s="12"/>
      <c r="AG901" s="12"/>
      <c r="AH901" s="12"/>
      <c r="AI901" s="12">
        <f t="shared" si="266"/>
        <v>3110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/>
      <c r="O902" s="31"/>
      <c r="P902" s="32"/>
      <c r="Q902" s="32"/>
      <c r="R902" s="32"/>
      <c r="S902" s="32">
        <f t="shared" si="263"/>
        <v>0</v>
      </c>
      <c r="T902" s="12"/>
      <c r="U902" s="12"/>
      <c r="V902" s="12"/>
      <c r="W902" s="12">
        <f t="shared" si="264"/>
        <v>0</v>
      </c>
      <c r="Y902" s="10">
        <v>11</v>
      </c>
      <c r="Z902" s="30"/>
      <c r="AA902" s="11" t="s">
        <v>27</v>
      </c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/>
      <c r="O903" s="31"/>
      <c r="P903" s="32"/>
      <c r="Q903" s="32"/>
      <c r="R903" s="32"/>
      <c r="S903" s="32">
        <f t="shared" si="263"/>
        <v>0</v>
      </c>
      <c r="T903" s="12"/>
      <c r="U903" s="12"/>
      <c r="V903" s="12"/>
      <c r="W903" s="12">
        <f t="shared" si="26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/>
      <c r="O904" s="31"/>
      <c r="P904" s="32"/>
      <c r="Q904" s="32"/>
      <c r="R904" s="32"/>
      <c r="S904" s="32">
        <f t="shared" si="263"/>
        <v>0</v>
      </c>
      <c r="T904" s="12"/>
      <c r="U904" s="12"/>
      <c r="V904" s="12"/>
      <c r="W904" s="12">
        <f t="shared" si="264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/>
      <c r="O905" s="31"/>
      <c r="P905" s="32"/>
      <c r="Q905" s="32"/>
      <c r="R905" s="32"/>
      <c r="S905" s="32">
        <f t="shared" si="263"/>
        <v>0</v>
      </c>
      <c r="T905" s="12"/>
      <c r="U905" s="12"/>
      <c r="V905" s="12"/>
      <c r="W905" s="12">
        <f t="shared" si="26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/>
      <c r="O906" s="31"/>
      <c r="P906" s="32"/>
      <c r="Q906" s="32"/>
      <c r="R906" s="32"/>
      <c r="S906" s="32">
        <f t="shared" si="263"/>
        <v>0</v>
      </c>
      <c r="T906" s="12"/>
      <c r="U906" s="12"/>
      <c r="V906" s="12"/>
      <c r="W906" s="12">
        <f t="shared" si="26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/>
      <c r="O907" s="31"/>
      <c r="P907" s="32"/>
      <c r="Q907" s="32"/>
      <c r="R907" s="32"/>
      <c r="S907" s="32">
        <f t="shared" si="263"/>
        <v>0</v>
      </c>
      <c r="T907" s="12"/>
      <c r="U907" s="12"/>
      <c r="V907" s="12"/>
      <c r="W907" s="12">
        <f t="shared" si="264"/>
        <v>0</v>
      </c>
      <c r="Y907" s="10">
        <v>16</v>
      </c>
      <c r="Z907" s="30"/>
      <c r="AA907" s="31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/>
      <c r="O908" s="31"/>
      <c r="P908" s="35"/>
      <c r="Q908" s="32"/>
      <c r="R908" s="32"/>
      <c r="S908" s="32">
        <f t="shared" si="263"/>
        <v>0</v>
      </c>
      <c r="T908" s="12"/>
      <c r="U908" s="12"/>
      <c r="V908" s="12"/>
      <c r="W908" s="12">
        <f t="shared" si="26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/>
      <c r="O909" s="31"/>
      <c r="P909" s="32"/>
      <c r="Q909" s="32"/>
      <c r="R909" s="32"/>
      <c r="S909" s="32">
        <f t="shared" si="263"/>
        <v>0</v>
      </c>
      <c r="T909" s="12"/>
      <c r="U909" s="12"/>
      <c r="V909" s="12"/>
      <c r="W909" s="12">
        <f t="shared" si="264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/>
      <c r="O910" s="31"/>
      <c r="P910" s="32"/>
      <c r="Q910" s="32"/>
      <c r="R910" s="32"/>
      <c r="S910" s="32">
        <f t="shared" si="263"/>
        <v>0</v>
      </c>
      <c r="T910" s="12"/>
      <c r="U910" s="12"/>
      <c r="V910" s="12"/>
      <c r="W910" s="12">
        <f t="shared" si="26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/>
      <c r="O911" s="31"/>
      <c r="P911" s="32"/>
      <c r="Q911" s="32"/>
      <c r="R911" s="32"/>
      <c r="S911" s="32">
        <f t="shared" si="263"/>
        <v>0</v>
      </c>
      <c r="T911" s="12"/>
      <c r="U911" s="12"/>
      <c r="V911" s="12"/>
      <c r="W911" s="12">
        <f t="shared" si="26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Q914" s="31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B914" s="47"/>
      <c r="AC914" s="31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O916" s="31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O917" s="31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O921" s="31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91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57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O923" s="31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91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91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si="263"/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70">SUM(AB925:AC925)</f>
        <v>0</v>
      </c>
      <c r="AF925" s="10"/>
      <c r="AG925" s="10"/>
      <c r="AH925" s="10"/>
      <c r="AI925" s="12">
        <f t="shared" si="26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9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3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0"/>
        <v>0</v>
      </c>
      <c r="AF926" s="10"/>
      <c r="AG926" s="10"/>
      <c r="AH926" s="10"/>
      <c r="AI926" s="12">
        <f t="shared" si="26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9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3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0"/>
        <v>0</v>
      </c>
      <c r="AF927" s="10"/>
      <c r="AG927" s="10"/>
      <c r="AH927" s="10"/>
      <c r="AI927" s="12">
        <f t="shared" si="26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3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0"/>
        <v>0</v>
      </c>
      <c r="AF928" s="10"/>
      <c r="AG928" s="10"/>
      <c r="AH928" s="10"/>
      <c r="AI928" s="12">
        <f t="shared" si="26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3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0"/>
        <v>0</v>
      </c>
      <c r="AF929" s="10"/>
      <c r="AG929" s="10"/>
      <c r="AH929" s="10"/>
      <c r="AI929" s="12">
        <f t="shared" si="26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3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0"/>
        <v>0</v>
      </c>
      <c r="AF930" s="10"/>
      <c r="AG930" s="10"/>
      <c r="AH930" s="10"/>
      <c r="AI930" s="12">
        <f t="shared" si="26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1">SUM(D932:E932)</f>
        <v>0</v>
      </c>
      <c r="H932" s="10"/>
      <c r="I932" s="10"/>
      <c r="J932" s="10"/>
      <c r="K932" s="12">
        <f t="shared" ref="K932" si="272">SUM(G932:J932)</f>
        <v>0</v>
      </c>
      <c r="M932" s="10"/>
      <c r="N932" s="30"/>
      <c r="O932" s="31"/>
      <c r="P932" s="47"/>
      <c r="Q932" s="31"/>
      <c r="R932" s="31"/>
      <c r="S932" s="32">
        <f t="shared" ref="S932" si="273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4">SUM(AB932:AC932)</f>
        <v>0</v>
      </c>
      <c r="AF932" s="10"/>
      <c r="AG932" s="10"/>
      <c r="AH932" s="10"/>
      <c r="AI932" s="12">
        <f t="shared" si="26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425228</v>
      </c>
      <c r="E935" s="38">
        <f t="shared" ref="E935:F935" si="275">SUM(E892:E932)</f>
        <v>-2802</v>
      </c>
      <c r="F935" s="38">
        <f t="shared" si="275"/>
        <v>0</v>
      </c>
      <c r="G935" s="38">
        <f>SUM(G892:G934)</f>
        <v>422426</v>
      </c>
      <c r="H935" s="4"/>
      <c r="I935" s="39">
        <f>SUM(I892:I934)</f>
        <v>162</v>
      </c>
      <c r="J935" s="39">
        <f>SUM(J892:J934)</f>
        <v>-44739</v>
      </c>
      <c r="K935" s="40">
        <f>SUM(K892:K934)</f>
        <v>377849</v>
      </c>
      <c r="N935" s="57"/>
      <c r="O935" s="57"/>
      <c r="P935" s="38">
        <f>SUM(P892:P934)</f>
        <v>240669.5</v>
      </c>
      <c r="Q935" s="38">
        <f>SUM(Q892:Q916)</f>
        <v>-1248</v>
      </c>
      <c r="R935" s="38">
        <f>SUM(R892:R916)</f>
        <v>0</v>
      </c>
      <c r="S935" s="38">
        <f>SUM(S892:S934)</f>
        <v>239421.5</v>
      </c>
      <c r="T935" s="4"/>
      <c r="U935" s="41">
        <f>SUM(U892:U934)</f>
        <v>6162</v>
      </c>
      <c r="V935" s="41">
        <f>SUM(V892:V916)</f>
        <v>-1443</v>
      </c>
      <c r="W935" s="42">
        <f>SUM(W892:W934)</f>
        <v>244140.5</v>
      </c>
      <c r="Z935" s="57"/>
      <c r="AA935" s="57"/>
      <c r="AB935" s="38">
        <f>SUM(AB892:AB934)</f>
        <v>353642</v>
      </c>
      <c r="AC935" s="38">
        <f>SUM(AC892:AC916)</f>
        <v>-2478</v>
      </c>
      <c r="AD935" s="38">
        <f>SUM(AD892:AD916)</f>
        <v>0</v>
      </c>
      <c r="AE935" s="38">
        <f>SUM(AE892:AE934)</f>
        <v>351164</v>
      </c>
      <c r="AF935" s="4"/>
      <c r="AG935" s="41">
        <f>SUM(AG892:AG934)</f>
        <v>2031</v>
      </c>
      <c r="AH935" s="41">
        <f>SUM(AH892:AH916)</f>
        <v>-7992</v>
      </c>
      <c r="AI935" s="42">
        <f>SUM(AI892:AI934)</f>
        <v>345203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56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56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56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90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90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82</v>
      </c>
      <c r="W943" s="24"/>
      <c r="Y943" s="21" t="s">
        <v>90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5" t="s">
        <v>17</v>
      </c>
      <c r="E945" s="125"/>
      <c r="F945" s="113"/>
      <c r="G945" s="27"/>
      <c r="I945" s="121" t="s">
        <v>18</v>
      </c>
      <c r="J945" s="122"/>
      <c r="K945" s="123" t="s">
        <v>19</v>
      </c>
      <c r="N945" s="25"/>
      <c r="O945" s="26"/>
      <c r="P945" s="125" t="s">
        <v>17</v>
      </c>
      <c r="Q945" s="125"/>
      <c r="R945" s="113"/>
      <c r="S945" s="27"/>
      <c r="U945" s="121" t="s">
        <v>18</v>
      </c>
      <c r="V945" s="122"/>
      <c r="W945" s="123" t="s">
        <v>19</v>
      </c>
      <c r="Z945" s="25"/>
      <c r="AA945" s="26"/>
      <c r="AB945" s="125" t="s">
        <v>17</v>
      </c>
      <c r="AC945" s="125"/>
      <c r="AD945" s="113"/>
      <c r="AE945" s="27"/>
      <c r="AG945" s="121" t="s">
        <v>18</v>
      </c>
      <c r="AH945" s="122"/>
      <c r="AI945" s="123" t="s">
        <v>19</v>
      </c>
      <c r="AK945" s="62"/>
      <c r="AL945" s="65"/>
      <c r="AM945" s="87"/>
      <c r="AN945" s="120"/>
      <c r="AO945" s="120"/>
      <c r="AP945" s="87"/>
      <c r="AQ945" s="84"/>
      <c r="AR945" s="62"/>
      <c r="AS945" s="120"/>
      <c r="AT945" s="120"/>
      <c r="AU945" s="119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24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24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24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9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91</v>
      </c>
      <c r="C947" s="91">
        <v>8640</v>
      </c>
      <c r="D947" s="32">
        <f>647*650+622*50+229*20</f>
        <v>456230</v>
      </c>
      <c r="E947" s="32">
        <v>-4182</v>
      </c>
      <c r="F947" s="32"/>
      <c r="G947" s="32">
        <f t="shared" ref="G947:G980" si="276">SUM(D947:E947)</f>
        <v>452048</v>
      </c>
      <c r="H947" s="12"/>
      <c r="I947" s="12">
        <f>1404</f>
        <v>1404</v>
      </c>
      <c r="J947" s="12">
        <f>-6771+-1008+-756</f>
        <v>-8535</v>
      </c>
      <c r="K947" s="12">
        <f t="shared" ref="K947:K980" si="277">SUM(G947:J947)</f>
        <v>444917</v>
      </c>
      <c r="M947" s="10">
        <v>1</v>
      </c>
      <c r="N947" s="30" t="s">
        <v>91</v>
      </c>
      <c r="O947" s="31">
        <v>8590</v>
      </c>
      <c r="P947" s="32">
        <f>650*4+670+9.5*4</f>
        <v>3308</v>
      </c>
      <c r="Q947" s="32"/>
      <c r="R947" s="32"/>
      <c r="S947" s="32">
        <f>SUM(P947:Q947)</f>
        <v>3308</v>
      </c>
      <c r="T947" s="12"/>
      <c r="U947" s="12"/>
      <c r="V947" s="12"/>
      <c r="W947" s="12">
        <f>SUM(S947:V947)</f>
        <v>3308</v>
      </c>
      <c r="Y947" s="10">
        <v>1</v>
      </c>
      <c r="Z947" s="30" t="s">
        <v>91</v>
      </c>
      <c r="AA947" s="31">
        <v>8527</v>
      </c>
      <c r="AB947" s="32">
        <f>650*324+622*80+229*17+500*3</f>
        <v>265753</v>
      </c>
      <c r="AC947" s="32">
        <v>-2424</v>
      </c>
      <c r="AD947" s="32"/>
      <c r="AE947" s="32">
        <f>SUM(AB947:AC947)</f>
        <v>263329</v>
      </c>
      <c r="AF947" s="12"/>
      <c r="AG947" s="12"/>
      <c r="AH947" s="12"/>
      <c r="AI947" s="12">
        <f>SUM(AE947:AH947)</f>
        <v>263329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91</v>
      </c>
      <c r="C948" s="31">
        <f>C947+1</f>
        <v>8641</v>
      </c>
      <c r="D948" s="32">
        <f>650*15+670*2+622*2+9.5*17</f>
        <v>12495.5</v>
      </c>
      <c r="E948" s="32"/>
      <c r="F948" s="32"/>
      <c r="G948" s="32">
        <f t="shared" si="276"/>
        <v>12495.5</v>
      </c>
      <c r="H948" s="12"/>
      <c r="I948" s="12"/>
      <c r="J948" s="12">
        <v>-1332</v>
      </c>
      <c r="K948" s="12">
        <f t="shared" si="277"/>
        <v>11163.5</v>
      </c>
      <c r="M948" s="10">
        <v>2</v>
      </c>
      <c r="N948" s="30" t="s">
        <v>91</v>
      </c>
      <c r="O948" s="31">
        <f>O947+1</f>
        <v>8591</v>
      </c>
      <c r="P948" s="32">
        <f>650*2+670+2*9.5</f>
        <v>1989</v>
      </c>
      <c r="Q948" s="32"/>
      <c r="R948" s="32"/>
      <c r="S948" s="32">
        <f t="shared" ref="S948:S985" si="278">SUM(P948:Q948)</f>
        <v>1989</v>
      </c>
      <c r="T948" s="12"/>
      <c r="U948" s="12"/>
      <c r="V948" s="12"/>
      <c r="W948" s="12">
        <f t="shared" ref="W948:W988" si="279">SUM(S948:V948)</f>
        <v>1989</v>
      </c>
      <c r="Y948" s="10">
        <v>2</v>
      </c>
      <c r="Z948" s="30" t="s">
        <v>91</v>
      </c>
      <c r="AA948" s="31">
        <f>AA947+1</f>
        <v>8528</v>
      </c>
      <c r="AB948" s="32">
        <f>650*216+229*9</f>
        <v>142461</v>
      </c>
      <c r="AC948" s="32">
        <v>-1296</v>
      </c>
      <c r="AD948" s="32"/>
      <c r="AE948" s="32">
        <f t="shared" ref="AE948:AE979" si="280">SUM(AB948:AC948)</f>
        <v>141165</v>
      </c>
      <c r="AF948" s="12"/>
      <c r="AG948" s="12"/>
      <c r="AH948" s="12"/>
      <c r="AI948" s="12">
        <f t="shared" ref="AI948:AI988" si="281">SUM(AE948:AH948)</f>
        <v>141165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91</v>
      </c>
      <c r="C949" s="31">
        <f t="shared" ref="C949" si="282">C948+1</f>
        <v>8642</v>
      </c>
      <c r="D949" s="33">
        <f>500</f>
        <v>500</v>
      </c>
      <c r="E949" s="33"/>
      <c r="F949" s="33"/>
      <c r="G949" s="33">
        <f t="shared" si="276"/>
        <v>500</v>
      </c>
      <c r="H949" s="34"/>
      <c r="I949" s="34"/>
      <c r="J949" s="34"/>
      <c r="K949" s="34">
        <f t="shared" si="277"/>
        <v>500</v>
      </c>
      <c r="M949" s="10">
        <v>3</v>
      </c>
      <c r="N949" s="30" t="s">
        <v>91</v>
      </c>
      <c r="O949" s="31">
        <f t="shared" ref="O949:O951" si="283">O948+1</f>
        <v>8592</v>
      </c>
      <c r="P949" s="32">
        <f>650+9.5</f>
        <v>659.5</v>
      </c>
      <c r="Q949" s="32"/>
      <c r="R949" s="32"/>
      <c r="S949" s="32">
        <f t="shared" si="278"/>
        <v>659.5</v>
      </c>
      <c r="T949" s="12"/>
      <c r="U949" s="12"/>
      <c r="V949" s="12"/>
      <c r="W949" s="12">
        <f t="shared" si="279"/>
        <v>659.5</v>
      </c>
      <c r="Y949" s="10">
        <v>3</v>
      </c>
      <c r="Z949" s="30" t="s">
        <v>91</v>
      </c>
      <c r="AA949" s="31">
        <f t="shared" ref="AA949" si="284">AA948+1</f>
        <v>8529</v>
      </c>
      <c r="AB949" s="33">
        <f>650*47+670*2+622+9.5*44</f>
        <v>32930</v>
      </c>
      <c r="AC949" s="33">
        <v>-300</v>
      </c>
      <c r="AD949" s="32"/>
      <c r="AE949" s="32">
        <f t="shared" si="280"/>
        <v>32630</v>
      </c>
      <c r="AF949" s="12"/>
      <c r="AG949" s="12"/>
      <c r="AH949" s="12">
        <v>-2220</v>
      </c>
      <c r="AI949" s="12">
        <f t="shared" si="281"/>
        <v>30410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/>
      <c r="C950" s="11" t="s">
        <v>27</v>
      </c>
      <c r="D950" s="32"/>
      <c r="E950" s="32"/>
      <c r="F950" s="32"/>
      <c r="G950" s="32">
        <f t="shared" si="276"/>
        <v>0</v>
      </c>
      <c r="H950" s="12"/>
      <c r="I950" s="12"/>
      <c r="J950" s="12"/>
      <c r="K950" s="12">
        <f t="shared" si="277"/>
        <v>0</v>
      </c>
      <c r="M950" s="10">
        <v>4</v>
      </c>
      <c r="N950" s="30" t="s">
        <v>91</v>
      </c>
      <c r="O950" s="31">
        <f t="shared" si="283"/>
        <v>8593</v>
      </c>
      <c r="P950" s="32">
        <f>650*324+229*11</f>
        <v>213119</v>
      </c>
      <c r="Q950" s="32">
        <v>-1944</v>
      </c>
      <c r="R950" s="32"/>
      <c r="S950" s="32">
        <f t="shared" si="278"/>
        <v>211175</v>
      </c>
      <c r="T950" s="12"/>
      <c r="U950" s="12">
        <v>396</v>
      </c>
      <c r="V950" s="12"/>
      <c r="W950" s="12">
        <f t="shared" si="279"/>
        <v>211571</v>
      </c>
      <c r="Y950" s="10">
        <v>4</v>
      </c>
      <c r="Z950" s="30"/>
      <c r="AA950" s="11" t="s">
        <v>27</v>
      </c>
      <c r="AB950" s="32"/>
      <c r="AC950" s="32"/>
      <c r="AD950" s="32"/>
      <c r="AE950" s="32">
        <f t="shared" si="280"/>
        <v>0</v>
      </c>
      <c r="AF950" s="12"/>
      <c r="AH950" s="12"/>
      <c r="AI950" s="12">
        <f t="shared" si="281"/>
        <v>0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31"/>
      <c r="D951" s="32"/>
      <c r="E951" s="32"/>
      <c r="F951" s="32"/>
      <c r="G951" s="32">
        <f t="shared" si="276"/>
        <v>0</v>
      </c>
      <c r="H951" s="12"/>
      <c r="I951" s="12"/>
      <c r="J951" s="12"/>
      <c r="K951" s="12">
        <f t="shared" si="277"/>
        <v>0</v>
      </c>
      <c r="M951" s="10">
        <v>5</v>
      </c>
      <c r="N951" s="30" t="s">
        <v>91</v>
      </c>
      <c r="O951" s="31">
        <f t="shared" si="283"/>
        <v>8594</v>
      </c>
      <c r="P951" s="32">
        <f>32*650+622*15+9.5*12</f>
        <v>30244</v>
      </c>
      <c r="Q951" s="32"/>
      <c r="R951" s="32"/>
      <c r="S951" s="32">
        <f t="shared" si="278"/>
        <v>30244</v>
      </c>
      <c r="T951" s="12"/>
      <c r="U951" s="12"/>
      <c r="V951" s="12">
        <f>-4.5+-1221</f>
        <v>-1225.5</v>
      </c>
      <c r="W951" s="12">
        <f t="shared" si="279"/>
        <v>29018.5</v>
      </c>
      <c r="Y951" s="10">
        <v>5</v>
      </c>
      <c r="Z951" s="30"/>
      <c r="AA951" s="31"/>
      <c r="AB951" s="32"/>
      <c r="AC951" s="32"/>
      <c r="AD951" s="32"/>
      <c r="AE951" s="32">
        <f t="shared" si="280"/>
        <v>0</v>
      </c>
      <c r="AF951" s="12"/>
      <c r="AG951" s="12"/>
      <c r="AH951" s="12"/>
      <c r="AI951" s="12">
        <f t="shared" si="281"/>
        <v>0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31"/>
      <c r="D952" s="32"/>
      <c r="E952" s="32"/>
      <c r="F952" s="32"/>
      <c r="G952" s="32">
        <f t="shared" si="276"/>
        <v>0</v>
      </c>
      <c r="H952" s="12"/>
      <c r="I952" s="12"/>
      <c r="J952" s="12"/>
      <c r="K952" s="12">
        <f t="shared" si="277"/>
        <v>0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8"/>
        <v>0</v>
      </c>
      <c r="T952" s="12"/>
      <c r="U952" s="12"/>
      <c r="V952" s="10"/>
      <c r="W952" s="12">
        <f t="shared" si="279"/>
        <v>0</v>
      </c>
      <c r="Y952" s="10">
        <v>6</v>
      </c>
      <c r="Z952" s="30"/>
      <c r="AA952" s="31"/>
      <c r="AB952" s="32"/>
      <c r="AC952" s="32"/>
      <c r="AD952" s="32"/>
      <c r="AE952" s="32">
        <f t="shared" si="280"/>
        <v>0</v>
      </c>
      <c r="AF952" s="12"/>
      <c r="AG952" s="12"/>
      <c r="AH952" s="10"/>
      <c r="AI952" s="12">
        <f t="shared" si="281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31"/>
      <c r="D953" s="32"/>
      <c r="E953" s="32"/>
      <c r="F953" s="32"/>
      <c r="G953" s="32">
        <f t="shared" si="276"/>
        <v>0</v>
      </c>
      <c r="H953" s="12"/>
      <c r="I953" s="12"/>
      <c r="J953" s="12"/>
      <c r="K953" s="12">
        <f t="shared" si="277"/>
        <v>0</v>
      </c>
      <c r="M953" s="10">
        <v>7</v>
      </c>
      <c r="N953" s="30"/>
      <c r="O953" s="31"/>
      <c r="P953" s="32"/>
      <c r="Q953" s="32"/>
      <c r="R953" s="32"/>
      <c r="S953" s="32">
        <f t="shared" si="278"/>
        <v>0</v>
      </c>
      <c r="T953" s="12"/>
      <c r="U953" s="12"/>
      <c r="V953" s="12"/>
      <c r="W953" s="12">
        <f t="shared" si="279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0"/>
        <v>0</v>
      </c>
      <c r="AF953" s="12"/>
      <c r="AG953" s="58"/>
      <c r="AH953" s="12"/>
      <c r="AI953" s="12">
        <f t="shared" si="281"/>
        <v>0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31"/>
      <c r="D954" s="32"/>
      <c r="E954" s="32"/>
      <c r="F954" s="32"/>
      <c r="G954" s="32">
        <f t="shared" si="276"/>
        <v>0</v>
      </c>
      <c r="H954" s="12"/>
      <c r="I954" s="12"/>
      <c r="J954" s="12"/>
      <c r="K954" s="12">
        <f t="shared" si="277"/>
        <v>0</v>
      </c>
      <c r="M954" s="10">
        <v>8</v>
      </c>
      <c r="N954" s="30"/>
      <c r="O954" s="31"/>
      <c r="P954" s="32"/>
      <c r="Q954" s="32"/>
      <c r="R954" s="32"/>
      <c r="S954" s="32">
        <f t="shared" si="278"/>
        <v>0</v>
      </c>
      <c r="T954" s="12"/>
      <c r="U954" s="12"/>
      <c r="V954" s="12"/>
      <c r="W954" s="12">
        <f t="shared" si="279"/>
        <v>0</v>
      </c>
      <c r="Y954" s="10">
        <v>8</v>
      </c>
      <c r="Z954" s="30"/>
      <c r="AA954" s="31"/>
      <c r="AB954" s="32"/>
      <c r="AC954" s="32"/>
      <c r="AE954" s="32">
        <f t="shared" si="280"/>
        <v>0</v>
      </c>
      <c r="AF954" s="12"/>
      <c r="AG954" s="12"/>
      <c r="AH954" s="12"/>
      <c r="AI954" s="12">
        <f t="shared" si="281"/>
        <v>0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31"/>
      <c r="D955" s="32"/>
      <c r="E955" s="32"/>
      <c r="F955" s="32"/>
      <c r="G955" s="32">
        <f t="shared" si="276"/>
        <v>0</v>
      </c>
      <c r="H955" s="12"/>
      <c r="I955" s="12"/>
      <c r="J955" s="12"/>
      <c r="K955" s="12">
        <f t="shared" si="277"/>
        <v>0</v>
      </c>
      <c r="M955" s="10">
        <v>9</v>
      </c>
      <c r="N955" s="30"/>
      <c r="O955" s="31"/>
      <c r="P955" s="32"/>
      <c r="Q955" s="32"/>
      <c r="R955" s="32"/>
      <c r="S955" s="32">
        <f t="shared" si="278"/>
        <v>0</v>
      </c>
      <c r="T955" s="12"/>
      <c r="U955" s="12"/>
      <c r="V955" s="12"/>
      <c r="W955" s="12">
        <f t="shared" si="279"/>
        <v>0</v>
      </c>
      <c r="Y955" s="10">
        <v>9</v>
      </c>
      <c r="Z955" s="30"/>
      <c r="AA955" s="31"/>
      <c r="AB955" s="32"/>
      <c r="AC955" s="32"/>
      <c r="AD955" s="32"/>
      <c r="AE955" s="32">
        <f t="shared" si="280"/>
        <v>0</v>
      </c>
      <c r="AF955" s="12"/>
      <c r="AH955" s="12"/>
      <c r="AI955" s="12">
        <f t="shared" si="281"/>
        <v>0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31"/>
      <c r="D956" s="32"/>
      <c r="E956" s="32"/>
      <c r="F956" s="32"/>
      <c r="G956" s="32">
        <f t="shared" si="276"/>
        <v>0</v>
      </c>
      <c r="H956" s="12"/>
      <c r="I956" s="12"/>
      <c r="J956" s="12"/>
      <c r="K956" s="12">
        <f t="shared" si="277"/>
        <v>0</v>
      </c>
      <c r="M956" s="10">
        <v>10</v>
      </c>
      <c r="N956" s="30"/>
      <c r="P956" s="32"/>
      <c r="Q956" s="32"/>
      <c r="R956" s="32"/>
      <c r="S956" s="32">
        <f t="shared" si="278"/>
        <v>0</v>
      </c>
      <c r="T956" s="12"/>
      <c r="U956" s="12"/>
      <c r="V956" s="12"/>
      <c r="W956" s="12">
        <f t="shared" si="279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0"/>
        <v>0</v>
      </c>
      <c r="AF956" s="12"/>
      <c r="AG956" s="12"/>
      <c r="AH956" s="12"/>
      <c r="AI956" s="12">
        <f t="shared" si="281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D957" s="32"/>
      <c r="E957" s="32"/>
      <c r="F957" s="32"/>
      <c r="G957" s="32">
        <f t="shared" si="276"/>
        <v>0</v>
      </c>
      <c r="H957" s="12"/>
      <c r="I957" s="12"/>
      <c r="J957" s="12"/>
      <c r="K957" s="12">
        <f t="shared" si="277"/>
        <v>0</v>
      </c>
      <c r="M957" s="10">
        <v>11</v>
      </c>
      <c r="N957" s="30"/>
      <c r="O957" s="31"/>
      <c r="P957" s="32"/>
      <c r="Q957" s="32"/>
      <c r="R957" s="32"/>
      <c r="S957" s="32">
        <f t="shared" si="278"/>
        <v>0</v>
      </c>
      <c r="T957" s="12"/>
      <c r="U957" s="12"/>
      <c r="V957" s="12"/>
      <c r="W957" s="12">
        <f t="shared" si="279"/>
        <v>0</v>
      </c>
      <c r="Y957" s="10">
        <v>11</v>
      </c>
      <c r="Z957" s="30"/>
      <c r="AB957" s="32"/>
      <c r="AC957" s="32"/>
      <c r="AD957" s="32"/>
      <c r="AE957" s="32">
        <f t="shared" si="280"/>
        <v>0</v>
      </c>
      <c r="AF957" s="12"/>
      <c r="AG957" s="12"/>
      <c r="AH957" s="12"/>
      <c r="AI957" s="12">
        <f t="shared" si="281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31"/>
      <c r="D958" s="32"/>
      <c r="E958" s="32"/>
      <c r="F958" s="32"/>
      <c r="G958" s="32">
        <f t="shared" si="276"/>
        <v>0</v>
      </c>
      <c r="H958" s="12"/>
      <c r="I958" s="12"/>
      <c r="J958" s="10"/>
      <c r="K958" s="12">
        <f t="shared" si="277"/>
        <v>0</v>
      </c>
      <c r="M958" s="10">
        <v>12</v>
      </c>
      <c r="N958" s="30"/>
      <c r="O958" s="31"/>
      <c r="P958" s="32"/>
      <c r="Q958" s="32"/>
      <c r="R958" s="32"/>
      <c r="S958" s="32">
        <f t="shared" si="278"/>
        <v>0</v>
      </c>
      <c r="T958" s="12"/>
      <c r="U958" s="12"/>
      <c r="V958" s="12"/>
      <c r="W958" s="12">
        <f t="shared" si="279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0"/>
        <v>0</v>
      </c>
      <c r="AF958" s="12"/>
      <c r="AG958" s="12"/>
      <c r="AH958" s="12"/>
      <c r="AI958" s="12">
        <f t="shared" si="281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31"/>
      <c r="D959" s="32"/>
      <c r="E959" s="32"/>
      <c r="F959" s="32"/>
      <c r="G959" s="32">
        <f t="shared" si="276"/>
        <v>0</v>
      </c>
      <c r="H959" s="12"/>
      <c r="I959" s="12"/>
      <c r="J959" s="12"/>
      <c r="K959" s="12">
        <f t="shared" si="277"/>
        <v>0</v>
      </c>
      <c r="M959" s="10">
        <v>13</v>
      </c>
      <c r="N959" s="30"/>
      <c r="O959" s="31"/>
      <c r="P959" s="32"/>
      <c r="Q959" s="32"/>
      <c r="R959" s="32"/>
      <c r="S959" s="32">
        <f t="shared" si="278"/>
        <v>0</v>
      </c>
      <c r="T959" s="12"/>
      <c r="U959" s="12"/>
      <c r="V959" s="12"/>
      <c r="W959" s="12">
        <f t="shared" si="279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0"/>
        <v>0</v>
      </c>
      <c r="AF959" s="12"/>
      <c r="AG959" s="12"/>
      <c r="AH959" s="12"/>
      <c r="AI959" s="12">
        <f t="shared" si="281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31"/>
      <c r="D960" s="32"/>
      <c r="E960" s="32"/>
      <c r="F960" s="32"/>
      <c r="G960" s="32">
        <f t="shared" si="276"/>
        <v>0</v>
      </c>
      <c r="H960" s="12"/>
      <c r="I960" s="12"/>
      <c r="J960" s="12"/>
      <c r="K960" s="12">
        <f t="shared" si="277"/>
        <v>0</v>
      </c>
      <c r="M960" s="10">
        <v>14</v>
      </c>
      <c r="N960" s="30"/>
      <c r="O960" s="31"/>
      <c r="P960" s="32"/>
      <c r="Q960" s="32"/>
      <c r="R960" s="32"/>
      <c r="S960" s="32">
        <f t="shared" si="278"/>
        <v>0</v>
      </c>
      <c r="T960" s="12"/>
      <c r="U960" s="12"/>
      <c r="V960" s="12"/>
      <c r="W960" s="12">
        <f t="shared" si="279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0"/>
        <v>0</v>
      </c>
      <c r="AF960" s="12"/>
      <c r="AG960" s="12"/>
      <c r="AH960" s="12"/>
      <c r="AI960" s="12">
        <f t="shared" si="281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31"/>
      <c r="D961" s="32"/>
      <c r="E961" s="32"/>
      <c r="F961" s="32"/>
      <c r="G961" s="32">
        <f t="shared" si="276"/>
        <v>0</v>
      </c>
      <c r="H961" s="12"/>
      <c r="I961" s="12"/>
      <c r="J961" s="12"/>
      <c r="K961" s="12">
        <f t="shared" si="277"/>
        <v>0</v>
      </c>
      <c r="M961" s="10">
        <v>15</v>
      </c>
      <c r="N961" s="30"/>
      <c r="O961" s="31"/>
      <c r="P961" s="32"/>
      <c r="Q961" s="32"/>
      <c r="R961" s="32"/>
      <c r="S961" s="32">
        <f t="shared" si="278"/>
        <v>0</v>
      </c>
      <c r="T961" s="12"/>
      <c r="U961" s="12"/>
      <c r="V961" s="12"/>
      <c r="W961" s="12">
        <f t="shared" si="279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0"/>
        <v>0</v>
      </c>
      <c r="AF961" s="12"/>
      <c r="AG961" s="12"/>
      <c r="AH961" s="12"/>
      <c r="AI961" s="12">
        <f t="shared" si="281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31"/>
      <c r="D962" s="32"/>
      <c r="E962" s="32"/>
      <c r="F962" s="32"/>
      <c r="G962" s="32">
        <f t="shared" si="276"/>
        <v>0</v>
      </c>
      <c r="H962" s="12"/>
      <c r="I962" s="12"/>
      <c r="J962" s="12"/>
      <c r="K962" s="12">
        <f t="shared" si="277"/>
        <v>0</v>
      </c>
      <c r="M962" s="10">
        <v>16</v>
      </c>
      <c r="N962" s="30"/>
      <c r="O962" s="31"/>
      <c r="P962" s="32"/>
      <c r="Q962" s="32"/>
      <c r="R962" s="32"/>
      <c r="S962" s="32">
        <f t="shared" si="278"/>
        <v>0</v>
      </c>
      <c r="T962" s="12"/>
      <c r="U962" s="12"/>
      <c r="V962" s="12"/>
      <c r="W962" s="12">
        <f t="shared" si="279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0"/>
        <v>0</v>
      </c>
      <c r="AF962" s="12"/>
      <c r="AG962" s="12"/>
      <c r="AH962" s="12"/>
      <c r="AI962" s="12">
        <f t="shared" si="281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31"/>
      <c r="D963" s="32"/>
      <c r="E963" s="32"/>
      <c r="F963" s="32"/>
      <c r="G963" s="32">
        <f t="shared" si="276"/>
        <v>0</v>
      </c>
      <c r="H963" s="12"/>
      <c r="I963" s="12"/>
      <c r="J963" s="12"/>
      <c r="K963" s="12">
        <f t="shared" si="277"/>
        <v>0</v>
      </c>
      <c r="M963" s="10">
        <v>17</v>
      </c>
      <c r="N963" s="30"/>
      <c r="O963" s="31"/>
      <c r="P963" s="35"/>
      <c r="Q963" s="32"/>
      <c r="R963" s="32"/>
      <c r="S963" s="32">
        <f t="shared" si="278"/>
        <v>0</v>
      </c>
      <c r="T963" s="12"/>
      <c r="U963" s="12"/>
      <c r="V963" s="12"/>
      <c r="W963" s="12">
        <f t="shared" si="279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0"/>
        <v>0</v>
      </c>
      <c r="AF963" s="12"/>
      <c r="AG963" s="12"/>
      <c r="AH963" s="12"/>
      <c r="AI963" s="12">
        <f t="shared" si="281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31"/>
      <c r="D964" s="32"/>
      <c r="E964" s="32"/>
      <c r="F964" s="32"/>
      <c r="G964" s="32">
        <f t="shared" si="276"/>
        <v>0</v>
      </c>
      <c r="H964" s="12"/>
      <c r="I964" s="12"/>
      <c r="J964" s="12"/>
      <c r="K964" s="12">
        <f t="shared" si="277"/>
        <v>0</v>
      </c>
      <c r="M964" s="10">
        <v>18</v>
      </c>
      <c r="N964" s="30"/>
      <c r="O964" s="31"/>
      <c r="P964" s="32"/>
      <c r="Q964" s="32"/>
      <c r="R964" s="32"/>
      <c r="S964" s="32">
        <f t="shared" si="278"/>
        <v>0</v>
      </c>
      <c r="T964" s="12"/>
      <c r="U964" s="12"/>
      <c r="V964" s="12"/>
      <c r="W964" s="12">
        <f t="shared" si="279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0"/>
        <v>0</v>
      </c>
      <c r="AF964" s="12"/>
      <c r="AG964" s="12"/>
      <c r="AH964" s="12"/>
      <c r="AI964" s="12">
        <f t="shared" si="281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31"/>
      <c r="D965" s="32"/>
      <c r="E965" s="32"/>
      <c r="F965" s="32"/>
      <c r="G965" s="32">
        <f t="shared" si="276"/>
        <v>0</v>
      </c>
      <c r="H965" s="12"/>
      <c r="I965" s="12"/>
      <c r="J965" s="12"/>
      <c r="K965" s="12">
        <f t="shared" si="277"/>
        <v>0</v>
      </c>
      <c r="M965" s="10">
        <v>19</v>
      </c>
      <c r="N965" s="30"/>
      <c r="O965" s="31"/>
      <c r="P965" s="32"/>
      <c r="Q965" s="32"/>
      <c r="R965" s="32"/>
      <c r="S965" s="32">
        <f t="shared" si="278"/>
        <v>0</v>
      </c>
      <c r="T965" s="12"/>
      <c r="U965" s="12"/>
      <c r="V965" s="12"/>
      <c r="W965" s="12">
        <f t="shared" si="279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0"/>
        <v>0</v>
      </c>
      <c r="AF965" s="12"/>
      <c r="AG965" s="12"/>
      <c r="AH965" s="12"/>
      <c r="AI965" s="12">
        <f t="shared" si="281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31"/>
      <c r="D966" s="32"/>
      <c r="E966" s="32"/>
      <c r="F966" s="32"/>
      <c r="G966" s="32">
        <f t="shared" si="276"/>
        <v>0</v>
      </c>
      <c r="H966" s="12"/>
      <c r="I966" s="12"/>
      <c r="J966" s="12"/>
      <c r="K966" s="12">
        <f t="shared" si="277"/>
        <v>0</v>
      </c>
      <c r="M966" s="10">
        <v>20</v>
      </c>
      <c r="N966" s="30"/>
      <c r="O966" s="31"/>
      <c r="P966" s="32"/>
      <c r="Q966" s="32"/>
      <c r="R966" s="32"/>
      <c r="S966" s="32">
        <f t="shared" si="278"/>
        <v>0</v>
      </c>
      <c r="T966" s="12"/>
      <c r="U966" s="12"/>
      <c r="V966" s="12"/>
      <c r="W966" s="12">
        <f t="shared" si="279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0"/>
        <v>0</v>
      </c>
      <c r="AF966" s="12"/>
      <c r="AG966" s="12"/>
      <c r="AH966" s="12"/>
      <c r="AI966" s="12">
        <f t="shared" si="281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57"/>
      <c r="D967" s="32"/>
      <c r="E967" s="32"/>
      <c r="F967" s="32"/>
      <c r="G967" s="32">
        <f t="shared" si="276"/>
        <v>0</v>
      </c>
      <c r="H967" s="10"/>
      <c r="I967" s="10"/>
      <c r="J967" s="10"/>
      <c r="K967" s="12">
        <f t="shared" si="277"/>
        <v>0</v>
      </c>
      <c r="M967" s="10">
        <v>21</v>
      </c>
      <c r="N967" s="30"/>
      <c r="P967" s="46"/>
      <c r="Q967" s="31"/>
      <c r="R967" s="31"/>
      <c r="S967" s="32">
        <f t="shared" si="278"/>
        <v>0</v>
      </c>
      <c r="T967" s="10"/>
      <c r="U967" s="10"/>
      <c r="V967" s="10"/>
      <c r="W967" s="12">
        <f t="shared" si="279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0"/>
        <v>0</v>
      </c>
      <c r="AF967" s="10"/>
      <c r="AG967" s="10"/>
      <c r="AH967" s="10"/>
      <c r="AI967" s="12">
        <f t="shared" si="281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31"/>
      <c r="D968" s="32"/>
      <c r="E968" s="32"/>
      <c r="F968" s="32"/>
      <c r="G968" s="32">
        <f t="shared" si="276"/>
        <v>0</v>
      </c>
      <c r="H968" s="10"/>
      <c r="I968" s="10"/>
      <c r="J968" s="10"/>
      <c r="K968" s="12">
        <f t="shared" si="277"/>
        <v>0</v>
      </c>
      <c r="M968" s="10">
        <v>22</v>
      </c>
      <c r="N968" s="30"/>
      <c r="O968" s="31"/>
      <c r="P968" s="45"/>
      <c r="Q968" s="31"/>
      <c r="R968" s="31"/>
      <c r="S968" s="32">
        <f t="shared" si="278"/>
        <v>0</v>
      </c>
      <c r="T968" s="10"/>
      <c r="U968" s="10"/>
      <c r="V968" s="10"/>
      <c r="W968" s="12">
        <f t="shared" si="279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0"/>
        <v>0</v>
      </c>
      <c r="AF968" s="10"/>
      <c r="AG968" s="10"/>
      <c r="AH968" s="10"/>
      <c r="AI968" s="12">
        <f t="shared" si="281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76"/>
        <v>0</v>
      </c>
      <c r="H969" s="10"/>
      <c r="I969" s="10"/>
      <c r="J969" s="12"/>
      <c r="K969" s="12">
        <f t="shared" si="277"/>
        <v>0</v>
      </c>
      <c r="M969" s="10">
        <v>23</v>
      </c>
      <c r="N969" s="30"/>
      <c r="O969" s="31"/>
      <c r="P969" s="47"/>
      <c r="Q969" s="31"/>
      <c r="S969" s="32">
        <f t="shared" si="278"/>
        <v>0</v>
      </c>
      <c r="T969" s="10"/>
      <c r="U969" s="10"/>
      <c r="V969" s="10"/>
      <c r="W969" s="12">
        <f t="shared" si="279"/>
        <v>0</v>
      </c>
      <c r="Y969" s="10">
        <v>23</v>
      </c>
      <c r="Z969" s="30"/>
      <c r="AB969" s="47"/>
      <c r="AC969" s="31"/>
      <c r="AE969" s="32">
        <f t="shared" si="280"/>
        <v>0</v>
      </c>
      <c r="AF969" s="10"/>
      <c r="AG969" s="10"/>
      <c r="AH969" s="10"/>
      <c r="AI969" s="12">
        <f t="shared" si="281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31"/>
      <c r="D970" s="32"/>
      <c r="E970" s="32"/>
      <c r="F970" s="32"/>
      <c r="G970" s="32">
        <f t="shared" si="276"/>
        <v>0</v>
      </c>
      <c r="H970" s="10"/>
      <c r="I970" s="10"/>
      <c r="J970" s="10"/>
      <c r="K970" s="12">
        <f t="shared" si="277"/>
        <v>0</v>
      </c>
      <c r="M970" s="10">
        <v>24</v>
      </c>
      <c r="N970" s="30"/>
      <c r="O970" s="31"/>
      <c r="P970" s="47"/>
      <c r="Q970" s="31"/>
      <c r="R970" s="31"/>
      <c r="S970" s="32">
        <f t="shared" si="278"/>
        <v>0</v>
      </c>
      <c r="T970" s="10"/>
      <c r="U970" s="10"/>
      <c r="V970" s="10"/>
      <c r="W970" s="12">
        <f t="shared" si="279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0"/>
        <v>0</v>
      </c>
      <c r="AF970" s="10"/>
      <c r="AG970" s="10"/>
      <c r="AH970" s="10"/>
      <c r="AI970" s="12">
        <f t="shared" si="281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6"/>
        <v>0</v>
      </c>
      <c r="H971" s="10"/>
      <c r="I971" s="10"/>
      <c r="J971" s="10"/>
      <c r="K971" s="12">
        <f t="shared" si="277"/>
        <v>0</v>
      </c>
      <c r="M971" s="10">
        <v>25</v>
      </c>
      <c r="N971" s="30"/>
      <c r="O971" s="31"/>
      <c r="P971" s="47"/>
      <c r="Q971" s="31"/>
      <c r="R971" s="31"/>
      <c r="S971" s="32">
        <f t="shared" si="278"/>
        <v>0</v>
      </c>
      <c r="T971" s="10"/>
      <c r="U971" s="10"/>
      <c r="V971" s="10"/>
      <c r="W971" s="12">
        <f t="shared" si="279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0"/>
        <v>0</v>
      </c>
      <c r="AF971" s="10"/>
      <c r="AG971" s="10"/>
      <c r="AH971" s="10"/>
      <c r="AI971" s="12">
        <f t="shared" si="281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31"/>
      <c r="D972" s="32"/>
      <c r="E972" s="32"/>
      <c r="F972" s="32"/>
      <c r="G972" s="32">
        <f t="shared" si="276"/>
        <v>0</v>
      </c>
      <c r="H972" s="10"/>
      <c r="I972" s="10"/>
      <c r="J972" s="10"/>
      <c r="K972" s="12">
        <f t="shared" si="277"/>
        <v>0</v>
      </c>
      <c r="M972" s="10">
        <v>26</v>
      </c>
      <c r="N972" s="30"/>
      <c r="O972" s="31"/>
      <c r="P972" s="47"/>
      <c r="Q972" s="31"/>
      <c r="R972" s="31"/>
      <c r="S972" s="32">
        <f t="shared" si="278"/>
        <v>0</v>
      </c>
      <c r="T972" s="10"/>
      <c r="U972" s="10"/>
      <c r="V972" s="10"/>
      <c r="W972" s="12">
        <f t="shared" si="279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0"/>
        <v>0</v>
      </c>
      <c r="AF972" s="10"/>
      <c r="AG972" s="10"/>
      <c r="AH972" s="10"/>
      <c r="AI972" s="12">
        <f t="shared" si="281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31"/>
      <c r="D973" s="32"/>
      <c r="E973" s="32"/>
      <c r="F973" s="32"/>
      <c r="G973" s="32">
        <f t="shared" si="276"/>
        <v>0</v>
      </c>
      <c r="H973" s="10"/>
      <c r="I973" s="10"/>
      <c r="J973" s="10"/>
      <c r="K973" s="12">
        <f t="shared" si="277"/>
        <v>0</v>
      </c>
      <c r="M973" s="10">
        <v>27</v>
      </c>
      <c r="N973" s="30"/>
      <c r="O973" s="31"/>
      <c r="P973" s="47"/>
      <c r="Q973" s="31"/>
      <c r="R973" s="31"/>
      <c r="S973" s="32">
        <f t="shared" si="278"/>
        <v>0</v>
      </c>
      <c r="T973" s="10"/>
      <c r="U973" s="10"/>
      <c r="V973" s="10"/>
      <c r="W973" s="12">
        <f t="shared" si="279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0"/>
        <v>0</v>
      </c>
      <c r="AF973" s="10"/>
      <c r="AG973" s="10"/>
      <c r="AH973" s="10"/>
      <c r="AI973" s="12">
        <f t="shared" si="281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6"/>
        <v>0</v>
      </c>
      <c r="H974" s="10"/>
      <c r="I974" s="10"/>
      <c r="J974" s="10"/>
      <c r="K974" s="12">
        <f t="shared" si="277"/>
        <v>0</v>
      </c>
      <c r="M974" s="10">
        <v>28</v>
      </c>
      <c r="N974" s="30"/>
      <c r="O974" s="31"/>
      <c r="P974" s="47"/>
      <c r="Q974" s="31"/>
      <c r="R974" s="31"/>
      <c r="S974" s="32">
        <f t="shared" si="278"/>
        <v>0</v>
      </c>
      <c r="T974" s="10"/>
      <c r="U974" s="10"/>
      <c r="V974" s="10"/>
      <c r="W974" s="12">
        <f t="shared" si="279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0"/>
        <v>0</v>
      </c>
      <c r="AF974" s="10"/>
      <c r="AG974" s="10"/>
      <c r="AH974" s="10"/>
      <c r="AI974" s="12">
        <f t="shared" si="281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6"/>
        <v>0</v>
      </c>
      <c r="H975" s="10"/>
      <c r="I975" s="10"/>
      <c r="J975" s="10"/>
      <c r="K975" s="12">
        <f t="shared" si="277"/>
        <v>0</v>
      </c>
      <c r="M975" s="10">
        <v>29</v>
      </c>
      <c r="N975" s="30"/>
      <c r="P975" s="47"/>
      <c r="Q975" s="31"/>
      <c r="R975" s="31"/>
      <c r="S975" s="32">
        <f t="shared" si="278"/>
        <v>0</v>
      </c>
      <c r="T975" s="10"/>
      <c r="U975" s="10"/>
      <c r="V975" s="10"/>
      <c r="W975" s="12">
        <f t="shared" si="279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0"/>
        <v>0</v>
      </c>
      <c r="AF975" s="10"/>
      <c r="AG975" s="10"/>
      <c r="AH975" s="10"/>
      <c r="AI975" s="12">
        <f t="shared" si="281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6"/>
        <v>0</v>
      </c>
      <c r="H976" s="10"/>
      <c r="I976" s="10"/>
      <c r="J976" s="10"/>
      <c r="K976" s="12">
        <f t="shared" si="277"/>
        <v>0</v>
      </c>
      <c r="M976" s="10">
        <v>30</v>
      </c>
      <c r="N976" s="30"/>
      <c r="O976" s="31"/>
      <c r="P976" s="47"/>
      <c r="Q976" s="31"/>
      <c r="R976" s="31"/>
      <c r="S976" s="32">
        <f t="shared" si="278"/>
        <v>0</v>
      </c>
      <c r="T976" s="10"/>
      <c r="U976" s="10"/>
      <c r="V976" s="10"/>
      <c r="W976" s="12">
        <f t="shared" si="279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0"/>
        <v>0</v>
      </c>
      <c r="AF976" s="10"/>
      <c r="AG976" s="10"/>
      <c r="AH976" s="10"/>
      <c r="AI976" s="12">
        <f t="shared" si="281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91"/>
      <c r="D977" s="32"/>
      <c r="E977" s="32"/>
      <c r="F977" s="32"/>
      <c r="G977" s="32">
        <f t="shared" si="276"/>
        <v>0</v>
      </c>
      <c r="H977" s="10"/>
      <c r="I977" s="10"/>
      <c r="J977" s="10"/>
      <c r="K977" s="12">
        <f t="shared" si="277"/>
        <v>0</v>
      </c>
      <c r="M977" s="10">
        <v>31</v>
      </c>
      <c r="N977" s="30"/>
      <c r="O977" s="31"/>
      <c r="P977" s="47"/>
      <c r="Q977" s="31"/>
      <c r="R977" s="31"/>
      <c r="S977" s="32">
        <f t="shared" si="278"/>
        <v>0</v>
      </c>
      <c r="T977" s="10"/>
      <c r="U977" s="10"/>
      <c r="V977" s="10"/>
      <c r="W977" s="12">
        <f t="shared" si="279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0"/>
        <v>0</v>
      </c>
      <c r="AF977" s="10"/>
      <c r="AG977" s="10"/>
      <c r="AH977" s="10"/>
      <c r="AI977" s="12">
        <f t="shared" si="281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57"/>
      <c r="D978" s="32"/>
      <c r="E978" s="32"/>
      <c r="F978" s="32"/>
      <c r="G978" s="32">
        <f t="shared" si="276"/>
        <v>0</v>
      </c>
      <c r="H978" s="10"/>
      <c r="I978" s="10"/>
      <c r="J978" s="10"/>
      <c r="K978" s="12">
        <f t="shared" si="277"/>
        <v>0</v>
      </c>
      <c r="M978" s="10">
        <v>32</v>
      </c>
      <c r="N978" s="30"/>
      <c r="O978" s="31"/>
      <c r="P978" s="47"/>
      <c r="Q978" s="31"/>
      <c r="R978" s="31"/>
      <c r="S978" s="32">
        <f t="shared" si="278"/>
        <v>0</v>
      </c>
      <c r="T978" s="10"/>
      <c r="U978" s="10"/>
      <c r="V978" s="10"/>
      <c r="W978" s="12">
        <f t="shared" si="279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0"/>
        <v>0</v>
      </c>
      <c r="AF978" s="10"/>
      <c r="AG978" s="10"/>
      <c r="AH978" s="10"/>
      <c r="AI978" s="12">
        <f t="shared" si="281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91"/>
      <c r="D979" s="32"/>
      <c r="E979" s="32"/>
      <c r="F979" s="32"/>
      <c r="G979" s="32">
        <f t="shared" si="276"/>
        <v>0</v>
      </c>
      <c r="H979" s="10"/>
      <c r="I979" s="10"/>
      <c r="J979" s="10"/>
      <c r="K979" s="12">
        <f t="shared" si="277"/>
        <v>0</v>
      </c>
      <c r="M979" s="10">
        <v>33</v>
      </c>
      <c r="N979" s="30"/>
      <c r="O979" s="31"/>
      <c r="P979" s="47"/>
      <c r="Q979" s="31"/>
      <c r="R979" s="31"/>
      <c r="S979" s="32">
        <f t="shared" si="278"/>
        <v>0</v>
      </c>
      <c r="T979" s="10"/>
      <c r="U979" s="10"/>
      <c r="V979" s="10"/>
      <c r="W979" s="12">
        <f t="shared" si="279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0"/>
        <v>0</v>
      </c>
      <c r="AF979" s="10"/>
      <c r="AG979" s="10"/>
      <c r="AH979" s="10"/>
      <c r="AI979" s="12">
        <f t="shared" si="281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91"/>
      <c r="D980" s="32"/>
      <c r="E980" s="32"/>
      <c r="F980" s="32"/>
      <c r="G980" s="32">
        <f t="shared" si="276"/>
        <v>0</v>
      </c>
      <c r="H980" s="10"/>
      <c r="I980" s="10"/>
      <c r="J980" s="10"/>
      <c r="K980" s="12">
        <f t="shared" si="277"/>
        <v>0</v>
      </c>
      <c r="M980" s="10">
        <v>34</v>
      </c>
      <c r="N980" s="30"/>
      <c r="O980" s="31"/>
      <c r="P980" s="47"/>
      <c r="Q980" s="31"/>
      <c r="R980" s="31"/>
      <c r="S980" s="32">
        <f t="shared" si="278"/>
        <v>0</v>
      </c>
      <c r="T980" s="10"/>
      <c r="U980" s="10"/>
      <c r="V980" s="10"/>
      <c r="W980" s="12">
        <f t="shared" si="279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85">SUM(AB980:AC980)</f>
        <v>0</v>
      </c>
      <c r="AF980" s="10"/>
      <c r="AG980" s="10"/>
      <c r="AH980" s="10"/>
      <c r="AI980" s="12">
        <f t="shared" si="281"/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9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8"/>
        <v>0</v>
      </c>
      <c r="T981" s="10"/>
      <c r="U981" s="10"/>
      <c r="V981" s="10"/>
      <c r="W981" s="12">
        <f t="shared" si="279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5"/>
        <v>0</v>
      </c>
      <c r="AF981" s="10"/>
      <c r="AG981" s="10"/>
      <c r="AH981" s="10"/>
      <c r="AI981" s="12">
        <f t="shared" si="281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9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8"/>
        <v>0</v>
      </c>
      <c r="T982" s="10"/>
      <c r="U982" s="10"/>
      <c r="V982" s="10"/>
      <c r="W982" s="12">
        <f t="shared" si="279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5"/>
        <v>0</v>
      </c>
      <c r="AF982" s="10"/>
      <c r="AG982" s="10"/>
      <c r="AH982" s="10"/>
      <c r="AI982" s="12">
        <f t="shared" si="281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8"/>
        <v>0</v>
      </c>
      <c r="T983" s="10"/>
      <c r="U983" s="10"/>
      <c r="V983" s="10"/>
      <c r="W983" s="12">
        <f t="shared" si="279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5"/>
        <v>0</v>
      </c>
      <c r="AF983" s="10"/>
      <c r="AG983" s="10"/>
      <c r="AH983" s="10"/>
      <c r="AI983" s="12">
        <f t="shared" si="281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8"/>
        <v>0</v>
      </c>
      <c r="T984" s="10"/>
      <c r="U984" s="10"/>
      <c r="V984" s="10"/>
      <c r="W984" s="12">
        <f t="shared" si="279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5"/>
        <v>0</v>
      </c>
      <c r="AF984" s="10"/>
      <c r="AG984" s="10"/>
      <c r="AH984" s="10"/>
      <c r="AI984" s="12">
        <f t="shared" si="281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8"/>
        <v>0</v>
      </c>
      <c r="T985" s="10"/>
      <c r="U985" s="10"/>
      <c r="V985" s="10"/>
      <c r="W985" s="12">
        <f t="shared" si="279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5"/>
        <v>0</v>
      </c>
      <c r="AF985" s="10"/>
      <c r="AG985" s="10"/>
      <c r="AH985" s="10"/>
      <c r="AI985" s="12">
        <f t="shared" si="281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9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1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6">SUM(D987:E987)</f>
        <v>0</v>
      </c>
      <c r="H987" s="10"/>
      <c r="I987" s="10"/>
      <c r="J987" s="10"/>
      <c r="K987" s="12">
        <f t="shared" ref="K987" si="287">SUM(G987:J987)</f>
        <v>0</v>
      </c>
      <c r="M987" s="10"/>
      <c r="N987" s="30"/>
      <c r="O987" s="31"/>
      <c r="P987" s="47"/>
      <c r="Q987" s="31"/>
      <c r="R987" s="31"/>
      <c r="S987" s="32">
        <f t="shared" ref="S987" si="288">SUM(P987:Q987)</f>
        <v>0</v>
      </c>
      <c r="T987" s="10"/>
      <c r="U987" s="10"/>
      <c r="V987" s="10"/>
      <c r="W987" s="12">
        <f t="shared" si="279"/>
        <v>0</v>
      </c>
      <c r="Y987" s="10"/>
      <c r="Z987" s="30"/>
      <c r="AA987" s="31"/>
      <c r="AB987" s="47"/>
      <c r="AC987" s="31"/>
      <c r="AD987" s="31"/>
      <c r="AE987" s="32">
        <f t="shared" ref="AE987" si="289">SUM(AB987:AC987)</f>
        <v>0</v>
      </c>
      <c r="AF987" s="10"/>
      <c r="AG987" s="10"/>
      <c r="AH987" s="10"/>
      <c r="AI987" s="12">
        <f t="shared" si="281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9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1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469225.5</v>
      </c>
      <c r="E990" s="38">
        <f t="shared" ref="E990:F990" si="290">SUM(E947:E987)</f>
        <v>-4182</v>
      </c>
      <c r="F990" s="38">
        <f t="shared" si="290"/>
        <v>0</v>
      </c>
      <c r="G990" s="38">
        <f>SUM(G947:G989)</f>
        <v>465043.5</v>
      </c>
      <c r="H990" s="4"/>
      <c r="I990" s="39">
        <f>SUM(I947:I989)</f>
        <v>1404</v>
      </c>
      <c r="J990" s="39">
        <f>SUM(J947:J989)</f>
        <v>-9867</v>
      </c>
      <c r="K990" s="40">
        <f>SUM(K947:K989)</f>
        <v>456580.5</v>
      </c>
      <c r="N990" s="57"/>
      <c r="O990" s="57"/>
      <c r="P990" s="38">
        <f>SUM(P947:P989)</f>
        <v>249319.5</v>
      </c>
      <c r="Q990" s="38">
        <f>SUM(Q947:Q971)</f>
        <v>-1944</v>
      </c>
      <c r="R990" s="38">
        <f>SUM(R947:R971)</f>
        <v>0</v>
      </c>
      <c r="S990" s="38">
        <f>SUM(S947:S989)</f>
        <v>247375.5</v>
      </c>
      <c r="T990" s="4"/>
      <c r="U990" s="41">
        <f>SUM(U947:U989)</f>
        <v>396</v>
      </c>
      <c r="V990" s="41">
        <f>SUM(V947:V971)</f>
        <v>-1225.5</v>
      </c>
      <c r="W990" s="42">
        <f>SUM(W947:W989)</f>
        <v>246546</v>
      </c>
      <c r="Z990" s="57"/>
      <c r="AA990" s="57"/>
      <c r="AB990" s="38">
        <f>SUM(AB947:AB989)</f>
        <v>441144</v>
      </c>
      <c r="AC990" s="38">
        <f>SUM(AC947:AC971)</f>
        <v>-4020</v>
      </c>
      <c r="AD990" s="38">
        <f>SUM(AD947:AD971)</f>
        <v>0</v>
      </c>
      <c r="AE990" s="38">
        <f>SUM(AE947:AE989)</f>
        <v>437124</v>
      </c>
      <c r="AF990" s="4"/>
      <c r="AG990" s="41">
        <f>SUM(AG947:AG989)</f>
        <v>0</v>
      </c>
      <c r="AH990" s="41">
        <f>SUM(AH947:AH971)</f>
        <v>-2220</v>
      </c>
      <c r="AI990" s="42">
        <f>SUM(AI947:AI989)</f>
        <v>434904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40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40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93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93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82</v>
      </c>
      <c r="W998" s="24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5" t="s">
        <v>17</v>
      </c>
      <c r="E1000" s="125"/>
      <c r="F1000" s="114"/>
      <c r="G1000" s="27"/>
      <c r="I1000" s="121" t="s">
        <v>18</v>
      </c>
      <c r="J1000" s="122"/>
      <c r="K1000" s="123" t="s">
        <v>19</v>
      </c>
      <c r="N1000" s="25"/>
      <c r="O1000" s="26"/>
      <c r="P1000" s="125" t="s">
        <v>17</v>
      </c>
      <c r="Q1000" s="125"/>
      <c r="R1000" s="114"/>
      <c r="S1000" s="27"/>
      <c r="U1000" s="121" t="s">
        <v>18</v>
      </c>
      <c r="V1000" s="122"/>
      <c r="W1000" s="123" t="s">
        <v>19</v>
      </c>
      <c r="Y1000" s="62"/>
      <c r="Z1000" s="65"/>
      <c r="AA1000" s="94"/>
      <c r="AB1000" s="120"/>
      <c r="AC1000" s="120"/>
      <c r="AD1000" s="94"/>
      <c r="AE1000" s="94"/>
      <c r="AF1000" s="62"/>
      <c r="AG1000" s="120"/>
      <c r="AH1000" s="120"/>
      <c r="AI1000" s="11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24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24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1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94</v>
      </c>
      <c r="C1002" s="91">
        <v>8595</v>
      </c>
      <c r="D1002" s="32">
        <f>650*36+670*2+622*5</f>
        <v>27850</v>
      </c>
      <c r="E1002" s="32"/>
      <c r="F1002" s="32"/>
      <c r="G1002" s="32">
        <f t="shared" ref="G1002:G1046" si="291">SUM(D1002:E1002)</f>
        <v>27850</v>
      </c>
      <c r="H1002" s="12"/>
      <c r="I1002" s="12"/>
      <c r="J1002" s="12"/>
      <c r="K1002" s="12">
        <f t="shared" ref="K1002:K1046" si="292">SUM(G1002:J1002)</f>
        <v>27850</v>
      </c>
      <c r="M1002" s="10">
        <v>1</v>
      </c>
      <c r="N1002" s="30" t="s">
        <v>94</v>
      </c>
      <c r="O1002" s="31">
        <v>8643</v>
      </c>
      <c r="P1002" s="32">
        <f>650*3+622+9.5*4</f>
        <v>2610</v>
      </c>
      <c r="Q1002" s="32"/>
      <c r="R1002" s="32"/>
      <c r="S1002" s="32">
        <f>SUM(P1002:Q1002)</f>
        <v>2610</v>
      </c>
      <c r="T1002" s="12"/>
      <c r="U1002" s="12"/>
      <c r="V1002" s="12"/>
      <c r="W1002" s="12">
        <f>SUM(S1002:V1002)</f>
        <v>2610</v>
      </c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94</v>
      </c>
      <c r="C1003" s="31">
        <f>C1002+1</f>
        <v>8596</v>
      </c>
      <c r="D1003" s="32">
        <f>650</f>
        <v>650</v>
      </c>
      <c r="E1003" s="32"/>
      <c r="F1003" s="32"/>
      <c r="G1003" s="32">
        <f t="shared" si="291"/>
        <v>650</v>
      </c>
      <c r="H1003" s="12"/>
      <c r="I1003" s="12"/>
      <c r="J1003" s="12"/>
      <c r="K1003" s="12">
        <f t="shared" si="292"/>
        <v>650</v>
      </c>
      <c r="M1003" s="10">
        <v>2</v>
      </c>
      <c r="N1003" s="30" t="s">
        <v>94</v>
      </c>
      <c r="O1003" s="31">
        <f>O1002+1</f>
        <v>8644</v>
      </c>
      <c r="P1003" s="32">
        <f>650*6+9.5*6</f>
        <v>3957</v>
      </c>
      <c r="Q1003" s="32"/>
      <c r="R1003" s="32"/>
      <c r="S1003" s="32">
        <f t="shared" ref="S1003:S1046" si="293">SUM(P1003:Q1003)</f>
        <v>3957</v>
      </c>
      <c r="T1003" s="12"/>
      <c r="U1003" s="12"/>
      <c r="V1003" s="12"/>
      <c r="W1003" s="12">
        <f t="shared" ref="W1003:W1046" si="294">SUM(S1003:V1003)</f>
        <v>3957</v>
      </c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94</v>
      </c>
      <c r="C1004" s="31">
        <f t="shared" ref="C1004:C1022" si="295">C1003+1</f>
        <v>8597</v>
      </c>
      <c r="D1004" s="33">
        <f>650*32+670*3+622*5</f>
        <v>25920</v>
      </c>
      <c r="E1004" s="33"/>
      <c r="F1004" s="33"/>
      <c r="G1004" s="33">
        <f t="shared" si="291"/>
        <v>25920</v>
      </c>
      <c r="H1004" s="34"/>
      <c r="I1004" s="34"/>
      <c r="J1004" s="34"/>
      <c r="K1004" s="34">
        <f t="shared" si="292"/>
        <v>25920</v>
      </c>
      <c r="M1004" s="10">
        <v>3</v>
      </c>
      <c r="N1004" s="30" t="s">
        <v>94</v>
      </c>
      <c r="O1004" s="31">
        <f t="shared" ref="O1004:O1030" si="296">O1003+1</f>
        <v>8645</v>
      </c>
      <c r="P1004" s="32">
        <f>650*47+622*15+229*2</f>
        <v>40338</v>
      </c>
      <c r="Q1004" s="32"/>
      <c r="R1004" s="32"/>
      <c r="S1004" s="32">
        <f t="shared" si="293"/>
        <v>40338</v>
      </c>
      <c r="T1004" s="12"/>
      <c r="U1004" s="12">
        <v>72</v>
      </c>
      <c r="V1004" s="12"/>
      <c r="W1004" s="12">
        <f t="shared" si="294"/>
        <v>40410</v>
      </c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94</v>
      </c>
      <c r="C1005" s="31">
        <f t="shared" si="295"/>
        <v>8598</v>
      </c>
      <c r="D1005" s="32">
        <f>650*4+622*2+6*9.5</f>
        <v>3901</v>
      </c>
      <c r="E1005" s="32"/>
      <c r="F1005" s="32"/>
      <c r="G1005" s="32">
        <f t="shared" si="291"/>
        <v>3901</v>
      </c>
      <c r="H1005" s="12"/>
      <c r="I1005" s="12"/>
      <c r="J1005" s="12"/>
      <c r="K1005" s="12">
        <f t="shared" si="292"/>
        <v>3901</v>
      </c>
      <c r="M1005" s="10">
        <v>4</v>
      </c>
      <c r="N1005" s="30" t="s">
        <v>94</v>
      </c>
      <c r="O1005" s="31">
        <f t="shared" si="296"/>
        <v>8646</v>
      </c>
      <c r="P1005" s="32">
        <f>650*6+670+57</f>
        <v>4627</v>
      </c>
      <c r="Q1005" s="32"/>
      <c r="R1005" s="32"/>
      <c r="S1005" s="32">
        <f t="shared" si="293"/>
        <v>4627</v>
      </c>
      <c r="T1005" s="12"/>
      <c r="U1005" s="12"/>
      <c r="V1005" s="12"/>
      <c r="W1005" s="12">
        <f t="shared" si="294"/>
        <v>4627</v>
      </c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94</v>
      </c>
      <c r="C1006" s="31">
        <f t="shared" si="295"/>
        <v>8599</v>
      </c>
      <c r="D1006" s="32">
        <f>650*2+622+9.5*3</f>
        <v>1950.5</v>
      </c>
      <c r="E1006" s="32"/>
      <c r="F1006" s="32"/>
      <c r="G1006" s="32">
        <f t="shared" si="291"/>
        <v>1950.5</v>
      </c>
      <c r="H1006" s="12"/>
      <c r="I1006" s="12"/>
      <c r="J1006" s="12"/>
      <c r="K1006" s="12">
        <f t="shared" si="292"/>
        <v>1950.5</v>
      </c>
      <c r="M1006" s="10">
        <v>5</v>
      </c>
      <c r="N1006" s="30" t="s">
        <v>94</v>
      </c>
      <c r="O1006" s="31">
        <f t="shared" si="296"/>
        <v>8647</v>
      </c>
      <c r="P1006" s="32">
        <f>650*3+9.5*3</f>
        <v>1978.5</v>
      </c>
      <c r="Q1006" s="32"/>
      <c r="R1006" s="32"/>
      <c r="S1006" s="32">
        <f t="shared" si="293"/>
        <v>1978.5</v>
      </c>
      <c r="T1006" s="12"/>
      <c r="U1006" s="12"/>
      <c r="V1006" s="12"/>
      <c r="W1006" s="12">
        <f t="shared" si="294"/>
        <v>1978.5</v>
      </c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94</v>
      </c>
      <c r="C1007" s="31">
        <f t="shared" si="295"/>
        <v>8600</v>
      </c>
      <c r="D1007" s="32">
        <f>650*8+670+9.5*8</f>
        <v>5946</v>
      </c>
      <c r="E1007" s="32"/>
      <c r="F1007" s="32"/>
      <c r="G1007" s="32">
        <f t="shared" si="291"/>
        <v>5946</v>
      </c>
      <c r="H1007" s="12"/>
      <c r="I1007" s="12"/>
      <c r="J1007" s="12"/>
      <c r="K1007" s="12">
        <f t="shared" si="292"/>
        <v>5946</v>
      </c>
      <c r="M1007" s="10">
        <v>6</v>
      </c>
      <c r="N1007" s="30" t="s">
        <v>94</v>
      </c>
      <c r="O1007" s="31">
        <f t="shared" si="296"/>
        <v>8648</v>
      </c>
      <c r="P1007" s="32">
        <f>650*10+622*2</f>
        <v>7744</v>
      </c>
      <c r="Q1007" s="32"/>
      <c r="R1007" s="32"/>
      <c r="S1007" s="32">
        <f t="shared" si="293"/>
        <v>7744</v>
      </c>
      <c r="T1007" s="12"/>
      <c r="U1007" s="12">
        <v>54</v>
      </c>
      <c r="V1007" s="10"/>
      <c r="W1007" s="12">
        <f t="shared" si="294"/>
        <v>7798</v>
      </c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94</v>
      </c>
      <c r="C1008" s="31">
        <v>8651</v>
      </c>
      <c r="D1008" s="32">
        <f>650+9.5</f>
        <v>659.5</v>
      </c>
      <c r="E1008" s="32"/>
      <c r="F1008" s="32"/>
      <c r="G1008" s="32">
        <f t="shared" si="291"/>
        <v>659.5</v>
      </c>
      <c r="H1008" s="12"/>
      <c r="I1008" s="12"/>
      <c r="J1008" s="12"/>
      <c r="K1008" s="12">
        <f t="shared" si="292"/>
        <v>659.5</v>
      </c>
      <c r="M1008" s="10">
        <v>7</v>
      </c>
      <c r="N1008" s="30" t="s">
        <v>94</v>
      </c>
      <c r="O1008" s="31">
        <f t="shared" si="296"/>
        <v>8649</v>
      </c>
      <c r="P1008" s="32">
        <f>650*6+622+9.5*7</f>
        <v>4588.5</v>
      </c>
      <c r="Q1008" s="32"/>
      <c r="R1008" s="32"/>
      <c r="S1008" s="32">
        <f t="shared" si="293"/>
        <v>4588.5</v>
      </c>
      <c r="T1008" s="12"/>
      <c r="U1008" s="12">
        <v>9</v>
      </c>
      <c r="V1008" s="12"/>
      <c r="W1008" s="12">
        <f t="shared" si="294"/>
        <v>4597.5</v>
      </c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 t="s">
        <v>94</v>
      </c>
      <c r="C1009" s="31">
        <f t="shared" si="295"/>
        <v>8652</v>
      </c>
      <c r="D1009" s="32">
        <f>650*4+622+9.5*5</f>
        <v>3269.5</v>
      </c>
      <c r="E1009" s="32"/>
      <c r="F1009" s="32"/>
      <c r="G1009" s="32">
        <f t="shared" si="291"/>
        <v>3269.5</v>
      </c>
      <c r="H1009" s="12"/>
      <c r="I1009" s="12"/>
      <c r="J1009" s="12"/>
      <c r="K1009" s="12">
        <f t="shared" si="292"/>
        <v>3269.5</v>
      </c>
      <c r="M1009" s="10">
        <v>8</v>
      </c>
      <c r="N1009" s="30" t="s">
        <v>94</v>
      </c>
      <c r="O1009" s="31">
        <f t="shared" si="296"/>
        <v>8650</v>
      </c>
      <c r="P1009" s="32">
        <f>650*5+9.5*5</f>
        <v>3297.5</v>
      </c>
      <c r="Q1009" s="32"/>
      <c r="R1009" s="32"/>
      <c r="S1009" s="32">
        <f t="shared" si="293"/>
        <v>3297.5</v>
      </c>
      <c r="T1009" s="12"/>
      <c r="U1009" s="12"/>
      <c r="V1009" s="12"/>
      <c r="W1009" s="12">
        <f t="shared" si="294"/>
        <v>3297.5</v>
      </c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 t="s">
        <v>94</v>
      </c>
      <c r="C1010" s="31">
        <f t="shared" si="295"/>
        <v>8653</v>
      </c>
      <c r="D1010" s="32">
        <f>650*6+622*2+9.5*8</f>
        <v>5220</v>
      </c>
      <c r="E1010" s="32"/>
      <c r="F1010" s="32"/>
      <c r="G1010" s="32">
        <f t="shared" si="291"/>
        <v>5220</v>
      </c>
      <c r="H1010" s="12"/>
      <c r="I1010" s="12"/>
      <c r="J1010" s="12"/>
      <c r="K1010" s="12">
        <f t="shared" si="292"/>
        <v>5220</v>
      </c>
      <c r="M1010" s="10">
        <v>9</v>
      </c>
      <c r="N1010" s="30" t="s">
        <v>94</v>
      </c>
      <c r="O1010" s="31">
        <v>8701</v>
      </c>
      <c r="P1010" s="32">
        <f>650*10+670+9.5*10</f>
        <v>7265</v>
      </c>
      <c r="Q1010" s="32"/>
      <c r="R1010" s="32"/>
      <c r="S1010" s="32">
        <f t="shared" si="293"/>
        <v>7265</v>
      </c>
      <c r="T1010" s="12"/>
      <c r="U1010" s="12"/>
      <c r="V1010" s="12"/>
      <c r="W1010" s="12">
        <f t="shared" si="294"/>
        <v>7265</v>
      </c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 t="s">
        <v>94</v>
      </c>
      <c r="C1011" s="31">
        <f t="shared" si="295"/>
        <v>8654</v>
      </c>
      <c r="D1011" s="32">
        <f>650*19+670*2+622*3</f>
        <v>15556</v>
      </c>
      <c r="E1011" s="32"/>
      <c r="F1011" s="32"/>
      <c r="G1011" s="32">
        <f t="shared" si="291"/>
        <v>15556</v>
      </c>
      <c r="H1011" s="12"/>
      <c r="I1011" s="12"/>
      <c r="J1011" s="12"/>
      <c r="K1011" s="12">
        <f t="shared" si="292"/>
        <v>15556</v>
      </c>
      <c r="M1011" s="10">
        <v>10</v>
      </c>
      <c r="N1011" s="30" t="s">
        <v>94</v>
      </c>
      <c r="O1011" s="31">
        <f t="shared" si="296"/>
        <v>8702</v>
      </c>
      <c r="P1011" s="32">
        <f>650*3+9.5*3</f>
        <v>1978.5</v>
      </c>
      <c r="Q1011" s="32"/>
      <c r="R1011" s="32"/>
      <c r="S1011" s="32">
        <f t="shared" si="293"/>
        <v>1978.5</v>
      </c>
      <c r="T1011" s="12"/>
      <c r="U1011" s="12"/>
      <c r="V1011" s="12"/>
      <c r="W1011" s="12">
        <f t="shared" si="294"/>
        <v>1978.5</v>
      </c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 t="s">
        <v>94</v>
      </c>
      <c r="C1012" s="31">
        <f t="shared" si="295"/>
        <v>8655</v>
      </c>
      <c r="D1012" s="32">
        <f>650*8+9.5*8</f>
        <v>5276</v>
      </c>
      <c r="E1012" s="32"/>
      <c r="F1012" s="32"/>
      <c r="G1012" s="32">
        <f t="shared" si="291"/>
        <v>5276</v>
      </c>
      <c r="H1012" s="12"/>
      <c r="I1012" s="12"/>
      <c r="J1012" s="12"/>
      <c r="K1012" s="12">
        <f t="shared" si="292"/>
        <v>5276</v>
      </c>
      <c r="M1012" s="10">
        <v>11</v>
      </c>
      <c r="N1012" s="30" t="s">
        <v>94</v>
      </c>
      <c r="O1012" s="31">
        <f t="shared" si="296"/>
        <v>8703</v>
      </c>
      <c r="P1012" s="32">
        <f>650*4</f>
        <v>2600</v>
      </c>
      <c r="Q1012" s="32"/>
      <c r="R1012" s="32"/>
      <c r="S1012" s="32">
        <f t="shared" si="293"/>
        <v>2600</v>
      </c>
      <c r="T1012" s="12"/>
      <c r="U1012" s="12"/>
      <c r="V1012" s="12"/>
      <c r="W1012" s="12">
        <f t="shared" si="294"/>
        <v>2600</v>
      </c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 t="s">
        <v>94</v>
      </c>
      <c r="C1013" s="31">
        <f t="shared" si="295"/>
        <v>8656</v>
      </c>
      <c r="D1013" s="32">
        <f>650*8+1175+9.5*8</f>
        <v>6451</v>
      </c>
      <c r="E1013" s="32"/>
      <c r="F1013" s="32"/>
      <c r="G1013" s="32">
        <f t="shared" si="291"/>
        <v>6451</v>
      </c>
      <c r="H1013" s="12"/>
      <c r="I1013" s="12">
        <f>49.5+4.5</f>
        <v>54</v>
      </c>
      <c r="J1013" s="10"/>
      <c r="K1013" s="12">
        <f t="shared" si="292"/>
        <v>6505</v>
      </c>
      <c r="M1013" s="10">
        <v>12</v>
      </c>
      <c r="N1013" s="30" t="s">
        <v>94</v>
      </c>
      <c r="O1013" s="31">
        <f t="shared" si="296"/>
        <v>8704</v>
      </c>
      <c r="P1013" s="32">
        <f>650*4+9.5*4</f>
        <v>2638</v>
      </c>
      <c r="Q1013" s="32"/>
      <c r="R1013" s="32"/>
      <c r="S1013" s="32">
        <f t="shared" si="293"/>
        <v>2638</v>
      </c>
      <c r="T1013" s="12"/>
      <c r="U1013" s="12"/>
      <c r="V1013" s="12"/>
      <c r="W1013" s="12">
        <f t="shared" si="294"/>
        <v>2638</v>
      </c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 t="s">
        <v>94</v>
      </c>
      <c r="C1014" s="31">
        <f t="shared" si="295"/>
        <v>8657</v>
      </c>
      <c r="D1014" s="32">
        <f>650*2+9.5*2</f>
        <v>1319</v>
      </c>
      <c r="E1014" s="32"/>
      <c r="F1014" s="32"/>
      <c r="G1014" s="32">
        <f t="shared" si="291"/>
        <v>1319</v>
      </c>
      <c r="H1014" s="12"/>
      <c r="I1014" s="12"/>
      <c r="J1014" s="12"/>
      <c r="K1014" s="12">
        <f t="shared" si="292"/>
        <v>1319</v>
      </c>
      <c r="M1014" s="10">
        <v>13</v>
      </c>
      <c r="N1014" s="30" t="s">
        <v>94</v>
      </c>
      <c r="O1014" s="31">
        <f t="shared" si="296"/>
        <v>8705</v>
      </c>
      <c r="P1014" s="32">
        <f>650+622+9.5*2</f>
        <v>1291</v>
      </c>
      <c r="Q1014" s="32"/>
      <c r="R1014" s="32"/>
      <c r="S1014" s="32">
        <f t="shared" si="293"/>
        <v>1291</v>
      </c>
      <c r="T1014" s="12"/>
      <c r="U1014" s="12"/>
      <c r="V1014" s="12"/>
      <c r="W1014" s="12">
        <f t="shared" si="294"/>
        <v>1291</v>
      </c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 t="s">
        <v>94</v>
      </c>
      <c r="C1015" s="31">
        <f t="shared" si="295"/>
        <v>8658</v>
      </c>
      <c r="D1015" s="32">
        <f>650+622+9.5*2</f>
        <v>1291</v>
      </c>
      <c r="E1015" s="32"/>
      <c r="F1015" s="32"/>
      <c r="G1015" s="32">
        <f t="shared" si="291"/>
        <v>1291</v>
      </c>
      <c r="H1015" s="12"/>
      <c r="I1015" s="12"/>
      <c r="J1015" s="12"/>
      <c r="K1015" s="12">
        <f t="shared" si="292"/>
        <v>1291</v>
      </c>
      <c r="M1015" s="10">
        <v>14</v>
      </c>
      <c r="N1015" s="30" t="s">
        <v>94</v>
      </c>
      <c r="O1015" s="31">
        <f t="shared" si="296"/>
        <v>8706</v>
      </c>
      <c r="P1015" s="32">
        <f>650*7+9.5*7</f>
        <v>4616.5</v>
      </c>
      <c r="Q1015" s="32"/>
      <c r="R1015" s="32"/>
      <c r="S1015" s="32">
        <f t="shared" si="293"/>
        <v>4616.5</v>
      </c>
      <c r="T1015" s="12"/>
      <c r="U1015" s="12"/>
      <c r="V1015" s="12"/>
      <c r="W1015" s="12">
        <f t="shared" si="294"/>
        <v>4616.5</v>
      </c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91"/>
        <v>0</v>
      </c>
      <c r="H1016" s="12"/>
      <c r="I1016" s="12"/>
      <c r="J1016" s="12"/>
      <c r="K1016" s="12">
        <f t="shared" si="292"/>
        <v>0</v>
      </c>
      <c r="M1016" s="10">
        <v>15</v>
      </c>
      <c r="N1016" s="30" t="s">
        <v>94</v>
      </c>
      <c r="O1016" s="31">
        <f t="shared" si="296"/>
        <v>8707</v>
      </c>
      <c r="P1016" s="32">
        <f>650*8+9.5*8</f>
        <v>5276</v>
      </c>
      <c r="Q1016" s="32"/>
      <c r="R1016" s="32"/>
      <c r="S1016" s="32">
        <f t="shared" si="293"/>
        <v>5276</v>
      </c>
      <c r="T1016" s="12"/>
      <c r="U1016" s="12"/>
      <c r="V1016" s="12"/>
      <c r="W1016" s="12">
        <f t="shared" si="294"/>
        <v>5276</v>
      </c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31"/>
      <c r="D1017" s="32"/>
      <c r="E1017" s="32"/>
      <c r="F1017" s="32"/>
      <c r="G1017" s="32">
        <f t="shared" si="291"/>
        <v>0</v>
      </c>
      <c r="H1017" s="12"/>
      <c r="I1017" s="12"/>
      <c r="J1017" s="12"/>
      <c r="K1017" s="12">
        <f t="shared" si="292"/>
        <v>0</v>
      </c>
      <c r="M1017" s="10">
        <v>16</v>
      </c>
      <c r="N1017" s="30" t="s">
        <v>94</v>
      </c>
      <c r="O1017" s="31">
        <f t="shared" si="296"/>
        <v>8708</v>
      </c>
      <c r="P1017" s="32">
        <f>650*5+9.5*5</f>
        <v>3297.5</v>
      </c>
      <c r="Q1017" s="32"/>
      <c r="R1017" s="32"/>
      <c r="S1017" s="32">
        <f t="shared" si="293"/>
        <v>3297.5</v>
      </c>
      <c r="T1017" s="12"/>
      <c r="U1017" s="12"/>
      <c r="V1017" s="12"/>
      <c r="W1017" s="12">
        <f t="shared" si="294"/>
        <v>3297.5</v>
      </c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31"/>
      <c r="D1018" s="32"/>
      <c r="E1018" s="32"/>
      <c r="F1018" s="32"/>
      <c r="G1018" s="32">
        <f t="shared" si="291"/>
        <v>0</v>
      </c>
      <c r="H1018" s="12"/>
      <c r="I1018" s="12"/>
      <c r="J1018" s="12"/>
      <c r="K1018" s="12">
        <f t="shared" si="292"/>
        <v>0</v>
      </c>
      <c r="M1018" s="10">
        <v>17</v>
      </c>
      <c r="N1018" s="30" t="s">
        <v>94</v>
      </c>
      <c r="O1018" s="31">
        <f t="shared" si="296"/>
        <v>8709</v>
      </c>
      <c r="P1018" s="35">
        <f>650*4+622+9.5*5</f>
        <v>3269.5</v>
      </c>
      <c r="Q1018" s="32"/>
      <c r="R1018" s="32"/>
      <c r="S1018" s="32">
        <f t="shared" si="293"/>
        <v>3269.5</v>
      </c>
      <c r="T1018" s="12"/>
      <c r="U1018" s="12"/>
      <c r="V1018" s="12"/>
      <c r="W1018" s="12">
        <f t="shared" si="294"/>
        <v>3269.5</v>
      </c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31"/>
      <c r="D1019" s="32"/>
      <c r="E1019" s="32"/>
      <c r="F1019" s="32"/>
      <c r="G1019" s="32">
        <f t="shared" si="291"/>
        <v>0</v>
      </c>
      <c r="H1019" s="12"/>
      <c r="I1019" s="12"/>
      <c r="J1019" s="12"/>
      <c r="K1019" s="12">
        <f t="shared" si="292"/>
        <v>0</v>
      </c>
      <c r="M1019" s="10">
        <v>18</v>
      </c>
      <c r="N1019" s="30" t="s">
        <v>94</v>
      </c>
      <c r="O1019" s="31">
        <f t="shared" si="296"/>
        <v>8710</v>
      </c>
      <c r="P1019" s="32">
        <f>650*6+9.5*6</f>
        <v>3957</v>
      </c>
      <c r="Q1019" s="32"/>
      <c r="R1019" s="32"/>
      <c r="S1019" s="32">
        <f t="shared" si="293"/>
        <v>3957</v>
      </c>
      <c r="T1019" s="12"/>
      <c r="U1019" s="12"/>
      <c r="V1019" s="12"/>
      <c r="W1019" s="12">
        <f t="shared" si="294"/>
        <v>3957</v>
      </c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31"/>
      <c r="D1020" s="32"/>
      <c r="E1020" s="32"/>
      <c r="F1020" s="32"/>
      <c r="G1020" s="32">
        <f t="shared" si="291"/>
        <v>0</v>
      </c>
      <c r="H1020" s="12"/>
      <c r="I1020" s="12"/>
      <c r="J1020" s="12"/>
      <c r="K1020" s="12">
        <f t="shared" si="292"/>
        <v>0</v>
      </c>
      <c r="M1020" s="10">
        <v>19</v>
      </c>
      <c r="N1020" s="30" t="s">
        <v>94</v>
      </c>
      <c r="O1020" s="31">
        <f t="shared" si="296"/>
        <v>8711</v>
      </c>
      <c r="P1020" s="32">
        <f>650*10+622*2</f>
        <v>7744</v>
      </c>
      <c r="Q1020" s="32"/>
      <c r="R1020" s="32"/>
      <c r="S1020" s="32">
        <f t="shared" si="293"/>
        <v>7744</v>
      </c>
      <c r="T1020" s="12"/>
      <c r="U1020" s="12"/>
      <c r="V1020" s="12"/>
      <c r="W1020" s="12">
        <f t="shared" si="294"/>
        <v>7744</v>
      </c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31"/>
      <c r="D1021" s="32"/>
      <c r="E1021" s="32"/>
      <c r="F1021" s="32"/>
      <c r="G1021" s="32">
        <f t="shared" si="291"/>
        <v>0</v>
      </c>
      <c r="H1021" s="12"/>
      <c r="I1021" s="12"/>
      <c r="J1021" s="12"/>
      <c r="K1021" s="12">
        <f t="shared" si="292"/>
        <v>0</v>
      </c>
      <c r="M1021" s="10">
        <v>20</v>
      </c>
      <c r="N1021" s="30" t="s">
        <v>94</v>
      </c>
      <c r="O1021" s="31">
        <f t="shared" si="296"/>
        <v>8712</v>
      </c>
      <c r="P1021" s="32">
        <f>650*9+670*2+622*3</f>
        <v>9056</v>
      </c>
      <c r="Q1021" s="32"/>
      <c r="R1021" s="32"/>
      <c r="S1021" s="32">
        <f t="shared" si="293"/>
        <v>9056</v>
      </c>
      <c r="T1021" s="12"/>
      <c r="U1021" s="12">
        <v>72</v>
      </c>
      <c r="V1021" s="12"/>
      <c r="W1021" s="12">
        <f t="shared" si="294"/>
        <v>9128</v>
      </c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31"/>
      <c r="D1022" s="32"/>
      <c r="E1022" s="32"/>
      <c r="F1022" s="32"/>
      <c r="G1022" s="32">
        <f t="shared" si="291"/>
        <v>0</v>
      </c>
      <c r="H1022" s="10"/>
      <c r="I1022" s="10"/>
      <c r="J1022" s="10"/>
      <c r="K1022" s="12">
        <f t="shared" si="292"/>
        <v>0</v>
      </c>
      <c r="M1022" s="10">
        <v>21</v>
      </c>
      <c r="N1022" s="30" t="s">
        <v>94</v>
      </c>
      <c r="O1022" s="31">
        <f t="shared" si="296"/>
        <v>8713</v>
      </c>
      <c r="P1022" s="46">
        <f>650*4+973+912+9.5*4</f>
        <v>4523</v>
      </c>
      <c r="Q1022" s="31"/>
      <c r="R1022" s="31"/>
      <c r="S1022" s="32">
        <f t="shared" si="293"/>
        <v>4523</v>
      </c>
      <c r="T1022" s="10"/>
      <c r="U1022" s="10">
        <v>19.5</v>
      </c>
      <c r="V1022" s="10"/>
      <c r="W1022" s="12">
        <f t="shared" si="294"/>
        <v>4542.5</v>
      </c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31"/>
      <c r="D1023" s="32"/>
      <c r="E1023" s="32"/>
      <c r="F1023" s="32"/>
      <c r="G1023" s="32">
        <f t="shared" si="291"/>
        <v>0</v>
      </c>
      <c r="H1023" s="10"/>
      <c r="I1023" s="10"/>
      <c r="J1023" s="10"/>
      <c r="K1023" s="12">
        <f t="shared" si="292"/>
        <v>0</v>
      </c>
      <c r="M1023" s="10">
        <v>22</v>
      </c>
      <c r="N1023" s="30" t="s">
        <v>94</v>
      </c>
      <c r="O1023" s="31">
        <f t="shared" si="296"/>
        <v>8714</v>
      </c>
      <c r="P1023" s="45">
        <f>650*5+9.5*5</f>
        <v>3297.5</v>
      </c>
      <c r="Q1023" s="31"/>
      <c r="R1023" s="31"/>
      <c r="S1023" s="32">
        <f t="shared" si="293"/>
        <v>3297.5</v>
      </c>
      <c r="T1023" s="10"/>
      <c r="U1023" s="10"/>
      <c r="V1023" s="10"/>
      <c r="W1023" s="12">
        <f t="shared" si="294"/>
        <v>3297.5</v>
      </c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57"/>
      <c r="D1024" s="32"/>
      <c r="E1024" s="32"/>
      <c r="F1024" s="32"/>
      <c r="G1024" s="32">
        <f t="shared" si="291"/>
        <v>0</v>
      </c>
      <c r="H1024" s="10"/>
      <c r="I1024" s="10"/>
      <c r="J1024" s="12"/>
      <c r="K1024" s="12">
        <f t="shared" si="292"/>
        <v>0</v>
      </c>
      <c r="M1024" s="10">
        <v>23</v>
      </c>
      <c r="N1024" s="30" t="s">
        <v>94</v>
      </c>
      <c r="O1024" s="31">
        <f t="shared" si="296"/>
        <v>8715</v>
      </c>
      <c r="P1024" s="47">
        <f>650*5+622+9.5*6</f>
        <v>3929</v>
      </c>
      <c r="Q1024" s="31"/>
      <c r="S1024" s="32">
        <f t="shared" si="293"/>
        <v>3929</v>
      </c>
      <c r="T1024" s="10"/>
      <c r="U1024" s="10"/>
      <c r="V1024" s="10"/>
      <c r="W1024" s="12">
        <f t="shared" si="294"/>
        <v>3929</v>
      </c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31"/>
      <c r="D1025" s="32"/>
      <c r="E1025" s="32"/>
      <c r="F1025" s="32"/>
      <c r="G1025" s="32">
        <f t="shared" si="291"/>
        <v>0</v>
      </c>
      <c r="H1025" s="10"/>
      <c r="I1025" s="10"/>
      <c r="J1025" s="10"/>
      <c r="K1025" s="12">
        <f t="shared" si="292"/>
        <v>0</v>
      </c>
      <c r="M1025" s="10">
        <v>24</v>
      </c>
      <c r="N1025" s="30" t="s">
        <v>94</v>
      </c>
      <c r="O1025" s="31">
        <f t="shared" si="296"/>
        <v>8716</v>
      </c>
      <c r="P1025" s="47">
        <f>650*5+670+700</f>
        <v>4620</v>
      </c>
      <c r="Q1025" s="31"/>
      <c r="R1025" s="31"/>
      <c r="S1025" s="32">
        <f t="shared" si="293"/>
        <v>4620</v>
      </c>
      <c r="T1025" s="10"/>
      <c r="U1025" s="10"/>
      <c r="V1025" s="10"/>
      <c r="W1025" s="12">
        <f t="shared" si="294"/>
        <v>4620</v>
      </c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31"/>
      <c r="D1026" s="32"/>
      <c r="E1026" s="32"/>
      <c r="F1026" s="32"/>
      <c r="G1026" s="32">
        <f t="shared" si="291"/>
        <v>0</v>
      </c>
      <c r="H1026" s="10"/>
      <c r="I1026" s="10"/>
      <c r="J1026" s="10"/>
      <c r="K1026" s="12">
        <f t="shared" si="292"/>
        <v>0</v>
      </c>
      <c r="M1026" s="10">
        <v>25</v>
      </c>
      <c r="N1026" s="30" t="s">
        <v>94</v>
      </c>
      <c r="O1026" s="31">
        <f t="shared" si="296"/>
        <v>8717</v>
      </c>
      <c r="P1026" s="47">
        <f>650*4+9.5*4</f>
        <v>2638</v>
      </c>
      <c r="Q1026" s="31"/>
      <c r="R1026" s="31"/>
      <c r="S1026" s="32">
        <f t="shared" si="293"/>
        <v>2638</v>
      </c>
      <c r="T1026" s="10"/>
      <c r="U1026" s="10"/>
      <c r="V1026" s="10"/>
      <c r="W1026" s="12">
        <f t="shared" si="294"/>
        <v>2638</v>
      </c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31"/>
      <c r="D1027" s="32"/>
      <c r="E1027" s="32"/>
      <c r="F1027" s="32"/>
      <c r="G1027" s="32">
        <f t="shared" si="291"/>
        <v>0</v>
      </c>
      <c r="H1027" s="10"/>
      <c r="I1027" s="10"/>
      <c r="J1027" s="10"/>
      <c r="K1027" s="12">
        <f t="shared" si="292"/>
        <v>0</v>
      </c>
      <c r="M1027" s="10">
        <v>26</v>
      </c>
      <c r="N1027" s="30" t="s">
        <v>94</v>
      </c>
      <c r="O1027" s="31">
        <f t="shared" si="296"/>
        <v>8718</v>
      </c>
      <c r="P1027" s="47">
        <f>650*4+9.5*4</f>
        <v>2638</v>
      </c>
      <c r="Q1027" s="31"/>
      <c r="R1027" s="31"/>
      <c r="S1027" s="32">
        <f t="shared" si="293"/>
        <v>2638</v>
      </c>
      <c r="T1027" s="10"/>
      <c r="U1027" s="10"/>
      <c r="V1027" s="10"/>
      <c r="W1027" s="12">
        <f t="shared" si="294"/>
        <v>2638</v>
      </c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31"/>
      <c r="D1028" s="32"/>
      <c r="E1028" s="32"/>
      <c r="F1028" s="32"/>
      <c r="G1028" s="32">
        <f t="shared" si="291"/>
        <v>0</v>
      </c>
      <c r="H1028" s="10"/>
      <c r="I1028" s="10"/>
      <c r="J1028" s="10"/>
      <c r="K1028" s="12">
        <f t="shared" si="292"/>
        <v>0</v>
      </c>
      <c r="M1028" s="10">
        <v>27</v>
      </c>
      <c r="N1028" s="30"/>
      <c r="O1028" s="11" t="s">
        <v>27</v>
      </c>
      <c r="P1028" s="47"/>
      <c r="Q1028" s="31"/>
      <c r="R1028" s="31"/>
      <c r="S1028" s="32">
        <f t="shared" si="293"/>
        <v>0</v>
      </c>
      <c r="T1028" s="10"/>
      <c r="U1028" s="10"/>
      <c r="V1028" s="10"/>
      <c r="W1028" s="12">
        <f t="shared" si="294"/>
        <v>0</v>
      </c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31"/>
      <c r="D1029" s="32"/>
      <c r="E1029" s="32"/>
      <c r="F1029" s="32"/>
      <c r="G1029" s="32">
        <f t="shared" si="291"/>
        <v>0</v>
      </c>
      <c r="H1029" s="10"/>
      <c r="I1029" s="10"/>
      <c r="J1029" s="10"/>
      <c r="K1029" s="12">
        <f t="shared" si="292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3"/>
        <v>0</v>
      </c>
      <c r="T1029" s="10"/>
      <c r="U1029" s="10"/>
      <c r="V1029" s="10"/>
      <c r="W1029" s="12">
        <f t="shared" si="294"/>
        <v>0</v>
      </c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31"/>
      <c r="D1030" s="32"/>
      <c r="E1030" s="32"/>
      <c r="F1030" s="32"/>
      <c r="G1030" s="32">
        <f t="shared" si="291"/>
        <v>0</v>
      </c>
      <c r="H1030" s="10"/>
      <c r="I1030" s="10"/>
      <c r="J1030" s="10"/>
      <c r="K1030" s="12">
        <f t="shared" si="292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93"/>
        <v>0</v>
      </c>
      <c r="T1030" s="10"/>
      <c r="U1030" s="10"/>
      <c r="V1030" s="10"/>
      <c r="W1030" s="12">
        <f t="shared" si="294"/>
        <v>0</v>
      </c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D1031" s="32"/>
      <c r="E1031" s="32"/>
      <c r="F1031" s="32"/>
      <c r="G1031" s="32">
        <f t="shared" si="291"/>
        <v>0</v>
      </c>
      <c r="H1031" s="10"/>
      <c r="I1031" s="10"/>
      <c r="J1031" s="10"/>
      <c r="K1031" s="12">
        <f t="shared" si="292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93"/>
        <v>0</v>
      </c>
      <c r="T1031" s="10"/>
      <c r="U1031" s="10"/>
      <c r="V1031" s="10"/>
      <c r="W1031" s="12">
        <f t="shared" si="294"/>
        <v>0</v>
      </c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91"/>
      <c r="D1032" s="32"/>
      <c r="E1032" s="32"/>
      <c r="F1032" s="32"/>
      <c r="G1032" s="32">
        <f t="shared" si="291"/>
        <v>0</v>
      </c>
      <c r="H1032" s="10"/>
      <c r="I1032" s="10"/>
      <c r="J1032" s="10"/>
      <c r="K1032" s="12">
        <f t="shared" si="292"/>
        <v>0</v>
      </c>
      <c r="M1032" s="10">
        <v>31</v>
      </c>
      <c r="N1032" s="30"/>
      <c r="P1032" s="47"/>
      <c r="Q1032" s="31"/>
      <c r="R1032" s="31"/>
      <c r="S1032" s="32">
        <f t="shared" si="293"/>
        <v>0</v>
      </c>
      <c r="T1032" s="10"/>
      <c r="U1032" s="10"/>
      <c r="V1032" s="10"/>
      <c r="W1032" s="12">
        <f t="shared" si="294"/>
        <v>0</v>
      </c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57"/>
      <c r="D1033" s="32"/>
      <c r="E1033" s="32"/>
      <c r="F1033" s="32"/>
      <c r="G1033" s="32">
        <f t="shared" si="291"/>
        <v>0</v>
      </c>
      <c r="H1033" s="10"/>
      <c r="I1033" s="10"/>
      <c r="J1033" s="10"/>
      <c r="K1033" s="12">
        <f t="shared" si="292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93"/>
        <v>0</v>
      </c>
      <c r="T1033" s="10"/>
      <c r="U1033" s="10"/>
      <c r="V1033" s="10"/>
      <c r="W1033" s="12">
        <f t="shared" si="294"/>
        <v>0</v>
      </c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91"/>
      <c r="D1034" s="32"/>
      <c r="E1034" s="32"/>
      <c r="F1034" s="32"/>
      <c r="G1034" s="32">
        <f t="shared" si="291"/>
        <v>0</v>
      </c>
      <c r="H1034" s="10"/>
      <c r="I1034" s="10"/>
      <c r="J1034" s="10"/>
      <c r="K1034" s="12">
        <f t="shared" si="292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3"/>
        <v>0</v>
      </c>
      <c r="T1034" s="10"/>
      <c r="U1034" s="10"/>
      <c r="V1034" s="10"/>
      <c r="W1034" s="12">
        <f t="shared" si="294"/>
        <v>0</v>
      </c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91"/>
      <c r="D1035" s="32"/>
      <c r="E1035" s="32"/>
      <c r="F1035" s="32"/>
      <c r="G1035" s="32">
        <f t="shared" si="291"/>
        <v>0</v>
      </c>
      <c r="H1035" s="10"/>
      <c r="I1035" s="10"/>
      <c r="J1035" s="10"/>
      <c r="K1035" s="12">
        <f t="shared" si="292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93"/>
        <v>0</v>
      </c>
      <c r="T1035" s="10"/>
      <c r="U1035" s="10"/>
      <c r="V1035" s="10"/>
      <c r="W1035" s="12">
        <f t="shared" si="294"/>
        <v>0</v>
      </c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9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93"/>
        <v>0</v>
      </c>
      <c r="T1036" s="10"/>
      <c r="U1036" s="10"/>
      <c r="V1036" s="10"/>
      <c r="W1036" s="12">
        <f t="shared" si="294"/>
        <v>0</v>
      </c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9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93"/>
        <v>0</v>
      </c>
      <c r="T1037" s="10"/>
      <c r="U1037" s="10"/>
      <c r="V1037" s="10"/>
      <c r="W1037" s="12">
        <f t="shared" si="294"/>
        <v>0</v>
      </c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93"/>
        <v>0</v>
      </c>
      <c r="T1038" s="10"/>
      <c r="U1038" s="10"/>
      <c r="V1038" s="10"/>
      <c r="W1038" s="12">
        <f t="shared" si="294"/>
        <v>0</v>
      </c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93"/>
        <v>0</v>
      </c>
      <c r="T1039" s="10"/>
      <c r="U1039" s="10"/>
      <c r="V1039" s="10"/>
      <c r="W1039" s="12">
        <f t="shared" si="294"/>
        <v>0</v>
      </c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93"/>
        <v>0</v>
      </c>
      <c r="T1040" s="10"/>
      <c r="U1040" s="10"/>
      <c r="V1040" s="10"/>
      <c r="W1040" s="12">
        <f t="shared" si="294"/>
        <v>0</v>
      </c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4"/>
        <v>0</v>
      </c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97">SUM(D1042:E1042)</f>
        <v>0</v>
      </c>
      <c r="H1042" s="10"/>
      <c r="I1042" s="10"/>
      <c r="J1042" s="10"/>
      <c r="K1042" s="12">
        <f t="shared" ref="K1042" si="298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99">SUM(P1042:Q1042)</f>
        <v>0</v>
      </c>
      <c r="T1042" s="10"/>
      <c r="U1042" s="10"/>
      <c r="V1042" s="10"/>
      <c r="W1042" s="12">
        <f t="shared" si="294"/>
        <v>0</v>
      </c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4"/>
        <v>0</v>
      </c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105259.5</v>
      </c>
      <c r="E1045" s="38">
        <f t="shared" ref="E1045:G1045" si="300">SUM(E1002:E1042)</f>
        <v>0</v>
      </c>
      <c r="F1045" s="38">
        <f t="shared" si="300"/>
        <v>0</v>
      </c>
      <c r="G1045" s="38">
        <f>SUM(G1002:G1044)</f>
        <v>105259.5</v>
      </c>
      <c r="H1045" s="4"/>
      <c r="I1045" s="39">
        <f>SUM(I1002:I1044)</f>
        <v>54</v>
      </c>
      <c r="J1045" s="39">
        <f>SUM(J1002:J1044)</f>
        <v>0</v>
      </c>
      <c r="K1045" s="40">
        <f>SUM(K1002:K1044)</f>
        <v>105313.5</v>
      </c>
      <c r="N1045" s="57"/>
      <c r="O1045" s="57"/>
      <c r="P1045" s="38">
        <f>SUM(P1002:P1044)</f>
        <v>143775</v>
      </c>
      <c r="Q1045" s="38">
        <f>SUM(Q1002:Q1026)</f>
        <v>0</v>
      </c>
      <c r="R1045" s="38">
        <f>SUM(R1002:R1026)</f>
        <v>0</v>
      </c>
      <c r="S1045" s="38">
        <f>SUM(S1002:S1044)</f>
        <v>143775</v>
      </c>
      <c r="T1045" s="4"/>
      <c r="U1045" s="41">
        <f>SUM(U1002:U1044)</f>
        <v>226.5</v>
      </c>
      <c r="V1045" s="41">
        <f>SUM(V1002:V1026)</f>
        <v>0</v>
      </c>
      <c r="W1045" s="42">
        <f>SUM(W1002:W1044)</f>
        <v>144001.5</v>
      </c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20"/>
      <c r="E1055" s="120"/>
      <c r="F1055" s="94"/>
      <c r="G1055" s="94"/>
      <c r="H1055" s="62"/>
      <c r="I1055" s="120"/>
      <c r="J1055" s="120"/>
      <c r="K1055" s="119"/>
      <c r="L1055" s="62"/>
      <c r="M1055" s="62"/>
      <c r="N1055" s="65"/>
      <c r="O1055" s="94"/>
      <c r="P1055" s="120"/>
      <c r="Q1055" s="120"/>
      <c r="R1055" s="94"/>
      <c r="S1055" s="94"/>
      <c r="T1055" s="62"/>
      <c r="U1055" s="120"/>
      <c r="V1055" s="120"/>
      <c r="W1055" s="119"/>
      <c r="X1055" s="62"/>
      <c r="Y1055" s="62"/>
      <c r="Z1055" s="65"/>
      <c r="AA1055" s="94"/>
      <c r="AB1055" s="120"/>
      <c r="AC1055" s="120"/>
      <c r="AD1055" s="94"/>
      <c r="AE1055" s="94"/>
      <c r="AF1055" s="62"/>
      <c r="AG1055" s="120"/>
      <c r="AH1055" s="120"/>
      <c r="AI1055" s="11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19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19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1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20"/>
      <c r="E1110" s="120"/>
      <c r="F1110" s="94"/>
      <c r="G1110" s="94"/>
      <c r="H1110" s="62"/>
      <c r="I1110" s="120"/>
      <c r="J1110" s="120"/>
      <c r="K1110" s="119"/>
      <c r="L1110" s="62"/>
      <c r="M1110" s="62"/>
      <c r="N1110" s="65"/>
      <c r="O1110" s="94"/>
      <c r="P1110" s="120"/>
      <c r="Q1110" s="120"/>
      <c r="R1110" s="94"/>
      <c r="S1110" s="94"/>
      <c r="T1110" s="62"/>
      <c r="U1110" s="120"/>
      <c r="V1110" s="120"/>
      <c r="W1110" s="119"/>
      <c r="X1110" s="62"/>
      <c r="Y1110" s="62"/>
      <c r="Z1110" s="65"/>
      <c r="AA1110" s="94"/>
      <c r="AB1110" s="120"/>
      <c r="AC1110" s="120"/>
      <c r="AD1110" s="94"/>
      <c r="AE1110" s="94"/>
      <c r="AF1110" s="62"/>
      <c r="AG1110" s="120"/>
      <c r="AH1110" s="120"/>
      <c r="AI1110" s="11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19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19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1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20"/>
      <c r="E1165" s="120"/>
      <c r="F1165" s="89"/>
      <c r="G1165" s="89"/>
      <c r="H1165" s="62"/>
      <c r="I1165" s="120"/>
      <c r="J1165" s="120"/>
      <c r="K1165" s="119"/>
      <c r="L1165" s="62"/>
      <c r="M1165" s="62"/>
      <c r="N1165" s="65"/>
      <c r="O1165" s="89"/>
      <c r="P1165" s="120"/>
      <c r="Q1165" s="120"/>
      <c r="R1165" s="89"/>
      <c r="S1165" s="89"/>
      <c r="T1165" s="62"/>
      <c r="U1165" s="120"/>
      <c r="V1165" s="120"/>
      <c r="W1165" s="119"/>
      <c r="X1165" s="62"/>
      <c r="Y1165" s="62"/>
      <c r="Z1165" s="65"/>
      <c r="AA1165" s="89"/>
      <c r="AB1165" s="120"/>
      <c r="AC1165" s="120"/>
      <c r="AD1165" s="89"/>
      <c r="AE1165" s="89"/>
      <c r="AF1165" s="62"/>
      <c r="AG1165" s="120"/>
      <c r="AH1165" s="120"/>
      <c r="AI1165" s="11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9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9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20"/>
      <c r="E1221" s="120"/>
      <c r="F1221" s="87"/>
      <c r="G1221" s="87"/>
      <c r="H1221" s="62"/>
      <c r="I1221" s="120"/>
      <c r="J1221" s="120"/>
      <c r="K1221" s="119"/>
      <c r="L1221" s="62"/>
      <c r="M1221" s="62"/>
      <c r="N1221" s="65"/>
      <c r="O1221" s="87"/>
      <c r="P1221" s="120"/>
      <c r="Q1221" s="120"/>
      <c r="R1221" s="87"/>
      <c r="S1221" s="87"/>
      <c r="T1221" s="62"/>
      <c r="U1221" s="120"/>
      <c r="V1221" s="120"/>
      <c r="W1221" s="119"/>
      <c r="X1221" s="62"/>
      <c r="Y1221" s="62"/>
      <c r="Z1221" s="65"/>
      <c r="AA1221" s="87"/>
      <c r="AB1221" s="120"/>
      <c r="AC1221" s="120"/>
      <c r="AD1221" s="87"/>
      <c r="AE1221" s="87"/>
      <c r="AF1221" s="62"/>
      <c r="AG1221" s="120"/>
      <c r="AH1221" s="120"/>
      <c r="AI1221" s="11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9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9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0"/>
      <c r="E1283" s="120"/>
      <c r="F1283" s="84"/>
      <c r="G1283" s="84"/>
      <c r="H1283" s="62"/>
      <c r="I1283" s="120"/>
      <c r="J1283" s="120"/>
      <c r="K1283" s="119"/>
      <c r="L1283" s="62"/>
      <c r="M1283" s="62"/>
      <c r="N1283" s="65"/>
      <c r="O1283" s="84"/>
      <c r="P1283" s="120"/>
      <c r="Q1283" s="120"/>
      <c r="R1283" s="84"/>
      <c r="S1283" s="84"/>
      <c r="T1283" s="62"/>
      <c r="U1283" s="120"/>
      <c r="V1283" s="120"/>
      <c r="W1283" s="119"/>
      <c r="X1283" s="62"/>
      <c r="Y1283" s="62"/>
      <c r="Z1283" s="65"/>
      <c r="AA1283" s="84"/>
      <c r="AB1283" s="120"/>
      <c r="AC1283" s="120"/>
      <c r="AD1283" s="84"/>
      <c r="AE1283" s="84"/>
      <c r="AF1283" s="62"/>
      <c r="AG1283" s="120"/>
      <c r="AH1283" s="120"/>
      <c r="AI1283" s="11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9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9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2026-01-24T00:49:19Z</dcterms:modified>
</cp:coreProperties>
</file>