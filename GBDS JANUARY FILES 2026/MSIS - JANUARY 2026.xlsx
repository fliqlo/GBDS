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6690310A-0250-4144-B9A1-A2A14F672158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841" i="2" l="1"/>
  <c r="AE841" i="2" s="1"/>
  <c r="AI841" i="2" s="1"/>
  <c r="AG840" i="2"/>
  <c r="AB840" i="2"/>
  <c r="AE840" i="2" s="1"/>
  <c r="AI840" i="2" s="1"/>
  <c r="AB839" i="2"/>
  <c r="AE839" i="2" s="1"/>
  <c r="AB838" i="2"/>
  <c r="AB837" i="2"/>
  <c r="AE837" i="2"/>
  <c r="AA838" i="2"/>
  <c r="AE838" i="2"/>
  <c r="AI838" i="2" s="1"/>
  <c r="AA839" i="2"/>
  <c r="AA840" i="2" s="1"/>
  <c r="AA841" i="2" s="1"/>
  <c r="AH880" i="2"/>
  <c r="AE842" i="2"/>
  <c r="AI842" i="2" s="1"/>
  <c r="AE843" i="2"/>
  <c r="AI843" i="2" s="1"/>
  <c r="AE844" i="2"/>
  <c r="AI844" i="2"/>
  <c r="AE845" i="2"/>
  <c r="AI845" i="2"/>
  <c r="AE846" i="2"/>
  <c r="AI846" i="2"/>
  <c r="AE847" i="2"/>
  <c r="AI847" i="2" s="1"/>
  <c r="AE848" i="2"/>
  <c r="AI848" i="2" s="1"/>
  <c r="AE849" i="2"/>
  <c r="AI849" i="2"/>
  <c r="AE850" i="2"/>
  <c r="AI850" i="2" s="1"/>
  <c r="AE851" i="2"/>
  <c r="AI851" i="2" s="1"/>
  <c r="AE852" i="2"/>
  <c r="AI852" i="2"/>
  <c r="AE853" i="2"/>
  <c r="AI853" i="2"/>
  <c r="AE854" i="2"/>
  <c r="AI854" i="2"/>
  <c r="AE855" i="2"/>
  <c r="AI855" i="2" s="1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 s="1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 s="1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C880" i="2"/>
  <c r="AD880" i="2"/>
  <c r="AG880" i="2"/>
  <c r="U841" i="2"/>
  <c r="U880" i="2" s="1"/>
  <c r="P841" i="2"/>
  <c r="S841" i="2" s="1"/>
  <c r="W841" i="2" s="1"/>
  <c r="P840" i="2"/>
  <c r="S840" i="2" s="1"/>
  <c r="W840" i="2" s="1"/>
  <c r="P839" i="2"/>
  <c r="P838" i="2"/>
  <c r="U837" i="2"/>
  <c r="P837" i="2"/>
  <c r="S837" i="2"/>
  <c r="W837" i="2" s="1"/>
  <c r="O838" i="2"/>
  <c r="O839" i="2" s="1"/>
  <c r="O840" i="2" s="1"/>
  <c r="O841" i="2" s="1"/>
  <c r="S838" i="2"/>
  <c r="S839" i="2"/>
  <c r="W839" i="2" s="1"/>
  <c r="S842" i="2"/>
  <c r="W842" i="2" s="1"/>
  <c r="S843" i="2"/>
  <c r="W843" i="2"/>
  <c r="S844" i="2"/>
  <c r="W844" i="2"/>
  <c r="S845" i="2"/>
  <c r="W845" i="2"/>
  <c r="S846" i="2"/>
  <c r="W846" i="2"/>
  <c r="S847" i="2"/>
  <c r="W847" i="2" s="1"/>
  <c r="S848" i="2"/>
  <c r="W848" i="2"/>
  <c r="S849" i="2"/>
  <c r="W849" i="2"/>
  <c r="S850" i="2"/>
  <c r="W850" i="2"/>
  <c r="S851" i="2"/>
  <c r="W851" i="2"/>
  <c r="S852" i="2"/>
  <c r="W852" i="2"/>
  <c r="S853" i="2"/>
  <c r="W853" i="2"/>
  <c r="S854" i="2"/>
  <c r="W854" i="2" s="1"/>
  <c r="S855" i="2"/>
  <c r="W855" i="2" s="1"/>
  <c r="S856" i="2"/>
  <c r="W856" i="2"/>
  <c r="S857" i="2"/>
  <c r="W857" i="2"/>
  <c r="S858" i="2"/>
  <c r="W858" i="2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/>
  <c r="W878" i="2"/>
  <c r="Q880" i="2"/>
  <c r="R880" i="2"/>
  <c r="V880" i="2"/>
  <c r="I839" i="2"/>
  <c r="J839" i="2"/>
  <c r="J880" i="2" s="1"/>
  <c r="D839" i="2"/>
  <c r="D880" i="2" s="1"/>
  <c r="J838" i="2"/>
  <c r="I838" i="2"/>
  <c r="D838" i="2"/>
  <c r="D837" i="2"/>
  <c r="G837" i="2"/>
  <c r="C838" i="2"/>
  <c r="C839" i="2" s="1"/>
  <c r="G838" i="2"/>
  <c r="G839" i="2"/>
  <c r="G840" i="2"/>
  <c r="K840" i="2" s="1"/>
  <c r="G841" i="2"/>
  <c r="K841" i="2" s="1"/>
  <c r="G842" i="2"/>
  <c r="K842" i="2" s="1"/>
  <c r="G843" i="2"/>
  <c r="K843" i="2" s="1"/>
  <c r="G844" i="2"/>
  <c r="K844" i="2" s="1"/>
  <c r="G845" i="2"/>
  <c r="K845" i="2" s="1"/>
  <c r="G846" i="2"/>
  <c r="K846" i="2" s="1"/>
  <c r="G847" i="2"/>
  <c r="K847" i="2" s="1"/>
  <c r="G848" i="2"/>
  <c r="K848" i="2" s="1"/>
  <c r="G849" i="2"/>
  <c r="K849" i="2" s="1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 s="1"/>
  <c r="G857" i="2"/>
  <c r="K857" i="2" s="1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 s="1"/>
  <c r="G865" i="2"/>
  <c r="K865" i="2" s="1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AB880" i="2" l="1"/>
  <c r="AE880" i="2"/>
  <c r="AI837" i="2"/>
  <c r="AI839" i="2"/>
  <c r="P880" i="2"/>
  <c r="S880" i="2"/>
  <c r="W838" i="2"/>
  <c r="W880" i="2" s="1"/>
  <c r="K839" i="2"/>
  <c r="I880" i="2"/>
  <c r="K838" i="2"/>
  <c r="K837" i="2"/>
  <c r="G880" i="2"/>
  <c r="AB786" i="2"/>
  <c r="AE786" i="2" s="1"/>
  <c r="AH786" i="2"/>
  <c r="AB785" i="2"/>
  <c r="AH784" i="2"/>
  <c r="AH825" i="2" s="1"/>
  <c r="AB784" i="2"/>
  <c r="AB783" i="2"/>
  <c r="AB782" i="2"/>
  <c r="AE782" i="2" s="1"/>
  <c r="AI782" i="2" s="1"/>
  <c r="AA783" i="2"/>
  <c r="AA784" i="2" s="1"/>
  <c r="AA785" i="2" s="1"/>
  <c r="AA786" i="2" s="1"/>
  <c r="AE783" i="2"/>
  <c r="AE784" i="2"/>
  <c r="AE785" i="2"/>
  <c r="AI785" i="2" s="1"/>
  <c r="AE787" i="2"/>
  <c r="AI787" i="2"/>
  <c r="AE788" i="2"/>
  <c r="AI788" i="2" s="1"/>
  <c r="AE789" i="2"/>
  <c r="AI789" i="2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/>
  <c r="AE796" i="2"/>
  <c r="AI796" i="2" s="1"/>
  <c r="AE797" i="2"/>
  <c r="AI797" i="2"/>
  <c r="AE798" i="2"/>
  <c r="AI798" i="2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AG825" i="2"/>
  <c r="P787" i="2"/>
  <c r="S787" i="2" s="1"/>
  <c r="W787" i="2" s="1"/>
  <c r="P786" i="2"/>
  <c r="S786" i="2" s="1"/>
  <c r="W786" i="2" s="1"/>
  <c r="P785" i="2"/>
  <c r="U784" i="2"/>
  <c r="P784" i="2"/>
  <c r="S784" i="2" s="1"/>
  <c r="W784" i="2" s="1"/>
  <c r="P783" i="2"/>
  <c r="P782" i="2"/>
  <c r="S782" i="2"/>
  <c r="O783" i="2"/>
  <c r="O784" i="2" s="1"/>
  <c r="O785" i="2" s="1"/>
  <c r="O786" i="2" s="1"/>
  <c r="O787" i="2" s="1"/>
  <c r="S783" i="2"/>
  <c r="W783" i="2" s="1"/>
  <c r="S785" i="2"/>
  <c r="W785" i="2" s="1"/>
  <c r="S788" i="2"/>
  <c r="W788" i="2" s="1"/>
  <c r="S789" i="2"/>
  <c r="W789" i="2"/>
  <c r="S790" i="2"/>
  <c r="W790" i="2" s="1"/>
  <c r="S791" i="2"/>
  <c r="W791" i="2"/>
  <c r="S792" i="2"/>
  <c r="W792" i="2"/>
  <c r="S793" i="2"/>
  <c r="W793" i="2"/>
  <c r="S794" i="2"/>
  <c r="W794" i="2" s="1"/>
  <c r="S795" i="2"/>
  <c r="W795" i="2"/>
  <c r="S796" i="2"/>
  <c r="W796" i="2"/>
  <c r="S797" i="2"/>
  <c r="W797" i="2"/>
  <c r="S798" i="2"/>
  <c r="W798" i="2" s="1"/>
  <c r="S799" i="2"/>
  <c r="W799" i="2"/>
  <c r="S800" i="2"/>
  <c r="W800" i="2"/>
  <c r="S801" i="2"/>
  <c r="W801" i="2"/>
  <c r="S802" i="2"/>
  <c r="W802" i="2" s="1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/>
  <c r="S810" i="2"/>
  <c r="W810" i="2" s="1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Q825" i="2"/>
  <c r="R825" i="2"/>
  <c r="U825" i="2"/>
  <c r="V825" i="2"/>
  <c r="D792" i="2"/>
  <c r="G792" i="2" s="1"/>
  <c r="K792" i="2" s="1"/>
  <c r="I791" i="2"/>
  <c r="D791" i="2"/>
  <c r="G791" i="2" s="1"/>
  <c r="K791" i="2" s="1"/>
  <c r="D790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J783" i="2"/>
  <c r="J825" i="2"/>
  <c r="I783" i="2"/>
  <c r="D783" i="2"/>
  <c r="G783" i="2" s="1"/>
  <c r="D782" i="2"/>
  <c r="G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G785" i="2"/>
  <c r="K785" i="2" s="1"/>
  <c r="G788" i="2"/>
  <c r="K788" i="2" s="1"/>
  <c r="G789" i="2"/>
  <c r="K789" i="2" s="1"/>
  <c r="G790" i="2"/>
  <c r="K790" i="2" s="1"/>
  <c r="G793" i="2"/>
  <c r="K793" i="2" s="1"/>
  <c r="G794" i="2"/>
  <c r="K794" i="2" s="1"/>
  <c r="G795" i="2"/>
  <c r="K795" i="2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/>
  <c r="E825" i="2"/>
  <c r="F825" i="2"/>
  <c r="AI880" i="2" l="1"/>
  <c r="K880" i="2"/>
  <c r="AI786" i="2"/>
  <c r="AI784" i="2"/>
  <c r="AE825" i="2"/>
  <c r="AI783" i="2"/>
  <c r="AB825" i="2"/>
  <c r="W782" i="2"/>
  <c r="W825" i="2" s="1"/>
  <c r="S825" i="2"/>
  <c r="P825" i="2"/>
  <c r="K786" i="2"/>
  <c r="K783" i="2"/>
  <c r="K782" i="2"/>
  <c r="G825" i="2"/>
  <c r="D825" i="2"/>
  <c r="AB731" i="2"/>
  <c r="AE731" i="2" s="1"/>
  <c r="AB730" i="2"/>
  <c r="AE730" i="2" s="1"/>
  <c r="AI730" i="2" s="1"/>
  <c r="AB729" i="2"/>
  <c r="AE729" i="2" s="1"/>
  <c r="AI729" i="2" s="1"/>
  <c r="AH728" i="2"/>
  <c r="AH770" i="2" s="1"/>
  <c r="AB728" i="2"/>
  <c r="AC728" i="2"/>
  <c r="AE728" i="2"/>
  <c r="AC727" i="2"/>
  <c r="AB727" i="2"/>
  <c r="AA731" i="2"/>
  <c r="AE727" i="2"/>
  <c r="AI727" i="2" s="1"/>
  <c r="AA728" i="2"/>
  <c r="AA729" i="2"/>
  <c r="AA730" i="2" s="1"/>
  <c r="AE732" i="2"/>
  <c r="AI732" i="2" s="1"/>
  <c r="AE733" i="2"/>
  <c r="AI733" i="2"/>
  <c r="AE734" i="2"/>
  <c r="AI734" i="2"/>
  <c r="AE735" i="2"/>
  <c r="AI735" i="2"/>
  <c r="AE736" i="2"/>
  <c r="AI736" i="2" s="1"/>
  <c r="AE737" i="2"/>
  <c r="AI737" i="2" s="1"/>
  <c r="AE738" i="2"/>
  <c r="AI738" i="2"/>
  <c r="AE739" i="2"/>
  <c r="AI739" i="2" s="1"/>
  <c r="AE740" i="2"/>
  <c r="AI740" i="2" s="1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/>
  <c r="AE747" i="2"/>
  <c r="AI747" i="2" s="1"/>
  <c r="AE748" i="2"/>
  <c r="AI748" i="2" s="1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/>
  <c r="AE755" i="2"/>
  <c r="AI755" i="2" s="1"/>
  <c r="AE756" i="2"/>
  <c r="AI756" i="2" s="1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/>
  <c r="AE763" i="2"/>
  <c r="AI763" i="2" s="1"/>
  <c r="AE764" i="2"/>
  <c r="AI764" i="2" s="1"/>
  <c r="AE765" i="2"/>
  <c r="AI765" i="2"/>
  <c r="AI766" i="2"/>
  <c r="AE767" i="2"/>
  <c r="AI767" i="2" s="1"/>
  <c r="AI768" i="2"/>
  <c r="AC770" i="2"/>
  <c r="AD770" i="2"/>
  <c r="AG770" i="2"/>
  <c r="P738" i="2"/>
  <c r="S738" i="2"/>
  <c r="W738" i="2" s="1"/>
  <c r="P737" i="2"/>
  <c r="P736" i="2"/>
  <c r="S736" i="2" s="1"/>
  <c r="W736" i="2" s="1"/>
  <c r="P735" i="2"/>
  <c r="S735" i="2" s="1"/>
  <c r="W735" i="2" s="1"/>
  <c r="P734" i="2"/>
  <c r="S734" i="2" s="1"/>
  <c r="W734" i="2" s="1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S729" i="2" s="1"/>
  <c r="W729" i="2" s="1"/>
  <c r="P728" i="2"/>
  <c r="P727" i="2"/>
  <c r="S727" i="2"/>
  <c r="W727" i="2" s="1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U770" i="2"/>
  <c r="S737" i="2"/>
  <c r="W737" i="2" s="1"/>
  <c r="S739" i="2"/>
  <c r="W739" i="2" s="1"/>
  <c r="S740" i="2"/>
  <c r="W740" i="2"/>
  <c r="S741" i="2"/>
  <c r="W741" i="2"/>
  <c r="S742" i="2"/>
  <c r="W742" i="2" s="1"/>
  <c r="S743" i="2"/>
  <c r="W743" i="2" s="1"/>
  <c r="S744" i="2"/>
  <c r="W744" i="2" s="1"/>
  <c r="S745" i="2"/>
  <c r="W745" i="2"/>
  <c r="S746" i="2"/>
  <c r="W746" i="2"/>
  <c r="S747" i="2"/>
  <c r="W747" i="2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/>
  <c r="S755" i="2"/>
  <c r="W755" i="2"/>
  <c r="S756" i="2"/>
  <c r="W756" i="2"/>
  <c r="S757" i="2"/>
  <c r="W757" i="2" s="1"/>
  <c r="S758" i="2"/>
  <c r="W758" i="2" s="1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V770" i="2"/>
  <c r="D748" i="2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G742" i="2" s="1"/>
  <c r="K742" i="2" s="1"/>
  <c r="D741" i="2"/>
  <c r="D740" i="2"/>
  <c r="D739" i="2"/>
  <c r="D738" i="2"/>
  <c r="G738" i="2" s="1"/>
  <c r="K738" i="2" s="1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 s="1"/>
  <c r="K732" i="2" s="1"/>
  <c r="D731" i="2"/>
  <c r="D730" i="2"/>
  <c r="D729" i="2"/>
  <c r="D728" i="2"/>
  <c r="G728" i="2" s="1"/>
  <c r="K728" i="2" s="1"/>
  <c r="D727" i="2"/>
  <c r="G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I770" i="2"/>
  <c r="G729" i="2"/>
  <c r="K729" i="2" s="1"/>
  <c r="G730" i="2"/>
  <c r="K730" i="2" s="1"/>
  <c r="G731" i="2"/>
  <c r="K731" i="2" s="1"/>
  <c r="G736" i="2"/>
  <c r="K736" i="2" s="1"/>
  <c r="G739" i="2"/>
  <c r="K739" i="2"/>
  <c r="G740" i="2"/>
  <c r="K740" i="2" s="1"/>
  <c r="G741" i="2"/>
  <c r="K741" i="2"/>
  <c r="G745" i="2"/>
  <c r="K745" i="2" s="1"/>
  <c r="G746" i="2"/>
  <c r="K746" i="2" s="1"/>
  <c r="G748" i="2"/>
  <c r="K748" i="2"/>
  <c r="G749" i="2"/>
  <c r="K749" i="2"/>
  <c r="G750" i="2"/>
  <c r="K750" i="2" s="1"/>
  <c r="G751" i="2"/>
  <c r="K751" i="2" s="1"/>
  <c r="G752" i="2"/>
  <c r="K752" i="2"/>
  <c r="G753" i="2"/>
  <c r="K753" i="2" s="1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 s="1"/>
  <c r="E770" i="2"/>
  <c r="F770" i="2"/>
  <c r="J770" i="2"/>
  <c r="AI825" i="2" l="1"/>
  <c r="K825" i="2"/>
  <c r="AB770" i="2"/>
  <c r="AI731" i="2"/>
  <c r="AI728" i="2"/>
  <c r="AE770" i="2"/>
  <c r="P770" i="2"/>
  <c r="W728" i="2"/>
  <c r="W770" i="2" s="1"/>
  <c r="S770" i="2"/>
  <c r="K727" i="2"/>
  <c r="K770" i="2" s="1"/>
  <c r="G770" i="2"/>
  <c r="D770" i="2"/>
  <c r="AB676" i="2"/>
  <c r="AE676" i="2" s="1"/>
  <c r="AI676" i="2" s="1"/>
  <c r="AB675" i="2"/>
  <c r="AB674" i="2"/>
  <c r="AH673" i="2"/>
  <c r="AG673" i="2"/>
  <c r="AB673" i="2"/>
  <c r="AH672" i="2"/>
  <c r="AH715" i="2" s="1"/>
  <c r="AG672" i="2"/>
  <c r="AG715" i="2" s="1"/>
  <c r="AB672" i="2"/>
  <c r="AE672" i="2" s="1"/>
  <c r="AA675" i="2"/>
  <c r="AA673" i="2"/>
  <c r="AA674" i="2" s="1"/>
  <c r="AC715" i="2"/>
  <c r="AE673" i="2"/>
  <c r="AI673" i="2" s="1"/>
  <c r="AE674" i="2"/>
  <c r="AI674" i="2" s="1"/>
  <c r="AE675" i="2"/>
  <c r="AI675" i="2" s="1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 s="1"/>
  <c r="AE690" i="2"/>
  <c r="AI690" i="2" s="1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 s="1"/>
  <c r="AE698" i="2"/>
  <c r="AI698" i="2" s="1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 s="1"/>
  <c r="AE706" i="2"/>
  <c r="AI706" i="2" s="1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90" i="2"/>
  <c r="P689" i="2"/>
  <c r="S689" i="2" s="1"/>
  <c r="W689" i="2" s="1"/>
  <c r="P688" i="2"/>
  <c r="S688" i="2" s="1"/>
  <c r="W688" i="2" s="1"/>
  <c r="P687" i="2"/>
  <c r="S687" i="2" s="1"/>
  <c r="W687" i="2" s="1"/>
  <c r="P686" i="2"/>
  <c r="P685" i="2"/>
  <c r="P684" i="2"/>
  <c r="P683" i="2"/>
  <c r="P682" i="2"/>
  <c r="S682" i="2" s="1"/>
  <c r="W682" i="2" s="1"/>
  <c r="P681" i="2"/>
  <c r="S681" i="2" s="1"/>
  <c r="W681" i="2" s="1"/>
  <c r="U680" i="2"/>
  <c r="P680" i="2"/>
  <c r="S680" i="2" s="1"/>
  <c r="W680" i="2" s="1"/>
  <c r="P679" i="2"/>
  <c r="S679" i="2" s="1"/>
  <c r="W679" i="2" s="1"/>
  <c r="P678" i="2"/>
  <c r="P677" i="2"/>
  <c r="S677" i="2" s="1"/>
  <c r="W677" i="2" s="1"/>
  <c r="P676" i="2"/>
  <c r="S676" i="2" s="1"/>
  <c r="W676" i="2" s="1"/>
  <c r="P675" i="2"/>
  <c r="U674" i="2"/>
  <c r="U715" i="2" s="1"/>
  <c r="P674" i="2"/>
  <c r="P673" i="2"/>
  <c r="P672" i="2"/>
  <c r="O673" i="2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5" i="2" s="1"/>
  <c r="O686" i="2" s="1"/>
  <c r="O687" i="2" s="1"/>
  <c r="O688" i="2" s="1"/>
  <c r="O689" i="2" s="1"/>
  <c r="O690" i="2" s="1"/>
  <c r="S673" i="2"/>
  <c r="W673" i="2"/>
  <c r="S674" i="2"/>
  <c r="S675" i="2"/>
  <c r="W675" i="2" s="1"/>
  <c r="S678" i="2"/>
  <c r="W678" i="2" s="1"/>
  <c r="S683" i="2"/>
  <c r="W683" i="2" s="1"/>
  <c r="S684" i="2"/>
  <c r="W684" i="2" s="1"/>
  <c r="S685" i="2"/>
  <c r="W685" i="2" s="1"/>
  <c r="S686" i="2"/>
  <c r="W686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 s="1"/>
  <c r="S697" i="2"/>
  <c r="W697" i="2" s="1"/>
  <c r="S698" i="2"/>
  <c r="W698" i="2"/>
  <c r="S699" i="2"/>
  <c r="W699" i="2"/>
  <c r="S700" i="2"/>
  <c r="W700" i="2"/>
  <c r="S701" i="2"/>
  <c r="W701" i="2"/>
  <c r="S702" i="2"/>
  <c r="W702" i="2"/>
  <c r="S703" i="2"/>
  <c r="W703" i="2" s="1"/>
  <c r="S704" i="2"/>
  <c r="W704" i="2"/>
  <c r="S705" i="2"/>
  <c r="W705" i="2" s="1"/>
  <c r="S706" i="2"/>
  <c r="W706" i="2"/>
  <c r="S707" i="2"/>
  <c r="W707" i="2"/>
  <c r="S708" i="2"/>
  <c r="W708" i="2"/>
  <c r="S709" i="2"/>
  <c r="W709" i="2"/>
  <c r="S710" i="2"/>
  <c r="W710" i="2"/>
  <c r="W711" i="2"/>
  <c r="S712" i="2"/>
  <c r="W712" i="2"/>
  <c r="W713" i="2"/>
  <c r="Q715" i="2"/>
  <c r="R715" i="2"/>
  <c r="V715" i="2"/>
  <c r="D688" i="2"/>
  <c r="D687" i="2"/>
  <c r="D686" i="2"/>
  <c r="D685" i="2"/>
  <c r="D684" i="2"/>
  <c r="D683" i="2"/>
  <c r="D682" i="2"/>
  <c r="D681" i="2"/>
  <c r="D680" i="2"/>
  <c r="G680" i="2" s="1"/>
  <c r="K680" i="2" s="1"/>
  <c r="D679" i="2"/>
  <c r="D678" i="2"/>
  <c r="D677" i="2"/>
  <c r="D676" i="2"/>
  <c r="D675" i="2"/>
  <c r="D674" i="2"/>
  <c r="I673" i="2"/>
  <c r="D673" i="2"/>
  <c r="D672" i="2"/>
  <c r="G672" i="2" s="1"/>
  <c r="K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C688" i="2" s="1"/>
  <c r="G673" i="2"/>
  <c r="K673" i="2" s="1"/>
  <c r="G675" i="2"/>
  <c r="K675" i="2" s="1"/>
  <c r="G676" i="2"/>
  <c r="K676" i="2" s="1"/>
  <c r="G677" i="2"/>
  <c r="K677" i="2"/>
  <c r="G678" i="2"/>
  <c r="K678" i="2" s="1"/>
  <c r="G679" i="2"/>
  <c r="K679" i="2"/>
  <c r="G681" i="2"/>
  <c r="K681" i="2" s="1"/>
  <c r="G682" i="2"/>
  <c r="K682" i="2" s="1"/>
  <c r="G683" i="2"/>
  <c r="K683" i="2" s="1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 s="1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 s="1"/>
  <c r="G703" i="2"/>
  <c r="K703" i="2"/>
  <c r="G704" i="2"/>
  <c r="K704" i="2"/>
  <c r="G705" i="2"/>
  <c r="K705" i="2" s="1"/>
  <c r="G712" i="2"/>
  <c r="K712" i="2"/>
  <c r="E715" i="2"/>
  <c r="F715" i="2"/>
  <c r="I715" i="2"/>
  <c r="J715" i="2"/>
  <c r="AI770" i="2" l="1"/>
  <c r="AI672" i="2"/>
  <c r="AI715" i="2" s="1"/>
  <c r="AB715" i="2"/>
  <c r="AE715" i="2"/>
  <c r="P715" i="2"/>
  <c r="W674" i="2"/>
  <c r="W715" i="2" s="1"/>
  <c r="S672" i="2"/>
  <c r="W672" i="2" s="1"/>
  <c r="D715" i="2"/>
  <c r="G674" i="2"/>
  <c r="AB619" i="2"/>
  <c r="AC618" i="2"/>
  <c r="AE618" i="2" s="1"/>
  <c r="AI618" i="2" s="1"/>
  <c r="AB618" i="2"/>
  <c r="AC617" i="2"/>
  <c r="AB617" i="2"/>
  <c r="AE617" i="2" s="1"/>
  <c r="AI617" i="2" s="1"/>
  <c r="AA618" i="2"/>
  <c r="AA619" i="2" s="1"/>
  <c r="AE620" i="2"/>
  <c r="AI620" i="2"/>
  <c r="AE621" i="2"/>
  <c r="AI621" i="2"/>
  <c r="AE622" i="2"/>
  <c r="AI622" i="2"/>
  <c r="AE623" i="2"/>
  <c r="AI623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/>
  <c r="AI658" i="2"/>
  <c r="AD660" i="2"/>
  <c r="AG660" i="2"/>
  <c r="AH660" i="2"/>
  <c r="P636" i="2"/>
  <c r="S636" i="2" s="1"/>
  <c r="W636" i="2" s="1"/>
  <c r="U635" i="2"/>
  <c r="P635" i="2"/>
  <c r="P634" i="2"/>
  <c r="S634" i="2"/>
  <c r="W634" i="2" s="1"/>
  <c r="P633" i="2"/>
  <c r="P632" i="2"/>
  <c r="S632" i="2" s="1"/>
  <c r="W632" i="2" s="1"/>
  <c r="P631" i="2"/>
  <c r="S631" i="2" s="1"/>
  <c r="W631" i="2" s="1"/>
  <c r="P630" i="2"/>
  <c r="P629" i="2"/>
  <c r="P628" i="2"/>
  <c r="S628" i="2" s="1"/>
  <c r="W628" i="2" s="1"/>
  <c r="P627" i="2"/>
  <c r="S627" i="2" s="1"/>
  <c r="W627" i="2" s="1"/>
  <c r="P626" i="2"/>
  <c r="S626" i="2" s="1"/>
  <c r="W626" i="2" s="1"/>
  <c r="P625" i="2"/>
  <c r="S625" i="2" s="1"/>
  <c r="W625" i="2" s="1"/>
  <c r="P624" i="2"/>
  <c r="S624" i="2" s="1"/>
  <c r="W624" i="2" s="1"/>
  <c r="P623" i="2"/>
  <c r="S623" i="2" s="1"/>
  <c r="W623" i="2" s="1"/>
  <c r="P622" i="2"/>
  <c r="S622" i="2" s="1"/>
  <c r="W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S621" i="2"/>
  <c r="W621" i="2" s="1"/>
  <c r="S629" i="2"/>
  <c r="W629" i="2"/>
  <c r="S630" i="2"/>
  <c r="W630" i="2"/>
  <c r="S633" i="2"/>
  <c r="W633" i="2"/>
  <c r="S635" i="2"/>
  <c r="W635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Q660" i="2"/>
  <c r="R660" i="2"/>
  <c r="U660" i="2"/>
  <c r="V660" i="2"/>
  <c r="D619" i="2"/>
  <c r="D618" i="2"/>
  <c r="G618" i="2" s="1"/>
  <c r="K618" i="2" s="1"/>
  <c r="J617" i="2"/>
  <c r="D617" i="2"/>
  <c r="G617" i="2" s="1"/>
  <c r="I660" i="2"/>
  <c r="F660" i="2"/>
  <c r="E660" i="2"/>
  <c r="K657" i="2"/>
  <c r="G657" i="2"/>
  <c r="K650" i="2"/>
  <c r="G650" i="2"/>
  <c r="K649" i="2"/>
  <c r="G649" i="2"/>
  <c r="G648" i="2"/>
  <c r="K648" i="2" s="1"/>
  <c r="G647" i="2"/>
  <c r="K647" i="2" s="1"/>
  <c r="K646" i="2"/>
  <c r="G646" i="2"/>
  <c r="K645" i="2"/>
  <c r="G645" i="2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K637" i="2"/>
  <c r="G637" i="2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K630" i="2"/>
  <c r="G630" i="2"/>
  <c r="K629" i="2"/>
  <c r="G629" i="2"/>
  <c r="G628" i="2"/>
  <c r="K628" i="2" s="1"/>
  <c r="G627" i="2"/>
  <c r="K627" i="2" s="1"/>
  <c r="J660" i="2"/>
  <c r="G626" i="2"/>
  <c r="K626" i="2" s="1"/>
  <c r="G625" i="2"/>
  <c r="K625" i="2" s="1"/>
  <c r="G624" i="2"/>
  <c r="K624" i="2" s="1"/>
  <c r="G623" i="2"/>
  <c r="K623" i="2" s="1"/>
  <c r="G622" i="2"/>
  <c r="K622" i="2" s="1"/>
  <c r="G621" i="2"/>
  <c r="K621" i="2" s="1"/>
  <c r="G620" i="2"/>
  <c r="K620" i="2" s="1"/>
  <c r="G619" i="2"/>
  <c r="K619" i="2" s="1"/>
  <c r="C618" i="2"/>
  <c r="C619" i="2" s="1"/>
  <c r="S715" i="2" l="1"/>
  <c r="G715" i="2"/>
  <c r="K674" i="2"/>
  <c r="K715" i="2" s="1"/>
  <c r="AC660" i="2"/>
  <c r="AB660" i="2"/>
  <c r="AE619" i="2"/>
  <c r="AI619" i="2" s="1"/>
  <c r="AI660" i="2" s="1"/>
  <c r="W617" i="2"/>
  <c r="W660" i="2" s="1"/>
  <c r="S660" i="2"/>
  <c r="P660" i="2"/>
  <c r="K617" i="2"/>
  <c r="K660" i="2" s="1"/>
  <c r="G660" i="2"/>
  <c r="D660" i="2"/>
  <c r="AB565" i="2"/>
  <c r="AB605" i="2" s="1"/>
  <c r="AB564" i="2"/>
  <c r="AB563" i="2"/>
  <c r="AC562" i="2"/>
  <c r="AE562" i="2"/>
  <c r="AI562" i="2" s="1"/>
  <c r="AB562" i="2"/>
  <c r="AA563" i="2"/>
  <c r="AE563" i="2"/>
  <c r="AI563" i="2" s="1"/>
  <c r="AA564" i="2"/>
  <c r="AA565" i="2" s="1"/>
  <c r="AE564" i="2"/>
  <c r="AE566" i="2"/>
  <c r="AI566" i="2" s="1"/>
  <c r="AE567" i="2"/>
  <c r="AI567" i="2" s="1"/>
  <c r="AE568" i="2"/>
  <c r="AI568" i="2" s="1"/>
  <c r="AE569" i="2"/>
  <c r="AI569" i="2"/>
  <c r="AE570" i="2"/>
  <c r="AI570" i="2"/>
  <c r="AE571" i="2"/>
  <c r="AI571" i="2" s="1"/>
  <c r="AE572" i="2"/>
  <c r="AI572" i="2"/>
  <c r="AE573" i="2"/>
  <c r="AI573" i="2" s="1"/>
  <c r="AE574" i="2"/>
  <c r="AI574" i="2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/>
  <c r="AE589" i="2"/>
  <c r="AI589" i="2" s="1"/>
  <c r="AE590" i="2"/>
  <c r="AI590" i="2"/>
  <c r="AE591" i="2"/>
  <c r="AI591" i="2"/>
  <c r="AE592" i="2"/>
  <c r="AI592" i="2"/>
  <c r="AE593" i="2"/>
  <c r="AI593" i="2"/>
  <c r="AE594" i="2"/>
  <c r="AI594" i="2"/>
  <c r="AE595" i="2"/>
  <c r="AI595" i="2" s="1"/>
  <c r="AE596" i="2"/>
  <c r="AI596" i="2"/>
  <c r="AE597" i="2"/>
  <c r="AI597" i="2" s="1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AH605" i="2"/>
  <c r="P565" i="2"/>
  <c r="S565" i="2" s="1"/>
  <c r="W565" i="2" s="1"/>
  <c r="P564" i="2"/>
  <c r="U563" i="2"/>
  <c r="P563" i="2"/>
  <c r="V562" i="2"/>
  <c r="V605" i="2" s="1"/>
  <c r="P562" i="2"/>
  <c r="S562" i="2"/>
  <c r="O563" i="2"/>
  <c r="O564" i="2" s="1"/>
  <c r="O565" i="2" s="1"/>
  <c r="S563" i="2"/>
  <c r="W563" i="2" s="1"/>
  <c r="S564" i="2"/>
  <c r="W564" i="2" s="1"/>
  <c r="S566" i="2"/>
  <c r="W566" i="2" s="1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 s="1"/>
  <c r="S574" i="2"/>
  <c r="W574" i="2" s="1"/>
  <c r="S575" i="2"/>
  <c r="W575" i="2"/>
  <c r="S576" i="2"/>
  <c r="W576" i="2" s="1"/>
  <c r="S577" i="2"/>
  <c r="W577" i="2"/>
  <c r="S578" i="2"/>
  <c r="W578" i="2" s="1"/>
  <c r="S579" i="2"/>
  <c r="W579" i="2"/>
  <c r="S580" i="2"/>
  <c r="W580" i="2"/>
  <c r="S581" i="2"/>
  <c r="W581" i="2" s="1"/>
  <c r="S582" i="2"/>
  <c r="W582" i="2" s="1"/>
  <c r="S583" i="2"/>
  <c r="W583" i="2"/>
  <c r="S584" i="2"/>
  <c r="W584" i="2" s="1"/>
  <c r="S585" i="2"/>
  <c r="W585" i="2" s="1"/>
  <c r="S586" i="2"/>
  <c r="W586" i="2" s="1"/>
  <c r="S587" i="2"/>
  <c r="W587" i="2"/>
  <c r="S588" i="2"/>
  <c r="W588" i="2"/>
  <c r="S589" i="2"/>
  <c r="W589" i="2" s="1"/>
  <c r="S590" i="2"/>
  <c r="W590" i="2" s="1"/>
  <c r="S591" i="2"/>
  <c r="W591" i="2"/>
  <c r="S592" i="2"/>
  <c r="W592" i="2" s="1"/>
  <c r="S593" i="2"/>
  <c r="W593" i="2"/>
  <c r="S594" i="2"/>
  <c r="W594" i="2" s="1"/>
  <c r="S595" i="2"/>
  <c r="W595" i="2"/>
  <c r="S596" i="2"/>
  <c r="W596" i="2"/>
  <c r="S597" i="2"/>
  <c r="W597" i="2" s="1"/>
  <c r="S598" i="2"/>
  <c r="W598" i="2" s="1"/>
  <c r="S599" i="2"/>
  <c r="W599" i="2"/>
  <c r="S600" i="2"/>
  <c r="W600" i="2" s="1"/>
  <c r="W601" i="2"/>
  <c r="S602" i="2"/>
  <c r="W602" i="2"/>
  <c r="W603" i="2"/>
  <c r="Q605" i="2"/>
  <c r="R605" i="2"/>
  <c r="U605" i="2"/>
  <c r="AE660" i="2" l="1"/>
  <c r="AE565" i="2"/>
  <c r="AI565" i="2" s="1"/>
  <c r="AI605" i="2" s="1"/>
  <c r="AC605" i="2"/>
  <c r="AI564" i="2"/>
  <c r="P605" i="2"/>
  <c r="W562" i="2"/>
  <c r="W605" i="2" s="1"/>
  <c r="S605" i="2"/>
  <c r="AB513" i="2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E605" i="2" l="1"/>
  <c r="AB550" i="2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J32" i="1"/>
  <c r="D32" i="1" s="1"/>
  <c r="J22" i="1"/>
  <c r="J23" i="1"/>
  <c r="D23" i="1" s="1"/>
  <c r="J24" i="1"/>
  <c r="D24" i="1" s="1"/>
  <c r="J25" i="1"/>
  <c r="D25" i="1" s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31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charset val="1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562" authorId="0" shapeId="0" xr:uid="{E968415D-A15A-4A96-8A79-8FC693E40A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562" authorId="0" shapeId="0" xr:uid="{D73A1304-3ED4-4759-85D1-733754AA88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563" authorId="0" shapeId="0" xr:uid="{1B2658E2-D5F9-4D15-9951-B4796B07F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AMORADO
TALINGA, BACUNGAN</t>
        </r>
      </text>
    </comment>
    <comment ref="AA563" authorId="0" shapeId="0" xr:uid="{B118DC64-5C88-4B43-A756-3E835F42A8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564" authorId="0" shapeId="0" xr:uid="{EF464317-304E-40B9-89CB-CCED236238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BALIK BALIK, BACUNGAN</t>
        </r>
      </text>
    </comment>
    <comment ref="AA564" authorId="0" shapeId="0" xr:uid="{A0992098-3E76-45F4-9340-460565D74D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MERIAM APADOHAN
CANAWAN, SALUG</t>
        </r>
      </text>
    </comment>
    <comment ref="O565" authorId="0" shapeId="0" xr:uid="{BFF04ACF-F6FC-44AE-B7EE-893434BF27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BALIK BALIK, BACUNGAN</t>
        </r>
      </text>
    </comment>
    <comment ref="AA565" authorId="0" shapeId="0" xr:uid="{33EDB54F-38D8-4451-BABB-5D09A61822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</t>
        </r>
      </text>
    </comment>
    <comment ref="C617" authorId="0" shapeId="0" xr:uid="{252215D0-D56A-45E9-9F91-F7EAF5CDE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7" authorId="0" shapeId="0" xr:uid="{964567D1-A02C-4F7D-9A94-619CB1D65E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617" authorId="0" shapeId="0" xr:uid="{386A0227-A579-4B12-B7BE-B10E96629F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618" authorId="0" shapeId="0" xr:uid="{21A48C7C-3BF3-45EE-A2BE-21E5845150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VARIETY STORE
POB, SINDANGAN</t>
        </r>
      </text>
    </comment>
    <comment ref="O618" authorId="0" shapeId="0" xr:uid="{F2D30B3A-3C6B-4BB5-9B99-9ED9A523AA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8" authorId="0" shapeId="0" xr:uid="{ACDCFF07-8295-4C99-BB5C-FEFAF262D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AAA9ADEF-C3CC-4499-8A93-93D9AD5A9F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619" authorId="0" shapeId="0" xr:uid="{4A4818AB-F7EE-42D5-B10F-E0890EA66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RC BOGANOTAN
LOWER INUMAN, SINDANGAN</t>
        </r>
      </text>
    </comment>
    <comment ref="AA619" authorId="0" shapeId="0" xr:uid="{90AD33C5-B49F-4B3A-96BB-7F9A890B9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620" authorId="0" shapeId="0" xr:uid="{EBCDBA1A-658E-483B-94D4-4E1FE1D7F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TUANDA
LOWER INUMAN, SINDANGAN</t>
        </r>
      </text>
    </comment>
    <comment ref="O621" authorId="0" shapeId="0" xr:uid="{D8EF8CB8-8148-4372-9EB6-DFBAF70A60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
LOWER INUMAN, SINDANGAN</t>
        </r>
      </text>
    </comment>
    <comment ref="O622" authorId="0" shapeId="0" xr:uid="{16B62549-4DCC-4E58-8C1B-95D11D0CEA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LOWER INUMAN, SINDANGAN</t>
        </r>
      </text>
    </comment>
    <comment ref="O623" authorId="0" shapeId="0" xr:uid="{99E4FC53-A46C-4931-B22A-494144778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624" authorId="0" shapeId="0" xr:uid="{7862F5AD-0109-4C8D-8BFA-240252B914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PINK STORE
TALINGA, SINDANGAN</t>
        </r>
      </text>
    </comment>
    <comment ref="O625" authorId="0" shapeId="0" xr:uid="{6581831E-5777-46EA-9281-A5A46811D5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626" authorId="0" shapeId="0" xr:uid="{377956FE-8F66-4D6E-B290-E7D94493D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O627" authorId="0" shapeId="0" xr:uid="{758D976E-1027-4168-A8BA-6EED1B9949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628" authorId="0" shapeId="0" xr:uid="{6A7B2955-74D2-4C01-AECF-563059411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629" authorId="0" shapeId="0" xr:uid="{B87E934E-2CB8-4449-ABA6-E752A7A41F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BRYAN ESCOREAL
GOLEO, SINDANGAN</t>
        </r>
      </text>
    </comment>
    <comment ref="O630" authorId="0" shapeId="0" xr:uid="{0A7FC838-A787-4225-95B7-708E18A5BC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O631" authorId="0" shapeId="0" xr:uid="{6332C7F5-EA50-418F-899E-7E362BCD98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O632" authorId="0" shapeId="0" xr:uid="{9519080E-8580-4655-B2CB-40EF5DB73C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FEROLINO
GOLEO, SINDANGAN</t>
        </r>
      </text>
    </comment>
    <comment ref="O633" authorId="0" shapeId="0" xr:uid="{1FFEF78D-7D8B-48C7-8FC8-59BD691FB3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34" authorId="0" shapeId="0" xr:uid="{9123A7F2-40DC-4DE7-A60D-316AF5D407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O635" authorId="0" shapeId="0" xr:uid="{4502EE2B-96F6-4996-9551-BE03E33C5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O636" authorId="0" shapeId="0" xr:uid="{2D5221B0-37C0-42E3-8B16-8C77FCB89C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GARCIA STORE
GOLEO, SINDANGAN</t>
        </r>
      </text>
    </comment>
    <comment ref="C672" authorId="0" shapeId="0" xr:uid="{7087C951-0EC0-4EC0-9429-EDD593B54F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72" authorId="0" shapeId="0" xr:uid="{42032BBC-51F3-4050-9F8B-79BC2D228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672" authorId="0" shapeId="0" xr:uid="{E57E564E-B9F0-45B5-B746-03898EEAFA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SHIELLA GUIBANG-GUIBANG
KAYOK, LILOY</t>
        </r>
      </text>
    </comment>
    <comment ref="C673" authorId="0" shapeId="0" xr:uid="{C9F9335E-19B2-4A8A-8E46-9853F73D6B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3" authorId="0" shapeId="0" xr:uid="{173AF246-A737-4C1E-8A62-4C24268A5A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FE STORE
RM, SALUG</t>
        </r>
      </text>
    </comment>
    <comment ref="AA673" authorId="0" shapeId="0" xr:uid="{C89AB333-862D-4B8B-9161-758FA4E13C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4" authorId="0" shapeId="0" xr:uid="{8D31BBDE-3261-4A53-A258-9B76E5F922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SORAYAH STORE
DAPAON, SINDANGAN</t>
        </r>
      </text>
    </comment>
    <comment ref="O674" authorId="0" shapeId="0" xr:uid="{2FAB0CD1-D979-4741-9C78-9BC81DDB8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674" authorId="0" shapeId="0" xr:uid="{14E22241-C376-46E1-A153-46886EEA7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5" authorId="0" shapeId="0" xr:uid="{6FD0437C-D944-4763-BAE3-73980193BE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ORAIZ STORE
DAPAON, SINDANGAN</t>
        </r>
      </text>
    </comment>
    <comment ref="O675" authorId="0" shapeId="0" xr:uid="{3A406F36-5C88-48B9-A409-419F8989C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CALONGE
POB, BACUNGAN</t>
        </r>
      </text>
    </comment>
    <comment ref="AA675" authorId="0" shapeId="0" xr:uid="{943B6C5D-0B54-4E4C-A602-7C662FCF72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6" authorId="0" shapeId="0" xr:uid="{5CE63432-0CC5-4BEC-9CD7-F373990012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ART JOY STORE
DAPAON, SINDANGAN</t>
        </r>
      </text>
    </comment>
    <comment ref="O676" authorId="0" shapeId="0" xr:uid="{C41CE190-7FDD-4D7D-96FB-B8D422525F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REVINA ALEMAN
PALANDOK, BACUNGAN</t>
        </r>
      </text>
    </comment>
    <comment ref="AA676" authorId="0" shapeId="0" xr:uid="{8B2EB018-2D34-4DD2-B741-5BE6ED19F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677" authorId="0" shapeId="0" xr:uid="{A27956C8-F8B1-475C-B2A9-A8A1DF3560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677" authorId="0" shapeId="0" xr:uid="{4116DFFB-44C2-4D3B-8CA1-3F3BD36368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BOGABONGAN
BOGABONGAN, BACUNGAN</t>
        </r>
      </text>
    </comment>
    <comment ref="C678" authorId="0" shapeId="0" xr:uid="{C26BEED8-9435-4BFE-BB1C-5AE983E1F4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678" authorId="0" shapeId="0" xr:uid="{FCEDA9A9-A2E6-4772-BA94-00EE5C9B77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ELVIE BAEL
BOGABONGAN, BACUNGAN</t>
        </r>
      </text>
    </comment>
    <comment ref="C679" authorId="0" shapeId="0" xr:uid="{DF7F361A-B60F-4ED9-A033-0E361555E7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FIVE WILL'S STIORE
DISUD, SINDANGAN</t>
        </r>
      </text>
    </comment>
    <comment ref="O679" authorId="0" shapeId="0" xr:uid="{C0B2EF85-6F4F-4FEB-A597-609FC18E14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BOBOY MANDANGAN
BOGABONGAN, BACUNGAN</t>
        </r>
      </text>
    </comment>
    <comment ref="C680" authorId="0" shapeId="0" xr:uid="{F3A6A94C-BD3C-4A7D-B4E3-360402BE4B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680" authorId="0" shapeId="0" xr:uid="{936155CC-5FC1-47DD-AA96-B0A9CB6A8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BACUNGAN
BOGABONGAN, BACUNGAN</t>
        </r>
      </text>
    </comment>
    <comment ref="C681" authorId="0" shapeId="0" xr:uid="{EF819DC1-CA7C-49F9-A27D-21DFA2432A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81" authorId="0" shapeId="0" xr:uid="{A3292003-E56B-404C-B661-B3851360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STORE
BOGABONGAN, BACUNGAN</t>
        </r>
      </text>
    </comment>
    <comment ref="C682" authorId="0" shapeId="0" xr:uid="{4E618DAE-BB9D-4670-8BDC-F60C7534E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682" authorId="0" shapeId="0" xr:uid="{C1922872-FD9A-4D26-B03E-EADFDEB039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GUANSING
BOGABONGAN, BACUNGAN</t>
        </r>
      </text>
    </comment>
    <comment ref="C683" authorId="0" shapeId="0" xr:uid="{7597D28B-9D7C-4C69-A5A7-9B4B051049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AZERO STORE
PIAO, SINDANGAN</t>
        </r>
      </text>
    </comment>
    <comment ref="O683" authorId="0" shapeId="0" xr:uid="{83A2F2B2-611B-461B-A60A-3EA606590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MINI GROCERY
BOGABONGAN, BACUNGAN</t>
        </r>
      </text>
    </comment>
    <comment ref="C684" authorId="0" shapeId="0" xr:uid="{3242AFD7-297A-49BC-A45E-02E2024890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684" authorId="0" shapeId="0" xr:uid="{BA97EBAB-4531-44F2-AF73-EFDC50B1E8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JEL STORE
POB, BACUNGAN</t>
        </r>
      </text>
    </comment>
    <comment ref="C685" authorId="0" shapeId="0" xr:uid="{CB6E8A75-2F5F-4986-9031-DF3E790F7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685" authorId="0" shapeId="0" xr:uid="{02CEB741-E555-4B23-82C4-A86B88FEC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C686" authorId="0" shapeId="0" xr:uid="{D9A3F4EF-C504-438C-8F14-FE83295F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VILLALON
LABAKID, SINDANGAN</t>
        </r>
      </text>
    </comment>
    <comment ref="O686" authorId="0" shapeId="0" xr:uid="{CB179B6F-4523-4C1D-BE03-124F81CFE8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PAQUITO STORE
TALINGA, SINDANGAN</t>
        </r>
      </text>
    </comment>
    <comment ref="C687" authorId="0" shapeId="0" xr:uid="{D46ADB76-7568-45B0-ACE4-BD72A0DD7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SINDANGAN FACOMA
POB, SINDANGAN</t>
        </r>
      </text>
    </comment>
    <comment ref="O687" authorId="0" shapeId="0" xr:uid="{460AA3C3-7FB8-487A-9139-FD304A3B8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LOWER INUMAN, SINDANGAN</t>
        </r>
      </text>
    </comment>
    <comment ref="C688" authorId="0" shapeId="0" xr:uid="{41B3E447-8D94-4563-A48D-9D6095518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RAMON STORE
DAPAON, SINDANGAN</t>
        </r>
      </text>
    </comment>
    <comment ref="O688" authorId="0" shapeId="0" xr:uid="{8E50F470-08BE-4A04-992A-CEB67B84C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O689" authorId="0" shapeId="0" xr:uid="{B1E7DDBC-9C00-4D68-924E-56CA336A8A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690" authorId="0" shapeId="0" xr:uid="{3A278606-00F7-471A-B992-9080B4CB44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INUMAN, SINDANGAN</t>
        </r>
      </text>
    </comment>
    <comment ref="C727" authorId="0" shapeId="0" xr:uid="{3CBE64E3-31D8-4A87-A43C-3CDA80E42D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727" authorId="0" shapeId="0" xr:uid="{FAC02AC1-E37D-4A76-80FF-D35D0F221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AA727" authorId="0" shapeId="0" xr:uid="{505ED952-6F5C-4500-9223-5A07B6C92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8" authorId="0" shapeId="0" xr:uid="{AA3BCC83-BDA1-424B-B41C-67DC6B4EB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SENYA BERTUCIO
PIAO, SINDANGAN</t>
        </r>
      </text>
    </comment>
    <comment ref="O728" authorId="0" shapeId="0" xr:uid="{296993D6-4362-4B5B-9C6E-754D5706C3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JHONA BELARMINO
DATU TANGKILAN, SINDANGAN</t>
        </r>
      </text>
    </comment>
    <comment ref="AA728" authorId="0" shapeId="0" xr:uid="{393534F6-C09B-4A32-8DD9-A776A2BC9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29" authorId="0" shapeId="0" xr:uid="{B172BB0F-55D6-43DA-97B4-B904D1191D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9" authorId="0" shapeId="0" xr:uid="{E72A1D8C-3CF1-47ED-AE5B-D24274368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 ALESNA
MANDIH, SINDANGAN</t>
        </r>
      </text>
    </comment>
    <comment ref="AA729" authorId="0" shapeId="0" xr:uid="{B16B9971-C8AC-4F59-B7BC-4649945CC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NAMIT
KAYOK, LILOY</t>
        </r>
      </text>
    </comment>
    <comment ref="C730" authorId="0" shapeId="0" xr:uid="{95E4DD4E-A540-4E14-8733-70284CFB3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30" authorId="0" shapeId="0" xr:uid="{281E682D-58C6-4BAB-B2B4-63FC1CCDFC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ALWALYN STORE
MANDIH, SINDANGAN</t>
        </r>
      </text>
    </comment>
    <comment ref="AA730" authorId="0" shapeId="0" xr:uid="{EBFE2596-14C9-42F1-BDCC-367CD1F41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731" authorId="0" shapeId="0" xr:uid="{15680E23-9ED3-4BE8-B478-3D7C8CE7D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 STORE
PIAO, SINDANGAN</t>
        </r>
      </text>
    </comment>
    <comment ref="O731" authorId="0" shapeId="0" xr:uid="{C2FCF8CA-8DEB-4425-B4CA-25C365560E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31" authorId="0" shapeId="0" xr:uid="{8100ABDE-9485-41E3-A6DC-CEC5C84029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32" authorId="0" shapeId="0" xr:uid="{4661306A-3444-49AC-9B36-179C99758B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O732" authorId="0" shapeId="0" xr:uid="{61DB9F77-942A-40E2-A82C-FDE468D20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RC BOGABONGAN
LOWER INUMAN, SINDANGAN</t>
        </r>
      </text>
    </comment>
    <comment ref="C733" authorId="0" shapeId="0" xr:uid="{F6D11739-C9F6-47AA-84B5-77AAC6AFDF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33" authorId="0" shapeId="0" xr:uid="{B21A25D5-545C-493F-B5AE-19F725055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EROJO STORE
TALINGA, BACUNGAN</t>
        </r>
      </text>
    </comment>
    <comment ref="C734" authorId="0" shapeId="0" xr:uid="{9197DF44-CC7E-4D2A-A96A-D16102E030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734" authorId="0" shapeId="0" xr:uid="{5F765E37-DAA9-433C-8563-3A540F3651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35" authorId="0" shapeId="0" xr:uid="{6C133F88-0708-46CF-B95C-13492F979C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735" authorId="0" shapeId="0" xr:uid="{E805B987-6B4E-4F08-BC45-B6BB5B2DAA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C736" authorId="0" shapeId="0" xr:uid="{C5426D86-CBC5-4BE1-8D29-88B44C986B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O736" authorId="0" shapeId="0" xr:uid="{07098F85-D594-408F-9B20-857CBB7AD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STORE
MARAS, SINDANGAN</t>
        </r>
      </text>
    </comment>
    <comment ref="C737" authorId="0" shapeId="0" xr:uid="{F489735F-154D-4355-966A-C6DD2A02C7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 STORE
EDMUNDO MADULA
CALACAS, SIAYAN</t>
        </r>
      </text>
    </comment>
    <comment ref="O737" authorId="0" shapeId="0" xr:uid="{6F1E729D-1450-4E50-9B4A-FE20782B8A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JEFFREY GOZANES
GOLEO, SINDANGAN</t>
        </r>
      </text>
    </comment>
    <comment ref="C738" authorId="0" shapeId="0" xr:uid="{6B781047-278F-415E-B5B4-32D35D8AC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738" authorId="0" shapeId="0" xr:uid="{409C737A-53B3-4ADF-8337-8D341CC110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739" authorId="0" shapeId="0" xr:uid="{F1920D54-CF50-41A1-8601-78CE8561E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GABATO STORE
POB, SIAYAN</t>
        </r>
      </text>
    </comment>
    <comment ref="C740" authorId="0" shapeId="0" xr:uid="{FDEA4436-067C-4BAA-AA31-DA9132DEE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741" authorId="0" shapeId="0" xr:uid="{74CE77A2-AD87-44E7-B420-318DDDD854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C742" authorId="0" shapeId="0" xr:uid="{1155D14F-0B6E-4B17-ABDF-6BD07BCDB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LUCKY-I STORE
POB, SIAYAN</t>
        </r>
      </text>
    </comment>
    <comment ref="C743" authorId="0" shapeId="0" xr:uid="{0B2C2753-7715-4EF2-B6F5-1251BE332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MARELYN DEGURO
BALOK, SINDANGAN</t>
        </r>
      </text>
    </comment>
    <comment ref="C744" authorId="0" shapeId="0" xr:uid="{CBEA7776-167B-4669-B957-19034E83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C745" authorId="0" shapeId="0" xr:uid="{18F7C2C7-AAB7-4624-AD14-7AA8C7C16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746" authorId="0" shapeId="0" xr:uid="{80811975-5BEE-4A71-B802-CDAD5A3D8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C747" authorId="0" shapeId="0" xr:uid="{43C0596B-D0A5-4097-9C11-17398FCC83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748" authorId="0" shapeId="0" xr:uid="{EBE8BA2F-4F1F-4507-8BD8-D7A128763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SIR NEIL BAGUIO
GOLEO, SINDANGAN</t>
        </r>
      </text>
    </comment>
    <comment ref="C782" authorId="0" shapeId="0" xr:uid="{1EE867EE-FCE1-4320-9A99-65F5B90FB7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782" authorId="0" shapeId="0" xr:uid="{60174420-C746-4EC8-AA60-E356BAAB7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LAIZA STORE
DATU TANGKILAN, SINDANGAN</t>
        </r>
      </text>
    </comment>
    <comment ref="AA782" authorId="0" shapeId="0" xr:uid="{F93FB0AA-674B-4844-955D-11A75E7ECF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783" authorId="0" shapeId="0" xr:uid="{09C9EE9F-CEBE-4FAB-A697-8B4D0B319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783" authorId="0" shapeId="0" xr:uid="{FBCF79D3-6D49-4591-9E16-16A82A6974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 PADILLA
DATU TANGKILAN, SINDANGAN</t>
        </r>
      </text>
    </comment>
    <comment ref="AA783" authorId="0" shapeId="0" xr:uid="{EAAD960A-3C1B-4185-88B7-393DD56515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784" authorId="0" shapeId="0" xr:uid="{CCB083D3-7F9D-4253-AFC5-8942FD050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784" authorId="0" shapeId="0" xr:uid="{EEFF1E72-AB5D-4EB5-B7E6-36420AFD20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POB, BACUNGAN</t>
        </r>
      </text>
    </comment>
    <comment ref="AA784" authorId="0" shapeId="0" xr:uid="{4DB3B951-8015-40E0-B528-B78F26AE2D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C785" authorId="0" shapeId="0" xr:uid="{64D86AB1-8E1F-4D57-A506-5BECD8EFFC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785" authorId="0" shapeId="0" xr:uid="{EFB52805-AF60-482D-AEC2-0B4A983AC4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
LAGAG, SINDANGAN</t>
        </r>
      </text>
    </comment>
    <comment ref="AA785" authorId="0" shapeId="0" xr:uid="{40F56A22-FF18-4FC8-932F-5B0752B1DA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86" authorId="0" shapeId="0" xr:uid="{9262D8B3-4A42-4D55-9D60-9DBC733026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786" authorId="0" shapeId="0" xr:uid="{F49EA94B-17E3-4D6F-BD90-ED12308A40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EDWARDO CAÑETE
GOLEO, SINDANGAN</t>
        </r>
      </text>
    </comment>
    <comment ref="AA786" authorId="0" shapeId="0" xr:uid="{EF29FDC8-477E-48BE-841E-FEE46D219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7" authorId="0" shapeId="0" xr:uid="{946F684B-EB69-499B-9416-5BAC50E0A6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SORAYAH STORE
DAPAON, SINDANGAN</t>
        </r>
      </text>
    </comment>
    <comment ref="O787" authorId="0" shapeId="0" xr:uid="{D9ACA4C1-A98F-462F-8F1B-F1458F309F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88" authorId="0" shapeId="0" xr:uid="{5064083C-30B1-48C4-97AA-9D52252959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ART JOY STORE
DAPAON, SINDANGAN</t>
        </r>
      </text>
    </comment>
    <comment ref="C789" authorId="0" shapeId="0" xr:uid="{ECFD16AF-07D1-490E-A75D-14D516075C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THREE-M STORE
DISUD, SINDANGAN</t>
        </r>
      </text>
    </comment>
    <comment ref="C790" authorId="0" shapeId="0" xr:uid="{4A06E3CE-A5F4-4E9E-8A24-C7A76F496A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791" authorId="0" shapeId="0" xr:uid="{A1AE2552-DB7E-4E6F-8159-532318E7BD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792" authorId="0" shapeId="0" xr:uid="{762307E3-5BF7-430C-BF2C-6AD60790CA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C837" authorId="0" shapeId="0" xr:uid="{DFFB8EE6-63AD-4C29-9BB5-38A03DDFCB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837" authorId="0" shapeId="0" xr:uid="{6BA3A827-BEAE-4C8C-9BE1-0D0396D6CB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MARTY STORE
POB, SINDANGAN</t>
        </r>
      </text>
    </comment>
    <comment ref="AA837" authorId="0" shapeId="0" xr:uid="{88342DAC-5E23-4318-901E-2A009E1EE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38" authorId="0" shapeId="0" xr:uid="{42F9E9C7-8985-49C2-9BF1-2BC7EC3738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38" authorId="0" shapeId="0" xr:uid="{3E3D7E35-2DFF-45D2-9D89-C2624373DC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GOLEO, SINDANGAN</t>
        </r>
      </text>
    </comment>
    <comment ref="AA838" authorId="0" shapeId="0" xr:uid="{7FEB433F-E855-4B34-9429-531E9F4C31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RAZIEL NUGAS
SLPA 2
BACONG, SALUG</t>
        </r>
      </text>
    </comment>
    <comment ref="C839" authorId="0" shapeId="0" xr:uid="{A588CA6F-5D48-4C95-8D96-4D80E3320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</t>
        </r>
      </text>
    </comment>
    <comment ref="O839" authorId="0" shapeId="0" xr:uid="{B081E353-85EC-45B8-8988-66A97D5C6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 STORE
DATU TANGKILAN, SINDANGAN</t>
        </r>
      </text>
    </comment>
    <comment ref="AA839" authorId="0" shapeId="0" xr:uid="{E28CF90F-98F8-4FCC-9366-7338D8DE3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840" authorId="0" shapeId="0" xr:uid="{C8491011-C731-4DF1-B8CF-9C26A43E7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
GOLEO, SINDANGAN</t>
        </r>
      </text>
    </comment>
    <comment ref="AA840" authorId="0" shapeId="0" xr:uid="{5EB44E45-242E-4894-BCE3-AA2D6F2F5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841" authorId="0" shapeId="0" xr:uid="{BE82F6BF-1EE1-47F5-8F2A-710041F791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POB, SINDANGAN</t>
        </r>
      </text>
    </comment>
    <comment ref="AA841" authorId="0" shapeId="0" xr:uid="{88B8C853-DBAA-4A23-9F7D-6FCB5860D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ANTONIO BALASUELA
BAYBAY, LILOY</t>
        </r>
      </text>
    </comment>
  </commentList>
</comments>
</file>

<file path=xl/sharedStrings.xml><?xml version="1.0" encoding="utf-8"?>
<sst xmlns="http://schemas.openxmlformats.org/spreadsheetml/2006/main" count="1159" uniqueCount="87">
  <si>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</si>
  <si>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</si>
  <si>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</si>
  <si>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</si>
  <si>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</si>
  <si>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</si>
  <si>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</si>
  <si>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</si>
  <si>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</si>
  <si>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</si>
  <si>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</si>
  <si>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</si>
  <si>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</si>
  <si>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</si>
  <si>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</si>
  <si>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</si>
  <si>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</si>
  <si>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</si>
  <si>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</si>
  <si>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</si>
  <si>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</si>
  <si>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</si>
  <si>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</si>
  <si>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</si>
  <si>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</si>
  <si>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</si>
  <si>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</si>
  <si>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</si>
  <si>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</si>
  <si>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</si>
  <si>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</si>
  <si>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</si>
  <si>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</si>
  <si>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</si>
  <si>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</si>
  <si>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</si>
  <si>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</si>
  <si>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</si>
  <si>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</si>
  <si>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</si>
  <si>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</si>
  <si>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</si>
  <si>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</si>
  <si>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</si>
  <si>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</si>
  <si>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</si>
  <si>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</si>
  <si>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</si>
  <si>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</si>
  <si>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</si>
  <si>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</si>
  <si>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</si>
  <si>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</si>
  <si>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</si>
  <si>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</si>
  <si>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</si>
  <si>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</si>
  <si>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</si>
  <si>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</si>
  <si>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</si>
  <si>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</si>
  <si>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</si>
  <si>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</si>
  <si>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</si>
  <si>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</si>
  <si>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</si>
  <si>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</si>
  <si>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</si>
  <si>
    <t>JANUARY 14, 2026</t>
  </si>
  <si>
    <t>01/14/2026</t>
  </si>
  <si>
    <t>/8465-8468/8390-8393</t>
  </si>
  <si>
    <t>JANUARY 15, 2026</t>
  </si>
  <si>
    <t>01/15/2026</t>
  </si>
  <si>
    <t>8430-8432/8469-8488/8394-8396</t>
  </si>
  <si>
    <t>JANUARY 16, 2026</t>
  </si>
  <si>
    <t>01/16/2026</t>
  </si>
  <si>
    <t>8434-8450/8489-8500,8551-8557/8397-8400,8501</t>
  </si>
  <si>
    <t>JANUARY 17, 2026</t>
  </si>
  <si>
    <t>01/17/2026</t>
  </si>
  <si>
    <t>8601-8622/8558-8569/8502-8506</t>
  </si>
  <si>
    <t>JANUARY 19, 2026</t>
  </si>
  <si>
    <t>01/19/2026</t>
  </si>
  <si>
    <t>LOPEZ, GINA GRACE</t>
  </si>
  <si>
    <t>8623-8633/8570-8575/8507-8511</t>
  </si>
  <si>
    <t>JANUARY 20, 2026</t>
  </si>
  <si>
    <t>01/20/2026</t>
  </si>
  <si>
    <t>8634-8636/8576-8580/8512-8516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</si>
</sst>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H29" sqref="H2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2" t="s">
        <v>37</v>
      </c>
      <c r="B6" s="11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 t="s">
        <v>70</v>
      </c>
      <c r="D23" s="16">
        <f t="shared" si="1"/>
        <v>522171</v>
      </c>
      <c r="F23" s="14"/>
      <c r="G23" s="14">
        <v>382580</v>
      </c>
      <c r="H23" s="14">
        <v>139591</v>
      </c>
      <c r="I23" s="14"/>
      <c r="J23" s="17">
        <f t="shared" si="0"/>
        <v>522171</v>
      </c>
    </row>
    <row r="24" spans="1:10" x14ac:dyDescent="0.25">
      <c r="A24" s="10">
        <f t="shared" si="2"/>
        <v>15</v>
      </c>
      <c r="B24" s="11" t="s">
        <v>30</v>
      </c>
      <c r="C24" s="12" t="s">
        <v>73</v>
      </c>
      <c r="D24" s="16">
        <f t="shared" si="1"/>
        <v>835041.5</v>
      </c>
      <c r="F24" s="14">
        <v>351221</v>
      </c>
      <c r="G24" s="14">
        <v>201377.5</v>
      </c>
      <c r="H24" s="14">
        <v>282443</v>
      </c>
      <c r="I24" s="14"/>
      <c r="J24" s="17">
        <f t="shared" si="0"/>
        <v>835041.5</v>
      </c>
    </row>
    <row r="25" spans="1:10" x14ac:dyDescent="0.25">
      <c r="A25" s="10">
        <f t="shared" si="2"/>
        <v>16</v>
      </c>
      <c r="B25" s="43" t="s">
        <v>4</v>
      </c>
      <c r="C25" s="12" t="s">
        <v>76</v>
      </c>
      <c r="D25" s="16">
        <f t="shared" si="1"/>
        <v>761406.5</v>
      </c>
      <c r="F25" s="14">
        <v>182126</v>
      </c>
      <c r="G25" s="14">
        <v>239937.5</v>
      </c>
      <c r="H25" s="14">
        <v>339343</v>
      </c>
      <c r="I25" s="14"/>
      <c r="J25" s="17">
        <f t="shared" si="0"/>
        <v>761406.5</v>
      </c>
    </row>
    <row r="26" spans="1:10" x14ac:dyDescent="0.25">
      <c r="A26" s="10">
        <f t="shared" si="2"/>
        <v>17</v>
      </c>
      <c r="B26" s="56" t="s">
        <v>5</v>
      </c>
      <c r="C26" s="12" t="s">
        <v>79</v>
      </c>
      <c r="D26" s="16">
        <f t="shared" ref="D26:D28" si="3">J26</f>
        <v>606175.5</v>
      </c>
      <c r="F26" s="14">
        <v>306506</v>
      </c>
      <c r="G26" s="14">
        <v>126045.5</v>
      </c>
      <c r="H26" s="14">
        <v>173624</v>
      </c>
      <c r="I26" s="14"/>
      <c r="J26" s="17">
        <f t="shared" si="0"/>
        <v>606175.5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 t="s">
        <v>83</v>
      </c>
      <c r="D28" s="16">
        <f t="shared" si="3"/>
        <v>874548</v>
      </c>
      <c r="F28" s="14">
        <v>300637.5</v>
      </c>
      <c r="G28" s="14">
        <v>195325.5</v>
      </c>
      <c r="H28" s="14">
        <v>378585</v>
      </c>
      <c r="I28" s="14"/>
      <c r="J28" s="17">
        <f t="shared" si="0"/>
        <v>874548</v>
      </c>
    </row>
    <row r="29" spans="1:10" x14ac:dyDescent="0.25">
      <c r="A29" s="10">
        <f t="shared" si="2"/>
        <v>20</v>
      </c>
      <c r="B29" s="43" t="s">
        <v>8</v>
      </c>
      <c r="C29" s="12" t="s">
        <v>86</v>
      </c>
      <c r="D29" s="16">
        <f t="shared" ref="D29:D39" si="4">J29</f>
        <v>995759</v>
      </c>
      <c r="F29" s="14">
        <v>578178</v>
      </c>
      <c r="G29" s="14">
        <v>284738</v>
      </c>
      <c r="H29" s="14">
        <v>132843</v>
      </c>
      <c r="I29" s="14"/>
      <c r="J29" s="17">
        <f t="shared" si="0"/>
        <v>995759</v>
      </c>
    </row>
    <row r="30" spans="1:10" x14ac:dyDescent="0.25">
      <c r="A30" s="10">
        <f t="shared" si="2"/>
        <v>21</v>
      </c>
      <c r="B30" s="56" t="s">
        <v>9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0"/>
        <v>0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0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0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3" t="s">
        <v>10</v>
      </c>
      <c r="B42" s="114"/>
      <c r="C42" s="115"/>
      <c r="D42" s="48">
        <f>SUM(D2:D41)</f>
        <v>13777957.560000001</v>
      </c>
      <c r="J42" s="49">
        <f>SUM(J10:J41)</f>
        <v>13777957.560000001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K820" zoomScaleNormal="100" workbookViewId="0">
      <selection activeCell="AH786" sqref="AH78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2" t="s">
        <v>17</v>
      </c>
      <c r="E10" s="122"/>
      <c r="F10" s="77"/>
      <c r="G10" s="27"/>
      <c r="I10" s="118" t="s">
        <v>18</v>
      </c>
      <c r="J10" s="119"/>
      <c r="K10" s="120" t="s">
        <v>19</v>
      </c>
      <c r="N10" s="25"/>
      <c r="O10" s="26"/>
      <c r="P10" s="122" t="s">
        <v>17</v>
      </c>
      <c r="Q10" s="122"/>
      <c r="R10" s="77"/>
      <c r="S10" s="27"/>
      <c r="U10" s="118" t="s">
        <v>18</v>
      </c>
      <c r="V10" s="119"/>
      <c r="W10" s="120" t="s">
        <v>19</v>
      </c>
      <c r="Z10" s="25"/>
      <c r="AA10" s="26"/>
      <c r="AB10" s="122" t="s">
        <v>17</v>
      </c>
      <c r="AC10" s="122"/>
      <c r="AD10" s="77"/>
      <c r="AE10" s="27"/>
      <c r="AG10" s="118" t="s">
        <v>18</v>
      </c>
      <c r="AH10" s="119"/>
      <c r="AI10" s="120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21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21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21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2" t="s">
        <v>17</v>
      </c>
      <c r="E65" s="122"/>
      <c r="F65" s="95"/>
      <c r="G65" s="27"/>
      <c r="I65" s="118" t="s">
        <v>18</v>
      </c>
      <c r="J65" s="119"/>
      <c r="K65" s="120" t="s">
        <v>19</v>
      </c>
      <c r="M65" s="62"/>
      <c r="N65" s="65"/>
      <c r="O65" s="97"/>
      <c r="P65" s="117"/>
      <c r="Q65" s="117"/>
      <c r="R65" s="97"/>
      <c r="S65" s="97"/>
      <c r="T65" s="62"/>
      <c r="U65" s="117"/>
      <c r="V65" s="117"/>
      <c r="W65" s="116"/>
      <c r="Z65" s="25"/>
      <c r="AA65" s="26"/>
      <c r="AB65" s="122" t="s">
        <v>17</v>
      </c>
      <c r="AC65" s="122"/>
      <c r="AD65" s="95"/>
      <c r="AE65" s="27"/>
      <c r="AG65" s="118" t="s">
        <v>18</v>
      </c>
      <c r="AH65" s="119"/>
      <c r="AI65" s="120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21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16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21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17"/>
      <c r="AO67" s="117"/>
      <c r="AP67" s="87"/>
      <c r="AQ67" s="62"/>
      <c r="AR67" s="117"/>
      <c r="AS67" s="117"/>
      <c r="AT67" s="11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2" t="s">
        <v>17</v>
      </c>
      <c r="E120" s="122"/>
      <c r="F120" s="98"/>
      <c r="G120" s="27"/>
      <c r="I120" s="118" t="s">
        <v>18</v>
      </c>
      <c r="J120" s="119"/>
      <c r="K120" s="120" t="s">
        <v>19</v>
      </c>
      <c r="N120" s="25"/>
      <c r="O120" s="26"/>
      <c r="P120" s="122" t="s">
        <v>17</v>
      </c>
      <c r="Q120" s="122"/>
      <c r="R120" s="98"/>
      <c r="S120" s="27"/>
      <c r="U120" s="118" t="s">
        <v>18</v>
      </c>
      <c r="V120" s="119"/>
      <c r="W120" s="120" t="s">
        <v>19</v>
      </c>
      <c r="Z120" s="25"/>
      <c r="AA120" s="26"/>
      <c r="AB120" s="122" t="s">
        <v>17</v>
      </c>
      <c r="AC120" s="122"/>
      <c r="AD120" s="98"/>
      <c r="AE120" s="27"/>
      <c r="AG120" s="118" t="s">
        <v>18</v>
      </c>
      <c r="AH120" s="119"/>
      <c r="AI120" s="120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21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21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21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2" t="s">
        <v>17</v>
      </c>
      <c r="E175" s="122"/>
      <c r="F175" s="99"/>
      <c r="G175" s="27"/>
      <c r="I175" s="118" t="s">
        <v>18</v>
      </c>
      <c r="J175" s="119"/>
      <c r="K175" s="120" t="s">
        <v>19</v>
      </c>
      <c r="N175" s="25"/>
      <c r="O175" s="26"/>
      <c r="P175" s="122" t="s">
        <v>17</v>
      </c>
      <c r="Q175" s="122"/>
      <c r="R175" s="99"/>
      <c r="S175" s="27"/>
      <c r="U175" s="118" t="s">
        <v>18</v>
      </c>
      <c r="V175" s="119"/>
      <c r="W175" s="120" t="s">
        <v>19</v>
      </c>
      <c r="Z175" s="25"/>
      <c r="AA175" s="26"/>
      <c r="AB175" s="122" t="s">
        <v>17</v>
      </c>
      <c r="AC175" s="122"/>
      <c r="AD175" s="99"/>
      <c r="AE175" s="27"/>
      <c r="AG175" s="118" t="s">
        <v>18</v>
      </c>
      <c r="AH175" s="119"/>
      <c r="AI175" s="120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21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21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21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17"/>
      <c r="AO181" s="117"/>
      <c r="AP181" s="87"/>
      <c r="AQ181" s="62"/>
      <c r="AR181" s="117"/>
      <c r="AS181" s="117"/>
      <c r="AT181" s="116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6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2" t="s">
        <v>17</v>
      </c>
      <c r="E230" s="122"/>
      <c r="F230" s="100"/>
      <c r="G230" s="27"/>
      <c r="I230" s="118" t="s">
        <v>18</v>
      </c>
      <c r="J230" s="119"/>
      <c r="K230" s="120" t="s">
        <v>19</v>
      </c>
      <c r="N230" s="25"/>
      <c r="O230" s="26"/>
      <c r="P230" s="122" t="s">
        <v>17</v>
      </c>
      <c r="Q230" s="122"/>
      <c r="R230" s="100"/>
      <c r="S230" s="27"/>
      <c r="U230" s="118" t="s">
        <v>18</v>
      </c>
      <c r="V230" s="119"/>
      <c r="W230" s="120" t="s">
        <v>19</v>
      </c>
      <c r="Z230" s="25"/>
      <c r="AA230" s="26"/>
      <c r="AB230" s="122" t="s">
        <v>17</v>
      </c>
      <c r="AC230" s="122"/>
      <c r="AD230" s="100"/>
      <c r="AE230" s="27"/>
      <c r="AG230" s="118" t="s">
        <v>18</v>
      </c>
      <c r="AH230" s="119"/>
      <c r="AI230" s="120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21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21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21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2" t="s">
        <v>17</v>
      </c>
      <c r="E285" s="122"/>
      <c r="F285" s="101"/>
      <c r="G285" s="27"/>
      <c r="I285" s="118" t="s">
        <v>18</v>
      </c>
      <c r="J285" s="119"/>
      <c r="K285" s="120" t="s">
        <v>19</v>
      </c>
      <c r="N285" s="25"/>
      <c r="O285" s="26"/>
      <c r="P285" s="122" t="s">
        <v>17</v>
      </c>
      <c r="Q285" s="122"/>
      <c r="R285" s="101"/>
      <c r="S285" s="27"/>
      <c r="U285" s="118" t="s">
        <v>18</v>
      </c>
      <c r="V285" s="119"/>
      <c r="W285" s="120" t="s">
        <v>19</v>
      </c>
      <c r="Z285" s="25"/>
      <c r="AA285" s="26"/>
      <c r="AB285" s="122" t="s">
        <v>17</v>
      </c>
      <c r="AC285" s="122"/>
      <c r="AD285" s="101"/>
      <c r="AE285" s="27"/>
      <c r="AG285" s="118" t="s">
        <v>18</v>
      </c>
      <c r="AH285" s="119"/>
      <c r="AI285" s="120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21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21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21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91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91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91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91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91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91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9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9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2" t="s">
        <v>17</v>
      </c>
      <c r="E340" s="122"/>
      <c r="F340" s="102"/>
      <c r="G340" s="27"/>
      <c r="I340" s="118" t="s">
        <v>18</v>
      </c>
      <c r="J340" s="119"/>
      <c r="K340" s="120" t="s">
        <v>19</v>
      </c>
      <c r="N340" s="25"/>
      <c r="O340" s="26"/>
      <c r="P340" s="122" t="s">
        <v>17</v>
      </c>
      <c r="Q340" s="122"/>
      <c r="R340" s="102"/>
      <c r="S340" s="27"/>
      <c r="U340" s="118" t="s">
        <v>18</v>
      </c>
      <c r="V340" s="119"/>
      <c r="W340" s="120" t="s">
        <v>19</v>
      </c>
      <c r="Z340" s="25"/>
      <c r="AA340" s="26"/>
      <c r="AB340" s="122" t="s">
        <v>17</v>
      </c>
      <c r="AC340" s="122"/>
      <c r="AD340" s="102"/>
      <c r="AE340" s="27"/>
      <c r="AG340" s="118" t="s">
        <v>18</v>
      </c>
      <c r="AH340" s="119"/>
      <c r="AI340" s="120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21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21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21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91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91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91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91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91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91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91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91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91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91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91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91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91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9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9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2" t="s">
        <v>17</v>
      </c>
      <c r="E395" s="122"/>
      <c r="F395" s="103"/>
      <c r="G395" s="27"/>
      <c r="I395" s="118" t="s">
        <v>18</v>
      </c>
      <c r="J395" s="119"/>
      <c r="K395" s="120" t="s">
        <v>19</v>
      </c>
      <c r="N395" s="25"/>
      <c r="O395" s="26"/>
      <c r="P395" s="122" t="s">
        <v>17</v>
      </c>
      <c r="Q395" s="122"/>
      <c r="R395" s="103"/>
      <c r="S395" s="27"/>
      <c r="U395" s="118" t="s">
        <v>18</v>
      </c>
      <c r="V395" s="119"/>
      <c r="W395" s="120" t="s">
        <v>19</v>
      </c>
      <c r="Z395" s="25"/>
      <c r="AA395" s="26"/>
      <c r="AB395" s="122" t="s">
        <v>17</v>
      </c>
      <c r="AC395" s="122"/>
      <c r="AD395" s="103"/>
      <c r="AE395" s="27"/>
      <c r="AG395" s="118" t="s">
        <v>18</v>
      </c>
      <c r="AH395" s="119"/>
      <c r="AI395" s="120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21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21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21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91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91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9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9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2" t="s">
        <v>17</v>
      </c>
      <c r="E450" s="122"/>
      <c r="F450" s="104"/>
      <c r="G450" s="27"/>
      <c r="I450" s="118" t="s">
        <v>18</v>
      </c>
      <c r="J450" s="119"/>
      <c r="K450" s="120" t="s">
        <v>19</v>
      </c>
      <c r="N450" s="25"/>
      <c r="O450" s="26"/>
      <c r="P450" s="122" t="s">
        <v>17</v>
      </c>
      <c r="Q450" s="122"/>
      <c r="R450" s="104"/>
      <c r="S450" s="27"/>
      <c r="U450" s="118" t="s">
        <v>18</v>
      </c>
      <c r="V450" s="119"/>
      <c r="W450" s="120" t="s">
        <v>19</v>
      </c>
      <c r="Z450" s="25"/>
      <c r="AA450" s="26"/>
      <c r="AB450" s="122" t="s">
        <v>17</v>
      </c>
      <c r="AC450" s="122"/>
      <c r="AD450" s="104"/>
      <c r="AE450" s="27"/>
      <c r="AG450" s="118" t="s">
        <v>18</v>
      </c>
      <c r="AH450" s="119"/>
      <c r="AI450" s="120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21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21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21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91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91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9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9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2" t="s">
        <v>17</v>
      </c>
      <c r="E505" s="122"/>
      <c r="F505" s="105"/>
      <c r="G505" s="27"/>
      <c r="I505" s="118" t="s">
        <v>18</v>
      </c>
      <c r="J505" s="119"/>
      <c r="K505" s="120" t="s">
        <v>19</v>
      </c>
      <c r="N505" s="25"/>
      <c r="O505" s="26"/>
      <c r="P505" s="122" t="s">
        <v>17</v>
      </c>
      <c r="Q505" s="122"/>
      <c r="R505" s="105"/>
      <c r="S505" s="27"/>
      <c r="U505" s="118" t="s">
        <v>18</v>
      </c>
      <c r="V505" s="119"/>
      <c r="W505" s="120" t="s">
        <v>19</v>
      </c>
      <c r="Z505" s="25"/>
      <c r="AA505" s="26"/>
      <c r="AB505" s="122" t="s">
        <v>17</v>
      </c>
      <c r="AC505" s="122"/>
      <c r="AD505" s="105"/>
      <c r="AE505" s="27"/>
      <c r="AG505" s="118" t="s">
        <v>18</v>
      </c>
      <c r="AH505" s="119"/>
      <c r="AI505" s="120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21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21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21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91">
        <v>8420</v>
      </c>
      <c r="D507" s="32">
        <f>650+9.5</f>
        <v>659.5</v>
      </c>
      <c r="E507" s="32"/>
      <c r="F507" s="32"/>
      <c r="G507" s="32">
        <f t="shared" ref="G507:G540" si="157">SUM(D507:E507)</f>
        <v>659.5</v>
      </c>
      <c r="H507" s="12"/>
      <c r="I507" s="12"/>
      <c r="J507" s="12"/>
      <c r="K507" s="12">
        <f t="shared" ref="K507:K540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45" si="159">SUM(P508:Q508)</f>
        <v>16250</v>
      </c>
      <c r="T508" s="12"/>
      <c r="U508" s="12"/>
      <c r="V508" s="12"/>
      <c r="W508" s="12">
        <f t="shared" ref="W508:W548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0" si="161">SUM(AB508:AC508)</f>
        <v>34958</v>
      </c>
      <c r="AF508" s="12"/>
      <c r="AG508" s="12"/>
      <c r="AH508" s="12"/>
      <c r="AI508" s="12">
        <f t="shared" ref="AI508:AI539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6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17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13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39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91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91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91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91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91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67">SUM(AB540:AC540)</f>
        <v>0</v>
      </c>
      <c r="AF540" s="10"/>
      <c r="AG540" s="10"/>
      <c r="AH540" s="10"/>
      <c r="AI540" s="12">
        <f t="shared" ref="AI540:AI548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9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9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F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54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17"/>
      <c r="E560" s="117"/>
      <c r="F560" s="94"/>
      <c r="G560" s="94"/>
      <c r="H560" s="62"/>
      <c r="I560" s="117"/>
      <c r="J560" s="117"/>
      <c r="K560" s="116"/>
      <c r="N560" s="25"/>
      <c r="O560" s="26"/>
      <c r="P560" s="122" t="s">
        <v>17</v>
      </c>
      <c r="Q560" s="122"/>
      <c r="R560" s="106"/>
      <c r="S560" s="27"/>
      <c r="U560" s="118" t="s">
        <v>18</v>
      </c>
      <c r="V560" s="119"/>
      <c r="W560" s="120" t="s">
        <v>19</v>
      </c>
      <c r="Z560" s="25"/>
      <c r="AA560" s="26"/>
      <c r="AB560" s="122" t="s">
        <v>17</v>
      </c>
      <c r="AC560" s="122"/>
      <c r="AD560" s="106"/>
      <c r="AE560" s="27"/>
      <c r="AG560" s="118" t="s">
        <v>18</v>
      </c>
      <c r="AH560" s="119"/>
      <c r="AI560" s="120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16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21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21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69</v>
      </c>
      <c r="O562" s="31">
        <v>8465</v>
      </c>
      <c r="P562" s="32">
        <f>650*4+9.5*10</f>
        <v>2695</v>
      </c>
      <c r="Q562" s="32"/>
      <c r="R562" s="32"/>
      <c r="S562" s="32">
        <f>SUM(P562:Q562)</f>
        <v>2695</v>
      </c>
      <c r="T562" s="12"/>
      <c r="U562" s="12"/>
      <c r="V562" s="12">
        <f>-21*111</f>
        <v>-2331</v>
      </c>
      <c r="W562" s="12">
        <f>SUM(S562:V562)</f>
        <v>364</v>
      </c>
      <c r="Y562" s="10">
        <v>1</v>
      </c>
      <c r="Z562" s="30" t="s">
        <v>69</v>
      </c>
      <c r="AA562" s="31">
        <v>8390</v>
      </c>
      <c r="AB562" s="32">
        <f>125*650+912*2+872+229*5</f>
        <v>85091</v>
      </c>
      <c r="AC562" s="32">
        <f>-128*6</f>
        <v>-768</v>
      </c>
      <c r="AD562" s="32"/>
      <c r="AE562" s="32">
        <f>SUM(AB562:AC562)</f>
        <v>84323</v>
      </c>
      <c r="AF562" s="12"/>
      <c r="AG562" s="12"/>
      <c r="AH562" s="12"/>
      <c r="AI562" s="12">
        <f>SUM(AE562:AH562)</f>
        <v>84323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 t="s">
        <v>69</v>
      </c>
      <c r="O563" s="31">
        <f>O562+1</f>
        <v>8466</v>
      </c>
      <c r="P563" s="32">
        <f>650+622+19</f>
        <v>1291</v>
      </c>
      <c r="Q563" s="32"/>
      <c r="R563" s="32"/>
      <c r="S563" s="32">
        <f t="shared" ref="S563:S600" si="174">SUM(P563:Q563)</f>
        <v>1291</v>
      </c>
      <c r="T563" s="12"/>
      <c r="U563" s="12">
        <f>222+3</f>
        <v>225</v>
      </c>
      <c r="V563" s="12"/>
      <c r="W563" s="12">
        <f t="shared" ref="W563:W603" si="175">SUM(S563:V563)</f>
        <v>1516</v>
      </c>
      <c r="Y563" s="10">
        <v>2</v>
      </c>
      <c r="Z563" s="30" t="s">
        <v>69</v>
      </c>
      <c r="AA563" s="31">
        <f>AA562+1</f>
        <v>8391</v>
      </c>
      <c r="AB563" s="32">
        <f>32500+458</f>
        <v>32958</v>
      </c>
      <c r="AC563" s="32">
        <v>-300</v>
      </c>
      <c r="AD563" s="32"/>
      <c r="AE563" s="32">
        <f t="shared" ref="AE563:AE594" si="176">SUM(AB563:AC563)</f>
        <v>32658</v>
      </c>
      <c r="AF563" s="12"/>
      <c r="AG563" s="12">
        <v>72</v>
      </c>
      <c r="AH563" s="12"/>
      <c r="AI563" s="12">
        <f t="shared" ref="AI563:AI594" si="177">SUM(AE563:AH563)</f>
        <v>32730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 t="s">
        <v>69</v>
      </c>
      <c r="O564" s="31">
        <f t="shared" ref="O564:O565" si="178">O563+1</f>
        <v>8467</v>
      </c>
      <c r="P564" s="32">
        <f>132600+19282+916</f>
        <v>152798</v>
      </c>
      <c r="Q564" s="32">
        <v>-1410</v>
      </c>
      <c r="R564" s="32"/>
      <c r="S564" s="32">
        <f t="shared" si="174"/>
        <v>151388</v>
      </c>
      <c r="T564" s="12"/>
      <c r="U564" s="12"/>
      <c r="V564" s="12"/>
      <c r="W564" s="12">
        <f t="shared" si="175"/>
        <v>151388</v>
      </c>
      <c r="Y564" s="10">
        <v>3</v>
      </c>
      <c r="Z564" s="30" t="s">
        <v>69</v>
      </c>
      <c r="AA564" s="31">
        <f t="shared" ref="AA564:AA565" si="179">AA563+1</f>
        <v>8392</v>
      </c>
      <c r="AB564" s="33">
        <f>650*20+622*5</f>
        <v>16110</v>
      </c>
      <c r="AC564" s="33"/>
      <c r="AD564" s="32"/>
      <c r="AE564" s="32">
        <f t="shared" si="176"/>
        <v>16110</v>
      </c>
      <c r="AF564" s="12"/>
      <c r="AG564" s="12"/>
      <c r="AH564" s="12"/>
      <c r="AI564" s="12">
        <f t="shared" si="177"/>
        <v>16110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 t="s">
        <v>69</v>
      </c>
      <c r="O565" s="31">
        <f t="shared" si="178"/>
        <v>8468</v>
      </c>
      <c r="P565" s="32">
        <f>650*300+622*50+229*14</f>
        <v>229306</v>
      </c>
      <c r="Q565" s="32">
        <v>-2100</v>
      </c>
      <c r="R565" s="32"/>
      <c r="S565" s="32">
        <f t="shared" si="174"/>
        <v>227206</v>
      </c>
      <c r="T565" s="12"/>
      <c r="U565" s="12">
        <v>858</v>
      </c>
      <c r="V565" s="12">
        <v>-11988</v>
      </c>
      <c r="W565" s="12">
        <f t="shared" si="175"/>
        <v>216076</v>
      </c>
      <c r="Y565" s="10">
        <v>4</v>
      </c>
      <c r="Z565" s="30" t="s">
        <v>69</v>
      </c>
      <c r="AA565" s="31">
        <f t="shared" si="179"/>
        <v>8393</v>
      </c>
      <c r="AB565" s="32">
        <f>650*10</f>
        <v>6500</v>
      </c>
      <c r="AC565" s="32"/>
      <c r="AD565" s="32"/>
      <c r="AE565" s="32">
        <f t="shared" si="176"/>
        <v>6500</v>
      </c>
      <c r="AF565" s="12"/>
      <c r="AH565" s="12"/>
      <c r="AI565" s="12">
        <f t="shared" si="177"/>
        <v>6500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11" t="s">
        <v>27</v>
      </c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/>
      <c r="AA566" s="11" t="s">
        <v>27</v>
      </c>
      <c r="AB566" s="32"/>
      <c r="AC566" s="32"/>
      <c r="AD566" s="32"/>
      <c r="AE566" s="32">
        <f t="shared" si="176"/>
        <v>0</v>
      </c>
      <c r="AF566" s="12"/>
      <c r="AG566" s="12"/>
      <c r="AH566" s="12"/>
      <c r="AI566" s="12">
        <f t="shared" si="177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31"/>
      <c r="AB567" s="32"/>
      <c r="AC567" s="32"/>
      <c r="AD567" s="32"/>
      <c r="AE567" s="32">
        <f t="shared" si="176"/>
        <v>0</v>
      </c>
      <c r="AF567" s="12"/>
      <c r="AG567" s="12"/>
      <c r="AH567" s="10"/>
      <c r="AI567" s="12">
        <f t="shared" si="177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76"/>
        <v>0</v>
      </c>
      <c r="AF568" s="12"/>
      <c r="AG568" s="58"/>
      <c r="AH568" s="12"/>
      <c r="AI568" s="12">
        <f t="shared" si="177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76"/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76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76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76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76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76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76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76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76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76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76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6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76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B582" s="46"/>
      <c r="AC582" s="31"/>
      <c r="AD582" s="31"/>
      <c r="AE582" s="32">
        <f t="shared" si="176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76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76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6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76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76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6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6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6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76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76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6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6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80">SUM(AB595:AC595)</f>
        <v>0</v>
      </c>
      <c r="AF595" s="10"/>
      <c r="AG595" s="10"/>
      <c r="AH595" s="10"/>
      <c r="AI595" s="12">
        <f t="shared" ref="AI595:AI603" si="181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8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8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8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8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8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2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3">SUM(AB602:AC602)</f>
        <v>0</v>
      </c>
      <c r="AF602" s="10"/>
      <c r="AG602" s="10"/>
      <c r="AH602" s="10"/>
      <c r="AI602" s="12">
        <f t="shared" si="18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386090</v>
      </c>
      <c r="Q605" s="38">
        <f>SUM(Q562:Q586)</f>
        <v>-3510</v>
      </c>
      <c r="R605" s="38">
        <f>SUM(R562:R586)</f>
        <v>0</v>
      </c>
      <c r="S605" s="38">
        <f>SUM(S562:S604)</f>
        <v>382580</v>
      </c>
      <c r="T605" s="4"/>
      <c r="U605" s="41">
        <f>SUM(U562:U604)</f>
        <v>1083</v>
      </c>
      <c r="V605" s="41">
        <f>SUM(V562:V586)</f>
        <v>-14319</v>
      </c>
      <c r="W605" s="42">
        <f>SUM(W562:W604)</f>
        <v>369344</v>
      </c>
      <c r="Z605" s="57"/>
      <c r="AA605" s="57"/>
      <c r="AB605" s="38">
        <f>SUM(AB562:AB604)</f>
        <v>140659</v>
      </c>
      <c r="AC605" s="38">
        <f>SUM(AC562:AC586)</f>
        <v>-1068</v>
      </c>
      <c r="AD605" s="38">
        <f>SUM(AD562:AD586)</f>
        <v>0</v>
      </c>
      <c r="AE605" s="38">
        <f>SUM(AE562:AE604)</f>
        <v>139591</v>
      </c>
      <c r="AF605" s="4"/>
      <c r="AG605" s="41">
        <f>SUM(AG562:AG604)</f>
        <v>72</v>
      </c>
      <c r="AH605" s="41">
        <f>SUM(AH562:AH586)</f>
        <v>0</v>
      </c>
      <c r="AI605" s="42">
        <f>SUM(AI562:AI604)</f>
        <v>139663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56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56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56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71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54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2" t="s">
        <v>17</v>
      </c>
      <c r="E615" s="122"/>
      <c r="F615" s="107"/>
      <c r="G615" s="27"/>
      <c r="I615" s="118" t="s">
        <v>18</v>
      </c>
      <c r="J615" s="119"/>
      <c r="K615" s="120" t="s">
        <v>19</v>
      </c>
      <c r="N615" s="25"/>
      <c r="O615" s="26"/>
      <c r="P615" s="122" t="s">
        <v>17</v>
      </c>
      <c r="Q615" s="122"/>
      <c r="R615" s="107"/>
      <c r="S615" s="27"/>
      <c r="U615" s="118" t="s">
        <v>18</v>
      </c>
      <c r="V615" s="119"/>
      <c r="W615" s="120" t="s">
        <v>19</v>
      </c>
      <c r="Z615" s="25"/>
      <c r="AA615" s="26"/>
      <c r="AB615" s="122" t="s">
        <v>17</v>
      </c>
      <c r="AC615" s="122"/>
      <c r="AD615" s="107"/>
      <c r="AE615" s="27"/>
      <c r="AG615" s="118" t="s">
        <v>18</v>
      </c>
      <c r="AH615" s="119"/>
      <c r="AI615" s="120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21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21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21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72</v>
      </c>
      <c r="C617" s="91">
        <v>8430</v>
      </c>
      <c r="D617" s="32">
        <f>650*432+229*15</f>
        <v>284235</v>
      </c>
      <c r="E617" s="32">
        <v>-2592</v>
      </c>
      <c r="F617" s="32"/>
      <c r="G617" s="32">
        <f t="shared" ref="G617:G650" si="184">SUM(D617:E617)</f>
        <v>281643</v>
      </c>
      <c r="H617" s="12"/>
      <c r="I617" s="12">
        <v>780</v>
      </c>
      <c r="J617" s="12">
        <f>-2400+-11877+-10878+-5040</f>
        <v>-30195</v>
      </c>
      <c r="K617" s="12">
        <f t="shared" ref="K617:K650" si="185">SUM(G617:J617)</f>
        <v>252228</v>
      </c>
      <c r="M617" s="10">
        <v>1</v>
      </c>
      <c r="N617" s="30" t="s">
        <v>72</v>
      </c>
      <c r="O617" s="31">
        <v>8469</v>
      </c>
      <c r="P617" s="32">
        <f>650*2+9.5*2</f>
        <v>1319</v>
      </c>
      <c r="Q617" s="32"/>
      <c r="R617" s="32"/>
      <c r="S617" s="32">
        <f>SUM(P617:Q617)</f>
        <v>1319</v>
      </c>
      <c r="T617" s="12"/>
      <c r="U617" s="12">
        <v>3</v>
      </c>
      <c r="V617" s="12"/>
      <c r="W617" s="12">
        <f>SUM(S617:V617)</f>
        <v>1322</v>
      </c>
      <c r="Y617" s="10">
        <v>1</v>
      </c>
      <c r="Z617" s="30" t="s">
        <v>72</v>
      </c>
      <c r="AA617" s="31">
        <v>8394</v>
      </c>
      <c r="AB617" s="32">
        <f>650*291+229*5</f>
        <v>190295</v>
      </c>
      <c r="AC617" s="32">
        <f>-291*6</f>
        <v>-1746</v>
      </c>
      <c r="AD617" s="32"/>
      <c r="AE617" s="32">
        <f>SUM(AB617:AC617)</f>
        <v>188549</v>
      </c>
      <c r="AF617" s="12"/>
      <c r="AG617" s="12"/>
      <c r="AH617" s="12">
        <v>-11100</v>
      </c>
      <c r="AI617" s="12">
        <f>SUM(AE617:AH617)</f>
        <v>177449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72</v>
      </c>
      <c r="C618" s="31">
        <f>C617+1</f>
        <v>8431</v>
      </c>
      <c r="D618" s="32">
        <f>650*21+670*25+622*7+229</f>
        <v>34983</v>
      </c>
      <c r="E618" s="32"/>
      <c r="F618" s="32"/>
      <c r="G618" s="32">
        <f t="shared" si="184"/>
        <v>34983</v>
      </c>
      <c r="H618" s="12"/>
      <c r="I618" s="12"/>
      <c r="J618" s="12">
        <v>-3774</v>
      </c>
      <c r="K618" s="12">
        <f t="shared" si="185"/>
        <v>31209</v>
      </c>
      <c r="M618" s="10">
        <v>2</v>
      </c>
      <c r="N618" s="30" t="s">
        <v>72</v>
      </c>
      <c r="O618" s="31">
        <f>O617+1</f>
        <v>8470</v>
      </c>
      <c r="P618" s="32">
        <f>650*10+9.5*10</f>
        <v>6595</v>
      </c>
      <c r="Q618" s="32"/>
      <c r="R618" s="32"/>
      <c r="S618" s="32">
        <f t="shared" ref="S618:S655" si="186">SUM(P618:Q618)</f>
        <v>6595</v>
      </c>
      <c r="T618" s="12"/>
      <c r="U618" s="12">
        <v>12</v>
      </c>
      <c r="V618" s="12"/>
      <c r="W618" s="12">
        <f t="shared" ref="W618:W658" si="187">SUM(S618:V618)</f>
        <v>6607</v>
      </c>
      <c r="Y618" s="10">
        <v>2</v>
      </c>
      <c r="Z618" s="30" t="s">
        <v>72</v>
      </c>
      <c r="AA618" s="31">
        <f>AA617+1</f>
        <v>8395</v>
      </c>
      <c r="AB618" s="32">
        <f>650*50+622*5+1050</f>
        <v>36660</v>
      </c>
      <c r="AC618" s="32">
        <f>-56*6</f>
        <v>-336</v>
      </c>
      <c r="AD618" s="32"/>
      <c r="AE618" s="32">
        <f t="shared" ref="AE618:AE649" si="188">SUM(AB618:AC618)</f>
        <v>36324</v>
      </c>
      <c r="AF618" s="12"/>
      <c r="AG618" s="12"/>
      <c r="AH618" s="12"/>
      <c r="AI618" s="12">
        <f t="shared" ref="AI618:AI649" si="189">SUM(AE618:AH618)</f>
        <v>36324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72</v>
      </c>
      <c r="C619" s="31">
        <f t="shared" ref="C619" si="190">C618+1</f>
        <v>8432</v>
      </c>
      <c r="D619" s="33">
        <f>32500+622*3+229</f>
        <v>34595</v>
      </c>
      <c r="E619" s="33"/>
      <c r="F619" s="33"/>
      <c r="G619" s="33">
        <f t="shared" si="184"/>
        <v>34595</v>
      </c>
      <c r="H619" s="34"/>
      <c r="I619" s="34">
        <v>261</v>
      </c>
      <c r="J619" s="34"/>
      <c r="K619" s="34">
        <f t="shared" si="185"/>
        <v>34856</v>
      </c>
      <c r="M619" s="10">
        <v>3</v>
      </c>
      <c r="N619" s="30" t="s">
        <v>72</v>
      </c>
      <c r="O619" s="31">
        <f t="shared" ref="O619:O636" si="191">O618+1</f>
        <v>8471</v>
      </c>
      <c r="P619" s="32">
        <f>650*13+622*5+9.5*18</f>
        <v>11731</v>
      </c>
      <c r="Q619" s="32"/>
      <c r="R619" s="32"/>
      <c r="S619" s="32">
        <f t="shared" si="186"/>
        <v>11731</v>
      </c>
      <c r="T619" s="12"/>
      <c r="U619" s="12"/>
      <c r="V619" s="12"/>
      <c r="W619" s="12">
        <f t="shared" si="187"/>
        <v>11731</v>
      </c>
      <c r="Y619" s="10">
        <v>3</v>
      </c>
      <c r="Z619" s="30" t="s">
        <v>72</v>
      </c>
      <c r="AA619" s="31">
        <f t="shared" ref="AA619" si="192">AA618+1</f>
        <v>8396</v>
      </c>
      <c r="AB619" s="33">
        <f>650*79+622*10</f>
        <v>57570</v>
      </c>
      <c r="AC619" s="33"/>
      <c r="AD619" s="32"/>
      <c r="AE619" s="32">
        <f t="shared" si="188"/>
        <v>57570</v>
      </c>
      <c r="AF619" s="12"/>
      <c r="AG619" s="12"/>
      <c r="AH619" s="12"/>
      <c r="AI619" s="12">
        <f t="shared" si="189"/>
        <v>57570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84"/>
        <v>0</v>
      </c>
      <c r="H620" s="12"/>
      <c r="I620" s="12"/>
      <c r="J620" s="12"/>
      <c r="K620" s="12">
        <f t="shared" si="185"/>
        <v>0</v>
      </c>
      <c r="M620" s="10">
        <v>4</v>
      </c>
      <c r="N620" s="30" t="s">
        <v>72</v>
      </c>
      <c r="O620" s="31">
        <f t="shared" si="191"/>
        <v>8472</v>
      </c>
      <c r="P620" s="32">
        <f>650*6+9.5*6</f>
        <v>3957</v>
      </c>
      <c r="Q620" s="32"/>
      <c r="R620" s="32"/>
      <c r="S620" s="32">
        <f t="shared" si="186"/>
        <v>3957</v>
      </c>
      <c r="T620" s="12"/>
      <c r="U620" s="12"/>
      <c r="V620" s="12"/>
      <c r="W620" s="12">
        <f t="shared" si="187"/>
        <v>3957</v>
      </c>
      <c r="Y620" s="10">
        <v>4</v>
      </c>
      <c r="Z620" s="30"/>
      <c r="AA620" s="11" t="s">
        <v>27</v>
      </c>
      <c r="AB620" s="32"/>
      <c r="AC620" s="32"/>
      <c r="AD620" s="32"/>
      <c r="AE620" s="32">
        <f t="shared" si="188"/>
        <v>0</v>
      </c>
      <c r="AF620" s="12"/>
      <c r="AH620" s="12"/>
      <c r="AI620" s="12">
        <f t="shared" si="189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84"/>
        <v>0</v>
      </c>
      <c r="H621" s="12"/>
      <c r="I621" s="12"/>
      <c r="J621" s="12"/>
      <c r="K621" s="12">
        <f t="shared" si="185"/>
        <v>0</v>
      </c>
      <c r="M621" s="10">
        <v>5</v>
      </c>
      <c r="N621" s="30" t="s">
        <v>72</v>
      </c>
      <c r="O621" s="31">
        <f t="shared" si="191"/>
        <v>8473</v>
      </c>
      <c r="P621" s="32">
        <f>650+9.5</f>
        <v>659.5</v>
      </c>
      <c r="Q621" s="32"/>
      <c r="R621" s="32"/>
      <c r="S621" s="32">
        <f t="shared" si="186"/>
        <v>659.5</v>
      </c>
      <c r="T621" s="12"/>
      <c r="U621" s="12"/>
      <c r="V621" s="12"/>
      <c r="W621" s="12">
        <f t="shared" si="187"/>
        <v>659.5</v>
      </c>
      <c r="Y621" s="10">
        <v>5</v>
      </c>
      <c r="Z621" s="30"/>
      <c r="AA621" s="11"/>
      <c r="AB621" s="32"/>
      <c r="AC621" s="32"/>
      <c r="AD621" s="32"/>
      <c r="AE621" s="32">
        <f t="shared" si="188"/>
        <v>0</v>
      </c>
      <c r="AF621" s="12"/>
      <c r="AG621" s="12"/>
      <c r="AH621" s="12"/>
      <c r="AI621" s="12">
        <f t="shared" si="189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84"/>
        <v>0</v>
      </c>
      <c r="H622" s="12"/>
      <c r="I622" s="12"/>
      <c r="J622" s="12"/>
      <c r="K622" s="12">
        <f t="shared" si="185"/>
        <v>0</v>
      </c>
      <c r="M622" s="10">
        <v>6</v>
      </c>
      <c r="N622" s="30" t="s">
        <v>72</v>
      </c>
      <c r="O622" s="31">
        <f t="shared" si="191"/>
        <v>8474</v>
      </c>
      <c r="P622" s="32">
        <f>622*2+19</f>
        <v>1263</v>
      </c>
      <c r="Q622" s="32"/>
      <c r="R622" s="32"/>
      <c r="S622" s="32">
        <f t="shared" si="186"/>
        <v>1263</v>
      </c>
      <c r="T622" s="12"/>
      <c r="U622" s="12"/>
      <c r="V622" s="10"/>
      <c r="W622" s="12">
        <f t="shared" si="187"/>
        <v>1263</v>
      </c>
      <c r="Y622" s="10">
        <v>6</v>
      </c>
      <c r="Z622" s="30"/>
      <c r="AA622" s="31"/>
      <c r="AB622" s="32"/>
      <c r="AC622" s="32"/>
      <c r="AD622" s="32"/>
      <c r="AE622" s="32">
        <f t="shared" si="188"/>
        <v>0</v>
      </c>
      <c r="AF622" s="12"/>
      <c r="AG622" s="12"/>
      <c r="AH622" s="10"/>
      <c r="AI622" s="12">
        <f t="shared" si="189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84"/>
        <v>0</v>
      </c>
      <c r="H623" s="12"/>
      <c r="I623" s="12"/>
      <c r="J623" s="12"/>
      <c r="K623" s="12">
        <f t="shared" si="185"/>
        <v>0</v>
      </c>
      <c r="M623" s="10">
        <v>7</v>
      </c>
      <c r="N623" s="30" t="s">
        <v>72</v>
      </c>
      <c r="O623" s="31">
        <f t="shared" si="191"/>
        <v>8475</v>
      </c>
      <c r="P623" s="32">
        <f>650*11+9.5*11</f>
        <v>7254.5</v>
      </c>
      <c r="Q623" s="32"/>
      <c r="R623" s="32"/>
      <c r="S623" s="32">
        <f t="shared" si="186"/>
        <v>7254.5</v>
      </c>
      <c r="T623" s="12"/>
      <c r="U623" s="12"/>
      <c r="V623" s="12"/>
      <c r="W623" s="12">
        <f t="shared" si="187"/>
        <v>7254.5</v>
      </c>
      <c r="Y623" s="10">
        <v>7</v>
      </c>
      <c r="Z623" s="30"/>
      <c r="AA623" s="31"/>
      <c r="AB623" s="32"/>
      <c r="AC623" s="32"/>
      <c r="AD623" s="32"/>
      <c r="AE623" s="32">
        <f t="shared" si="188"/>
        <v>0</v>
      </c>
      <c r="AF623" s="12"/>
      <c r="AG623" s="58"/>
      <c r="AH623" s="12"/>
      <c r="AI623" s="12">
        <f t="shared" si="189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84"/>
        <v>0</v>
      </c>
      <c r="H624" s="12"/>
      <c r="I624" s="12"/>
      <c r="J624" s="12"/>
      <c r="K624" s="12">
        <f t="shared" si="185"/>
        <v>0</v>
      </c>
      <c r="M624" s="10">
        <v>8</v>
      </c>
      <c r="N624" s="30" t="s">
        <v>72</v>
      </c>
      <c r="O624" s="31">
        <f t="shared" si="191"/>
        <v>8476</v>
      </c>
      <c r="P624" s="32">
        <f>650*2+19</f>
        <v>1319</v>
      </c>
      <c r="Q624" s="32"/>
      <c r="R624" s="32"/>
      <c r="S624" s="32">
        <f t="shared" si="186"/>
        <v>1319</v>
      </c>
      <c r="T624" s="12"/>
      <c r="U624" s="12"/>
      <c r="V624" s="12"/>
      <c r="W624" s="12">
        <f t="shared" si="187"/>
        <v>1319</v>
      </c>
      <c r="Y624" s="10">
        <v>8</v>
      </c>
      <c r="Z624" s="30"/>
      <c r="AB624" s="32"/>
      <c r="AC624" s="32"/>
      <c r="AE624" s="32">
        <f t="shared" si="188"/>
        <v>0</v>
      </c>
      <c r="AF624" s="12"/>
      <c r="AG624" s="12"/>
      <c r="AH624" s="12"/>
      <c r="AI624" s="12">
        <f t="shared" si="189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84"/>
        <v>0</v>
      </c>
      <c r="H625" s="12"/>
      <c r="I625" s="12"/>
      <c r="J625" s="12"/>
      <c r="K625" s="12">
        <f t="shared" si="185"/>
        <v>0</v>
      </c>
      <c r="M625" s="10">
        <v>9</v>
      </c>
      <c r="N625" s="30" t="s">
        <v>72</v>
      </c>
      <c r="O625" s="31">
        <f t="shared" si="191"/>
        <v>8477</v>
      </c>
      <c r="P625" s="32">
        <f>1300+19</f>
        <v>1319</v>
      </c>
      <c r="Q625" s="32"/>
      <c r="R625" s="32"/>
      <c r="S625" s="32">
        <f t="shared" si="186"/>
        <v>1319</v>
      </c>
      <c r="T625" s="12"/>
      <c r="U625" s="12"/>
      <c r="V625" s="12"/>
      <c r="W625" s="12">
        <f t="shared" si="187"/>
        <v>1319</v>
      </c>
      <c r="Y625" s="10">
        <v>9</v>
      </c>
      <c r="Z625" s="30"/>
      <c r="AA625" s="31"/>
      <c r="AB625" s="32"/>
      <c r="AC625" s="32"/>
      <c r="AD625" s="32"/>
      <c r="AE625" s="32">
        <f t="shared" si="188"/>
        <v>0</v>
      </c>
      <c r="AF625" s="12"/>
      <c r="AH625" s="12"/>
      <c r="AI625" s="12">
        <f t="shared" si="189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84"/>
        <v>0</v>
      </c>
      <c r="H626" s="12"/>
      <c r="I626" s="12"/>
      <c r="J626" s="12"/>
      <c r="K626" s="12">
        <f t="shared" si="185"/>
        <v>0</v>
      </c>
      <c r="M626" s="10">
        <v>10</v>
      </c>
      <c r="N626" s="30" t="s">
        <v>72</v>
      </c>
      <c r="O626" s="31">
        <f t="shared" si="191"/>
        <v>8478</v>
      </c>
      <c r="P626" s="32">
        <f>5200+1244+229</f>
        <v>6673</v>
      </c>
      <c r="Q626" s="32"/>
      <c r="R626" s="32"/>
      <c r="S626" s="32">
        <f t="shared" si="186"/>
        <v>6673</v>
      </c>
      <c r="T626" s="12"/>
      <c r="U626" s="12">
        <v>1.5</v>
      </c>
      <c r="V626" s="12"/>
      <c r="W626" s="12">
        <f t="shared" si="187"/>
        <v>6674.5</v>
      </c>
      <c r="Y626" s="10">
        <v>10</v>
      </c>
      <c r="Z626" s="30"/>
      <c r="AA626" s="31"/>
      <c r="AB626" s="32"/>
      <c r="AC626" s="32"/>
      <c r="AD626" s="32"/>
      <c r="AE626" s="32">
        <f t="shared" si="188"/>
        <v>0</v>
      </c>
      <c r="AF626" s="12"/>
      <c r="AG626" s="12"/>
      <c r="AH626" s="12"/>
      <c r="AI626" s="12">
        <f t="shared" si="189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84"/>
        <v>0</v>
      </c>
      <c r="H627" s="12"/>
      <c r="I627" s="12"/>
      <c r="J627" s="12"/>
      <c r="K627" s="12">
        <f t="shared" si="185"/>
        <v>0</v>
      </c>
      <c r="M627" s="10">
        <v>11</v>
      </c>
      <c r="N627" s="30" t="s">
        <v>72</v>
      </c>
      <c r="O627" s="31">
        <f t="shared" si="191"/>
        <v>8479</v>
      </c>
      <c r="P627" s="32">
        <f>1300+622*3+47.5</f>
        <v>3213.5</v>
      </c>
      <c r="Q627" s="32"/>
      <c r="R627" s="32"/>
      <c r="S627" s="32">
        <f t="shared" si="186"/>
        <v>3213.5</v>
      </c>
      <c r="T627" s="12"/>
      <c r="U627" s="12"/>
      <c r="V627" s="12"/>
      <c r="W627" s="12">
        <f t="shared" si="187"/>
        <v>3213.5</v>
      </c>
      <c r="Y627" s="10">
        <v>11</v>
      </c>
      <c r="Z627" s="30"/>
      <c r="AA627" s="31"/>
      <c r="AB627" s="32"/>
      <c r="AC627" s="32"/>
      <c r="AD627" s="32"/>
      <c r="AE627" s="32">
        <f t="shared" si="188"/>
        <v>0</v>
      </c>
      <c r="AF627" s="12"/>
      <c r="AG627" s="12"/>
      <c r="AH627" s="12"/>
      <c r="AI627" s="12">
        <f t="shared" si="189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84"/>
        <v>0</v>
      </c>
      <c r="H628" s="12"/>
      <c r="I628" s="12"/>
      <c r="J628" s="10"/>
      <c r="K628" s="12">
        <f t="shared" si="185"/>
        <v>0</v>
      </c>
      <c r="M628" s="10">
        <v>12</v>
      </c>
      <c r="N628" s="30" t="s">
        <v>72</v>
      </c>
      <c r="O628" s="31">
        <f t="shared" si="191"/>
        <v>8480</v>
      </c>
      <c r="P628" s="32">
        <f>650*4+670+1244+9.5*6</f>
        <v>4571</v>
      </c>
      <c r="Q628" s="32"/>
      <c r="R628" s="32"/>
      <c r="S628" s="32">
        <f t="shared" si="186"/>
        <v>4571</v>
      </c>
      <c r="T628" s="12"/>
      <c r="U628" s="12"/>
      <c r="V628" s="12"/>
      <c r="W628" s="12">
        <f t="shared" si="187"/>
        <v>4571</v>
      </c>
      <c r="Y628" s="10">
        <v>12</v>
      </c>
      <c r="Z628" s="30"/>
      <c r="AA628" s="31"/>
      <c r="AB628" s="32"/>
      <c r="AC628" s="32"/>
      <c r="AD628" s="32"/>
      <c r="AE628" s="32">
        <f t="shared" si="188"/>
        <v>0</v>
      </c>
      <c r="AF628" s="12"/>
      <c r="AG628" s="12"/>
      <c r="AH628" s="12"/>
      <c r="AI628" s="12">
        <f t="shared" si="189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11"/>
      <c r="D629" s="32"/>
      <c r="E629" s="32"/>
      <c r="F629" s="32"/>
      <c r="G629" s="32">
        <f t="shared" si="184"/>
        <v>0</v>
      </c>
      <c r="H629" s="12"/>
      <c r="I629" s="12"/>
      <c r="J629" s="12"/>
      <c r="K629" s="12">
        <f t="shared" si="185"/>
        <v>0</v>
      </c>
      <c r="M629" s="10">
        <v>13</v>
      </c>
      <c r="N629" s="30" t="s">
        <v>72</v>
      </c>
      <c r="O629" s="31">
        <f t="shared" si="191"/>
        <v>8481</v>
      </c>
      <c r="P629" s="32">
        <f>1300+622*2+38</f>
        <v>2582</v>
      </c>
      <c r="Q629" s="32"/>
      <c r="R629" s="32"/>
      <c r="S629" s="32">
        <f t="shared" si="186"/>
        <v>2582</v>
      </c>
      <c r="T629" s="12"/>
      <c r="U629" s="12">
        <v>6</v>
      </c>
      <c r="V629" s="12"/>
      <c r="W629" s="12">
        <f t="shared" si="187"/>
        <v>2588</v>
      </c>
      <c r="Y629" s="10">
        <v>13</v>
      </c>
      <c r="Z629" s="30"/>
      <c r="AA629" s="31"/>
      <c r="AB629" s="32"/>
      <c r="AC629" s="32"/>
      <c r="AD629" s="32"/>
      <c r="AE629" s="32">
        <f t="shared" si="188"/>
        <v>0</v>
      </c>
      <c r="AF629" s="12"/>
      <c r="AG629" s="12"/>
      <c r="AH629" s="12"/>
      <c r="AI629" s="12">
        <f t="shared" si="189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84"/>
        <v>0</v>
      </c>
      <c r="H630" s="12"/>
      <c r="I630" s="12"/>
      <c r="J630" s="12"/>
      <c r="K630" s="12">
        <f t="shared" si="185"/>
        <v>0</v>
      </c>
      <c r="M630" s="10">
        <v>14</v>
      </c>
      <c r="N630" s="30" t="s">
        <v>72</v>
      </c>
      <c r="O630" s="31">
        <f t="shared" si="191"/>
        <v>8482</v>
      </c>
      <c r="P630" s="32">
        <f>1300+622+9.5*3</f>
        <v>1950.5</v>
      </c>
      <c r="Q630" s="32"/>
      <c r="R630" s="32"/>
      <c r="S630" s="32">
        <f t="shared" si="186"/>
        <v>1950.5</v>
      </c>
      <c r="T630" s="12"/>
      <c r="U630" s="12"/>
      <c r="V630" s="12"/>
      <c r="W630" s="12">
        <f t="shared" si="187"/>
        <v>1950.5</v>
      </c>
      <c r="Y630" s="10">
        <v>14</v>
      </c>
      <c r="Z630" s="30"/>
      <c r="AA630" s="31"/>
      <c r="AB630" s="32"/>
      <c r="AC630" s="32"/>
      <c r="AD630" s="32"/>
      <c r="AE630" s="32">
        <f t="shared" si="188"/>
        <v>0</v>
      </c>
      <c r="AF630" s="12"/>
      <c r="AG630" s="12"/>
      <c r="AH630" s="12"/>
      <c r="AI630" s="12">
        <f t="shared" si="189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31"/>
      <c r="D631" s="32"/>
      <c r="E631" s="32"/>
      <c r="F631" s="32"/>
      <c r="G631" s="32">
        <f t="shared" si="184"/>
        <v>0</v>
      </c>
      <c r="H631" s="12"/>
      <c r="I631" s="12"/>
      <c r="J631" s="12"/>
      <c r="K631" s="12">
        <f t="shared" si="185"/>
        <v>0</v>
      </c>
      <c r="M631" s="10">
        <v>15</v>
      </c>
      <c r="N631" s="30" t="s">
        <v>72</v>
      </c>
      <c r="O631" s="31">
        <f t="shared" si="191"/>
        <v>8483</v>
      </c>
      <c r="P631" s="32">
        <f>670+622+9.5</f>
        <v>1301.5</v>
      </c>
      <c r="Q631" s="32"/>
      <c r="R631" s="32"/>
      <c r="S631" s="32">
        <f t="shared" si="186"/>
        <v>1301.5</v>
      </c>
      <c r="T631" s="12"/>
      <c r="U631" s="12"/>
      <c r="V631" s="12"/>
      <c r="W631" s="12">
        <f t="shared" si="187"/>
        <v>1301.5</v>
      </c>
      <c r="Y631" s="10">
        <v>15</v>
      </c>
      <c r="Z631" s="30"/>
      <c r="AA631" s="31"/>
      <c r="AB631" s="32"/>
      <c r="AC631" s="32"/>
      <c r="AD631" s="32"/>
      <c r="AE631" s="32">
        <f t="shared" si="188"/>
        <v>0</v>
      </c>
      <c r="AF631" s="12"/>
      <c r="AG631" s="12"/>
      <c r="AH631" s="12"/>
      <c r="AI631" s="12">
        <f t="shared" si="189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84"/>
        <v>0</v>
      </c>
      <c r="H632" s="12"/>
      <c r="I632" s="12"/>
      <c r="J632" s="12"/>
      <c r="K632" s="12">
        <f t="shared" si="185"/>
        <v>0</v>
      </c>
      <c r="M632" s="10">
        <v>16</v>
      </c>
      <c r="N632" s="30" t="s">
        <v>72</v>
      </c>
      <c r="O632" s="31">
        <f t="shared" si="191"/>
        <v>8484</v>
      </c>
      <c r="P632" s="32">
        <f>650+9.5</f>
        <v>659.5</v>
      </c>
      <c r="Q632" s="32"/>
      <c r="R632" s="32"/>
      <c r="S632" s="32">
        <f t="shared" si="186"/>
        <v>659.5</v>
      </c>
      <c r="T632" s="12"/>
      <c r="U632" s="12"/>
      <c r="V632" s="12"/>
      <c r="W632" s="12">
        <f t="shared" si="187"/>
        <v>659.5</v>
      </c>
      <c r="Y632" s="10">
        <v>16</v>
      </c>
      <c r="Z632" s="30"/>
      <c r="AA632" s="31"/>
      <c r="AB632" s="32"/>
      <c r="AC632" s="32"/>
      <c r="AD632" s="32"/>
      <c r="AE632" s="32">
        <f t="shared" si="188"/>
        <v>0</v>
      </c>
      <c r="AF632" s="12"/>
      <c r="AG632" s="12"/>
      <c r="AH632" s="12"/>
      <c r="AI632" s="12">
        <f t="shared" si="189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84"/>
        <v>0</v>
      </c>
      <c r="H633" s="12"/>
      <c r="I633" s="12"/>
      <c r="J633" s="12"/>
      <c r="K633" s="12">
        <f t="shared" si="185"/>
        <v>0</v>
      </c>
      <c r="M633" s="10">
        <v>17</v>
      </c>
      <c r="N633" s="30" t="s">
        <v>72</v>
      </c>
      <c r="O633" s="31">
        <f t="shared" si="191"/>
        <v>8485</v>
      </c>
      <c r="P633" s="35">
        <f>670</f>
        <v>670</v>
      </c>
      <c r="Q633" s="32"/>
      <c r="R633" s="32"/>
      <c r="S633" s="32">
        <f t="shared" si="186"/>
        <v>670</v>
      </c>
      <c r="T633" s="12"/>
      <c r="U633" s="12"/>
      <c r="V633" s="12"/>
      <c r="W633" s="12">
        <f t="shared" si="187"/>
        <v>670</v>
      </c>
      <c r="Y633" s="10">
        <v>17</v>
      </c>
      <c r="Z633" s="30"/>
      <c r="AA633" s="31"/>
      <c r="AB633" s="35"/>
      <c r="AC633" s="32"/>
      <c r="AD633" s="32"/>
      <c r="AE633" s="32">
        <f t="shared" si="188"/>
        <v>0</v>
      </c>
      <c r="AF633" s="12"/>
      <c r="AG633" s="12"/>
      <c r="AH633" s="12"/>
      <c r="AI633" s="12">
        <f t="shared" si="189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84"/>
        <v>0</v>
      </c>
      <c r="H634" s="12"/>
      <c r="I634" s="12"/>
      <c r="J634" s="12"/>
      <c r="K634" s="12">
        <f t="shared" si="185"/>
        <v>0</v>
      </c>
      <c r="M634" s="10">
        <v>18</v>
      </c>
      <c r="N634" s="30" t="s">
        <v>72</v>
      </c>
      <c r="O634" s="31">
        <f t="shared" si="191"/>
        <v>8486</v>
      </c>
      <c r="P634" s="32">
        <f>650*216+229*8+9.5*23</f>
        <v>142450.5</v>
      </c>
      <c r="Q634" s="32">
        <v>-1296</v>
      </c>
      <c r="R634" s="32"/>
      <c r="S634" s="32">
        <f t="shared" si="186"/>
        <v>141154.5</v>
      </c>
      <c r="T634" s="12"/>
      <c r="U634" s="12">
        <v>258</v>
      </c>
      <c r="V634" s="12">
        <v>-23976</v>
      </c>
      <c r="W634" s="12">
        <f t="shared" si="187"/>
        <v>117436.5</v>
      </c>
      <c r="Y634" s="10">
        <v>18</v>
      </c>
      <c r="Z634" s="30"/>
      <c r="AA634" s="31"/>
      <c r="AB634" s="32"/>
      <c r="AC634" s="32"/>
      <c r="AD634" s="32"/>
      <c r="AE634" s="32">
        <f t="shared" si="188"/>
        <v>0</v>
      </c>
      <c r="AF634" s="12"/>
      <c r="AG634" s="12"/>
      <c r="AH634" s="12"/>
      <c r="AI634" s="12">
        <f t="shared" si="189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84"/>
        <v>0</v>
      </c>
      <c r="H635" s="12"/>
      <c r="I635" s="12"/>
      <c r="J635" s="12"/>
      <c r="K635" s="12">
        <f t="shared" si="185"/>
        <v>0</v>
      </c>
      <c r="M635" s="10">
        <v>19</v>
      </c>
      <c r="N635" s="30" t="s">
        <v>72</v>
      </c>
      <c r="O635" s="31">
        <f t="shared" si="191"/>
        <v>8487</v>
      </c>
      <c r="P635" s="32">
        <f>1866</f>
        <v>1866</v>
      </c>
      <c r="Q635" s="32"/>
      <c r="R635" s="32"/>
      <c r="S635" s="32">
        <f t="shared" si="186"/>
        <v>1866</v>
      </c>
      <c r="T635" s="12"/>
      <c r="U635" s="12">
        <f>111+4.5*2</f>
        <v>120</v>
      </c>
      <c r="V635" s="12"/>
      <c r="W635" s="12">
        <f t="shared" si="187"/>
        <v>1986</v>
      </c>
      <c r="Y635" s="10">
        <v>19</v>
      </c>
      <c r="Z635" s="30"/>
      <c r="AA635" s="31"/>
      <c r="AB635" s="32"/>
      <c r="AC635" s="32"/>
      <c r="AD635" s="32"/>
      <c r="AE635" s="32">
        <f t="shared" si="188"/>
        <v>0</v>
      </c>
      <c r="AF635" s="12"/>
      <c r="AG635" s="12"/>
      <c r="AH635" s="12"/>
      <c r="AI635" s="12">
        <f t="shared" si="189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84"/>
        <v>0</v>
      </c>
      <c r="H636" s="12"/>
      <c r="I636" s="12"/>
      <c r="J636" s="12"/>
      <c r="K636" s="12">
        <f t="shared" si="185"/>
        <v>0</v>
      </c>
      <c r="M636" s="10">
        <v>20</v>
      </c>
      <c r="N636" s="30" t="s">
        <v>72</v>
      </c>
      <c r="O636" s="31">
        <f t="shared" si="191"/>
        <v>8488</v>
      </c>
      <c r="P636" s="32">
        <f>650*2+9.5*2</f>
        <v>1319</v>
      </c>
      <c r="Q636" s="32"/>
      <c r="R636" s="32"/>
      <c r="S636" s="32">
        <f t="shared" si="186"/>
        <v>1319</v>
      </c>
      <c r="T636" s="12"/>
      <c r="U636" s="12"/>
      <c r="V636" s="12">
        <v>-111</v>
      </c>
      <c r="W636" s="12">
        <f t="shared" si="187"/>
        <v>1208</v>
      </c>
      <c r="Y636" s="10">
        <v>20</v>
      </c>
      <c r="Z636" s="30"/>
      <c r="AB636" s="32"/>
      <c r="AC636" s="32"/>
      <c r="AD636" s="32"/>
      <c r="AE636" s="32">
        <f t="shared" si="188"/>
        <v>0</v>
      </c>
      <c r="AF636" s="12"/>
      <c r="AG636" s="12"/>
      <c r="AH636" s="12"/>
      <c r="AI636" s="12">
        <f t="shared" si="189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84"/>
        <v>0</v>
      </c>
      <c r="H637" s="10"/>
      <c r="I637" s="10"/>
      <c r="J637" s="10"/>
      <c r="K637" s="12">
        <f t="shared" si="185"/>
        <v>0</v>
      </c>
      <c r="M637" s="10">
        <v>21</v>
      </c>
      <c r="N637" s="30"/>
      <c r="O637" s="11" t="s">
        <v>27</v>
      </c>
      <c r="P637" s="46"/>
      <c r="Q637" s="31"/>
      <c r="R637" s="31"/>
      <c r="S637" s="32">
        <f t="shared" si="186"/>
        <v>0</v>
      </c>
      <c r="T637" s="10"/>
      <c r="U637" s="10"/>
      <c r="V637" s="10"/>
      <c r="W637" s="12">
        <f t="shared" si="187"/>
        <v>0</v>
      </c>
      <c r="Y637" s="10">
        <v>21</v>
      </c>
      <c r="Z637" s="30"/>
      <c r="AB637" s="46"/>
      <c r="AC637" s="31"/>
      <c r="AD637" s="31"/>
      <c r="AE637" s="32">
        <f t="shared" si="188"/>
        <v>0</v>
      </c>
      <c r="AF637" s="10"/>
      <c r="AG637" s="10"/>
      <c r="AH637" s="10"/>
      <c r="AI637" s="12">
        <f t="shared" si="189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84"/>
        <v>0</v>
      </c>
      <c r="H638" s="10"/>
      <c r="I638" s="10"/>
      <c r="J638" s="10"/>
      <c r="K638" s="12">
        <f t="shared" si="185"/>
        <v>0</v>
      </c>
      <c r="M638" s="10">
        <v>22</v>
      </c>
      <c r="N638" s="30"/>
      <c r="O638" s="31"/>
      <c r="P638" s="45"/>
      <c r="Q638" s="31"/>
      <c r="R638" s="31"/>
      <c r="S638" s="32">
        <f t="shared" si="186"/>
        <v>0</v>
      </c>
      <c r="T638" s="10"/>
      <c r="U638" s="10"/>
      <c r="V638" s="10"/>
      <c r="W638" s="12">
        <f t="shared" si="187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8"/>
        <v>0</v>
      </c>
      <c r="AF638" s="10"/>
      <c r="AG638" s="10"/>
      <c r="AH638" s="10"/>
      <c r="AI638" s="12">
        <f t="shared" si="189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84"/>
        <v>0</v>
      </c>
      <c r="H639" s="10"/>
      <c r="I639" s="10"/>
      <c r="J639" s="12"/>
      <c r="K639" s="12">
        <f t="shared" si="185"/>
        <v>0</v>
      </c>
      <c r="M639" s="10">
        <v>23</v>
      </c>
      <c r="N639" s="30"/>
      <c r="O639" s="31"/>
      <c r="P639" s="47"/>
      <c r="Q639" s="31"/>
      <c r="S639" s="32">
        <f t="shared" si="186"/>
        <v>0</v>
      </c>
      <c r="T639" s="10"/>
      <c r="U639" s="10"/>
      <c r="V639" s="10"/>
      <c r="W639" s="12">
        <f t="shared" si="187"/>
        <v>0</v>
      </c>
      <c r="Y639" s="10">
        <v>23</v>
      </c>
      <c r="Z639" s="30"/>
      <c r="AA639" s="31"/>
      <c r="AB639" s="47"/>
      <c r="AC639" s="31"/>
      <c r="AE639" s="32">
        <f t="shared" si="188"/>
        <v>0</v>
      </c>
      <c r="AF639" s="10"/>
      <c r="AG639" s="10"/>
      <c r="AH639" s="10"/>
      <c r="AI639" s="12">
        <f t="shared" si="189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4"/>
        <v>0</v>
      </c>
      <c r="H640" s="10"/>
      <c r="I640" s="10"/>
      <c r="J640" s="10"/>
      <c r="K640" s="12">
        <f t="shared" si="185"/>
        <v>0</v>
      </c>
      <c r="M640" s="10">
        <v>24</v>
      </c>
      <c r="N640" s="30"/>
      <c r="O640" s="31"/>
      <c r="P640" s="47"/>
      <c r="Q640" s="31"/>
      <c r="R640" s="31"/>
      <c r="S640" s="32">
        <f t="shared" si="186"/>
        <v>0</v>
      </c>
      <c r="T640" s="10"/>
      <c r="U640" s="10"/>
      <c r="V640" s="10"/>
      <c r="W640" s="12">
        <f t="shared" si="187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8"/>
        <v>0</v>
      </c>
      <c r="AF640" s="10"/>
      <c r="AG640" s="10"/>
      <c r="AH640" s="10"/>
      <c r="AI640" s="12">
        <f t="shared" si="189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4"/>
        <v>0</v>
      </c>
      <c r="H641" s="10"/>
      <c r="I641" s="10"/>
      <c r="J641" s="10"/>
      <c r="K641" s="12">
        <f t="shared" si="185"/>
        <v>0</v>
      </c>
      <c r="M641" s="10">
        <v>25</v>
      </c>
      <c r="N641" s="30"/>
      <c r="O641" s="31"/>
      <c r="P641" s="47"/>
      <c r="Q641" s="31"/>
      <c r="R641" s="31"/>
      <c r="S641" s="32">
        <f t="shared" si="186"/>
        <v>0</v>
      </c>
      <c r="T641" s="10"/>
      <c r="U641" s="10"/>
      <c r="V641" s="10"/>
      <c r="W641" s="12">
        <f t="shared" si="187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8"/>
        <v>0</v>
      </c>
      <c r="AF641" s="10"/>
      <c r="AG641" s="10"/>
      <c r="AH641" s="10"/>
      <c r="AI641" s="12">
        <f t="shared" si="189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84"/>
        <v>0</v>
      </c>
      <c r="H642" s="10"/>
      <c r="I642" s="10"/>
      <c r="J642" s="10"/>
      <c r="K642" s="12">
        <f t="shared" si="185"/>
        <v>0</v>
      </c>
      <c r="M642" s="10">
        <v>26</v>
      </c>
      <c r="N642" s="30"/>
      <c r="O642" s="31"/>
      <c r="P642" s="47"/>
      <c r="Q642" s="31"/>
      <c r="R642" s="31"/>
      <c r="S642" s="32">
        <f t="shared" si="186"/>
        <v>0</v>
      </c>
      <c r="T642" s="10"/>
      <c r="U642" s="10"/>
      <c r="V642" s="10"/>
      <c r="W642" s="12">
        <f t="shared" si="187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88"/>
        <v>0</v>
      </c>
      <c r="AF642" s="10"/>
      <c r="AG642" s="10"/>
      <c r="AH642" s="10"/>
      <c r="AI642" s="12">
        <f t="shared" si="189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84"/>
        <v>0</v>
      </c>
      <c r="H643" s="10"/>
      <c r="I643" s="10"/>
      <c r="J643" s="10"/>
      <c r="K643" s="12">
        <f t="shared" si="185"/>
        <v>0</v>
      </c>
      <c r="M643" s="10">
        <v>27</v>
      </c>
      <c r="N643" s="30"/>
      <c r="O643" s="31"/>
      <c r="P643" s="47"/>
      <c r="Q643" s="31"/>
      <c r="R643" s="31"/>
      <c r="S643" s="32">
        <f t="shared" si="186"/>
        <v>0</v>
      </c>
      <c r="T643" s="10"/>
      <c r="U643" s="10"/>
      <c r="V643" s="10"/>
      <c r="W643" s="12">
        <f t="shared" si="187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8"/>
        <v>0</v>
      </c>
      <c r="AF643" s="10"/>
      <c r="AG643" s="10"/>
      <c r="AH643" s="10"/>
      <c r="AI643" s="12">
        <f t="shared" si="189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4"/>
        <v>0</v>
      </c>
      <c r="H644" s="10"/>
      <c r="I644" s="10"/>
      <c r="J644" s="10"/>
      <c r="K644" s="12">
        <f t="shared" si="185"/>
        <v>0</v>
      </c>
      <c r="M644" s="10">
        <v>28</v>
      </c>
      <c r="N644" s="30"/>
      <c r="O644" s="31"/>
      <c r="P644" s="47"/>
      <c r="Q644" s="31"/>
      <c r="R644" s="31"/>
      <c r="S644" s="32">
        <f t="shared" si="186"/>
        <v>0</v>
      </c>
      <c r="T644" s="10"/>
      <c r="U644" s="10"/>
      <c r="V644" s="10"/>
      <c r="W644" s="12">
        <f t="shared" si="187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8"/>
        <v>0</v>
      </c>
      <c r="AF644" s="10"/>
      <c r="AG644" s="10"/>
      <c r="AH644" s="10"/>
      <c r="AI644" s="12">
        <f t="shared" si="189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84"/>
        <v>0</v>
      </c>
      <c r="H645" s="10"/>
      <c r="I645" s="10"/>
      <c r="J645" s="10"/>
      <c r="K645" s="12">
        <f t="shared" si="185"/>
        <v>0</v>
      </c>
      <c r="M645" s="10">
        <v>29</v>
      </c>
      <c r="N645" s="30"/>
      <c r="P645" s="47"/>
      <c r="Q645" s="31"/>
      <c r="R645" s="31"/>
      <c r="S645" s="32">
        <f t="shared" si="186"/>
        <v>0</v>
      </c>
      <c r="T645" s="10"/>
      <c r="U645" s="10"/>
      <c r="V645" s="10"/>
      <c r="W645" s="12">
        <f t="shared" si="187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8"/>
        <v>0</v>
      </c>
      <c r="AF645" s="10"/>
      <c r="AG645" s="10"/>
      <c r="AH645" s="10"/>
      <c r="AI645" s="12">
        <f t="shared" si="189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91"/>
      <c r="D646" s="32"/>
      <c r="E646" s="32"/>
      <c r="F646" s="32"/>
      <c r="G646" s="32">
        <f t="shared" si="184"/>
        <v>0</v>
      </c>
      <c r="H646" s="10"/>
      <c r="I646" s="10"/>
      <c r="J646" s="10"/>
      <c r="K646" s="12">
        <f t="shared" si="185"/>
        <v>0</v>
      </c>
      <c r="M646" s="10">
        <v>30</v>
      </c>
      <c r="N646" s="30"/>
      <c r="O646" s="31"/>
      <c r="P646" s="47"/>
      <c r="Q646" s="31"/>
      <c r="R646" s="31"/>
      <c r="S646" s="32">
        <f t="shared" si="186"/>
        <v>0</v>
      </c>
      <c r="T646" s="10"/>
      <c r="U646" s="10"/>
      <c r="V646" s="10"/>
      <c r="W646" s="12">
        <f t="shared" si="187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8"/>
        <v>0</v>
      </c>
      <c r="AF646" s="10"/>
      <c r="AG646" s="10"/>
      <c r="AH646" s="10"/>
      <c r="AI646" s="12">
        <f t="shared" si="189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84"/>
        <v>0</v>
      </c>
      <c r="H647" s="10"/>
      <c r="I647" s="10"/>
      <c r="J647" s="10"/>
      <c r="K647" s="12">
        <f t="shared" si="185"/>
        <v>0</v>
      </c>
      <c r="M647" s="10">
        <v>31</v>
      </c>
      <c r="N647" s="30"/>
      <c r="O647" s="31"/>
      <c r="P647" s="47"/>
      <c r="Q647" s="31"/>
      <c r="R647" s="31"/>
      <c r="S647" s="32">
        <f t="shared" si="186"/>
        <v>0</v>
      </c>
      <c r="T647" s="10"/>
      <c r="U647" s="10"/>
      <c r="V647" s="10"/>
      <c r="W647" s="12">
        <f t="shared" si="187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8"/>
        <v>0</v>
      </c>
      <c r="AF647" s="10"/>
      <c r="AG647" s="10"/>
      <c r="AH647" s="10"/>
      <c r="AI647" s="12">
        <f t="shared" si="189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57"/>
      <c r="D648" s="32"/>
      <c r="E648" s="32"/>
      <c r="F648" s="32"/>
      <c r="G648" s="32">
        <f t="shared" si="184"/>
        <v>0</v>
      </c>
      <c r="H648" s="10"/>
      <c r="I648" s="10"/>
      <c r="J648" s="10"/>
      <c r="K648" s="12">
        <f t="shared" si="185"/>
        <v>0</v>
      </c>
      <c r="M648" s="10">
        <v>32</v>
      </c>
      <c r="N648" s="30"/>
      <c r="O648" s="31"/>
      <c r="P648" s="47"/>
      <c r="Q648" s="31"/>
      <c r="R648" s="31"/>
      <c r="S648" s="32">
        <f t="shared" si="186"/>
        <v>0</v>
      </c>
      <c r="T648" s="10"/>
      <c r="U648" s="10"/>
      <c r="V648" s="10"/>
      <c r="W648" s="12">
        <f t="shared" si="187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8"/>
        <v>0</v>
      </c>
      <c r="AF648" s="10"/>
      <c r="AG648" s="10"/>
      <c r="AH648" s="10"/>
      <c r="AI648" s="12">
        <f t="shared" si="189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84"/>
        <v>0</v>
      </c>
      <c r="H649" s="10"/>
      <c r="I649" s="10"/>
      <c r="J649" s="10"/>
      <c r="K649" s="12">
        <f t="shared" si="185"/>
        <v>0</v>
      </c>
      <c r="M649" s="10">
        <v>33</v>
      </c>
      <c r="N649" s="30"/>
      <c r="O649" s="31"/>
      <c r="P649" s="47"/>
      <c r="Q649" s="31"/>
      <c r="R649" s="31"/>
      <c r="S649" s="32">
        <f t="shared" si="186"/>
        <v>0</v>
      </c>
      <c r="T649" s="10"/>
      <c r="U649" s="10"/>
      <c r="V649" s="10"/>
      <c r="W649" s="12">
        <f t="shared" si="187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8"/>
        <v>0</v>
      </c>
      <c r="AF649" s="10"/>
      <c r="AG649" s="10"/>
      <c r="AH649" s="10"/>
      <c r="AI649" s="12">
        <f t="shared" si="189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84"/>
        <v>0</v>
      </c>
      <c r="H650" s="10"/>
      <c r="I650" s="10"/>
      <c r="J650" s="10"/>
      <c r="K650" s="12">
        <f t="shared" si="185"/>
        <v>0</v>
      </c>
      <c r="M650" s="10">
        <v>34</v>
      </c>
      <c r="N650" s="30"/>
      <c r="O650" s="31"/>
      <c r="P650" s="47"/>
      <c r="Q650" s="31"/>
      <c r="R650" s="31"/>
      <c r="S650" s="32">
        <f t="shared" si="186"/>
        <v>0</v>
      </c>
      <c r="T650" s="10"/>
      <c r="U650" s="10"/>
      <c r="V650" s="10"/>
      <c r="W650" s="12">
        <f t="shared" si="187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93">SUM(AB650:AC650)</f>
        <v>0</v>
      </c>
      <c r="AF650" s="10"/>
      <c r="AG650" s="10"/>
      <c r="AH650" s="10"/>
      <c r="AI650" s="12">
        <f t="shared" ref="AI650:AI658" si="194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9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6"/>
        <v>0</v>
      </c>
      <c r="T651" s="10"/>
      <c r="U651" s="10"/>
      <c r="V651" s="10"/>
      <c r="W651" s="12">
        <f t="shared" si="187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4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9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6"/>
        <v>0</v>
      </c>
      <c r="T652" s="10"/>
      <c r="U652" s="10"/>
      <c r="V652" s="10"/>
      <c r="W652" s="12">
        <f t="shared" si="187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4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6"/>
        <v>0</v>
      </c>
      <c r="T653" s="10"/>
      <c r="U653" s="10"/>
      <c r="V653" s="10"/>
      <c r="W653" s="12">
        <f t="shared" si="187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4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6"/>
        <v>0</v>
      </c>
      <c r="T654" s="10"/>
      <c r="U654" s="10"/>
      <c r="V654" s="10"/>
      <c r="W654" s="12">
        <f t="shared" si="187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4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6"/>
        <v>0</v>
      </c>
      <c r="T655" s="10"/>
      <c r="U655" s="10"/>
      <c r="V655" s="10"/>
      <c r="W655" s="12">
        <f t="shared" si="187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4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7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4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5">SUM(D657:E657)</f>
        <v>0</v>
      </c>
      <c r="H657" s="10"/>
      <c r="I657" s="10"/>
      <c r="J657" s="10"/>
      <c r="K657" s="12">
        <f t="shared" ref="K657" si="196">SUM(G657:J657)</f>
        <v>0</v>
      </c>
      <c r="M657" s="10"/>
      <c r="N657" s="30"/>
      <c r="O657" s="31"/>
      <c r="P657" s="47"/>
      <c r="Q657" s="31"/>
      <c r="R657" s="31"/>
      <c r="S657" s="32">
        <f t="shared" ref="S657" si="197">SUM(P657:Q657)</f>
        <v>0</v>
      </c>
      <c r="T657" s="10"/>
      <c r="U657" s="10"/>
      <c r="V657" s="10"/>
      <c r="W657" s="12">
        <f t="shared" si="187"/>
        <v>0</v>
      </c>
      <c r="Y657" s="10"/>
      <c r="Z657" s="30"/>
      <c r="AA657" s="31"/>
      <c r="AB657" s="47"/>
      <c r="AC657" s="31"/>
      <c r="AD657" s="31"/>
      <c r="AE657" s="32">
        <f t="shared" ref="AE657" si="198">SUM(AB657:AC657)</f>
        <v>0</v>
      </c>
      <c r="AF657" s="10"/>
      <c r="AG657" s="10"/>
      <c r="AH657" s="10"/>
      <c r="AI657" s="12">
        <f t="shared" si="194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7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4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353813</v>
      </c>
      <c r="E660" s="38">
        <f t="shared" ref="E660:F660" si="199">SUM(E617:E657)</f>
        <v>-2592</v>
      </c>
      <c r="F660" s="38">
        <f t="shared" si="199"/>
        <v>0</v>
      </c>
      <c r="G660" s="38">
        <f>SUM(G617:G659)</f>
        <v>351221</v>
      </c>
      <c r="H660" s="4"/>
      <c r="I660" s="39">
        <f>SUM(I617:I659)</f>
        <v>1041</v>
      </c>
      <c r="J660" s="39">
        <f>SUM(J617:J659)</f>
        <v>-33969</v>
      </c>
      <c r="K660" s="40">
        <f>SUM(K617:K659)</f>
        <v>318293</v>
      </c>
      <c r="N660" s="57"/>
      <c r="O660" s="57"/>
      <c r="P660" s="38">
        <f>SUM(P617:P659)</f>
        <v>202673.5</v>
      </c>
      <c r="Q660" s="38">
        <f>SUM(Q617:Q641)</f>
        <v>-1296</v>
      </c>
      <c r="R660" s="38">
        <f>SUM(R617:R641)</f>
        <v>0</v>
      </c>
      <c r="S660" s="38">
        <f>SUM(S617:S659)</f>
        <v>201377.5</v>
      </c>
      <c r="T660" s="4"/>
      <c r="U660" s="41">
        <f>SUM(U617:U659)</f>
        <v>400.5</v>
      </c>
      <c r="V660" s="41">
        <f>SUM(V617:V641)</f>
        <v>-24087</v>
      </c>
      <c r="W660" s="42">
        <f>SUM(W617:W659)</f>
        <v>177691</v>
      </c>
      <c r="Z660" s="57"/>
      <c r="AA660" s="57"/>
      <c r="AB660" s="38">
        <f>SUM(AB617:AB659)</f>
        <v>284525</v>
      </c>
      <c r="AC660" s="38">
        <f>SUM(AC617:AC641)</f>
        <v>-2082</v>
      </c>
      <c r="AD660" s="38">
        <f>SUM(AD617:AD641)</f>
        <v>0</v>
      </c>
      <c r="AE660" s="38">
        <f>SUM(AE617:AE659)</f>
        <v>282443</v>
      </c>
      <c r="AF660" s="4"/>
      <c r="AG660" s="41">
        <f>SUM(AG617:AG659)</f>
        <v>0</v>
      </c>
      <c r="AH660" s="41">
        <f>SUM(AH617:AH641)</f>
        <v>-11100</v>
      </c>
      <c r="AI660" s="42">
        <f>SUM(AI617:AI659)</f>
        <v>271343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40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40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40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54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2" t="s">
        <v>17</v>
      </c>
      <c r="E670" s="122"/>
      <c r="F670" s="108"/>
      <c r="G670" s="27"/>
      <c r="I670" s="118" t="s">
        <v>18</v>
      </c>
      <c r="J670" s="119"/>
      <c r="K670" s="120" t="s">
        <v>19</v>
      </c>
      <c r="N670" s="25"/>
      <c r="O670" s="26"/>
      <c r="P670" s="122" t="s">
        <v>17</v>
      </c>
      <c r="Q670" s="122"/>
      <c r="R670" s="108"/>
      <c r="S670" s="27"/>
      <c r="U670" s="118" t="s">
        <v>18</v>
      </c>
      <c r="V670" s="119"/>
      <c r="W670" s="120" t="s">
        <v>19</v>
      </c>
      <c r="Z670" s="25"/>
      <c r="AA670" s="26"/>
      <c r="AB670" s="122" t="s">
        <v>17</v>
      </c>
      <c r="AC670" s="122"/>
      <c r="AD670" s="108"/>
      <c r="AE670" s="27"/>
      <c r="AG670" s="118" t="s">
        <v>18</v>
      </c>
      <c r="AH670" s="119"/>
      <c r="AI670" s="120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21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21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21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8434</v>
      </c>
      <c r="D672" s="32">
        <f>650*17+622*3</f>
        <v>12916</v>
      </c>
      <c r="E672" s="32"/>
      <c r="F672" s="32"/>
      <c r="G672" s="32">
        <f t="shared" ref="G672:G705" si="200">SUM(D672:E672)</f>
        <v>12916</v>
      </c>
      <c r="H672" s="12"/>
      <c r="I672" s="12"/>
      <c r="J672" s="12"/>
      <c r="K672" s="12">
        <f t="shared" ref="K672:K705" si="201">SUM(G672:J672)</f>
        <v>12916</v>
      </c>
      <c r="M672" s="10">
        <v>1</v>
      </c>
      <c r="N672" s="30" t="s">
        <v>75</v>
      </c>
      <c r="O672" s="31">
        <v>8489</v>
      </c>
      <c r="P672" s="32">
        <f>650*216+229*9</f>
        <v>142461</v>
      </c>
      <c r="Q672" s="32">
        <v>-1296</v>
      </c>
      <c r="R672" s="32"/>
      <c r="S672" s="32">
        <f>SUM(P672:Q672)</f>
        <v>141165</v>
      </c>
      <c r="T672" s="12"/>
      <c r="U672" s="12">
        <v>180</v>
      </c>
      <c r="V672" s="12"/>
      <c r="W672" s="12">
        <f>SUM(S672:V672)</f>
        <v>141345</v>
      </c>
      <c r="Y672" s="10">
        <v>1</v>
      </c>
      <c r="Z672" s="30" t="s">
        <v>75</v>
      </c>
      <c r="AA672" s="31">
        <v>8397</v>
      </c>
      <c r="AB672" s="32">
        <f>650*24+670+622*5+229*2+500</f>
        <v>20338</v>
      </c>
      <c r="AC672" s="32"/>
      <c r="AD672" s="32"/>
      <c r="AE672" s="32">
        <f>SUM(AB672:AC672)</f>
        <v>20338</v>
      </c>
      <c r="AF672" s="12"/>
      <c r="AG672" s="12">
        <f>120+78</f>
        <v>198</v>
      </c>
      <c r="AH672" s="12">
        <f>-57*111+-1512</f>
        <v>-7839</v>
      </c>
      <c r="AI672" s="12">
        <f>SUM(AE672:AH672)</f>
        <v>12697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31">
        <f>C672+1</f>
        <v>8435</v>
      </c>
      <c r="D673" s="32">
        <f>650*50+670*5+622*15+872+229</f>
        <v>46281</v>
      </c>
      <c r="E673" s="32"/>
      <c r="F673" s="32"/>
      <c r="G673" s="32">
        <f t="shared" si="200"/>
        <v>46281</v>
      </c>
      <c r="H673" s="12"/>
      <c r="I673" s="12">
        <f>36+270</f>
        <v>306</v>
      </c>
      <c r="J673" s="12"/>
      <c r="K673" s="12">
        <f t="shared" si="201"/>
        <v>46587</v>
      </c>
      <c r="M673" s="10">
        <v>2</v>
      </c>
      <c r="N673" s="30" t="s">
        <v>75</v>
      </c>
      <c r="O673" s="31">
        <f>O672+1</f>
        <v>8490</v>
      </c>
      <c r="P673" s="32">
        <f>650*4+229</f>
        <v>2829</v>
      </c>
      <c r="Q673" s="32"/>
      <c r="R673" s="32"/>
      <c r="S673" s="32">
        <f t="shared" ref="S673:S710" si="202">SUM(P673:Q673)</f>
        <v>2829</v>
      </c>
      <c r="T673" s="12"/>
      <c r="U673" s="12"/>
      <c r="V673" s="12"/>
      <c r="W673" s="12">
        <f t="shared" ref="W673:W713" si="203">SUM(S673:V673)</f>
        <v>2829</v>
      </c>
      <c r="Y673" s="10">
        <v>2</v>
      </c>
      <c r="Z673" s="30" t="s">
        <v>75</v>
      </c>
      <c r="AA673" s="31">
        <f>AA672+1</f>
        <v>8398</v>
      </c>
      <c r="AB673" s="32">
        <f>650*200+700*10+973*10+622*100+912*10+1050*20+872*21+872*3+500*10</f>
        <v>264978</v>
      </c>
      <c r="AC673" s="32"/>
      <c r="AD673" s="32"/>
      <c r="AE673" s="32">
        <f t="shared" ref="AE673:AE704" si="204">SUM(AB673:AC673)</f>
        <v>264978</v>
      </c>
      <c r="AF673" s="12"/>
      <c r="AG673" s="12">
        <f>120*94+111*310</f>
        <v>45690</v>
      </c>
      <c r="AH673" s="12">
        <f>-118*111+-420*84+-185*84</f>
        <v>-63918</v>
      </c>
      <c r="AI673" s="12">
        <f t="shared" ref="AI673:AI704" si="205">SUM(AE673:AH673)</f>
        <v>246750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31">
        <f t="shared" ref="C674:C688" si="206">C673+1</f>
        <v>8436</v>
      </c>
      <c r="D674" s="33">
        <f>1300+19</f>
        <v>1319</v>
      </c>
      <c r="E674" s="33"/>
      <c r="F674" s="33"/>
      <c r="G674" s="33">
        <f t="shared" si="200"/>
        <v>1319</v>
      </c>
      <c r="H674" s="34"/>
      <c r="I674" s="34"/>
      <c r="J674" s="34"/>
      <c r="K674" s="34">
        <f t="shared" si="201"/>
        <v>1319</v>
      </c>
      <c r="M674" s="10">
        <v>3</v>
      </c>
      <c r="N674" s="30" t="s">
        <v>75</v>
      </c>
      <c r="O674" s="31">
        <f t="shared" ref="O674:O690" si="207">O673+1</f>
        <v>8491</v>
      </c>
      <c r="P674" s="32">
        <f>650*30+229*1+9.5*6</f>
        <v>19786</v>
      </c>
      <c r="Q674" s="32"/>
      <c r="R674" s="32"/>
      <c r="S674" s="32">
        <f t="shared" si="202"/>
        <v>19786</v>
      </c>
      <c r="T674" s="12"/>
      <c r="U674" s="12">
        <f>78+1.5*6</f>
        <v>87</v>
      </c>
      <c r="V674" s="12"/>
      <c r="W674" s="12">
        <f t="shared" si="203"/>
        <v>19873</v>
      </c>
      <c r="Y674" s="10">
        <v>3</v>
      </c>
      <c r="Z674" s="30" t="s">
        <v>75</v>
      </c>
      <c r="AA674" s="31">
        <f t="shared" ref="AA674:AA675" si="208">AA673+1</f>
        <v>8399</v>
      </c>
      <c r="AB674" s="33">
        <f>1175*10+1175*10+1102*4+650*3+1122+1157+872*3+1582+500*15</f>
        <v>43835</v>
      </c>
      <c r="AC674" s="33"/>
      <c r="AD674" s="32"/>
      <c r="AE674" s="32">
        <f t="shared" si="204"/>
        <v>43835</v>
      </c>
      <c r="AF674" s="12"/>
      <c r="AG674" s="12"/>
      <c r="AH674" s="12"/>
      <c r="AI674" s="12">
        <f t="shared" si="205"/>
        <v>43835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31">
        <f t="shared" si="206"/>
        <v>8437</v>
      </c>
      <c r="D675" s="32">
        <f>650+670+9.5</f>
        <v>1329.5</v>
      </c>
      <c r="E675" s="32"/>
      <c r="F675" s="32"/>
      <c r="G675" s="32">
        <f t="shared" si="200"/>
        <v>1329.5</v>
      </c>
      <c r="H675" s="12"/>
      <c r="I675" s="12"/>
      <c r="J675" s="12"/>
      <c r="K675" s="12">
        <f t="shared" si="201"/>
        <v>1329.5</v>
      </c>
      <c r="M675" s="10">
        <v>4</v>
      </c>
      <c r="N675" s="30" t="s">
        <v>75</v>
      </c>
      <c r="O675" s="31">
        <f t="shared" si="207"/>
        <v>8492</v>
      </c>
      <c r="P675" s="32">
        <f>650*4+670+9.5*4</f>
        <v>3308</v>
      </c>
      <c r="Q675" s="32"/>
      <c r="R675" s="32"/>
      <c r="S675" s="32">
        <f t="shared" si="202"/>
        <v>3308</v>
      </c>
      <c r="T675" s="12"/>
      <c r="U675" s="12"/>
      <c r="V675" s="12"/>
      <c r="W675" s="12">
        <f t="shared" si="203"/>
        <v>3308</v>
      </c>
      <c r="Y675" s="10">
        <v>4</v>
      </c>
      <c r="Z675" s="30" t="s">
        <v>75</v>
      </c>
      <c r="AA675" s="31">
        <f t="shared" si="208"/>
        <v>8400</v>
      </c>
      <c r="AB675" s="32">
        <f>1582+1582+1582+1582</f>
        <v>6328</v>
      </c>
      <c r="AC675" s="32"/>
      <c r="AD675" s="32"/>
      <c r="AE675" s="32">
        <f t="shared" si="204"/>
        <v>6328</v>
      </c>
      <c r="AF675" s="12"/>
      <c r="AH675" s="12"/>
      <c r="AI675" s="12">
        <f t="shared" si="205"/>
        <v>6328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31">
        <f t="shared" si="206"/>
        <v>8438</v>
      </c>
      <c r="D676" s="32">
        <f>1300+19</f>
        <v>1319</v>
      </c>
      <c r="E676" s="32"/>
      <c r="F676" s="32"/>
      <c r="G676" s="32">
        <f t="shared" si="200"/>
        <v>1319</v>
      </c>
      <c r="H676" s="12"/>
      <c r="I676" s="12"/>
      <c r="J676" s="12"/>
      <c r="K676" s="12">
        <f t="shared" si="201"/>
        <v>1319</v>
      </c>
      <c r="M676" s="10">
        <v>5</v>
      </c>
      <c r="N676" s="30" t="s">
        <v>75</v>
      </c>
      <c r="O676" s="31">
        <f t="shared" si="207"/>
        <v>8493</v>
      </c>
      <c r="P676" s="32">
        <f>650*4+9.5*4</f>
        <v>2638</v>
      </c>
      <c r="Q676" s="32"/>
      <c r="R676" s="32"/>
      <c r="S676" s="32">
        <f t="shared" si="202"/>
        <v>2638</v>
      </c>
      <c r="T676" s="12"/>
      <c r="U676" s="12"/>
      <c r="V676" s="12"/>
      <c r="W676" s="12">
        <f t="shared" si="203"/>
        <v>2638</v>
      </c>
      <c r="Y676" s="10">
        <v>5</v>
      </c>
      <c r="Z676" s="30" t="s">
        <v>75</v>
      </c>
      <c r="AA676" s="31">
        <v>8501</v>
      </c>
      <c r="AB676" s="32">
        <f>650*3+670+622*2</f>
        <v>3864</v>
      </c>
      <c r="AC676" s="32"/>
      <c r="AD676" s="32"/>
      <c r="AE676" s="32">
        <f t="shared" si="204"/>
        <v>3864</v>
      </c>
      <c r="AF676" s="12"/>
      <c r="AG676" s="12"/>
      <c r="AH676" s="12"/>
      <c r="AI676" s="12">
        <f t="shared" si="205"/>
        <v>3864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31">
        <f t="shared" si="206"/>
        <v>8439</v>
      </c>
      <c r="D677" s="32">
        <f>5850+1340+1244</f>
        <v>8434</v>
      </c>
      <c r="E677" s="32"/>
      <c r="F677" s="32"/>
      <c r="G677" s="32">
        <f t="shared" si="200"/>
        <v>8434</v>
      </c>
      <c r="H677" s="12"/>
      <c r="I677" s="12"/>
      <c r="J677" s="12"/>
      <c r="K677" s="12">
        <f t="shared" si="201"/>
        <v>8434</v>
      </c>
      <c r="M677" s="10">
        <v>6</v>
      </c>
      <c r="N677" s="30" t="s">
        <v>75</v>
      </c>
      <c r="O677" s="31">
        <f t="shared" si="207"/>
        <v>8494</v>
      </c>
      <c r="P677" s="32">
        <f>4550+66.5</f>
        <v>4616.5</v>
      </c>
      <c r="Q677" s="32"/>
      <c r="R677" s="32"/>
      <c r="S677" s="32">
        <f t="shared" si="202"/>
        <v>4616.5</v>
      </c>
      <c r="T677" s="12"/>
      <c r="U677" s="12"/>
      <c r="V677" s="10"/>
      <c r="W677" s="12">
        <f t="shared" si="203"/>
        <v>4616.5</v>
      </c>
      <c r="Y677" s="10">
        <v>6</v>
      </c>
      <c r="Z677" s="30"/>
      <c r="AA677" s="11" t="s">
        <v>27</v>
      </c>
      <c r="AB677" s="32"/>
      <c r="AC677" s="32"/>
      <c r="AD677" s="32"/>
      <c r="AE677" s="32">
        <f t="shared" si="204"/>
        <v>0</v>
      </c>
      <c r="AF677" s="12"/>
      <c r="AG677" s="12"/>
      <c r="AH677" s="10"/>
      <c r="AI677" s="12">
        <f t="shared" si="205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31">
        <f t="shared" si="206"/>
        <v>8440</v>
      </c>
      <c r="D678" s="32">
        <f>1300+670+19</f>
        <v>1989</v>
      </c>
      <c r="E678" s="32"/>
      <c r="F678" s="32"/>
      <c r="G678" s="32">
        <f t="shared" si="200"/>
        <v>1989</v>
      </c>
      <c r="H678" s="12"/>
      <c r="I678" s="12"/>
      <c r="J678" s="12"/>
      <c r="K678" s="12">
        <f t="shared" si="201"/>
        <v>1989</v>
      </c>
      <c r="M678" s="10">
        <v>7</v>
      </c>
      <c r="N678" s="30" t="s">
        <v>75</v>
      </c>
      <c r="O678" s="31">
        <f t="shared" si="207"/>
        <v>8495</v>
      </c>
      <c r="P678" s="32">
        <f>650*2+9.5*2</f>
        <v>1319</v>
      </c>
      <c r="Q678" s="32"/>
      <c r="R678" s="32"/>
      <c r="S678" s="32">
        <f t="shared" si="202"/>
        <v>1319</v>
      </c>
      <c r="T678" s="12"/>
      <c r="U678" s="12"/>
      <c r="V678" s="12"/>
      <c r="W678" s="12">
        <f t="shared" si="203"/>
        <v>1319</v>
      </c>
      <c r="Y678" s="10">
        <v>7</v>
      </c>
      <c r="Z678" s="30"/>
      <c r="AB678" s="32"/>
      <c r="AC678" s="32"/>
      <c r="AD678" s="32"/>
      <c r="AE678" s="32">
        <f t="shared" si="204"/>
        <v>0</v>
      </c>
      <c r="AF678" s="12"/>
      <c r="AG678" s="58"/>
      <c r="AH678" s="12"/>
      <c r="AI678" s="12">
        <f t="shared" si="205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31">
        <f t="shared" si="206"/>
        <v>8441</v>
      </c>
      <c r="D679" s="32">
        <f>3250+47.5</f>
        <v>3297.5</v>
      </c>
      <c r="E679" s="32"/>
      <c r="F679" s="32"/>
      <c r="G679" s="32">
        <f t="shared" si="200"/>
        <v>3297.5</v>
      </c>
      <c r="H679" s="12"/>
      <c r="I679" s="12"/>
      <c r="J679" s="12"/>
      <c r="K679" s="12">
        <f t="shared" si="201"/>
        <v>3297.5</v>
      </c>
      <c r="M679" s="10">
        <v>8</v>
      </c>
      <c r="N679" s="30" t="s">
        <v>75</v>
      </c>
      <c r="O679" s="31">
        <f t="shared" si="207"/>
        <v>8496</v>
      </c>
      <c r="P679" s="32">
        <f>650+9.5</f>
        <v>659.5</v>
      </c>
      <c r="Q679" s="32"/>
      <c r="R679" s="32"/>
      <c r="S679" s="32">
        <f t="shared" si="202"/>
        <v>659.5</v>
      </c>
      <c r="T679" s="12"/>
      <c r="U679" s="12"/>
      <c r="V679" s="12"/>
      <c r="W679" s="12">
        <f t="shared" si="203"/>
        <v>659.5</v>
      </c>
      <c r="Y679" s="10">
        <v>8</v>
      </c>
      <c r="Z679" s="30"/>
      <c r="AA679" s="31"/>
      <c r="AB679" s="32"/>
      <c r="AC679" s="32"/>
      <c r="AE679" s="32">
        <f t="shared" si="204"/>
        <v>0</v>
      </c>
      <c r="AF679" s="12"/>
      <c r="AG679" s="12"/>
      <c r="AH679" s="12"/>
      <c r="AI679" s="12">
        <f t="shared" si="205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31">
        <f t="shared" si="206"/>
        <v>8442</v>
      </c>
      <c r="D680" s="32">
        <f>9750+872+142.5</f>
        <v>10764.5</v>
      </c>
      <c r="E680" s="32"/>
      <c r="F680" s="32"/>
      <c r="G680" s="32">
        <f t="shared" si="200"/>
        <v>10764.5</v>
      </c>
      <c r="H680" s="12"/>
      <c r="I680" s="12">
        <v>840</v>
      </c>
      <c r="J680" s="12"/>
      <c r="K680" s="12">
        <f t="shared" si="201"/>
        <v>11604.5</v>
      </c>
      <c r="M680" s="10">
        <v>9</v>
      </c>
      <c r="N680" s="30" t="s">
        <v>75</v>
      </c>
      <c r="O680" s="31">
        <f t="shared" si="207"/>
        <v>8497</v>
      </c>
      <c r="P680" s="32">
        <f>5200+912+76</f>
        <v>6188</v>
      </c>
      <c r="Q680" s="32"/>
      <c r="R680" s="32"/>
      <c r="S680" s="32">
        <f t="shared" si="202"/>
        <v>6188</v>
      </c>
      <c r="T680" s="12"/>
      <c r="U680" s="12">
        <f>120+27+4.5</f>
        <v>151.5</v>
      </c>
      <c r="V680" s="12"/>
      <c r="W680" s="12">
        <f t="shared" si="203"/>
        <v>6339.5</v>
      </c>
      <c r="Y680" s="10">
        <v>9</v>
      </c>
      <c r="Z680" s="30"/>
      <c r="AA680" s="31"/>
      <c r="AB680" s="32"/>
      <c r="AC680" s="32"/>
      <c r="AD680" s="32"/>
      <c r="AE680" s="32">
        <f t="shared" si="204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31">
        <f t="shared" si="206"/>
        <v>8443</v>
      </c>
      <c r="D681" s="32">
        <f>2600+670+229</f>
        <v>3499</v>
      </c>
      <c r="E681" s="32"/>
      <c r="F681" s="32"/>
      <c r="G681" s="32">
        <f t="shared" si="200"/>
        <v>3499</v>
      </c>
      <c r="H681" s="12"/>
      <c r="I681" s="12"/>
      <c r="J681" s="12"/>
      <c r="K681" s="12">
        <f t="shared" si="201"/>
        <v>3499</v>
      </c>
      <c r="M681" s="10">
        <v>10</v>
      </c>
      <c r="N681" s="30" t="s">
        <v>75</v>
      </c>
      <c r="O681" s="31">
        <f t="shared" si="207"/>
        <v>8498</v>
      </c>
      <c r="P681" s="32">
        <f>2600+622+9.5*5</f>
        <v>3269.5</v>
      </c>
      <c r="Q681" s="32"/>
      <c r="R681" s="32"/>
      <c r="S681" s="32">
        <f t="shared" si="202"/>
        <v>3269.5</v>
      </c>
      <c r="T681" s="12"/>
      <c r="U681" s="12"/>
      <c r="V681" s="12"/>
      <c r="W681" s="12">
        <f t="shared" si="203"/>
        <v>3269.5</v>
      </c>
      <c r="Y681" s="10">
        <v>10</v>
      </c>
      <c r="Z681" s="30"/>
      <c r="AA681" s="31"/>
      <c r="AB681" s="32"/>
      <c r="AC681" s="32"/>
      <c r="AD681" s="32"/>
      <c r="AE681" s="32">
        <f t="shared" si="204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31">
        <f t="shared" si="206"/>
        <v>8444</v>
      </c>
      <c r="D682" s="32">
        <f>3900+670+1244</f>
        <v>5814</v>
      </c>
      <c r="E682" s="32"/>
      <c r="F682" s="32"/>
      <c r="G682" s="32">
        <f t="shared" si="200"/>
        <v>5814</v>
      </c>
      <c r="H682" s="12"/>
      <c r="I682" s="12"/>
      <c r="J682" s="12"/>
      <c r="K682" s="12">
        <f t="shared" si="201"/>
        <v>5814</v>
      </c>
      <c r="M682" s="10">
        <v>11</v>
      </c>
      <c r="N682" s="30" t="s">
        <v>75</v>
      </c>
      <c r="O682" s="31">
        <f t="shared" si="207"/>
        <v>8499</v>
      </c>
      <c r="P682" s="32">
        <f>650*6+9.5*6</f>
        <v>3957</v>
      </c>
      <c r="Q682" s="32"/>
      <c r="R682" s="32"/>
      <c r="S682" s="32">
        <f t="shared" si="202"/>
        <v>3957</v>
      </c>
      <c r="T682" s="12"/>
      <c r="U682" s="12"/>
      <c r="V682" s="12"/>
      <c r="W682" s="12">
        <f t="shared" si="203"/>
        <v>3957</v>
      </c>
      <c r="Y682" s="10">
        <v>11</v>
      </c>
      <c r="Z682" s="30"/>
      <c r="AA682" s="31"/>
      <c r="AB682" s="32"/>
      <c r="AC682" s="32"/>
      <c r="AD682" s="32"/>
      <c r="AE682" s="32">
        <f t="shared" si="204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31">
        <f t="shared" si="206"/>
        <v>8445</v>
      </c>
      <c r="D683" s="32">
        <f>2600</f>
        <v>2600</v>
      </c>
      <c r="E683" s="32"/>
      <c r="F683" s="32"/>
      <c r="G683" s="32">
        <f t="shared" si="200"/>
        <v>2600</v>
      </c>
      <c r="H683" s="12"/>
      <c r="I683" s="12"/>
      <c r="J683" s="10"/>
      <c r="K683" s="12">
        <f t="shared" si="201"/>
        <v>2600</v>
      </c>
      <c r="M683" s="10">
        <v>12</v>
      </c>
      <c r="N683" s="30" t="s">
        <v>75</v>
      </c>
      <c r="O683" s="31">
        <f t="shared" si="207"/>
        <v>8500</v>
      </c>
      <c r="P683" s="32">
        <f>650*6+622+66.5</f>
        <v>4588.5</v>
      </c>
      <c r="Q683" s="32"/>
      <c r="R683" s="32"/>
      <c r="S683" s="32">
        <f t="shared" si="202"/>
        <v>4588.5</v>
      </c>
      <c r="T683" s="12"/>
      <c r="U683" s="12"/>
      <c r="V683" s="12"/>
      <c r="W683" s="12">
        <f t="shared" si="203"/>
        <v>4588.5</v>
      </c>
      <c r="Y683" s="10">
        <v>12</v>
      </c>
      <c r="Z683" s="30"/>
      <c r="AA683" s="31"/>
      <c r="AB683" s="32"/>
      <c r="AC683" s="32"/>
      <c r="AD683" s="32"/>
      <c r="AE683" s="32">
        <f t="shared" si="204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31">
        <f t="shared" si="206"/>
        <v>8446</v>
      </c>
      <c r="D684" s="32">
        <f>19500+3110</f>
        <v>22610</v>
      </c>
      <c r="E684" s="32"/>
      <c r="F684" s="32"/>
      <c r="G684" s="32">
        <f t="shared" si="200"/>
        <v>22610</v>
      </c>
      <c r="H684" s="12"/>
      <c r="I684" s="12"/>
      <c r="J684" s="12"/>
      <c r="K684" s="12">
        <f t="shared" si="201"/>
        <v>22610</v>
      </c>
      <c r="M684" s="10">
        <v>13</v>
      </c>
      <c r="N684" s="30" t="s">
        <v>75</v>
      </c>
      <c r="O684" s="31">
        <v>8551</v>
      </c>
      <c r="P684" s="32">
        <f>4550+66.5</f>
        <v>4616.5</v>
      </c>
      <c r="Q684" s="32"/>
      <c r="R684" s="32"/>
      <c r="S684" s="32">
        <f t="shared" si="202"/>
        <v>4616.5</v>
      </c>
      <c r="T684" s="12"/>
      <c r="U684" s="12">
        <v>10.5</v>
      </c>
      <c r="V684" s="12"/>
      <c r="W684" s="12">
        <f t="shared" si="203"/>
        <v>4627</v>
      </c>
      <c r="Y684" s="10">
        <v>13</v>
      </c>
      <c r="Z684" s="30"/>
      <c r="AA684" s="31"/>
      <c r="AB684" s="32"/>
      <c r="AC684" s="32"/>
      <c r="AD684" s="32"/>
      <c r="AE684" s="32">
        <f t="shared" si="204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31">
        <f t="shared" si="206"/>
        <v>8447</v>
      </c>
      <c r="D685" s="32">
        <f>5200+3732+133+650</f>
        <v>9715</v>
      </c>
      <c r="E685" s="32"/>
      <c r="F685" s="32"/>
      <c r="G685" s="32">
        <f t="shared" si="200"/>
        <v>9715</v>
      </c>
      <c r="H685" s="12"/>
      <c r="I685" s="12">
        <v>63</v>
      </c>
      <c r="J685" s="12"/>
      <c r="K685" s="12">
        <f t="shared" si="201"/>
        <v>9778</v>
      </c>
      <c r="M685" s="10">
        <v>14</v>
      </c>
      <c r="N685" s="30" t="s">
        <v>75</v>
      </c>
      <c r="O685" s="31">
        <f t="shared" si="207"/>
        <v>8552</v>
      </c>
      <c r="P685" s="32">
        <f>650*9+9.5*9</f>
        <v>5935.5</v>
      </c>
      <c r="Q685" s="32"/>
      <c r="R685" s="32"/>
      <c r="S685" s="32">
        <f t="shared" si="202"/>
        <v>5935.5</v>
      </c>
      <c r="T685" s="12"/>
      <c r="U685" s="12"/>
      <c r="V685" s="12"/>
      <c r="W685" s="12">
        <f t="shared" si="203"/>
        <v>5935.5</v>
      </c>
      <c r="Y685" s="10">
        <v>14</v>
      </c>
      <c r="Z685" s="30"/>
      <c r="AA685" s="31"/>
      <c r="AB685" s="32"/>
      <c r="AC685" s="32"/>
      <c r="AD685" s="32"/>
      <c r="AE685" s="32">
        <f t="shared" si="204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31">
        <f t="shared" si="206"/>
        <v>8448</v>
      </c>
      <c r="D686" s="32">
        <f>11050+1866+190</f>
        <v>13106</v>
      </c>
      <c r="E686" s="32"/>
      <c r="F686" s="32"/>
      <c r="G686" s="32">
        <f t="shared" si="200"/>
        <v>13106</v>
      </c>
      <c r="H686" s="12"/>
      <c r="I686" s="12"/>
      <c r="J686" s="12"/>
      <c r="K686" s="12">
        <f t="shared" si="201"/>
        <v>13106</v>
      </c>
      <c r="M686" s="10">
        <v>15</v>
      </c>
      <c r="N686" s="30" t="s">
        <v>75</v>
      </c>
      <c r="O686" s="31">
        <f t="shared" si="207"/>
        <v>8553</v>
      </c>
      <c r="P686" s="32">
        <f>650+9.5</f>
        <v>659.5</v>
      </c>
      <c r="Q686" s="32"/>
      <c r="R686" s="32"/>
      <c r="S686" s="32">
        <f t="shared" si="202"/>
        <v>659.5</v>
      </c>
      <c r="T686" s="12"/>
      <c r="U686" s="12"/>
      <c r="V686" s="12"/>
      <c r="W686" s="12">
        <f t="shared" si="203"/>
        <v>659.5</v>
      </c>
      <c r="Y686" s="10">
        <v>15</v>
      </c>
      <c r="Z686" s="30"/>
      <c r="AA686" s="31"/>
      <c r="AB686" s="32"/>
      <c r="AC686" s="32"/>
      <c r="AD686" s="32"/>
      <c r="AE686" s="32">
        <f t="shared" si="204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31">
        <f t="shared" si="206"/>
        <v>8449</v>
      </c>
      <c r="D687" s="32">
        <f>22750+9330+2616+458</f>
        <v>35154</v>
      </c>
      <c r="E687" s="32"/>
      <c r="F687" s="32"/>
      <c r="G687" s="32">
        <f t="shared" si="200"/>
        <v>35154</v>
      </c>
      <c r="H687" s="12"/>
      <c r="I687" s="12"/>
      <c r="J687" s="12"/>
      <c r="K687" s="12">
        <f t="shared" si="201"/>
        <v>35154</v>
      </c>
      <c r="M687" s="10">
        <v>16</v>
      </c>
      <c r="N687" s="30" t="s">
        <v>75</v>
      </c>
      <c r="O687" s="31">
        <f t="shared" si="207"/>
        <v>8554</v>
      </c>
      <c r="P687" s="32">
        <f>650*10+9.5*10</f>
        <v>6595</v>
      </c>
      <c r="Q687" s="32"/>
      <c r="R687" s="32"/>
      <c r="S687" s="32">
        <f t="shared" si="202"/>
        <v>6595</v>
      </c>
      <c r="T687" s="12"/>
      <c r="U687" s="12">
        <v>31.5</v>
      </c>
      <c r="V687" s="12"/>
      <c r="W687" s="12">
        <f t="shared" si="203"/>
        <v>6626.5</v>
      </c>
      <c r="Y687" s="10">
        <v>16</v>
      </c>
      <c r="Z687" s="30"/>
      <c r="AA687" s="31"/>
      <c r="AB687" s="32"/>
      <c r="AC687" s="32"/>
      <c r="AD687" s="32"/>
      <c r="AE687" s="32">
        <f t="shared" si="204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 t="s">
        <v>75</v>
      </c>
      <c r="C688" s="31">
        <f t="shared" si="206"/>
        <v>8450</v>
      </c>
      <c r="D688" s="32">
        <f>1950+28.5</f>
        <v>1978.5</v>
      </c>
      <c r="E688" s="32"/>
      <c r="F688" s="32"/>
      <c r="G688" s="32">
        <f t="shared" si="200"/>
        <v>1978.5</v>
      </c>
      <c r="H688" s="12"/>
      <c r="I688" s="12"/>
      <c r="J688" s="12"/>
      <c r="K688" s="12">
        <f t="shared" si="201"/>
        <v>1978.5</v>
      </c>
      <c r="M688" s="10">
        <v>17</v>
      </c>
      <c r="N688" s="30" t="s">
        <v>75</v>
      </c>
      <c r="O688" s="31">
        <f t="shared" si="207"/>
        <v>8555</v>
      </c>
      <c r="P688" s="35">
        <f>650*6+622+9.5*7</f>
        <v>4588.5</v>
      </c>
      <c r="Q688" s="32"/>
      <c r="R688" s="32"/>
      <c r="S688" s="32">
        <f t="shared" si="202"/>
        <v>4588.5</v>
      </c>
      <c r="T688" s="12"/>
      <c r="U688" s="12"/>
      <c r="V688" s="12"/>
      <c r="W688" s="12">
        <f t="shared" si="203"/>
        <v>4588.5</v>
      </c>
      <c r="Y688" s="10">
        <v>17</v>
      </c>
      <c r="Z688" s="30"/>
      <c r="AA688" s="31"/>
      <c r="AB688" s="35"/>
      <c r="AC688" s="32"/>
      <c r="AD688" s="32"/>
      <c r="AE688" s="32">
        <f t="shared" si="204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11" t="s">
        <v>27</v>
      </c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 t="s">
        <v>75</v>
      </c>
      <c r="O689" s="31">
        <f t="shared" si="207"/>
        <v>8556</v>
      </c>
      <c r="P689" s="32">
        <f>650*20+622*15+229</f>
        <v>22559</v>
      </c>
      <c r="Q689" s="32"/>
      <c r="R689" s="32"/>
      <c r="S689" s="32">
        <f t="shared" si="202"/>
        <v>22559</v>
      </c>
      <c r="T689" s="12"/>
      <c r="U689" s="12">
        <v>36</v>
      </c>
      <c r="V689" s="12"/>
      <c r="W689" s="12">
        <f t="shared" si="203"/>
        <v>22595</v>
      </c>
      <c r="Y689" s="10">
        <v>18</v>
      </c>
      <c r="Z689" s="30"/>
      <c r="AA689" s="31"/>
      <c r="AB689" s="32"/>
      <c r="AC689" s="32"/>
      <c r="AD689" s="32"/>
      <c r="AE689" s="32">
        <f t="shared" si="204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 t="s">
        <v>75</v>
      </c>
      <c r="O690" s="31">
        <f t="shared" si="207"/>
        <v>8557</v>
      </c>
      <c r="P690" s="32">
        <f>650+9.5</f>
        <v>659.5</v>
      </c>
      <c r="Q690" s="32"/>
      <c r="R690" s="32"/>
      <c r="S690" s="32">
        <f t="shared" si="202"/>
        <v>659.5</v>
      </c>
      <c r="T690" s="12"/>
      <c r="U690" s="12"/>
      <c r="V690" s="12">
        <v>-444</v>
      </c>
      <c r="W690" s="12">
        <f t="shared" si="203"/>
        <v>215.5</v>
      </c>
      <c r="Y690" s="10">
        <v>19</v>
      </c>
      <c r="Z690" s="30"/>
      <c r="AA690" s="31"/>
      <c r="AB690" s="32"/>
      <c r="AC690" s="32"/>
      <c r="AD690" s="32"/>
      <c r="AE690" s="32">
        <f t="shared" si="204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11" t="s">
        <v>27</v>
      </c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04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31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B692" s="46"/>
      <c r="AC692" s="31"/>
      <c r="AD692" s="31"/>
      <c r="AE692" s="32">
        <f t="shared" si="204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4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Q694" s="31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04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4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4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3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4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31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4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4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4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91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4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4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57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4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4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209">SUM(AB705:AC705)</f>
        <v>0</v>
      </c>
      <c r="AF705" s="10"/>
      <c r="AG705" s="10"/>
      <c r="AH705" s="10"/>
      <c r="AI705" s="12">
        <f t="shared" ref="AI705:AI713" si="210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9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1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9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1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1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1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1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1">SUM(D712:E712)</f>
        <v>0</v>
      </c>
      <c r="H712" s="10"/>
      <c r="I712" s="10"/>
      <c r="J712" s="10"/>
      <c r="K712" s="12">
        <f t="shared" ref="K712" si="212">SUM(G712:J712)</f>
        <v>0</v>
      </c>
      <c r="M712" s="10"/>
      <c r="N712" s="30"/>
      <c r="O712" s="31"/>
      <c r="P712" s="47"/>
      <c r="Q712" s="31"/>
      <c r="R712" s="31"/>
      <c r="S712" s="32">
        <f t="shared" ref="S712" si="213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4">SUM(AB712:AC712)</f>
        <v>0</v>
      </c>
      <c r="AF712" s="10"/>
      <c r="AG712" s="10"/>
      <c r="AH712" s="10"/>
      <c r="AI712" s="12">
        <f t="shared" si="21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182126</v>
      </c>
      <c r="E715" s="38">
        <f t="shared" ref="E715:F715" si="215">SUM(E672:E712)</f>
        <v>0</v>
      </c>
      <c r="F715" s="38">
        <f t="shared" si="215"/>
        <v>0</v>
      </c>
      <c r="G715" s="38">
        <f>SUM(G672:G714)</f>
        <v>182126</v>
      </c>
      <c r="H715" s="4"/>
      <c r="I715" s="39">
        <f>SUM(I672:I714)</f>
        <v>1209</v>
      </c>
      <c r="J715" s="39">
        <f>SUM(J672:J714)</f>
        <v>0</v>
      </c>
      <c r="K715" s="40">
        <f>SUM(K672:K714)</f>
        <v>183335</v>
      </c>
      <c r="N715" s="57"/>
      <c r="O715" s="57"/>
      <c r="P715" s="38">
        <f>SUM(P672:P714)</f>
        <v>241233.5</v>
      </c>
      <c r="Q715" s="38">
        <f>SUM(Q672:Q696)</f>
        <v>-1296</v>
      </c>
      <c r="R715" s="38">
        <f>SUM(R672:R696)</f>
        <v>0</v>
      </c>
      <c r="S715" s="38">
        <f>SUM(S672:S714)</f>
        <v>239937.5</v>
      </c>
      <c r="T715" s="4"/>
      <c r="U715" s="41">
        <f>SUM(U672:U714)</f>
        <v>496.5</v>
      </c>
      <c r="V715" s="41">
        <f>SUM(V672:V696)</f>
        <v>-444</v>
      </c>
      <c r="W715" s="42">
        <f>SUM(W672:W714)</f>
        <v>239990</v>
      </c>
      <c r="Z715" s="57"/>
      <c r="AA715" s="57"/>
      <c r="AB715" s="38">
        <f>SUM(AB672:AB714)</f>
        <v>339343</v>
      </c>
      <c r="AC715" s="38">
        <f>SUM(AC672:AC696)</f>
        <v>0</v>
      </c>
      <c r="AD715" s="38">
        <f>SUM(AD672:AD696)</f>
        <v>0</v>
      </c>
      <c r="AE715" s="38">
        <f>SUM(AE672:AE714)</f>
        <v>339343</v>
      </c>
      <c r="AF715" s="4"/>
      <c r="AG715" s="41">
        <f>SUM(AG672:AG714)</f>
        <v>45888</v>
      </c>
      <c r="AH715" s="41">
        <f>SUM(AH672:AH696)</f>
        <v>-71757</v>
      </c>
      <c r="AI715" s="42">
        <f>SUM(AI672:AI714)</f>
        <v>313474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54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2" t="s">
        <v>17</v>
      </c>
      <c r="E725" s="122"/>
      <c r="F725" s="109"/>
      <c r="G725" s="27"/>
      <c r="I725" s="118" t="s">
        <v>18</v>
      </c>
      <c r="J725" s="119"/>
      <c r="K725" s="120" t="s">
        <v>19</v>
      </c>
      <c r="N725" s="25"/>
      <c r="O725" s="26"/>
      <c r="P725" s="122" t="s">
        <v>17</v>
      </c>
      <c r="Q725" s="122"/>
      <c r="R725" s="109"/>
      <c r="S725" s="27"/>
      <c r="U725" s="118" t="s">
        <v>18</v>
      </c>
      <c r="V725" s="119"/>
      <c r="W725" s="120" t="s">
        <v>19</v>
      </c>
      <c r="Z725" s="25"/>
      <c r="AA725" s="26"/>
      <c r="AB725" s="122" t="s">
        <v>17</v>
      </c>
      <c r="AC725" s="122"/>
      <c r="AD725" s="109"/>
      <c r="AE725" s="27"/>
      <c r="AG725" s="118" t="s">
        <v>18</v>
      </c>
      <c r="AH725" s="119"/>
      <c r="AI725" s="120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21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21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21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1">
        <v>8601</v>
      </c>
      <c r="D727" s="32">
        <f>8450+1244</f>
        <v>9694</v>
      </c>
      <c r="E727" s="32"/>
      <c r="F727" s="32"/>
      <c r="G727" s="32">
        <f t="shared" ref="G727:G760" si="216">SUM(D727:E727)</f>
        <v>9694</v>
      </c>
      <c r="H727" s="12"/>
      <c r="I727" s="12"/>
      <c r="J727" s="12"/>
      <c r="K727" s="12">
        <f t="shared" ref="K727:K760" si="217">SUM(G727:J727)</f>
        <v>9694</v>
      </c>
      <c r="M727" s="10">
        <v>1</v>
      </c>
      <c r="N727" s="30" t="s">
        <v>78</v>
      </c>
      <c r="O727" s="31">
        <v>8558</v>
      </c>
      <c r="P727" s="32">
        <f>650*2+670+19</f>
        <v>1989</v>
      </c>
      <c r="Q727" s="32"/>
      <c r="R727" s="32"/>
      <c r="S727" s="32">
        <f>SUM(P727:Q727)</f>
        <v>1989</v>
      </c>
      <c r="T727" s="12"/>
      <c r="U727" s="12"/>
      <c r="V727" s="12"/>
      <c r="W727" s="12">
        <f>SUM(S727:V727)</f>
        <v>1989</v>
      </c>
      <c r="Y727" s="10">
        <v>1</v>
      </c>
      <c r="Z727" s="30" t="s">
        <v>78</v>
      </c>
      <c r="AA727" s="31">
        <v>8502</v>
      </c>
      <c r="AB727" s="32">
        <f>650*65+670*3+622*10+229*2</f>
        <v>50938</v>
      </c>
      <c r="AC727" s="32">
        <f>-78*6</f>
        <v>-468</v>
      </c>
      <c r="AD727" s="32"/>
      <c r="AE727" s="32">
        <f>SUM(AB727:AC727)</f>
        <v>50470</v>
      </c>
      <c r="AF727" s="12"/>
      <c r="AG727" s="12"/>
      <c r="AH727" s="12"/>
      <c r="AI727" s="12">
        <f>SUM(AE727:AH727)</f>
        <v>50470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31">
        <f>C727+1</f>
        <v>8602</v>
      </c>
      <c r="D728" s="32">
        <f>3250+622</f>
        <v>3872</v>
      </c>
      <c r="E728" s="32"/>
      <c r="F728" s="32"/>
      <c r="G728" s="32">
        <f t="shared" si="216"/>
        <v>3872</v>
      </c>
      <c r="H728" s="12"/>
      <c r="I728" s="12"/>
      <c r="J728" s="12"/>
      <c r="K728" s="12">
        <f t="shared" si="217"/>
        <v>3872</v>
      </c>
      <c r="M728" s="10">
        <v>2</v>
      </c>
      <c r="N728" s="30" t="s">
        <v>78</v>
      </c>
      <c r="O728" s="31">
        <f>O727+1</f>
        <v>8559</v>
      </c>
      <c r="P728" s="32">
        <f>650+670+622+9.5*2</f>
        <v>1961</v>
      </c>
      <c r="Q728" s="32"/>
      <c r="R728" s="32"/>
      <c r="S728" s="32">
        <f t="shared" ref="S728:S765" si="218">SUM(P728:Q728)</f>
        <v>1961</v>
      </c>
      <c r="T728" s="12"/>
      <c r="U728" s="12"/>
      <c r="V728" s="12"/>
      <c r="W728" s="12">
        <f t="shared" ref="W728:W768" si="219">SUM(S728:V728)</f>
        <v>1961</v>
      </c>
      <c r="Y728" s="10">
        <v>2</v>
      </c>
      <c r="Z728" s="30" t="s">
        <v>78</v>
      </c>
      <c r="AA728" s="31">
        <f>AA727+1</f>
        <v>8503</v>
      </c>
      <c r="AB728" s="32">
        <f>650*108+229*4</f>
        <v>71116</v>
      </c>
      <c r="AC728" s="32">
        <f>-108*6</f>
        <v>-648</v>
      </c>
      <c r="AD728" s="32"/>
      <c r="AE728" s="32">
        <f t="shared" ref="AE728:AE759" si="220">SUM(AB728:AC728)</f>
        <v>70468</v>
      </c>
      <c r="AF728" s="12"/>
      <c r="AG728" s="12"/>
      <c r="AH728" s="12">
        <f>-120*10+-453*111+-84*14</f>
        <v>-52659</v>
      </c>
      <c r="AI728" s="12">
        <f t="shared" ref="AI728:AI768" si="221">SUM(AE728:AH728)</f>
        <v>17809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31">
        <f t="shared" ref="C729:C748" si="222">C728+1</f>
        <v>8603</v>
      </c>
      <c r="D729" s="33">
        <f>10400+1340+912</f>
        <v>12652</v>
      </c>
      <c r="E729" s="33"/>
      <c r="F729" s="33"/>
      <c r="G729" s="33">
        <f t="shared" si="216"/>
        <v>12652</v>
      </c>
      <c r="H729" s="34"/>
      <c r="I729" s="34"/>
      <c r="J729" s="34"/>
      <c r="K729" s="34">
        <f t="shared" si="217"/>
        <v>12652</v>
      </c>
      <c r="M729" s="10">
        <v>3</v>
      </c>
      <c r="N729" s="30" t="s">
        <v>78</v>
      </c>
      <c r="O729" s="31">
        <f t="shared" ref="O729:O738" si="223">O728+1</f>
        <v>8560</v>
      </c>
      <c r="P729" s="32">
        <f>650*70+622*20+229*2</f>
        <v>58398</v>
      </c>
      <c r="Q729" s="32"/>
      <c r="R729" s="32"/>
      <c r="S729" s="32">
        <f t="shared" si="218"/>
        <v>58398</v>
      </c>
      <c r="T729" s="12"/>
      <c r="U729" s="12"/>
      <c r="V729" s="12"/>
      <c r="W729" s="12">
        <f t="shared" si="219"/>
        <v>58398</v>
      </c>
      <c r="Y729" s="10">
        <v>3</v>
      </c>
      <c r="Z729" s="30" t="s">
        <v>78</v>
      </c>
      <c r="AA729" s="31">
        <f t="shared" ref="AA729:AA731" si="224">AA728+1</f>
        <v>8504</v>
      </c>
      <c r="AB729" s="33">
        <f>650*4+622</f>
        <v>3222</v>
      </c>
      <c r="AC729" s="33"/>
      <c r="AD729" s="32"/>
      <c r="AE729" s="32">
        <f t="shared" si="220"/>
        <v>3222</v>
      </c>
      <c r="AF729" s="12"/>
      <c r="AG729" s="12"/>
      <c r="AH729" s="12"/>
      <c r="AI729" s="12">
        <f t="shared" si="221"/>
        <v>3222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31">
        <f t="shared" si="222"/>
        <v>8604</v>
      </c>
      <c r="D730" s="32">
        <f>7800+1340+1866+142.5</f>
        <v>11148.5</v>
      </c>
      <c r="E730" s="32"/>
      <c r="F730" s="32"/>
      <c r="G730" s="32">
        <f t="shared" si="216"/>
        <v>11148.5</v>
      </c>
      <c r="H730" s="12"/>
      <c r="I730" s="12"/>
      <c r="J730" s="12"/>
      <c r="K730" s="12">
        <f t="shared" si="217"/>
        <v>11148.5</v>
      </c>
      <c r="M730" s="10">
        <v>4</v>
      </c>
      <c r="N730" s="30" t="s">
        <v>78</v>
      </c>
      <c r="O730" s="31">
        <f t="shared" si="223"/>
        <v>8561</v>
      </c>
      <c r="P730" s="32">
        <f>458</f>
        <v>458</v>
      </c>
      <c r="Q730" s="32"/>
      <c r="R730" s="32"/>
      <c r="S730" s="32">
        <f t="shared" si="218"/>
        <v>458</v>
      </c>
      <c r="T730" s="12"/>
      <c r="U730" s="12"/>
      <c r="V730" s="12"/>
      <c r="W730" s="12">
        <f t="shared" si="219"/>
        <v>458</v>
      </c>
      <c r="Y730" s="10">
        <v>4</v>
      </c>
      <c r="Z730" s="30" t="s">
        <v>78</v>
      </c>
      <c r="AA730" s="31">
        <f t="shared" si="224"/>
        <v>8505</v>
      </c>
      <c r="AB730" s="32">
        <f>650*48+622*17+872+229*2</f>
        <v>43104</v>
      </c>
      <c r="AC730" s="32"/>
      <c r="AD730" s="32"/>
      <c r="AE730" s="32">
        <f t="shared" si="220"/>
        <v>43104</v>
      </c>
      <c r="AF730" s="12"/>
      <c r="AH730" s="12"/>
      <c r="AI730" s="12">
        <f t="shared" si="221"/>
        <v>43104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31">
        <f t="shared" si="222"/>
        <v>8605</v>
      </c>
      <c r="D731" s="32">
        <f>1300+622+28.5</f>
        <v>1950.5</v>
      </c>
      <c r="E731" s="32"/>
      <c r="F731" s="32"/>
      <c r="G731" s="32">
        <f t="shared" si="216"/>
        <v>1950.5</v>
      </c>
      <c r="H731" s="12"/>
      <c r="I731" s="12"/>
      <c r="J731" s="12"/>
      <c r="K731" s="12">
        <f t="shared" si="217"/>
        <v>1950.5</v>
      </c>
      <c r="M731" s="10">
        <v>5</v>
      </c>
      <c r="N731" s="30" t="s">
        <v>78</v>
      </c>
      <c r="O731" s="31">
        <f t="shared" si="223"/>
        <v>8562</v>
      </c>
      <c r="P731" s="32">
        <f>16250+229</f>
        <v>16479</v>
      </c>
      <c r="Q731" s="32"/>
      <c r="R731" s="32"/>
      <c r="S731" s="32">
        <f t="shared" si="218"/>
        <v>16479</v>
      </c>
      <c r="T731" s="12"/>
      <c r="U731" s="12">
        <v>18</v>
      </c>
      <c r="V731" s="12"/>
      <c r="W731" s="12">
        <f t="shared" si="219"/>
        <v>16497</v>
      </c>
      <c r="Y731" s="10">
        <v>5</v>
      </c>
      <c r="Z731" s="30" t="s">
        <v>78</v>
      </c>
      <c r="AA731" s="31">
        <f t="shared" si="224"/>
        <v>8506</v>
      </c>
      <c r="AB731" s="32">
        <f>650*5+622*5</f>
        <v>6360</v>
      </c>
      <c r="AC731" s="32"/>
      <c r="AD731" s="32"/>
      <c r="AE731" s="32">
        <f t="shared" si="220"/>
        <v>6360</v>
      </c>
      <c r="AF731" s="12"/>
      <c r="AG731" s="12"/>
      <c r="AH731" s="12"/>
      <c r="AI731" s="12">
        <f t="shared" si="221"/>
        <v>6360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31">
        <f t="shared" si="222"/>
        <v>8606</v>
      </c>
      <c r="D732" s="32">
        <f>7800+4354+9.5*19</f>
        <v>12334.5</v>
      </c>
      <c r="E732" s="32"/>
      <c r="F732" s="32"/>
      <c r="G732" s="32">
        <f t="shared" si="216"/>
        <v>12334.5</v>
      </c>
      <c r="H732" s="12"/>
      <c r="I732" s="12">
        <v>888</v>
      </c>
      <c r="J732" s="12"/>
      <c r="K732" s="12">
        <f t="shared" si="217"/>
        <v>13222.5</v>
      </c>
      <c r="M732" s="10">
        <v>6</v>
      </c>
      <c r="N732" s="30" t="s">
        <v>78</v>
      </c>
      <c r="O732" s="31">
        <f t="shared" si="223"/>
        <v>8563</v>
      </c>
      <c r="P732" s="32">
        <f>650*8+76</f>
        <v>5276</v>
      </c>
      <c r="Q732" s="32"/>
      <c r="R732" s="32"/>
      <c r="S732" s="32">
        <f t="shared" si="218"/>
        <v>5276</v>
      </c>
      <c r="T732" s="12"/>
      <c r="U732" s="12"/>
      <c r="V732" s="10"/>
      <c r="W732" s="12">
        <f t="shared" si="219"/>
        <v>5276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0"/>
        <v>0</v>
      </c>
      <c r="AF732" s="12"/>
      <c r="AG732" s="12"/>
      <c r="AH732" s="10"/>
      <c r="AI732" s="12">
        <f t="shared" si="221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31">
        <f t="shared" si="222"/>
        <v>8607</v>
      </c>
      <c r="D733" s="32">
        <f>5200+1340+76+500</f>
        <v>7116</v>
      </c>
      <c r="E733" s="32"/>
      <c r="F733" s="32"/>
      <c r="G733" s="32">
        <f t="shared" si="216"/>
        <v>7116</v>
      </c>
      <c r="H733" s="12"/>
      <c r="I733" s="12"/>
      <c r="J733" s="12"/>
      <c r="K733" s="12">
        <f t="shared" si="217"/>
        <v>7116</v>
      </c>
      <c r="M733" s="10">
        <v>7</v>
      </c>
      <c r="N733" s="30" t="s">
        <v>78</v>
      </c>
      <c r="O733" s="31">
        <f t="shared" si="223"/>
        <v>8564</v>
      </c>
      <c r="P733" s="32">
        <f>1950+28.5</f>
        <v>1978.5</v>
      </c>
      <c r="Q733" s="32"/>
      <c r="R733" s="32"/>
      <c r="S733" s="32">
        <f t="shared" si="218"/>
        <v>1978.5</v>
      </c>
      <c r="T733" s="12"/>
      <c r="U733" s="12"/>
      <c r="V733" s="12"/>
      <c r="W733" s="12">
        <f t="shared" si="219"/>
        <v>1978.5</v>
      </c>
      <c r="Y733" s="10">
        <v>7</v>
      </c>
      <c r="Z733" s="30"/>
      <c r="AA733" s="31"/>
      <c r="AB733" s="32"/>
      <c r="AC733" s="32"/>
      <c r="AD733" s="32"/>
      <c r="AE733" s="32">
        <f t="shared" si="220"/>
        <v>0</v>
      </c>
      <c r="AF733" s="12"/>
      <c r="AG733" s="58"/>
      <c r="AH733" s="12"/>
      <c r="AI733" s="12">
        <f t="shared" si="221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31">
        <f t="shared" si="222"/>
        <v>8608</v>
      </c>
      <c r="D734" s="32">
        <f>650*32+622*5+229</f>
        <v>24139</v>
      </c>
      <c r="E734" s="32"/>
      <c r="F734" s="32"/>
      <c r="G734" s="32">
        <f t="shared" si="216"/>
        <v>24139</v>
      </c>
      <c r="H734" s="12"/>
      <c r="I734" s="12"/>
      <c r="J734" s="12"/>
      <c r="K734" s="12">
        <f t="shared" si="217"/>
        <v>24139</v>
      </c>
      <c r="M734" s="10">
        <v>8</v>
      </c>
      <c r="N734" s="30" t="s">
        <v>78</v>
      </c>
      <c r="O734" s="31">
        <f t="shared" si="223"/>
        <v>8565</v>
      </c>
      <c r="P734" s="32">
        <f>650*13+9.5*5</f>
        <v>8497.5</v>
      </c>
      <c r="Q734" s="32"/>
      <c r="R734" s="32"/>
      <c r="S734" s="32">
        <f t="shared" si="218"/>
        <v>8497.5</v>
      </c>
      <c r="T734" s="12"/>
      <c r="U734" s="12"/>
      <c r="V734" s="12"/>
      <c r="W734" s="12">
        <f t="shared" si="219"/>
        <v>8497.5</v>
      </c>
      <c r="Y734" s="10">
        <v>8</v>
      </c>
      <c r="Z734" s="30"/>
      <c r="AA734" s="31"/>
      <c r="AB734" s="32"/>
      <c r="AC734" s="32"/>
      <c r="AE734" s="32">
        <f t="shared" si="220"/>
        <v>0</v>
      </c>
      <c r="AF734" s="12"/>
      <c r="AG734" s="12"/>
      <c r="AH734" s="12"/>
      <c r="AI734" s="12">
        <f t="shared" si="221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31">
        <f t="shared" si="222"/>
        <v>8609</v>
      </c>
      <c r="D735" s="32">
        <f>10400+622</f>
        <v>11022</v>
      </c>
      <c r="E735" s="32"/>
      <c r="F735" s="32"/>
      <c r="G735" s="32">
        <f t="shared" si="216"/>
        <v>11022</v>
      </c>
      <c r="H735" s="12"/>
      <c r="I735" s="12"/>
      <c r="J735" s="12"/>
      <c r="K735" s="12">
        <f t="shared" si="217"/>
        <v>11022</v>
      </c>
      <c r="M735" s="10">
        <v>9</v>
      </c>
      <c r="N735" s="30" t="s">
        <v>78</v>
      </c>
      <c r="O735" s="31">
        <f t="shared" si="223"/>
        <v>8566</v>
      </c>
      <c r="P735" s="32">
        <f>650*21+622*15+9.5*12</f>
        <v>23094</v>
      </c>
      <c r="Q735" s="32"/>
      <c r="R735" s="32"/>
      <c r="S735" s="32">
        <f t="shared" si="218"/>
        <v>23094</v>
      </c>
      <c r="T735" s="12"/>
      <c r="U735" s="12">
        <v>184.5</v>
      </c>
      <c r="V735" s="12"/>
      <c r="W735" s="12">
        <f t="shared" si="219"/>
        <v>23278.5</v>
      </c>
      <c r="Y735" s="10">
        <v>9</v>
      </c>
      <c r="Z735" s="30"/>
      <c r="AA735" s="31"/>
      <c r="AB735" s="32"/>
      <c r="AC735" s="32"/>
      <c r="AD735" s="32"/>
      <c r="AE735" s="32">
        <f t="shared" si="220"/>
        <v>0</v>
      </c>
      <c r="AF735" s="12"/>
      <c r="AH735" s="12"/>
      <c r="AI735" s="12">
        <f t="shared" si="221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31">
        <f t="shared" si="222"/>
        <v>8610</v>
      </c>
      <c r="D736" s="32">
        <f>11050+229</f>
        <v>11279</v>
      </c>
      <c r="E736" s="32"/>
      <c r="F736" s="32"/>
      <c r="G736" s="32">
        <f t="shared" si="216"/>
        <v>11279</v>
      </c>
      <c r="H736" s="12"/>
      <c r="I736" s="12"/>
      <c r="J736" s="12"/>
      <c r="K736" s="12">
        <f t="shared" si="217"/>
        <v>11279</v>
      </c>
      <c r="M736" s="10">
        <v>10</v>
      </c>
      <c r="N736" s="30" t="s">
        <v>78</v>
      </c>
      <c r="O736" s="31">
        <f t="shared" si="223"/>
        <v>8567</v>
      </c>
      <c r="P736" s="32">
        <f>650*8+622+9.5*12</f>
        <v>5936</v>
      </c>
      <c r="Q736" s="32"/>
      <c r="R736" s="32"/>
      <c r="S736" s="32">
        <f t="shared" si="218"/>
        <v>5936</v>
      </c>
      <c r="T736" s="12"/>
      <c r="U736" s="12"/>
      <c r="V736" s="12">
        <v>-999</v>
      </c>
      <c r="W736" s="12">
        <f t="shared" si="219"/>
        <v>4937</v>
      </c>
      <c r="Y736" s="10">
        <v>10</v>
      </c>
      <c r="Z736" s="30"/>
      <c r="AA736" s="31"/>
      <c r="AB736" s="32"/>
      <c r="AC736" s="32"/>
      <c r="AD736" s="32"/>
      <c r="AE736" s="32">
        <f t="shared" si="220"/>
        <v>0</v>
      </c>
      <c r="AF736" s="12"/>
      <c r="AG736" s="12"/>
      <c r="AH736" s="12"/>
      <c r="AI736" s="12">
        <f t="shared" si="221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31">
        <f t="shared" si="222"/>
        <v>8611</v>
      </c>
      <c r="D737" s="32">
        <f>26000+229</f>
        <v>26229</v>
      </c>
      <c r="E737" s="32"/>
      <c r="F737" s="32"/>
      <c r="G737" s="32">
        <f t="shared" si="216"/>
        <v>26229</v>
      </c>
      <c r="H737" s="12"/>
      <c r="I737" s="12"/>
      <c r="J737" s="12"/>
      <c r="K737" s="12">
        <f t="shared" si="217"/>
        <v>26229</v>
      </c>
      <c r="M737" s="10">
        <v>11</v>
      </c>
      <c r="N737" s="30" t="s">
        <v>78</v>
      </c>
      <c r="O737" s="31">
        <f t="shared" si="223"/>
        <v>8568</v>
      </c>
      <c r="P737" s="32">
        <f>650+9.5</f>
        <v>659.5</v>
      </c>
      <c r="Q737" s="32"/>
      <c r="R737" s="32"/>
      <c r="S737" s="32">
        <f t="shared" si="218"/>
        <v>659.5</v>
      </c>
      <c r="T737" s="12"/>
      <c r="U737" s="12"/>
      <c r="V737" s="12"/>
      <c r="W737" s="12">
        <f t="shared" si="219"/>
        <v>659.5</v>
      </c>
      <c r="Y737" s="10">
        <v>11</v>
      </c>
      <c r="Z737" s="30"/>
      <c r="AA737" s="31"/>
      <c r="AB737" s="32"/>
      <c r="AC737" s="32"/>
      <c r="AD737" s="32"/>
      <c r="AE737" s="32">
        <f t="shared" si="220"/>
        <v>0</v>
      </c>
      <c r="AF737" s="12"/>
      <c r="AG737" s="12"/>
      <c r="AH737" s="12"/>
      <c r="AI737" s="12">
        <f t="shared" si="221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31">
        <f t="shared" si="222"/>
        <v>8612</v>
      </c>
      <c r="D738" s="32">
        <f>2600+38</f>
        <v>2638</v>
      </c>
      <c r="E738" s="32"/>
      <c r="F738" s="32"/>
      <c r="G738" s="32">
        <f t="shared" si="216"/>
        <v>2638</v>
      </c>
      <c r="H738" s="12"/>
      <c r="I738" s="12"/>
      <c r="J738" s="10"/>
      <c r="K738" s="12">
        <f t="shared" si="217"/>
        <v>2638</v>
      </c>
      <c r="M738" s="10">
        <v>12</v>
      </c>
      <c r="N738" s="30" t="s">
        <v>78</v>
      </c>
      <c r="O738" s="31">
        <f t="shared" si="223"/>
        <v>8569</v>
      </c>
      <c r="P738" s="32">
        <f>650*2+9.5*2</f>
        <v>1319</v>
      </c>
      <c r="Q738" s="32"/>
      <c r="R738" s="32"/>
      <c r="S738" s="32">
        <f t="shared" si="218"/>
        <v>1319</v>
      </c>
      <c r="T738" s="12"/>
      <c r="U738" s="12"/>
      <c r="V738" s="12"/>
      <c r="W738" s="12">
        <f t="shared" si="219"/>
        <v>1319</v>
      </c>
      <c r="Y738" s="10">
        <v>12</v>
      </c>
      <c r="Z738" s="30"/>
      <c r="AA738" s="31"/>
      <c r="AB738" s="32"/>
      <c r="AC738" s="32"/>
      <c r="AD738" s="32"/>
      <c r="AE738" s="32">
        <f t="shared" si="220"/>
        <v>0</v>
      </c>
      <c r="AF738" s="12"/>
      <c r="AG738" s="12"/>
      <c r="AH738" s="12"/>
      <c r="AI738" s="12">
        <f t="shared" si="221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31">
        <f t="shared" si="222"/>
        <v>8613</v>
      </c>
      <c r="D739" s="32">
        <f>10400+152</f>
        <v>10552</v>
      </c>
      <c r="E739" s="32"/>
      <c r="F739" s="32"/>
      <c r="G739" s="32">
        <f t="shared" si="216"/>
        <v>10552</v>
      </c>
      <c r="H739" s="12"/>
      <c r="I739" s="12">
        <v>162</v>
      </c>
      <c r="J739" s="12"/>
      <c r="K739" s="12">
        <f t="shared" si="217"/>
        <v>10714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8"/>
        <v>0</v>
      </c>
      <c r="T739" s="12"/>
      <c r="U739" s="12"/>
      <c r="V739" s="12"/>
      <c r="W739" s="12">
        <f t="shared" si="219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0"/>
        <v>0</v>
      </c>
      <c r="AF739" s="12"/>
      <c r="AG739" s="12"/>
      <c r="AH739" s="12"/>
      <c r="AI739" s="12">
        <f t="shared" si="221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31">
        <f t="shared" si="222"/>
        <v>8614</v>
      </c>
      <c r="D740" s="32">
        <f>9750+9.5*15</f>
        <v>9892.5</v>
      </c>
      <c r="E740" s="32"/>
      <c r="F740" s="32"/>
      <c r="G740" s="32">
        <f t="shared" si="216"/>
        <v>9892.5</v>
      </c>
      <c r="H740" s="12"/>
      <c r="I740" s="12"/>
      <c r="J740" s="12"/>
      <c r="K740" s="12">
        <f t="shared" si="217"/>
        <v>9892.5</v>
      </c>
      <c r="M740" s="10">
        <v>14</v>
      </c>
      <c r="N740" s="30"/>
      <c r="O740" s="31"/>
      <c r="P740" s="32"/>
      <c r="Q740" s="32"/>
      <c r="R740" s="32"/>
      <c r="S740" s="32">
        <f t="shared" si="218"/>
        <v>0</v>
      </c>
      <c r="T740" s="12"/>
      <c r="U740" s="12"/>
      <c r="V740" s="12"/>
      <c r="W740" s="12">
        <f t="shared" si="219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0"/>
        <v>0</v>
      </c>
      <c r="AF740" s="12"/>
      <c r="AG740" s="12"/>
      <c r="AH740" s="12"/>
      <c r="AI740" s="12">
        <f t="shared" si="221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31">
        <f t="shared" si="222"/>
        <v>8615</v>
      </c>
      <c r="D741" s="32">
        <f>650*5+9.5*5</f>
        <v>3297.5</v>
      </c>
      <c r="E741" s="32"/>
      <c r="F741" s="32"/>
      <c r="G741" s="32">
        <f t="shared" si="216"/>
        <v>3297.5</v>
      </c>
      <c r="H741" s="12"/>
      <c r="I741" s="12"/>
      <c r="J741" s="12"/>
      <c r="K741" s="12">
        <f t="shared" si="217"/>
        <v>3297.5</v>
      </c>
      <c r="M741" s="10">
        <v>15</v>
      </c>
      <c r="N741" s="30"/>
      <c r="O741" s="31"/>
      <c r="P741" s="32"/>
      <c r="Q741" s="32"/>
      <c r="R741" s="32"/>
      <c r="S741" s="32">
        <f t="shared" si="218"/>
        <v>0</v>
      </c>
      <c r="T741" s="12"/>
      <c r="U741" s="12"/>
      <c r="V741" s="12"/>
      <c r="W741" s="12">
        <f t="shared" si="219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0"/>
        <v>0</v>
      </c>
      <c r="AF741" s="12"/>
      <c r="AG741" s="12"/>
      <c r="AH741" s="12"/>
      <c r="AI741" s="12">
        <f t="shared" si="221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31">
        <f t="shared" si="222"/>
        <v>8616</v>
      </c>
      <c r="D742" s="32">
        <f>650*5</f>
        <v>3250</v>
      </c>
      <c r="E742" s="32"/>
      <c r="F742" s="32"/>
      <c r="G742" s="32">
        <f t="shared" si="216"/>
        <v>3250</v>
      </c>
      <c r="H742" s="12"/>
      <c r="I742" s="12"/>
      <c r="J742" s="12"/>
      <c r="K742" s="12">
        <f t="shared" si="217"/>
        <v>3250</v>
      </c>
      <c r="M742" s="10">
        <v>16</v>
      </c>
      <c r="N742" s="30"/>
      <c r="O742" s="31"/>
      <c r="P742" s="32"/>
      <c r="Q742" s="32"/>
      <c r="R742" s="32"/>
      <c r="S742" s="32">
        <f t="shared" si="218"/>
        <v>0</v>
      </c>
      <c r="T742" s="12"/>
      <c r="U742" s="12"/>
      <c r="V742" s="12"/>
      <c r="W742" s="12">
        <f t="shared" si="219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0"/>
        <v>0</v>
      </c>
      <c r="AF742" s="12"/>
      <c r="AG742" s="12"/>
      <c r="AH742" s="12"/>
      <c r="AI742" s="12">
        <f t="shared" si="221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31">
        <f t="shared" si="222"/>
        <v>8617</v>
      </c>
      <c r="D743" s="32">
        <f>650*17+9.5*17</f>
        <v>11211.5</v>
      </c>
      <c r="E743" s="32"/>
      <c r="F743" s="32"/>
      <c r="G743" s="32">
        <f t="shared" si="216"/>
        <v>11211.5</v>
      </c>
      <c r="H743" s="12"/>
      <c r="I743" s="12">
        <v>58.5</v>
      </c>
      <c r="J743" s="12"/>
      <c r="K743" s="12">
        <f t="shared" si="217"/>
        <v>11270</v>
      </c>
      <c r="M743" s="10">
        <v>17</v>
      </c>
      <c r="N743" s="30"/>
      <c r="O743" s="31"/>
      <c r="P743" s="35"/>
      <c r="Q743" s="32"/>
      <c r="R743" s="32"/>
      <c r="S743" s="32">
        <f t="shared" si="218"/>
        <v>0</v>
      </c>
      <c r="T743" s="12"/>
      <c r="U743" s="12"/>
      <c r="V743" s="12"/>
      <c r="W743" s="12">
        <f t="shared" si="219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0"/>
        <v>0</v>
      </c>
      <c r="AF743" s="12"/>
      <c r="AG743" s="12"/>
      <c r="AH743" s="12"/>
      <c r="AI743" s="12">
        <f t="shared" si="221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31">
        <f t="shared" si="222"/>
        <v>8618</v>
      </c>
      <c r="D744" s="32">
        <f>650*3</f>
        <v>1950</v>
      </c>
      <c r="E744" s="32"/>
      <c r="F744" s="32"/>
      <c r="G744" s="32">
        <f t="shared" si="216"/>
        <v>1950</v>
      </c>
      <c r="H744" s="12"/>
      <c r="I744" s="12">
        <v>333</v>
      </c>
      <c r="J744" s="12"/>
      <c r="K744" s="12">
        <f t="shared" si="217"/>
        <v>2283</v>
      </c>
      <c r="M744" s="10">
        <v>18</v>
      </c>
      <c r="N744" s="30"/>
      <c r="O744" s="31"/>
      <c r="P744" s="32"/>
      <c r="Q744" s="32"/>
      <c r="R744" s="32"/>
      <c r="S744" s="32">
        <f t="shared" si="218"/>
        <v>0</v>
      </c>
      <c r="T744" s="12"/>
      <c r="U744" s="12"/>
      <c r="V744" s="12"/>
      <c r="W744" s="12">
        <f t="shared" si="219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0"/>
        <v>0</v>
      </c>
      <c r="AF744" s="12"/>
      <c r="AG744" s="12"/>
      <c r="AH744" s="12"/>
      <c r="AI744" s="12">
        <f t="shared" si="221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31">
        <f t="shared" si="222"/>
        <v>8619</v>
      </c>
      <c r="D745" s="32">
        <f>650*4</f>
        <v>2600</v>
      </c>
      <c r="E745" s="32"/>
      <c r="F745" s="32"/>
      <c r="G745" s="32">
        <f t="shared" si="216"/>
        <v>2600</v>
      </c>
      <c r="H745" s="12"/>
      <c r="I745" s="12"/>
      <c r="J745" s="12"/>
      <c r="K745" s="12">
        <f t="shared" si="217"/>
        <v>2600</v>
      </c>
      <c r="M745" s="10">
        <v>19</v>
      </c>
      <c r="N745" s="30"/>
      <c r="O745" s="31"/>
      <c r="P745" s="32"/>
      <c r="Q745" s="32"/>
      <c r="R745" s="32"/>
      <c r="S745" s="32">
        <f t="shared" si="218"/>
        <v>0</v>
      </c>
      <c r="T745" s="12"/>
      <c r="U745" s="12"/>
      <c r="V745" s="12"/>
      <c r="W745" s="12">
        <f t="shared" si="219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0"/>
        <v>0</v>
      </c>
      <c r="AF745" s="12"/>
      <c r="AG745" s="12"/>
      <c r="AH745" s="12"/>
      <c r="AI745" s="12">
        <f t="shared" si="221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31">
        <f t="shared" si="222"/>
        <v>8620</v>
      </c>
      <c r="D746" s="32">
        <f>650*100+700*2</f>
        <v>66400</v>
      </c>
      <c r="E746" s="32"/>
      <c r="F746" s="32"/>
      <c r="G746" s="32">
        <f t="shared" si="216"/>
        <v>66400</v>
      </c>
      <c r="H746" s="12"/>
      <c r="I746" s="12">
        <v>1998</v>
      </c>
      <c r="J746" s="12"/>
      <c r="K746" s="12">
        <f t="shared" si="217"/>
        <v>68398</v>
      </c>
      <c r="M746" s="10">
        <v>20</v>
      </c>
      <c r="N746" s="30"/>
      <c r="O746" s="31"/>
      <c r="P746" s="32"/>
      <c r="Q746" s="32"/>
      <c r="R746" s="32"/>
      <c r="S746" s="32">
        <f t="shared" si="218"/>
        <v>0</v>
      </c>
      <c r="T746" s="12"/>
      <c r="U746" s="12"/>
      <c r="V746" s="12"/>
      <c r="W746" s="12">
        <f t="shared" si="219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20"/>
        <v>0</v>
      </c>
      <c r="AF746" s="12"/>
      <c r="AG746" s="12"/>
      <c r="AH746" s="12"/>
      <c r="AI746" s="12">
        <f t="shared" si="221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31">
        <f t="shared" si="222"/>
        <v>8621</v>
      </c>
      <c r="D747" s="32">
        <f>973*60+912*2+872*3</f>
        <v>62820</v>
      </c>
      <c r="E747" s="32"/>
      <c r="F747" s="32"/>
      <c r="G747" s="32">
        <f t="shared" si="216"/>
        <v>62820</v>
      </c>
      <c r="H747" s="10"/>
      <c r="I747" s="10"/>
      <c r="J747" s="10"/>
      <c r="K747" s="12">
        <f t="shared" si="217"/>
        <v>62820</v>
      </c>
      <c r="M747" s="10">
        <v>21</v>
      </c>
      <c r="N747" s="30"/>
      <c r="O747" s="31"/>
      <c r="P747" s="46"/>
      <c r="Q747" s="31"/>
      <c r="R747" s="31"/>
      <c r="S747" s="32">
        <f t="shared" si="218"/>
        <v>0</v>
      </c>
      <c r="T747" s="10"/>
      <c r="U747" s="10"/>
      <c r="V747" s="10"/>
      <c r="W747" s="12">
        <f t="shared" si="219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20"/>
        <v>0</v>
      </c>
      <c r="AF747" s="10"/>
      <c r="AG747" s="10"/>
      <c r="AH747" s="10"/>
      <c r="AI747" s="12">
        <f t="shared" si="221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31">
        <f t="shared" si="222"/>
        <v>8622</v>
      </c>
      <c r="D748" s="32">
        <f>458</f>
        <v>458</v>
      </c>
      <c r="E748" s="32"/>
      <c r="F748" s="32"/>
      <c r="G748" s="32">
        <f t="shared" si="216"/>
        <v>458</v>
      </c>
      <c r="H748" s="10"/>
      <c r="I748" s="10"/>
      <c r="J748" s="10"/>
      <c r="K748" s="12">
        <f t="shared" si="217"/>
        <v>458</v>
      </c>
      <c r="M748" s="10">
        <v>22</v>
      </c>
      <c r="N748" s="30"/>
      <c r="O748" s="31"/>
      <c r="P748" s="45"/>
      <c r="Q748" s="31"/>
      <c r="R748" s="31"/>
      <c r="S748" s="32">
        <f t="shared" si="218"/>
        <v>0</v>
      </c>
      <c r="T748" s="10"/>
      <c r="U748" s="10"/>
      <c r="V748" s="10"/>
      <c r="W748" s="12">
        <f t="shared" si="219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0"/>
        <v>0</v>
      </c>
      <c r="AF748" s="10"/>
      <c r="AG748" s="10"/>
      <c r="AH748" s="10"/>
      <c r="AI748" s="12">
        <f t="shared" si="221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16"/>
        <v>0</v>
      </c>
      <c r="H749" s="10"/>
      <c r="I749" s="10"/>
      <c r="J749" s="12"/>
      <c r="K749" s="12">
        <f t="shared" si="217"/>
        <v>0</v>
      </c>
      <c r="M749" s="10">
        <v>23</v>
      </c>
      <c r="N749" s="30"/>
      <c r="O749" s="31"/>
      <c r="P749" s="47"/>
      <c r="Q749" s="31"/>
      <c r="S749" s="32">
        <f t="shared" si="218"/>
        <v>0</v>
      </c>
      <c r="T749" s="10"/>
      <c r="U749" s="10"/>
      <c r="V749" s="10"/>
      <c r="W749" s="12">
        <f t="shared" si="219"/>
        <v>0</v>
      </c>
      <c r="Y749" s="10">
        <v>23</v>
      </c>
      <c r="Z749" s="30"/>
      <c r="AA749" s="31"/>
      <c r="AB749" s="47"/>
      <c r="AC749" s="31"/>
      <c r="AE749" s="32">
        <f t="shared" si="220"/>
        <v>0</v>
      </c>
      <c r="AF749" s="10"/>
      <c r="AG749" s="10"/>
      <c r="AH749" s="10"/>
      <c r="AI749" s="12">
        <f t="shared" si="221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216"/>
        <v>0</v>
      </c>
      <c r="H750" s="10"/>
      <c r="I750" s="10"/>
      <c r="J750" s="10"/>
      <c r="K750" s="12">
        <f t="shared" si="217"/>
        <v>0</v>
      </c>
      <c r="M750" s="10">
        <v>24</v>
      </c>
      <c r="N750" s="30"/>
      <c r="O750" s="31"/>
      <c r="P750" s="47"/>
      <c r="Q750" s="31"/>
      <c r="R750" s="31"/>
      <c r="S750" s="32">
        <f t="shared" si="218"/>
        <v>0</v>
      </c>
      <c r="T750" s="10"/>
      <c r="U750" s="10"/>
      <c r="V750" s="10"/>
      <c r="W750" s="12">
        <f t="shared" si="219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0"/>
        <v>0</v>
      </c>
      <c r="AF750" s="10"/>
      <c r="AG750" s="10"/>
      <c r="AH750" s="10"/>
      <c r="AI750" s="12">
        <f t="shared" si="221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6"/>
        <v>0</v>
      </c>
      <c r="H751" s="10"/>
      <c r="I751" s="10"/>
      <c r="J751" s="10"/>
      <c r="K751" s="12">
        <f t="shared" si="217"/>
        <v>0</v>
      </c>
      <c r="M751" s="10">
        <v>25</v>
      </c>
      <c r="N751" s="30"/>
      <c r="O751" s="31"/>
      <c r="P751" s="47"/>
      <c r="Q751" s="31"/>
      <c r="R751" s="31"/>
      <c r="S751" s="32">
        <f t="shared" si="218"/>
        <v>0</v>
      </c>
      <c r="T751" s="10"/>
      <c r="U751" s="10"/>
      <c r="V751" s="10"/>
      <c r="W751" s="12">
        <f t="shared" si="219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0"/>
        <v>0</v>
      </c>
      <c r="AF751" s="10"/>
      <c r="AG751" s="10"/>
      <c r="AH751" s="10"/>
      <c r="AI751" s="12">
        <f t="shared" si="221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216"/>
        <v>0</v>
      </c>
      <c r="H752" s="10"/>
      <c r="I752" s="10"/>
      <c r="J752" s="10"/>
      <c r="K752" s="12">
        <f t="shared" si="217"/>
        <v>0</v>
      </c>
      <c r="M752" s="10">
        <v>26</v>
      </c>
      <c r="N752" s="30"/>
      <c r="O752" s="31"/>
      <c r="P752" s="47"/>
      <c r="Q752" s="31"/>
      <c r="R752" s="31"/>
      <c r="S752" s="32">
        <f t="shared" si="218"/>
        <v>0</v>
      </c>
      <c r="T752" s="10"/>
      <c r="U752" s="10"/>
      <c r="V752" s="10"/>
      <c r="W752" s="12">
        <f t="shared" si="219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0"/>
        <v>0</v>
      </c>
      <c r="AF752" s="10"/>
      <c r="AG752" s="10"/>
      <c r="AH752" s="10"/>
      <c r="AI752" s="12">
        <f t="shared" si="221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216"/>
        <v>0</v>
      </c>
      <c r="H753" s="10"/>
      <c r="I753" s="10"/>
      <c r="J753" s="10"/>
      <c r="K753" s="12">
        <f t="shared" si="217"/>
        <v>0</v>
      </c>
      <c r="M753" s="10">
        <v>27</v>
      </c>
      <c r="N753" s="30"/>
      <c r="O753" s="31"/>
      <c r="P753" s="47"/>
      <c r="Q753" s="31"/>
      <c r="R753" s="31"/>
      <c r="S753" s="32">
        <f t="shared" si="218"/>
        <v>0</v>
      </c>
      <c r="T753" s="10"/>
      <c r="U753" s="10"/>
      <c r="V753" s="10"/>
      <c r="W753" s="12">
        <f t="shared" si="219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0"/>
        <v>0</v>
      </c>
      <c r="AF753" s="10"/>
      <c r="AG753" s="10"/>
      <c r="AH753" s="10"/>
      <c r="AI753" s="12">
        <f t="shared" si="221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6"/>
        <v>0</v>
      </c>
      <c r="H754" s="10"/>
      <c r="I754" s="10"/>
      <c r="J754" s="10"/>
      <c r="K754" s="12">
        <f t="shared" si="217"/>
        <v>0</v>
      </c>
      <c r="M754" s="10">
        <v>28</v>
      </c>
      <c r="N754" s="30"/>
      <c r="O754" s="31"/>
      <c r="P754" s="47"/>
      <c r="Q754" s="31"/>
      <c r="R754" s="31"/>
      <c r="S754" s="32">
        <f t="shared" si="218"/>
        <v>0</v>
      </c>
      <c r="T754" s="10"/>
      <c r="U754" s="10"/>
      <c r="V754" s="10"/>
      <c r="W754" s="12">
        <f t="shared" si="219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0"/>
        <v>0</v>
      </c>
      <c r="AF754" s="10"/>
      <c r="AG754" s="10"/>
      <c r="AH754" s="10"/>
      <c r="AI754" s="12">
        <f t="shared" si="221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6"/>
        <v>0</v>
      </c>
      <c r="H755" s="10"/>
      <c r="I755" s="10"/>
      <c r="J755" s="10"/>
      <c r="K755" s="12">
        <f t="shared" si="217"/>
        <v>0</v>
      </c>
      <c r="M755" s="10">
        <v>29</v>
      </c>
      <c r="N755" s="30"/>
      <c r="P755" s="47"/>
      <c r="Q755" s="31"/>
      <c r="R755" s="31"/>
      <c r="S755" s="32">
        <f t="shared" si="218"/>
        <v>0</v>
      </c>
      <c r="T755" s="10"/>
      <c r="U755" s="10"/>
      <c r="V755" s="10"/>
      <c r="W755" s="12">
        <f t="shared" si="219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0"/>
        <v>0</v>
      </c>
      <c r="AF755" s="10"/>
      <c r="AG755" s="10"/>
      <c r="AH755" s="10"/>
      <c r="AI755" s="12">
        <f t="shared" si="221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16"/>
        <v>0</v>
      </c>
      <c r="H756" s="10"/>
      <c r="I756" s="10"/>
      <c r="J756" s="10"/>
      <c r="K756" s="12">
        <f t="shared" si="217"/>
        <v>0</v>
      </c>
      <c r="M756" s="10">
        <v>30</v>
      </c>
      <c r="N756" s="30"/>
      <c r="O756" s="31"/>
      <c r="P756" s="47"/>
      <c r="Q756" s="31"/>
      <c r="R756" s="31"/>
      <c r="S756" s="32">
        <f t="shared" si="218"/>
        <v>0</v>
      </c>
      <c r="T756" s="10"/>
      <c r="U756" s="10"/>
      <c r="V756" s="10"/>
      <c r="W756" s="12">
        <f t="shared" si="219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0"/>
        <v>0</v>
      </c>
      <c r="AF756" s="10"/>
      <c r="AG756" s="10"/>
      <c r="AH756" s="10"/>
      <c r="AI756" s="12">
        <f t="shared" si="221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1"/>
      <c r="D757" s="32"/>
      <c r="E757" s="32"/>
      <c r="F757" s="32"/>
      <c r="G757" s="32">
        <f t="shared" si="216"/>
        <v>0</v>
      </c>
      <c r="H757" s="10"/>
      <c r="I757" s="10"/>
      <c r="J757" s="10"/>
      <c r="K757" s="12">
        <f t="shared" si="217"/>
        <v>0</v>
      </c>
      <c r="M757" s="10">
        <v>31</v>
      </c>
      <c r="N757" s="30"/>
      <c r="O757" s="31"/>
      <c r="P757" s="47"/>
      <c r="Q757" s="31"/>
      <c r="R757" s="31"/>
      <c r="S757" s="32">
        <f t="shared" si="218"/>
        <v>0</v>
      </c>
      <c r="T757" s="10"/>
      <c r="U757" s="10"/>
      <c r="V757" s="10"/>
      <c r="W757" s="12">
        <f t="shared" si="219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0"/>
        <v>0</v>
      </c>
      <c r="AF757" s="10"/>
      <c r="AG757" s="10"/>
      <c r="AH757" s="10"/>
      <c r="AI757" s="12">
        <f t="shared" si="221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57"/>
      <c r="D758" s="32"/>
      <c r="E758" s="32"/>
      <c r="F758" s="32"/>
      <c r="G758" s="32">
        <f t="shared" si="216"/>
        <v>0</v>
      </c>
      <c r="H758" s="10"/>
      <c r="I758" s="10"/>
      <c r="J758" s="10"/>
      <c r="K758" s="12">
        <f t="shared" si="217"/>
        <v>0</v>
      </c>
      <c r="M758" s="10">
        <v>32</v>
      </c>
      <c r="N758" s="30"/>
      <c r="O758" s="31"/>
      <c r="P758" s="47"/>
      <c r="Q758" s="31"/>
      <c r="R758" s="31"/>
      <c r="S758" s="32">
        <f t="shared" si="218"/>
        <v>0</v>
      </c>
      <c r="T758" s="10"/>
      <c r="U758" s="10"/>
      <c r="V758" s="10"/>
      <c r="W758" s="12">
        <f t="shared" si="219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0"/>
        <v>0</v>
      </c>
      <c r="AF758" s="10"/>
      <c r="AG758" s="10"/>
      <c r="AH758" s="10"/>
      <c r="AI758" s="12">
        <f t="shared" si="221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1"/>
      <c r="D759" s="32"/>
      <c r="E759" s="32"/>
      <c r="F759" s="32"/>
      <c r="G759" s="32">
        <f t="shared" si="216"/>
        <v>0</v>
      </c>
      <c r="H759" s="10"/>
      <c r="I759" s="10"/>
      <c r="J759" s="10"/>
      <c r="K759" s="12">
        <f t="shared" si="217"/>
        <v>0</v>
      </c>
      <c r="M759" s="10">
        <v>33</v>
      </c>
      <c r="N759" s="30"/>
      <c r="O759" s="31"/>
      <c r="P759" s="47"/>
      <c r="Q759" s="31"/>
      <c r="R759" s="31"/>
      <c r="S759" s="32">
        <f t="shared" si="218"/>
        <v>0</v>
      </c>
      <c r="T759" s="10"/>
      <c r="U759" s="10"/>
      <c r="V759" s="10"/>
      <c r="W759" s="12">
        <f t="shared" si="219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0"/>
        <v>0</v>
      </c>
      <c r="AF759" s="10"/>
      <c r="AG759" s="10"/>
      <c r="AH759" s="10"/>
      <c r="AI759" s="12">
        <f t="shared" si="221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1"/>
      <c r="D760" s="32"/>
      <c r="E760" s="32"/>
      <c r="F760" s="32"/>
      <c r="G760" s="32">
        <f t="shared" si="216"/>
        <v>0</v>
      </c>
      <c r="H760" s="10"/>
      <c r="I760" s="10"/>
      <c r="J760" s="10"/>
      <c r="K760" s="12">
        <f t="shared" si="217"/>
        <v>0</v>
      </c>
      <c r="M760" s="10">
        <v>34</v>
      </c>
      <c r="N760" s="30"/>
      <c r="O760" s="31"/>
      <c r="P760" s="47"/>
      <c r="Q760" s="31"/>
      <c r="R760" s="31"/>
      <c r="S760" s="32">
        <f t="shared" si="218"/>
        <v>0</v>
      </c>
      <c r="T760" s="10"/>
      <c r="U760" s="10"/>
      <c r="V760" s="10"/>
      <c r="W760" s="12">
        <f t="shared" si="219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225">SUM(AB760:AC760)</f>
        <v>0</v>
      </c>
      <c r="AF760" s="10"/>
      <c r="AG760" s="10"/>
      <c r="AH760" s="10"/>
      <c r="AI760" s="12">
        <f t="shared" si="221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9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8"/>
        <v>0</v>
      </c>
      <c r="T761" s="10"/>
      <c r="U761" s="10"/>
      <c r="V761" s="10"/>
      <c r="W761" s="12">
        <f t="shared" si="219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5"/>
        <v>0</v>
      </c>
      <c r="AF761" s="10"/>
      <c r="AG761" s="10"/>
      <c r="AH761" s="10"/>
      <c r="AI761" s="12">
        <f t="shared" si="221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9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8"/>
        <v>0</v>
      </c>
      <c r="T762" s="10"/>
      <c r="U762" s="10"/>
      <c r="V762" s="10"/>
      <c r="W762" s="12">
        <f t="shared" si="219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5"/>
        <v>0</v>
      </c>
      <c r="AF762" s="10"/>
      <c r="AG762" s="10"/>
      <c r="AH762" s="10"/>
      <c r="AI762" s="12">
        <f t="shared" si="221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8"/>
        <v>0</v>
      </c>
      <c r="T763" s="10"/>
      <c r="U763" s="10"/>
      <c r="V763" s="10"/>
      <c r="W763" s="12">
        <f t="shared" si="219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5"/>
        <v>0</v>
      </c>
      <c r="AF763" s="10"/>
      <c r="AG763" s="10"/>
      <c r="AH763" s="10"/>
      <c r="AI763" s="12">
        <f t="shared" si="221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8"/>
        <v>0</v>
      </c>
      <c r="T764" s="10"/>
      <c r="U764" s="10"/>
      <c r="V764" s="10"/>
      <c r="W764" s="12">
        <f t="shared" si="219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5"/>
        <v>0</v>
      </c>
      <c r="AF764" s="10"/>
      <c r="AG764" s="10"/>
      <c r="AH764" s="10"/>
      <c r="AI764" s="12">
        <f t="shared" si="221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8"/>
        <v>0</v>
      </c>
      <c r="T765" s="10"/>
      <c r="U765" s="10"/>
      <c r="V765" s="10"/>
      <c r="W765" s="12">
        <f t="shared" si="219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5"/>
        <v>0</v>
      </c>
      <c r="AF765" s="10"/>
      <c r="AG765" s="10"/>
      <c r="AH765" s="10"/>
      <c r="AI765" s="12">
        <f t="shared" si="221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9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1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9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1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9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1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306506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306506</v>
      </c>
      <c r="H770" s="4"/>
      <c r="I770" s="39">
        <f>SUM(I727:I769)</f>
        <v>3439.5</v>
      </c>
      <c r="J770" s="39">
        <f>SUM(J727:J769)</f>
        <v>0</v>
      </c>
      <c r="K770" s="40">
        <f>SUM(K727:K769)</f>
        <v>309945.5</v>
      </c>
      <c r="N770" s="57"/>
      <c r="O770" s="57"/>
      <c r="P770" s="38">
        <f>SUM(P727:P769)</f>
        <v>126045.5</v>
      </c>
      <c r="Q770" s="38">
        <f>SUM(Q727:Q751)</f>
        <v>0</v>
      </c>
      <c r="R770" s="38">
        <f>SUM(R727:R751)</f>
        <v>0</v>
      </c>
      <c r="S770" s="38">
        <f>SUM(S727:S769)</f>
        <v>126045.5</v>
      </c>
      <c r="T770" s="4"/>
      <c r="U770" s="41">
        <f>SUM(U727:U769)</f>
        <v>202.5</v>
      </c>
      <c r="V770" s="41">
        <f>SUM(V727:V751)</f>
        <v>-999</v>
      </c>
      <c r="W770" s="42">
        <f>SUM(W727:W769)</f>
        <v>125249</v>
      </c>
      <c r="Z770" s="57"/>
      <c r="AA770" s="57"/>
      <c r="AB770" s="38">
        <f>SUM(AB727:AB769)</f>
        <v>174740</v>
      </c>
      <c r="AC770" s="38">
        <f>SUM(AC727:AC751)</f>
        <v>-1116</v>
      </c>
      <c r="AD770" s="38">
        <f>SUM(AD727:AD751)</f>
        <v>0</v>
      </c>
      <c r="AE770" s="38">
        <f>SUM(AE727:AE769)</f>
        <v>173624</v>
      </c>
      <c r="AF770" s="4"/>
      <c r="AG770" s="41">
        <f>SUM(AG727:AG769)</f>
        <v>0</v>
      </c>
      <c r="AH770" s="41">
        <f>SUM(AH727:AH751)</f>
        <v>-52659</v>
      </c>
      <c r="AI770" s="42">
        <f>SUM(AI727:AI769)</f>
        <v>120965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82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2" t="s">
        <v>17</v>
      </c>
      <c r="E780" s="122"/>
      <c r="F780" s="110"/>
      <c r="G780" s="27"/>
      <c r="I780" s="118" t="s">
        <v>18</v>
      </c>
      <c r="J780" s="119"/>
      <c r="K780" s="120" t="s">
        <v>19</v>
      </c>
      <c r="N780" s="25"/>
      <c r="O780" s="26"/>
      <c r="P780" s="122" t="s">
        <v>17</v>
      </c>
      <c r="Q780" s="122"/>
      <c r="R780" s="110"/>
      <c r="S780" s="27"/>
      <c r="U780" s="118" t="s">
        <v>18</v>
      </c>
      <c r="V780" s="119"/>
      <c r="W780" s="120" t="s">
        <v>19</v>
      </c>
      <c r="Z780" s="25"/>
      <c r="AA780" s="26"/>
      <c r="AB780" s="122" t="s">
        <v>17</v>
      </c>
      <c r="AC780" s="122"/>
      <c r="AD780" s="110"/>
      <c r="AE780" s="27"/>
      <c r="AG780" s="118" t="s">
        <v>18</v>
      </c>
      <c r="AH780" s="119"/>
      <c r="AI780" s="120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21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21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21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91">
        <v>8623</v>
      </c>
      <c r="D782" s="32">
        <f>700*5+670*5+973*10+622*100+912*20+29*1050+872*15+872*5+500*15+500*5</f>
        <v>154910</v>
      </c>
      <c r="E782" s="32"/>
      <c r="F782" s="32"/>
      <c r="G782" s="32">
        <f t="shared" ref="G782:G815" si="231">SUM(D782:E782)</f>
        <v>154910</v>
      </c>
      <c r="H782" s="12"/>
      <c r="I782" s="12"/>
      <c r="J782" s="12"/>
      <c r="K782" s="12">
        <f t="shared" ref="K782:K815" si="232">SUM(G782:J782)</f>
        <v>154910</v>
      </c>
      <c r="M782" s="10">
        <v>1</v>
      </c>
      <c r="N782" s="30" t="s">
        <v>81</v>
      </c>
      <c r="O782" s="31">
        <v>8570</v>
      </c>
      <c r="P782" s="32">
        <f>650*5+9.5*5</f>
        <v>3297.5</v>
      </c>
      <c r="Q782" s="32"/>
      <c r="R782" s="32"/>
      <c r="S782" s="32">
        <f>SUM(P782:Q782)</f>
        <v>3297.5</v>
      </c>
      <c r="T782" s="12"/>
      <c r="U782" s="12"/>
      <c r="V782" s="12"/>
      <c r="W782" s="12">
        <f>SUM(S782:V782)</f>
        <v>3297.5</v>
      </c>
      <c r="Y782" s="10">
        <v>1</v>
      </c>
      <c r="Z782" s="30" t="s">
        <v>81</v>
      </c>
      <c r="AA782" s="31">
        <v>8507</v>
      </c>
      <c r="AB782" s="32">
        <f>650*268+622*50</f>
        <v>205300</v>
      </c>
      <c r="AC782" s="32">
        <v>-1908</v>
      </c>
      <c r="AD782" s="32"/>
      <c r="AE782" s="32">
        <f>SUM(AB782:AC782)</f>
        <v>203392</v>
      </c>
      <c r="AF782" s="12"/>
      <c r="AG782" s="12"/>
      <c r="AH782" s="12"/>
      <c r="AI782" s="12">
        <f>SUM(AE782:AH782)</f>
        <v>203392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31">
        <f>C782+1</f>
        <v>8624</v>
      </c>
      <c r="D783" s="32">
        <f>1582+1728+2350+1102+2350+1582+1300+6500</f>
        <v>18494</v>
      </c>
      <c r="E783" s="32"/>
      <c r="F783" s="32"/>
      <c r="G783" s="32">
        <f t="shared" si="231"/>
        <v>18494</v>
      </c>
      <c r="H783" s="12"/>
      <c r="I783" s="12">
        <f>12000+11655+555</f>
        <v>24210</v>
      </c>
      <c r="J783" s="12">
        <f>-600+-8991+-111+-84*104+-84*140+-84*31</f>
        <v>-32802</v>
      </c>
      <c r="K783" s="12">
        <f t="shared" si="232"/>
        <v>9902</v>
      </c>
      <c r="M783" s="10">
        <v>2</v>
      </c>
      <c r="N783" s="30" t="s">
        <v>81</v>
      </c>
      <c r="O783" s="31">
        <f>O782+1</f>
        <v>8571</v>
      </c>
      <c r="P783" s="32">
        <f>650*10+9.5*10</f>
        <v>6595</v>
      </c>
      <c r="Q783" s="32"/>
      <c r="R783" s="32"/>
      <c r="S783" s="32">
        <f t="shared" ref="S783:S820" si="233">SUM(P783:Q783)</f>
        <v>6595</v>
      </c>
      <c r="T783" s="12"/>
      <c r="U783" s="12"/>
      <c r="V783" s="12"/>
      <c r="W783" s="12">
        <f t="shared" ref="W783:W823" si="234">SUM(S783:V783)</f>
        <v>6595</v>
      </c>
      <c r="Y783" s="10">
        <v>2</v>
      </c>
      <c r="Z783" s="30" t="s">
        <v>81</v>
      </c>
      <c r="AA783" s="31">
        <f>AA782+1</f>
        <v>8508</v>
      </c>
      <c r="AB783" s="32">
        <f>650*30+486+456</f>
        <v>20442</v>
      </c>
      <c r="AC783" s="32"/>
      <c r="AD783" s="32"/>
      <c r="AE783" s="32">
        <f t="shared" ref="AE783:AE814" si="235">SUM(AB783:AC783)</f>
        <v>20442</v>
      </c>
      <c r="AF783" s="12"/>
      <c r="AG783" s="12"/>
      <c r="AH783" s="12"/>
      <c r="AI783" s="12">
        <f t="shared" ref="AI783:AI823" si="236">SUM(AE783:AH783)</f>
        <v>20442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31">
        <f t="shared" ref="C784:C792" si="237">C783+1</f>
        <v>8625</v>
      </c>
      <c r="D784" s="33">
        <f>650*50+670*2+622*5</f>
        <v>36950</v>
      </c>
      <c r="E784" s="33"/>
      <c r="F784" s="33"/>
      <c r="G784" s="33">
        <f t="shared" si="231"/>
        <v>36950</v>
      </c>
      <c r="H784" s="34"/>
      <c r="I784" s="34">
        <v>216</v>
      </c>
      <c r="J784" s="34">
        <v>-2220</v>
      </c>
      <c r="K784" s="34">
        <f t="shared" si="232"/>
        <v>34946</v>
      </c>
      <c r="M784" s="10">
        <v>3</v>
      </c>
      <c r="N784" s="30" t="s">
        <v>81</v>
      </c>
      <c r="O784" s="31">
        <f t="shared" ref="O784:O787" si="238">O783+1</f>
        <v>8572</v>
      </c>
      <c r="P784" s="32">
        <f>650*216+622*50+229*11</f>
        <v>174019</v>
      </c>
      <c r="Q784" s="32">
        <v>-1596</v>
      </c>
      <c r="R784" s="32"/>
      <c r="S784" s="32">
        <f t="shared" si="233"/>
        <v>172423</v>
      </c>
      <c r="T784" s="12"/>
      <c r="U784" s="12">
        <f>1.5*240</f>
        <v>360</v>
      </c>
      <c r="V784" s="12">
        <v>-378</v>
      </c>
      <c r="W784" s="12">
        <f t="shared" si="234"/>
        <v>172405</v>
      </c>
      <c r="Y784" s="10">
        <v>3</v>
      </c>
      <c r="Z784" s="30" t="s">
        <v>81</v>
      </c>
      <c r="AA784" s="31">
        <f t="shared" ref="AA784:AA786" si="239">AA783+1</f>
        <v>8509</v>
      </c>
      <c r="AB784" s="33">
        <f>650*5+670*2</f>
        <v>4590</v>
      </c>
      <c r="AC784" s="33"/>
      <c r="AD784" s="32"/>
      <c r="AE784" s="32">
        <f t="shared" si="235"/>
        <v>4590</v>
      </c>
      <c r="AF784" s="12"/>
      <c r="AG784" s="12"/>
      <c r="AH784" s="12">
        <f>-111*19</f>
        <v>-2109</v>
      </c>
      <c r="AI784" s="12">
        <f t="shared" si="236"/>
        <v>2481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31">
        <f t="shared" si="237"/>
        <v>8626</v>
      </c>
      <c r="D785" s="32">
        <f>650*40</f>
        <v>26000</v>
      </c>
      <c r="E785" s="32"/>
      <c r="F785" s="32"/>
      <c r="G785" s="32">
        <f t="shared" si="231"/>
        <v>26000</v>
      </c>
      <c r="H785" s="12"/>
      <c r="I785" s="12"/>
      <c r="J785" s="12"/>
      <c r="K785" s="12">
        <f t="shared" si="232"/>
        <v>26000</v>
      </c>
      <c r="M785" s="10">
        <v>4</v>
      </c>
      <c r="N785" s="30" t="s">
        <v>81</v>
      </c>
      <c r="O785" s="31">
        <f t="shared" si="238"/>
        <v>8573</v>
      </c>
      <c r="P785" s="32">
        <f>650*12</f>
        <v>7800</v>
      </c>
      <c r="Q785" s="32"/>
      <c r="R785" s="32"/>
      <c r="S785" s="32">
        <f t="shared" si="233"/>
        <v>7800</v>
      </c>
      <c r="T785" s="12"/>
      <c r="U785" s="12"/>
      <c r="V785" s="12"/>
      <c r="W785" s="12">
        <f t="shared" si="234"/>
        <v>7800</v>
      </c>
      <c r="Y785" s="10">
        <v>4</v>
      </c>
      <c r="Z785" s="30" t="s">
        <v>81</v>
      </c>
      <c r="AA785" s="31">
        <f t="shared" si="239"/>
        <v>8510</v>
      </c>
      <c r="AB785" s="32">
        <f>650*20</f>
        <v>13000</v>
      </c>
      <c r="AC785" s="32"/>
      <c r="AD785" s="32"/>
      <c r="AE785" s="32">
        <f t="shared" si="235"/>
        <v>13000</v>
      </c>
      <c r="AF785" s="12"/>
      <c r="AH785" s="12"/>
      <c r="AI785" s="12">
        <f t="shared" si="236"/>
        <v>13000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31">
        <f t="shared" si="237"/>
        <v>8627</v>
      </c>
      <c r="D786" s="32">
        <f>650*30+229</f>
        <v>19729</v>
      </c>
      <c r="E786" s="32"/>
      <c r="F786" s="32"/>
      <c r="G786" s="32">
        <f t="shared" si="231"/>
        <v>19729</v>
      </c>
      <c r="H786" s="12"/>
      <c r="I786" s="12">
        <f>540+36</f>
        <v>576</v>
      </c>
      <c r="J786" s="12"/>
      <c r="K786" s="12">
        <f t="shared" si="232"/>
        <v>20305</v>
      </c>
      <c r="M786" s="10">
        <v>5</v>
      </c>
      <c r="N786" s="30" t="s">
        <v>81</v>
      </c>
      <c r="O786" s="31">
        <f t="shared" si="238"/>
        <v>8574</v>
      </c>
      <c r="P786" s="32">
        <f>650*4+9.5*4</f>
        <v>2638</v>
      </c>
      <c r="Q786" s="32"/>
      <c r="R786" s="32"/>
      <c r="S786" s="32">
        <f t="shared" si="233"/>
        <v>2638</v>
      </c>
      <c r="T786" s="12"/>
      <c r="U786" s="12"/>
      <c r="V786" s="12"/>
      <c r="W786" s="12">
        <f t="shared" si="234"/>
        <v>2638</v>
      </c>
      <c r="Y786" s="10">
        <v>5</v>
      </c>
      <c r="Z786" s="30" t="s">
        <v>81</v>
      </c>
      <c r="AA786" s="31">
        <f t="shared" si="239"/>
        <v>8511</v>
      </c>
      <c r="AB786" s="32">
        <f>160*650+622*50+229*9</f>
        <v>137161</v>
      </c>
      <c r="AC786" s="32"/>
      <c r="AD786" s="32"/>
      <c r="AE786" s="32">
        <f t="shared" si="235"/>
        <v>137161</v>
      </c>
      <c r="AF786" s="12"/>
      <c r="AG786" s="12"/>
      <c r="AH786" s="12">
        <f>-111*71+-84*10+-16*42</f>
        <v>-9393</v>
      </c>
      <c r="AI786" s="12">
        <f t="shared" si="236"/>
        <v>127768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31">
        <f t="shared" si="237"/>
        <v>8628</v>
      </c>
      <c r="D787" s="32">
        <f>650*2+9.5*2</f>
        <v>1319</v>
      </c>
      <c r="E787" s="32"/>
      <c r="F787" s="32"/>
      <c r="G787" s="32">
        <f t="shared" si="231"/>
        <v>1319</v>
      </c>
      <c r="H787" s="12"/>
      <c r="I787" s="12"/>
      <c r="J787" s="12">
        <v>-504</v>
      </c>
      <c r="K787" s="12">
        <f t="shared" si="232"/>
        <v>815</v>
      </c>
      <c r="M787" s="10">
        <v>6</v>
      </c>
      <c r="N787" s="30" t="s">
        <v>81</v>
      </c>
      <c r="O787" s="31">
        <f t="shared" si="238"/>
        <v>8575</v>
      </c>
      <c r="P787" s="32">
        <f>650*3+622</f>
        <v>2572</v>
      </c>
      <c r="Q787" s="32"/>
      <c r="R787" s="32"/>
      <c r="S787" s="32">
        <f t="shared" si="233"/>
        <v>2572</v>
      </c>
      <c r="T787" s="12"/>
      <c r="U787" s="12"/>
      <c r="V787" s="10"/>
      <c r="W787" s="12">
        <f t="shared" si="234"/>
        <v>2572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35"/>
        <v>0</v>
      </c>
      <c r="AF787" s="12"/>
      <c r="AG787" s="12"/>
      <c r="AH787" s="10"/>
      <c r="AI787" s="12">
        <f t="shared" si="236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31">
        <f t="shared" si="237"/>
        <v>8629</v>
      </c>
      <c r="D788" s="32">
        <f>650*3+9.5*3</f>
        <v>1978.5</v>
      </c>
      <c r="E788" s="32"/>
      <c r="F788" s="32"/>
      <c r="G788" s="32">
        <f t="shared" si="231"/>
        <v>1978.5</v>
      </c>
      <c r="H788" s="12"/>
      <c r="I788" s="12">
        <v>4.5</v>
      </c>
      <c r="J788" s="12"/>
      <c r="K788" s="12">
        <f t="shared" si="232"/>
        <v>1983</v>
      </c>
      <c r="M788" s="10">
        <v>7</v>
      </c>
      <c r="N788" s="30"/>
      <c r="O788" s="11" t="s">
        <v>27</v>
      </c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/>
      <c r="AA788" s="31"/>
      <c r="AB788" s="32"/>
      <c r="AC788" s="32"/>
      <c r="AD788" s="32"/>
      <c r="AE788" s="32">
        <f t="shared" si="235"/>
        <v>0</v>
      </c>
      <c r="AF788" s="12"/>
      <c r="AG788" s="58"/>
      <c r="AH788" s="12"/>
      <c r="AI788" s="12">
        <f t="shared" si="236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31">
        <f t="shared" si="237"/>
        <v>8630</v>
      </c>
      <c r="D789" s="32">
        <f>650*5+670+622*3+9.5*8</f>
        <v>5862</v>
      </c>
      <c r="E789" s="32"/>
      <c r="F789" s="32"/>
      <c r="G789" s="32">
        <f t="shared" si="231"/>
        <v>5862</v>
      </c>
      <c r="H789" s="12"/>
      <c r="I789" s="12"/>
      <c r="J789" s="12">
        <v>-840</v>
      </c>
      <c r="K789" s="12">
        <f t="shared" si="232"/>
        <v>5022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/>
      <c r="AA789" s="31"/>
      <c r="AB789" s="32"/>
      <c r="AC789" s="32"/>
      <c r="AE789" s="32">
        <f t="shared" si="235"/>
        <v>0</v>
      </c>
      <c r="AF789" s="12"/>
      <c r="AG789" s="12"/>
      <c r="AH789" s="12"/>
      <c r="AI789" s="12">
        <f t="shared" si="236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31">
        <f t="shared" si="237"/>
        <v>8631</v>
      </c>
      <c r="D790" s="32">
        <f>650*16+622*5</f>
        <v>13510</v>
      </c>
      <c r="E790" s="32"/>
      <c r="F790" s="32"/>
      <c r="G790" s="32">
        <f t="shared" si="231"/>
        <v>13510</v>
      </c>
      <c r="H790" s="12"/>
      <c r="I790" s="12"/>
      <c r="J790" s="12">
        <v>-2100</v>
      </c>
      <c r="K790" s="12">
        <f t="shared" si="232"/>
        <v>11410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/>
      <c r="AA790" s="31"/>
      <c r="AB790" s="32"/>
      <c r="AC790" s="32"/>
      <c r="AD790" s="32"/>
      <c r="AE790" s="32">
        <f t="shared" si="235"/>
        <v>0</v>
      </c>
      <c r="AF790" s="12"/>
      <c r="AH790" s="12"/>
      <c r="AI790" s="12">
        <f t="shared" si="236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31">
        <f t="shared" si="237"/>
        <v>8632</v>
      </c>
      <c r="D791" s="32">
        <f>650*20+670*2+973+622*3+912+872+500*2</f>
        <v>19963</v>
      </c>
      <c r="E791" s="32"/>
      <c r="F791" s="32"/>
      <c r="G791" s="32">
        <f t="shared" si="231"/>
        <v>19963</v>
      </c>
      <c r="H791" s="12"/>
      <c r="I791" s="12">
        <f>48*2.25+72*1.5</f>
        <v>216</v>
      </c>
      <c r="J791" s="12"/>
      <c r="K791" s="12">
        <f t="shared" si="232"/>
        <v>20179</v>
      </c>
      <c r="M791" s="10">
        <v>10</v>
      </c>
      <c r="N791" s="30"/>
      <c r="O791" s="31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/>
      <c r="AA791" s="31"/>
      <c r="AB791" s="32"/>
      <c r="AC791" s="32"/>
      <c r="AD791" s="32"/>
      <c r="AE791" s="32">
        <f t="shared" si="235"/>
        <v>0</v>
      </c>
      <c r="AF791" s="12"/>
      <c r="AG791" s="12"/>
      <c r="AH791" s="12"/>
      <c r="AI791" s="12">
        <f t="shared" si="236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31">
        <f t="shared" si="237"/>
        <v>8633</v>
      </c>
      <c r="D792" s="32">
        <f>650*2+622</f>
        <v>1922</v>
      </c>
      <c r="E792" s="32"/>
      <c r="F792" s="32"/>
      <c r="G792" s="32">
        <f t="shared" si="231"/>
        <v>1922</v>
      </c>
      <c r="H792" s="12"/>
      <c r="I792" s="12"/>
      <c r="J792" s="12">
        <v>-924</v>
      </c>
      <c r="K792" s="12">
        <f t="shared" si="232"/>
        <v>998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3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O797" s="31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3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O800" s="31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Q804" s="31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C804" s="31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O806" s="31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O807" s="31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O811" s="31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91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57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O813" s="31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91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91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si="233"/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40">SUM(AB815:AC815)</f>
        <v>0</v>
      </c>
      <c r="AF815" s="10"/>
      <c r="AG815" s="10"/>
      <c r="AH815" s="10"/>
      <c r="AI815" s="12">
        <f t="shared" si="236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9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3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0"/>
        <v>0</v>
      </c>
      <c r="AF816" s="10"/>
      <c r="AG816" s="10"/>
      <c r="AH816" s="10"/>
      <c r="AI816" s="12">
        <f t="shared" si="236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9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3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0"/>
        <v>0</v>
      </c>
      <c r="AF817" s="10"/>
      <c r="AG817" s="10"/>
      <c r="AH817" s="10"/>
      <c r="AI817" s="12">
        <f t="shared" si="236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3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0"/>
        <v>0</v>
      </c>
      <c r="AF818" s="10"/>
      <c r="AG818" s="10"/>
      <c r="AH818" s="10"/>
      <c r="AI818" s="12">
        <f t="shared" si="236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3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0"/>
        <v>0</v>
      </c>
      <c r="AF819" s="10"/>
      <c r="AG819" s="10"/>
      <c r="AH819" s="10"/>
      <c r="AI819" s="12">
        <f t="shared" si="236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3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0"/>
        <v>0</v>
      </c>
      <c r="AF820" s="10"/>
      <c r="AG820" s="10"/>
      <c r="AH820" s="10"/>
      <c r="AI820" s="12">
        <f t="shared" si="236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6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36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6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300637.5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300637.5</v>
      </c>
      <c r="H825" s="4"/>
      <c r="I825" s="39">
        <f>SUM(I782:I824)</f>
        <v>25222.5</v>
      </c>
      <c r="J825" s="39">
        <f>SUM(J782:J824)</f>
        <v>-39390</v>
      </c>
      <c r="K825" s="40">
        <f>SUM(K782:K824)</f>
        <v>286470</v>
      </c>
      <c r="N825" s="57"/>
      <c r="O825" s="57"/>
      <c r="P825" s="38">
        <f>SUM(P782:P824)</f>
        <v>196921.5</v>
      </c>
      <c r="Q825" s="38">
        <f>SUM(Q782:Q806)</f>
        <v>-1596</v>
      </c>
      <c r="R825" s="38">
        <f>SUM(R782:R806)</f>
        <v>0</v>
      </c>
      <c r="S825" s="38">
        <f>SUM(S782:S824)</f>
        <v>195325.5</v>
      </c>
      <c r="T825" s="4"/>
      <c r="U825" s="41">
        <f>SUM(U782:U824)</f>
        <v>360</v>
      </c>
      <c r="V825" s="41">
        <f>SUM(V782:V806)</f>
        <v>-378</v>
      </c>
      <c r="W825" s="42">
        <f>SUM(W782:W824)</f>
        <v>195307.5</v>
      </c>
      <c r="Z825" s="57"/>
      <c r="AA825" s="57"/>
      <c r="AB825" s="38">
        <f>SUM(AB782:AB824)</f>
        <v>380493</v>
      </c>
      <c r="AC825" s="38">
        <f>SUM(AC782:AC806)</f>
        <v>-1908</v>
      </c>
      <c r="AD825" s="38">
        <f>SUM(AD782:AD806)</f>
        <v>0</v>
      </c>
      <c r="AE825" s="38">
        <f>SUM(AE782:AE824)</f>
        <v>378585</v>
      </c>
      <c r="AF825" s="4"/>
      <c r="AG825" s="41">
        <f>SUM(AG782:AG824)</f>
        <v>0</v>
      </c>
      <c r="AH825" s="41">
        <f>SUM(AH782:AH806)</f>
        <v>-11502</v>
      </c>
      <c r="AI825" s="42">
        <f>SUM(AI782:AI824)</f>
        <v>367083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49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49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49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82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2" t="s">
        <v>17</v>
      </c>
      <c r="E835" s="122"/>
      <c r="F835" s="111"/>
      <c r="G835" s="27"/>
      <c r="I835" s="118" t="s">
        <v>18</v>
      </c>
      <c r="J835" s="119"/>
      <c r="K835" s="120" t="s">
        <v>19</v>
      </c>
      <c r="N835" s="25"/>
      <c r="O835" s="26"/>
      <c r="P835" s="122" t="s">
        <v>17</v>
      </c>
      <c r="Q835" s="122"/>
      <c r="R835" s="111"/>
      <c r="S835" s="27"/>
      <c r="U835" s="118" t="s">
        <v>18</v>
      </c>
      <c r="V835" s="119"/>
      <c r="W835" s="120" t="s">
        <v>19</v>
      </c>
      <c r="Z835" s="25"/>
      <c r="AA835" s="26"/>
      <c r="AB835" s="122" t="s">
        <v>17</v>
      </c>
      <c r="AC835" s="122"/>
      <c r="AD835" s="111"/>
      <c r="AE835" s="27"/>
      <c r="AG835" s="118" t="s">
        <v>18</v>
      </c>
      <c r="AH835" s="119"/>
      <c r="AI835" s="120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21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21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21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91">
        <v>8634</v>
      </c>
      <c r="D837" s="32">
        <f>650*17+622*3</f>
        <v>12916</v>
      </c>
      <c r="E837" s="32"/>
      <c r="F837" s="32"/>
      <c r="G837" s="32">
        <f t="shared" ref="G837:G870" si="246">SUM(D837:E837)</f>
        <v>12916</v>
      </c>
      <c r="H837" s="12"/>
      <c r="I837" s="12"/>
      <c r="J837" s="12">
        <v>-2664</v>
      </c>
      <c r="K837" s="12">
        <f t="shared" ref="K837:K870" si="247">SUM(G837:J837)</f>
        <v>10252</v>
      </c>
      <c r="M837" s="10">
        <v>1</v>
      </c>
      <c r="N837" s="30" t="s">
        <v>85</v>
      </c>
      <c r="O837" s="31">
        <v>8576</v>
      </c>
      <c r="P837" s="32">
        <f>650*10</f>
        <v>6500</v>
      </c>
      <c r="Q837" s="32"/>
      <c r="R837" s="32"/>
      <c r="S837" s="32">
        <f>SUM(P837:Q837)</f>
        <v>6500</v>
      </c>
      <c r="T837" s="12"/>
      <c r="U837" s="12">
        <f>10*111</f>
        <v>1110</v>
      </c>
      <c r="V837" s="12"/>
      <c r="W837" s="12">
        <f>SUM(S837:V837)</f>
        <v>7610</v>
      </c>
      <c r="Y837" s="10">
        <v>1</v>
      </c>
      <c r="Z837" s="30" t="s">
        <v>85</v>
      </c>
      <c r="AA837" s="31">
        <v>8512</v>
      </c>
      <c r="AB837" s="32">
        <f>650*27+670+622*10+229</f>
        <v>24669</v>
      </c>
      <c r="AC837" s="32"/>
      <c r="AD837" s="32"/>
      <c r="AE837" s="32">
        <f>SUM(AB837:AC837)</f>
        <v>24669</v>
      </c>
      <c r="AF837" s="12"/>
      <c r="AG837" s="12"/>
      <c r="AH837" s="12"/>
      <c r="AI837" s="12">
        <f>SUM(AE837:AH837)</f>
        <v>24669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31">
        <f>C837+1</f>
        <v>8635</v>
      </c>
      <c r="D838" s="32">
        <f>650*431+622*10+229*15</f>
        <v>289805</v>
      </c>
      <c r="E838" s="32">
        <v>-2646</v>
      </c>
      <c r="F838" s="32"/>
      <c r="G838" s="32">
        <f t="shared" si="246"/>
        <v>287159</v>
      </c>
      <c r="H838" s="12"/>
      <c r="I838" s="12">
        <f>7770+624</f>
        <v>8394</v>
      </c>
      <c r="J838" s="12">
        <f>-777+-672+-2352+-3150+-480</f>
        <v>-7431</v>
      </c>
      <c r="K838" s="12">
        <f t="shared" si="247"/>
        <v>288122</v>
      </c>
      <c r="M838" s="10">
        <v>2</v>
      </c>
      <c r="N838" s="30" t="s">
        <v>85</v>
      </c>
      <c r="O838" s="31">
        <f>O837+1</f>
        <v>8577</v>
      </c>
      <c r="P838" s="32">
        <f>1989</f>
        <v>1989</v>
      </c>
      <c r="Q838" s="32"/>
      <c r="R838" s="32"/>
      <c r="S838" s="32">
        <f t="shared" ref="S838:S875" si="248">SUM(P838:Q838)</f>
        <v>1989</v>
      </c>
      <c r="T838" s="12"/>
      <c r="U838" s="12"/>
      <c r="V838" s="12"/>
      <c r="W838" s="12">
        <f t="shared" ref="W838:W878" si="249">SUM(S838:V838)</f>
        <v>1989</v>
      </c>
      <c r="Y838" s="10">
        <v>2</v>
      </c>
      <c r="Z838" s="30" t="s">
        <v>85</v>
      </c>
      <c r="AA838" s="31">
        <f>AA837+1</f>
        <v>8513</v>
      </c>
      <c r="AB838" s="32">
        <f>650*35+670*4+622*12+229*2</f>
        <v>33352</v>
      </c>
      <c r="AC838" s="32"/>
      <c r="AD838" s="32"/>
      <c r="AE838" s="32">
        <f t="shared" ref="AE838:AE869" si="250">SUM(AB838:AC838)</f>
        <v>33352</v>
      </c>
      <c r="AF838" s="12"/>
      <c r="AG838" s="12">
        <v>117</v>
      </c>
      <c r="AH838" s="12"/>
      <c r="AI838" s="12">
        <f t="shared" ref="AI838:AI878" si="251">SUM(AE838:AH838)</f>
        <v>33469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31">
        <f t="shared" ref="C839" si="252">C838+1</f>
        <v>8636</v>
      </c>
      <c r="D839" s="33">
        <f>650*324+670*50+622*50+229*13+500*5</f>
        <v>280677</v>
      </c>
      <c r="E839" s="33">
        <v>-2574</v>
      </c>
      <c r="F839" s="33"/>
      <c r="G839" s="33">
        <f t="shared" si="246"/>
        <v>278103</v>
      </c>
      <c r="H839" s="34"/>
      <c r="I839" s="34">
        <f>780+5550</f>
        <v>6330</v>
      </c>
      <c r="J839" s="34">
        <f>-720+-60717+-120</f>
        <v>-61557</v>
      </c>
      <c r="K839" s="34">
        <f t="shared" si="247"/>
        <v>222876</v>
      </c>
      <c r="M839" s="10">
        <v>3</v>
      </c>
      <c r="N839" s="30" t="s">
        <v>85</v>
      </c>
      <c r="O839" s="31">
        <f t="shared" ref="O839:O841" si="253">O838+1</f>
        <v>8578</v>
      </c>
      <c r="P839" s="32">
        <f>650*216+229*9</f>
        <v>142461</v>
      </c>
      <c r="Q839" s="32">
        <v>-1296</v>
      </c>
      <c r="R839" s="32"/>
      <c r="S839" s="32">
        <f t="shared" si="248"/>
        <v>141165</v>
      </c>
      <c r="T839" s="12"/>
      <c r="U839" s="12">
        <v>324</v>
      </c>
      <c r="V839" s="12">
        <v>-23976</v>
      </c>
      <c r="W839" s="12">
        <f t="shared" si="249"/>
        <v>117513</v>
      </c>
      <c r="Y839" s="10">
        <v>3</v>
      </c>
      <c r="Z839" s="30" t="s">
        <v>85</v>
      </c>
      <c r="AA839" s="31">
        <f t="shared" ref="AA839:AA841" si="254">AA838+1</f>
        <v>8514</v>
      </c>
      <c r="AB839" s="33">
        <f>35750+2680+1866</f>
        <v>40296</v>
      </c>
      <c r="AC839" s="33">
        <v>-372</v>
      </c>
      <c r="AD839" s="32"/>
      <c r="AE839" s="32">
        <f t="shared" si="250"/>
        <v>39924</v>
      </c>
      <c r="AF839" s="12"/>
      <c r="AG839" s="12"/>
      <c r="AH839" s="12"/>
      <c r="AI839" s="12">
        <f t="shared" si="251"/>
        <v>39924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85</v>
      </c>
      <c r="O840" s="31">
        <f t="shared" si="253"/>
        <v>8579</v>
      </c>
      <c r="P840" s="32">
        <f>1300+670+22</f>
        <v>1992</v>
      </c>
      <c r="Q840" s="32"/>
      <c r="R840" s="32"/>
      <c r="S840" s="32">
        <f t="shared" si="248"/>
        <v>1992</v>
      </c>
      <c r="T840" s="12"/>
      <c r="U840" s="12">
        <v>222</v>
      </c>
      <c r="V840" s="12"/>
      <c r="W840" s="12">
        <f t="shared" si="249"/>
        <v>2214</v>
      </c>
      <c r="Y840" s="10">
        <v>4</v>
      </c>
      <c r="Z840" s="30" t="s">
        <v>85</v>
      </c>
      <c r="AA840" s="31">
        <f t="shared" si="254"/>
        <v>8515</v>
      </c>
      <c r="AB840" s="32">
        <f>650*45+229+650</f>
        <v>30129</v>
      </c>
      <c r="AC840" s="32"/>
      <c r="AD840" s="32"/>
      <c r="AE840" s="32">
        <f t="shared" si="250"/>
        <v>30129</v>
      </c>
      <c r="AF840" s="12"/>
      <c r="AG840">
        <f>1221+121.5</f>
        <v>1342.5</v>
      </c>
      <c r="AH840" s="12"/>
      <c r="AI840" s="12">
        <f t="shared" si="251"/>
        <v>31471.5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3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85</v>
      </c>
      <c r="O841" s="31">
        <f t="shared" si="253"/>
        <v>8580</v>
      </c>
      <c r="P841" s="32">
        <f>650*180+622*20+872*2+229*8+650*2</f>
        <v>134316</v>
      </c>
      <c r="Q841" s="32">
        <v>-1224</v>
      </c>
      <c r="R841" s="32"/>
      <c r="S841" s="32">
        <f t="shared" si="248"/>
        <v>133092</v>
      </c>
      <c r="T841" s="12"/>
      <c r="U841" s="12">
        <f>252+36</f>
        <v>288</v>
      </c>
      <c r="V841" s="12">
        <v>-1776</v>
      </c>
      <c r="W841" s="12">
        <f t="shared" si="249"/>
        <v>131604</v>
      </c>
      <c r="Y841" s="10">
        <v>5</v>
      </c>
      <c r="Z841" s="30" t="s">
        <v>85</v>
      </c>
      <c r="AA841" s="31">
        <f t="shared" si="254"/>
        <v>8516</v>
      </c>
      <c r="AB841" s="32">
        <f>972+3110+687</f>
        <v>4769</v>
      </c>
      <c r="AC841" s="32"/>
      <c r="AD841" s="32"/>
      <c r="AE841" s="32">
        <f t="shared" si="250"/>
        <v>4769</v>
      </c>
      <c r="AF841" s="12"/>
      <c r="AG841" s="12"/>
      <c r="AH841" s="12">
        <v>-555</v>
      </c>
      <c r="AI841" s="12">
        <f t="shared" si="251"/>
        <v>4214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3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48"/>
        <v>0</v>
      </c>
      <c r="T842" s="12"/>
      <c r="U842" s="12"/>
      <c r="V842" s="10"/>
      <c r="W842" s="12">
        <f t="shared" si="249"/>
        <v>0</v>
      </c>
      <c r="Y842" s="10">
        <v>6</v>
      </c>
      <c r="Z842" s="30"/>
      <c r="AA842" s="11" t="s">
        <v>27</v>
      </c>
      <c r="AB842" s="32"/>
      <c r="AC842" s="32"/>
      <c r="AD842" s="32"/>
      <c r="AE842" s="32">
        <f t="shared" si="250"/>
        <v>0</v>
      </c>
      <c r="AF842" s="12"/>
      <c r="AG842" s="12"/>
      <c r="AH842" s="10"/>
      <c r="AI842" s="12">
        <f t="shared" si="251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3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/>
      <c r="P843" s="32"/>
      <c r="Q843" s="32"/>
      <c r="R843" s="32"/>
      <c r="S843" s="32">
        <f t="shared" si="248"/>
        <v>0</v>
      </c>
      <c r="T843" s="12"/>
      <c r="U843" s="12"/>
      <c r="V843" s="12"/>
      <c r="W843" s="12">
        <f t="shared" si="249"/>
        <v>0</v>
      </c>
      <c r="Y843" s="10">
        <v>7</v>
      </c>
      <c r="Z843" s="30"/>
      <c r="AA843" s="31"/>
      <c r="AB843" s="32"/>
      <c r="AC843" s="32"/>
      <c r="AD843" s="32"/>
      <c r="AE843" s="32">
        <f t="shared" si="250"/>
        <v>0</v>
      </c>
      <c r="AF843" s="12"/>
      <c r="AG843" s="58"/>
      <c r="AH843" s="12"/>
      <c r="AI843" s="12">
        <f t="shared" si="251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3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/>
      <c r="O844" s="31"/>
      <c r="P844" s="32"/>
      <c r="Q844" s="32"/>
      <c r="R844" s="32"/>
      <c r="S844" s="32">
        <f t="shared" si="248"/>
        <v>0</v>
      </c>
      <c r="T844" s="12"/>
      <c r="U844" s="12"/>
      <c r="V844" s="12"/>
      <c r="W844" s="12">
        <f t="shared" si="249"/>
        <v>0</v>
      </c>
      <c r="Y844" s="10">
        <v>8</v>
      </c>
      <c r="Z844" s="30"/>
      <c r="AA844" s="31"/>
      <c r="AB844" s="32"/>
      <c r="AC844" s="32"/>
      <c r="AE844" s="32">
        <f t="shared" si="250"/>
        <v>0</v>
      </c>
      <c r="AF844" s="12"/>
      <c r="AG844" s="12"/>
      <c r="AH844" s="12"/>
      <c r="AI844" s="12">
        <f t="shared" si="251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3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/>
      <c r="O845" s="31"/>
      <c r="P845" s="32"/>
      <c r="Q845" s="32"/>
      <c r="R845" s="32"/>
      <c r="S845" s="32">
        <f t="shared" si="248"/>
        <v>0</v>
      </c>
      <c r="T845" s="12"/>
      <c r="U845" s="12"/>
      <c r="V845" s="12"/>
      <c r="W845" s="12">
        <f t="shared" si="249"/>
        <v>0</v>
      </c>
      <c r="Y845" s="10">
        <v>9</v>
      </c>
      <c r="Z845" s="30"/>
      <c r="AA845" s="31"/>
      <c r="AB845" s="32"/>
      <c r="AC845" s="32"/>
      <c r="AD845" s="32"/>
      <c r="AE845" s="32">
        <f t="shared" si="250"/>
        <v>0</v>
      </c>
      <c r="AF845" s="12"/>
      <c r="AH845" s="12"/>
      <c r="AI845" s="12">
        <f t="shared" si="251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3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/>
      <c r="O846" s="31"/>
      <c r="P846" s="32"/>
      <c r="Q846" s="32"/>
      <c r="R846" s="32"/>
      <c r="S846" s="32">
        <f t="shared" si="248"/>
        <v>0</v>
      </c>
      <c r="T846" s="12"/>
      <c r="U846" s="12"/>
      <c r="V846" s="12"/>
      <c r="W846" s="12">
        <f t="shared" si="249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50"/>
        <v>0</v>
      </c>
      <c r="AF846" s="12"/>
      <c r="AG846" s="12"/>
      <c r="AH846" s="12"/>
      <c r="AI846" s="12">
        <f t="shared" si="251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31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/>
      <c r="O847" s="31"/>
      <c r="P847" s="32"/>
      <c r="Q847" s="32"/>
      <c r="R847" s="32"/>
      <c r="S847" s="32">
        <f t="shared" si="248"/>
        <v>0</v>
      </c>
      <c r="T847" s="12"/>
      <c r="U847" s="12"/>
      <c r="V847" s="12"/>
      <c r="W847" s="12">
        <f t="shared" si="249"/>
        <v>0</v>
      </c>
      <c r="Y847" s="10">
        <v>11</v>
      </c>
      <c r="Z847" s="30"/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1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/>
      <c r="O848" s="31"/>
      <c r="P848" s="32"/>
      <c r="Q848" s="32"/>
      <c r="R848" s="32"/>
      <c r="S848" s="32">
        <f t="shared" si="248"/>
        <v>0</v>
      </c>
      <c r="T848" s="12"/>
      <c r="U848" s="12"/>
      <c r="V848" s="12"/>
      <c r="W848" s="12">
        <f t="shared" si="249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3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/>
      <c r="P849" s="32"/>
      <c r="Q849" s="32"/>
      <c r="R849" s="32"/>
      <c r="S849" s="32">
        <f t="shared" si="248"/>
        <v>0</v>
      </c>
      <c r="T849" s="12"/>
      <c r="U849" s="12"/>
      <c r="V849" s="12"/>
      <c r="W849" s="12">
        <f t="shared" si="249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3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/>
      <c r="O850" s="31"/>
      <c r="P850" s="32"/>
      <c r="Q850" s="32"/>
      <c r="R850" s="32"/>
      <c r="S850" s="32">
        <f t="shared" si="248"/>
        <v>0</v>
      </c>
      <c r="T850" s="12"/>
      <c r="U850" s="12"/>
      <c r="V850" s="12"/>
      <c r="W850" s="12">
        <f t="shared" si="249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3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/>
      <c r="O851" s="31"/>
      <c r="P851" s="32"/>
      <c r="Q851" s="32"/>
      <c r="R851" s="32"/>
      <c r="S851" s="32">
        <f t="shared" si="248"/>
        <v>0</v>
      </c>
      <c r="T851" s="12"/>
      <c r="U851" s="12"/>
      <c r="V851" s="12"/>
      <c r="W851" s="12">
        <f t="shared" si="249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3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/>
      <c r="O852" s="31"/>
      <c r="P852" s="32"/>
      <c r="Q852" s="32"/>
      <c r="R852" s="32"/>
      <c r="S852" s="32">
        <f t="shared" si="248"/>
        <v>0</v>
      </c>
      <c r="T852" s="12"/>
      <c r="U852" s="12"/>
      <c r="V852" s="12"/>
      <c r="W852" s="12">
        <f t="shared" si="249"/>
        <v>0</v>
      </c>
      <c r="Y852" s="10">
        <v>16</v>
      </c>
      <c r="Z852" s="30"/>
      <c r="AA852" s="31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3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/>
      <c r="O853" s="31"/>
      <c r="P853" s="35"/>
      <c r="Q853" s="32"/>
      <c r="R853" s="32"/>
      <c r="S853" s="32">
        <f t="shared" si="248"/>
        <v>0</v>
      </c>
      <c r="T853" s="12"/>
      <c r="U853" s="12"/>
      <c r="V853" s="12"/>
      <c r="W853" s="12">
        <f t="shared" si="249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31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/>
      <c r="O854" s="31"/>
      <c r="P854" s="32"/>
      <c r="Q854" s="32"/>
      <c r="R854" s="32"/>
      <c r="S854" s="32">
        <f t="shared" si="248"/>
        <v>0</v>
      </c>
      <c r="T854" s="12"/>
      <c r="U854" s="12"/>
      <c r="V854" s="12"/>
      <c r="W854" s="12">
        <f t="shared" si="249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/>
      <c r="O855" s="31"/>
      <c r="P855" s="32"/>
      <c r="Q855" s="32"/>
      <c r="R855" s="32"/>
      <c r="S855" s="32">
        <f t="shared" si="248"/>
        <v>0</v>
      </c>
      <c r="T855" s="12"/>
      <c r="U855" s="12"/>
      <c r="V855" s="12"/>
      <c r="W855" s="12">
        <f t="shared" si="249"/>
        <v>0</v>
      </c>
      <c r="Y855" s="10">
        <v>19</v>
      </c>
      <c r="Z855" s="30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31"/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Q859" s="31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C859" s="31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O861" s="31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O862" s="31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O866" s="31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91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57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O868" s="31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91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91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si="248"/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55">SUM(AB870:AC870)</f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9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8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5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9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8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5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8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5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8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5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8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5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583398</v>
      </c>
      <c r="E880" s="38">
        <f t="shared" ref="E880:F880" si="260">SUM(E837:E877)</f>
        <v>-5220</v>
      </c>
      <c r="F880" s="38">
        <f t="shared" si="260"/>
        <v>0</v>
      </c>
      <c r="G880" s="38">
        <f>SUM(G837:G879)</f>
        <v>578178</v>
      </c>
      <c r="H880" s="4"/>
      <c r="I880" s="39">
        <f>SUM(I837:I879)</f>
        <v>14724</v>
      </c>
      <c r="J880" s="39">
        <f>SUM(J837:J879)</f>
        <v>-71652</v>
      </c>
      <c r="K880" s="40">
        <f>SUM(K837:K879)</f>
        <v>521250</v>
      </c>
      <c r="N880" s="57"/>
      <c r="O880" s="57"/>
      <c r="P880" s="38">
        <f>SUM(P837:P879)</f>
        <v>287258</v>
      </c>
      <c r="Q880" s="38">
        <f>SUM(Q837:Q861)</f>
        <v>-2520</v>
      </c>
      <c r="R880" s="38">
        <f>SUM(R837:R861)</f>
        <v>0</v>
      </c>
      <c r="S880" s="38">
        <f>SUM(S837:S879)</f>
        <v>284738</v>
      </c>
      <c r="T880" s="4"/>
      <c r="U880" s="41">
        <f>SUM(U837:U879)</f>
        <v>1944</v>
      </c>
      <c r="V880" s="41">
        <f>SUM(V837:V861)</f>
        <v>-25752</v>
      </c>
      <c r="W880" s="42">
        <f>SUM(W837:W879)</f>
        <v>260930</v>
      </c>
      <c r="Z880" s="57"/>
      <c r="AA880" s="57"/>
      <c r="AB880" s="38">
        <f>SUM(AB837:AB879)</f>
        <v>133215</v>
      </c>
      <c r="AC880" s="38">
        <f>SUM(AC837:AC861)</f>
        <v>-372</v>
      </c>
      <c r="AD880" s="38">
        <f>SUM(AD837:AD861)</f>
        <v>0</v>
      </c>
      <c r="AE880" s="38">
        <f>SUM(AE837:AE879)</f>
        <v>132843</v>
      </c>
      <c r="AF880" s="4"/>
      <c r="AG880" s="41">
        <f>SUM(AG837:AG879)</f>
        <v>1459.5</v>
      </c>
      <c r="AH880" s="41">
        <f>SUM(AH837:AH861)</f>
        <v>-555</v>
      </c>
      <c r="AI880" s="42">
        <f>SUM(AI837:AI879)</f>
        <v>133747.5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4"/>
      <c r="C882" s="94"/>
      <c r="D882" s="94"/>
      <c r="E882" s="94"/>
      <c r="F882" s="94"/>
      <c r="G882" s="94"/>
      <c r="H882" s="62"/>
      <c r="I882" s="62"/>
      <c r="J882" s="62"/>
      <c r="K882" s="62"/>
      <c r="L882" s="62"/>
      <c r="M882" s="62"/>
      <c r="N882" s="94"/>
      <c r="O882" s="94"/>
      <c r="P882" s="94"/>
      <c r="Q882" s="94"/>
      <c r="R882" s="94"/>
      <c r="S882" s="94"/>
      <c r="T882" s="62"/>
      <c r="U882" s="62"/>
      <c r="V882" s="62"/>
      <c r="W882" s="62"/>
      <c r="X882" s="62"/>
      <c r="Y882" s="62"/>
      <c r="Z882" s="94"/>
      <c r="AA882" s="94"/>
      <c r="AB882" s="94"/>
      <c r="AC882" s="94"/>
      <c r="AD882" s="94"/>
      <c r="AE882" s="94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4"/>
      <c r="C883" s="94"/>
      <c r="D883" s="94"/>
      <c r="E883" s="94"/>
      <c r="F883" s="94"/>
      <c r="G883" s="94"/>
      <c r="H883" s="62"/>
      <c r="I883" s="62"/>
      <c r="J883" s="62"/>
      <c r="K883" s="62"/>
      <c r="L883" s="62"/>
      <c r="M883" s="62"/>
      <c r="N883" s="94"/>
      <c r="O883" s="94"/>
      <c r="P883" s="94"/>
      <c r="Q883" s="94"/>
      <c r="R883" s="94"/>
      <c r="S883" s="94"/>
      <c r="T883" s="62"/>
      <c r="U883" s="62"/>
      <c r="V883" s="62"/>
      <c r="W883" s="62"/>
      <c r="X883" s="62"/>
      <c r="Y883" s="62"/>
      <c r="Z883" s="94"/>
      <c r="AA883" s="94"/>
      <c r="AB883" s="94"/>
      <c r="AC883" s="94"/>
      <c r="AD883" s="94"/>
      <c r="AE883" s="94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4"/>
      <c r="C884" s="94"/>
      <c r="D884" s="94"/>
      <c r="E884" s="94"/>
      <c r="F884" s="94"/>
      <c r="G884" s="94"/>
      <c r="H884" s="62"/>
      <c r="I884" s="62"/>
      <c r="J884" s="62"/>
      <c r="K884" s="62"/>
      <c r="L884" s="62"/>
      <c r="M884" s="62"/>
      <c r="N884" s="94"/>
      <c r="O884" s="94"/>
      <c r="P884" s="94"/>
      <c r="Q884" s="94"/>
      <c r="R884" s="94"/>
      <c r="S884" s="94"/>
      <c r="T884" s="62"/>
      <c r="U884" s="62"/>
      <c r="V884" s="62"/>
      <c r="W884" s="62"/>
      <c r="X884" s="62"/>
      <c r="Y884" s="62"/>
      <c r="Z884" s="94"/>
      <c r="AA884" s="94"/>
      <c r="AB884" s="94"/>
      <c r="AC884" s="94"/>
      <c r="AD884" s="94"/>
      <c r="AE884" s="94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4"/>
      <c r="C885" s="94"/>
      <c r="D885" s="94"/>
      <c r="E885" s="94"/>
      <c r="F885" s="94"/>
      <c r="G885" s="94"/>
      <c r="H885" s="62"/>
      <c r="I885" s="62"/>
      <c r="J885" s="62"/>
      <c r="K885" s="62"/>
      <c r="L885" s="62"/>
      <c r="M885" s="63"/>
      <c r="N885" s="94"/>
      <c r="O885" s="94"/>
      <c r="P885" s="94"/>
      <c r="Q885" s="94"/>
      <c r="R885" s="94"/>
      <c r="S885" s="94"/>
      <c r="T885" s="62"/>
      <c r="U885" s="62"/>
      <c r="V885" s="62"/>
      <c r="W885" s="62"/>
      <c r="X885" s="62"/>
      <c r="Y885" s="63"/>
      <c r="Z885" s="94"/>
      <c r="AA885" s="94"/>
      <c r="AB885" s="94"/>
      <c r="AC885" s="94"/>
      <c r="AD885" s="94"/>
      <c r="AE885" s="94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4"/>
      <c r="C886" s="94"/>
      <c r="D886" s="94"/>
      <c r="E886" s="94"/>
      <c r="F886" s="94"/>
      <c r="G886" s="94"/>
      <c r="H886" s="62"/>
      <c r="I886" s="62"/>
      <c r="J886" s="62"/>
      <c r="K886" s="62"/>
      <c r="L886" s="62"/>
      <c r="M886" s="62"/>
      <c r="N886" s="94"/>
      <c r="O886" s="94"/>
      <c r="P886" s="94"/>
      <c r="Q886" s="94"/>
      <c r="R886" s="94"/>
      <c r="S886" s="94"/>
      <c r="T886" s="62"/>
      <c r="U886" s="62"/>
      <c r="V886" s="62"/>
      <c r="W886" s="62"/>
      <c r="X886" s="62"/>
      <c r="Y886" s="62"/>
      <c r="Z886" s="94"/>
      <c r="AA886" s="94"/>
      <c r="AB886" s="94"/>
      <c r="AC886" s="94"/>
      <c r="AD886" s="94"/>
      <c r="AE886" s="94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4"/>
      <c r="C887" s="94"/>
      <c r="D887" s="94"/>
      <c r="E887" s="94"/>
      <c r="F887" s="94"/>
      <c r="G887" s="94"/>
      <c r="H887" s="62"/>
      <c r="I887" s="94"/>
      <c r="J887" s="74"/>
      <c r="K887" s="62"/>
      <c r="L887" s="62"/>
      <c r="M887" s="62"/>
      <c r="N887" s="94"/>
      <c r="O887" s="94"/>
      <c r="P887" s="94"/>
      <c r="Q887" s="94"/>
      <c r="R887" s="94"/>
      <c r="S887" s="94"/>
      <c r="T887" s="62"/>
      <c r="U887" s="94"/>
      <c r="V887" s="74"/>
      <c r="W887" s="62"/>
      <c r="X887" s="62"/>
      <c r="Y887" s="62"/>
      <c r="Z887" s="94"/>
      <c r="AA887" s="94"/>
      <c r="AB887" s="94"/>
      <c r="AC887" s="94"/>
      <c r="AD887" s="94"/>
      <c r="AE887" s="94"/>
      <c r="AF887" s="62"/>
      <c r="AG887" s="94"/>
      <c r="AH887" s="9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4"/>
      <c r="C888" s="94"/>
      <c r="D888" s="94"/>
      <c r="E888" s="94"/>
      <c r="F888" s="94"/>
      <c r="G888" s="94"/>
      <c r="H888" s="62"/>
      <c r="I888" s="65"/>
      <c r="J888" s="65"/>
      <c r="K888" s="62"/>
      <c r="L888" s="62"/>
      <c r="M888" s="64"/>
      <c r="N888" s="94"/>
      <c r="O888" s="94"/>
      <c r="P888" s="94"/>
      <c r="Q888" s="94"/>
      <c r="R888" s="94"/>
      <c r="S888" s="94"/>
      <c r="T888" s="62"/>
      <c r="U888" s="65"/>
      <c r="V888" s="65"/>
      <c r="W888" s="62"/>
      <c r="X888" s="62"/>
      <c r="Y888" s="64"/>
      <c r="Z888" s="94"/>
      <c r="AA888" s="94"/>
      <c r="AB888" s="94"/>
      <c r="AC888" s="94"/>
      <c r="AD888" s="94"/>
      <c r="AE888" s="94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4"/>
      <c r="C889" s="94"/>
      <c r="D889" s="94"/>
      <c r="E889" s="94"/>
      <c r="F889" s="94"/>
      <c r="G889" s="94"/>
      <c r="H889" s="62"/>
      <c r="I889" s="62"/>
      <c r="J889" s="62"/>
      <c r="K889" s="62"/>
      <c r="L889" s="62"/>
      <c r="M889" s="62"/>
      <c r="N889" s="94"/>
      <c r="O889" s="94"/>
      <c r="P889" s="94"/>
      <c r="Q889" s="94"/>
      <c r="R889" s="94"/>
      <c r="S889" s="94"/>
      <c r="T889" s="62"/>
      <c r="U889" s="62"/>
      <c r="V889" s="62"/>
      <c r="W889" s="62"/>
      <c r="X889" s="62"/>
      <c r="Y889" s="62"/>
      <c r="Z889" s="94"/>
      <c r="AA889" s="94"/>
      <c r="AB889" s="94"/>
      <c r="AC889" s="94"/>
      <c r="AD889" s="94"/>
      <c r="AE889" s="94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4"/>
      <c r="D890" s="117"/>
      <c r="E890" s="117"/>
      <c r="F890" s="94"/>
      <c r="G890" s="94"/>
      <c r="H890" s="62"/>
      <c r="I890" s="117"/>
      <c r="J890" s="117"/>
      <c r="K890" s="116"/>
      <c r="L890" s="62"/>
      <c r="M890" s="62"/>
      <c r="N890" s="65"/>
      <c r="O890" s="94"/>
      <c r="P890" s="117"/>
      <c r="Q890" s="117"/>
      <c r="R890" s="94"/>
      <c r="S890" s="94"/>
      <c r="T890" s="62"/>
      <c r="U890" s="117"/>
      <c r="V890" s="117"/>
      <c r="W890" s="116"/>
      <c r="X890" s="62"/>
      <c r="Y890" s="62"/>
      <c r="Z890" s="65"/>
      <c r="AA890" s="94"/>
      <c r="AB890" s="117"/>
      <c r="AC890" s="117"/>
      <c r="AD890" s="94"/>
      <c r="AE890" s="94"/>
      <c r="AF890" s="62"/>
      <c r="AG890" s="117"/>
      <c r="AH890" s="117"/>
      <c r="AI890" s="11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4"/>
      <c r="C891" s="94"/>
      <c r="D891" s="81"/>
      <c r="E891" s="82"/>
      <c r="F891" s="83"/>
      <c r="G891" s="83"/>
      <c r="H891" s="62"/>
      <c r="I891" s="93"/>
      <c r="J891" s="93"/>
      <c r="K891" s="116"/>
      <c r="L891" s="62"/>
      <c r="M891" s="62"/>
      <c r="N891" s="94"/>
      <c r="O891" s="94"/>
      <c r="P891" s="81"/>
      <c r="Q891" s="83"/>
      <c r="R891" s="83"/>
      <c r="S891" s="83"/>
      <c r="T891" s="62"/>
      <c r="U891" s="93"/>
      <c r="V891" s="93"/>
      <c r="W891" s="116"/>
      <c r="X891" s="62"/>
      <c r="Y891" s="62"/>
      <c r="Z891" s="94"/>
      <c r="AA891" s="94"/>
      <c r="AB891" s="81"/>
      <c r="AC891" s="83"/>
      <c r="AD891" s="83"/>
      <c r="AE891" s="83"/>
      <c r="AF891" s="62"/>
      <c r="AG891" s="93"/>
      <c r="AH891" s="93"/>
      <c r="AI891" s="11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2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4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4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2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4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4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2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4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4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2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4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4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2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4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4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2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4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65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2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4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4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65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4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4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2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4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4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2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4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4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2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4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92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4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4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2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4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4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2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4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4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2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4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4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4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2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4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4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4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4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2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4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4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2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4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4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2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94"/>
      <c r="R912" s="94"/>
      <c r="S912" s="60"/>
      <c r="T912" s="62"/>
      <c r="U912" s="62"/>
      <c r="V912" s="62"/>
      <c r="W912" s="61"/>
      <c r="X912" s="62"/>
      <c r="Y912" s="62"/>
      <c r="Z912" s="66"/>
      <c r="AA912" s="94"/>
      <c r="AB912" s="67"/>
      <c r="AC912" s="94"/>
      <c r="AD912" s="94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2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4"/>
      <c r="P913" s="68"/>
      <c r="Q913" s="94"/>
      <c r="R913" s="94"/>
      <c r="S913" s="60"/>
      <c r="T913" s="62"/>
      <c r="U913" s="62"/>
      <c r="V913" s="62"/>
      <c r="W913" s="61"/>
      <c r="X913" s="62"/>
      <c r="Y913" s="62"/>
      <c r="Z913" s="66"/>
      <c r="AA913" s="94"/>
      <c r="AB913" s="68"/>
      <c r="AC913" s="94"/>
      <c r="AD913" s="94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2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4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94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4"/>
      <c r="P915" s="69"/>
      <c r="Q915" s="94"/>
      <c r="R915" s="94"/>
      <c r="S915" s="60"/>
      <c r="T915" s="62"/>
      <c r="U915" s="62"/>
      <c r="V915" s="62"/>
      <c r="W915" s="61"/>
      <c r="X915" s="62"/>
      <c r="Y915" s="62"/>
      <c r="Z915" s="66"/>
      <c r="AA915" s="94"/>
      <c r="AB915" s="69"/>
      <c r="AC915" s="94"/>
      <c r="AD915" s="94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2"/>
      <c r="P916" s="69"/>
      <c r="Q916" s="94"/>
      <c r="R916" s="94"/>
      <c r="S916" s="60"/>
      <c r="T916" s="62"/>
      <c r="U916" s="62"/>
      <c r="V916" s="62"/>
      <c r="W916" s="61"/>
      <c r="X916" s="62"/>
      <c r="Y916" s="62"/>
      <c r="Z916" s="66"/>
      <c r="AA916" s="65"/>
      <c r="AB916" s="69"/>
      <c r="AC916" s="94"/>
      <c r="AD916" s="94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65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94"/>
      <c r="R917" s="94"/>
      <c r="S917" s="60"/>
      <c r="T917" s="62"/>
      <c r="U917" s="62"/>
      <c r="V917" s="62"/>
      <c r="W917" s="61"/>
      <c r="X917" s="62"/>
      <c r="Y917" s="62"/>
      <c r="Z917" s="66"/>
      <c r="AA917" s="62"/>
      <c r="AB917" s="69"/>
      <c r="AC917" s="94"/>
      <c r="AD917" s="94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4"/>
      <c r="P918" s="69"/>
      <c r="Q918" s="94"/>
      <c r="R918" s="94"/>
      <c r="S918" s="60"/>
      <c r="T918" s="62"/>
      <c r="U918" s="62"/>
      <c r="V918" s="62"/>
      <c r="W918" s="61"/>
      <c r="X918" s="62"/>
      <c r="Y918" s="62"/>
      <c r="Z918" s="66"/>
      <c r="AA918" s="94"/>
      <c r="AB918" s="69"/>
      <c r="AC918" s="94"/>
      <c r="AD918" s="94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4"/>
      <c r="P919" s="69"/>
      <c r="Q919" s="94"/>
      <c r="R919" s="94"/>
      <c r="S919" s="60"/>
      <c r="T919" s="62"/>
      <c r="U919" s="62"/>
      <c r="V919" s="62"/>
      <c r="W919" s="61"/>
      <c r="X919" s="62"/>
      <c r="Y919" s="62"/>
      <c r="Z919" s="66"/>
      <c r="AA919" s="94"/>
      <c r="AB919" s="69"/>
      <c r="AC919" s="94"/>
      <c r="AD919" s="94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94"/>
      <c r="R920" s="94"/>
      <c r="S920" s="60"/>
      <c r="T920" s="62"/>
      <c r="U920" s="62"/>
      <c r="V920" s="62"/>
      <c r="W920" s="61"/>
      <c r="X920" s="62"/>
      <c r="Y920" s="62"/>
      <c r="Z920" s="66"/>
      <c r="AA920" s="94"/>
      <c r="AB920" s="69"/>
      <c r="AC920" s="94"/>
      <c r="AD920" s="94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94"/>
      <c r="R921" s="94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4"/>
      <c r="AD921" s="94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4"/>
      <c r="P922" s="69"/>
      <c r="Q922" s="94"/>
      <c r="R922" s="94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4"/>
      <c r="AD922" s="94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62"/>
      <c r="P923" s="69"/>
      <c r="Q923" s="94"/>
      <c r="R923" s="94"/>
      <c r="S923" s="60"/>
      <c r="T923" s="62"/>
      <c r="U923" s="62"/>
      <c r="V923" s="62"/>
      <c r="W923" s="61"/>
      <c r="X923" s="62"/>
      <c r="Y923" s="62"/>
      <c r="Z923" s="66"/>
      <c r="AA923" s="94"/>
      <c r="AB923" s="69"/>
      <c r="AC923" s="94"/>
      <c r="AD923" s="94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4"/>
      <c r="P924" s="69"/>
      <c r="Q924" s="94"/>
      <c r="R924" s="94"/>
      <c r="S924" s="60"/>
      <c r="T924" s="62"/>
      <c r="U924" s="62"/>
      <c r="V924" s="62"/>
      <c r="W924" s="61"/>
      <c r="X924" s="62"/>
      <c r="Y924" s="62"/>
      <c r="Z924" s="66"/>
      <c r="AA924" s="94"/>
      <c r="AB924" s="69"/>
      <c r="AC924" s="94"/>
      <c r="AD924" s="94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4"/>
      <c r="P925" s="69"/>
      <c r="Q925" s="94"/>
      <c r="R925" s="94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4"/>
      <c r="AD925" s="94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4"/>
      <c r="P926" s="69"/>
      <c r="Q926" s="94"/>
      <c r="R926" s="94"/>
      <c r="S926" s="60"/>
      <c r="T926" s="62"/>
      <c r="U926" s="62"/>
      <c r="V926" s="62"/>
      <c r="W926" s="61"/>
      <c r="X926" s="62"/>
      <c r="Y926" s="62"/>
      <c r="Z926" s="66"/>
      <c r="AA926" s="94"/>
      <c r="AB926" s="69"/>
      <c r="AC926" s="94"/>
      <c r="AD926" s="94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4"/>
      <c r="P927" s="69"/>
      <c r="Q927" s="94"/>
      <c r="R927" s="94"/>
      <c r="S927" s="60"/>
      <c r="T927" s="62"/>
      <c r="U927" s="62"/>
      <c r="V927" s="62"/>
      <c r="W927" s="61"/>
      <c r="X927" s="62"/>
      <c r="Y927" s="62"/>
      <c r="Z927" s="66"/>
      <c r="AA927" s="94"/>
      <c r="AB927" s="69"/>
      <c r="AC927" s="94"/>
      <c r="AD927" s="94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4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4"/>
      <c r="R928" s="94"/>
      <c r="S928" s="60"/>
      <c r="T928" s="62"/>
      <c r="U928" s="62"/>
      <c r="V928" s="62"/>
      <c r="W928" s="61"/>
      <c r="X928" s="62"/>
      <c r="Y928" s="62"/>
      <c r="Z928" s="66"/>
      <c r="AA928" s="94"/>
      <c r="AB928" s="69"/>
      <c r="AC928" s="94"/>
      <c r="AD928" s="94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4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4"/>
      <c r="P929" s="69"/>
      <c r="Q929" s="94"/>
      <c r="R929" s="94"/>
      <c r="S929" s="60"/>
      <c r="T929" s="62"/>
      <c r="U929" s="62"/>
      <c r="V929" s="62"/>
      <c r="W929" s="61"/>
      <c r="X929" s="62"/>
      <c r="Y929" s="62"/>
      <c r="Z929" s="66"/>
      <c r="AA929" s="94"/>
      <c r="AB929" s="69"/>
      <c r="AC929" s="94"/>
      <c r="AD929" s="94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4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4"/>
      <c r="P930" s="69"/>
      <c r="Q930" s="94"/>
      <c r="R930" s="94"/>
      <c r="S930" s="60"/>
      <c r="T930" s="62"/>
      <c r="U930" s="62"/>
      <c r="V930" s="62"/>
      <c r="W930" s="61"/>
      <c r="X930" s="62"/>
      <c r="Y930" s="62"/>
      <c r="Z930" s="66"/>
      <c r="AA930" s="94"/>
      <c r="AB930" s="69"/>
      <c r="AC930" s="94"/>
      <c r="AD930" s="94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4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4"/>
      <c r="R931" s="94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4"/>
      <c r="AD931" s="94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4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4"/>
      <c r="P932" s="69"/>
      <c r="Q932" s="94"/>
      <c r="R932" s="94"/>
      <c r="S932" s="60"/>
      <c r="T932" s="62"/>
      <c r="U932" s="62"/>
      <c r="V932" s="62"/>
      <c r="W932" s="61"/>
      <c r="X932" s="62"/>
      <c r="Y932" s="62"/>
      <c r="Z932" s="66"/>
      <c r="AA932" s="94"/>
      <c r="AB932" s="69"/>
      <c r="AC932" s="94"/>
      <c r="AD932" s="94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4"/>
      <c r="O933" s="94"/>
      <c r="P933" s="94"/>
      <c r="Q933" s="94"/>
      <c r="R933" s="94"/>
      <c r="S933" s="94"/>
      <c r="T933" s="62"/>
      <c r="U933" s="62"/>
      <c r="V933" s="62"/>
      <c r="W933" s="61"/>
      <c r="X933" s="62"/>
      <c r="Y933" s="62"/>
      <c r="Z933" s="94"/>
      <c r="AA933" s="94"/>
      <c r="AB933" s="94"/>
      <c r="AC933" s="94"/>
      <c r="AD933" s="94"/>
      <c r="AE933" s="94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4"/>
      <c r="C934" s="94"/>
      <c r="D934" s="94"/>
      <c r="E934" s="94"/>
      <c r="F934" s="94"/>
      <c r="G934" s="94"/>
      <c r="H934" s="62"/>
      <c r="I934" s="62"/>
      <c r="J934" s="62"/>
      <c r="K934" s="62"/>
      <c r="L934" s="62"/>
      <c r="M934" s="62"/>
      <c r="N934" s="94"/>
      <c r="O934" s="94"/>
      <c r="P934" s="94"/>
      <c r="Q934" s="94"/>
      <c r="R934" s="94"/>
      <c r="S934" s="94"/>
      <c r="T934" s="62"/>
      <c r="U934" s="62"/>
      <c r="V934" s="62"/>
      <c r="W934" s="62"/>
      <c r="X934" s="62"/>
      <c r="Y934" s="62"/>
      <c r="Z934" s="94"/>
      <c r="AA934" s="94"/>
      <c r="AB934" s="94"/>
      <c r="AC934" s="94"/>
      <c r="AD934" s="94"/>
      <c r="AE934" s="94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4"/>
      <c r="C935" s="94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4"/>
      <c r="O935" s="94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4"/>
      <c r="AA935" s="94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17"/>
      <c r="E945" s="117"/>
      <c r="F945" s="94"/>
      <c r="G945" s="94"/>
      <c r="H945" s="62"/>
      <c r="I945" s="117"/>
      <c r="J945" s="117"/>
      <c r="K945" s="116"/>
      <c r="L945" s="62"/>
      <c r="M945" s="62"/>
      <c r="N945" s="65"/>
      <c r="O945" s="94"/>
      <c r="P945" s="117"/>
      <c r="Q945" s="117"/>
      <c r="R945" s="94"/>
      <c r="S945" s="94"/>
      <c r="T945" s="62"/>
      <c r="U945" s="117"/>
      <c r="V945" s="117"/>
      <c r="W945" s="116"/>
      <c r="X945" s="62"/>
      <c r="Y945" s="62"/>
      <c r="Z945" s="65"/>
      <c r="AA945" s="94"/>
      <c r="AB945" s="117"/>
      <c r="AC945" s="117"/>
      <c r="AD945" s="94"/>
      <c r="AE945" s="94"/>
      <c r="AF945" s="62"/>
      <c r="AG945" s="117"/>
      <c r="AH945" s="117"/>
      <c r="AI945" s="116"/>
      <c r="AJ945" s="62"/>
      <c r="AK945" s="62"/>
      <c r="AL945" s="65"/>
      <c r="AM945" s="87"/>
      <c r="AN945" s="117"/>
      <c r="AO945" s="117"/>
      <c r="AP945" s="87"/>
      <c r="AQ945" s="84"/>
      <c r="AR945" s="62"/>
      <c r="AS945" s="117"/>
      <c r="AT945" s="117"/>
      <c r="AU945" s="116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116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116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116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6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17"/>
      <c r="E1000" s="117"/>
      <c r="F1000" s="94"/>
      <c r="G1000" s="94"/>
      <c r="H1000" s="62"/>
      <c r="I1000" s="117"/>
      <c r="J1000" s="117"/>
      <c r="K1000" s="116"/>
      <c r="L1000" s="62"/>
      <c r="M1000" s="62"/>
      <c r="N1000" s="65"/>
      <c r="O1000" s="94"/>
      <c r="P1000" s="117"/>
      <c r="Q1000" s="117"/>
      <c r="R1000" s="94"/>
      <c r="S1000" s="94"/>
      <c r="T1000" s="62"/>
      <c r="U1000" s="117"/>
      <c r="V1000" s="117"/>
      <c r="W1000" s="116"/>
      <c r="X1000" s="62"/>
      <c r="Y1000" s="62"/>
      <c r="Z1000" s="65"/>
      <c r="AA1000" s="94"/>
      <c r="AB1000" s="117"/>
      <c r="AC1000" s="117"/>
      <c r="AD1000" s="94"/>
      <c r="AE1000" s="94"/>
      <c r="AF1000" s="62"/>
      <c r="AG1000" s="117"/>
      <c r="AH1000" s="117"/>
      <c r="AI1000" s="11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116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116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1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17"/>
      <c r="E1055" s="117"/>
      <c r="F1055" s="94"/>
      <c r="G1055" s="94"/>
      <c r="H1055" s="62"/>
      <c r="I1055" s="117"/>
      <c r="J1055" s="117"/>
      <c r="K1055" s="116"/>
      <c r="L1055" s="62"/>
      <c r="M1055" s="62"/>
      <c r="N1055" s="65"/>
      <c r="O1055" s="94"/>
      <c r="P1055" s="117"/>
      <c r="Q1055" s="117"/>
      <c r="R1055" s="94"/>
      <c r="S1055" s="94"/>
      <c r="T1055" s="62"/>
      <c r="U1055" s="117"/>
      <c r="V1055" s="117"/>
      <c r="W1055" s="116"/>
      <c r="X1055" s="62"/>
      <c r="Y1055" s="62"/>
      <c r="Z1055" s="65"/>
      <c r="AA1055" s="94"/>
      <c r="AB1055" s="117"/>
      <c r="AC1055" s="117"/>
      <c r="AD1055" s="94"/>
      <c r="AE1055" s="94"/>
      <c r="AF1055" s="62"/>
      <c r="AG1055" s="117"/>
      <c r="AH1055" s="117"/>
      <c r="AI1055" s="11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16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16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1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17"/>
      <c r="E1110" s="117"/>
      <c r="F1110" s="94"/>
      <c r="G1110" s="94"/>
      <c r="H1110" s="62"/>
      <c r="I1110" s="117"/>
      <c r="J1110" s="117"/>
      <c r="K1110" s="116"/>
      <c r="L1110" s="62"/>
      <c r="M1110" s="62"/>
      <c r="N1110" s="65"/>
      <c r="O1110" s="94"/>
      <c r="P1110" s="117"/>
      <c r="Q1110" s="117"/>
      <c r="R1110" s="94"/>
      <c r="S1110" s="94"/>
      <c r="T1110" s="62"/>
      <c r="U1110" s="117"/>
      <c r="V1110" s="117"/>
      <c r="W1110" s="116"/>
      <c r="X1110" s="62"/>
      <c r="Y1110" s="62"/>
      <c r="Z1110" s="65"/>
      <c r="AA1110" s="94"/>
      <c r="AB1110" s="117"/>
      <c r="AC1110" s="117"/>
      <c r="AD1110" s="94"/>
      <c r="AE1110" s="94"/>
      <c r="AF1110" s="62"/>
      <c r="AG1110" s="117"/>
      <c r="AH1110" s="117"/>
      <c r="AI1110" s="11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16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16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16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7"/>
      <c r="E1165" s="117"/>
      <c r="F1165" s="89"/>
      <c r="G1165" s="89"/>
      <c r="H1165" s="62"/>
      <c r="I1165" s="117"/>
      <c r="J1165" s="117"/>
      <c r="K1165" s="116"/>
      <c r="L1165" s="62"/>
      <c r="M1165" s="62"/>
      <c r="N1165" s="65"/>
      <c r="O1165" s="89"/>
      <c r="P1165" s="117"/>
      <c r="Q1165" s="117"/>
      <c r="R1165" s="89"/>
      <c r="S1165" s="89"/>
      <c r="T1165" s="62"/>
      <c r="U1165" s="117"/>
      <c r="V1165" s="117"/>
      <c r="W1165" s="116"/>
      <c r="X1165" s="62"/>
      <c r="Y1165" s="62"/>
      <c r="Z1165" s="65"/>
      <c r="AA1165" s="89"/>
      <c r="AB1165" s="117"/>
      <c r="AC1165" s="117"/>
      <c r="AD1165" s="89"/>
      <c r="AE1165" s="89"/>
      <c r="AF1165" s="62"/>
      <c r="AG1165" s="117"/>
      <c r="AH1165" s="117"/>
      <c r="AI1165" s="11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6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6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6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7"/>
      <c r="E1221" s="117"/>
      <c r="F1221" s="87"/>
      <c r="G1221" s="87"/>
      <c r="H1221" s="62"/>
      <c r="I1221" s="117"/>
      <c r="J1221" s="117"/>
      <c r="K1221" s="116"/>
      <c r="L1221" s="62"/>
      <c r="M1221" s="62"/>
      <c r="N1221" s="65"/>
      <c r="O1221" s="87"/>
      <c r="P1221" s="117"/>
      <c r="Q1221" s="117"/>
      <c r="R1221" s="87"/>
      <c r="S1221" s="87"/>
      <c r="T1221" s="62"/>
      <c r="U1221" s="117"/>
      <c r="V1221" s="117"/>
      <c r="W1221" s="116"/>
      <c r="X1221" s="62"/>
      <c r="Y1221" s="62"/>
      <c r="Z1221" s="65"/>
      <c r="AA1221" s="87"/>
      <c r="AB1221" s="117"/>
      <c r="AC1221" s="117"/>
      <c r="AD1221" s="87"/>
      <c r="AE1221" s="87"/>
      <c r="AF1221" s="62"/>
      <c r="AG1221" s="117"/>
      <c r="AH1221" s="117"/>
      <c r="AI1221" s="11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6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6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7"/>
      <c r="E1283" s="117"/>
      <c r="F1283" s="84"/>
      <c r="G1283" s="84"/>
      <c r="H1283" s="62"/>
      <c r="I1283" s="117"/>
      <c r="J1283" s="117"/>
      <c r="K1283" s="116"/>
      <c r="L1283" s="62"/>
      <c r="M1283" s="62"/>
      <c r="N1283" s="65"/>
      <c r="O1283" s="84"/>
      <c r="P1283" s="117"/>
      <c r="Q1283" s="117"/>
      <c r="R1283" s="84"/>
      <c r="S1283" s="84"/>
      <c r="T1283" s="62"/>
      <c r="U1283" s="117"/>
      <c r="V1283" s="117"/>
      <c r="W1283" s="116"/>
      <c r="X1283" s="62"/>
      <c r="Y1283" s="62"/>
      <c r="Z1283" s="65"/>
      <c r="AA1283" s="84"/>
      <c r="AB1283" s="117"/>
      <c r="AC1283" s="117"/>
      <c r="AD1283" s="84"/>
      <c r="AE1283" s="84"/>
      <c r="AF1283" s="62"/>
      <c r="AG1283" s="117"/>
      <c r="AH1283" s="117"/>
      <c r="AI1283" s="11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6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6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2026-01-21T06:19:13Z</dcterms:modified>
</cp:coreProperties>
</file>