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JANUARY FILES 2026\"/>
    </mc:Choice>
  </mc:AlternateContent>
  <xr:revisionPtr revIDLastSave="0" documentId="13_ncr:1_{4F6FCFEF-B87D-473B-B267-F070DFAB8F3F}" xr6:coauthVersionLast="45" xr6:coauthVersionMax="45" xr10:uidLastSave="{00000000-0000-0000-0000-000000000000}"/>
  <bookViews>
    <workbookView xWindow="-120" yWindow="-120" windowWidth="29040" windowHeight="15840" activeTab="4" xr2:uid="{00000000-000D-0000-FFFF-FFFF00000000}"/>
  </bookViews>
  <sheets>
    <sheet name="SAMPLE" sheetId="20" r:id="rId1"/>
    <sheet name="01,07" sheetId="68" r:id="rId2"/>
    <sheet name="01,08" sheetId="69" r:id="rId3"/>
    <sheet name="01,09" sheetId="70" r:id="rId4"/>
    <sheet name="01,09 (2)" sheetId="71" r:id="rId5"/>
  </sheets>
  <definedNames>
    <definedName name="_xlnm.Print_Area" localSheetId="1">'01,07'!$A$1:$W$53</definedName>
    <definedName name="_xlnm.Print_Area" localSheetId="2">'01,08'!$A$1:$W$53</definedName>
    <definedName name="_xlnm.Print_Area" localSheetId="3">'01,09'!$A$1:$W$53</definedName>
    <definedName name="_xlnm.Print_Area" localSheetId="4">'01,09 (2)'!$A$1:$W$53</definedName>
    <definedName name="_xlnm.Print_Area" localSheetId="0">SAMPLE!$A$1:$P$53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3" i="71" l="1"/>
  <c r="I13" i="71"/>
  <c r="Q52" i="71" l="1"/>
  <c r="P52" i="71"/>
  <c r="O52" i="71"/>
  <c r="N52" i="71"/>
  <c r="M52" i="71"/>
  <c r="L52" i="71"/>
  <c r="H52" i="71"/>
  <c r="G52" i="71"/>
  <c r="E52" i="71"/>
  <c r="D52" i="71"/>
  <c r="C52" i="71"/>
  <c r="S51" i="71"/>
  <c r="R51" i="71"/>
  <c r="J51" i="71"/>
  <c r="I51" i="71"/>
  <c r="S50" i="71"/>
  <c r="R50" i="71"/>
  <c r="J50" i="71"/>
  <c r="I50" i="71"/>
  <c r="S49" i="71"/>
  <c r="R49" i="71"/>
  <c r="J49" i="71"/>
  <c r="I49" i="71"/>
  <c r="S48" i="71"/>
  <c r="R48" i="71"/>
  <c r="J48" i="71"/>
  <c r="I48" i="71"/>
  <c r="S47" i="71"/>
  <c r="R47" i="71"/>
  <c r="J47" i="71"/>
  <c r="I47" i="71"/>
  <c r="S46" i="71"/>
  <c r="R46" i="71"/>
  <c r="J46" i="71"/>
  <c r="I46" i="71"/>
  <c r="A46" i="71"/>
  <c r="A47" i="71" s="1"/>
  <c r="A48" i="71" s="1"/>
  <c r="A49" i="71" s="1"/>
  <c r="A50" i="71" s="1"/>
  <c r="A51" i="71" s="1"/>
  <c r="S45" i="71"/>
  <c r="R45" i="71"/>
  <c r="J45" i="71"/>
  <c r="I45" i="71"/>
  <c r="A45" i="71"/>
  <c r="S44" i="71"/>
  <c r="R44" i="71"/>
  <c r="J44" i="71"/>
  <c r="I44" i="71"/>
  <c r="S43" i="71"/>
  <c r="R43" i="71"/>
  <c r="J43" i="71"/>
  <c r="I43" i="71"/>
  <c r="A43" i="71"/>
  <c r="S42" i="71"/>
  <c r="R42" i="71"/>
  <c r="J42" i="71"/>
  <c r="I42" i="71"/>
  <c r="S41" i="71"/>
  <c r="R41" i="71"/>
  <c r="J41" i="71"/>
  <c r="I41" i="71"/>
  <c r="S40" i="71"/>
  <c r="R40" i="71"/>
  <c r="J40" i="71"/>
  <c r="I40" i="71"/>
  <c r="S39" i="71"/>
  <c r="R39" i="71"/>
  <c r="J39" i="71"/>
  <c r="I39" i="71"/>
  <c r="S38" i="71"/>
  <c r="R38" i="71"/>
  <c r="J38" i="71"/>
  <c r="I38" i="71"/>
  <c r="A38" i="71"/>
  <c r="A39" i="71" s="1"/>
  <c r="A40" i="71" s="1"/>
  <c r="A41" i="71" s="1"/>
  <c r="S37" i="71"/>
  <c r="R37" i="71"/>
  <c r="J37" i="71"/>
  <c r="I37" i="71"/>
  <c r="A37" i="71"/>
  <c r="S36" i="71"/>
  <c r="R36" i="71"/>
  <c r="J36" i="71"/>
  <c r="I36" i="71"/>
  <c r="S35" i="71"/>
  <c r="R35" i="71"/>
  <c r="J35" i="71"/>
  <c r="I35" i="71"/>
  <c r="S34" i="71"/>
  <c r="R34" i="71"/>
  <c r="J34" i="71"/>
  <c r="I34" i="71"/>
  <c r="S33" i="71"/>
  <c r="R33" i="71"/>
  <c r="J33" i="71"/>
  <c r="I33" i="71"/>
  <c r="S32" i="71"/>
  <c r="R32" i="71"/>
  <c r="J32" i="71"/>
  <c r="I32" i="71"/>
  <c r="S31" i="71"/>
  <c r="R31" i="71"/>
  <c r="J31" i="71"/>
  <c r="I31" i="71"/>
  <c r="S30" i="71"/>
  <c r="R30" i="71"/>
  <c r="J30" i="71"/>
  <c r="I30" i="71"/>
  <c r="S29" i="71"/>
  <c r="R29" i="71"/>
  <c r="J29" i="71"/>
  <c r="I29" i="71"/>
  <c r="S28" i="71"/>
  <c r="R28" i="71"/>
  <c r="J28" i="71"/>
  <c r="I28" i="71"/>
  <c r="S27" i="71"/>
  <c r="R27" i="71"/>
  <c r="J27" i="71"/>
  <c r="I27" i="71"/>
  <c r="BC26" i="71"/>
  <c r="S26" i="71"/>
  <c r="R26" i="71"/>
  <c r="J26" i="71"/>
  <c r="I26" i="71"/>
  <c r="S25" i="71"/>
  <c r="R25" i="71"/>
  <c r="J25" i="71"/>
  <c r="I25" i="71"/>
  <c r="S24" i="71"/>
  <c r="R24" i="71"/>
  <c r="J24" i="71"/>
  <c r="I24" i="71"/>
  <c r="S23" i="71"/>
  <c r="R23" i="71"/>
  <c r="J23" i="71"/>
  <c r="I23" i="71"/>
  <c r="S22" i="71"/>
  <c r="R22" i="71"/>
  <c r="J22" i="71"/>
  <c r="I22" i="71"/>
  <c r="A22" i="71"/>
  <c r="A23" i="71" s="1"/>
  <c r="A24" i="71" s="1"/>
  <c r="A25" i="71" s="1"/>
  <c r="A26" i="71" s="1"/>
  <c r="A27" i="71" s="1"/>
  <c r="A28" i="71" s="1"/>
  <c r="A29" i="71" s="1"/>
  <c r="A30" i="71" s="1"/>
  <c r="A31" i="71" s="1"/>
  <c r="A32" i="71" s="1"/>
  <c r="A33" i="71" s="1"/>
  <c r="A34" i="71" s="1"/>
  <c r="A35" i="71" s="1"/>
  <c r="S21" i="71"/>
  <c r="R21" i="71"/>
  <c r="J21" i="71"/>
  <c r="I21" i="71"/>
  <c r="A21" i="71"/>
  <c r="S20" i="71"/>
  <c r="R20" i="71"/>
  <c r="J20" i="71"/>
  <c r="I20" i="71"/>
  <c r="S19" i="71"/>
  <c r="R19" i="71"/>
  <c r="J19" i="71"/>
  <c r="I19" i="71"/>
  <c r="S18" i="71"/>
  <c r="R18" i="71"/>
  <c r="J18" i="71"/>
  <c r="I18" i="71"/>
  <c r="S17" i="71"/>
  <c r="R17" i="71"/>
  <c r="J17" i="71"/>
  <c r="I17" i="71"/>
  <c r="A17" i="71"/>
  <c r="A18" i="71" s="1"/>
  <c r="A19" i="71" s="1"/>
  <c r="S16" i="71"/>
  <c r="R16" i="71"/>
  <c r="J16" i="71"/>
  <c r="I16" i="71"/>
  <c r="A16" i="71"/>
  <c r="S15" i="71"/>
  <c r="R15" i="71"/>
  <c r="J15" i="71"/>
  <c r="I15" i="71"/>
  <c r="A15" i="71"/>
  <c r="S14" i="71"/>
  <c r="R14" i="71"/>
  <c r="J14" i="71"/>
  <c r="I14" i="71"/>
  <c r="S13" i="71"/>
  <c r="R13" i="71"/>
  <c r="S12" i="71"/>
  <c r="R12" i="71"/>
  <c r="J12" i="71"/>
  <c r="I12" i="71"/>
  <c r="S11" i="71"/>
  <c r="R11" i="71"/>
  <c r="J11" i="71"/>
  <c r="I11" i="71"/>
  <c r="S10" i="71"/>
  <c r="R10" i="71"/>
  <c r="J10" i="71"/>
  <c r="I10" i="71"/>
  <c r="A10" i="71"/>
  <c r="A11" i="71" s="1"/>
  <c r="A12" i="71" s="1"/>
  <c r="S9" i="71"/>
  <c r="R9" i="71"/>
  <c r="J9" i="71"/>
  <c r="I9" i="71"/>
  <c r="A9" i="71"/>
  <c r="S8" i="71"/>
  <c r="R8" i="71"/>
  <c r="J8" i="71"/>
  <c r="I8" i="71"/>
  <c r="R52" i="71" l="1"/>
  <c r="S52" i="71"/>
  <c r="I52" i="71"/>
  <c r="J52" i="71"/>
  <c r="E52" i="70" l="1"/>
  <c r="I42" i="70"/>
  <c r="Q52" i="70"/>
  <c r="P52" i="70"/>
  <c r="O52" i="70"/>
  <c r="N52" i="70"/>
  <c r="M52" i="70"/>
  <c r="L52" i="70"/>
  <c r="H52" i="70"/>
  <c r="G52" i="70"/>
  <c r="D52" i="70"/>
  <c r="C52" i="70"/>
  <c r="S51" i="70"/>
  <c r="R51" i="70"/>
  <c r="J51" i="70"/>
  <c r="I51" i="70"/>
  <c r="S50" i="70"/>
  <c r="R50" i="70"/>
  <c r="J50" i="70"/>
  <c r="I50" i="70"/>
  <c r="S49" i="70"/>
  <c r="R49" i="70"/>
  <c r="J49" i="70"/>
  <c r="I49" i="70"/>
  <c r="S48" i="70"/>
  <c r="R48" i="70"/>
  <c r="J48" i="70"/>
  <c r="I48" i="70"/>
  <c r="S47" i="70"/>
  <c r="R47" i="70"/>
  <c r="J47" i="70"/>
  <c r="I47" i="70"/>
  <c r="S46" i="70"/>
  <c r="R46" i="70"/>
  <c r="J46" i="70"/>
  <c r="I46" i="70"/>
  <c r="A46" i="70"/>
  <c r="A47" i="70" s="1"/>
  <c r="A48" i="70" s="1"/>
  <c r="A49" i="70" s="1"/>
  <c r="A50" i="70" s="1"/>
  <c r="A51" i="70" s="1"/>
  <c r="S45" i="70"/>
  <c r="R45" i="70"/>
  <c r="J45" i="70"/>
  <c r="I45" i="70"/>
  <c r="A45" i="70"/>
  <c r="S44" i="70"/>
  <c r="R44" i="70"/>
  <c r="J44" i="70"/>
  <c r="I44" i="70"/>
  <c r="S43" i="70"/>
  <c r="R43" i="70"/>
  <c r="J43" i="70"/>
  <c r="I43" i="70"/>
  <c r="A43" i="70"/>
  <c r="S42" i="70"/>
  <c r="R42" i="70"/>
  <c r="J42" i="70"/>
  <c r="S41" i="70"/>
  <c r="R41" i="70"/>
  <c r="J41" i="70"/>
  <c r="I41" i="70"/>
  <c r="S40" i="70"/>
  <c r="R40" i="70"/>
  <c r="J40" i="70"/>
  <c r="I40" i="70"/>
  <c r="S39" i="70"/>
  <c r="R39" i="70"/>
  <c r="J39" i="70"/>
  <c r="I39" i="70"/>
  <c r="S38" i="70"/>
  <c r="R38" i="70"/>
  <c r="J38" i="70"/>
  <c r="I38" i="70"/>
  <c r="S37" i="70"/>
  <c r="R37" i="70"/>
  <c r="J37" i="70"/>
  <c r="I37" i="70"/>
  <c r="A37" i="70"/>
  <c r="A38" i="70" s="1"/>
  <c r="A39" i="70" s="1"/>
  <c r="A40" i="70" s="1"/>
  <c r="A41" i="70" s="1"/>
  <c r="S36" i="70"/>
  <c r="R36" i="70"/>
  <c r="J36" i="70"/>
  <c r="I36" i="70"/>
  <c r="S35" i="70"/>
  <c r="R35" i="70"/>
  <c r="J35" i="70"/>
  <c r="I35" i="70"/>
  <c r="S34" i="70"/>
  <c r="R34" i="70"/>
  <c r="J34" i="70"/>
  <c r="I34" i="70"/>
  <c r="S33" i="70"/>
  <c r="R33" i="70"/>
  <c r="J33" i="70"/>
  <c r="I33" i="70"/>
  <c r="S32" i="70"/>
  <c r="R32" i="70"/>
  <c r="J32" i="70"/>
  <c r="I32" i="70"/>
  <c r="S31" i="70"/>
  <c r="R31" i="70"/>
  <c r="J31" i="70"/>
  <c r="I31" i="70"/>
  <c r="S30" i="70"/>
  <c r="R30" i="70"/>
  <c r="J30" i="70"/>
  <c r="I30" i="70"/>
  <c r="S29" i="70"/>
  <c r="R29" i="70"/>
  <c r="J29" i="70"/>
  <c r="I29" i="70"/>
  <c r="S28" i="70"/>
  <c r="R28" i="70"/>
  <c r="J28" i="70"/>
  <c r="I28" i="70"/>
  <c r="S27" i="70"/>
  <c r="R27" i="70"/>
  <c r="J27" i="70"/>
  <c r="I27" i="70"/>
  <c r="BC26" i="70"/>
  <c r="S26" i="70"/>
  <c r="R26" i="70"/>
  <c r="J26" i="70"/>
  <c r="I26" i="70"/>
  <c r="S25" i="70"/>
  <c r="R25" i="70"/>
  <c r="J25" i="70"/>
  <c r="I25" i="70"/>
  <c r="S24" i="70"/>
  <c r="R24" i="70"/>
  <c r="J24" i="70"/>
  <c r="I24" i="70"/>
  <c r="S23" i="70"/>
  <c r="R23" i="70"/>
  <c r="J23" i="70"/>
  <c r="I23" i="70"/>
  <c r="A23" i="70"/>
  <c r="A24" i="70" s="1"/>
  <c r="A25" i="70" s="1"/>
  <c r="A26" i="70" s="1"/>
  <c r="A27" i="70" s="1"/>
  <c r="A28" i="70" s="1"/>
  <c r="A29" i="70" s="1"/>
  <c r="A30" i="70" s="1"/>
  <c r="A31" i="70" s="1"/>
  <c r="A32" i="70" s="1"/>
  <c r="A33" i="70" s="1"/>
  <c r="A34" i="70" s="1"/>
  <c r="A35" i="70" s="1"/>
  <c r="S22" i="70"/>
  <c r="R22" i="70"/>
  <c r="J22" i="70"/>
  <c r="I22" i="70"/>
  <c r="A22" i="70"/>
  <c r="S21" i="70"/>
  <c r="R21" i="70"/>
  <c r="J21" i="70"/>
  <c r="I21" i="70"/>
  <c r="A21" i="70"/>
  <c r="S20" i="70"/>
  <c r="R20" i="70"/>
  <c r="J20" i="70"/>
  <c r="I20" i="70"/>
  <c r="S19" i="70"/>
  <c r="R19" i="70"/>
  <c r="J19" i="70"/>
  <c r="I19" i="70"/>
  <c r="S18" i="70"/>
  <c r="R18" i="70"/>
  <c r="J18" i="70"/>
  <c r="I18" i="70"/>
  <c r="S17" i="70"/>
  <c r="R17" i="70"/>
  <c r="J17" i="70"/>
  <c r="I17" i="70"/>
  <c r="S16" i="70"/>
  <c r="R16" i="70"/>
  <c r="J16" i="70"/>
  <c r="I16" i="70"/>
  <c r="A16" i="70"/>
  <c r="A17" i="70" s="1"/>
  <c r="A18" i="70" s="1"/>
  <c r="A19" i="70" s="1"/>
  <c r="S15" i="70"/>
  <c r="R15" i="70"/>
  <c r="J15" i="70"/>
  <c r="I15" i="70"/>
  <c r="A15" i="70"/>
  <c r="S14" i="70"/>
  <c r="R14" i="70"/>
  <c r="J14" i="70"/>
  <c r="I14" i="70"/>
  <c r="S13" i="70"/>
  <c r="R13" i="70"/>
  <c r="J13" i="70"/>
  <c r="I13" i="70"/>
  <c r="S12" i="70"/>
  <c r="R12" i="70"/>
  <c r="J12" i="70"/>
  <c r="I12" i="70"/>
  <c r="S11" i="70"/>
  <c r="R11" i="70"/>
  <c r="J11" i="70"/>
  <c r="I11" i="70"/>
  <c r="S10" i="70"/>
  <c r="R10" i="70"/>
  <c r="J10" i="70"/>
  <c r="I10" i="70"/>
  <c r="S9" i="70"/>
  <c r="R9" i="70"/>
  <c r="J9" i="70"/>
  <c r="I9" i="70"/>
  <c r="A9" i="70"/>
  <c r="A10" i="70" s="1"/>
  <c r="A11" i="70" s="1"/>
  <c r="A12" i="70" s="1"/>
  <c r="S8" i="70"/>
  <c r="R8" i="70"/>
  <c r="J8" i="70"/>
  <c r="I8" i="70"/>
  <c r="I52" i="70" l="1"/>
  <c r="S52" i="70"/>
  <c r="R52" i="70"/>
  <c r="J52" i="70"/>
  <c r="J52" i="69"/>
  <c r="I52" i="69"/>
  <c r="I28" i="69"/>
  <c r="Q52" i="69" l="1"/>
  <c r="P52" i="69"/>
  <c r="O52" i="69"/>
  <c r="N52" i="69"/>
  <c r="M52" i="69"/>
  <c r="L52" i="69"/>
  <c r="H52" i="69"/>
  <c r="G52" i="69"/>
  <c r="D52" i="69"/>
  <c r="C52" i="69"/>
  <c r="S51" i="69"/>
  <c r="R51" i="69"/>
  <c r="J51" i="69"/>
  <c r="I51" i="69"/>
  <c r="S50" i="69"/>
  <c r="R50" i="69"/>
  <c r="J50" i="69"/>
  <c r="I50" i="69"/>
  <c r="S49" i="69"/>
  <c r="R49" i="69"/>
  <c r="J49" i="69"/>
  <c r="I49" i="69"/>
  <c r="S48" i="69"/>
  <c r="R48" i="69"/>
  <c r="J48" i="69"/>
  <c r="I48" i="69"/>
  <c r="S47" i="69"/>
  <c r="R47" i="69"/>
  <c r="J47" i="69"/>
  <c r="I47" i="69"/>
  <c r="S46" i="69"/>
  <c r="R46" i="69"/>
  <c r="J46" i="69"/>
  <c r="I46" i="69"/>
  <c r="A46" i="69"/>
  <c r="A47" i="69" s="1"/>
  <c r="A48" i="69" s="1"/>
  <c r="A49" i="69" s="1"/>
  <c r="A50" i="69" s="1"/>
  <c r="A51" i="69" s="1"/>
  <c r="S45" i="69"/>
  <c r="R45" i="69"/>
  <c r="J45" i="69"/>
  <c r="I45" i="69"/>
  <c r="A45" i="69"/>
  <c r="S44" i="69"/>
  <c r="R44" i="69"/>
  <c r="J44" i="69"/>
  <c r="I44" i="69"/>
  <c r="S43" i="69"/>
  <c r="R43" i="69"/>
  <c r="J43" i="69"/>
  <c r="I43" i="69"/>
  <c r="A43" i="69"/>
  <c r="S42" i="69"/>
  <c r="R42" i="69"/>
  <c r="J42" i="69"/>
  <c r="I42" i="69"/>
  <c r="S41" i="69"/>
  <c r="R41" i="69"/>
  <c r="J41" i="69"/>
  <c r="I41" i="69"/>
  <c r="S40" i="69"/>
  <c r="R40" i="69"/>
  <c r="J40" i="69"/>
  <c r="I40" i="69"/>
  <c r="S39" i="69"/>
  <c r="R39" i="69"/>
  <c r="J39" i="69"/>
  <c r="I39" i="69"/>
  <c r="A39" i="69"/>
  <c r="A40" i="69" s="1"/>
  <c r="A41" i="69" s="1"/>
  <c r="S38" i="69"/>
  <c r="R38" i="69"/>
  <c r="J38" i="69"/>
  <c r="I38" i="69"/>
  <c r="A38" i="69"/>
  <c r="S37" i="69"/>
  <c r="R37" i="69"/>
  <c r="J37" i="69"/>
  <c r="I37" i="69"/>
  <c r="A37" i="69"/>
  <c r="S36" i="69"/>
  <c r="R36" i="69"/>
  <c r="J36" i="69"/>
  <c r="I36" i="69"/>
  <c r="S35" i="69"/>
  <c r="R35" i="69"/>
  <c r="J35" i="69"/>
  <c r="I35" i="69"/>
  <c r="S34" i="69"/>
  <c r="R34" i="69"/>
  <c r="J34" i="69"/>
  <c r="I34" i="69"/>
  <c r="S33" i="69"/>
  <c r="R33" i="69"/>
  <c r="J33" i="69"/>
  <c r="I33" i="69"/>
  <c r="S32" i="69"/>
  <c r="R32" i="69"/>
  <c r="J32" i="69"/>
  <c r="I32" i="69"/>
  <c r="S31" i="69"/>
  <c r="R31" i="69"/>
  <c r="J31" i="69"/>
  <c r="I31" i="69"/>
  <c r="S30" i="69"/>
  <c r="R30" i="69"/>
  <c r="J30" i="69"/>
  <c r="I30" i="69"/>
  <c r="S29" i="69"/>
  <c r="R29" i="69"/>
  <c r="J29" i="69"/>
  <c r="I29" i="69"/>
  <c r="S28" i="69"/>
  <c r="R28" i="69"/>
  <c r="J28" i="69"/>
  <c r="S27" i="69"/>
  <c r="R27" i="69"/>
  <c r="J27" i="69"/>
  <c r="I27" i="69"/>
  <c r="BC26" i="69"/>
  <c r="S26" i="69"/>
  <c r="R26" i="69"/>
  <c r="J26" i="69"/>
  <c r="I26" i="69"/>
  <c r="S25" i="69"/>
  <c r="R25" i="69"/>
  <c r="J25" i="69"/>
  <c r="I25" i="69"/>
  <c r="S24" i="69"/>
  <c r="R24" i="69"/>
  <c r="J24" i="69"/>
  <c r="I24" i="69"/>
  <c r="S23" i="69"/>
  <c r="R23" i="69"/>
  <c r="J23" i="69"/>
  <c r="I23" i="69"/>
  <c r="A23" i="69"/>
  <c r="A24" i="69" s="1"/>
  <c r="A25" i="69" s="1"/>
  <c r="A26" i="69" s="1"/>
  <c r="A27" i="69" s="1"/>
  <c r="A28" i="69" s="1"/>
  <c r="A29" i="69" s="1"/>
  <c r="A30" i="69" s="1"/>
  <c r="A31" i="69" s="1"/>
  <c r="A32" i="69" s="1"/>
  <c r="A33" i="69" s="1"/>
  <c r="A34" i="69" s="1"/>
  <c r="A35" i="69" s="1"/>
  <c r="S22" i="69"/>
  <c r="R22" i="69"/>
  <c r="J22" i="69"/>
  <c r="I22" i="69"/>
  <c r="A22" i="69"/>
  <c r="S21" i="69"/>
  <c r="R21" i="69"/>
  <c r="J21" i="69"/>
  <c r="I21" i="69"/>
  <c r="A21" i="69"/>
  <c r="S20" i="69"/>
  <c r="R20" i="69"/>
  <c r="J20" i="69"/>
  <c r="I20" i="69"/>
  <c r="S19" i="69"/>
  <c r="R19" i="69"/>
  <c r="J19" i="69"/>
  <c r="I19" i="69"/>
  <c r="S18" i="69"/>
  <c r="R18" i="69"/>
  <c r="J18" i="69"/>
  <c r="I18" i="69"/>
  <c r="S17" i="69"/>
  <c r="R17" i="69"/>
  <c r="J17" i="69"/>
  <c r="I17" i="69"/>
  <c r="S16" i="69"/>
  <c r="R16" i="69"/>
  <c r="J16" i="69"/>
  <c r="I16" i="69"/>
  <c r="S15" i="69"/>
  <c r="R15" i="69"/>
  <c r="J15" i="69"/>
  <c r="I15" i="69"/>
  <c r="A15" i="69"/>
  <c r="A16" i="69" s="1"/>
  <c r="A17" i="69" s="1"/>
  <c r="A18" i="69" s="1"/>
  <c r="A19" i="69" s="1"/>
  <c r="S14" i="69"/>
  <c r="R14" i="69"/>
  <c r="J14" i="69"/>
  <c r="I14" i="69"/>
  <c r="S13" i="69"/>
  <c r="R13" i="69"/>
  <c r="J13" i="69"/>
  <c r="I13" i="69"/>
  <c r="S12" i="69"/>
  <c r="R12" i="69"/>
  <c r="J12" i="69"/>
  <c r="I12" i="69"/>
  <c r="S11" i="69"/>
  <c r="R11" i="69"/>
  <c r="J11" i="69"/>
  <c r="I11" i="69"/>
  <c r="S10" i="69"/>
  <c r="R10" i="69"/>
  <c r="J10" i="69"/>
  <c r="I10" i="69"/>
  <c r="A10" i="69"/>
  <c r="A11" i="69" s="1"/>
  <c r="A12" i="69" s="1"/>
  <c r="S9" i="69"/>
  <c r="R9" i="69"/>
  <c r="J9" i="69"/>
  <c r="I9" i="69"/>
  <c r="A9" i="69"/>
  <c r="S8" i="69"/>
  <c r="R8" i="69"/>
  <c r="J8" i="69"/>
  <c r="I8" i="69"/>
  <c r="R52" i="69" l="1"/>
  <c r="S52" i="69"/>
  <c r="J52" i="68"/>
  <c r="I52" i="68"/>
  <c r="J9" i="68" l="1"/>
  <c r="J10" i="68"/>
  <c r="J11" i="68"/>
  <c r="J12" i="68"/>
  <c r="J13" i="68"/>
  <c r="J14" i="68"/>
  <c r="J15" i="68"/>
  <c r="J16" i="68"/>
  <c r="J17" i="68"/>
  <c r="J18" i="68"/>
  <c r="J19" i="68"/>
  <c r="J20" i="68"/>
  <c r="J21" i="68"/>
  <c r="J22" i="68"/>
  <c r="J23" i="68"/>
  <c r="J24" i="68"/>
  <c r="J25" i="68"/>
  <c r="J26" i="68"/>
  <c r="J27" i="68"/>
  <c r="J28" i="68"/>
  <c r="J29" i="68"/>
  <c r="J30" i="68"/>
  <c r="J31" i="68"/>
  <c r="J32" i="68"/>
  <c r="J33" i="68"/>
  <c r="J34" i="68"/>
  <c r="J35" i="68"/>
  <c r="J36" i="68"/>
  <c r="J37" i="68"/>
  <c r="J38" i="68"/>
  <c r="J39" i="68"/>
  <c r="J40" i="68"/>
  <c r="J41" i="68"/>
  <c r="J42" i="68"/>
  <c r="J43" i="68"/>
  <c r="J44" i="68"/>
  <c r="J45" i="68"/>
  <c r="J46" i="68"/>
  <c r="J47" i="68"/>
  <c r="J48" i="68"/>
  <c r="J49" i="68"/>
  <c r="J50" i="68"/>
  <c r="J51" i="68"/>
  <c r="I9" i="68"/>
  <c r="I10" i="68"/>
  <c r="I11" i="68"/>
  <c r="I12" i="68"/>
  <c r="I13" i="68"/>
  <c r="I14" i="68"/>
  <c r="I15" i="68"/>
  <c r="I16" i="68"/>
  <c r="I17" i="68"/>
  <c r="I18" i="68"/>
  <c r="I19" i="68"/>
  <c r="I20" i="68"/>
  <c r="I21" i="68"/>
  <c r="I22" i="68"/>
  <c r="I23" i="68"/>
  <c r="I24" i="68"/>
  <c r="I25" i="68"/>
  <c r="I26" i="68"/>
  <c r="I27" i="68"/>
  <c r="I28" i="68"/>
  <c r="I29" i="68"/>
  <c r="I30" i="68"/>
  <c r="I31" i="68"/>
  <c r="I32" i="68"/>
  <c r="I33" i="68"/>
  <c r="I34" i="68"/>
  <c r="I35" i="68"/>
  <c r="I36" i="68"/>
  <c r="I37" i="68"/>
  <c r="I38" i="68"/>
  <c r="I39" i="68"/>
  <c r="I40" i="68"/>
  <c r="I41" i="68"/>
  <c r="I42" i="68"/>
  <c r="I43" i="68"/>
  <c r="I44" i="68"/>
  <c r="I45" i="68"/>
  <c r="I46" i="68"/>
  <c r="I47" i="68"/>
  <c r="I48" i="68"/>
  <c r="I49" i="68"/>
  <c r="I50" i="68"/>
  <c r="I51" i="68"/>
  <c r="J8" i="68"/>
  <c r="I8" i="68"/>
  <c r="S9" i="68"/>
  <c r="S10" i="68"/>
  <c r="S11" i="68"/>
  <c r="S12" i="68"/>
  <c r="S13" i="68"/>
  <c r="S14" i="68"/>
  <c r="S15" i="68"/>
  <c r="S16" i="68"/>
  <c r="S17" i="68"/>
  <c r="S18" i="68"/>
  <c r="S19" i="68"/>
  <c r="S20" i="68"/>
  <c r="S21" i="68"/>
  <c r="S22" i="68"/>
  <c r="S23" i="68"/>
  <c r="S24" i="68"/>
  <c r="S25" i="68"/>
  <c r="S26" i="68"/>
  <c r="S27" i="68"/>
  <c r="S28" i="68"/>
  <c r="S29" i="68"/>
  <c r="S30" i="68"/>
  <c r="S31" i="68"/>
  <c r="S32" i="68"/>
  <c r="S33" i="68"/>
  <c r="S34" i="68"/>
  <c r="S35" i="68"/>
  <c r="S36" i="68"/>
  <c r="S37" i="68"/>
  <c r="S38" i="68"/>
  <c r="S39" i="68"/>
  <c r="S40" i="68"/>
  <c r="S41" i="68"/>
  <c r="S42" i="68"/>
  <c r="S43" i="68"/>
  <c r="S44" i="68"/>
  <c r="S45" i="68"/>
  <c r="S46" i="68"/>
  <c r="S47" i="68"/>
  <c r="S48" i="68"/>
  <c r="S49" i="68"/>
  <c r="S50" i="68"/>
  <c r="S51" i="68"/>
  <c r="R9" i="68"/>
  <c r="R10" i="68"/>
  <c r="R11" i="68"/>
  <c r="R12" i="68"/>
  <c r="R13" i="68"/>
  <c r="R14" i="68"/>
  <c r="R15" i="68"/>
  <c r="R16" i="68"/>
  <c r="R17" i="68"/>
  <c r="R18" i="68"/>
  <c r="R19" i="68"/>
  <c r="R20" i="68"/>
  <c r="R21" i="68"/>
  <c r="R22" i="68"/>
  <c r="R23" i="68"/>
  <c r="R24" i="68"/>
  <c r="R25" i="68"/>
  <c r="R26" i="68"/>
  <c r="R27" i="68"/>
  <c r="R28" i="68"/>
  <c r="R29" i="68"/>
  <c r="R30" i="68"/>
  <c r="R31" i="68"/>
  <c r="R32" i="68"/>
  <c r="R33" i="68"/>
  <c r="R34" i="68"/>
  <c r="R35" i="68"/>
  <c r="R36" i="68"/>
  <c r="R37" i="68"/>
  <c r="R38" i="68"/>
  <c r="R39" i="68"/>
  <c r="R40" i="68"/>
  <c r="R41" i="68"/>
  <c r="R42" i="68"/>
  <c r="R43" i="68"/>
  <c r="R44" i="68"/>
  <c r="R45" i="68"/>
  <c r="R46" i="68"/>
  <c r="R47" i="68"/>
  <c r="R48" i="68"/>
  <c r="R49" i="68"/>
  <c r="R50" i="68"/>
  <c r="R51" i="68"/>
  <c r="S8" i="68"/>
  <c r="R8" i="68"/>
  <c r="P52" i="68"/>
  <c r="N52" i="68"/>
  <c r="L52" i="68"/>
  <c r="G52" i="68"/>
  <c r="C52" i="68"/>
  <c r="Q52" i="68"/>
  <c r="O52" i="68"/>
  <c r="M52" i="68"/>
  <c r="H52" i="68"/>
  <c r="D52" i="68"/>
  <c r="A45" i="68"/>
  <c r="A46" i="68" s="1"/>
  <c r="A47" i="68" s="1"/>
  <c r="A48" i="68" s="1"/>
  <c r="A49" i="68" s="1"/>
  <c r="A50" i="68" s="1"/>
  <c r="A51" i="68" s="1"/>
  <c r="A43" i="68"/>
  <c r="A37" i="68"/>
  <c r="A38" i="68" s="1"/>
  <c r="A39" i="68" s="1"/>
  <c r="A40" i="68" s="1"/>
  <c r="A41" i="68" s="1"/>
  <c r="BC26" i="68"/>
  <c r="A21" i="68"/>
  <c r="A22" i="68" s="1"/>
  <c r="A23" i="68" s="1"/>
  <c r="A24" i="68" s="1"/>
  <c r="A25" i="68" s="1"/>
  <c r="A26" i="68" s="1"/>
  <c r="A27" i="68" s="1"/>
  <c r="A28" i="68" s="1"/>
  <c r="A29" i="68" s="1"/>
  <c r="A30" i="68" s="1"/>
  <c r="A31" i="68" s="1"/>
  <c r="A32" i="68" s="1"/>
  <c r="A33" i="68" s="1"/>
  <c r="A34" i="68" s="1"/>
  <c r="A35" i="68" s="1"/>
  <c r="A15" i="68"/>
  <c r="A16" i="68" s="1"/>
  <c r="A17" i="68" s="1"/>
  <c r="A18" i="68" s="1"/>
  <c r="A19" i="68" s="1"/>
  <c r="A9" i="68"/>
  <c r="A10" i="68" s="1"/>
  <c r="A11" i="68" s="1"/>
  <c r="A12" i="68" s="1"/>
  <c r="S52" i="68" l="1"/>
  <c r="R52" i="68"/>
  <c r="A9" i="20" l="1"/>
  <c r="A10" i="20" s="1"/>
  <c r="A11" i="20" s="1"/>
  <c r="A12" i="20" s="1"/>
  <c r="A15" i="20" s="1"/>
  <c r="A16" i="20" s="1"/>
  <c r="A17" i="20" s="1"/>
  <c r="A18" i="20" s="1"/>
  <c r="A19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7" i="20" s="1"/>
  <c r="A38" i="20" s="1"/>
  <c r="A39" i="20" s="1"/>
  <c r="A40" i="20" s="1"/>
  <c r="A41" i="20" s="1"/>
  <c r="A43" i="20" s="1"/>
  <c r="A45" i="20" s="1"/>
  <c r="A46" i="20" s="1"/>
  <c r="A47" i="20" s="1"/>
  <c r="A48" i="20" s="1"/>
  <c r="A49" i="20" s="1"/>
  <c r="A50" i="20" s="1"/>
  <c r="A51" i="20" s="1"/>
  <c r="AV26" i="20" l="1"/>
</calcChain>
</file>

<file path=xl/sharedStrings.xml><?xml version="1.0" encoding="utf-8"?>
<sst xmlns="http://schemas.openxmlformats.org/spreadsheetml/2006/main" count="493" uniqueCount="76">
  <si>
    <t>GUILLERMO BEVERAGE DISTRIBUTION SERVICES</t>
  </si>
  <si>
    <t>DATE</t>
  </si>
  <si>
    <t>DAILY SALES/ STOCK ISSUANCE AND RECEIPTS</t>
  </si>
  <si>
    <t>BEG INVTY</t>
  </si>
  <si>
    <t>WITHDRAWAL (+)</t>
  </si>
  <si>
    <t>TOTAL
SALES (-)</t>
  </si>
  <si>
    <t>ENDING INVTY</t>
  </si>
  <si>
    <t>SALES TO TRADE</t>
  </si>
  <si>
    <t>WW</t>
  </si>
  <si>
    <t>PROMO</t>
  </si>
  <si>
    <t>ROUTE 1</t>
  </si>
  <si>
    <t>ROUTE 2</t>
  </si>
  <si>
    <t>ROUTE 3</t>
  </si>
  <si>
    <t>TOTAL</t>
  </si>
  <si>
    <t>MONTH TO DATE</t>
  </si>
  <si>
    <t>PAMB</t>
  </si>
  <si>
    <t>PAMC</t>
  </si>
  <si>
    <t>KRB</t>
  </si>
  <si>
    <t>KRC</t>
  </si>
  <si>
    <t>CBC</t>
  </si>
  <si>
    <t>SDB</t>
  </si>
  <si>
    <t>SDC</t>
  </si>
  <si>
    <t>SMLB</t>
  </si>
  <si>
    <t>SMLL</t>
  </si>
  <si>
    <t>SMLC</t>
  </si>
  <si>
    <t>FBA</t>
  </si>
  <si>
    <t>FBAC</t>
  </si>
  <si>
    <t>FBL</t>
  </si>
  <si>
    <t>FBLC</t>
  </si>
  <si>
    <t>FBLY</t>
  </si>
  <si>
    <t>FBLYC</t>
  </si>
  <si>
    <t>PP</t>
  </si>
  <si>
    <t>PPG</t>
  </si>
  <si>
    <t>PL</t>
  </si>
  <si>
    <t>PPC</t>
  </si>
  <si>
    <t>RHS</t>
  </si>
  <si>
    <t>RHP</t>
  </si>
  <si>
    <t>RHL</t>
  </si>
  <si>
    <t>RHC</t>
  </si>
  <si>
    <t>RHSL</t>
  </si>
  <si>
    <t>SMFC</t>
  </si>
  <si>
    <t>GEK</t>
  </si>
  <si>
    <t>HSC</t>
  </si>
  <si>
    <t>HTL</t>
  </si>
  <si>
    <t>HTA</t>
  </si>
  <si>
    <t>HTS</t>
  </si>
  <si>
    <t>CB</t>
  </si>
  <si>
    <t>CC</t>
  </si>
  <si>
    <t>C10C</t>
  </si>
  <si>
    <t>CIB</t>
  </si>
  <si>
    <t>CIC</t>
  </si>
  <si>
    <t>PREV STT</t>
  </si>
  <si>
    <t>MTD STT</t>
  </si>
  <si>
    <t>EMPTIES</t>
  </si>
  <si>
    <t>EMPTIES
RETURN</t>
  </si>
  <si>
    <t>TOTAL
EMPTIES RECEIVED</t>
  </si>
  <si>
    <t>EMPTIES
ON HAND</t>
  </si>
  <si>
    <t>SHL</t>
  </si>
  <si>
    <t>BOT</t>
  </si>
  <si>
    <t>PL/RHL</t>
  </si>
  <si>
    <t>RH5</t>
  </si>
  <si>
    <t>FB/SML/RHS</t>
  </si>
  <si>
    <t>HT</t>
  </si>
  <si>
    <t>PALLETS</t>
  </si>
  <si>
    <t>NAB</t>
  </si>
  <si>
    <t>BEER
CONV</t>
  </si>
  <si>
    <t>TODAY STT</t>
  </si>
  <si>
    <t>CBB</t>
  </si>
  <si>
    <t>CNB</t>
  </si>
  <si>
    <t>CLC</t>
  </si>
  <si>
    <t>SMZB</t>
  </si>
  <si>
    <t>RH500C</t>
  </si>
  <si>
    <t>SMFB</t>
  </si>
  <si>
    <t>GE320</t>
  </si>
  <si>
    <t>FULL SKU</t>
  </si>
  <si>
    <t>BOTT.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</si>
</sst>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F800]dddd\,\ mmmm\ dd\,\ yyyy"/>
    <numFmt numFmtId="166" formatCode="_(* #,##0_);_(* \(#,##0\);_(* &quot;-&quot;??_);_(@_)"/>
    <numFmt numFmtId="167" formatCode="_-* #,##0.0_-;\-* #,##0.0_-;_-* &quot;-&quot;??_-;_-@_-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rgb="FFFF0000"/>
      </bottom>
      <diagonal/>
    </border>
    <border>
      <left style="medium">
        <color auto="1"/>
      </left>
      <right style="thin">
        <color auto="1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 style="medium">
        <color auto="1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 style="medium">
        <color auto="1"/>
      </right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 style="thin">
        <color auto="1"/>
      </left>
      <right style="thin">
        <color auto="1"/>
      </right>
      <top/>
      <bottom style="medium">
        <color rgb="FFFF0000"/>
      </bottom>
      <diagonal/>
    </border>
    <border>
      <left style="medium">
        <color auto="1"/>
      </left>
      <right style="thin">
        <color auto="1"/>
      </right>
      <top/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thin">
        <color auto="1"/>
      </right>
      <top style="thin">
        <color auto="1"/>
      </top>
      <bottom style="medium">
        <color rgb="FFFF0000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rgb="FFFF0000"/>
      </bottom>
      <diagonal/>
    </border>
    <border>
      <left style="thin">
        <color auto="1"/>
      </left>
      <right/>
      <top style="medium">
        <color rgb="FFFF0000"/>
      </top>
      <bottom style="medium">
        <color rgb="FFFF0000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/>
      <top/>
      <bottom style="medium">
        <color rgb="FFFF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rgb="FFFF0000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rgb="FFFF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rgb="FFFF0000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rgb="FFFF0000"/>
      </top>
      <bottom style="medium">
        <color rgb="FFFF0000"/>
      </bottom>
      <diagonal/>
    </border>
    <border>
      <left style="thin">
        <color auto="1"/>
      </left>
      <right style="medium">
        <color auto="1"/>
      </right>
      <top style="thin">
        <color rgb="FFFF0000"/>
      </top>
      <bottom style="medium">
        <color rgb="FFFF0000"/>
      </bottom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 wrapText="1"/>
    </xf>
    <xf numFmtId="0" fontId="2" fillId="0" borderId="13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 wrapText="1"/>
    </xf>
    <xf numFmtId="165" fontId="2" fillId="0" borderId="0" xfId="1" applyNumberFormat="1" applyFont="1" applyAlignment="1">
      <alignment horizontal="center" vertical="center"/>
    </xf>
    <xf numFmtId="0" fontId="2" fillId="0" borderId="14" xfId="1" applyFont="1" applyBorder="1" applyAlignment="1">
      <alignment vertical="center"/>
    </xf>
    <xf numFmtId="166" fontId="3" fillId="0" borderId="15" xfId="2" applyNumberFormat="1" applyFont="1" applyFill="1" applyBorder="1" applyAlignment="1">
      <alignment vertical="center"/>
    </xf>
    <xf numFmtId="165" fontId="2" fillId="0" borderId="0" xfId="1" applyNumberFormat="1" applyFont="1" applyAlignment="1">
      <alignment vertical="center"/>
    </xf>
    <xf numFmtId="0" fontId="2" fillId="0" borderId="17" xfId="1" applyFont="1" applyBorder="1" applyAlignment="1">
      <alignment vertical="center"/>
    </xf>
    <xf numFmtId="166" fontId="3" fillId="0" borderId="0" xfId="1" applyNumberFormat="1" applyFont="1" applyAlignment="1">
      <alignment vertical="center"/>
    </xf>
    <xf numFmtId="0" fontId="2" fillId="0" borderId="7" xfId="1" applyFont="1" applyBorder="1" applyAlignment="1">
      <alignment vertical="center" wrapText="1"/>
    </xf>
    <xf numFmtId="0" fontId="3" fillId="0" borderId="18" xfId="1" applyFont="1" applyBorder="1" applyAlignment="1">
      <alignment vertical="center"/>
    </xf>
    <xf numFmtId="0" fontId="2" fillId="0" borderId="19" xfId="1" applyFont="1" applyBorder="1" applyAlignment="1">
      <alignment vertical="center"/>
    </xf>
    <xf numFmtId="0" fontId="2" fillId="0" borderId="20" xfId="1" applyFont="1" applyBorder="1" applyAlignment="1">
      <alignment horizontal="center" vertical="center" wrapText="1"/>
    </xf>
    <xf numFmtId="0" fontId="2" fillId="0" borderId="21" xfId="1" applyFont="1" applyBorder="1" applyAlignment="1">
      <alignment horizontal="center" vertical="center" wrapText="1"/>
    </xf>
    <xf numFmtId="0" fontId="2" fillId="0" borderId="19" xfId="1" applyFont="1" applyBorder="1" applyAlignment="1">
      <alignment horizontal="center" vertical="center"/>
    </xf>
    <xf numFmtId="0" fontId="2" fillId="0" borderId="22" xfId="1" applyFont="1" applyBorder="1" applyAlignment="1">
      <alignment horizontal="center" vertical="center"/>
    </xf>
    <xf numFmtId="0" fontId="3" fillId="0" borderId="15" xfId="1" applyFont="1" applyBorder="1" applyAlignment="1">
      <alignment vertical="center"/>
    </xf>
    <xf numFmtId="166" fontId="3" fillId="0" borderId="18" xfId="2" applyNumberFormat="1" applyFont="1" applyFill="1" applyBorder="1" applyAlignment="1">
      <alignment vertical="center"/>
    </xf>
    <xf numFmtId="0" fontId="3" fillId="0" borderId="6" xfId="1" applyFont="1" applyBorder="1" applyAlignment="1">
      <alignment vertical="center"/>
    </xf>
    <xf numFmtId="0" fontId="3" fillId="0" borderId="25" xfId="1" applyFont="1" applyBorder="1" applyAlignment="1">
      <alignment vertical="center"/>
    </xf>
    <xf numFmtId="0" fontId="3" fillId="0" borderId="9" xfId="1" applyFont="1" applyBorder="1" applyAlignment="1">
      <alignment vertical="center"/>
    </xf>
    <xf numFmtId="167" fontId="3" fillId="2" borderId="15" xfId="3" applyNumberFormat="1" applyFont="1" applyFill="1" applyBorder="1" applyAlignment="1">
      <alignment vertical="center"/>
    </xf>
    <xf numFmtId="167" fontId="3" fillId="2" borderId="14" xfId="3" applyNumberFormat="1" applyFont="1" applyFill="1" applyBorder="1" applyAlignment="1">
      <alignment vertical="center"/>
    </xf>
    <xf numFmtId="167" fontId="3" fillId="0" borderId="15" xfId="3" applyNumberFormat="1" applyFont="1" applyFill="1" applyBorder="1" applyAlignment="1">
      <alignment vertical="center"/>
    </xf>
    <xf numFmtId="167" fontId="3" fillId="0" borderId="16" xfId="3" applyNumberFormat="1" applyFont="1" applyFill="1" applyBorder="1" applyAlignment="1">
      <alignment vertical="center"/>
    </xf>
    <xf numFmtId="167" fontId="2" fillId="0" borderId="11" xfId="3" applyNumberFormat="1" applyFont="1" applyFill="1" applyBorder="1" applyAlignment="1">
      <alignment vertical="center"/>
    </xf>
    <xf numFmtId="167" fontId="2" fillId="0" borderId="9" xfId="3" applyNumberFormat="1" applyFont="1" applyBorder="1" applyAlignment="1">
      <alignment vertical="center"/>
    </xf>
    <xf numFmtId="167" fontId="2" fillId="0" borderId="4" xfId="3" applyNumberFormat="1" applyFont="1" applyBorder="1" applyAlignment="1">
      <alignment vertical="center"/>
    </xf>
    <xf numFmtId="167" fontId="2" fillId="0" borderId="5" xfId="3" applyNumberFormat="1" applyFont="1" applyBorder="1" applyAlignment="1">
      <alignment vertical="center"/>
    </xf>
    <xf numFmtId="167" fontId="2" fillId="0" borderId="6" xfId="3" applyNumberFormat="1" applyFont="1" applyBorder="1" applyAlignment="1">
      <alignment vertical="center"/>
    </xf>
    <xf numFmtId="167" fontId="2" fillId="2" borderId="17" xfId="3" applyNumberFormat="1" applyFont="1" applyFill="1" applyBorder="1" applyAlignment="1">
      <alignment vertical="center"/>
    </xf>
    <xf numFmtId="167" fontId="2" fillId="2" borderId="18" xfId="3" applyNumberFormat="1" applyFont="1" applyFill="1" applyBorder="1" applyAlignment="1">
      <alignment vertical="center"/>
    </xf>
    <xf numFmtId="167" fontId="2" fillId="2" borderId="25" xfId="3" applyNumberFormat="1" applyFont="1" applyFill="1" applyBorder="1" applyAlignment="1">
      <alignment vertical="center"/>
    </xf>
    <xf numFmtId="167" fontId="2" fillId="0" borderId="17" xfId="3" applyNumberFormat="1" applyFont="1" applyBorder="1" applyAlignment="1">
      <alignment vertical="center"/>
    </xf>
    <xf numFmtId="167" fontId="2" fillId="0" borderId="18" xfId="3" applyNumberFormat="1" applyFont="1" applyBorder="1" applyAlignment="1">
      <alignment vertical="center"/>
    </xf>
    <xf numFmtId="167" fontId="2" fillId="0" borderId="25" xfId="3" applyNumberFormat="1" applyFont="1" applyBorder="1" applyAlignment="1">
      <alignment vertical="center"/>
    </xf>
    <xf numFmtId="167" fontId="2" fillId="0" borderId="7" xfId="3" applyNumberFormat="1" applyFont="1" applyBorder="1" applyAlignment="1">
      <alignment vertical="center"/>
    </xf>
    <xf numFmtId="167" fontId="2" fillId="0" borderId="8" xfId="3" applyNumberFormat="1" applyFont="1" applyBorder="1" applyAlignment="1">
      <alignment vertical="center"/>
    </xf>
    <xf numFmtId="167" fontId="3" fillId="0" borderId="0" xfId="3" applyNumberFormat="1" applyFont="1" applyAlignment="1">
      <alignment vertical="center"/>
    </xf>
    <xf numFmtId="167" fontId="2" fillId="0" borderId="0" xfId="3" applyNumberFormat="1" applyFont="1" applyAlignment="1">
      <alignment vertical="center"/>
    </xf>
    <xf numFmtId="167" fontId="2" fillId="0" borderId="7" xfId="3" applyNumberFormat="1" applyFont="1" applyFill="1" applyBorder="1" applyAlignment="1">
      <alignment vertical="center"/>
    </xf>
    <xf numFmtId="167" fontId="2" fillId="0" borderId="8" xfId="3" applyNumberFormat="1" applyFont="1" applyFill="1" applyBorder="1" applyAlignment="1">
      <alignment vertical="center"/>
    </xf>
    <xf numFmtId="167" fontId="2" fillId="0" borderId="9" xfId="3" applyNumberFormat="1" applyFont="1" applyFill="1" applyBorder="1" applyAlignment="1">
      <alignment vertical="center"/>
    </xf>
    <xf numFmtId="0" fontId="2" fillId="0" borderId="0" xfId="1" applyFont="1" applyFill="1" applyAlignment="1">
      <alignment vertical="center"/>
    </xf>
    <xf numFmtId="2" fontId="3" fillId="0" borderId="0" xfId="1" applyNumberFormat="1" applyFont="1" applyAlignment="1">
      <alignment vertical="center"/>
    </xf>
    <xf numFmtId="0" fontId="2" fillId="0" borderId="8" xfId="1" applyFont="1" applyBorder="1" applyAlignment="1">
      <alignment horizontal="center" vertical="center" wrapText="1"/>
    </xf>
    <xf numFmtId="0" fontId="2" fillId="0" borderId="27" xfId="1" applyFont="1" applyBorder="1" applyAlignment="1">
      <alignment horizontal="center" vertical="center" wrapText="1"/>
    </xf>
    <xf numFmtId="0" fontId="2" fillId="0" borderId="0" xfId="1" applyFont="1" applyBorder="1" applyAlignment="1">
      <alignment horizontal="center" vertical="center" wrapText="1"/>
    </xf>
    <xf numFmtId="0" fontId="2" fillId="0" borderId="28" xfId="1" applyFont="1" applyBorder="1" applyAlignment="1">
      <alignment vertical="center"/>
    </xf>
    <xf numFmtId="167" fontId="3" fillId="2" borderId="28" xfId="3" applyNumberFormat="1" applyFont="1" applyFill="1" applyBorder="1" applyAlignment="1">
      <alignment vertical="center"/>
    </xf>
    <xf numFmtId="167" fontId="3" fillId="2" borderId="29" xfId="3" applyNumberFormat="1" applyFont="1" applyFill="1" applyBorder="1" applyAlignment="1">
      <alignment vertical="center"/>
    </xf>
    <xf numFmtId="167" fontId="3" fillId="0" borderId="29" xfId="3" applyNumberFormat="1" applyFont="1" applyFill="1" applyBorder="1" applyAlignment="1">
      <alignment vertical="center"/>
    </xf>
    <xf numFmtId="167" fontId="3" fillId="0" borderId="30" xfId="3" applyNumberFormat="1" applyFont="1" applyFill="1" applyBorder="1" applyAlignment="1">
      <alignment vertical="center"/>
    </xf>
    <xf numFmtId="0" fontId="2" fillId="0" borderId="31" xfId="1" applyFont="1" applyBorder="1" applyAlignment="1">
      <alignment vertical="center"/>
    </xf>
    <xf numFmtId="167" fontId="3" fillId="2" borderId="31" xfId="3" applyNumberFormat="1" applyFont="1" applyFill="1" applyBorder="1" applyAlignment="1">
      <alignment vertical="center"/>
    </xf>
    <xf numFmtId="167" fontId="3" fillId="2" borderId="32" xfId="3" applyNumberFormat="1" applyFont="1" applyFill="1" applyBorder="1" applyAlignment="1">
      <alignment vertical="center"/>
    </xf>
    <xf numFmtId="167" fontId="3" fillId="0" borderId="32" xfId="3" applyNumberFormat="1" applyFont="1" applyFill="1" applyBorder="1" applyAlignment="1">
      <alignment vertical="center"/>
    </xf>
    <xf numFmtId="167" fontId="3" fillId="0" borderId="33" xfId="3" applyNumberFormat="1" applyFont="1" applyFill="1" applyBorder="1" applyAlignment="1">
      <alignment vertical="center"/>
    </xf>
    <xf numFmtId="167" fontId="3" fillId="0" borderId="35" xfId="3" applyNumberFormat="1" applyFont="1" applyBorder="1" applyAlignment="1">
      <alignment vertical="center"/>
    </xf>
    <xf numFmtId="167" fontId="3" fillId="2" borderId="36" xfId="3" applyNumberFormat="1" applyFont="1" applyFill="1" applyBorder="1" applyAlignment="1">
      <alignment vertical="center"/>
    </xf>
    <xf numFmtId="167" fontId="3" fillId="0" borderId="34" xfId="3" applyNumberFormat="1" applyFont="1" applyFill="1" applyBorder="1" applyAlignment="1">
      <alignment vertical="center"/>
    </xf>
    <xf numFmtId="167" fontId="3" fillId="2" borderId="37" xfId="3" applyNumberFormat="1" applyFont="1" applyFill="1" applyBorder="1" applyAlignment="1">
      <alignment vertical="center"/>
    </xf>
    <xf numFmtId="167" fontId="2" fillId="0" borderId="35" xfId="3" applyNumberFormat="1" applyFont="1" applyBorder="1" applyAlignment="1">
      <alignment vertical="center"/>
    </xf>
    <xf numFmtId="167" fontId="3" fillId="0" borderId="38" xfId="3" applyNumberFormat="1" applyFont="1" applyBorder="1" applyAlignment="1">
      <alignment vertical="center"/>
    </xf>
    <xf numFmtId="0" fontId="2" fillId="0" borderId="8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167" fontId="3" fillId="2" borderId="41" xfId="3" applyNumberFormat="1" applyFont="1" applyFill="1" applyBorder="1" applyAlignment="1">
      <alignment vertical="center"/>
    </xf>
    <xf numFmtId="167" fontId="2" fillId="0" borderId="27" xfId="3" applyNumberFormat="1" applyFont="1" applyFill="1" applyBorder="1" applyAlignment="1">
      <alignment vertical="center"/>
    </xf>
    <xf numFmtId="167" fontId="3" fillId="0" borderId="45" xfId="3" applyNumberFormat="1" applyFont="1" applyFill="1" applyBorder="1" applyAlignment="1">
      <alignment vertical="center"/>
    </xf>
    <xf numFmtId="167" fontId="2" fillId="0" borderId="48" xfId="3" applyNumberFormat="1" applyFont="1" applyFill="1" applyBorder="1" applyAlignment="1">
      <alignment vertical="center"/>
    </xf>
    <xf numFmtId="0" fontId="3" fillId="0" borderId="40" xfId="1" applyFont="1" applyBorder="1" applyAlignment="1">
      <alignment horizontal="center" vertical="center" wrapText="1"/>
    </xf>
    <xf numFmtId="0" fontId="3" fillId="0" borderId="0" xfId="1" applyFont="1" applyBorder="1" applyAlignment="1">
      <alignment horizontal="center" vertical="center" wrapText="1"/>
    </xf>
    <xf numFmtId="0" fontId="3" fillId="0" borderId="49" xfId="1" applyFont="1" applyBorder="1" applyAlignment="1">
      <alignment horizontal="center" vertical="center" wrapText="1"/>
    </xf>
    <xf numFmtId="0" fontId="3" fillId="0" borderId="50" xfId="1" applyFont="1" applyBorder="1" applyAlignment="1">
      <alignment horizontal="center" vertical="center"/>
    </xf>
    <xf numFmtId="0" fontId="3" fillId="0" borderId="51" xfId="1" applyFont="1" applyBorder="1" applyAlignment="1">
      <alignment horizontal="center" vertical="center"/>
    </xf>
    <xf numFmtId="167" fontId="2" fillId="0" borderId="26" xfId="3" applyNumberFormat="1" applyFont="1" applyBorder="1" applyAlignment="1">
      <alignment vertical="center"/>
    </xf>
    <xf numFmtId="167" fontId="2" fillId="2" borderId="53" xfId="3" applyNumberFormat="1" applyFont="1" applyFill="1" applyBorder="1" applyAlignment="1">
      <alignment vertical="center"/>
    </xf>
    <xf numFmtId="167" fontId="2" fillId="0" borderId="53" xfId="3" applyNumberFormat="1" applyFont="1" applyBorder="1" applyAlignment="1">
      <alignment vertical="center"/>
    </xf>
    <xf numFmtId="167" fontId="2" fillId="0" borderId="27" xfId="3" applyNumberFormat="1" applyFont="1" applyBorder="1" applyAlignment="1">
      <alignment vertical="center"/>
    </xf>
    <xf numFmtId="0" fontId="2" fillId="0" borderId="54" xfId="1" applyFont="1" applyBorder="1" applyAlignment="1">
      <alignment horizontal="center" vertical="center"/>
    </xf>
    <xf numFmtId="167" fontId="3" fillId="2" borderId="45" xfId="3" applyNumberFormat="1" applyFont="1" applyFill="1" applyBorder="1" applyAlignment="1">
      <alignment vertical="center"/>
    </xf>
    <xf numFmtId="167" fontId="2" fillId="0" borderId="43" xfId="3" applyNumberFormat="1" applyFont="1" applyBorder="1" applyAlignment="1">
      <alignment vertical="center"/>
    </xf>
    <xf numFmtId="167" fontId="2" fillId="2" borderId="56" xfId="3" applyNumberFormat="1" applyFont="1" applyFill="1" applyBorder="1" applyAlignment="1">
      <alignment vertical="center"/>
    </xf>
    <xf numFmtId="167" fontId="2" fillId="0" borderId="56" xfId="3" applyNumberFormat="1" applyFont="1" applyBorder="1" applyAlignment="1">
      <alignment vertical="center"/>
    </xf>
    <xf numFmtId="167" fontId="2" fillId="0" borderId="44" xfId="3" applyNumberFormat="1" applyFont="1" applyBorder="1" applyAlignment="1">
      <alignment vertical="center"/>
    </xf>
    <xf numFmtId="0" fontId="2" fillId="0" borderId="57" xfId="1" applyFont="1" applyBorder="1" applyAlignment="1">
      <alignment horizontal="center" vertical="center"/>
    </xf>
    <xf numFmtId="0" fontId="5" fillId="0" borderId="52" xfId="1" applyFont="1" applyBorder="1" applyAlignment="1">
      <alignment horizontal="center" vertical="center"/>
    </xf>
    <xf numFmtId="3" fontId="3" fillId="2" borderId="15" xfId="3" applyNumberFormat="1" applyFont="1" applyFill="1" applyBorder="1" applyAlignment="1">
      <alignment vertical="center"/>
    </xf>
    <xf numFmtId="3" fontId="3" fillId="2" borderId="45" xfId="3" applyNumberFormat="1" applyFont="1" applyFill="1" applyBorder="1" applyAlignment="1">
      <alignment vertical="center"/>
    </xf>
    <xf numFmtId="3" fontId="3" fillId="0" borderId="45" xfId="3" applyNumberFormat="1" applyFont="1" applyFill="1" applyBorder="1" applyAlignment="1">
      <alignment vertical="center"/>
    </xf>
    <xf numFmtId="3" fontId="3" fillId="2" borderId="36" xfId="3" applyNumberFormat="1" applyFont="1" applyFill="1" applyBorder="1" applyAlignment="1">
      <alignment vertical="center"/>
    </xf>
    <xf numFmtId="3" fontId="3" fillId="2" borderId="55" xfId="3" applyNumberFormat="1" applyFont="1" applyFill="1" applyBorder="1" applyAlignment="1">
      <alignment vertical="center"/>
    </xf>
    <xf numFmtId="3" fontId="3" fillId="2" borderId="32" xfId="3" applyNumberFormat="1" applyFont="1" applyFill="1" applyBorder="1" applyAlignment="1">
      <alignment vertical="center"/>
    </xf>
    <xf numFmtId="3" fontId="3" fillId="2" borderId="47" xfId="3" applyNumberFormat="1" applyFont="1" applyFill="1" applyBorder="1" applyAlignment="1">
      <alignment vertical="center"/>
    </xf>
    <xf numFmtId="3" fontId="2" fillId="0" borderId="8" xfId="3" applyNumberFormat="1" applyFont="1" applyFill="1" applyBorder="1" applyAlignment="1">
      <alignment vertical="center"/>
    </xf>
    <xf numFmtId="3" fontId="2" fillId="0" borderId="44" xfId="3" applyNumberFormat="1" applyFont="1" applyFill="1" applyBorder="1" applyAlignment="1">
      <alignment vertical="center"/>
    </xf>
    <xf numFmtId="3" fontId="2" fillId="0" borderId="9" xfId="3" applyNumberFormat="1" applyFont="1" applyFill="1" applyBorder="1" applyAlignment="1">
      <alignment vertical="center"/>
    </xf>
    <xf numFmtId="3" fontId="3" fillId="2" borderId="14" xfId="3" applyNumberFormat="1" applyFont="1" applyFill="1" applyBorder="1" applyAlignment="1">
      <alignment vertical="center"/>
    </xf>
    <xf numFmtId="3" fontId="3" fillId="2" borderId="41" xfId="3" applyNumberFormat="1" applyFont="1" applyFill="1" applyBorder="1" applyAlignment="1">
      <alignment vertical="center"/>
    </xf>
    <xf numFmtId="3" fontId="3" fillId="0" borderId="15" xfId="3" applyNumberFormat="1" applyFont="1" applyFill="1" applyBorder="1" applyAlignment="1">
      <alignment vertical="center"/>
    </xf>
    <xf numFmtId="3" fontId="3" fillId="0" borderId="16" xfId="3" applyNumberFormat="1" applyFont="1" applyFill="1" applyBorder="1" applyAlignment="1">
      <alignment vertical="center"/>
    </xf>
    <xf numFmtId="3" fontId="3" fillId="2" borderId="28" xfId="3" applyNumberFormat="1" applyFont="1" applyFill="1" applyBorder="1" applyAlignment="1">
      <alignment vertical="center"/>
    </xf>
    <xf numFmtId="3" fontId="3" fillId="2" borderId="39" xfId="3" applyNumberFormat="1" applyFont="1" applyFill="1" applyBorder="1" applyAlignment="1">
      <alignment vertical="center"/>
    </xf>
    <xf numFmtId="3" fontId="3" fillId="2" borderId="29" xfId="3" applyNumberFormat="1" applyFont="1" applyFill="1" applyBorder="1" applyAlignment="1">
      <alignment vertical="center"/>
    </xf>
    <xf numFmtId="3" fontId="3" fillId="0" borderId="29" xfId="3" applyNumberFormat="1" applyFont="1" applyFill="1" applyBorder="1" applyAlignment="1">
      <alignment vertical="center"/>
    </xf>
    <xf numFmtId="3" fontId="3" fillId="0" borderId="46" xfId="3" applyNumberFormat="1" applyFont="1" applyFill="1" applyBorder="1" applyAlignment="1">
      <alignment vertical="center"/>
    </xf>
    <xf numFmtId="3" fontId="3" fillId="2" borderId="31" xfId="3" applyNumberFormat="1" applyFont="1" applyFill="1" applyBorder="1" applyAlignment="1">
      <alignment vertical="center"/>
    </xf>
    <xf numFmtId="3" fontId="3" fillId="2" borderId="42" xfId="3" applyNumberFormat="1" applyFont="1" applyFill="1" applyBorder="1" applyAlignment="1">
      <alignment vertical="center"/>
    </xf>
    <xf numFmtId="3" fontId="3" fillId="0" borderId="32" xfId="3" applyNumberFormat="1" applyFont="1" applyFill="1" applyBorder="1" applyAlignment="1">
      <alignment vertical="center"/>
    </xf>
    <xf numFmtId="3" fontId="3" fillId="0" borderId="47" xfId="3" applyNumberFormat="1" applyFont="1" applyFill="1" applyBorder="1" applyAlignment="1">
      <alignment vertical="center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20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3" fontId="3" fillId="0" borderId="59" xfId="3" applyNumberFormat="1" applyFont="1" applyFill="1" applyBorder="1" applyAlignment="1">
      <alignment vertical="center"/>
    </xf>
    <xf numFmtId="3" fontId="3" fillId="0" borderId="58" xfId="3" applyNumberFormat="1" applyFont="1" applyFill="1" applyBorder="1" applyAlignment="1">
      <alignment vertical="center"/>
    </xf>
    <xf numFmtId="3" fontId="3" fillId="0" borderId="60" xfId="3" applyNumberFormat="1" applyFont="1" applyFill="1" applyBorder="1" applyAlignment="1">
      <alignment vertical="center"/>
    </xf>
    <xf numFmtId="3" fontId="3" fillId="0" borderId="62" xfId="3" applyNumberFormat="1" applyFont="1" applyFill="1" applyBorder="1" applyAlignment="1">
      <alignment vertical="center"/>
    </xf>
    <xf numFmtId="3" fontId="3" fillId="0" borderId="61" xfId="3" applyNumberFormat="1" applyFont="1" applyFill="1" applyBorder="1" applyAlignment="1">
      <alignment vertical="center"/>
    </xf>
    <xf numFmtId="3" fontId="3" fillId="0" borderId="63" xfId="3" applyNumberFormat="1" applyFont="1" applyFill="1" applyBorder="1" applyAlignment="1">
      <alignment vertical="center"/>
    </xf>
    <xf numFmtId="3" fontId="3" fillId="0" borderId="30" xfId="3" applyNumberFormat="1" applyFont="1" applyFill="1" applyBorder="1" applyAlignment="1">
      <alignment vertical="center"/>
    </xf>
    <xf numFmtId="3" fontId="3" fillId="0" borderId="64" xfId="3" applyNumberFormat="1" applyFont="1" applyFill="1" applyBorder="1" applyAlignment="1">
      <alignment vertical="center"/>
    </xf>
    <xf numFmtId="3" fontId="3" fillId="0" borderId="33" xfId="3" applyNumberFormat="1" applyFont="1" applyFill="1" applyBorder="1" applyAlignment="1">
      <alignment vertical="center"/>
    </xf>
    <xf numFmtId="3" fontId="3" fillId="0" borderId="65" xfId="3" applyNumberFormat="1" applyFont="1" applyFill="1" applyBorder="1" applyAlignment="1">
      <alignment vertical="center"/>
    </xf>
    <xf numFmtId="3" fontId="3" fillId="0" borderId="66" xfId="3" applyNumberFormat="1" applyFont="1" applyFill="1" applyBorder="1" applyAlignment="1">
      <alignment vertical="center"/>
    </xf>
    <xf numFmtId="0" fontId="2" fillId="0" borderId="20" xfId="1" applyFont="1" applyBorder="1" applyAlignment="1">
      <alignment horizontal="center" vertical="center" wrapText="1"/>
    </xf>
    <xf numFmtId="0" fontId="3" fillId="0" borderId="23" xfId="1" applyFont="1" applyBorder="1" applyAlignment="1">
      <alignment horizontal="center" vertical="center" wrapText="1"/>
    </xf>
    <xf numFmtId="0" fontId="3" fillId="0" borderId="24" xfId="1" applyFont="1" applyBorder="1" applyAlignment="1">
      <alignment horizontal="center" vertical="center" wrapText="1"/>
    </xf>
    <xf numFmtId="0" fontId="3" fillId="0" borderId="14" xfId="1" applyFont="1" applyBorder="1" applyAlignment="1">
      <alignment horizontal="center" vertical="center" wrapText="1"/>
    </xf>
    <xf numFmtId="0" fontId="3" fillId="0" borderId="17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/>
    </xf>
    <xf numFmtId="165" fontId="2" fillId="0" borderId="2" xfId="1" applyNumberFormat="1" applyFont="1" applyBorder="1" applyAlignment="1">
      <alignment horizontal="center" vertical="center"/>
    </xf>
    <xf numFmtId="165" fontId="2" fillId="0" borderId="3" xfId="1" applyNumberFormat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 wrapText="1"/>
    </xf>
    <xf numFmtId="0" fontId="2" fillId="0" borderId="26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</cellXfs>
  <cellStyles count="4">
    <cellStyle name="Comma" xfId="3" builtinId="3"/>
    <cellStyle name="Comma 3" xfId="2" xr:uid="{00000000-0005-0000-0000-000001000000}"/>
    <cellStyle name="Normal" xfId="0" builtinId="0"/>
    <cellStyle name="Normal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Y82"/>
  <sheetViews>
    <sheetView view="pageBreakPreview" zoomScale="70" zoomScaleNormal="115" zoomScaleSheetLayoutView="70" zoomScalePageLayoutView="80" workbookViewId="0">
      <pane xSplit="2" ySplit="5" topLeftCell="C6" activePane="bottomRight" state="frozen"/>
      <selection activeCell="I59" sqref="I59:L59"/>
      <selection pane="topRight" activeCell="I59" sqref="I59:L59"/>
      <selection pane="bottomLeft" activeCell="I59" sqref="I59:L59"/>
      <selection pane="bottomRight" activeCell="C9" sqref="C9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12.140625" style="2" bestFit="1" customWidth="1"/>
    <col min="5" max="5" width="9.85546875" style="2" customWidth="1"/>
    <col min="6" max="6" width="11" style="2" customWidth="1"/>
    <col min="7" max="7" width="12.7109375" style="2" customWidth="1"/>
    <col min="8" max="8" width="1.28515625" style="2" customWidth="1"/>
    <col min="9" max="9" width="11.5703125" style="2" bestFit="1" customWidth="1"/>
    <col min="10" max="10" width="11" style="2" bestFit="1" customWidth="1"/>
    <col min="11" max="12" width="12.140625" style="2" customWidth="1"/>
    <col min="13" max="13" width="1.28515625" style="2" customWidth="1"/>
    <col min="14" max="14" width="12.7109375" style="2" bestFit="1" customWidth="1"/>
    <col min="15" max="15" width="11" style="2" bestFit="1" customWidth="1"/>
    <col min="16" max="16" width="2" style="2" customWidth="1"/>
    <col min="17" max="17" width="10.5703125" style="2" bestFit="1" customWidth="1"/>
    <col min="18" max="46" width="7.28515625" style="2" customWidth="1"/>
    <col min="47" max="47" width="1.5703125" style="2" customWidth="1"/>
    <col min="48" max="48" width="9.42578125" style="2" customWidth="1"/>
    <col min="49" max="49" width="1.28515625" style="2" customWidth="1"/>
    <col min="50" max="50" width="12.7109375" style="2" bestFit="1" customWidth="1"/>
    <col min="51" max="51" width="10.28515625" style="2" bestFit="1" customWidth="1"/>
    <col min="52" max="16384" width="9.140625" style="2"/>
  </cols>
  <sheetData>
    <row r="1" spans="1:51" ht="19.5" thickBot="1" x14ac:dyDescent="0.3">
      <c r="B1" s="1" t="s">
        <v>0</v>
      </c>
      <c r="J1" s="2" t="s">
        <v>1</v>
      </c>
      <c r="K1" s="143"/>
      <c r="L1" s="144"/>
      <c r="M1" s="144"/>
      <c r="N1" s="144"/>
      <c r="O1" s="145"/>
    </row>
    <row r="2" spans="1:51" ht="15" customHeight="1" x14ac:dyDescent="0.25">
      <c r="B2" s="1" t="s">
        <v>2</v>
      </c>
      <c r="G2" s="1"/>
      <c r="H2" s="1"/>
      <c r="I2" s="1"/>
      <c r="J2" s="1"/>
      <c r="K2" s="1"/>
      <c r="L2" s="1"/>
      <c r="M2" s="1"/>
      <c r="N2" s="1"/>
      <c r="O2" s="1"/>
    </row>
    <row r="3" spans="1:51" ht="19.5" thickBot="1" x14ac:dyDescent="0.3"/>
    <row r="4" spans="1:51" ht="19.5" customHeight="1" thickBot="1" x14ac:dyDescent="0.3">
      <c r="A4" s="53"/>
      <c r="B4" s="137" t="s">
        <v>74</v>
      </c>
      <c r="C4" s="146" t="s">
        <v>3</v>
      </c>
      <c r="D4" s="147" t="s">
        <v>4</v>
      </c>
      <c r="E4" s="148"/>
      <c r="F4" s="149" t="s">
        <v>5</v>
      </c>
      <c r="G4" s="151" t="s">
        <v>6</v>
      </c>
      <c r="I4" s="153" t="s">
        <v>7</v>
      </c>
      <c r="J4" s="154"/>
      <c r="K4" s="154"/>
      <c r="L4" s="154"/>
      <c r="M4" s="154"/>
      <c r="N4" s="154"/>
      <c r="O4" s="155"/>
    </row>
    <row r="5" spans="1:51" s="3" customFormat="1" ht="38.25" thickBot="1" x14ac:dyDescent="0.3">
      <c r="A5" s="53"/>
      <c r="B5" s="137"/>
      <c r="C5" s="146"/>
      <c r="D5" s="52" t="s">
        <v>8</v>
      </c>
      <c r="E5" s="51" t="s">
        <v>9</v>
      </c>
      <c r="F5" s="150"/>
      <c r="G5" s="152"/>
      <c r="I5" s="4" t="s">
        <v>10</v>
      </c>
      <c r="J5" s="5" t="s">
        <v>11</v>
      </c>
      <c r="K5" s="5" t="s">
        <v>12</v>
      </c>
      <c r="L5" s="6" t="s">
        <v>13</v>
      </c>
      <c r="M5" s="7"/>
      <c r="N5" s="8"/>
      <c r="O5" s="6" t="s">
        <v>14</v>
      </c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</row>
    <row r="6" spans="1:51" s="3" customFormat="1" x14ac:dyDescent="0.25">
      <c r="B6" s="10"/>
      <c r="C6" s="28"/>
      <c r="D6" s="27"/>
      <c r="E6" s="27"/>
      <c r="F6" s="29"/>
      <c r="G6" s="30"/>
      <c r="H6" s="44"/>
      <c r="I6" s="27"/>
      <c r="J6" s="27"/>
      <c r="K6" s="27"/>
      <c r="L6" s="30"/>
      <c r="M6" s="44"/>
      <c r="N6" s="28"/>
      <c r="O6" s="30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</row>
    <row r="7" spans="1:51" s="3" customFormat="1" x14ac:dyDescent="0.25">
      <c r="B7" s="10"/>
      <c r="C7" s="28"/>
      <c r="D7" s="27"/>
      <c r="E7" s="27"/>
      <c r="F7" s="29"/>
      <c r="G7" s="30"/>
      <c r="H7" s="44"/>
      <c r="I7" s="27"/>
      <c r="J7" s="27"/>
      <c r="K7" s="27"/>
      <c r="L7" s="30"/>
      <c r="M7" s="44"/>
      <c r="N7" s="28"/>
      <c r="O7" s="30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</row>
    <row r="8" spans="1:51" x14ac:dyDescent="0.25">
      <c r="A8" s="3">
        <v>1</v>
      </c>
      <c r="B8" s="10" t="s">
        <v>46</v>
      </c>
      <c r="C8" s="28"/>
      <c r="D8" s="27"/>
      <c r="E8" s="27"/>
      <c r="F8" s="29"/>
      <c r="G8" s="30"/>
      <c r="H8" s="44"/>
      <c r="I8" s="27"/>
      <c r="J8" s="27"/>
      <c r="K8" s="27"/>
      <c r="L8" s="30"/>
      <c r="M8" s="44"/>
      <c r="N8" s="28"/>
      <c r="O8" s="30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</row>
    <row r="9" spans="1:51" ht="19.5" thickBot="1" x14ac:dyDescent="0.3">
      <c r="A9" s="3">
        <f t="shared" ref="A9:A51" si="0">A8+1</f>
        <v>2</v>
      </c>
      <c r="B9" s="54" t="s">
        <v>49</v>
      </c>
      <c r="C9" s="55"/>
      <c r="D9" s="56"/>
      <c r="E9" s="56"/>
      <c r="F9" s="57"/>
      <c r="G9" s="58"/>
      <c r="H9" s="64"/>
      <c r="I9" s="65"/>
      <c r="J9" s="65"/>
      <c r="K9" s="65"/>
      <c r="L9" s="66"/>
      <c r="M9" s="64"/>
      <c r="N9" s="67"/>
      <c r="O9" s="66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</row>
    <row r="10" spans="1:51" x14ac:dyDescent="0.25">
      <c r="A10" s="3">
        <f t="shared" si="0"/>
        <v>3</v>
      </c>
      <c r="B10" s="10" t="s">
        <v>47</v>
      </c>
      <c r="C10" s="28"/>
      <c r="D10" s="27"/>
      <c r="E10" s="27"/>
      <c r="F10" s="29"/>
      <c r="G10" s="30"/>
      <c r="H10" s="44"/>
      <c r="I10" s="27"/>
      <c r="J10" s="27"/>
      <c r="K10" s="27"/>
      <c r="L10" s="30"/>
      <c r="M10" s="44"/>
      <c r="N10" s="28"/>
      <c r="O10" s="30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</row>
    <row r="11" spans="1:51" x14ac:dyDescent="0.25">
      <c r="A11" s="3">
        <f t="shared" si="0"/>
        <v>4</v>
      </c>
      <c r="B11" s="13" t="s">
        <v>50</v>
      </c>
      <c r="C11" s="28"/>
      <c r="D11" s="27"/>
      <c r="E11" s="27"/>
      <c r="F11" s="29"/>
      <c r="G11" s="30"/>
      <c r="H11" s="44"/>
      <c r="I11" s="27"/>
      <c r="J11" s="27"/>
      <c r="K11" s="27"/>
      <c r="L11" s="30"/>
      <c r="M11" s="44"/>
      <c r="N11" s="28"/>
      <c r="O11" s="30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</row>
    <row r="12" spans="1:51" x14ac:dyDescent="0.25">
      <c r="A12" s="3">
        <f t="shared" si="0"/>
        <v>5</v>
      </c>
      <c r="B12" s="13" t="s">
        <v>48</v>
      </c>
      <c r="C12" s="28"/>
      <c r="D12" s="27"/>
      <c r="E12" s="27"/>
      <c r="F12" s="29"/>
      <c r="G12" s="30"/>
      <c r="H12" s="44"/>
      <c r="I12" s="27"/>
      <c r="J12" s="27"/>
      <c r="K12" s="27"/>
      <c r="L12" s="30"/>
      <c r="M12" s="44"/>
      <c r="N12" s="28"/>
      <c r="O12" s="30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</row>
    <row r="13" spans="1:51" s="1" customFormat="1" ht="19.5" thickBot="1" x14ac:dyDescent="0.3">
      <c r="A13" s="3">
        <v>7</v>
      </c>
      <c r="B13" s="54" t="s">
        <v>44</v>
      </c>
      <c r="C13" s="55"/>
      <c r="D13" s="56"/>
      <c r="E13" s="56"/>
      <c r="F13" s="57"/>
      <c r="G13" s="58"/>
      <c r="H13" s="68"/>
      <c r="I13" s="65"/>
      <c r="J13" s="65"/>
      <c r="K13" s="65"/>
      <c r="L13" s="66"/>
      <c r="M13" s="68"/>
      <c r="N13" s="67"/>
      <c r="O13" s="66"/>
      <c r="P13" s="2"/>
      <c r="U13" s="2"/>
      <c r="X13" s="2"/>
      <c r="Y13" s="2"/>
      <c r="Z13" s="2"/>
      <c r="AA13" s="2"/>
      <c r="AB13" s="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</row>
    <row r="14" spans="1:51" x14ac:dyDescent="0.25">
      <c r="A14" s="3">
        <v>11</v>
      </c>
      <c r="B14" s="10" t="s">
        <v>15</v>
      </c>
      <c r="C14" s="28"/>
      <c r="D14" s="27"/>
      <c r="E14" s="27"/>
      <c r="F14" s="29"/>
      <c r="G14" s="30"/>
      <c r="H14" s="44"/>
      <c r="I14" s="27"/>
      <c r="J14" s="27"/>
      <c r="K14" s="27"/>
      <c r="L14" s="30"/>
      <c r="M14" s="44"/>
      <c r="N14" s="28"/>
      <c r="O14" s="30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</row>
    <row r="15" spans="1:51" x14ac:dyDescent="0.25">
      <c r="A15" s="3">
        <f t="shared" si="0"/>
        <v>12</v>
      </c>
      <c r="B15" s="13" t="s">
        <v>16</v>
      </c>
      <c r="C15" s="28"/>
      <c r="D15" s="27"/>
      <c r="E15" s="27"/>
      <c r="F15" s="29"/>
      <c r="G15" s="30"/>
      <c r="H15" s="44"/>
      <c r="I15" s="27"/>
      <c r="J15" s="27"/>
      <c r="K15" s="27"/>
      <c r="L15" s="30"/>
      <c r="M15" s="44"/>
      <c r="N15" s="28"/>
      <c r="O15" s="30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</row>
    <row r="16" spans="1:51" x14ac:dyDescent="0.25">
      <c r="A16" s="3">
        <f t="shared" si="0"/>
        <v>13</v>
      </c>
      <c r="B16" s="13" t="s">
        <v>17</v>
      </c>
      <c r="C16" s="28"/>
      <c r="D16" s="27"/>
      <c r="E16" s="27"/>
      <c r="F16" s="29"/>
      <c r="G16" s="30"/>
      <c r="H16" s="44"/>
      <c r="I16" s="27"/>
      <c r="J16" s="27"/>
      <c r="K16" s="27"/>
      <c r="L16" s="30"/>
      <c r="M16" s="44"/>
      <c r="N16" s="28"/>
      <c r="O16" s="30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</row>
    <row r="17" spans="1:51" x14ac:dyDescent="0.25">
      <c r="A17" s="3">
        <f t="shared" si="0"/>
        <v>14</v>
      </c>
      <c r="B17" s="13" t="s">
        <v>18</v>
      </c>
      <c r="C17" s="28"/>
      <c r="D17" s="27"/>
      <c r="E17" s="27"/>
      <c r="F17" s="29"/>
      <c r="G17" s="30"/>
      <c r="H17" s="44"/>
      <c r="I17" s="27"/>
      <c r="J17" s="27"/>
      <c r="K17" s="27"/>
      <c r="L17" s="30"/>
      <c r="M17" s="44"/>
      <c r="N17" s="28"/>
      <c r="O17" s="30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</row>
    <row r="18" spans="1:51" x14ac:dyDescent="0.25">
      <c r="A18" s="3">
        <f t="shared" si="0"/>
        <v>15</v>
      </c>
      <c r="B18" s="13" t="s">
        <v>19</v>
      </c>
      <c r="C18" s="28"/>
      <c r="D18" s="27"/>
      <c r="E18" s="27"/>
      <c r="F18" s="29"/>
      <c r="G18" s="30"/>
      <c r="H18" s="44"/>
      <c r="I18" s="27"/>
      <c r="J18" s="27"/>
      <c r="K18" s="27"/>
      <c r="L18" s="30"/>
      <c r="M18" s="44"/>
      <c r="N18" s="28"/>
      <c r="O18" s="30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</row>
    <row r="19" spans="1:51" ht="18.75" hidden="1" customHeight="1" x14ac:dyDescent="0.25">
      <c r="A19" s="3">
        <f t="shared" si="0"/>
        <v>16</v>
      </c>
      <c r="B19" s="13" t="s">
        <v>23</v>
      </c>
      <c r="C19" s="28"/>
      <c r="D19" s="27"/>
      <c r="E19" s="27"/>
      <c r="F19" s="29"/>
      <c r="G19" s="30"/>
      <c r="H19" s="44"/>
      <c r="I19" s="27"/>
      <c r="J19" s="27"/>
      <c r="K19" s="27"/>
      <c r="L19" s="30"/>
      <c r="M19" s="44"/>
      <c r="N19" s="28"/>
      <c r="O19" s="30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</row>
    <row r="20" spans="1:51" x14ac:dyDescent="0.25">
      <c r="A20" s="3">
        <v>16</v>
      </c>
      <c r="B20" s="13" t="s">
        <v>67</v>
      </c>
      <c r="C20" s="28"/>
      <c r="D20" s="27"/>
      <c r="E20" s="27"/>
      <c r="F20" s="29"/>
      <c r="G20" s="30"/>
      <c r="H20" s="44"/>
      <c r="I20" s="27"/>
      <c r="J20" s="27"/>
      <c r="K20" s="27"/>
      <c r="L20" s="30"/>
      <c r="M20" s="44"/>
      <c r="N20" s="28"/>
      <c r="O20" s="30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</row>
    <row r="21" spans="1:51" x14ac:dyDescent="0.25">
      <c r="A21" s="3">
        <f t="shared" si="0"/>
        <v>17</v>
      </c>
      <c r="B21" s="13" t="s">
        <v>20</v>
      </c>
      <c r="C21" s="28"/>
      <c r="D21" s="27"/>
      <c r="E21" s="27"/>
      <c r="F21" s="29"/>
      <c r="G21" s="30"/>
      <c r="H21" s="44"/>
      <c r="I21" s="27"/>
      <c r="J21" s="27"/>
      <c r="K21" s="27"/>
      <c r="L21" s="30"/>
      <c r="M21" s="44"/>
      <c r="N21" s="28"/>
      <c r="O21" s="30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</row>
    <row r="22" spans="1:51" x14ac:dyDescent="0.25">
      <c r="A22" s="3">
        <f t="shared" si="0"/>
        <v>18</v>
      </c>
      <c r="B22" s="13" t="s">
        <v>21</v>
      </c>
      <c r="C22" s="28"/>
      <c r="D22" s="27"/>
      <c r="E22" s="27"/>
      <c r="F22" s="29"/>
      <c r="G22" s="30"/>
      <c r="H22" s="44"/>
      <c r="I22" s="27"/>
      <c r="J22" s="27"/>
      <c r="K22" s="27"/>
      <c r="L22" s="30"/>
      <c r="M22" s="44"/>
      <c r="N22" s="28"/>
      <c r="O22" s="30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</row>
    <row r="23" spans="1:51" s="1" customFormat="1" x14ac:dyDescent="0.25">
      <c r="A23" s="3">
        <f t="shared" si="0"/>
        <v>19</v>
      </c>
      <c r="B23" s="13" t="s">
        <v>68</v>
      </c>
      <c r="C23" s="28"/>
      <c r="D23" s="27"/>
      <c r="E23" s="27"/>
      <c r="F23" s="29"/>
      <c r="G23" s="30"/>
      <c r="H23" s="45"/>
      <c r="I23" s="27"/>
      <c r="J23" s="27"/>
      <c r="K23" s="27"/>
      <c r="L23" s="30"/>
      <c r="M23" s="45"/>
      <c r="N23" s="28"/>
      <c r="O23" s="30"/>
      <c r="P23" s="2"/>
      <c r="U23" s="2"/>
      <c r="X23" s="2"/>
      <c r="Y23" s="2"/>
      <c r="Z23" s="2"/>
      <c r="AA23" s="2"/>
      <c r="AB23" s="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</row>
    <row r="24" spans="1:51" s="1" customFormat="1" x14ac:dyDescent="0.25">
      <c r="A24" s="3">
        <f t="shared" si="0"/>
        <v>20</v>
      </c>
      <c r="B24" s="13" t="s">
        <v>69</v>
      </c>
      <c r="C24" s="28"/>
      <c r="D24" s="27"/>
      <c r="E24" s="27"/>
      <c r="F24" s="29"/>
      <c r="G24" s="30"/>
      <c r="H24" s="45"/>
      <c r="I24" s="27"/>
      <c r="J24" s="27"/>
      <c r="K24" s="27"/>
      <c r="L24" s="30"/>
      <c r="M24" s="45"/>
      <c r="N24" s="28"/>
      <c r="O24" s="30"/>
      <c r="P24" s="2"/>
      <c r="U24" s="2"/>
      <c r="X24" s="2"/>
      <c r="Y24" s="2"/>
      <c r="Z24" s="2"/>
      <c r="AA24" s="2"/>
      <c r="AB24" s="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</row>
    <row r="25" spans="1:51" x14ac:dyDescent="0.25">
      <c r="A25" s="3">
        <f t="shared" si="0"/>
        <v>21</v>
      </c>
      <c r="B25" s="13" t="s">
        <v>70</v>
      </c>
      <c r="C25" s="28"/>
      <c r="D25" s="27"/>
      <c r="E25" s="27"/>
      <c r="F25" s="29"/>
      <c r="G25" s="30"/>
      <c r="H25" s="44"/>
      <c r="I25" s="27"/>
      <c r="J25" s="27"/>
      <c r="K25" s="27"/>
      <c r="L25" s="30"/>
      <c r="M25" s="44"/>
      <c r="N25" s="28"/>
      <c r="O25" s="30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</row>
    <row r="26" spans="1:51" x14ac:dyDescent="0.25">
      <c r="A26" s="3">
        <f t="shared" si="0"/>
        <v>22</v>
      </c>
      <c r="B26" s="13" t="s">
        <v>22</v>
      </c>
      <c r="C26" s="28"/>
      <c r="D26" s="27"/>
      <c r="E26" s="27"/>
      <c r="F26" s="29"/>
      <c r="G26" s="30"/>
      <c r="H26" s="44"/>
      <c r="I26" s="27"/>
      <c r="J26" s="27"/>
      <c r="K26" s="27"/>
      <c r="L26" s="30"/>
      <c r="M26" s="44"/>
      <c r="N26" s="28"/>
      <c r="O26" s="30"/>
      <c r="AV26" s="14" t="e">
        <f>#REF!-AV25</f>
        <v>#REF!</v>
      </c>
    </row>
    <row r="27" spans="1:51" s="1" customFormat="1" x14ac:dyDescent="0.25">
      <c r="A27" s="3">
        <f t="shared" si="0"/>
        <v>23</v>
      </c>
      <c r="B27" s="13" t="s">
        <v>24</v>
      </c>
      <c r="C27" s="28"/>
      <c r="D27" s="27"/>
      <c r="E27" s="27"/>
      <c r="F27" s="29"/>
      <c r="G27" s="30"/>
      <c r="H27" s="45"/>
      <c r="I27" s="27"/>
      <c r="J27" s="27"/>
      <c r="K27" s="27"/>
      <c r="L27" s="30"/>
      <c r="M27" s="45"/>
      <c r="N27" s="28"/>
      <c r="O27" s="30"/>
      <c r="P27" s="2"/>
      <c r="U27" s="2"/>
      <c r="X27" s="2"/>
      <c r="Y27" s="2"/>
      <c r="Z27" s="2"/>
      <c r="AA27" s="2"/>
      <c r="AB27" s="2"/>
    </row>
    <row r="28" spans="1:51" s="1" customFormat="1" x14ac:dyDescent="0.25">
      <c r="A28" s="3">
        <f t="shared" si="0"/>
        <v>24</v>
      </c>
      <c r="B28" s="13" t="s">
        <v>25</v>
      </c>
      <c r="C28" s="28"/>
      <c r="D28" s="27"/>
      <c r="E28" s="27"/>
      <c r="F28" s="29"/>
      <c r="G28" s="30"/>
      <c r="H28" s="45"/>
      <c r="I28" s="27"/>
      <c r="J28" s="27"/>
      <c r="K28" s="27"/>
      <c r="L28" s="30"/>
      <c r="M28" s="45"/>
      <c r="N28" s="28"/>
      <c r="O28" s="30"/>
      <c r="P28" s="2"/>
      <c r="U28" s="2"/>
      <c r="X28" s="2"/>
      <c r="Y28" s="2"/>
      <c r="Z28" s="2"/>
      <c r="AA28" s="2"/>
      <c r="AB28" s="2"/>
    </row>
    <row r="29" spans="1:51" x14ac:dyDescent="0.25">
      <c r="A29" s="3">
        <f t="shared" si="0"/>
        <v>25</v>
      </c>
      <c r="B29" s="13" t="s">
        <v>27</v>
      </c>
      <c r="C29" s="28"/>
      <c r="D29" s="27"/>
      <c r="E29" s="27"/>
      <c r="F29" s="29"/>
      <c r="G29" s="30"/>
      <c r="H29" s="44"/>
      <c r="I29" s="27"/>
      <c r="J29" s="27"/>
      <c r="K29" s="27"/>
      <c r="L29" s="30"/>
      <c r="M29" s="44"/>
      <c r="N29" s="28"/>
      <c r="O29" s="30"/>
    </row>
    <row r="30" spans="1:51" x14ac:dyDescent="0.25">
      <c r="A30" s="3">
        <f t="shared" si="0"/>
        <v>26</v>
      </c>
      <c r="B30" s="13" t="s">
        <v>29</v>
      </c>
      <c r="C30" s="28"/>
      <c r="D30" s="27"/>
      <c r="E30" s="27"/>
      <c r="F30" s="29"/>
      <c r="G30" s="30"/>
      <c r="H30" s="44"/>
      <c r="I30" s="27"/>
      <c r="J30" s="27"/>
      <c r="K30" s="27"/>
      <c r="L30" s="30"/>
      <c r="M30" s="44"/>
      <c r="N30" s="28"/>
      <c r="O30" s="30"/>
    </row>
    <row r="31" spans="1:51" x14ac:dyDescent="0.25">
      <c r="A31" s="3">
        <f t="shared" si="0"/>
        <v>27</v>
      </c>
      <c r="B31" s="13" t="s">
        <v>26</v>
      </c>
      <c r="C31" s="28"/>
      <c r="D31" s="27"/>
      <c r="E31" s="27"/>
      <c r="F31" s="29"/>
      <c r="G31" s="30"/>
      <c r="H31" s="44"/>
      <c r="I31" s="27"/>
      <c r="J31" s="27"/>
      <c r="K31" s="27"/>
      <c r="L31" s="30"/>
      <c r="M31" s="44"/>
      <c r="N31" s="28"/>
      <c r="O31" s="30"/>
    </row>
    <row r="32" spans="1:51" x14ac:dyDescent="0.25">
      <c r="A32" s="3">
        <f t="shared" si="0"/>
        <v>28</v>
      </c>
      <c r="B32" s="13" t="s">
        <v>28</v>
      </c>
      <c r="C32" s="28"/>
      <c r="D32" s="27"/>
      <c r="E32" s="27"/>
      <c r="F32" s="29"/>
      <c r="G32" s="30"/>
      <c r="H32" s="44"/>
      <c r="I32" s="27"/>
      <c r="J32" s="27"/>
      <c r="K32" s="27"/>
      <c r="L32" s="30"/>
      <c r="M32" s="44"/>
      <c r="N32" s="28"/>
      <c r="O32" s="30"/>
    </row>
    <row r="33" spans="1:17" x14ac:dyDescent="0.25">
      <c r="A33" s="3">
        <f t="shared" si="0"/>
        <v>29</v>
      </c>
      <c r="B33" s="13" t="s">
        <v>30</v>
      </c>
      <c r="C33" s="28"/>
      <c r="D33" s="27"/>
      <c r="E33" s="27"/>
      <c r="F33" s="29"/>
      <c r="G33" s="30"/>
      <c r="H33" s="44"/>
      <c r="I33" s="27"/>
      <c r="J33" s="27"/>
      <c r="K33" s="27"/>
      <c r="L33" s="30"/>
      <c r="M33" s="44"/>
      <c r="N33" s="28"/>
      <c r="O33" s="30"/>
    </row>
    <row r="34" spans="1:17" x14ac:dyDescent="0.25">
      <c r="A34" s="3">
        <f t="shared" si="0"/>
        <v>30</v>
      </c>
      <c r="B34" s="13" t="s">
        <v>31</v>
      </c>
      <c r="C34" s="28"/>
      <c r="D34" s="27"/>
      <c r="E34" s="27"/>
      <c r="F34" s="29"/>
      <c r="G34" s="30"/>
      <c r="H34" s="44"/>
      <c r="I34" s="27"/>
      <c r="J34" s="27"/>
      <c r="K34" s="27"/>
      <c r="L34" s="30"/>
      <c r="M34" s="44"/>
      <c r="N34" s="28"/>
      <c r="O34" s="30"/>
    </row>
    <row r="35" spans="1:17" ht="18.75" hidden="1" customHeight="1" x14ac:dyDescent="0.25">
      <c r="A35" s="3">
        <f t="shared" si="0"/>
        <v>31</v>
      </c>
      <c r="B35" s="13" t="s">
        <v>39</v>
      </c>
      <c r="C35" s="28"/>
      <c r="D35" s="27"/>
      <c r="E35" s="27"/>
      <c r="F35" s="29"/>
      <c r="G35" s="30"/>
      <c r="H35" s="44"/>
      <c r="I35" s="27"/>
      <c r="J35" s="27"/>
      <c r="K35" s="27"/>
      <c r="L35" s="30"/>
      <c r="M35" s="44"/>
      <c r="N35" s="28"/>
      <c r="O35" s="30"/>
    </row>
    <row r="36" spans="1:17" ht="18.75" customHeight="1" x14ac:dyDescent="0.25">
      <c r="A36" s="3">
        <v>31</v>
      </c>
      <c r="B36" s="13" t="s">
        <v>32</v>
      </c>
      <c r="C36" s="28"/>
      <c r="D36" s="27"/>
      <c r="E36" s="27"/>
      <c r="F36" s="29"/>
      <c r="G36" s="30"/>
      <c r="H36" s="44"/>
      <c r="I36" s="27"/>
      <c r="J36" s="27"/>
      <c r="K36" s="27"/>
      <c r="L36" s="30"/>
      <c r="M36" s="44"/>
      <c r="N36" s="28"/>
      <c r="O36" s="30"/>
    </row>
    <row r="37" spans="1:17" ht="19.5" thickBot="1" x14ac:dyDescent="0.3">
      <c r="A37" s="3">
        <f t="shared" si="0"/>
        <v>32</v>
      </c>
      <c r="B37" s="54" t="s">
        <v>33</v>
      </c>
      <c r="C37" s="55"/>
      <c r="D37" s="56"/>
      <c r="E37" s="56"/>
      <c r="F37" s="57"/>
      <c r="G37" s="58"/>
      <c r="H37" s="64"/>
      <c r="I37" s="65"/>
      <c r="J37" s="65"/>
      <c r="K37" s="65"/>
      <c r="L37" s="66"/>
      <c r="M37" s="64"/>
      <c r="N37" s="67"/>
      <c r="O37" s="66"/>
    </row>
    <row r="38" spans="1:17" x14ac:dyDescent="0.25">
      <c r="A38" s="3">
        <f t="shared" si="0"/>
        <v>33</v>
      </c>
      <c r="B38" s="10" t="s">
        <v>34</v>
      </c>
      <c r="C38" s="28"/>
      <c r="D38" s="27"/>
      <c r="E38" s="27"/>
      <c r="F38" s="29"/>
      <c r="G38" s="30"/>
      <c r="H38" s="44"/>
      <c r="I38" s="27"/>
      <c r="J38" s="27"/>
      <c r="K38" s="27"/>
      <c r="L38" s="30"/>
      <c r="M38" s="44"/>
      <c r="N38" s="28"/>
      <c r="O38" s="30"/>
    </row>
    <row r="39" spans="1:17" ht="19.5" thickBot="1" x14ac:dyDescent="0.3">
      <c r="A39" s="3">
        <f>A38+1</f>
        <v>34</v>
      </c>
      <c r="B39" s="54" t="s">
        <v>35</v>
      </c>
      <c r="C39" s="55"/>
      <c r="D39" s="56"/>
      <c r="E39" s="56"/>
      <c r="F39" s="57"/>
      <c r="G39" s="58"/>
      <c r="H39" s="64"/>
      <c r="I39" s="65"/>
      <c r="J39" s="65"/>
      <c r="K39" s="65"/>
      <c r="L39" s="66"/>
      <c r="M39" s="64"/>
      <c r="N39" s="67"/>
      <c r="O39" s="66"/>
    </row>
    <row r="40" spans="1:17" ht="19.5" thickBot="1" x14ac:dyDescent="0.3">
      <c r="A40" s="3">
        <f t="shared" si="0"/>
        <v>35</v>
      </c>
      <c r="B40" s="59" t="s">
        <v>36</v>
      </c>
      <c r="C40" s="60"/>
      <c r="D40" s="61"/>
      <c r="E40" s="61"/>
      <c r="F40" s="62"/>
      <c r="G40" s="63"/>
      <c r="H40" s="69"/>
      <c r="I40" s="61"/>
      <c r="J40" s="61"/>
      <c r="K40" s="61"/>
      <c r="L40" s="63"/>
      <c r="M40" s="69"/>
      <c r="N40" s="60"/>
      <c r="O40" s="63"/>
    </row>
    <row r="41" spans="1:17" ht="18.75" hidden="1" customHeight="1" x14ac:dyDescent="0.25">
      <c r="A41" s="3">
        <f t="shared" si="0"/>
        <v>36</v>
      </c>
      <c r="B41" s="10" t="s">
        <v>43</v>
      </c>
      <c r="C41" s="28"/>
      <c r="D41" s="27"/>
      <c r="E41" s="27"/>
      <c r="F41" s="29"/>
      <c r="G41" s="30"/>
      <c r="H41" s="44"/>
      <c r="I41" s="27"/>
      <c r="J41" s="27"/>
      <c r="K41" s="27"/>
      <c r="L41" s="30"/>
      <c r="M41" s="44"/>
      <c r="N41" s="28"/>
      <c r="O41" s="30"/>
    </row>
    <row r="42" spans="1:17" ht="19.5" thickBot="1" x14ac:dyDescent="0.3">
      <c r="A42" s="3">
        <v>36</v>
      </c>
      <c r="B42" s="54" t="s">
        <v>37</v>
      </c>
      <c r="C42" s="55"/>
      <c r="D42" s="56"/>
      <c r="E42" s="56"/>
      <c r="F42" s="57"/>
      <c r="G42" s="58"/>
      <c r="H42" s="64"/>
      <c r="I42" s="65"/>
      <c r="J42" s="65"/>
      <c r="K42" s="65"/>
      <c r="L42" s="66"/>
      <c r="M42" s="64"/>
      <c r="N42" s="67"/>
      <c r="O42" s="66"/>
      <c r="Q42" s="50"/>
    </row>
    <row r="43" spans="1:17" ht="18.75" hidden="1" customHeight="1" x14ac:dyDescent="0.25">
      <c r="A43" s="3">
        <f t="shared" si="0"/>
        <v>37</v>
      </c>
      <c r="B43" s="10" t="s">
        <v>45</v>
      </c>
      <c r="C43" s="28"/>
      <c r="D43" s="27"/>
      <c r="E43" s="27"/>
      <c r="F43" s="29"/>
      <c r="G43" s="30"/>
      <c r="H43" s="44"/>
      <c r="I43" s="27"/>
      <c r="J43" s="27"/>
      <c r="K43" s="27"/>
      <c r="L43" s="30"/>
      <c r="M43" s="44"/>
      <c r="N43" s="28"/>
      <c r="O43" s="30"/>
    </row>
    <row r="44" spans="1:17" x14ac:dyDescent="0.25">
      <c r="A44" s="3">
        <v>37</v>
      </c>
      <c r="B44" s="13" t="s">
        <v>38</v>
      </c>
      <c r="C44" s="28"/>
      <c r="D44" s="27"/>
      <c r="E44" s="27"/>
      <c r="F44" s="29"/>
      <c r="G44" s="30"/>
      <c r="H44" s="44"/>
      <c r="I44" s="27"/>
      <c r="J44" s="27"/>
      <c r="K44" s="27"/>
      <c r="L44" s="30"/>
      <c r="M44" s="44"/>
      <c r="N44" s="28"/>
      <c r="O44" s="30"/>
    </row>
    <row r="45" spans="1:17" x14ac:dyDescent="0.25">
      <c r="A45" s="3">
        <f t="shared" si="0"/>
        <v>38</v>
      </c>
      <c r="B45" s="13" t="s">
        <v>71</v>
      </c>
      <c r="C45" s="28"/>
      <c r="D45" s="27"/>
      <c r="E45" s="27"/>
      <c r="F45" s="29"/>
      <c r="G45" s="30"/>
      <c r="H45" s="44"/>
      <c r="I45" s="27"/>
      <c r="J45" s="27"/>
      <c r="K45" s="27"/>
      <c r="L45" s="30"/>
      <c r="M45" s="44"/>
      <c r="N45" s="28"/>
      <c r="O45" s="30"/>
    </row>
    <row r="46" spans="1:17" x14ac:dyDescent="0.25">
      <c r="A46" s="3">
        <f t="shared" si="0"/>
        <v>39</v>
      </c>
      <c r="B46" s="13" t="s">
        <v>39</v>
      </c>
      <c r="C46" s="28"/>
      <c r="D46" s="27"/>
      <c r="E46" s="27"/>
      <c r="F46" s="29"/>
      <c r="G46" s="30"/>
      <c r="H46" s="44"/>
      <c r="I46" s="27"/>
      <c r="J46" s="27"/>
      <c r="K46" s="27"/>
      <c r="L46" s="30"/>
      <c r="M46" s="44"/>
      <c r="N46" s="28"/>
      <c r="O46" s="30"/>
    </row>
    <row r="47" spans="1:17" x14ac:dyDescent="0.25">
      <c r="A47" s="3">
        <f t="shared" si="0"/>
        <v>40</v>
      </c>
      <c r="B47" s="13" t="s">
        <v>72</v>
      </c>
      <c r="C47" s="28"/>
      <c r="D47" s="27"/>
      <c r="E47" s="27"/>
      <c r="F47" s="29"/>
      <c r="G47" s="30"/>
      <c r="H47" s="44"/>
      <c r="I47" s="27"/>
      <c r="J47" s="27"/>
      <c r="K47" s="27"/>
      <c r="L47" s="30"/>
      <c r="M47" s="44"/>
      <c r="N47" s="28"/>
      <c r="O47" s="30"/>
    </row>
    <row r="48" spans="1:17" x14ac:dyDescent="0.25">
      <c r="A48" s="3">
        <f t="shared" si="0"/>
        <v>41</v>
      </c>
      <c r="B48" s="13" t="s">
        <v>40</v>
      </c>
      <c r="C48" s="28"/>
      <c r="D48" s="27"/>
      <c r="E48" s="27"/>
      <c r="F48" s="29"/>
      <c r="G48" s="30"/>
      <c r="H48" s="44"/>
      <c r="I48" s="27"/>
      <c r="J48" s="27"/>
      <c r="K48" s="27"/>
      <c r="L48" s="30"/>
      <c r="M48" s="44"/>
      <c r="N48" s="28"/>
      <c r="O48" s="30"/>
    </row>
    <row r="49" spans="1:15" x14ac:dyDescent="0.25">
      <c r="A49" s="3">
        <f t="shared" si="0"/>
        <v>42</v>
      </c>
      <c r="B49" s="13" t="s">
        <v>73</v>
      </c>
      <c r="C49" s="28"/>
      <c r="D49" s="27"/>
      <c r="E49" s="27"/>
      <c r="F49" s="29"/>
      <c r="G49" s="30"/>
      <c r="H49" s="44"/>
      <c r="I49" s="27"/>
      <c r="J49" s="27"/>
      <c r="K49" s="27"/>
      <c r="L49" s="30"/>
      <c r="M49" s="44"/>
      <c r="N49" s="28"/>
      <c r="O49" s="30"/>
    </row>
    <row r="50" spans="1:15" x14ac:dyDescent="0.25">
      <c r="A50" s="3">
        <f t="shared" si="0"/>
        <v>43</v>
      </c>
      <c r="B50" s="13" t="s">
        <v>41</v>
      </c>
      <c r="C50" s="28"/>
      <c r="D50" s="27"/>
      <c r="E50" s="27"/>
      <c r="F50" s="29"/>
      <c r="G50" s="30"/>
      <c r="H50" s="44"/>
      <c r="I50" s="27"/>
      <c r="J50" s="27"/>
      <c r="K50" s="27"/>
      <c r="L50" s="30"/>
      <c r="M50" s="44"/>
      <c r="N50" s="28"/>
      <c r="O50" s="30"/>
    </row>
    <row r="51" spans="1:15" x14ac:dyDescent="0.25">
      <c r="A51" s="3">
        <f t="shared" si="0"/>
        <v>44</v>
      </c>
      <c r="B51" s="13" t="s">
        <v>42</v>
      </c>
      <c r="C51" s="28"/>
      <c r="D51" s="27"/>
      <c r="E51" s="27"/>
      <c r="F51" s="29"/>
      <c r="G51" s="30"/>
      <c r="H51" s="44"/>
      <c r="I51" s="27"/>
      <c r="J51" s="27"/>
      <c r="K51" s="27"/>
      <c r="L51" s="30"/>
      <c r="M51" s="44"/>
      <c r="N51" s="28"/>
      <c r="O51" s="30"/>
    </row>
    <row r="52" spans="1:15" s="1" customFormat="1" ht="19.5" thickBot="1" x14ac:dyDescent="0.3">
      <c r="B52" s="15" t="s">
        <v>13</v>
      </c>
      <c r="C52" s="46"/>
      <c r="D52" s="47"/>
      <c r="E52" s="47"/>
      <c r="F52" s="31"/>
      <c r="G52" s="48"/>
      <c r="H52" s="49"/>
      <c r="I52" s="47"/>
      <c r="J52" s="47"/>
      <c r="K52" s="47"/>
      <c r="L52" s="48"/>
      <c r="M52" s="49"/>
      <c r="N52" s="46"/>
      <c r="O52" s="48"/>
    </row>
    <row r="53" spans="1:15" ht="19.5" thickBot="1" x14ac:dyDescent="0.3"/>
    <row r="54" spans="1:15" ht="18.75" customHeight="1" x14ac:dyDescent="0.25">
      <c r="F54" s="138" t="s">
        <v>65</v>
      </c>
      <c r="G54" s="24" t="s">
        <v>66</v>
      </c>
      <c r="I54" s="33"/>
      <c r="J54" s="34"/>
      <c r="K54" s="34"/>
      <c r="L54" s="35"/>
    </row>
    <row r="55" spans="1:15" x14ac:dyDescent="0.25">
      <c r="F55" s="139"/>
      <c r="G55" s="25" t="s">
        <v>51</v>
      </c>
      <c r="I55" s="36"/>
      <c r="J55" s="37"/>
      <c r="K55" s="37"/>
      <c r="L55" s="38"/>
    </row>
    <row r="56" spans="1:15" x14ac:dyDescent="0.25">
      <c r="F56" s="140"/>
      <c r="G56" s="25" t="s">
        <v>52</v>
      </c>
      <c r="I56" s="39"/>
      <c r="J56" s="40"/>
      <c r="K56" s="40"/>
      <c r="L56" s="41"/>
    </row>
    <row r="57" spans="1:15" x14ac:dyDescent="0.25">
      <c r="F57" s="141" t="s">
        <v>64</v>
      </c>
      <c r="G57" s="25" t="s">
        <v>66</v>
      </c>
      <c r="I57" s="39"/>
      <c r="J57" s="40"/>
      <c r="K57" s="40"/>
      <c r="L57" s="41"/>
    </row>
    <row r="58" spans="1:15" x14ac:dyDescent="0.25">
      <c r="F58" s="141"/>
      <c r="G58" s="25" t="s">
        <v>51</v>
      </c>
      <c r="I58" s="36"/>
      <c r="J58" s="37"/>
      <c r="K58" s="37"/>
      <c r="L58" s="38"/>
    </row>
    <row r="59" spans="1:15" ht="19.5" thickBot="1" x14ac:dyDescent="0.3">
      <c r="F59" s="142"/>
      <c r="G59" s="26" t="s">
        <v>52</v>
      </c>
      <c r="I59" s="42"/>
      <c r="J59" s="43"/>
      <c r="K59" s="43"/>
      <c r="L59" s="32"/>
    </row>
    <row r="60" spans="1:15" ht="19.5" thickBot="1" x14ac:dyDescent="0.3"/>
    <row r="61" spans="1:15" ht="57" thickBot="1" x14ac:dyDescent="0.3">
      <c r="B61" s="17" t="s">
        <v>53</v>
      </c>
      <c r="C61" s="18" t="s">
        <v>3</v>
      </c>
      <c r="D61" s="19" t="s">
        <v>54</v>
      </c>
      <c r="I61" s="20" t="s">
        <v>10</v>
      </c>
      <c r="J61" s="21" t="s">
        <v>11</v>
      </c>
      <c r="K61" s="21" t="s">
        <v>12</v>
      </c>
      <c r="L61" s="19" t="s">
        <v>55</v>
      </c>
      <c r="O61" s="18" t="s">
        <v>56</v>
      </c>
    </row>
    <row r="62" spans="1:15" x14ac:dyDescent="0.25">
      <c r="B62" s="22" t="s">
        <v>31</v>
      </c>
      <c r="C62" s="11"/>
      <c r="D62" s="23"/>
      <c r="I62" s="11"/>
      <c r="J62" s="11"/>
      <c r="K62" s="11"/>
      <c r="L62" s="11"/>
      <c r="O62" s="23"/>
    </row>
    <row r="63" spans="1:15" x14ac:dyDescent="0.25">
      <c r="B63" s="16" t="s">
        <v>57</v>
      </c>
      <c r="C63" s="11"/>
      <c r="D63" s="23"/>
      <c r="I63" s="23"/>
      <c r="J63" s="23"/>
      <c r="K63" s="23"/>
      <c r="L63" s="23"/>
      <c r="O63" s="23"/>
    </row>
    <row r="64" spans="1:15" x14ac:dyDescent="0.25">
      <c r="B64" s="16" t="s">
        <v>58</v>
      </c>
      <c r="C64" s="11"/>
      <c r="D64" s="23"/>
      <c r="I64" s="23"/>
      <c r="J64" s="23"/>
      <c r="K64" s="23"/>
      <c r="L64" s="23"/>
      <c r="O64" s="23"/>
    </row>
    <row r="65" spans="2:15" ht="11.25" customHeight="1" x14ac:dyDescent="0.25"/>
    <row r="66" spans="2:15" x14ac:dyDescent="0.25">
      <c r="B66" s="16" t="s">
        <v>59</v>
      </c>
      <c r="C66" s="23"/>
      <c r="D66" s="23"/>
      <c r="I66" s="23"/>
      <c r="J66" s="23"/>
      <c r="K66" s="23"/>
      <c r="L66" s="23"/>
      <c r="O66" s="23"/>
    </row>
    <row r="67" spans="2:15" x14ac:dyDescent="0.25">
      <c r="B67" s="16" t="s">
        <v>57</v>
      </c>
      <c r="C67" s="23"/>
      <c r="D67" s="23"/>
      <c r="I67" s="23"/>
      <c r="J67" s="23"/>
      <c r="K67" s="23"/>
      <c r="L67" s="23"/>
      <c r="O67" s="23"/>
    </row>
    <row r="68" spans="2:15" x14ac:dyDescent="0.25">
      <c r="B68" s="16" t="s">
        <v>58</v>
      </c>
      <c r="C68" s="23"/>
      <c r="D68" s="23"/>
      <c r="I68" s="23"/>
      <c r="J68" s="23"/>
      <c r="K68" s="23"/>
      <c r="L68" s="23"/>
      <c r="O68" s="23"/>
    </row>
    <row r="69" spans="2:15" ht="11.25" customHeight="1" x14ac:dyDescent="0.25"/>
    <row r="70" spans="2:15" x14ac:dyDescent="0.25">
      <c r="B70" s="16" t="s">
        <v>60</v>
      </c>
      <c r="C70" s="23"/>
      <c r="D70" s="23"/>
      <c r="I70" s="23"/>
      <c r="J70" s="23"/>
      <c r="K70" s="23"/>
      <c r="L70" s="23"/>
      <c r="O70" s="23"/>
    </row>
    <row r="71" spans="2:15" x14ac:dyDescent="0.25">
      <c r="B71" s="16" t="s">
        <v>57</v>
      </c>
      <c r="C71" s="23"/>
      <c r="D71" s="23"/>
      <c r="I71" s="23"/>
      <c r="J71" s="23"/>
      <c r="K71" s="23"/>
      <c r="L71" s="23"/>
      <c r="O71" s="23"/>
    </row>
    <row r="72" spans="2:15" x14ac:dyDescent="0.25">
      <c r="B72" s="16" t="s">
        <v>58</v>
      </c>
      <c r="C72" s="23"/>
      <c r="D72" s="23"/>
      <c r="I72" s="23"/>
      <c r="J72" s="23"/>
      <c r="K72" s="23"/>
      <c r="L72" s="23"/>
      <c r="O72" s="23"/>
    </row>
    <row r="73" spans="2:15" ht="11.25" customHeight="1" x14ac:dyDescent="0.25"/>
    <row r="74" spans="2:15" x14ac:dyDescent="0.25">
      <c r="B74" s="16" t="s">
        <v>61</v>
      </c>
      <c r="C74" s="23"/>
      <c r="D74" s="23"/>
      <c r="I74" s="23"/>
      <c r="J74" s="23"/>
      <c r="K74" s="23"/>
      <c r="L74" s="23"/>
      <c r="O74" s="23"/>
    </row>
    <row r="75" spans="2:15" x14ac:dyDescent="0.25">
      <c r="B75" s="16" t="s">
        <v>57</v>
      </c>
      <c r="C75" s="23"/>
      <c r="D75" s="23"/>
      <c r="I75" s="23"/>
      <c r="J75" s="23"/>
      <c r="K75" s="23"/>
      <c r="L75" s="23"/>
      <c r="O75" s="23"/>
    </row>
    <row r="76" spans="2:15" x14ac:dyDescent="0.25">
      <c r="B76" s="16" t="s">
        <v>58</v>
      </c>
      <c r="C76" s="11"/>
      <c r="D76" s="23"/>
      <c r="I76" s="23"/>
      <c r="J76" s="23"/>
      <c r="K76" s="23"/>
      <c r="L76" s="23"/>
      <c r="O76" s="23"/>
    </row>
    <row r="77" spans="2:15" ht="11.25" customHeight="1" x14ac:dyDescent="0.25"/>
    <row r="78" spans="2:15" x14ac:dyDescent="0.25">
      <c r="B78" s="16" t="s">
        <v>62</v>
      </c>
      <c r="C78" s="23"/>
      <c r="D78" s="23"/>
      <c r="I78" s="23"/>
      <c r="J78" s="23"/>
      <c r="K78" s="23"/>
      <c r="L78" s="23"/>
      <c r="O78" s="23"/>
    </row>
    <row r="79" spans="2:15" x14ac:dyDescent="0.25">
      <c r="B79" s="16" t="s">
        <v>57</v>
      </c>
      <c r="C79" s="23"/>
      <c r="D79" s="23"/>
      <c r="I79" s="23"/>
      <c r="J79" s="23"/>
      <c r="K79" s="23"/>
      <c r="L79" s="23"/>
      <c r="O79" s="23"/>
    </row>
    <row r="80" spans="2:15" x14ac:dyDescent="0.25">
      <c r="B80" s="16" t="s">
        <v>58</v>
      </c>
      <c r="C80" s="23"/>
      <c r="D80" s="23"/>
      <c r="I80" s="23"/>
      <c r="J80" s="23"/>
      <c r="K80" s="23"/>
      <c r="L80" s="23"/>
      <c r="O80" s="23"/>
    </row>
    <row r="82" spans="2:15" x14ac:dyDescent="0.25">
      <c r="B82" s="16" t="s">
        <v>63</v>
      </c>
      <c r="C82" s="23"/>
      <c r="D82" s="23"/>
      <c r="I82" s="23"/>
      <c r="J82" s="23"/>
      <c r="K82" s="23"/>
      <c r="L82" s="23"/>
      <c r="O82" s="23"/>
    </row>
  </sheetData>
  <mergeCells count="9">
    <mergeCell ref="B4:B5"/>
    <mergeCell ref="F54:F56"/>
    <mergeCell ref="F57:F59"/>
    <mergeCell ref="K1:O1"/>
    <mergeCell ref="C4:C5"/>
    <mergeCell ref="D4:E4"/>
    <mergeCell ref="F4:F5"/>
    <mergeCell ref="G4:G5"/>
    <mergeCell ref="I4:O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6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413E5-770F-4568-9577-50C8C8AB14EB}">
  <sheetPr>
    <pageSetUpPr fitToPage="1"/>
  </sheetPr>
  <dimension ref="A1:BF82"/>
  <sheetViews>
    <sheetView zoomScale="85" zoomScaleNormal="85" zoomScaleSheetLayoutView="85" zoomScalePageLayoutView="80" workbookViewId="0">
      <pane xSplit="2" ySplit="5" topLeftCell="C6" activePane="bottomRight" state="frozen"/>
      <selection activeCell="I59" sqref="I59:L59"/>
      <selection pane="topRight" activeCell="I59" sqref="I59:L59"/>
      <selection pane="bottomLeft" activeCell="I59" sqref="I59:L59"/>
      <selection pane="bottomRight" activeCell="P1" sqref="P1:V1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1" style="2" bestFit="1" customWidth="1"/>
    <col min="23" max="23" width="2" style="2" customWidth="1"/>
    <col min="24" max="24" width="10.5703125" style="2" bestFit="1" customWidth="1"/>
    <col min="25" max="53" width="7.28515625" style="2" customWidth="1"/>
    <col min="54" max="54" width="1.5703125" style="2" customWidth="1"/>
    <col min="55" max="55" width="9.42578125" style="2" customWidth="1"/>
    <col min="56" max="56" width="1.28515625" style="2" customWidth="1"/>
    <col min="57" max="57" width="12.7109375" style="2" bestFit="1" customWidth="1"/>
    <col min="58" max="58" width="10.28515625" style="2" bestFit="1" customWidth="1"/>
    <col min="59" max="16384" width="9.140625" style="2"/>
  </cols>
  <sheetData>
    <row r="1" spans="1:58" ht="19.5" thickBot="1" x14ac:dyDescent="0.3">
      <c r="B1" s="1" t="s">
        <v>0</v>
      </c>
      <c r="N1" s="2" t="s">
        <v>1</v>
      </c>
      <c r="P1" s="143">
        <v>46029</v>
      </c>
      <c r="Q1" s="144"/>
      <c r="R1" s="144"/>
      <c r="S1" s="144"/>
      <c r="T1" s="144"/>
      <c r="U1" s="144"/>
      <c r="V1" s="145"/>
    </row>
    <row r="2" spans="1:58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58" ht="19.5" thickBot="1" x14ac:dyDescent="0.3"/>
    <row r="4" spans="1:58" ht="19.5" customHeight="1" thickBot="1" x14ac:dyDescent="0.3">
      <c r="A4" s="53"/>
      <c r="B4" s="137" t="s">
        <v>74</v>
      </c>
      <c r="C4" s="146" t="s">
        <v>3</v>
      </c>
      <c r="D4" s="156" t="s">
        <v>75</v>
      </c>
      <c r="E4" s="147" t="s">
        <v>4</v>
      </c>
      <c r="F4" s="148"/>
      <c r="G4" s="149" t="s">
        <v>5</v>
      </c>
      <c r="H4" s="157" t="s">
        <v>75</v>
      </c>
      <c r="I4" s="151" t="s">
        <v>6</v>
      </c>
      <c r="J4" s="157" t="s">
        <v>75</v>
      </c>
      <c r="L4" s="153" t="s">
        <v>7</v>
      </c>
      <c r="M4" s="154"/>
      <c r="N4" s="154"/>
      <c r="O4" s="154"/>
      <c r="P4" s="154"/>
      <c r="Q4" s="154"/>
      <c r="R4" s="154"/>
      <c r="S4" s="154"/>
      <c r="T4" s="154"/>
      <c r="U4" s="154"/>
      <c r="V4" s="155"/>
    </row>
    <row r="5" spans="1:58" s="3" customFormat="1" ht="38.25" thickBot="1" x14ac:dyDescent="0.3">
      <c r="A5" s="53"/>
      <c r="B5" s="137"/>
      <c r="C5" s="146"/>
      <c r="D5" s="156"/>
      <c r="E5" s="52" t="s">
        <v>8</v>
      </c>
      <c r="F5" s="70" t="s">
        <v>9</v>
      </c>
      <c r="G5" s="150"/>
      <c r="H5" s="158"/>
      <c r="I5" s="152"/>
      <c r="J5" s="158"/>
      <c r="L5" s="4" t="s">
        <v>10</v>
      </c>
      <c r="M5" s="93" t="s">
        <v>75</v>
      </c>
      <c r="N5" s="5" t="s">
        <v>11</v>
      </c>
      <c r="O5" s="93" t="s">
        <v>75</v>
      </c>
      <c r="P5" s="5" t="s">
        <v>12</v>
      </c>
      <c r="Q5" s="93" t="s">
        <v>75</v>
      </c>
      <c r="R5" s="6" t="s">
        <v>13</v>
      </c>
      <c r="S5" s="93" t="s">
        <v>75</v>
      </c>
      <c r="T5" s="7"/>
      <c r="U5" s="8"/>
      <c r="V5" s="6" t="s">
        <v>14</v>
      </c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</row>
    <row r="6" spans="1:58" s="3" customFormat="1" x14ac:dyDescent="0.25">
      <c r="B6" s="10"/>
      <c r="C6" s="28"/>
      <c r="D6" s="73"/>
      <c r="E6" s="27"/>
      <c r="F6" s="27"/>
      <c r="G6" s="29"/>
      <c r="H6" s="75"/>
      <c r="I6" s="75"/>
      <c r="J6" s="30"/>
      <c r="K6" s="44"/>
      <c r="L6" s="27"/>
      <c r="M6" s="27"/>
      <c r="N6" s="27"/>
      <c r="O6" s="27"/>
      <c r="P6" s="27"/>
      <c r="Q6" s="87"/>
      <c r="R6" s="75"/>
      <c r="S6" s="87"/>
      <c r="T6" s="44"/>
      <c r="U6" s="28"/>
      <c r="V6" s="30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</row>
    <row r="7" spans="1:58" s="3" customFormat="1" x14ac:dyDescent="0.25">
      <c r="B7" s="10"/>
      <c r="C7" s="28"/>
      <c r="D7" s="73"/>
      <c r="E7" s="27"/>
      <c r="F7" s="27"/>
      <c r="G7" s="29"/>
      <c r="H7" s="75"/>
      <c r="I7" s="75"/>
      <c r="J7" s="30"/>
      <c r="K7" s="44"/>
      <c r="L7" s="27"/>
      <c r="M7" s="27"/>
      <c r="N7" s="27"/>
      <c r="O7" s="27"/>
      <c r="P7" s="27"/>
      <c r="Q7" s="87"/>
      <c r="R7" s="75"/>
      <c r="S7" s="87"/>
      <c r="T7" s="44"/>
      <c r="U7" s="28"/>
      <c r="V7" s="30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</row>
    <row r="8" spans="1:58" x14ac:dyDescent="0.25">
      <c r="A8" s="3">
        <v>1</v>
      </c>
      <c r="B8" s="10" t="s">
        <v>46</v>
      </c>
      <c r="C8" s="104">
        <v>88</v>
      </c>
      <c r="D8" s="105"/>
      <c r="E8" s="94"/>
      <c r="F8" s="94"/>
      <c r="G8" s="106"/>
      <c r="H8" s="96"/>
      <c r="I8" s="96">
        <f>C8-G8</f>
        <v>88</v>
      </c>
      <c r="J8" s="107">
        <f>D8-H8</f>
        <v>0</v>
      </c>
      <c r="K8" s="44"/>
      <c r="L8" s="94">
        <v>3</v>
      </c>
      <c r="M8" s="94"/>
      <c r="N8" s="94"/>
      <c r="O8" s="94"/>
      <c r="P8" s="94"/>
      <c r="Q8" s="95"/>
      <c r="R8" s="96">
        <f>L8+N8+P8</f>
        <v>3</v>
      </c>
      <c r="S8" s="95">
        <f>M8+O8+Q8</f>
        <v>0</v>
      </c>
      <c r="T8" s="44"/>
      <c r="U8" s="28"/>
      <c r="V8" s="30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ht="19.5" thickBot="1" x14ac:dyDescent="0.3">
      <c r="A9" s="3">
        <f t="shared" ref="A9:A51" si="0">A8+1</f>
        <v>2</v>
      </c>
      <c r="B9" s="54" t="s">
        <v>49</v>
      </c>
      <c r="C9" s="108">
        <v>144</v>
      </c>
      <c r="D9" s="109"/>
      <c r="E9" s="110"/>
      <c r="F9" s="110"/>
      <c r="G9" s="111">
        <v>3</v>
      </c>
      <c r="H9" s="112"/>
      <c r="I9" s="96">
        <f t="shared" ref="I9:I51" si="1">C9-G9</f>
        <v>141</v>
      </c>
      <c r="J9" s="107">
        <f t="shared" ref="J9:J51" si="2">D9-H9</f>
        <v>0</v>
      </c>
      <c r="K9" s="64"/>
      <c r="L9" s="97">
        <v>1</v>
      </c>
      <c r="M9" s="97"/>
      <c r="N9" s="97"/>
      <c r="O9" s="97"/>
      <c r="P9" s="97"/>
      <c r="Q9" s="98"/>
      <c r="R9" s="96">
        <f t="shared" ref="R9:R51" si="3">L9+N9+P9</f>
        <v>1</v>
      </c>
      <c r="S9" s="95">
        <f t="shared" ref="S9:S51" si="4">M9+O9+Q9</f>
        <v>0</v>
      </c>
      <c r="T9" s="64"/>
      <c r="U9" s="67"/>
      <c r="V9" s="66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x14ac:dyDescent="0.25">
      <c r="A10" s="3">
        <f t="shared" si="0"/>
        <v>3</v>
      </c>
      <c r="B10" s="10" t="s">
        <v>47</v>
      </c>
      <c r="C10" s="104">
        <v>24</v>
      </c>
      <c r="D10" s="105"/>
      <c r="E10" s="94"/>
      <c r="F10" s="94"/>
      <c r="G10" s="106">
        <v>1</v>
      </c>
      <c r="H10" s="96"/>
      <c r="I10" s="96">
        <f t="shared" si="1"/>
        <v>23</v>
      </c>
      <c r="J10" s="107">
        <f t="shared" si="2"/>
        <v>0</v>
      </c>
      <c r="K10" s="44"/>
      <c r="L10" s="94">
        <v>1</v>
      </c>
      <c r="M10" s="94"/>
      <c r="N10" s="94"/>
      <c r="O10" s="94"/>
      <c r="P10" s="94"/>
      <c r="Q10" s="95"/>
      <c r="R10" s="96">
        <f t="shared" si="3"/>
        <v>1</v>
      </c>
      <c r="S10" s="95">
        <f t="shared" si="4"/>
        <v>0</v>
      </c>
      <c r="T10" s="44"/>
      <c r="U10" s="28"/>
      <c r="V10" s="30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x14ac:dyDescent="0.25">
      <c r="A11" s="3">
        <f t="shared" si="0"/>
        <v>4</v>
      </c>
      <c r="B11" s="13" t="s">
        <v>50</v>
      </c>
      <c r="C11" s="104">
        <v>7</v>
      </c>
      <c r="D11" s="105"/>
      <c r="E11" s="94"/>
      <c r="F11" s="94"/>
      <c r="G11" s="106">
        <v>1</v>
      </c>
      <c r="H11" s="96"/>
      <c r="I11" s="96">
        <f t="shared" si="1"/>
        <v>6</v>
      </c>
      <c r="J11" s="107">
        <f t="shared" si="2"/>
        <v>0</v>
      </c>
      <c r="K11" s="44"/>
      <c r="L11" s="94"/>
      <c r="M11" s="94"/>
      <c r="N11" s="94"/>
      <c r="O11" s="94"/>
      <c r="P11" s="94"/>
      <c r="Q11" s="95"/>
      <c r="R11" s="96">
        <f t="shared" si="3"/>
        <v>0</v>
      </c>
      <c r="S11" s="95">
        <f t="shared" si="4"/>
        <v>0</v>
      </c>
      <c r="T11" s="44"/>
      <c r="U11" s="28"/>
      <c r="V11" s="30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x14ac:dyDescent="0.25">
      <c r="A12" s="3">
        <f t="shared" si="0"/>
        <v>5</v>
      </c>
      <c r="B12" s="13" t="s">
        <v>48</v>
      </c>
      <c r="C12" s="104">
        <v>5</v>
      </c>
      <c r="D12" s="105"/>
      <c r="E12" s="94"/>
      <c r="F12" s="94"/>
      <c r="G12" s="106"/>
      <c r="H12" s="96"/>
      <c r="I12" s="96">
        <f t="shared" si="1"/>
        <v>5</v>
      </c>
      <c r="J12" s="107">
        <f t="shared" si="2"/>
        <v>0</v>
      </c>
      <c r="K12" s="44"/>
      <c r="L12" s="94"/>
      <c r="M12" s="94"/>
      <c r="N12" s="94"/>
      <c r="O12" s="94"/>
      <c r="P12" s="94"/>
      <c r="Q12" s="95"/>
      <c r="R12" s="96">
        <f t="shared" si="3"/>
        <v>0</v>
      </c>
      <c r="S12" s="95">
        <f t="shared" si="4"/>
        <v>0</v>
      </c>
      <c r="T12" s="44"/>
      <c r="U12" s="28"/>
      <c r="V12" s="30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</row>
    <row r="13" spans="1:58" s="1" customFormat="1" ht="19.5" thickBot="1" x14ac:dyDescent="0.3">
      <c r="A13" s="3">
        <v>7</v>
      </c>
      <c r="B13" s="54" t="s">
        <v>44</v>
      </c>
      <c r="C13" s="108">
        <v>3860</v>
      </c>
      <c r="D13" s="109">
        <v>23</v>
      </c>
      <c r="E13" s="110"/>
      <c r="F13" s="110"/>
      <c r="G13" s="111">
        <v>18</v>
      </c>
      <c r="H13" s="112">
        <v>5</v>
      </c>
      <c r="I13" s="96">
        <f t="shared" si="1"/>
        <v>3842</v>
      </c>
      <c r="J13" s="107">
        <f t="shared" si="2"/>
        <v>18</v>
      </c>
      <c r="K13" s="68"/>
      <c r="L13" s="97">
        <v>9</v>
      </c>
      <c r="M13" s="97">
        <v>3</v>
      </c>
      <c r="N13" s="97">
        <v>4</v>
      </c>
      <c r="O13" s="97">
        <v>1</v>
      </c>
      <c r="P13" s="97">
        <v>5</v>
      </c>
      <c r="Q13" s="98">
        <v>1</v>
      </c>
      <c r="R13" s="96">
        <f t="shared" si="3"/>
        <v>18</v>
      </c>
      <c r="S13" s="95">
        <f t="shared" si="4"/>
        <v>5</v>
      </c>
      <c r="T13" s="68"/>
      <c r="U13" s="67"/>
      <c r="V13" s="66"/>
      <c r="W13" s="2"/>
      <c r="AB13" s="2"/>
      <c r="AE13" s="2"/>
      <c r="AF13" s="2"/>
      <c r="AG13" s="2"/>
      <c r="AH13" s="2"/>
      <c r="AI13" s="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x14ac:dyDescent="0.25">
      <c r="A14" s="3">
        <v>11</v>
      </c>
      <c r="B14" s="10" t="s">
        <v>15</v>
      </c>
      <c r="C14" s="104">
        <v>4</v>
      </c>
      <c r="D14" s="105"/>
      <c r="E14" s="94"/>
      <c r="F14" s="94"/>
      <c r="G14" s="106"/>
      <c r="H14" s="96"/>
      <c r="I14" s="96">
        <f t="shared" si="1"/>
        <v>4</v>
      </c>
      <c r="J14" s="107">
        <f t="shared" si="2"/>
        <v>0</v>
      </c>
      <c r="K14" s="44"/>
      <c r="L14" s="94"/>
      <c r="M14" s="94"/>
      <c r="N14" s="94"/>
      <c r="O14" s="94"/>
      <c r="P14" s="94"/>
      <c r="Q14" s="95"/>
      <c r="R14" s="96">
        <f t="shared" si="3"/>
        <v>0</v>
      </c>
      <c r="S14" s="95">
        <f t="shared" si="4"/>
        <v>0</v>
      </c>
      <c r="T14" s="44"/>
      <c r="U14" s="28"/>
      <c r="V14" s="30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x14ac:dyDescent="0.25">
      <c r="A15" s="3">
        <f t="shared" si="0"/>
        <v>12</v>
      </c>
      <c r="B15" s="13" t="s">
        <v>16</v>
      </c>
      <c r="C15" s="104">
        <v>1</v>
      </c>
      <c r="D15" s="105"/>
      <c r="E15" s="94"/>
      <c r="F15" s="94"/>
      <c r="G15" s="106"/>
      <c r="H15" s="96"/>
      <c r="I15" s="96">
        <f t="shared" si="1"/>
        <v>1</v>
      </c>
      <c r="J15" s="107">
        <f t="shared" si="2"/>
        <v>0</v>
      </c>
      <c r="K15" s="44"/>
      <c r="L15" s="94"/>
      <c r="M15" s="94"/>
      <c r="N15" s="94"/>
      <c r="O15" s="94"/>
      <c r="P15" s="94"/>
      <c r="Q15" s="95"/>
      <c r="R15" s="96">
        <f t="shared" si="3"/>
        <v>0</v>
      </c>
      <c r="S15" s="95">
        <f t="shared" si="4"/>
        <v>0</v>
      </c>
      <c r="T15" s="44"/>
      <c r="U15" s="28"/>
      <c r="V15" s="30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</row>
    <row r="16" spans="1:58" x14ac:dyDescent="0.25">
      <c r="A16" s="3">
        <f t="shared" si="0"/>
        <v>13</v>
      </c>
      <c r="B16" s="13" t="s">
        <v>17</v>
      </c>
      <c r="C16" s="104">
        <v>1</v>
      </c>
      <c r="D16" s="105"/>
      <c r="E16" s="94"/>
      <c r="F16" s="94"/>
      <c r="G16" s="106"/>
      <c r="H16" s="96"/>
      <c r="I16" s="96">
        <f t="shared" si="1"/>
        <v>1</v>
      </c>
      <c r="J16" s="107">
        <f t="shared" si="2"/>
        <v>0</v>
      </c>
      <c r="K16" s="44"/>
      <c r="L16" s="94"/>
      <c r="M16" s="94"/>
      <c r="N16" s="94"/>
      <c r="O16" s="94"/>
      <c r="P16" s="94"/>
      <c r="Q16" s="95"/>
      <c r="R16" s="96">
        <f t="shared" si="3"/>
        <v>0</v>
      </c>
      <c r="S16" s="95">
        <f t="shared" si="4"/>
        <v>0</v>
      </c>
      <c r="T16" s="44"/>
      <c r="U16" s="28"/>
      <c r="V16" s="30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x14ac:dyDescent="0.25">
      <c r="A17" s="3">
        <f t="shared" si="0"/>
        <v>14</v>
      </c>
      <c r="B17" s="13" t="s">
        <v>18</v>
      </c>
      <c r="C17" s="104"/>
      <c r="D17" s="105"/>
      <c r="E17" s="94"/>
      <c r="F17" s="94"/>
      <c r="G17" s="106"/>
      <c r="H17" s="96"/>
      <c r="I17" s="96">
        <f t="shared" si="1"/>
        <v>0</v>
      </c>
      <c r="J17" s="107">
        <f t="shared" si="2"/>
        <v>0</v>
      </c>
      <c r="K17" s="44"/>
      <c r="L17" s="94"/>
      <c r="M17" s="94"/>
      <c r="N17" s="94"/>
      <c r="O17" s="94"/>
      <c r="P17" s="94"/>
      <c r="Q17" s="95"/>
      <c r="R17" s="96">
        <f t="shared" si="3"/>
        <v>0</v>
      </c>
      <c r="S17" s="95">
        <f t="shared" si="4"/>
        <v>0</v>
      </c>
      <c r="T17" s="44"/>
      <c r="U17" s="28"/>
      <c r="V17" s="30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x14ac:dyDescent="0.25">
      <c r="A18" s="3">
        <f t="shared" si="0"/>
        <v>15</v>
      </c>
      <c r="B18" s="13" t="s">
        <v>19</v>
      </c>
      <c r="C18" s="104">
        <v>3</v>
      </c>
      <c r="D18" s="105"/>
      <c r="E18" s="94"/>
      <c r="F18" s="94"/>
      <c r="G18" s="106"/>
      <c r="H18" s="96"/>
      <c r="I18" s="96">
        <f t="shared" si="1"/>
        <v>3</v>
      </c>
      <c r="J18" s="107">
        <f t="shared" si="2"/>
        <v>0</v>
      </c>
      <c r="K18" s="44"/>
      <c r="L18" s="94"/>
      <c r="M18" s="94"/>
      <c r="N18" s="94"/>
      <c r="O18" s="94"/>
      <c r="P18" s="94"/>
      <c r="Q18" s="95"/>
      <c r="R18" s="96">
        <f t="shared" si="3"/>
        <v>0</v>
      </c>
      <c r="S18" s="95">
        <f t="shared" si="4"/>
        <v>0</v>
      </c>
      <c r="T18" s="44"/>
      <c r="U18" s="28"/>
      <c r="V18" s="30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ht="18.75" hidden="1" customHeight="1" x14ac:dyDescent="0.25">
      <c r="A19" s="3">
        <f t="shared" si="0"/>
        <v>16</v>
      </c>
      <c r="B19" s="13" t="s">
        <v>23</v>
      </c>
      <c r="C19" s="104"/>
      <c r="D19" s="105"/>
      <c r="E19" s="94"/>
      <c r="F19" s="94"/>
      <c r="G19" s="106"/>
      <c r="H19" s="96"/>
      <c r="I19" s="96">
        <f t="shared" si="1"/>
        <v>0</v>
      </c>
      <c r="J19" s="107">
        <f t="shared" si="2"/>
        <v>0</v>
      </c>
      <c r="K19" s="44"/>
      <c r="L19" s="94"/>
      <c r="M19" s="94"/>
      <c r="N19" s="94"/>
      <c r="O19" s="94"/>
      <c r="P19" s="94"/>
      <c r="Q19" s="95"/>
      <c r="R19" s="96">
        <f t="shared" si="3"/>
        <v>0</v>
      </c>
      <c r="S19" s="95">
        <f t="shared" si="4"/>
        <v>0</v>
      </c>
      <c r="T19" s="44"/>
      <c r="U19" s="28"/>
      <c r="V19" s="30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x14ac:dyDescent="0.25">
      <c r="A20" s="3">
        <v>16</v>
      </c>
      <c r="B20" s="13" t="s">
        <v>67</v>
      </c>
      <c r="C20" s="104">
        <v>3</v>
      </c>
      <c r="D20" s="105"/>
      <c r="E20" s="94"/>
      <c r="F20" s="94"/>
      <c r="G20" s="106"/>
      <c r="H20" s="96"/>
      <c r="I20" s="96">
        <f t="shared" si="1"/>
        <v>3</v>
      </c>
      <c r="J20" s="107">
        <f t="shared" si="2"/>
        <v>0</v>
      </c>
      <c r="K20" s="44"/>
      <c r="L20" s="94"/>
      <c r="M20" s="94"/>
      <c r="N20" s="94"/>
      <c r="O20" s="94"/>
      <c r="P20" s="94"/>
      <c r="Q20" s="95"/>
      <c r="R20" s="96">
        <f t="shared" si="3"/>
        <v>0</v>
      </c>
      <c r="S20" s="95">
        <f t="shared" si="4"/>
        <v>0</v>
      </c>
      <c r="T20" s="44"/>
      <c r="U20" s="28"/>
      <c r="V20" s="30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x14ac:dyDescent="0.25">
      <c r="A21" s="3">
        <f t="shared" si="0"/>
        <v>17</v>
      </c>
      <c r="B21" s="13" t="s">
        <v>20</v>
      </c>
      <c r="C21" s="104">
        <v>4</v>
      </c>
      <c r="D21" s="105"/>
      <c r="E21" s="94"/>
      <c r="F21" s="94"/>
      <c r="G21" s="106"/>
      <c r="H21" s="96"/>
      <c r="I21" s="96">
        <f t="shared" si="1"/>
        <v>4</v>
      </c>
      <c r="J21" s="107">
        <f t="shared" si="2"/>
        <v>0</v>
      </c>
      <c r="K21" s="44"/>
      <c r="L21" s="94"/>
      <c r="M21" s="94"/>
      <c r="N21" s="94"/>
      <c r="O21" s="94"/>
      <c r="P21" s="94"/>
      <c r="Q21" s="95"/>
      <c r="R21" s="96">
        <f t="shared" si="3"/>
        <v>0</v>
      </c>
      <c r="S21" s="95">
        <f t="shared" si="4"/>
        <v>0</v>
      </c>
      <c r="T21" s="44"/>
      <c r="U21" s="28"/>
      <c r="V21" s="30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x14ac:dyDescent="0.25">
      <c r="A22" s="3">
        <f t="shared" si="0"/>
        <v>18</v>
      </c>
      <c r="B22" s="13" t="s">
        <v>21</v>
      </c>
      <c r="C22" s="104">
        <v>4</v>
      </c>
      <c r="D22" s="105"/>
      <c r="E22" s="94"/>
      <c r="F22" s="94"/>
      <c r="G22" s="106"/>
      <c r="H22" s="96"/>
      <c r="I22" s="96">
        <f t="shared" si="1"/>
        <v>4</v>
      </c>
      <c r="J22" s="107">
        <f t="shared" si="2"/>
        <v>0</v>
      </c>
      <c r="K22" s="44"/>
      <c r="L22" s="94"/>
      <c r="M22" s="94"/>
      <c r="N22" s="94"/>
      <c r="O22" s="94"/>
      <c r="P22" s="94"/>
      <c r="Q22" s="95"/>
      <c r="R22" s="96">
        <f t="shared" si="3"/>
        <v>0</v>
      </c>
      <c r="S22" s="95">
        <f t="shared" si="4"/>
        <v>0</v>
      </c>
      <c r="T22" s="44"/>
      <c r="U22" s="28"/>
      <c r="V22" s="30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</row>
    <row r="23" spans="1:58" s="1" customFormat="1" x14ac:dyDescent="0.25">
      <c r="A23" s="3">
        <f t="shared" si="0"/>
        <v>19</v>
      </c>
      <c r="B23" s="13" t="s">
        <v>68</v>
      </c>
      <c r="C23" s="104">
        <v>2</v>
      </c>
      <c r="D23" s="105"/>
      <c r="E23" s="94"/>
      <c r="F23" s="94"/>
      <c r="G23" s="106"/>
      <c r="H23" s="96"/>
      <c r="I23" s="96">
        <f t="shared" si="1"/>
        <v>2</v>
      </c>
      <c r="J23" s="107">
        <f t="shared" si="2"/>
        <v>0</v>
      </c>
      <c r="K23" s="45"/>
      <c r="L23" s="94"/>
      <c r="M23" s="94"/>
      <c r="N23" s="94"/>
      <c r="O23" s="94"/>
      <c r="P23" s="94"/>
      <c r="Q23" s="95"/>
      <c r="R23" s="96">
        <f t="shared" si="3"/>
        <v>0</v>
      </c>
      <c r="S23" s="95">
        <f t="shared" si="4"/>
        <v>0</v>
      </c>
      <c r="T23" s="45"/>
      <c r="U23" s="28"/>
      <c r="V23" s="30"/>
      <c r="W23" s="2"/>
      <c r="AB23" s="2"/>
      <c r="AE23" s="2"/>
      <c r="AF23" s="2"/>
      <c r="AG23" s="2"/>
      <c r="AH23" s="2"/>
      <c r="AI23" s="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1" customFormat="1" x14ac:dyDescent="0.25">
      <c r="A24" s="3">
        <f t="shared" si="0"/>
        <v>20</v>
      </c>
      <c r="B24" s="13" t="s">
        <v>69</v>
      </c>
      <c r="C24" s="104">
        <v>65</v>
      </c>
      <c r="D24" s="105"/>
      <c r="E24" s="94"/>
      <c r="F24" s="94"/>
      <c r="G24" s="106">
        <v>9</v>
      </c>
      <c r="H24" s="96"/>
      <c r="I24" s="96">
        <f t="shared" si="1"/>
        <v>56</v>
      </c>
      <c r="J24" s="107">
        <f t="shared" si="2"/>
        <v>0</v>
      </c>
      <c r="K24" s="45"/>
      <c r="L24" s="94"/>
      <c r="M24" s="94"/>
      <c r="N24" s="94"/>
      <c r="O24" s="94"/>
      <c r="P24" s="94">
        <v>9</v>
      </c>
      <c r="Q24" s="95"/>
      <c r="R24" s="96">
        <f t="shared" si="3"/>
        <v>9</v>
      </c>
      <c r="S24" s="95">
        <f t="shared" si="4"/>
        <v>0</v>
      </c>
      <c r="T24" s="45"/>
      <c r="U24" s="28"/>
      <c r="V24" s="30"/>
      <c r="W24" s="2"/>
      <c r="AB24" s="2"/>
      <c r="AE24" s="2"/>
      <c r="AF24" s="2"/>
      <c r="AG24" s="2"/>
      <c r="AH24" s="2"/>
      <c r="AI24" s="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</row>
    <row r="25" spans="1:58" x14ac:dyDescent="0.25">
      <c r="A25" s="3">
        <f t="shared" si="0"/>
        <v>21</v>
      </c>
      <c r="B25" s="13" t="s">
        <v>70</v>
      </c>
      <c r="C25" s="104">
        <v>4</v>
      </c>
      <c r="D25" s="105"/>
      <c r="E25" s="94"/>
      <c r="F25" s="94"/>
      <c r="G25" s="106"/>
      <c r="H25" s="96"/>
      <c r="I25" s="96">
        <f t="shared" si="1"/>
        <v>4</v>
      </c>
      <c r="J25" s="107">
        <f t="shared" si="2"/>
        <v>0</v>
      </c>
      <c r="K25" s="44"/>
      <c r="L25" s="94"/>
      <c r="M25" s="94"/>
      <c r="N25" s="94"/>
      <c r="O25" s="94"/>
      <c r="P25" s="94"/>
      <c r="Q25" s="95"/>
      <c r="R25" s="96">
        <f t="shared" si="3"/>
        <v>0</v>
      </c>
      <c r="S25" s="95">
        <f t="shared" si="4"/>
        <v>0</v>
      </c>
      <c r="T25" s="44"/>
      <c r="U25" s="28"/>
      <c r="V25" s="30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</row>
    <row r="26" spans="1:58" x14ac:dyDescent="0.25">
      <c r="A26" s="3">
        <f t="shared" si="0"/>
        <v>22</v>
      </c>
      <c r="B26" s="13" t="s">
        <v>22</v>
      </c>
      <c r="C26" s="104">
        <v>106</v>
      </c>
      <c r="D26" s="105">
        <v>23</v>
      </c>
      <c r="E26" s="94"/>
      <c r="F26" s="94"/>
      <c r="G26" s="106">
        <v>1</v>
      </c>
      <c r="H26" s="96"/>
      <c r="I26" s="96">
        <f t="shared" si="1"/>
        <v>105</v>
      </c>
      <c r="J26" s="107">
        <f t="shared" si="2"/>
        <v>23</v>
      </c>
      <c r="K26" s="44"/>
      <c r="L26" s="94">
        <v>1</v>
      </c>
      <c r="M26" s="94"/>
      <c r="N26" s="94"/>
      <c r="O26" s="94"/>
      <c r="P26" s="94"/>
      <c r="Q26" s="95"/>
      <c r="R26" s="96">
        <f t="shared" si="3"/>
        <v>1</v>
      </c>
      <c r="S26" s="95">
        <f t="shared" si="4"/>
        <v>0</v>
      </c>
      <c r="T26" s="44"/>
      <c r="U26" s="28"/>
      <c r="V26" s="30"/>
      <c r="BC26" s="14" t="e">
        <f>#REF!-BC25</f>
        <v>#REF!</v>
      </c>
    </row>
    <row r="27" spans="1:58" s="1" customFormat="1" x14ac:dyDescent="0.25">
      <c r="A27" s="3">
        <f t="shared" si="0"/>
        <v>23</v>
      </c>
      <c r="B27" s="13" t="s">
        <v>24</v>
      </c>
      <c r="C27" s="104">
        <v>3</v>
      </c>
      <c r="D27" s="105"/>
      <c r="E27" s="94"/>
      <c r="F27" s="94"/>
      <c r="G27" s="106"/>
      <c r="H27" s="96"/>
      <c r="I27" s="96">
        <f t="shared" si="1"/>
        <v>3</v>
      </c>
      <c r="J27" s="107">
        <f t="shared" si="2"/>
        <v>0</v>
      </c>
      <c r="K27" s="45"/>
      <c r="L27" s="94"/>
      <c r="M27" s="94"/>
      <c r="N27" s="94"/>
      <c r="O27" s="94"/>
      <c r="P27" s="94"/>
      <c r="Q27" s="95"/>
      <c r="R27" s="96">
        <f t="shared" si="3"/>
        <v>0</v>
      </c>
      <c r="S27" s="95">
        <f t="shared" si="4"/>
        <v>0</v>
      </c>
      <c r="T27" s="45"/>
      <c r="U27" s="28"/>
      <c r="V27" s="30"/>
      <c r="W27" s="2"/>
      <c r="AB27" s="2"/>
      <c r="AE27" s="2"/>
      <c r="AF27" s="2"/>
      <c r="AG27" s="2"/>
      <c r="AH27" s="2"/>
      <c r="AI27" s="2"/>
    </row>
    <row r="28" spans="1:58" s="1" customFormat="1" x14ac:dyDescent="0.25">
      <c r="A28" s="3">
        <f t="shared" si="0"/>
        <v>24</v>
      </c>
      <c r="B28" s="13" t="s">
        <v>25</v>
      </c>
      <c r="C28" s="104">
        <v>221</v>
      </c>
      <c r="D28" s="105"/>
      <c r="E28" s="94"/>
      <c r="F28" s="94"/>
      <c r="G28" s="106">
        <v>5</v>
      </c>
      <c r="H28" s="96"/>
      <c r="I28" s="96">
        <f t="shared" si="1"/>
        <v>216</v>
      </c>
      <c r="J28" s="107">
        <f t="shared" si="2"/>
        <v>0</v>
      </c>
      <c r="K28" s="45"/>
      <c r="L28" s="94">
        <v>2</v>
      </c>
      <c r="M28" s="94"/>
      <c r="N28" s="94"/>
      <c r="O28" s="94"/>
      <c r="P28" s="94">
        <v>3</v>
      </c>
      <c r="Q28" s="95"/>
      <c r="R28" s="96">
        <f t="shared" si="3"/>
        <v>5</v>
      </c>
      <c r="S28" s="95">
        <f t="shared" si="4"/>
        <v>0</v>
      </c>
      <c r="T28" s="45"/>
      <c r="U28" s="28"/>
      <c r="V28" s="30"/>
      <c r="W28" s="2"/>
      <c r="AB28" s="2"/>
      <c r="AE28" s="2"/>
      <c r="AF28" s="2"/>
      <c r="AG28" s="2"/>
      <c r="AH28" s="2"/>
      <c r="AI28" s="2"/>
    </row>
    <row r="29" spans="1:58" x14ac:dyDescent="0.25">
      <c r="A29" s="3">
        <f t="shared" si="0"/>
        <v>25</v>
      </c>
      <c r="B29" s="13" t="s">
        <v>27</v>
      </c>
      <c r="C29" s="104">
        <v>30</v>
      </c>
      <c r="D29" s="105">
        <v>12</v>
      </c>
      <c r="E29" s="94"/>
      <c r="F29" s="94"/>
      <c r="G29" s="106"/>
      <c r="H29" s="96">
        <v>12</v>
      </c>
      <c r="I29" s="96">
        <f t="shared" si="1"/>
        <v>30</v>
      </c>
      <c r="J29" s="107">
        <f t="shared" si="2"/>
        <v>0</v>
      </c>
      <c r="K29" s="44"/>
      <c r="L29" s="94"/>
      <c r="M29" s="94">
        <v>12</v>
      </c>
      <c r="N29" s="94"/>
      <c r="O29" s="94"/>
      <c r="P29" s="94"/>
      <c r="Q29" s="95"/>
      <c r="R29" s="96">
        <f t="shared" si="3"/>
        <v>0</v>
      </c>
      <c r="S29" s="95">
        <f t="shared" si="4"/>
        <v>12</v>
      </c>
      <c r="T29" s="44"/>
      <c r="U29" s="28"/>
      <c r="V29" s="30"/>
    </row>
    <row r="30" spans="1:58" x14ac:dyDescent="0.25">
      <c r="A30" s="3">
        <f t="shared" si="0"/>
        <v>26</v>
      </c>
      <c r="B30" s="13" t="s">
        <v>29</v>
      </c>
      <c r="C30" s="104">
        <v>61</v>
      </c>
      <c r="D30" s="105"/>
      <c r="E30" s="94"/>
      <c r="F30" s="94"/>
      <c r="G30" s="106"/>
      <c r="H30" s="96"/>
      <c r="I30" s="96">
        <f t="shared" si="1"/>
        <v>61</v>
      </c>
      <c r="J30" s="107">
        <f t="shared" si="2"/>
        <v>0</v>
      </c>
      <c r="K30" s="44"/>
      <c r="L30" s="94"/>
      <c r="M30" s="94"/>
      <c r="N30" s="94"/>
      <c r="O30" s="94"/>
      <c r="P30" s="94"/>
      <c r="Q30" s="95"/>
      <c r="R30" s="96">
        <f t="shared" si="3"/>
        <v>0</v>
      </c>
      <c r="S30" s="95">
        <f t="shared" si="4"/>
        <v>0</v>
      </c>
      <c r="T30" s="44"/>
      <c r="U30" s="28"/>
      <c r="V30" s="30"/>
    </row>
    <row r="31" spans="1:58" x14ac:dyDescent="0.25">
      <c r="A31" s="3">
        <f t="shared" si="0"/>
        <v>27</v>
      </c>
      <c r="B31" s="13" t="s">
        <v>26</v>
      </c>
      <c r="C31" s="104">
        <v>1</v>
      </c>
      <c r="D31" s="105"/>
      <c r="E31" s="94"/>
      <c r="F31" s="94"/>
      <c r="G31" s="106"/>
      <c r="H31" s="96"/>
      <c r="I31" s="96">
        <f t="shared" si="1"/>
        <v>1</v>
      </c>
      <c r="J31" s="107">
        <f t="shared" si="2"/>
        <v>0</v>
      </c>
      <c r="K31" s="44"/>
      <c r="L31" s="94"/>
      <c r="M31" s="94"/>
      <c r="N31" s="94"/>
      <c r="O31" s="94"/>
      <c r="P31" s="94"/>
      <c r="Q31" s="95"/>
      <c r="R31" s="96">
        <f t="shared" si="3"/>
        <v>0</v>
      </c>
      <c r="S31" s="95">
        <f t="shared" si="4"/>
        <v>0</v>
      </c>
      <c r="T31" s="44"/>
      <c r="U31" s="28"/>
      <c r="V31" s="30"/>
    </row>
    <row r="32" spans="1:58" x14ac:dyDescent="0.25">
      <c r="A32" s="3">
        <f t="shared" si="0"/>
        <v>28</v>
      </c>
      <c r="B32" s="13" t="s">
        <v>28</v>
      </c>
      <c r="C32" s="104">
        <v>1</v>
      </c>
      <c r="D32" s="105"/>
      <c r="E32" s="94"/>
      <c r="F32" s="94"/>
      <c r="G32" s="106"/>
      <c r="H32" s="96"/>
      <c r="I32" s="96">
        <f t="shared" si="1"/>
        <v>1</v>
      </c>
      <c r="J32" s="107">
        <f t="shared" si="2"/>
        <v>0</v>
      </c>
      <c r="K32" s="44"/>
      <c r="L32" s="94"/>
      <c r="M32" s="94"/>
      <c r="N32" s="94"/>
      <c r="O32" s="94"/>
      <c r="P32" s="94"/>
      <c r="Q32" s="95"/>
      <c r="R32" s="96">
        <f t="shared" si="3"/>
        <v>0</v>
      </c>
      <c r="S32" s="95">
        <f t="shared" si="4"/>
        <v>0</v>
      </c>
      <c r="T32" s="44"/>
      <c r="U32" s="28"/>
      <c r="V32" s="30"/>
    </row>
    <row r="33" spans="1:24" x14ac:dyDescent="0.25">
      <c r="A33" s="3">
        <f t="shared" si="0"/>
        <v>29</v>
      </c>
      <c r="B33" s="13" t="s">
        <v>30</v>
      </c>
      <c r="C33" s="104">
        <v>5</v>
      </c>
      <c r="D33" s="105"/>
      <c r="E33" s="94"/>
      <c r="F33" s="94"/>
      <c r="G33" s="106"/>
      <c r="H33" s="96"/>
      <c r="I33" s="96">
        <f t="shared" si="1"/>
        <v>5</v>
      </c>
      <c r="J33" s="107">
        <f t="shared" si="2"/>
        <v>0</v>
      </c>
      <c r="K33" s="44"/>
      <c r="L33" s="94"/>
      <c r="M33" s="94"/>
      <c r="N33" s="94"/>
      <c r="O33" s="94"/>
      <c r="P33" s="94"/>
      <c r="Q33" s="95"/>
      <c r="R33" s="96">
        <f t="shared" si="3"/>
        <v>0</v>
      </c>
      <c r="S33" s="95">
        <f t="shared" si="4"/>
        <v>0</v>
      </c>
      <c r="T33" s="44"/>
      <c r="U33" s="28"/>
      <c r="V33" s="30"/>
    </row>
    <row r="34" spans="1:24" x14ac:dyDescent="0.25">
      <c r="A34" s="3">
        <f t="shared" si="0"/>
        <v>30</v>
      </c>
      <c r="B34" s="13" t="s">
        <v>31</v>
      </c>
      <c r="C34" s="104">
        <v>210</v>
      </c>
      <c r="D34" s="105">
        <v>11</v>
      </c>
      <c r="E34" s="94"/>
      <c r="F34" s="94"/>
      <c r="G34" s="106">
        <v>4</v>
      </c>
      <c r="H34" s="96">
        <v>12</v>
      </c>
      <c r="I34" s="96">
        <f t="shared" si="1"/>
        <v>206</v>
      </c>
      <c r="J34" s="107">
        <f t="shared" si="2"/>
        <v>-1</v>
      </c>
      <c r="K34" s="44"/>
      <c r="L34" s="94">
        <v>2</v>
      </c>
      <c r="M34" s="94">
        <v>12</v>
      </c>
      <c r="N34" s="94"/>
      <c r="O34" s="94"/>
      <c r="P34" s="94">
        <v>2</v>
      </c>
      <c r="Q34" s="95"/>
      <c r="R34" s="96">
        <f t="shared" si="3"/>
        <v>4</v>
      </c>
      <c r="S34" s="95">
        <f t="shared" si="4"/>
        <v>12</v>
      </c>
      <c r="T34" s="44"/>
      <c r="U34" s="28"/>
      <c r="V34" s="30"/>
    </row>
    <row r="35" spans="1:24" ht="18.75" hidden="1" customHeight="1" x14ac:dyDescent="0.25">
      <c r="A35" s="3">
        <f t="shared" si="0"/>
        <v>31</v>
      </c>
      <c r="B35" s="13" t="s">
        <v>39</v>
      </c>
      <c r="C35" s="104"/>
      <c r="D35" s="105"/>
      <c r="E35" s="94"/>
      <c r="F35" s="94"/>
      <c r="G35" s="106"/>
      <c r="H35" s="96"/>
      <c r="I35" s="96">
        <f t="shared" si="1"/>
        <v>0</v>
      </c>
      <c r="J35" s="107">
        <f t="shared" si="2"/>
        <v>0</v>
      </c>
      <c r="K35" s="44"/>
      <c r="L35" s="94"/>
      <c r="M35" s="94"/>
      <c r="N35" s="94"/>
      <c r="O35" s="94"/>
      <c r="P35" s="94"/>
      <c r="Q35" s="95"/>
      <c r="R35" s="96">
        <f t="shared" si="3"/>
        <v>0</v>
      </c>
      <c r="S35" s="95">
        <f t="shared" si="4"/>
        <v>0</v>
      </c>
      <c r="T35" s="44"/>
      <c r="U35" s="28"/>
      <c r="V35" s="30"/>
    </row>
    <row r="36" spans="1:24" ht="18.75" customHeight="1" x14ac:dyDescent="0.25">
      <c r="A36" s="3">
        <v>31</v>
      </c>
      <c r="B36" s="13" t="s">
        <v>32</v>
      </c>
      <c r="C36" s="104">
        <v>1</v>
      </c>
      <c r="D36" s="105"/>
      <c r="E36" s="94"/>
      <c r="F36" s="94"/>
      <c r="G36" s="106"/>
      <c r="H36" s="96"/>
      <c r="I36" s="96">
        <f t="shared" si="1"/>
        <v>1</v>
      </c>
      <c r="J36" s="107">
        <f t="shared" si="2"/>
        <v>0</v>
      </c>
      <c r="K36" s="44"/>
      <c r="L36" s="94"/>
      <c r="M36" s="94"/>
      <c r="N36" s="94"/>
      <c r="O36" s="94"/>
      <c r="P36" s="94"/>
      <c r="Q36" s="95"/>
      <c r="R36" s="96">
        <f t="shared" si="3"/>
        <v>0</v>
      </c>
      <c r="S36" s="95">
        <f t="shared" si="4"/>
        <v>0</v>
      </c>
      <c r="T36" s="44"/>
      <c r="U36" s="28"/>
      <c r="V36" s="30"/>
    </row>
    <row r="37" spans="1:24" ht="19.5" thickBot="1" x14ac:dyDescent="0.3">
      <c r="A37" s="3">
        <f t="shared" si="0"/>
        <v>32</v>
      </c>
      <c r="B37" s="54" t="s">
        <v>33</v>
      </c>
      <c r="C37" s="108">
        <v>6718</v>
      </c>
      <c r="D37" s="109">
        <v>5</v>
      </c>
      <c r="E37" s="110"/>
      <c r="F37" s="110"/>
      <c r="G37" s="111">
        <v>77</v>
      </c>
      <c r="H37" s="112"/>
      <c r="I37" s="96">
        <f t="shared" si="1"/>
        <v>6641</v>
      </c>
      <c r="J37" s="107">
        <f t="shared" si="2"/>
        <v>5</v>
      </c>
      <c r="K37" s="64"/>
      <c r="L37" s="97">
        <v>20</v>
      </c>
      <c r="M37" s="97"/>
      <c r="N37" s="97">
        <v>39</v>
      </c>
      <c r="O37" s="97"/>
      <c r="P37" s="97">
        <v>18</v>
      </c>
      <c r="Q37" s="98"/>
      <c r="R37" s="96">
        <f t="shared" si="3"/>
        <v>77</v>
      </c>
      <c r="S37" s="95">
        <f t="shared" si="4"/>
        <v>0</v>
      </c>
      <c r="T37" s="64"/>
      <c r="U37" s="67"/>
      <c r="V37" s="66"/>
    </row>
    <row r="38" spans="1:24" x14ac:dyDescent="0.25">
      <c r="A38" s="3">
        <f t="shared" si="0"/>
        <v>33</v>
      </c>
      <c r="B38" s="10" t="s">
        <v>34</v>
      </c>
      <c r="C38" s="104">
        <v>1</v>
      </c>
      <c r="D38" s="105"/>
      <c r="E38" s="94"/>
      <c r="F38" s="94"/>
      <c r="G38" s="106"/>
      <c r="H38" s="96"/>
      <c r="I38" s="96">
        <f t="shared" si="1"/>
        <v>1</v>
      </c>
      <c r="J38" s="107">
        <f t="shared" si="2"/>
        <v>0</v>
      </c>
      <c r="K38" s="44"/>
      <c r="L38" s="94"/>
      <c r="M38" s="94"/>
      <c r="N38" s="94"/>
      <c r="O38" s="94"/>
      <c r="P38" s="94"/>
      <c r="Q38" s="95"/>
      <c r="R38" s="96">
        <f t="shared" si="3"/>
        <v>0</v>
      </c>
      <c r="S38" s="95">
        <f t="shared" si="4"/>
        <v>0</v>
      </c>
      <c r="T38" s="44"/>
      <c r="U38" s="28"/>
      <c r="V38" s="30"/>
    </row>
    <row r="39" spans="1:24" ht="19.5" thickBot="1" x14ac:dyDescent="0.3">
      <c r="A39" s="3">
        <f>A38+1</f>
        <v>34</v>
      </c>
      <c r="B39" s="54" t="s">
        <v>35</v>
      </c>
      <c r="C39" s="108">
        <v>235</v>
      </c>
      <c r="D39" s="109"/>
      <c r="E39" s="110"/>
      <c r="F39" s="110"/>
      <c r="G39" s="111">
        <v>2</v>
      </c>
      <c r="H39" s="112">
        <v>12</v>
      </c>
      <c r="I39" s="96">
        <f t="shared" si="1"/>
        <v>233</v>
      </c>
      <c r="J39" s="107">
        <f t="shared" si="2"/>
        <v>-12</v>
      </c>
      <c r="K39" s="64"/>
      <c r="L39" s="97">
        <v>1</v>
      </c>
      <c r="M39" s="97">
        <v>12</v>
      </c>
      <c r="N39" s="97"/>
      <c r="O39" s="97"/>
      <c r="P39" s="97">
        <v>1</v>
      </c>
      <c r="Q39" s="98"/>
      <c r="R39" s="96">
        <f t="shared" si="3"/>
        <v>2</v>
      </c>
      <c r="S39" s="95">
        <f t="shared" si="4"/>
        <v>12</v>
      </c>
      <c r="T39" s="64"/>
      <c r="U39" s="67"/>
      <c r="V39" s="66"/>
    </row>
    <row r="40" spans="1:24" ht="19.5" thickBot="1" x14ac:dyDescent="0.3">
      <c r="A40" s="3">
        <f t="shared" si="0"/>
        <v>35</v>
      </c>
      <c r="B40" s="59" t="s">
        <v>36</v>
      </c>
      <c r="C40" s="113">
        <v>1749</v>
      </c>
      <c r="D40" s="114"/>
      <c r="E40" s="99"/>
      <c r="F40" s="99"/>
      <c r="G40" s="115">
        <v>29</v>
      </c>
      <c r="H40" s="116"/>
      <c r="I40" s="96">
        <f t="shared" si="1"/>
        <v>1720</v>
      </c>
      <c r="J40" s="107">
        <f t="shared" si="2"/>
        <v>0</v>
      </c>
      <c r="K40" s="69"/>
      <c r="L40" s="99">
        <v>16</v>
      </c>
      <c r="M40" s="99"/>
      <c r="N40" s="99">
        <v>2</v>
      </c>
      <c r="O40" s="99"/>
      <c r="P40" s="99">
        <v>11</v>
      </c>
      <c r="Q40" s="100"/>
      <c r="R40" s="96">
        <f t="shared" si="3"/>
        <v>29</v>
      </c>
      <c r="S40" s="95">
        <f t="shared" si="4"/>
        <v>0</v>
      </c>
      <c r="T40" s="69"/>
      <c r="U40" s="60"/>
      <c r="V40" s="63"/>
    </row>
    <row r="41" spans="1:24" ht="18.75" hidden="1" customHeight="1" x14ac:dyDescent="0.25">
      <c r="A41" s="3">
        <f t="shared" si="0"/>
        <v>36</v>
      </c>
      <c r="B41" s="10" t="s">
        <v>43</v>
      </c>
      <c r="C41" s="104"/>
      <c r="D41" s="105"/>
      <c r="E41" s="94"/>
      <c r="F41" s="94"/>
      <c r="G41" s="106"/>
      <c r="H41" s="96"/>
      <c r="I41" s="96">
        <f t="shared" si="1"/>
        <v>0</v>
      </c>
      <c r="J41" s="107">
        <f t="shared" si="2"/>
        <v>0</v>
      </c>
      <c r="K41" s="44"/>
      <c r="L41" s="94"/>
      <c r="M41" s="94"/>
      <c r="N41" s="94"/>
      <c r="O41" s="94"/>
      <c r="P41" s="94"/>
      <c r="Q41" s="95"/>
      <c r="R41" s="96">
        <f t="shared" si="3"/>
        <v>0</v>
      </c>
      <c r="S41" s="95">
        <f t="shared" si="4"/>
        <v>0</v>
      </c>
      <c r="T41" s="44"/>
      <c r="U41" s="28"/>
      <c r="V41" s="30"/>
    </row>
    <row r="42" spans="1:24" ht="19.5" thickBot="1" x14ac:dyDescent="0.3">
      <c r="A42" s="3">
        <v>36</v>
      </c>
      <c r="B42" s="54" t="s">
        <v>37</v>
      </c>
      <c r="C42" s="108">
        <v>45466</v>
      </c>
      <c r="D42" s="109">
        <v>2</v>
      </c>
      <c r="E42" s="110"/>
      <c r="F42" s="110"/>
      <c r="G42" s="111">
        <v>641</v>
      </c>
      <c r="H42" s="112"/>
      <c r="I42" s="96">
        <f t="shared" si="1"/>
        <v>44825</v>
      </c>
      <c r="J42" s="107">
        <f t="shared" si="2"/>
        <v>2</v>
      </c>
      <c r="K42" s="64"/>
      <c r="L42" s="97">
        <v>262</v>
      </c>
      <c r="M42" s="97"/>
      <c r="N42" s="97">
        <v>168</v>
      </c>
      <c r="O42" s="97"/>
      <c r="P42" s="97">
        <v>211</v>
      </c>
      <c r="Q42" s="98"/>
      <c r="R42" s="96">
        <f t="shared" si="3"/>
        <v>641</v>
      </c>
      <c r="S42" s="95">
        <f t="shared" si="4"/>
        <v>0</v>
      </c>
      <c r="T42" s="64"/>
      <c r="U42" s="67"/>
      <c r="V42" s="66"/>
      <c r="X42" s="50"/>
    </row>
    <row r="43" spans="1:24" ht="18.75" hidden="1" customHeight="1" x14ac:dyDescent="0.25">
      <c r="A43" s="3">
        <f t="shared" si="0"/>
        <v>37</v>
      </c>
      <c r="B43" s="10" t="s">
        <v>45</v>
      </c>
      <c r="C43" s="104"/>
      <c r="D43" s="105"/>
      <c r="E43" s="94"/>
      <c r="F43" s="94"/>
      <c r="G43" s="106"/>
      <c r="H43" s="96"/>
      <c r="I43" s="96">
        <f t="shared" si="1"/>
        <v>0</v>
      </c>
      <c r="J43" s="107">
        <f t="shared" si="2"/>
        <v>0</v>
      </c>
      <c r="K43" s="44"/>
      <c r="L43" s="94"/>
      <c r="M43" s="94"/>
      <c r="N43" s="94"/>
      <c r="O43" s="94"/>
      <c r="P43" s="94"/>
      <c r="Q43" s="95"/>
      <c r="R43" s="96">
        <f t="shared" si="3"/>
        <v>0</v>
      </c>
      <c r="S43" s="95">
        <f t="shared" si="4"/>
        <v>0</v>
      </c>
      <c r="T43" s="44"/>
      <c r="U43" s="28"/>
      <c r="V43" s="30"/>
    </row>
    <row r="44" spans="1:24" x14ac:dyDescent="0.25">
      <c r="A44" s="3">
        <v>37</v>
      </c>
      <c r="B44" s="13" t="s">
        <v>38</v>
      </c>
      <c r="C44" s="104">
        <v>8</v>
      </c>
      <c r="D44" s="105"/>
      <c r="E44" s="94"/>
      <c r="F44" s="94"/>
      <c r="G44" s="106"/>
      <c r="H44" s="96"/>
      <c r="I44" s="96">
        <f t="shared" si="1"/>
        <v>8</v>
      </c>
      <c r="J44" s="107">
        <f t="shared" si="2"/>
        <v>0</v>
      </c>
      <c r="K44" s="44"/>
      <c r="L44" s="94"/>
      <c r="M44" s="94"/>
      <c r="N44" s="94"/>
      <c r="O44" s="94"/>
      <c r="P44" s="94"/>
      <c r="Q44" s="95"/>
      <c r="R44" s="96">
        <f t="shared" si="3"/>
        <v>0</v>
      </c>
      <c r="S44" s="95">
        <f t="shared" si="4"/>
        <v>0</v>
      </c>
      <c r="T44" s="44"/>
      <c r="U44" s="28"/>
      <c r="V44" s="30"/>
    </row>
    <row r="45" spans="1:24" x14ac:dyDescent="0.25">
      <c r="A45" s="3">
        <f t="shared" si="0"/>
        <v>38</v>
      </c>
      <c r="B45" s="13" t="s">
        <v>71</v>
      </c>
      <c r="C45" s="104">
        <v>3</v>
      </c>
      <c r="D45" s="105"/>
      <c r="E45" s="94"/>
      <c r="F45" s="94"/>
      <c r="G45" s="106"/>
      <c r="H45" s="96"/>
      <c r="I45" s="96">
        <f t="shared" si="1"/>
        <v>3</v>
      </c>
      <c r="J45" s="107">
        <f t="shared" si="2"/>
        <v>0</v>
      </c>
      <c r="K45" s="44"/>
      <c r="L45" s="94"/>
      <c r="M45" s="94"/>
      <c r="N45" s="94"/>
      <c r="O45" s="94"/>
      <c r="P45" s="94"/>
      <c r="Q45" s="95"/>
      <c r="R45" s="96">
        <f t="shared" si="3"/>
        <v>0</v>
      </c>
      <c r="S45" s="95">
        <f t="shared" si="4"/>
        <v>0</v>
      </c>
      <c r="T45" s="44"/>
      <c r="U45" s="28"/>
      <c r="V45" s="30"/>
    </row>
    <row r="46" spans="1:24" x14ac:dyDescent="0.25">
      <c r="A46" s="3">
        <f t="shared" si="0"/>
        <v>39</v>
      </c>
      <c r="B46" s="13" t="s">
        <v>39</v>
      </c>
      <c r="C46" s="104">
        <v>1614</v>
      </c>
      <c r="D46" s="105">
        <v>3</v>
      </c>
      <c r="E46" s="94"/>
      <c r="F46" s="94"/>
      <c r="G46" s="106">
        <v>11</v>
      </c>
      <c r="H46" s="96"/>
      <c r="I46" s="96">
        <f t="shared" si="1"/>
        <v>1603</v>
      </c>
      <c r="J46" s="107">
        <f t="shared" si="2"/>
        <v>3</v>
      </c>
      <c r="K46" s="44"/>
      <c r="L46" s="94">
        <v>11</v>
      </c>
      <c r="M46" s="94"/>
      <c r="N46" s="94"/>
      <c r="O46" s="94"/>
      <c r="P46" s="94"/>
      <c r="Q46" s="95"/>
      <c r="R46" s="96">
        <f t="shared" si="3"/>
        <v>11</v>
      </c>
      <c r="S46" s="95">
        <f t="shared" si="4"/>
        <v>0</v>
      </c>
      <c r="T46" s="44"/>
      <c r="U46" s="28"/>
      <c r="V46" s="30"/>
    </row>
    <row r="47" spans="1:24" x14ac:dyDescent="0.25">
      <c r="A47" s="3">
        <f t="shared" si="0"/>
        <v>40</v>
      </c>
      <c r="B47" s="13" t="s">
        <v>72</v>
      </c>
      <c r="C47" s="104"/>
      <c r="D47" s="105"/>
      <c r="E47" s="94"/>
      <c r="F47" s="94"/>
      <c r="G47" s="106"/>
      <c r="H47" s="96"/>
      <c r="I47" s="96">
        <f t="shared" si="1"/>
        <v>0</v>
      </c>
      <c r="J47" s="107">
        <f t="shared" si="2"/>
        <v>0</v>
      </c>
      <c r="K47" s="44"/>
      <c r="L47" s="94"/>
      <c r="M47" s="94"/>
      <c r="N47" s="94"/>
      <c r="O47" s="94"/>
      <c r="P47" s="94"/>
      <c r="Q47" s="95"/>
      <c r="R47" s="96">
        <f t="shared" si="3"/>
        <v>0</v>
      </c>
      <c r="S47" s="95">
        <f t="shared" si="4"/>
        <v>0</v>
      </c>
      <c r="T47" s="44"/>
      <c r="U47" s="28"/>
      <c r="V47" s="30"/>
    </row>
    <row r="48" spans="1:24" x14ac:dyDescent="0.25">
      <c r="A48" s="3">
        <f t="shared" si="0"/>
        <v>41</v>
      </c>
      <c r="B48" s="13" t="s">
        <v>40</v>
      </c>
      <c r="C48" s="104">
        <v>1</v>
      </c>
      <c r="D48" s="105"/>
      <c r="E48" s="94"/>
      <c r="F48" s="94"/>
      <c r="G48" s="106"/>
      <c r="H48" s="96"/>
      <c r="I48" s="96">
        <f t="shared" si="1"/>
        <v>1</v>
      </c>
      <c r="J48" s="107">
        <f t="shared" si="2"/>
        <v>0</v>
      </c>
      <c r="K48" s="44"/>
      <c r="L48" s="94"/>
      <c r="M48" s="94"/>
      <c r="N48" s="94"/>
      <c r="O48" s="94"/>
      <c r="P48" s="94"/>
      <c r="Q48" s="95"/>
      <c r="R48" s="96">
        <f t="shared" si="3"/>
        <v>0</v>
      </c>
      <c r="S48" s="95">
        <f t="shared" si="4"/>
        <v>0</v>
      </c>
      <c r="T48" s="44"/>
      <c r="U48" s="28"/>
      <c r="V48" s="30"/>
    </row>
    <row r="49" spans="1:22" x14ac:dyDescent="0.25">
      <c r="A49" s="3">
        <f t="shared" si="0"/>
        <v>42</v>
      </c>
      <c r="B49" s="13" t="s">
        <v>73</v>
      </c>
      <c r="C49" s="104"/>
      <c r="D49" s="105"/>
      <c r="E49" s="94"/>
      <c r="F49" s="94"/>
      <c r="G49" s="106"/>
      <c r="H49" s="96"/>
      <c r="I49" s="96">
        <f t="shared" si="1"/>
        <v>0</v>
      </c>
      <c r="J49" s="107">
        <f t="shared" si="2"/>
        <v>0</v>
      </c>
      <c r="K49" s="44"/>
      <c r="L49" s="94"/>
      <c r="M49" s="94"/>
      <c r="N49" s="94"/>
      <c r="O49" s="94"/>
      <c r="P49" s="94"/>
      <c r="Q49" s="95"/>
      <c r="R49" s="96">
        <f t="shared" si="3"/>
        <v>0</v>
      </c>
      <c r="S49" s="95">
        <f t="shared" si="4"/>
        <v>0</v>
      </c>
      <c r="T49" s="44"/>
      <c r="U49" s="28"/>
      <c r="V49" s="30"/>
    </row>
    <row r="50" spans="1:22" x14ac:dyDescent="0.25">
      <c r="A50" s="3">
        <f t="shared" si="0"/>
        <v>43</v>
      </c>
      <c r="B50" s="13" t="s">
        <v>41</v>
      </c>
      <c r="C50" s="104">
        <v>15</v>
      </c>
      <c r="D50" s="105"/>
      <c r="E50" s="94"/>
      <c r="F50" s="94"/>
      <c r="G50" s="106"/>
      <c r="H50" s="96"/>
      <c r="I50" s="96">
        <f t="shared" si="1"/>
        <v>15</v>
      </c>
      <c r="J50" s="107">
        <f t="shared" si="2"/>
        <v>0</v>
      </c>
      <c r="K50" s="44"/>
      <c r="L50" s="94"/>
      <c r="M50" s="94"/>
      <c r="N50" s="94"/>
      <c r="O50" s="94"/>
      <c r="P50" s="94"/>
      <c r="Q50" s="95"/>
      <c r="R50" s="96">
        <f t="shared" si="3"/>
        <v>0</v>
      </c>
      <c r="S50" s="95">
        <f t="shared" si="4"/>
        <v>0</v>
      </c>
      <c r="T50" s="44"/>
      <c r="U50" s="28"/>
      <c r="V50" s="30"/>
    </row>
    <row r="51" spans="1:22" x14ac:dyDescent="0.25">
      <c r="A51" s="3">
        <f t="shared" si="0"/>
        <v>44</v>
      </c>
      <c r="B51" s="13" t="s">
        <v>42</v>
      </c>
      <c r="C51" s="104"/>
      <c r="D51" s="105"/>
      <c r="E51" s="94"/>
      <c r="F51" s="94"/>
      <c r="G51" s="106"/>
      <c r="H51" s="96"/>
      <c r="I51" s="96">
        <f t="shared" si="1"/>
        <v>0</v>
      </c>
      <c r="J51" s="107">
        <f t="shared" si="2"/>
        <v>0</v>
      </c>
      <c r="K51" s="44"/>
      <c r="L51" s="94"/>
      <c r="M51" s="94"/>
      <c r="N51" s="94"/>
      <c r="O51" s="94"/>
      <c r="P51" s="94"/>
      <c r="Q51" s="95"/>
      <c r="R51" s="96">
        <f t="shared" si="3"/>
        <v>0</v>
      </c>
      <c r="S51" s="95">
        <f t="shared" si="4"/>
        <v>0</v>
      </c>
      <c r="T51" s="44"/>
      <c r="U51" s="28"/>
      <c r="V51" s="30"/>
    </row>
    <row r="52" spans="1:22" s="1" customFormat="1" ht="19.5" thickBot="1" x14ac:dyDescent="0.3">
      <c r="B52" s="15" t="s">
        <v>13</v>
      </c>
      <c r="C52" s="46">
        <f>SUM(C8:C51)</f>
        <v>60668</v>
      </c>
      <c r="D52" s="74">
        <f>SUM(D8:D51)</f>
        <v>79</v>
      </c>
      <c r="E52" s="47"/>
      <c r="F52" s="47"/>
      <c r="G52" s="31">
        <f>SUM(G8:G51)</f>
        <v>802</v>
      </c>
      <c r="H52" s="76">
        <f>SUM(H8:H51)</f>
        <v>41</v>
      </c>
      <c r="I52" s="76">
        <f>SUM(I8:I51)-2</f>
        <v>59864</v>
      </c>
      <c r="J52" s="48">
        <f>SUM(J8:J51)+48</f>
        <v>86</v>
      </c>
      <c r="K52" s="49"/>
      <c r="L52" s="101">
        <f t="shared" ref="L52:S52" si="5">SUM(L8:L51)</f>
        <v>329</v>
      </c>
      <c r="M52" s="101">
        <f t="shared" si="5"/>
        <v>39</v>
      </c>
      <c r="N52" s="101">
        <f t="shared" si="5"/>
        <v>213</v>
      </c>
      <c r="O52" s="101">
        <f t="shared" si="5"/>
        <v>1</v>
      </c>
      <c r="P52" s="101">
        <f t="shared" si="5"/>
        <v>260</v>
      </c>
      <c r="Q52" s="102">
        <f t="shared" si="5"/>
        <v>1</v>
      </c>
      <c r="R52" s="102">
        <f t="shared" si="5"/>
        <v>802</v>
      </c>
      <c r="S52" s="103">
        <f t="shared" si="5"/>
        <v>41</v>
      </c>
      <c r="T52" s="49"/>
      <c r="U52" s="46"/>
      <c r="V52" s="48"/>
    </row>
    <row r="53" spans="1:22" ht="19.5" thickBot="1" x14ac:dyDescent="0.3"/>
    <row r="54" spans="1:22" ht="18.75" customHeight="1" x14ac:dyDescent="0.25">
      <c r="G54" s="138" t="s">
        <v>65</v>
      </c>
      <c r="H54" s="77"/>
      <c r="I54" s="77"/>
      <c r="J54" s="24" t="s">
        <v>66</v>
      </c>
      <c r="L54" s="33"/>
      <c r="M54" s="82"/>
      <c r="N54" s="34"/>
      <c r="O54" s="34"/>
      <c r="P54" s="34"/>
      <c r="Q54" s="88"/>
      <c r="R54" s="88"/>
      <c r="S54" s="35"/>
    </row>
    <row r="55" spans="1:22" x14ac:dyDescent="0.25">
      <c r="G55" s="139"/>
      <c r="H55" s="78"/>
      <c r="I55" s="78"/>
      <c r="J55" s="25" t="s">
        <v>51</v>
      </c>
      <c r="L55" s="36"/>
      <c r="M55" s="83"/>
      <c r="N55" s="37"/>
      <c r="O55" s="37"/>
      <c r="P55" s="37"/>
      <c r="Q55" s="89"/>
      <c r="R55" s="89"/>
      <c r="S55" s="38"/>
    </row>
    <row r="56" spans="1:22" x14ac:dyDescent="0.25">
      <c r="G56" s="140"/>
      <c r="H56" s="79"/>
      <c r="I56" s="79"/>
      <c r="J56" s="25" t="s">
        <v>52</v>
      </c>
      <c r="L56" s="39"/>
      <c r="M56" s="84"/>
      <c r="N56" s="40"/>
      <c r="O56" s="40"/>
      <c r="P56" s="40"/>
      <c r="Q56" s="90"/>
      <c r="R56" s="90"/>
      <c r="S56" s="41"/>
    </row>
    <row r="57" spans="1:22" x14ac:dyDescent="0.25">
      <c r="G57" s="141" t="s">
        <v>64</v>
      </c>
      <c r="H57" s="80"/>
      <c r="I57" s="80"/>
      <c r="J57" s="25" t="s">
        <v>66</v>
      </c>
      <c r="L57" s="39"/>
      <c r="M57" s="84"/>
      <c r="N57" s="40"/>
      <c r="O57" s="40"/>
      <c r="P57" s="40"/>
      <c r="Q57" s="90"/>
      <c r="R57" s="90"/>
      <c r="S57" s="41"/>
    </row>
    <row r="58" spans="1:22" x14ac:dyDescent="0.25">
      <c r="G58" s="141"/>
      <c r="H58" s="80"/>
      <c r="I58" s="80"/>
      <c r="J58" s="25" t="s">
        <v>51</v>
      </c>
      <c r="L58" s="36"/>
      <c r="M58" s="83"/>
      <c r="N58" s="37"/>
      <c r="O58" s="37"/>
      <c r="P58" s="37"/>
      <c r="Q58" s="89"/>
      <c r="R58" s="89"/>
      <c r="S58" s="38"/>
    </row>
    <row r="59" spans="1:22" ht="19.5" thickBot="1" x14ac:dyDescent="0.3">
      <c r="G59" s="142"/>
      <c r="H59" s="81"/>
      <c r="I59" s="81"/>
      <c r="J59" s="26" t="s">
        <v>52</v>
      </c>
      <c r="L59" s="42"/>
      <c r="M59" s="85"/>
      <c r="N59" s="43"/>
      <c r="O59" s="43"/>
      <c r="P59" s="43"/>
      <c r="Q59" s="91"/>
      <c r="R59" s="91"/>
      <c r="S59" s="32"/>
    </row>
    <row r="60" spans="1:22" ht="19.5" thickBot="1" x14ac:dyDescent="0.3"/>
    <row r="61" spans="1:22" ht="113.25" thickBot="1" x14ac:dyDescent="0.3">
      <c r="B61" s="17" t="s">
        <v>53</v>
      </c>
      <c r="C61" s="71" t="s">
        <v>3</v>
      </c>
      <c r="D61" s="72"/>
      <c r="E61" s="19" t="s">
        <v>54</v>
      </c>
      <c r="L61" s="20" t="s">
        <v>10</v>
      </c>
      <c r="M61" s="86"/>
      <c r="N61" s="21" t="s">
        <v>11</v>
      </c>
      <c r="O61" s="21"/>
      <c r="P61" s="21" t="s">
        <v>12</v>
      </c>
      <c r="Q61" s="92"/>
      <c r="R61" s="92"/>
      <c r="S61" s="19" t="s">
        <v>55</v>
      </c>
      <c r="V61" s="71" t="s">
        <v>56</v>
      </c>
    </row>
    <row r="62" spans="1:22" x14ac:dyDescent="0.25">
      <c r="B62" s="22" t="s">
        <v>31</v>
      </c>
      <c r="C62" s="11"/>
      <c r="D62" s="11"/>
      <c r="E62" s="23"/>
      <c r="L62" s="11"/>
      <c r="M62" s="11"/>
      <c r="N62" s="11"/>
      <c r="O62" s="11"/>
      <c r="P62" s="11"/>
      <c r="Q62" s="11"/>
      <c r="R62" s="11"/>
      <c r="S62" s="11"/>
      <c r="V62" s="23"/>
    </row>
    <row r="63" spans="1:22" x14ac:dyDescent="0.25">
      <c r="B63" s="16" t="s">
        <v>57</v>
      </c>
      <c r="C63" s="11"/>
      <c r="D63" s="11"/>
      <c r="E63" s="23"/>
      <c r="L63" s="23"/>
      <c r="M63" s="23"/>
      <c r="N63" s="23"/>
      <c r="O63" s="23"/>
      <c r="P63" s="23"/>
      <c r="Q63" s="23"/>
      <c r="R63" s="23"/>
      <c r="S63" s="23"/>
      <c r="V63" s="23"/>
    </row>
    <row r="64" spans="1:22" x14ac:dyDescent="0.25">
      <c r="B64" s="16" t="s">
        <v>58</v>
      </c>
      <c r="C64" s="11"/>
      <c r="D64" s="11"/>
      <c r="E64" s="23"/>
      <c r="L64" s="23"/>
      <c r="M64" s="23"/>
      <c r="N64" s="23"/>
      <c r="O64" s="23"/>
      <c r="P64" s="23"/>
      <c r="Q64" s="23"/>
      <c r="R64" s="23"/>
      <c r="S64" s="23"/>
      <c r="V64" s="23"/>
    </row>
    <row r="65" spans="2:22" ht="11.25" customHeight="1" x14ac:dyDescent="0.25"/>
    <row r="66" spans="2:22" x14ac:dyDescent="0.25">
      <c r="B66" s="16" t="s">
        <v>59</v>
      </c>
      <c r="C66" s="23"/>
      <c r="D66" s="23"/>
      <c r="E66" s="23"/>
      <c r="L66" s="23"/>
      <c r="M66" s="23"/>
      <c r="N66" s="23"/>
      <c r="O66" s="23"/>
      <c r="P66" s="23"/>
      <c r="Q66" s="23"/>
      <c r="R66" s="23"/>
      <c r="S66" s="23"/>
      <c r="V66" s="23"/>
    </row>
    <row r="67" spans="2:22" x14ac:dyDescent="0.25">
      <c r="B67" s="16" t="s">
        <v>57</v>
      </c>
      <c r="C67" s="23"/>
      <c r="D67" s="23"/>
      <c r="E67" s="23"/>
      <c r="L67" s="23"/>
      <c r="M67" s="23"/>
      <c r="N67" s="23"/>
      <c r="O67" s="23"/>
      <c r="P67" s="23"/>
      <c r="Q67" s="23"/>
      <c r="R67" s="23"/>
      <c r="S67" s="23"/>
      <c r="V67" s="23"/>
    </row>
    <row r="68" spans="2:22" x14ac:dyDescent="0.25">
      <c r="B68" s="16" t="s">
        <v>58</v>
      </c>
      <c r="C68" s="23"/>
      <c r="D68" s="23"/>
      <c r="E68" s="23"/>
      <c r="L68" s="23"/>
      <c r="M68" s="23"/>
      <c r="N68" s="23"/>
      <c r="O68" s="23"/>
      <c r="P68" s="23"/>
      <c r="Q68" s="23"/>
      <c r="R68" s="23"/>
      <c r="S68" s="23"/>
      <c r="V68" s="23"/>
    </row>
    <row r="69" spans="2:22" ht="11.25" customHeight="1" x14ac:dyDescent="0.25"/>
    <row r="70" spans="2:22" x14ac:dyDescent="0.25">
      <c r="B70" s="16" t="s">
        <v>60</v>
      </c>
      <c r="C70" s="23"/>
      <c r="D70" s="23"/>
      <c r="E70" s="23"/>
      <c r="L70" s="23"/>
      <c r="M70" s="23"/>
      <c r="N70" s="23"/>
      <c r="O70" s="23"/>
      <c r="P70" s="23"/>
      <c r="Q70" s="23"/>
      <c r="R70" s="23"/>
      <c r="S70" s="23"/>
      <c r="V70" s="23"/>
    </row>
    <row r="71" spans="2:22" x14ac:dyDescent="0.25">
      <c r="B71" s="16" t="s">
        <v>57</v>
      </c>
      <c r="C71" s="23"/>
      <c r="D71" s="23"/>
      <c r="E71" s="23"/>
      <c r="L71" s="23"/>
      <c r="M71" s="23"/>
      <c r="N71" s="23"/>
      <c r="O71" s="23"/>
      <c r="P71" s="23"/>
      <c r="Q71" s="23"/>
      <c r="R71" s="23"/>
      <c r="S71" s="23"/>
      <c r="V71" s="23"/>
    </row>
    <row r="72" spans="2:22" x14ac:dyDescent="0.25">
      <c r="B72" s="16" t="s">
        <v>58</v>
      </c>
      <c r="C72" s="23"/>
      <c r="D72" s="23"/>
      <c r="E72" s="23"/>
      <c r="L72" s="23"/>
      <c r="M72" s="23"/>
      <c r="N72" s="23"/>
      <c r="O72" s="23"/>
      <c r="P72" s="23"/>
      <c r="Q72" s="23"/>
      <c r="R72" s="23"/>
      <c r="S72" s="23"/>
      <c r="V72" s="23"/>
    </row>
    <row r="73" spans="2:22" ht="11.25" customHeight="1" x14ac:dyDescent="0.25"/>
    <row r="74" spans="2:22" x14ac:dyDescent="0.25">
      <c r="B74" s="16" t="s">
        <v>61</v>
      </c>
      <c r="C74" s="23"/>
      <c r="D74" s="23"/>
      <c r="E74" s="23"/>
      <c r="L74" s="23"/>
      <c r="M74" s="23"/>
      <c r="N74" s="23"/>
      <c r="O74" s="23"/>
      <c r="P74" s="23"/>
      <c r="Q74" s="23"/>
      <c r="R74" s="23"/>
      <c r="S74" s="23"/>
      <c r="V74" s="23"/>
    </row>
    <row r="75" spans="2:22" x14ac:dyDescent="0.25">
      <c r="B75" s="16" t="s">
        <v>57</v>
      </c>
      <c r="C75" s="23"/>
      <c r="D75" s="23"/>
      <c r="E75" s="23"/>
      <c r="L75" s="23"/>
      <c r="M75" s="23"/>
      <c r="N75" s="23"/>
      <c r="O75" s="23"/>
      <c r="P75" s="23"/>
      <c r="Q75" s="23"/>
      <c r="R75" s="23"/>
      <c r="S75" s="23"/>
      <c r="V75" s="23"/>
    </row>
    <row r="76" spans="2:22" x14ac:dyDescent="0.25">
      <c r="B76" s="16" t="s">
        <v>58</v>
      </c>
      <c r="C76" s="11"/>
      <c r="D76" s="11"/>
      <c r="E76" s="23"/>
      <c r="L76" s="23"/>
      <c r="M76" s="23"/>
      <c r="N76" s="23"/>
      <c r="O76" s="23"/>
      <c r="P76" s="23"/>
      <c r="Q76" s="23"/>
      <c r="R76" s="23"/>
      <c r="S76" s="23"/>
      <c r="V76" s="23"/>
    </row>
    <row r="77" spans="2:22" ht="11.25" customHeight="1" x14ac:dyDescent="0.25"/>
    <row r="78" spans="2:22" x14ac:dyDescent="0.25">
      <c r="B78" s="16" t="s">
        <v>62</v>
      </c>
      <c r="C78" s="23"/>
      <c r="D78" s="23"/>
      <c r="E78" s="23"/>
      <c r="L78" s="23"/>
      <c r="M78" s="23"/>
      <c r="N78" s="23"/>
      <c r="O78" s="23"/>
      <c r="P78" s="23"/>
      <c r="Q78" s="23"/>
      <c r="R78" s="23"/>
      <c r="S78" s="23"/>
      <c r="V78" s="23"/>
    </row>
    <row r="79" spans="2:22" x14ac:dyDescent="0.25">
      <c r="B79" s="16" t="s">
        <v>57</v>
      </c>
      <c r="C79" s="23"/>
      <c r="D79" s="23"/>
      <c r="E79" s="23"/>
      <c r="L79" s="23"/>
      <c r="M79" s="23"/>
      <c r="N79" s="23"/>
      <c r="O79" s="23"/>
      <c r="P79" s="23"/>
      <c r="Q79" s="23"/>
      <c r="R79" s="23"/>
      <c r="S79" s="23"/>
      <c r="V79" s="23"/>
    </row>
    <row r="80" spans="2:22" x14ac:dyDescent="0.25">
      <c r="B80" s="16" t="s">
        <v>58</v>
      </c>
      <c r="C80" s="23"/>
      <c r="D80" s="23"/>
      <c r="E80" s="23"/>
      <c r="L80" s="23"/>
      <c r="M80" s="23"/>
      <c r="N80" s="23"/>
      <c r="O80" s="23"/>
      <c r="P80" s="23"/>
      <c r="Q80" s="23"/>
      <c r="R80" s="23"/>
      <c r="S80" s="23"/>
      <c r="V80" s="23"/>
    </row>
    <row r="82" spans="2:22" x14ac:dyDescent="0.25">
      <c r="B82" s="16" t="s">
        <v>63</v>
      </c>
      <c r="C82" s="23"/>
      <c r="D82" s="23"/>
      <c r="E82" s="23"/>
      <c r="L82" s="23"/>
      <c r="M82" s="23"/>
      <c r="N82" s="23"/>
      <c r="O82" s="23"/>
      <c r="P82" s="23"/>
      <c r="Q82" s="23"/>
      <c r="R82" s="23"/>
      <c r="S82" s="23"/>
      <c r="V82" s="23"/>
    </row>
  </sheetData>
  <mergeCells count="12">
    <mergeCell ref="P1:V1"/>
    <mergeCell ref="B4:B5"/>
    <mergeCell ref="C4:C5"/>
    <mergeCell ref="E4:F4"/>
    <mergeCell ref="G4:G5"/>
    <mergeCell ref="J4:J5"/>
    <mergeCell ref="L4:V4"/>
    <mergeCell ref="G54:G56"/>
    <mergeCell ref="G57:G59"/>
    <mergeCell ref="D4:D5"/>
    <mergeCell ref="H4:H5"/>
    <mergeCell ref="I4:I5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25008-6B14-473E-BB6E-746E4E9397BF}">
  <sheetPr>
    <pageSetUpPr fitToPage="1"/>
  </sheetPr>
  <dimension ref="A1:BF82"/>
  <sheetViews>
    <sheetView zoomScale="85" zoomScaleNormal="85" zoomScaleSheetLayoutView="85" zoomScalePageLayoutView="80" workbookViewId="0">
      <pane xSplit="2" ySplit="5" topLeftCell="C6" activePane="bottomRight" state="frozen"/>
      <selection activeCell="I59" sqref="I59:L59"/>
      <selection pane="topRight" activeCell="I59" sqref="I59:L59"/>
      <selection pane="bottomLeft" activeCell="I59" sqref="I59:L59"/>
      <selection pane="bottomRight" activeCell="P1" sqref="P1:V1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1" style="2" bestFit="1" customWidth="1"/>
    <col min="23" max="23" width="2" style="2" customWidth="1"/>
    <col min="24" max="24" width="10.5703125" style="2" bestFit="1" customWidth="1"/>
    <col min="25" max="53" width="7.28515625" style="2" customWidth="1"/>
    <col min="54" max="54" width="1.5703125" style="2" customWidth="1"/>
    <col min="55" max="55" width="9.42578125" style="2" customWidth="1"/>
    <col min="56" max="56" width="1.28515625" style="2" customWidth="1"/>
    <col min="57" max="57" width="12.7109375" style="2" bestFit="1" customWidth="1"/>
    <col min="58" max="58" width="10.28515625" style="2" bestFit="1" customWidth="1"/>
    <col min="59" max="16384" width="9.140625" style="2"/>
  </cols>
  <sheetData>
    <row r="1" spans="1:58" ht="19.5" thickBot="1" x14ac:dyDescent="0.3">
      <c r="B1" s="1" t="s">
        <v>0</v>
      </c>
      <c r="N1" s="2" t="s">
        <v>1</v>
      </c>
      <c r="P1" s="143">
        <v>46030</v>
      </c>
      <c r="Q1" s="144"/>
      <c r="R1" s="144"/>
      <c r="S1" s="144"/>
      <c r="T1" s="144"/>
      <c r="U1" s="144"/>
      <c r="V1" s="145"/>
    </row>
    <row r="2" spans="1:58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58" ht="19.5" thickBot="1" x14ac:dyDescent="0.3"/>
    <row r="4" spans="1:58" ht="19.5" customHeight="1" thickBot="1" x14ac:dyDescent="0.3">
      <c r="A4" s="53"/>
      <c r="B4" s="137" t="s">
        <v>74</v>
      </c>
      <c r="C4" s="146" t="s">
        <v>3</v>
      </c>
      <c r="D4" s="156" t="s">
        <v>75</v>
      </c>
      <c r="E4" s="147" t="s">
        <v>4</v>
      </c>
      <c r="F4" s="148"/>
      <c r="G4" s="149" t="s">
        <v>5</v>
      </c>
      <c r="H4" s="157" t="s">
        <v>75</v>
      </c>
      <c r="I4" s="151" t="s">
        <v>6</v>
      </c>
      <c r="J4" s="157" t="s">
        <v>75</v>
      </c>
      <c r="L4" s="153" t="s">
        <v>7</v>
      </c>
      <c r="M4" s="154"/>
      <c r="N4" s="154"/>
      <c r="O4" s="154"/>
      <c r="P4" s="154"/>
      <c r="Q4" s="154"/>
      <c r="R4" s="154"/>
      <c r="S4" s="154"/>
      <c r="T4" s="154"/>
      <c r="U4" s="154"/>
      <c r="V4" s="155"/>
    </row>
    <row r="5" spans="1:58" s="3" customFormat="1" ht="38.25" thickBot="1" x14ac:dyDescent="0.3">
      <c r="A5" s="53"/>
      <c r="B5" s="137"/>
      <c r="C5" s="146"/>
      <c r="D5" s="156"/>
      <c r="E5" s="52" t="s">
        <v>8</v>
      </c>
      <c r="F5" s="119" t="s">
        <v>9</v>
      </c>
      <c r="G5" s="150"/>
      <c r="H5" s="158"/>
      <c r="I5" s="152"/>
      <c r="J5" s="158"/>
      <c r="L5" s="4" t="s">
        <v>10</v>
      </c>
      <c r="M5" s="93" t="s">
        <v>75</v>
      </c>
      <c r="N5" s="5" t="s">
        <v>11</v>
      </c>
      <c r="O5" s="93" t="s">
        <v>75</v>
      </c>
      <c r="P5" s="5" t="s">
        <v>12</v>
      </c>
      <c r="Q5" s="93" t="s">
        <v>75</v>
      </c>
      <c r="R5" s="6" t="s">
        <v>13</v>
      </c>
      <c r="S5" s="93" t="s">
        <v>75</v>
      </c>
      <c r="T5" s="7"/>
      <c r="U5" s="8"/>
      <c r="V5" s="6" t="s">
        <v>14</v>
      </c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</row>
    <row r="6" spans="1:58" s="3" customFormat="1" x14ac:dyDescent="0.25">
      <c r="B6" s="10"/>
      <c r="C6" s="28"/>
      <c r="D6" s="73"/>
      <c r="E6" s="27"/>
      <c r="F6" s="27"/>
      <c r="G6" s="29"/>
      <c r="H6" s="75"/>
      <c r="I6" s="75"/>
      <c r="J6" s="30"/>
      <c r="K6" s="44"/>
      <c r="L6" s="27"/>
      <c r="M6" s="27"/>
      <c r="N6" s="27"/>
      <c r="O6" s="27"/>
      <c r="P6" s="27"/>
      <c r="Q6" s="87"/>
      <c r="R6" s="75"/>
      <c r="S6" s="87"/>
      <c r="T6" s="44"/>
      <c r="U6" s="28"/>
      <c r="V6" s="30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</row>
    <row r="7" spans="1:58" s="3" customFormat="1" x14ac:dyDescent="0.25">
      <c r="B7" s="10"/>
      <c r="C7" s="28"/>
      <c r="D7" s="73"/>
      <c r="E7" s="27"/>
      <c r="F7" s="27"/>
      <c r="G7" s="29"/>
      <c r="H7" s="75"/>
      <c r="I7" s="75"/>
      <c r="J7" s="30"/>
      <c r="K7" s="44"/>
      <c r="L7" s="27"/>
      <c r="M7" s="27"/>
      <c r="N7" s="27"/>
      <c r="O7" s="27"/>
      <c r="P7" s="27"/>
      <c r="Q7" s="87"/>
      <c r="R7" s="75"/>
      <c r="S7" s="87"/>
      <c r="T7" s="44"/>
      <c r="U7" s="28"/>
      <c r="V7" s="30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</row>
    <row r="8" spans="1:58" x14ac:dyDescent="0.25">
      <c r="A8" s="3">
        <v>1</v>
      </c>
      <c r="B8" s="10" t="s">
        <v>46</v>
      </c>
      <c r="C8" s="104">
        <v>89</v>
      </c>
      <c r="D8" s="105"/>
      <c r="E8" s="94"/>
      <c r="F8" s="94"/>
      <c r="G8" s="106"/>
      <c r="H8" s="96"/>
      <c r="I8" s="96">
        <f>C8-G8</f>
        <v>89</v>
      </c>
      <c r="J8" s="107">
        <f>D8-H8</f>
        <v>0</v>
      </c>
      <c r="K8" s="44"/>
      <c r="L8" s="94"/>
      <c r="M8" s="94"/>
      <c r="N8" s="94"/>
      <c r="O8" s="94"/>
      <c r="P8" s="94"/>
      <c r="Q8" s="95"/>
      <c r="R8" s="96">
        <f>L8+N8+P8</f>
        <v>0</v>
      </c>
      <c r="S8" s="95">
        <f>M8+O8+Q8</f>
        <v>0</v>
      </c>
      <c r="T8" s="44"/>
      <c r="U8" s="28"/>
      <c r="V8" s="30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ht="19.5" thickBot="1" x14ac:dyDescent="0.3">
      <c r="A9" s="3">
        <f t="shared" ref="A9:A51" si="0">A8+1</f>
        <v>2</v>
      </c>
      <c r="B9" s="54" t="s">
        <v>49</v>
      </c>
      <c r="C9" s="108">
        <v>143</v>
      </c>
      <c r="D9" s="109"/>
      <c r="E9" s="110"/>
      <c r="F9" s="110"/>
      <c r="G9" s="111"/>
      <c r="H9" s="112"/>
      <c r="I9" s="96">
        <f t="shared" ref="I9:J51" si="1">C9-G9</f>
        <v>143</v>
      </c>
      <c r="J9" s="107">
        <f t="shared" si="1"/>
        <v>0</v>
      </c>
      <c r="K9" s="64"/>
      <c r="L9" s="97"/>
      <c r="M9" s="97"/>
      <c r="N9" s="97"/>
      <c r="O9" s="97"/>
      <c r="P9" s="97"/>
      <c r="Q9" s="98"/>
      <c r="R9" s="96">
        <f t="shared" ref="R9:S51" si="2">L9+N9+P9</f>
        <v>0</v>
      </c>
      <c r="S9" s="95">
        <f t="shared" si="2"/>
        <v>0</v>
      </c>
      <c r="T9" s="64"/>
      <c r="U9" s="67"/>
      <c r="V9" s="66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x14ac:dyDescent="0.25">
      <c r="A10" s="3">
        <f t="shared" si="0"/>
        <v>3</v>
      </c>
      <c r="B10" s="10" t="s">
        <v>47</v>
      </c>
      <c r="C10" s="104"/>
      <c r="D10" s="105"/>
      <c r="E10" s="94"/>
      <c r="F10" s="94"/>
      <c r="G10" s="106"/>
      <c r="H10" s="96"/>
      <c r="I10" s="96">
        <f t="shared" si="1"/>
        <v>0</v>
      </c>
      <c r="J10" s="107">
        <f t="shared" si="1"/>
        <v>0</v>
      </c>
      <c r="K10" s="44"/>
      <c r="L10" s="94"/>
      <c r="M10" s="94"/>
      <c r="N10" s="94"/>
      <c r="O10" s="94"/>
      <c r="P10" s="94"/>
      <c r="Q10" s="95"/>
      <c r="R10" s="96">
        <f t="shared" si="2"/>
        <v>0</v>
      </c>
      <c r="S10" s="95">
        <f t="shared" si="2"/>
        <v>0</v>
      </c>
      <c r="T10" s="44"/>
      <c r="U10" s="28"/>
      <c r="V10" s="30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x14ac:dyDescent="0.25">
      <c r="A11" s="3">
        <f t="shared" si="0"/>
        <v>4</v>
      </c>
      <c r="B11" s="13" t="s">
        <v>50</v>
      </c>
      <c r="C11" s="104">
        <v>18</v>
      </c>
      <c r="D11" s="105"/>
      <c r="E11" s="94"/>
      <c r="F11" s="94"/>
      <c r="G11" s="106">
        <v>6</v>
      </c>
      <c r="H11" s="96"/>
      <c r="I11" s="96">
        <f t="shared" si="1"/>
        <v>12</v>
      </c>
      <c r="J11" s="107">
        <f t="shared" si="1"/>
        <v>0</v>
      </c>
      <c r="K11" s="44"/>
      <c r="L11" s="94">
        <v>1</v>
      </c>
      <c r="M11" s="94"/>
      <c r="N11" s="94"/>
      <c r="O11" s="94"/>
      <c r="P11" s="94">
        <v>5</v>
      </c>
      <c r="Q11" s="95"/>
      <c r="R11" s="96">
        <f t="shared" si="2"/>
        <v>6</v>
      </c>
      <c r="S11" s="95">
        <f t="shared" si="2"/>
        <v>0</v>
      </c>
      <c r="T11" s="44"/>
      <c r="U11" s="28"/>
      <c r="V11" s="30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x14ac:dyDescent="0.25">
      <c r="A12" s="3">
        <f t="shared" si="0"/>
        <v>5</v>
      </c>
      <c r="B12" s="13" t="s">
        <v>48</v>
      </c>
      <c r="C12" s="104">
        <v>33</v>
      </c>
      <c r="D12" s="105"/>
      <c r="E12" s="94"/>
      <c r="F12" s="94"/>
      <c r="G12" s="106">
        <v>5</v>
      </c>
      <c r="H12" s="96"/>
      <c r="I12" s="96">
        <f t="shared" si="1"/>
        <v>28</v>
      </c>
      <c r="J12" s="107">
        <f t="shared" si="1"/>
        <v>0</v>
      </c>
      <c r="K12" s="44"/>
      <c r="L12" s="94"/>
      <c r="M12" s="94"/>
      <c r="N12" s="94"/>
      <c r="O12" s="94"/>
      <c r="P12" s="94">
        <v>5</v>
      </c>
      <c r="Q12" s="95"/>
      <c r="R12" s="96">
        <f t="shared" si="2"/>
        <v>5</v>
      </c>
      <c r="S12" s="95">
        <f t="shared" si="2"/>
        <v>0</v>
      </c>
      <c r="T12" s="44"/>
      <c r="U12" s="28"/>
      <c r="V12" s="30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</row>
    <row r="13" spans="1:58" s="1" customFormat="1" ht="19.5" thickBot="1" x14ac:dyDescent="0.3">
      <c r="A13" s="3">
        <v>7</v>
      </c>
      <c r="B13" s="54" t="s">
        <v>44</v>
      </c>
      <c r="C13" s="108">
        <v>3957</v>
      </c>
      <c r="D13" s="109">
        <v>9</v>
      </c>
      <c r="E13" s="110"/>
      <c r="F13" s="110"/>
      <c r="G13" s="111">
        <v>42</v>
      </c>
      <c r="H13" s="112">
        <v>20</v>
      </c>
      <c r="I13" s="96">
        <f t="shared" si="1"/>
        <v>3915</v>
      </c>
      <c r="J13" s="107">
        <f t="shared" si="1"/>
        <v>-11</v>
      </c>
      <c r="K13" s="68"/>
      <c r="L13" s="97">
        <v>13</v>
      </c>
      <c r="M13" s="97">
        <v>3</v>
      </c>
      <c r="N13" s="97">
        <v>15</v>
      </c>
      <c r="O13" s="97">
        <v>11</v>
      </c>
      <c r="P13" s="97">
        <v>14</v>
      </c>
      <c r="Q13" s="98">
        <v>6</v>
      </c>
      <c r="R13" s="96">
        <f t="shared" si="2"/>
        <v>42</v>
      </c>
      <c r="S13" s="95">
        <f t="shared" si="2"/>
        <v>20</v>
      </c>
      <c r="T13" s="68"/>
      <c r="U13" s="67"/>
      <c r="V13" s="66"/>
      <c r="W13" s="2"/>
      <c r="AB13" s="2"/>
      <c r="AE13" s="2"/>
      <c r="AF13" s="2"/>
      <c r="AG13" s="2"/>
      <c r="AH13" s="2"/>
      <c r="AI13" s="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x14ac:dyDescent="0.25">
      <c r="A14" s="3">
        <v>11</v>
      </c>
      <c r="B14" s="10" t="s">
        <v>15</v>
      </c>
      <c r="C14" s="104">
        <v>5</v>
      </c>
      <c r="D14" s="105"/>
      <c r="E14" s="94"/>
      <c r="F14" s="94"/>
      <c r="G14" s="106"/>
      <c r="H14" s="96"/>
      <c r="I14" s="96">
        <f t="shared" si="1"/>
        <v>5</v>
      </c>
      <c r="J14" s="107">
        <f t="shared" si="1"/>
        <v>0</v>
      </c>
      <c r="K14" s="44"/>
      <c r="L14" s="94"/>
      <c r="M14" s="94"/>
      <c r="N14" s="94"/>
      <c r="O14" s="94"/>
      <c r="P14" s="94"/>
      <c r="Q14" s="95"/>
      <c r="R14" s="96">
        <f t="shared" si="2"/>
        <v>0</v>
      </c>
      <c r="S14" s="95">
        <f t="shared" si="2"/>
        <v>0</v>
      </c>
      <c r="T14" s="44"/>
      <c r="U14" s="28"/>
      <c r="V14" s="30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x14ac:dyDescent="0.25">
      <c r="A15" s="3">
        <f t="shared" si="0"/>
        <v>12</v>
      </c>
      <c r="B15" s="13" t="s">
        <v>16</v>
      </c>
      <c r="C15" s="104">
        <v>1</v>
      </c>
      <c r="D15" s="105"/>
      <c r="E15" s="94"/>
      <c r="F15" s="94"/>
      <c r="G15" s="106"/>
      <c r="H15" s="96"/>
      <c r="I15" s="96">
        <f t="shared" si="1"/>
        <v>1</v>
      </c>
      <c r="J15" s="107">
        <f t="shared" si="1"/>
        <v>0</v>
      </c>
      <c r="K15" s="44"/>
      <c r="L15" s="94"/>
      <c r="M15" s="94"/>
      <c r="N15" s="94"/>
      <c r="O15" s="94"/>
      <c r="P15" s="94"/>
      <c r="Q15" s="95"/>
      <c r="R15" s="96">
        <f t="shared" si="2"/>
        <v>0</v>
      </c>
      <c r="S15" s="95">
        <f t="shared" si="2"/>
        <v>0</v>
      </c>
      <c r="T15" s="44"/>
      <c r="U15" s="28"/>
      <c r="V15" s="30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</row>
    <row r="16" spans="1:58" x14ac:dyDescent="0.25">
      <c r="A16" s="3">
        <f t="shared" si="0"/>
        <v>13</v>
      </c>
      <c r="B16" s="13" t="s">
        <v>17</v>
      </c>
      <c r="C16" s="104">
        <v>1</v>
      </c>
      <c r="D16" s="105"/>
      <c r="E16" s="94"/>
      <c r="F16" s="94"/>
      <c r="G16" s="106"/>
      <c r="H16" s="96"/>
      <c r="I16" s="96">
        <f t="shared" si="1"/>
        <v>1</v>
      </c>
      <c r="J16" s="107">
        <f t="shared" si="1"/>
        <v>0</v>
      </c>
      <c r="K16" s="44"/>
      <c r="L16" s="94"/>
      <c r="M16" s="94"/>
      <c r="N16" s="94"/>
      <c r="O16" s="94"/>
      <c r="P16" s="94"/>
      <c r="Q16" s="95"/>
      <c r="R16" s="96">
        <f t="shared" si="2"/>
        <v>0</v>
      </c>
      <c r="S16" s="95">
        <f t="shared" si="2"/>
        <v>0</v>
      </c>
      <c r="T16" s="44"/>
      <c r="U16" s="28"/>
      <c r="V16" s="30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x14ac:dyDescent="0.25">
      <c r="A17" s="3">
        <f t="shared" si="0"/>
        <v>14</v>
      </c>
      <c r="B17" s="13" t="s">
        <v>18</v>
      </c>
      <c r="C17" s="104"/>
      <c r="D17" s="105"/>
      <c r="E17" s="94"/>
      <c r="F17" s="94"/>
      <c r="G17" s="106"/>
      <c r="H17" s="96"/>
      <c r="I17" s="96">
        <f t="shared" si="1"/>
        <v>0</v>
      </c>
      <c r="J17" s="107">
        <f t="shared" si="1"/>
        <v>0</v>
      </c>
      <c r="K17" s="44"/>
      <c r="L17" s="94"/>
      <c r="M17" s="94"/>
      <c r="N17" s="94"/>
      <c r="O17" s="94"/>
      <c r="P17" s="94"/>
      <c r="Q17" s="95"/>
      <c r="R17" s="96">
        <f t="shared" si="2"/>
        <v>0</v>
      </c>
      <c r="S17" s="95">
        <f t="shared" si="2"/>
        <v>0</v>
      </c>
      <c r="T17" s="44"/>
      <c r="U17" s="28"/>
      <c r="V17" s="30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x14ac:dyDescent="0.25">
      <c r="A18" s="3">
        <f t="shared" si="0"/>
        <v>15</v>
      </c>
      <c r="B18" s="13" t="s">
        <v>19</v>
      </c>
      <c r="C18" s="104">
        <v>6</v>
      </c>
      <c r="D18" s="105"/>
      <c r="E18" s="94"/>
      <c r="F18" s="94"/>
      <c r="G18" s="106"/>
      <c r="H18" s="96"/>
      <c r="I18" s="96">
        <f t="shared" si="1"/>
        <v>6</v>
      </c>
      <c r="J18" s="107">
        <f t="shared" si="1"/>
        <v>0</v>
      </c>
      <c r="K18" s="44"/>
      <c r="L18" s="94"/>
      <c r="M18" s="94"/>
      <c r="N18" s="94"/>
      <c r="O18" s="94"/>
      <c r="P18" s="94"/>
      <c r="Q18" s="95"/>
      <c r="R18" s="96">
        <f t="shared" si="2"/>
        <v>0</v>
      </c>
      <c r="S18" s="95">
        <f t="shared" si="2"/>
        <v>0</v>
      </c>
      <c r="T18" s="44"/>
      <c r="U18" s="28"/>
      <c r="V18" s="30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ht="18.75" hidden="1" customHeight="1" x14ac:dyDescent="0.25">
      <c r="A19" s="3">
        <f t="shared" si="0"/>
        <v>16</v>
      </c>
      <c r="B19" s="13" t="s">
        <v>23</v>
      </c>
      <c r="C19" s="104"/>
      <c r="D19" s="105"/>
      <c r="E19" s="94"/>
      <c r="F19" s="94"/>
      <c r="G19" s="106"/>
      <c r="H19" s="96"/>
      <c r="I19" s="96">
        <f t="shared" si="1"/>
        <v>0</v>
      </c>
      <c r="J19" s="107">
        <f t="shared" si="1"/>
        <v>0</v>
      </c>
      <c r="K19" s="44"/>
      <c r="L19" s="94"/>
      <c r="M19" s="94"/>
      <c r="N19" s="94"/>
      <c r="O19" s="94"/>
      <c r="P19" s="94"/>
      <c r="Q19" s="95"/>
      <c r="R19" s="96">
        <f t="shared" si="2"/>
        <v>0</v>
      </c>
      <c r="S19" s="95">
        <f t="shared" si="2"/>
        <v>0</v>
      </c>
      <c r="T19" s="44"/>
      <c r="U19" s="28"/>
      <c r="V19" s="30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x14ac:dyDescent="0.25">
      <c r="A20" s="3">
        <v>16</v>
      </c>
      <c r="B20" s="13" t="s">
        <v>67</v>
      </c>
      <c r="C20" s="104">
        <v>4</v>
      </c>
      <c r="D20" s="105"/>
      <c r="E20" s="94"/>
      <c r="F20" s="94"/>
      <c r="G20" s="106"/>
      <c r="H20" s="96"/>
      <c r="I20" s="96">
        <f t="shared" si="1"/>
        <v>4</v>
      </c>
      <c r="J20" s="107">
        <f t="shared" si="1"/>
        <v>0</v>
      </c>
      <c r="K20" s="44"/>
      <c r="L20" s="94"/>
      <c r="M20" s="94"/>
      <c r="N20" s="94"/>
      <c r="O20" s="94"/>
      <c r="P20" s="94"/>
      <c r="Q20" s="95"/>
      <c r="R20" s="96">
        <f t="shared" si="2"/>
        <v>0</v>
      </c>
      <c r="S20" s="95">
        <f t="shared" si="2"/>
        <v>0</v>
      </c>
      <c r="T20" s="44"/>
      <c r="U20" s="28"/>
      <c r="V20" s="30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x14ac:dyDescent="0.25">
      <c r="A21" s="3">
        <f t="shared" si="0"/>
        <v>17</v>
      </c>
      <c r="B21" s="13" t="s">
        <v>20</v>
      </c>
      <c r="C21" s="104">
        <v>7</v>
      </c>
      <c r="D21" s="105"/>
      <c r="E21" s="94"/>
      <c r="F21" s="94"/>
      <c r="G21" s="106"/>
      <c r="H21" s="96"/>
      <c r="I21" s="96">
        <f t="shared" si="1"/>
        <v>7</v>
      </c>
      <c r="J21" s="107">
        <f t="shared" si="1"/>
        <v>0</v>
      </c>
      <c r="K21" s="44"/>
      <c r="L21" s="94"/>
      <c r="M21" s="94"/>
      <c r="N21" s="94"/>
      <c r="O21" s="94"/>
      <c r="P21" s="94"/>
      <c r="Q21" s="95"/>
      <c r="R21" s="96">
        <f t="shared" si="2"/>
        <v>0</v>
      </c>
      <c r="S21" s="95">
        <f t="shared" si="2"/>
        <v>0</v>
      </c>
      <c r="T21" s="44"/>
      <c r="U21" s="28"/>
      <c r="V21" s="30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x14ac:dyDescent="0.25">
      <c r="A22" s="3">
        <f t="shared" si="0"/>
        <v>18</v>
      </c>
      <c r="B22" s="13" t="s">
        <v>21</v>
      </c>
      <c r="C22" s="104">
        <v>6</v>
      </c>
      <c r="D22" s="105"/>
      <c r="E22" s="94"/>
      <c r="F22" s="94"/>
      <c r="G22" s="106"/>
      <c r="H22" s="96"/>
      <c r="I22" s="96">
        <f t="shared" si="1"/>
        <v>6</v>
      </c>
      <c r="J22" s="107">
        <f t="shared" si="1"/>
        <v>0</v>
      </c>
      <c r="K22" s="44"/>
      <c r="L22" s="94"/>
      <c r="M22" s="94"/>
      <c r="N22" s="94"/>
      <c r="O22" s="94"/>
      <c r="P22" s="94"/>
      <c r="Q22" s="95"/>
      <c r="R22" s="96">
        <f t="shared" si="2"/>
        <v>0</v>
      </c>
      <c r="S22" s="95">
        <f t="shared" si="2"/>
        <v>0</v>
      </c>
      <c r="T22" s="44"/>
      <c r="U22" s="28"/>
      <c r="V22" s="30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</row>
    <row r="23" spans="1:58" s="1" customFormat="1" x14ac:dyDescent="0.25">
      <c r="A23" s="3">
        <f t="shared" si="0"/>
        <v>19</v>
      </c>
      <c r="B23" s="13" t="s">
        <v>68</v>
      </c>
      <c r="C23" s="104">
        <v>4</v>
      </c>
      <c r="D23" s="105"/>
      <c r="E23" s="94"/>
      <c r="F23" s="94"/>
      <c r="G23" s="106"/>
      <c r="H23" s="96"/>
      <c r="I23" s="96">
        <f t="shared" si="1"/>
        <v>4</v>
      </c>
      <c r="J23" s="107">
        <f t="shared" si="1"/>
        <v>0</v>
      </c>
      <c r="K23" s="45"/>
      <c r="L23" s="94"/>
      <c r="M23" s="94"/>
      <c r="N23" s="94"/>
      <c r="O23" s="94"/>
      <c r="P23" s="94"/>
      <c r="Q23" s="95"/>
      <c r="R23" s="96">
        <f t="shared" si="2"/>
        <v>0</v>
      </c>
      <c r="S23" s="95">
        <f t="shared" si="2"/>
        <v>0</v>
      </c>
      <c r="T23" s="45"/>
      <c r="U23" s="28"/>
      <c r="V23" s="30"/>
      <c r="W23" s="2"/>
      <c r="AB23" s="2"/>
      <c r="AE23" s="2"/>
      <c r="AF23" s="2"/>
      <c r="AG23" s="2"/>
      <c r="AH23" s="2"/>
      <c r="AI23" s="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1" customFormat="1" x14ac:dyDescent="0.25">
      <c r="A24" s="3">
        <f t="shared" si="0"/>
        <v>20</v>
      </c>
      <c r="B24" s="13" t="s">
        <v>69</v>
      </c>
      <c r="C24" s="104">
        <v>55</v>
      </c>
      <c r="D24" s="105"/>
      <c r="E24" s="94"/>
      <c r="F24" s="94"/>
      <c r="G24" s="106"/>
      <c r="H24" s="96"/>
      <c r="I24" s="96">
        <f t="shared" si="1"/>
        <v>55</v>
      </c>
      <c r="J24" s="107">
        <f t="shared" si="1"/>
        <v>0</v>
      </c>
      <c r="K24" s="45"/>
      <c r="L24" s="94"/>
      <c r="M24" s="94"/>
      <c r="N24" s="94"/>
      <c r="O24" s="94"/>
      <c r="P24" s="94"/>
      <c r="Q24" s="95"/>
      <c r="R24" s="96">
        <f t="shared" si="2"/>
        <v>0</v>
      </c>
      <c r="S24" s="95">
        <f t="shared" si="2"/>
        <v>0</v>
      </c>
      <c r="T24" s="45"/>
      <c r="U24" s="28"/>
      <c r="V24" s="30"/>
      <c r="W24" s="2"/>
      <c r="AB24" s="2"/>
      <c r="AE24" s="2"/>
      <c r="AF24" s="2"/>
      <c r="AG24" s="2"/>
      <c r="AH24" s="2"/>
      <c r="AI24" s="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</row>
    <row r="25" spans="1:58" x14ac:dyDescent="0.25">
      <c r="A25" s="3">
        <f t="shared" si="0"/>
        <v>21</v>
      </c>
      <c r="B25" s="13" t="s">
        <v>70</v>
      </c>
      <c r="C25" s="104">
        <v>8</v>
      </c>
      <c r="D25" s="105"/>
      <c r="E25" s="94"/>
      <c r="F25" s="94"/>
      <c r="G25" s="106"/>
      <c r="H25" s="96"/>
      <c r="I25" s="96">
        <f t="shared" si="1"/>
        <v>8</v>
      </c>
      <c r="J25" s="107">
        <f t="shared" si="1"/>
        <v>0</v>
      </c>
      <c r="K25" s="44"/>
      <c r="L25" s="94"/>
      <c r="M25" s="94"/>
      <c r="N25" s="94"/>
      <c r="O25" s="94"/>
      <c r="P25" s="94"/>
      <c r="Q25" s="95"/>
      <c r="R25" s="96">
        <f t="shared" si="2"/>
        <v>0</v>
      </c>
      <c r="S25" s="95">
        <f t="shared" si="2"/>
        <v>0</v>
      </c>
      <c r="T25" s="44"/>
      <c r="U25" s="28"/>
      <c r="V25" s="30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</row>
    <row r="26" spans="1:58" x14ac:dyDescent="0.25">
      <c r="A26" s="3">
        <f t="shared" si="0"/>
        <v>22</v>
      </c>
      <c r="B26" s="13" t="s">
        <v>22</v>
      </c>
      <c r="C26" s="104">
        <v>66</v>
      </c>
      <c r="D26" s="105">
        <v>11</v>
      </c>
      <c r="E26" s="94"/>
      <c r="F26" s="94"/>
      <c r="G26" s="106"/>
      <c r="H26" s="96">
        <v>12</v>
      </c>
      <c r="I26" s="96">
        <f t="shared" si="1"/>
        <v>66</v>
      </c>
      <c r="J26" s="107">
        <f t="shared" si="1"/>
        <v>-1</v>
      </c>
      <c r="K26" s="44"/>
      <c r="L26" s="94"/>
      <c r="M26" s="94">
        <v>12</v>
      </c>
      <c r="N26" s="94"/>
      <c r="O26" s="94"/>
      <c r="P26" s="94"/>
      <c r="Q26" s="95"/>
      <c r="R26" s="96">
        <f t="shared" si="2"/>
        <v>0</v>
      </c>
      <c r="S26" s="95">
        <f t="shared" si="2"/>
        <v>12</v>
      </c>
      <c r="T26" s="44"/>
      <c r="U26" s="28"/>
      <c r="V26" s="30"/>
      <c r="BC26" s="14" t="e">
        <f>#REF!-BC25</f>
        <v>#REF!</v>
      </c>
    </row>
    <row r="27" spans="1:58" s="1" customFormat="1" x14ac:dyDescent="0.25">
      <c r="A27" s="3">
        <f t="shared" si="0"/>
        <v>23</v>
      </c>
      <c r="B27" s="13" t="s">
        <v>24</v>
      </c>
      <c r="C27" s="104">
        <v>21</v>
      </c>
      <c r="D27" s="105"/>
      <c r="E27" s="94"/>
      <c r="F27" s="94"/>
      <c r="G27" s="106">
        <v>1</v>
      </c>
      <c r="H27" s="96"/>
      <c r="I27" s="96">
        <f t="shared" si="1"/>
        <v>20</v>
      </c>
      <c r="J27" s="107">
        <f t="shared" si="1"/>
        <v>0</v>
      </c>
      <c r="K27" s="45"/>
      <c r="L27" s="94">
        <v>1</v>
      </c>
      <c r="M27" s="94"/>
      <c r="N27" s="94"/>
      <c r="O27" s="94"/>
      <c r="P27" s="94"/>
      <c r="Q27" s="95"/>
      <c r="R27" s="96">
        <f t="shared" si="2"/>
        <v>1</v>
      </c>
      <c r="S27" s="95">
        <f t="shared" si="2"/>
        <v>0</v>
      </c>
      <c r="T27" s="45"/>
      <c r="U27" s="28"/>
      <c r="V27" s="30"/>
      <c r="W27" s="2"/>
      <c r="AB27" s="2"/>
      <c r="AE27" s="2"/>
      <c r="AF27" s="2"/>
      <c r="AG27" s="2"/>
      <c r="AH27" s="2"/>
      <c r="AI27" s="2"/>
    </row>
    <row r="28" spans="1:58" s="1" customFormat="1" x14ac:dyDescent="0.25">
      <c r="A28" s="3">
        <f t="shared" si="0"/>
        <v>24</v>
      </c>
      <c r="B28" s="13" t="s">
        <v>25</v>
      </c>
      <c r="C28" s="104">
        <v>83</v>
      </c>
      <c r="D28" s="105">
        <v>12</v>
      </c>
      <c r="E28" s="94"/>
      <c r="F28" s="94"/>
      <c r="G28" s="106">
        <v>3</v>
      </c>
      <c r="H28" s="96">
        <v>12</v>
      </c>
      <c r="I28" s="96">
        <f t="shared" si="1"/>
        <v>80</v>
      </c>
      <c r="J28" s="107">
        <f t="shared" si="1"/>
        <v>0</v>
      </c>
      <c r="K28" s="45"/>
      <c r="L28" s="94"/>
      <c r="M28" s="94">
        <v>12</v>
      </c>
      <c r="N28" s="94"/>
      <c r="O28" s="94"/>
      <c r="P28" s="94">
        <v>3</v>
      </c>
      <c r="Q28" s="95"/>
      <c r="R28" s="96">
        <f t="shared" si="2"/>
        <v>3</v>
      </c>
      <c r="S28" s="95">
        <f t="shared" si="2"/>
        <v>12</v>
      </c>
      <c r="T28" s="45"/>
      <c r="U28" s="28"/>
      <c r="V28" s="30"/>
      <c r="W28" s="2"/>
      <c r="AB28" s="2"/>
      <c r="AE28" s="2"/>
      <c r="AF28" s="2"/>
      <c r="AG28" s="2"/>
      <c r="AH28" s="2"/>
      <c r="AI28" s="2"/>
    </row>
    <row r="29" spans="1:58" x14ac:dyDescent="0.25">
      <c r="A29" s="3">
        <f t="shared" si="0"/>
        <v>25</v>
      </c>
      <c r="B29" s="13" t="s">
        <v>27</v>
      </c>
      <c r="C29" s="104">
        <v>10</v>
      </c>
      <c r="D29" s="105"/>
      <c r="E29" s="94"/>
      <c r="F29" s="94"/>
      <c r="G29" s="106">
        <v>1</v>
      </c>
      <c r="H29" s="96"/>
      <c r="I29" s="96">
        <f t="shared" si="1"/>
        <v>9</v>
      </c>
      <c r="J29" s="107">
        <f t="shared" si="1"/>
        <v>0</v>
      </c>
      <c r="K29" s="44"/>
      <c r="L29" s="94"/>
      <c r="M29" s="94"/>
      <c r="N29" s="94"/>
      <c r="O29" s="94"/>
      <c r="P29" s="94">
        <v>1</v>
      </c>
      <c r="Q29" s="95"/>
      <c r="R29" s="96">
        <f t="shared" si="2"/>
        <v>1</v>
      </c>
      <c r="S29" s="95">
        <f t="shared" si="2"/>
        <v>0</v>
      </c>
      <c r="T29" s="44"/>
      <c r="U29" s="28"/>
      <c r="V29" s="30"/>
    </row>
    <row r="30" spans="1:58" x14ac:dyDescent="0.25">
      <c r="A30" s="3">
        <f t="shared" si="0"/>
        <v>26</v>
      </c>
      <c r="B30" s="13" t="s">
        <v>29</v>
      </c>
      <c r="C30" s="104">
        <v>102</v>
      </c>
      <c r="D30" s="105"/>
      <c r="E30" s="94"/>
      <c r="F30" s="94"/>
      <c r="G30" s="106"/>
      <c r="H30" s="96"/>
      <c r="I30" s="96">
        <f t="shared" si="1"/>
        <v>102</v>
      </c>
      <c r="J30" s="107">
        <f t="shared" si="1"/>
        <v>0</v>
      </c>
      <c r="K30" s="44"/>
      <c r="L30" s="94"/>
      <c r="M30" s="94"/>
      <c r="N30" s="94"/>
      <c r="O30" s="94"/>
      <c r="P30" s="94"/>
      <c r="Q30" s="95"/>
      <c r="R30" s="96">
        <f t="shared" si="2"/>
        <v>0</v>
      </c>
      <c r="S30" s="95">
        <f t="shared" si="2"/>
        <v>0</v>
      </c>
      <c r="T30" s="44"/>
      <c r="U30" s="28"/>
      <c r="V30" s="30"/>
    </row>
    <row r="31" spans="1:58" x14ac:dyDescent="0.25">
      <c r="A31" s="3">
        <f t="shared" si="0"/>
        <v>27</v>
      </c>
      <c r="B31" s="13" t="s">
        <v>26</v>
      </c>
      <c r="C31" s="104"/>
      <c r="D31" s="105"/>
      <c r="E31" s="94"/>
      <c r="F31" s="94"/>
      <c r="G31" s="106"/>
      <c r="H31" s="96"/>
      <c r="I31" s="96">
        <f t="shared" si="1"/>
        <v>0</v>
      </c>
      <c r="J31" s="107">
        <f t="shared" si="1"/>
        <v>0</v>
      </c>
      <c r="K31" s="44"/>
      <c r="L31" s="94"/>
      <c r="M31" s="94"/>
      <c r="N31" s="94"/>
      <c r="O31" s="94"/>
      <c r="P31" s="94"/>
      <c r="Q31" s="95"/>
      <c r="R31" s="96">
        <f t="shared" si="2"/>
        <v>0</v>
      </c>
      <c r="S31" s="95">
        <f t="shared" si="2"/>
        <v>0</v>
      </c>
      <c r="T31" s="44"/>
      <c r="U31" s="28"/>
      <c r="V31" s="30"/>
    </row>
    <row r="32" spans="1:58" x14ac:dyDescent="0.25">
      <c r="A32" s="3">
        <f t="shared" si="0"/>
        <v>28</v>
      </c>
      <c r="B32" s="13" t="s">
        <v>28</v>
      </c>
      <c r="C32" s="104"/>
      <c r="D32" s="105"/>
      <c r="E32" s="94"/>
      <c r="F32" s="94"/>
      <c r="G32" s="106"/>
      <c r="H32" s="96"/>
      <c r="I32" s="96">
        <f t="shared" si="1"/>
        <v>0</v>
      </c>
      <c r="J32" s="107">
        <f t="shared" si="1"/>
        <v>0</v>
      </c>
      <c r="K32" s="44"/>
      <c r="L32" s="94"/>
      <c r="M32" s="94"/>
      <c r="N32" s="94"/>
      <c r="O32" s="94"/>
      <c r="P32" s="94"/>
      <c r="Q32" s="95"/>
      <c r="R32" s="96">
        <f t="shared" si="2"/>
        <v>0</v>
      </c>
      <c r="S32" s="95">
        <f t="shared" si="2"/>
        <v>0</v>
      </c>
      <c r="T32" s="44"/>
      <c r="U32" s="28"/>
      <c r="V32" s="30"/>
    </row>
    <row r="33" spans="1:24" x14ac:dyDescent="0.25">
      <c r="A33" s="3">
        <f t="shared" si="0"/>
        <v>29</v>
      </c>
      <c r="B33" s="13" t="s">
        <v>30</v>
      </c>
      <c r="C33" s="104">
        <v>5</v>
      </c>
      <c r="D33" s="105"/>
      <c r="E33" s="94"/>
      <c r="F33" s="94"/>
      <c r="G33" s="106"/>
      <c r="H33" s="96"/>
      <c r="I33" s="96">
        <f t="shared" si="1"/>
        <v>5</v>
      </c>
      <c r="J33" s="107">
        <f t="shared" si="1"/>
        <v>0</v>
      </c>
      <c r="K33" s="44"/>
      <c r="L33" s="94"/>
      <c r="M33" s="94"/>
      <c r="N33" s="94"/>
      <c r="O33" s="94"/>
      <c r="P33" s="94"/>
      <c r="Q33" s="95"/>
      <c r="R33" s="96">
        <f t="shared" si="2"/>
        <v>0</v>
      </c>
      <c r="S33" s="95">
        <f t="shared" si="2"/>
        <v>0</v>
      </c>
      <c r="T33" s="44"/>
      <c r="U33" s="28"/>
      <c r="V33" s="30"/>
    </row>
    <row r="34" spans="1:24" x14ac:dyDescent="0.25">
      <c r="A34" s="3">
        <f t="shared" si="0"/>
        <v>30</v>
      </c>
      <c r="B34" s="13" t="s">
        <v>31</v>
      </c>
      <c r="C34" s="104">
        <v>209</v>
      </c>
      <c r="D34" s="105">
        <v>23</v>
      </c>
      <c r="E34" s="94"/>
      <c r="F34" s="94"/>
      <c r="G34" s="106">
        <v>1</v>
      </c>
      <c r="H34" s="96"/>
      <c r="I34" s="96">
        <f t="shared" si="1"/>
        <v>208</v>
      </c>
      <c r="J34" s="107">
        <f t="shared" si="1"/>
        <v>23</v>
      </c>
      <c r="K34" s="44"/>
      <c r="L34" s="94"/>
      <c r="M34" s="94"/>
      <c r="N34" s="94"/>
      <c r="O34" s="94"/>
      <c r="P34" s="94">
        <v>1</v>
      </c>
      <c r="Q34" s="95"/>
      <c r="R34" s="96">
        <f t="shared" si="2"/>
        <v>1</v>
      </c>
      <c r="S34" s="95">
        <f t="shared" si="2"/>
        <v>0</v>
      </c>
      <c r="T34" s="44"/>
      <c r="U34" s="28"/>
      <c r="V34" s="30"/>
    </row>
    <row r="35" spans="1:24" ht="18.75" hidden="1" customHeight="1" x14ac:dyDescent="0.25">
      <c r="A35" s="3">
        <f t="shared" si="0"/>
        <v>31</v>
      </c>
      <c r="B35" s="13" t="s">
        <v>39</v>
      </c>
      <c r="C35" s="104"/>
      <c r="D35" s="105"/>
      <c r="E35" s="94"/>
      <c r="F35" s="94"/>
      <c r="G35" s="106"/>
      <c r="H35" s="96"/>
      <c r="I35" s="96">
        <f t="shared" si="1"/>
        <v>0</v>
      </c>
      <c r="J35" s="107">
        <f t="shared" si="1"/>
        <v>0</v>
      </c>
      <c r="K35" s="44"/>
      <c r="L35" s="94"/>
      <c r="M35" s="94"/>
      <c r="N35" s="94"/>
      <c r="O35" s="94"/>
      <c r="P35" s="94"/>
      <c r="Q35" s="95"/>
      <c r="R35" s="96">
        <f t="shared" si="2"/>
        <v>0</v>
      </c>
      <c r="S35" s="95">
        <f t="shared" si="2"/>
        <v>0</v>
      </c>
      <c r="T35" s="44"/>
      <c r="U35" s="28"/>
      <c r="V35" s="30"/>
    </row>
    <row r="36" spans="1:24" ht="18.75" customHeight="1" x14ac:dyDescent="0.25">
      <c r="A36" s="3">
        <v>31</v>
      </c>
      <c r="B36" s="13" t="s">
        <v>32</v>
      </c>
      <c r="C36" s="104">
        <v>1</v>
      </c>
      <c r="D36" s="105"/>
      <c r="E36" s="94"/>
      <c r="F36" s="94"/>
      <c r="G36" s="106"/>
      <c r="H36" s="96"/>
      <c r="I36" s="96">
        <f t="shared" si="1"/>
        <v>1</v>
      </c>
      <c r="J36" s="107">
        <f t="shared" si="1"/>
        <v>0</v>
      </c>
      <c r="K36" s="44"/>
      <c r="L36" s="94"/>
      <c r="M36" s="94"/>
      <c r="N36" s="94"/>
      <c r="O36" s="94"/>
      <c r="P36" s="94"/>
      <c r="Q36" s="95"/>
      <c r="R36" s="96">
        <f t="shared" si="2"/>
        <v>0</v>
      </c>
      <c r="S36" s="95">
        <f t="shared" si="2"/>
        <v>0</v>
      </c>
      <c r="T36" s="44"/>
      <c r="U36" s="28"/>
      <c r="V36" s="30"/>
    </row>
    <row r="37" spans="1:24" ht="19.5" thickBot="1" x14ac:dyDescent="0.3">
      <c r="A37" s="3">
        <f t="shared" si="0"/>
        <v>32</v>
      </c>
      <c r="B37" s="54" t="s">
        <v>33</v>
      </c>
      <c r="C37" s="108">
        <v>6917</v>
      </c>
      <c r="D37" s="109">
        <v>2</v>
      </c>
      <c r="E37" s="110"/>
      <c r="F37" s="110"/>
      <c r="G37" s="111">
        <v>114</v>
      </c>
      <c r="H37" s="112"/>
      <c r="I37" s="96">
        <f t="shared" si="1"/>
        <v>6803</v>
      </c>
      <c r="J37" s="107">
        <f t="shared" si="1"/>
        <v>2</v>
      </c>
      <c r="K37" s="64"/>
      <c r="L37" s="97">
        <v>10</v>
      </c>
      <c r="M37" s="97"/>
      <c r="N37" s="97">
        <v>20</v>
      </c>
      <c r="O37" s="97"/>
      <c r="P37" s="97">
        <v>84</v>
      </c>
      <c r="Q37" s="98"/>
      <c r="R37" s="96">
        <f t="shared" si="2"/>
        <v>114</v>
      </c>
      <c r="S37" s="95">
        <f t="shared" si="2"/>
        <v>0</v>
      </c>
      <c r="T37" s="64"/>
      <c r="U37" s="67"/>
      <c r="V37" s="66"/>
    </row>
    <row r="38" spans="1:24" x14ac:dyDescent="0.25">
      <c r="A38" s="3">
        <f t="shared" si="0"/>
        <v>33</v>
      </c>
      <c r="B38" s="10" t="s">
        <v>34</v>
      </c>
      <c r="C38" s="104">
        <v>35</v>
      </c>
      <c r="D38" s="105"/>
      <c r="E38" s="94"/>
      <c r="F38" s="94"/>
      <c r="G38" s="106"/>
      <c r="H38" s="96"/>
      <c r="I38" s="96">
        <f t="shared" si="1"/>
        <v>35</v>
      </c>
      <c r="J38" s="107">
        <f t="shared" si="1"/>
        <v>0</v>
      </c>
      <c r="K38" s="44"/>
      <c r="L38" s="94"/>
      <c r="M38" s="94"/>
      <c r="N38" s="94"/>
      <c r="O38" s="94"/>
      <c r="P38" s="94"/>
      <c r="Q38" s="95"/>
      <c r="R38" s="96">
        <f t="shared" si="2"/>
        <v>0</v>
      </c>
      <c r="S38" s="95">
        <f t="shared" si="2"/>
        <v>0</v>
      </c>
      <c r="T38" s="44"/>
      <c r="U38" s="28"/>
      <c r="V38" s="30"/>
    </row>
    <row r="39" spans="1:24" ht="19.5" thickBot="1" x14ac:dyDescent="0.3">
      <c r="A39" s="3">
        <f>A38+1</f>
        <v>34</v>
      </c>
      <c r="B39" s="54" t="s">
        <v>35</v>
      </c>
      <c r="C39" s="108">
        <v>1098</v>
      </c>
      <c r="D39" s="109"/>
      <c r="E39" s="110"/>
      <c r="F39" s="110"/>
      <c r="G39" s="111">
        <v>4</v>
      </c>
      <c r="H39" s="112"/>
      <c r="I39" s="96">
        <f t="shared" si="1"/>
        <v>1094</v>
      </c>
      <c r="J39" s="107">
        <f t="shared" si="1"/>
        <v>0</v>
      </c>
      <c r="K39" s="64"/>
      <c r="L39" s="97">
        <v>2</v>
      </c>
      <c r="M39" s="97"/>
      <c r="N39" s="97"/>
      <c r="O39" s="97"/>
      <c r="P39" s="97">
        <v>2</v>
      </c>
      <c r="Q39" s="98"/>
      <c r="R39" s="96">
        <f t="shared" si="2"/>
        <v>4</v>
      </c>
      <c r="S39" s="95">
        <f t="shared" si="2"/>
        <v>0</v>
      </c>
      <c r="T39" s="64"/>
      <c r="U39" s="67"/>
      <c r="V39" s="66"/>
    </row>
    <row r="40" spans="1:24" ht="19.5" thickBot="1" x14ac:dyDescent="0.3">
      <c r="A40" s="3">
        <f t="shared" si="0"/>
        <v>35</v>
      </c>
      <c r="B40" s="59" t="s">
        <v>36</v>
      </c>
      <c r="C40" s="113">
        <v>2316</v>
      </c>
      <c r="D40" s="114"/>
      <c r="E40" s="99"/>
      <c r="F40" s="99"/>
      <c r="G40" s="115">
        <v>21</v>
      </c>
      <c r="H40" s="116"/>
      <c r="I40" s="96">
        <f t="shared" si="1"/>
        <v>2295</v>
      </c>
      <c r="J40" s="107">
        <f t="shared" si="1"/>
        <v>0</v>
      </c>
      <c r="K40" s="69"/>
      <c r="L40" s="99">
        <v>2</v>
      </c>
      <c r="M40" s="99"/>
      <c r="N40" s="99"/>
      <c r="O40" s="99"/>
      <c r="P40" s="99">
        <v>19</v>
      </c>
      <c r="Q40" s="100"/>
      <c r="R40" s="96">
        <f t="shared" si="2"/>
        <v>21</v>
      </c>
      <c r="S40" s="95">
        <f t="shared" si="2"/>
        <v>0</v>
      </c>
      <c r="T40" s="69"/>
      <c r="U40" s="60"/>
      <c r="V40" s="63"/>
    </row>
    <row r="41" spans="1:24" ht="18.75" hidden="1" customHeight="1" x14ac:dyDescent="0.25">
      <c r="A41" s="3">
        <f t="shared" si="0"/>
        <v>36</v>
      </c>
      <c r="B41" s="10" t="s">
        <v>43</v>
      </c>
      <c r="C41" s="104"/>
      <c r="D41" s="105"/>
      <c r="E41" s="94"/>
      <c r="F41" s="94"/>
      <c r="G41" s="106"/>
      <c r="H41" s="96"/>
      <c r="I41" s="96">
        <f t="shared" si="1"/>
        <v>0</v>
      </c>
      <c r="J41" s="107">
        <f t="shared" si="1"/>
        <v>0</v>
      </c>
      <c r="K41" s="44"/>
      <c r="L41" s="94"/>
      <c r="M41" s="94"/>
      <c r="N41" s="94"/>
      <c r="O41" s="94"/>
      <c r="P41" s="94"/>
      <c r="Q41" s="95"/>
      <c r="R41" s="96">
        <f t="shared" si="2"/>
        <v>0</v>
      </c>
      <c r="S41" s="95">
        <f t="shared" si="2"/>
        <v>0</v>
      </c>
      <c r="T41" s="44"/>
      <c r="U41" s="28"/>
      <c r="V41" s="30"/>
    </row>
    <row r="42" spans="1:24" ht="19.5" thickBot="1" x14ac:dyDescent="0.3">
      <c r="A42" s="3">
        <v>36</v>
      </c>
      <c r="B42" s="54" t="s">
        <v>37</v>
      </c>
      <c r="C42" s="108">
        <v>34124</v>
      </c>
      <c r="D42" s="109">
        <v>3</v>
      </c>
      <c r="E42" s="110"/>
      <c r="F42" s="110"/>
      <c r="G42" s="111">
        <v>1353</v>
      </c>
      <c r="H42" s="112"/>
      <c r="I42" s="96">
        <f t="shared" si="1"/>
        <v>32771</v>
      </c>
      <c r="J42" s="107">
        <f t="shared" si="1"/>
        <v>3</v>
      </c>
      <c r="K42" s="64"/>
      <c r="L42" s="97">
        <v>523</v>
      </c>
      <c r="M42" s="97"/>
      <c r="N42" s="97">
        <v>450</v>
      </c>
      <c r="O42" s="97"/>
      <c r="P42" s="97">
        <v>380</v>
      </c>
      <c r="Q42" s="98"/>
      <c r="R42" s="96">
        <f t="shared" si="2"/>
        <v>1353</v>
      </c>
      <c r="S42" s="95">
        <f t="shared" si="2"/>
        <v>0</v>
      </c>
      <c r="T42" s="64"/>
      <c r="U42" s="67"/>
      <c r="V42" s="66"/>
      <c r="X42" s="50"/>
    </row>
    <row r="43" spans="1:24" ht="18.75" hidden="1" customHeight="1" x14ac:dyDescent="0.25">
      <c r="A43" s="3">
        <f t="shared" si="0"/>
        <v>37</v>
      </c>
      <c r="B43" s="10" t="s">
        <v>45</v>
      </c>
      <c r="C43" s="104"/>
      <c r="D43" s="105"/>
      <c r="E43" s="94"/>
      <c r="F43" s="94"/>
      <c r="G43" s="106"/>
      <c r="H43" s="96"/>
      <c r="I43" s="96">
        <f t="shared" si="1"/>
        <v>0</v>
      </c>
      <c r="J43" s="107">
        <f t="shared" si="1"/>
        <v>0</v>
      </c>
      <c r="K43" s="44"/>
      <c r="L43" s="94"/>
      <c r="M43" s="94"/>
      <c r="N43" s="94"/>
      <c r="O43" s="94"/>
      <c r="P43" s="94"/>
      <c r="Q43" s="95"/>
      <c r="R43" s="96">
        <f t="shared" si="2"/>
        <v>0</v>
      </c>
      <c r="S43" s="95">
        <f t="shared" si="2"/>
        <v>0</v>
      </c>
      <c r="T43" s="44"/>
      <c r="U43" s="28"/>
      <c r="V43" s="30"/>
    </row>
    <row r="44" spans="1:24" x14ac:dyDescent="0.25">
      <c r="A44" s="3">
        <v>37</v>
      </c>
      <c r="B44" s="13" t="s">
        <v>38</v>
      </c>
      <c r="C44" s="104"/>
      <c r="D44" s="105"/>
      <c r="E44" s="94"/>
      <c r="F44" s="94"/>
      <c r="G44" s="106"/>
      <c r="H44" s="96"/>
      <c r="I44" s="96">
        <f t="shared" si="1"/>
        <v>0</v>
      </c>
      <c r="J44" s="107">
        <f t="shared" si="1"/>
        <v>0</v>
      </c>
      <c r="K44" s="44"/>
      <c r="L44" s="94"/>
      <c r="M44" s="94"/>
      <c r="N44" s="94"/>
      <c r="O44" s="94"/>
      <c r="P44" s="94"/>
      <c r="Q44" s="95"/>
      <c r="R44" s="96">
        <f t="shared" si="2"/>
        <v>0</v>
      </c>
      <c r="S44" s="95">
        <f t="shared" si="2"/>
        <v>0</v>
      </c>
      <c r="T44" s="44"/>
      <c r="U44" s="28"/>
      <c r="V44" s="30"/>
    </row>
    <row r="45" spans="1:24" x14ac:dyDescent="0.25">
      <c r="A45" s="3">
        <f t="shared" si="0"/>
        <v>38</v>
      </c>
      <c r="B45" s="13" t="s">
        <v>71</v>
      </c>
      <c r="C45" s="104">
        <v>2</v>
      </c>
      <c r="D45" s="105"/>
      <c r="E45" s="94"/>
      <c r="F45" s="94"/>
      <c r="G45" s="106"/>
      <c r="H45" s="96"/>
      <c r="I45" s="96">
        <f t="shared" si="1"/>
        <v>2</v>
      </c>
      <c r="J45" s="107">
        <f t="shared" si="1"/>
        <v>0</v>
      </c>
      <c r="K45" s="44"/>
      <c r="L45" s="94"/>
      <c r="M45" s="94"/>
      <c r="N45" s="94"/>
      <c r="O45" s="94"/>
      <c r="P45" s="94"/>
      <c r="Q45" s="95"/>
      <c r="R45" s="96">
        <f t="shared" si="2"/>
        <v>0</v>
      </c>
      <c r="S45" s="95">
        <f t="shared" si="2"/>
        <v>0</v>
      </c>
      <c r="T45" s="44"/>
      <c r="U45" s="28"/>
      <c r="V45" s="30"/>
    </row>
    <row r="46" spans="1:24" x14ac:dyDescent="0.25">
      <c r="A46" s="3">
        <f t="shared" si="0"/>
        <v>39</v>
      </c>
      <c r="B46" s="13" t="s">
        <v>39</v>
      </c>
      <c r="C46" s="104">
        <v>2415</v>
      </c>
      <c r="D46" s="105">
        <v>3</v>
      </c>
      <c r="E46" s="94"/>
      <c r="F46" s="94"/>
      <c r="G46" s="106">
        <v>4</v>
      </c>
      <c r="H46" s="96"/>
      <c r="I46" s="96">
        <f t="shared" si="1"/>
        <v>2411</v>
      </c>
      <c r="J46" s="107">
        <f t="shared" si="1"/>
        <v>3</v>
      </c>
      <c r="K46" s="44"/>
      <c r="L46" s="94">
        <v>1</v>
      </c>
      <c r="M46" s="94"/>
      <c r="N46" s="94">
        <v>3</v>
      </c>
      <c r="O46" s="94"/>
      <c r="P46" s="94"/>
      <c r="Q46" s="95"/>
      <c r="R46" s="96">
        <f t="shared" si="2"/>
        <v>4</v>
      </c>
      <c r="S46" s="95">
        <f t="shared" si="2"/>
        <v>0</v>
      </c>
      <c r="T46" s="44"/>
      <c r="U46" s="28"/>
      <c r="V46" s="30"/>
    </row>
    <row r="47" spans="1:24" x14ac:dyDescent="0.25">
      <c r="A47" s="3">
        <f t="shared" si="0"/>
        <v>40</v>
      </c>
      <c r="B47" s="13" t="s">
        <v>72</v>
      </c>
      <c r="C47" s="104"/>
      <c r="D47" s="105"/>
      <c r="E47" s="94"/>
      <c r="F47" s="94"/>
      <c r="G47" s="106"/>
      <c r="H47" s="96"/>
      <c r="I47" s="96">
        <f t="shared" si="1"/>
        <v>0</v>
      </c>
      <c r="J47" s="107">
        <f t="shared" si="1"/>
        <v>0</v>
      </c>
      <c r="K47" s="44"/>
      <c r="L47" s="94"/>
      <c r="M47" s="94"/>
      <c r="N47" s="94"/>
      <c r="O47" s="94"/>
      <c r="P47" s="94"/>
      <c r="Q47" s="95"/>
      <c r="R47" s="96">
        <f t="shared" si="2"/>
        <v>0</v>
      </c>
      <c r="S47" s="95">
        <f t="shared" si="2"/>
        <v>0</v>
      </c>
      <c r="T47" s="44"/>
      <c r="U47" s="28"/>
      <c r="V47" s="30"/>
    </row>
    <row r="48" spans="1:24" x14ac:dyDescent="0.25">
      <c r="A48" s="3">
        <f t="shared" si="0"/>
        <v>41</v>
      </c>
      <c r="B48" s="13" t="s">
        <v>40</v>
      </c>
      <c r="C48" s="104">
        <v>1</v>
      </c>
      <c r="D48" s="105"/>
      <c r="E48" s="94"/>
      <c r="F48" s="94"/>
      <c r="G48" s="106"/>
      <c r="H48" s="96"/>
      <c r="I48" s="96">
        <f t="shared" si="1"/>
        <v>1</v>
      </c>
      <c r="J48" s="107">
        <f t="shared" si="1"/>
        <v>0</v>
      </c>
      <c r="K48" s="44"/>
      <c r="L48" s="94"/>
      <c r="M48" s="94"/>
      <c r="N48" s="94"/>
      <c r="O48" s="94"/>
      <c r="P48" s="94"/>
      <c r="Q48" s="95"/>
      <c r="R48" s="96">
        <f t="shared" si="2"/>
        <v>0</v>
      </c>
      <c r="S48" s="95">
        <f t="shared" si="2"/>
        <v>0</v>
      </c>
      <c r="T48" s="44"/>
      <c r="U48" s="28"/>
      <c r="V48" s="30"/>
    </row>
    <row r="49" spans="1:22" x14ac:dyDescent="0.25">
      <c r="A49" s="3">
        <f t="shared" si="0"/>
        <v>42</v>
      </c>
      <c r="B49" s="13" t="s">
        <v>73</v>
      </c>
      <c r="C49" s="104"/>
      <c r="D49" s="105"/>
      <c r="E49" s="94"/>
      <c r="F49" s="94"/>
      <c r="G49" s="106"/>
      <c r="H49" s="96"/>
      <c r="I49" s="96">
        <f t="shared" si="1"/>
        <v>0</v>
      </c>
      <c r="J49" s="107">
        <f t="shared" si="1"/>
        <v>0</v>
      </c>
      <c r="K49" s="44"/>
      <c r="L49" s="94"/>
      <c r="M49" s="94"/>
      <c r="N49" s="94"/>
      <c r="O49" s="94"/>
      <c r="P49" s="94"/>
      <c r="Q49" s="95"/>
      <c r="R49" s="96">
        <f t="shared" si="2"/>
        <v>0</v>
      </c>
      <c r="S49" s="95">
        <f t="shared" si="2"/>
        <v>0</v>
      </c>
      <c r="T49" s="44"/>
      <c r="U49" s="28"/>
      <c r="V49" s="30"/>
    </row>
    <row r="50" spans="1:22" x14ac:dyDescent="0.25">
      <c r="A50" s="3">
        <f t="shared" si="0"/>
        <v>43</v>
      </c>
      <c r="B50" s="13" t="s">
        <v>41</v>
      </c>
      <c r="C50" s="104">
        <v>34</v>
      </c>
      <c r="D50" s="105"/>
      <c r="E50" s="94"/>
      <c r="F50" s="94"/>
      <c r="G50" s="106"/>
      <c r="H50" s="96"/>
      <c r="I50" s="96">
        <f t="shared" si="1"/>
        <v>34</v>
      </c>
      <c r="J50" s="107">
        <f t="shared" si="1"/>
        <v>0</v>
      </c>
      <c r="K50" s="44"/>
      <c r="L50" s="94"/>
      <c r="M50" s="94"/>
      <c r="N50" s="94"/>
      <c r="O50" s="94"/>
      <c r="P50" s="94"/>
      <c r="Q50" s="95"/>
      <c r="R50" s="96">
        <f t="shared" si="2"/>
        <v>0</v>
      </c>
      <c r="S50" s="95">
        <f t="shared" si="2"/>
        <v>0</v>
      </c>
      <c r="T50" s="44"/>
      <c r="U50" s="28"/>
      <c r="V50" s="30"/>
    </row>
    <row r="51" spans="1:22" x14ac:dyDescent="0.25">
      <c r="A51" s="3">
        <f t="shared" si="0"/>
        <v>44</v>
      </c>
      <c r="B51" s="13" t="s">
        <v>42</v>
      </c>
      <c r="C51" s="104"/>
      <c r="D51" s="105"/>
      <c r="E51" s="94"/>
      <c r="F51" s="94"/>
      <c r="G51" s="106"/>
      <c r="H51" s="96"/>
      <c r="I51" s="96">
        <f t="shared" si="1"/>
        <v>0</v>
      </c>
      <c r="J51" s="107">
        <f t="shared" si="1"/>
        <v>0</v>
      </c>
      <c r="K51" s="44"/>
      <c r="L51" s="94"/>
      <c r="M51" s="94"/>
      <c r="N51" s="94"/>
      <c r="O51" s="94"/>
      <c r="P51" s="94"/>
      <c r="Q51" s="95"/>
      <c r="R51" s="96">
        <f t="shared" si="2"/>
        <v>0</v>
      </c>
      <c r="S51" s="95">
        <f t="shared" si="2"/>
        <v>0</v>
      </c>
      <c r="T51" s="44"/>
      <c r="U51" s="28"/>
      <c r="V51" s="30"/>
    </row>
    <row r="52" spans="1:22" s="1" customFormat="1" ht="19.5" thickBot="1" x14ac:dyDescent="0.3">
      <c r="B52" s="15" t="s">
        <v>13</v>
      </c>
      <c r="C52" s="46">
        <f>SUM(C8:C51)</f>
        <v>51776</v>
      </c>
      <c r="D52" s="74">
        <f>SUM(D8:D51)</f>
        <v>63</v>
      </c>
      <c r="E52" s="47"/>
      <c r="F52" s="47"/>
      <c r="G52" s="31">
        <f>SUM(G8:G51)</f>
        <v>1555</v>
      </c>
      <c r="H52" s="76">
        <f>SUM(H8:H51)</f>
        <v>44</v>
      </c>
      <c r="I52" s="76">
        <f>SUM(I8:I51)-2</f>
        <v>50219</v>
      </c>
      <c r="J52" s="48">
        <f>SUM(J8:J51)+48</f>
        <v>67</v>
      </c>
      <c r="K52" s="49"/>
      <c r="L52" s="101">
        <f t="shared" ref="L52:S52" si="3">SUM(L8:L51)</f>
        <v>553</v>
      </c>
      <c r="M52" s="101">
        <f t="shared" si="3"/>
        <v>27</v>
      </c>
      <c r="N52" s="101">
        <f t="shared" si="3"/>
        <v>488</v>
      </c>
      <c r="O52" s="101">
        <f t="shared" si="3"/>
        <v>11</v>
      </c>
      <c r="P52" s="101">
        <f t="shared" si="3"/>
        <v>514</v>
      </c>
      <c r="Q52" s="102">
        <f t="shared" si="3"/>
        <v>6</v>
      </c>
      <c r="R52" s="102">
        <f t="shared" si="3"/>
        <v>1555</v>
      </c>
      <c r="S52" s="103">
        <f t="shared" si="3"/>
        <v>44</v>
      </c>
      <c r="T52" s="49"/>
      <c r="U52" s="46"/>
      <c r="V52" s="48"/>
    </row>
    <row r="53" spans="1:22" ht="19.5" thickBot="1" x14ac:dyDescent="0.3"/>
    <row r="54" spans="1:22" ht="18.75" customHeight="1" x14ac:dyDescent="0.25">
      <c r="G54" s="138" t="s">
        <v>65</v>
      </c>
      <c r="H54" s="77"/>
      <c r="I54" s="77"/>
      <c r="J54" s="24" t="s">
        <v>66</v>
      </c>
      <c r="L54" s="33"/>
      <c r="M54" s="82"/>
      <c r="N54" s="34"/>
      <c r="O54" s="34"/>
      <c r="P54" s="34"/>
      <c r="Q54" s="88"/>
      <c r="R54" s="88"/>
      <c r="S54" s="35"/>
    </row>
    <row r="55" spans="1:22" x14ac:dyDescent="0.25">
      <c r="G55" s="139"/>
      <c r="H55" s="78"/>
      <c r="I55" s="78"/>
      <c r="J55" s="25" t="s">
        <v>51</v>
      </c>
      <c r="L55" s="36"/>
      <c r="M55" s="83"/>
      <c r="N55" s="37"/>
      <c r="O55" s="37"/>
      <c r="P55" s="37"/>
      <c r="Q55" s="89"/>
      <c r="R55" s="89"/>
      <c r="S55" s="38"/>
    </row>
    <row r="56" spans="1:22" x14ac:dyDescent="0.25">
      <c r="G56" s="140"/>
      <c r="H56" s="79"/>
      <c r="I56" s="79"/>
      <c r="J56" s="25" t="s">
        <v>52</v>
      </c>
      <c r="L56" s="39"/>
      <c r="M56" s="84"/>
      <c r="N56" s="40"/>
      <c r="O56" s="40"/>
      <c r="P56" s="40"/>
      <c r="Q56" s="90"/>
      <c r="R56" s="90"/>
      <c r="S56" s="41"/>
    </row>
    <row r="57" spans="1:22" x14ac:dyDescent="0.25">
      <c r="G57" s="141" t="s">
        <v>64</v>
      </c>
      <c r="H57" s="80"/>
      <c r="I57" s="80"/>
      <c r="J57" s="25" t="s">
        <v>66</v>
      </c>
      <c r="L57" s="39"/>
      <c r="M57" s="84"/>
      <c r="N57" s="40"/>
      <c r="O57" s="40"/>
      <c r="P57" s="40"/>
      <c r="Q57" s="90"/>
      <c r="R57" s="90"/>
      <c r="S57" s="41"/>
    </row>
    <row r="58" spans="1:22" x14ac:dyDescent="0.25">
      <c r="G58" s="141"/>
      <c r="H58" s="80"/>
      <c r="I58" s="80"/>
      <c r="J58" s="25" t="s">
        <v>51</v>
      </c>
      <c r="L58" s="36"/>
      <c r="M58" s="83"/>
      <c r="N58" s="37"/>
      <c r="O58" s="37"/>
      <c r="P58" s="37"/>
      <c r="Q58" s="89"/>
      <c r="R58" s="89"/>
      <c r="S58" s="38"/>
    </row>
    <row r="59" spans="1:22" ht="19.5" thickBot="1" x14ac:dyDescent="0.3">
      <c r="G59" s="142"/>
      <c r="H59" s="81"/>
      <c r="I59" s="81"/>
      <c r="J59" s="26" t="s">
        <v>52</v>
      </c>
      <c r="L59" s="42"/>
      <c r="M59" s="85"/>
      <c r="N59" s="43"/>
      <c r="O59" s="43"/>
      <c r="P59" s="43"/>
      <c r="Q59" s="91"/>
      <c r="R59" s="91"/>
      <c r="S59" s="32"/>
    </row>
    <row r="60" spans="1:22" ht="19.5" thickBot="1" x14ac:dyDescent="0.3"/>
    <row r="61" spans="1:22" ht="113.25" thickBot="1" x14ac:dyDescent="0.3">
      <c r="B61" s="17" t="s">
        <v>53</v>
      </c>
      <c r="C61" s="117" t="s">
        <v>3</v>
      </c>
      <c r="D61" s="118"/>
      <c r="E61" s="19" t="s">
        <v>54</v>
      </c>
      <c r="L61" s="20" t="s">
        <v>10</v>
      </c>
      <c r="M61" s="86"/>
      <c r="N61" s="21" t="s">
        <v>11</v>
      </c>
      <c r="O61" s="21"/>
      <c r="P61" s="21" t="s">
        <v>12</v>
      </c>
      <c r="Q61" s="92"/>
      <c r="R61" s="92"/>
      <c r="S61" s="19" t="s">
        <v>55</v>
      </c>
      <c r="V61" s="117" t="s">
        <v>56</v>
      </c>
    </row>
    <row r="62" spans="1:22" x14ac:dyDescent="0.25">
      <c r="B62" s="22" t="s">
        <v>31</v>
      </c>
      <c r="C62" s="11"/>
      <c r="D62" s="11"/>
      <c r="E62" s="23"/>
      <c r="L62" s="11"/>
      <c r="M62" s="11"/>
      <c r="N62" s="11"/>
      <c r="O62" s="11"/>
      <c r="P62" s="11"/>
      <c r="Q62" s="11"/>
      <c r="R62" s="11"/>
      <c r="S62" s="11"/>
      <c r="V62" s="23"/>
    </row>
    <row r="63" spans="1:22" x14ac:dyDescent="0.25">
      <c r="B63" s="16" t="s">
        <v>57</v>
      </c>
      <c r="C63" s="11"/>
      <c r="D63" s="11"/>
      <c r="E63" s="23"/>
      <c r="L63" s="23"/>
      <c r="M63" s="23"/>
      <c r="N63" s="23"/>
      <c r="O63" s="23"/>
      <c r="P63" s="23"/>
      <c r="Q63" s="23"/>
      <c r="R63" s="23"/>
      <c r="S63" s="23"/>
      <c r="V63" s="23"/>
    </row>
    <row r="64" spans="1:22" x14ac:dyDescent="0.25">
      <c r="B64" s="16" t="s">
        <v>58</v>
      </c>
      <c r="C64" s="11"/>
      <c r="D64" s="11"/>
      <c r="E64" s="23"/>
      <c r="L64" s="23"/>
      <c r="M64" s="23"/>
      <c r="N64" s="23"/>
      <c r="O64" s="23"/>
      <c r="P64" s="23"/>
      <c r="Q64" s="23"/>
      <c r="R64" s="23"/>
      <c r="S64" s="23"/>
      <c r="V64" s="23"/>
    </row>
    <row r="65" spans="2:22" ht="11.25" customHeight="1" x14ac:dyDescent="0.25"/>
    <row r="66" spans="2:22" x14ac:dyDescent="0.25">
      <c r="B66" s="16" t="s">
        <v>59</v>
      </c>
      <c r="C66" s="23"/>
      <c r="D66" s="23"/>
      <c r="E66" s="23"/>
      <c r="L66" s="23"/>
      <c r="M66" s="23"/>
      <c r="N66" s="23"/>
      <c r="O66" s="23"/>
      <c r="P66" s="23"/>
      <c r="Q66" s="23"/>
      <c r="R66" s="23"/>
      <c r="S66" s="23"/>
      <c r="V66" s="23"/>
    </row>
    <row r="67" spans="2:22" x14ac:dyDescent="0.25">
      <c r="B67" s="16" t="s">
        <v>57</v>
      </c>
      <c r="C67" s="23"/>
      <c r="D67" s="23"/>
      <c r="E67" s="23"/>
      <c r="L67" s="23"/>
      <c r="M67" s="23"/>
      <c r="N67" s="23"/>
      <c r="O67" s="23"/>
      <c r="P67" s="23"/>
      <c r="Q67" s="23"/>
      <c r="R67" s="23"/>
      <c r="S67" s="23"/>
      <c r="V67" s="23"/>
    </row>
    <row r="68" spans="2:22" x14ac:dyDescent="0.25">
      <c r="B68" s="16" t="s">
        <v>58</v>
      </c>
      <c r="C68" s="23"/>
      <c r="D68" s="23"/>
      <c r="E68" s="23"/>
      <c r="L68" s="23"/>
      <c r="M68" s="23"/>
      <c r="N68" s="23"/>
      <c r="O68" s="23"/>
      <c r="P68" s="23"/>
      <c r="Q68" s="23"/>
      <c r="R68" s="23"/>
      <c r="S68" s="23"/>
      <c r="V68" s="23"/>
    </row>
    <row r="69" spans="2:22" ht="11.25" customHeight="1" x14ac:dyDescent="0.25"/>
    <row r="70" spans="2:22" x14ac:dyDescent="0.25">
      <c r="B70" s="16" t="s">
        <v>60</v>
      </c>
      <c r="C70" s="23"/>
      <c r="D70" s="23"/>
      <c r="E70" s="23"/>
      <c r="L70" s="23"/>
      <c r="M70" s="23"/>
      <c r="N70" s="23"/>
      <c r="O70" s="23"/>
      <c r="P70" s="23"/>
      <c r="Q70" s="23"/>
      <c r="R70" s="23"/>
      <c r="S70" s="23"/>
      <c r="V70" s="23"/>
    </row>
    <row r="71" spans="2:22" x14ac:dyDescent="0.25">
      <c r="B71" s="16" t="s">
        <v>57</v>
      </c>
      <c r="C71" s="23"/>
      <c r="D71" s="23"/>
      <c r="E71" s="23"/>
      <c r="L71" s="23"/>
      <c r="M71" s="23"/>
      <c r="N71" s="23"/>
      <c r="O71" s="23"/>
      <c r="P71" s="23"/>
      <c r="Q71" s="23"/>
      <c r="R71" s="23"/>
      <c r="S71" s="23"/>
      <c r="V71" s="23"/>
    </row>
    <row r="72" spans="2:22" x14ac:dyDescent="0.25">
      <c r="B72" s="16" t="s">
        <v>58</v>
      </c>
      <c r="C72" s="23"/>
      <c r="D72" s="23"/>
      <c r="E72" s="23"/>
      <c r="L72" s="23"/>
      <c r="M72" s="23"/>
      <c r="N72" s="23"/>
      <c r="O72" s="23"/>
      <c r="P72" s="23"/>
      <c r="Q72" s="23"/>
      <c r="R72" s="23"/>
      <c r="S72" s="23"/>
      <c r="V72" s="23"/>
    </row>
    <row r="73" spans="2:22" ht="11.25" customHeight="1" x14ac:dyDescent="0.25"/>
    <row r="74" spans="2:22" x14ac:dyDescent="0.25">
      <c r="B74" s="16" t="s">
        <v>61</v>
      </c>
      <c r="C74" s="23"/>
      <c r="D74" s="23"/>
      <c r="E74" s="23"/>
      <c r="L74" s="23"/>
      <c r="M74" s="23"/>
      <c r="N74" s="23"/>
      <c r="O74" s="23"/>
      <c r="P74" s="23"/>
      <c r="Q74" s="23"/>
      <c r="R74" s="23"/>
      <c r="S74" s="23"/>
      <c r="V74" s="23"/>
    </row>
    <row r="75" spans="2:22" x14ac:dyDescent="0.25">
      <c r="B75" s="16" t="s">
        <v>57</v>
      </c>
      <c r="C75" s="23"/>
      <c r="D75" s="23"/>
      <c r="E75" s="23"/>
      <c r="L75" s="23"/>
      <c r="M75" s="23"/>
      <c r="N75" s="23"/>
      <c r="O75" s="23"/>
      <c r="P75" s="23"/>
      <c r="Q75" s="23"/>
      <c r="R75" s="23"/>
      <c r="S75" s="23"/>
      <c r="V75" s="23"/>
    </row>
    <row r="76" spans="2:22" x14ac:dyDescent="0.25">
      <c r="B76" s="16" t="s">
        <v>58</v>
      </c>
      <c r="C76" s="11"/>
      <c r="D76" s="11"/>
      <c r="E76" s="23"/>
      <c r="L76" s="23"/>
      <c r="M76" s="23"/>
      <c r="N76" s="23"/>
      <c r="O76" s="23"/>
      <c r="P76" s="23"/>
      <c r="Q76" s="23"/>
      <c r="R76" s="23"/>
      <c r="S76" s="23"/>
      <c r="V76" s="23"/>
    </row>
    <row r="77" spans="2:22" ht="11.25" customHeight="1" x14ac:dyDescent="0.25"/>
    <row r="78" spans="2:22" x14ac:dyDescent="0.25">
      <c r="B78" s="16" t="s">
        <v>62</v>
      </c>
      <c r="C78" s="23"/>
      <c r="D78" s="23"/>
      <c r="E78" s="23"/>
      <c r="L78" s="23"/>
      <c r="M78" s="23"/>
      <c r="N78" s="23"/>
      <c r="O78" s="23"/>
      <c r="P78" s="23"/>
      <c r="Q78" s="23"/>
      <c r="R78" s="23"/>
      <c r="S78" s="23"/>
      <c r="V78" s="23"/>
    </row>
    <row r="79" spans="2:22" x14ac:dyDescent="0.25">
      <c r="B79" s="16" t="s">
        <v>57</v>
      </c>
      <c r="C79" s="23"/>
      <c r="D79" s="23"/>
      <c r="E79" s="23"/>
      <c r="L79" s="23"/>
      <c r="M79" s="23"/>
      <c r="N79" s="23"/>
      <c r="O79" s="23"/>
      <c r="P79" s="23"/>
      <c r="Q79" s="23"/>
      <c r="R79" s="23"/>
      <c r="S79" s="23"/>
      <c r="V79" s="23"/>
    </row>
    <row r="80" spans="2:22" x14ac:dyDescent="0.25">
      <c r="B80" s="16" t="s">
        <v>58</v>
      </c>
      <c r="C80" s="23"/>
      <c r="D80" s="23"/>
      <c r="E80" s="23"/>
      <c r="L80" s="23"/>
      <c r="M80" s="23"/>
      <c r="N80" s="23"/>
      <c r="O80" s="23"/>
      <c r="P80" s="23"/>
      <c r="Q80" s="23"/>
      <c r="R80" s="23"/>
      <c r="S80" s="23"/>
      <c r="V80" s="23"/>
    </row>
    <row r="82" spans="2:22" x14ac:dyDescent="0.25">
      <c r="B82" s="16" t="s">
        <v>63</v>
      </c>
      <c r="C82" s="23"/>
      <c r="D82" s="23"/>
      <c r="E82" s="23"/>
      <c r="L82" s="23"/>
      <c r="M82" s="23"/>
      <c r="N82" s="23"/>
      <c r="O82" s="23"/>
      <c r="P82" s="23"/>
      <c r="Q82" s="23"/>
      <c r="R82" s="23"/>
      <c r="S82" s="23"/>
      <c r="V82" s="23"/>
    </row>
  </sheetData>
  <mergeCells count="12">
    <mergeCell ref="G54:G56"/>
    <mergeCell ref="G57:G59"/>
    <mergeCell ref="P1:V1"/>
    <mergeCell ref="B4:B5"/>
    <mergeCell ref="C4:C5"/>
    <mergeCell ref="D4:D5"/>
    <mergeCell ref="E4:F4"/>
    <mergeCell ref="G4:G5"/>
    <mergeCell ref="H4:H5"/>
    <mergeCell ref="I4:I5"/>
    <mergeCell ref="J4:J5"/>
    <mergeCell ref="L4:V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FCA4A-EDFC-4F9F-B9C4-2585F0208CA1}">
  <sheetPr>
    <pageSetUpPr fitToPage="1"/>
  </sheetPr>
  <dimension ref="A1:BF82"/>
  <sheetViews>
    <sheetView zoomScale="85" zoomScaleNormal="85" zoomScaleSheetLayoutView="85" zoomScalePageLayoutView="80" workbookViewId="0">
      <pane xSplit="2" ySplit="5" topLeftCell="C6" activePane="bottomRight" state="frozen"/>
      <selection activeCell="I59" sqref="I59:L59"/>
      <selection pane="topRight" activeCell="I59" sqref="I59:L59"/>
      <selection pane="bottomLeft" activeCell="I59" sqref="I59:L59"/>
      <selection pane="bottomRight" activeCell="X7" sqref="X7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8.28515625" style="2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1" style="2" bestFit="1" customWidth="1"/>
    <col min="23" max="23" width="2" style="2" customWidth="1"/>
    <col min="24" max="24" width="10.5703125" style="2" bestFit="1" customWidth="1"/>
    <col min="25" max="53" width="7.28515625" style="2" customWidth="1"/>
    <col min="54" max="54" width="1.5703125" style="2" customWidth="1"/>
    <col min="55" max="55" width="9.42578125" style="2" customWidth="1"/>
    <col min="56" max="56" width="1.28515625" style="2" customWidth="1"/>
    <col min="57" max="57" width="12.7109375" style="2" bestFit="1" customWidth="1"/>
    <col min="58" max="58" width="10.28515625" style="2" bestFit="1" customWidth="1"/>
    <col min="59" max="16384" width="9.140625" style="2"/>
  </cols>
  <sheetData>
    <row r="1" spans="1:58" ht="19.5" thickBot="1" x14ac:dyDescent="0.3">
      <c r="B1" s="1" t="s">
        <v>0</v>
      </c>
      <c r="N1" s="2" t="s">
        <v>1</v>
      </c>
      <c r="P1" s="143">
        <v>46031</v>
      </c>
      <c r="Q1" s="144"/>
      <c r="R1" s="144"/>
      <c r="S1" s="144"/>
      <c r="T1" s="144"/>
      <c r="U1" s="144"/>
      <c r="V1" s="145"/>
    </row>
    <row r="2" spans="1:58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58" ht="19.5" thickBot="1" x14ac:dyDescent="0.3"/>
    <row r="4" spans="1:58" ht="19.5" customHeight="1" thickBot="1" x14ac:dyDescent="0.3">
      <c r="A4" s="53"/>
      <c r="B4" s="137" t="s">
        <v>74</v>
      </c>
      <c r="C4" s="146" t="s">
        <v>3</v>
      </c>
      <c r="D4" s="156" t="s">
        <v>75</v>
      </c>
      <c r="E4" s="147" t="s">
        <v>4</v>
      </c>
      <c r="F4" s="148"/>
      <c r="G4" s="149" t="s">
        <v>5</v>
      </c>
      <c r="H4" s="157" t="s">
        <v>75</v>
      </c>
      <c r="I4" s="151" t="s">
        <v>6</v>
      </c>
      <c r="J4" s="157" t="s">
        <v>75</v>
      </c>
      <c r="L4" s="153" t="s">
        <v>7</v>
      </c>
      <c r="M4" s="154"/>
      <c r="N4" s="154"/>
      <c r="O4" s="154"/>
      <c r="P4" s="154"/>
      <c r="Q4" s="154"/>
      <c r="R4" s="154"/>
      <c r="S4" s="154"/>
      <c r="T4" s="154"/>
      <c r="U4" s="154"/>
      <c r="V4" s="155"/>
    </row>
    <row r="5" spans="1:58" s="3" customFormat="1" ht="38.25" thickBot="1" x14ac:dyDescent="0.3">
      <c r="A5" s="53"/>
      <c r="B5" s="137"/>
      <c r="C5" s="146"/>
      <c r="D5" s="156"/>
      <c r="E5" s="52" t="s">
        <v>8</v>
      </c>
      <c r="F5" s="122" t="s">
        <v>9</v>
      </c>
      <c r="G5" s="150"/>
      <c r="H5" s="158"/>
      <c r="I5" s="152"/>
      <c r="J5" s="158"/>
      <c r="L5" s="4" t="s">
        <v>10</v>
      </c>
      <c r="M5" s="93" t="s">
        <v>75</v>
      </c>
      <c r="N5" s="5" t="s">
        <v>11</v>
      </c>
      <c r="O5" s="93" t="s">
        <v>75</v>
      </c>
      <c r="P5" s="5" t="s">
        <v>12</v>
      </c>
      <c r="Q5" s="93" t="s">
        <v>75</v>
      </c>
      <c r="R5" s="6" t="s">
        <v>13</v>
      </c>
      <c r="S5" s="93" t="s">
        <v>75</v>
      </c>
      <c r="T5" s="7"/>
      <c r="U5" s="8"/>
      <c r="V5" s="6" t="s">
        <v>14</v>
      </c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</row>
    <row r="6" spans="1:58" s="3" customFormat="1" x14ac:dyDescent="0.25">
      <c r="B6" s="10"/>
      <c r="C6" s="28"/>
      <c r="D6" s="73"/>
      <c r="E6" s="27"/>
      <c r="F6" s="27"/>
      <c r="G6" s="29"/>
      <c r="H6" s="75"/>
      <c r="I6" s="75"/>
      <c r="J6" s="30"/>
      <c r="K6" s="44"/>
      <c r="L6" s="27"/>
      <c r="M6" s="27"/>
      <c r="N6" s="27"/>
      <c r="O6" s="27"/>
      <c r="P6" s="27"/>
      <c r="Q6" s="87"/>
      <c r="R6" s="75"/>
      <c r="S6" s="87"/>
      <c r="T6" s="44"/>
      <c r="U6" s="28"/>
      <c r="V6" s="30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</row>
    <row r="7" spans="1:58" s="3" customFormat="1" x14ac:dyDescent="0.25">
      <c r="B7" s="10"/>
      <c r="C7" s="28"/>
      <c r="D7" s="73"/>
      <c r="E7" s="27"/>
      <c r="F7" s="27"/>
      <c r="G7" s="29"/>
      <c r="H7" s="75"/>
      <c r="I7" s="75"/>
      <c r="J7" s="30"/>
      <c r="K7" s="44"/>
      <c r="L7" s="27"/>
      <c r="M7" s="27"/>
      <c r="N7" s="27"/>
      <c r="O7" s="27"/>
      <c r="P7" s="27"/>
      <c r="Q7" s="87"/>
      <c r="R7" s="75"/>
      <c r="S7" s="87"/>
      <c r="T7" s="44"/>
      <c r="U7" s="28"/>
      <c r="V7" s="30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</row>
    <row r="8" spans="1:58" x14ac:dyDescent="0.25">
      <c r="A8" s="3">
        <v>1</v>
      </c>
      <c r="B8" s="10" t="s">
        <v>46</v>
      </c>
      <c r="C8" s="104">
        <v>87</v>
      </c>
      <c r="D8" s="105"/>
      <c r="E8" s="94"/>
      <c r="F8" s="94"/>
      <c r="G8" s="106">
        <v>2</v>
      </c>
      <c r="H8" s="96"/>
      <c r="I8" s="96">
        <f>C8-G8</f>
        <v>85</v>
      </c>
      <c r="J8" s="107">
        <f>D8-H8</f>
        <v>0</v>
      </c>
      <c r="K8" s="44"/>
      <c r="L8" s="94"/>
      <c r="M8" s="94"/>
      <c r="N8" s="94">
        <v>2</v>
      </c>
      <c r="O8" s="94"/>
      <c r="P8" s="94"/>
      <c r="Q8" s="95"/>
      <c r="R8" s="96">
        <f>L8+N8+P8</f>
        <v>2</v>
      </c>
      <c r="S8" s="95">
        <f>M8+O8+Q8</f>
        <v>0</v>
      </c>
      <c r="T8" s="44"/>
      <c r="U8" s="28"/>
      <c r="V8" s="30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ht="19.5" thickBot="1" x14ac:dyDescent="0.3">
      <c r="A9" s="3">
        <f t="shared" ref="A9:A51" si="0">A8+1</f>
        <v>2</v>
      </c>
      <c r="B9" s="54" t="s">
        <v>49</v>
      </c>
      <c r="C9" s="108">
        <v>143</v>
      </c>
      <c r="D9" s="109"/>
      <c r="E9" s="110"/>
      <c r="F9" s="110"/>
      <c r="G9" s="111"/>
      <c r="H9" s="112"/>
      <c r="I9" s="96">
        <f t="shared" ref="I9:J51" si="1">C9-G9</f>
        <v>143</v>
      </c>
      <c r="J9" s="107">
        <f t="shared" si="1"/>
        <v>0</v>
      </c>
      <c r="K9" s="64"/>
      <c r="L9" s="97"/>
      <c r="M9" s="97"/>
      <c r="N9" s="97"/>
      <c r="O9" s="97"/>
      <c r="P9" s="97"/>
      <c r="Q9" s="98"/>
      <c r="R9" s="96">
        <f t="shared" ref="R9:S51" si="2">L9+N9+P9</f>
        <v>0</v>
      </c>
      <c r="S9" s="95">
        <f t="shared" si="2"/>
        <v>0</v>
      </c>
      <c r="T9" s="64"/>
      <c r="U9" s="67"/>
      <c r="V9" s="66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x14ac:dyDescent="0.25">
      <c r="A10" s="3">
        <f t="shared" si="0"/>
        <v>3</v>
      </c>
      <c r="B10" s="10" t="s">
        <v>47</v>
      </c>
      <c r="C10" s="104"/>
      <c r="D10" s="105"/>
      <c r="E10" s="94"/>
      <c r="F10" s="94"/>
      <c r="G10" s="106"/>
      <c r="H10" s="96"/>
      <c r="I10" s="96">
        <f t="shared" si="1"/>
        <v>0</v>
      </c>
      <c r="J10" s="107">
        <f t="shared" si="1"/>
        <v>0</v>
      </c>
      <c r="K10" s="44"/>
      <c r="L10" s="94"/>
      <c r="M10" s="94"/>
      <c r="N10" s="94"/>
      <c r="O10" s="94"/>
      <c r="P10" s="94"/>
      <c r="Q10" s="95"/>
      <c r="R10" s="96">
        <f t="shared" si="2"/>
        <v>0</v>
      </c>
      <c r="S10" s="95">
        <f t="shared" si="2"/>
        <v>0</v>
      </c>
      <c r="T10" s="44"/>
      <c r="U10" s="28"/>
      <c r="V10" s="30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x14ac:dyDescent="0.25">
      <c r="A11" s="3">
        <f t="shared" si="0"/>
        <v>4</v>
      </c>
      <c r="B11" s="13" t="s">
        <v>50</v>
      </c>
      <c r="C11" s="104">
        <v>9</v>
      </c>
      <c r="D11" s="105"/>
      <c r="E11" s="94"/>
      <c r="F11" s="94"/>
      <c r="G11" s="106"/>
      <c r="H11" s="96"/>
      <c r="I11" s="96">
        <f t="shared" si="1"/>
        <v>9</v>
      </c>
      <c r="J11" s="107">
        <f t="shared" si="1"/>
        <v>0</v>
      </c>
      <c r="K11" s="44"/>
      <c r="L11" s="94"/>
      <c r="M11" s="94"/>
      <c r="N11" s="94"/>
      <c r="O11" s="94"/>
      <c r="P11" s="94"/>
      <c r="Q11" s="95"/>
      <c r="R11" s="96">
        <f t="shared" si="2"/>
        <v>0</v>
      </c>
      <c r="S11" s="95">
        <f t="shared" si="2"/>
        <v>0</v>
      </c>
      <c r="T11" s="44"/>
      <c r="U11" s="28"/>
      <c r="V11" s="30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x14ac:dyDescent="0.25">
      <c r="A12" s="3">
        <f t="shared" si="0"/>
        <v>5</v>
      </c>
      <c r="B12" s="13" t="s">
        <v>48</v>
      </c>
      <c r="C12" s="104">
        <v>28</v>
      </c>
      <c r="D12" s="105"/>
      <c r="E12" s="94"/>
      <c r="F12" s="94"/>
      <c r="G12" s="106"/>
      <c r="H12" s="96"/>
      <c r="I12" s="96">
        <f t="shared" si="1"/>
        <v>28</v>
      </c>
      <c r="J12" s="107">
        <f t="shared" si="1"/>
        <v>0</v>
      </c>
      <c r="K12" s="44"/>
      <c r="L12" s="94"/>
      <c r="M12" s="94"/>
      <c r="N12" s="94"/>
      <c r="O12" s="94"/>
      <c r="P12" s="94"/>
      <c r="Q12" s="95"/>
      <c r="R12" s="96">
        <f t="shared" si="2"/>
        <v>0</v>
      </c>
      <c r="S12" s="95">
        <f t="shared" si="2"/>
        <v>0</v>
      </c>
      <c r="T12" s="44"/>
      <c r="U12" s="28"/>
      <c r="V12" s="30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</row>
    <row r="13" spans="1:58" s="1" customFormat="1" ht="19.5" thickBot="1" x14ac:dyDescent="0.3">
      <c r="A13" s="3">
        <v>7</v>
      </c>
      <c r="B13" s="54" t="s">
        <v>44</v>
      </c>
      <c r="C13" s="108">
        <v>3876</v>
      </c>
      <c r="D13" s="109">
        <v>5</v>
      </c>
      <c r="E13" s="110"/>
      <c r="F13" s="110"/>
      <c r="G13" s="111">
        <v>40</v>
      </c>
      <c r="H13" s="112">
        <v>36</v>
      </c>
      <c r="I13" s="96">
        <f t="shared" si="1"/>
        <v>3836</v>
      </c>
      <c r="J13" s="107">
        <f t="shared" si="1"/>
        <v>-31</v>
      </c>
      <c r="K13" s="68"/>
      <c r="L13" s="97">
        <v>20</v>
      </c>
      <c r="M13" s="97"/>
      <c r="N13" s="97">
        <v>10</v>
      </c>
      <c r="O13" s="97">
        <v>22</v>
      </c>
      <c r="P13" s="97">
        <v>10</v>
      </c>
      <c r="Q13" s="98">
        <v>14</v>
      </c>
      <c r="R13" s="96">
        <f t="shared" si="2"/>
        <v>40</v>
      </c>
      <c r="S13" s="95">
        <f t="shared" si="2"/>
        <v>36</v>
      </c>
      <c r="T13" s="68"/>
      <c r="U13" s="67"/>
      <c r="V13" s="66"/>
      <c r="W13" s="2"/>
      <c r="AB13" s="2"/>
      <c r="AE13" s="2"/>
      <c r="AF13" s="2"/>
      <c r="AG13" s="2"/>
      <c r="AH13" s="2"/>
      <c r="AI13" s="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x14ac:dyDescent="0.25">
      <c r="A14" s="3">
        <v>11</v>
      </c>
      <c r="B14" s="10" t="s">
        <v>15</v>
      </c>
      <c r="C14" s="104">
        <v>5</v>
      </c>
      <c r="D14" s="105"/>
      <c r="E14" s="94"/>
      <c r="F14" s="94"/>
      <c r="G14" s="106"/>
      <c r="H14" s="96"/>
      <c r="I14" s="96">
        <f t="shared" si="1"/>
        <v>5</v>
      </c>
      <c r="J14" s="107">
        <f t="shared" si="1"/>
        <v>0</v>
      </c>
      <c r="K14" s="44"/>
      <c r="L14" s="94"/>
      <c r="M14" s="94"/>
      <c r="N14" s="94"/>
      <c r="O14" s="94"/>
      <c r="P14" s="94"/>
      <c r="Q14" s="95"/>
      <c r="R14" s="96">
        <f t="shared" si="2"/>
        <v>0</v>
      </c>
      <c r="S14" s="95">
        <f t="shared" si="2"/>
        <v>0</v>
      </c>
      <c r="T14" s="44"/>
      <c r="U14" s="28"/>
      <c r="V14" s="30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x14ac:dyDescent="0.25">
      <c r="A15" s="3">
        <f t="shared" si="0"/>
        <v>12</v>
      </c>
      <c r="B15" s="13" t="s">
        <v>16</v>
      </c>
      <c r="C15" s="104">
        <v>1</v>
      </c>
      <c r="D15" s="105"/>
      <c r="E15" s="94"/>
      <c r="F15" s="94"/>
      <c r="G15" s="106"/>
      <c r="H15" s="96"/>
      <c r="I15" s="96">
        <f t="shared" si="1"/>
        <v>1</v>
      </c>
      <c r="J15" s="107">
        <f t="shared" si="1"/>
        <v>0</v>
      </c>
      <c r="K15" s="44"/>
      <c r="L15" s="94"/>
      <c r="M15" s="94"/>
      <c r="N15" s="94"/>
      <c r="O15" s="94"/>
      <c r="P15" s="94"/>
      <c r="Q15" s="95"/>
      <c r="R15" s="96">
        <f t="shared" si="2"/>
        <v>0</v>
      </c>
      <c r="S15" s="95">
        <f t="shared" si="2"/>
        <v>0</v>
      </c>
      <c r="T15" s="44"/>
      <c r="U15" s="28"/>
      <c r="V15" s="30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</row>
    <row r="16" spans="1:58" x14ac:dyDescent="0.25">
      <c r="A16" s="3">
        <f t="shared" si="0"/>
        <v>13</v>
      </c>
      <c r="B16" s="13" t="s">
        <v>17</v>
      </c>
      <c r="C16" s="104">
        <v>1</v>
      </c>
      <c r="D16" s="105"/>
      <c r="E16" s="94"/>
      <c r="F16" s="94"/>
      <c r="G16" s="106"/>
      <c r="H16" s="96"/>
      <c r="I16" s="96">
        <f t="shared" si="1"/>
        <v>1</v>
      </c>
      <c r="J16" s="107">
        <f t="shared" si="1"/>
        <v>0</v>
      </c>
      <c r="K16" s="44"/>
      <c r="L16" s="94"/>
      <c r="M16" s="94"/>
      <c r="N16" s="94"/>
      <c r="O16" s="94"/>
      <c r="P16" s="94"/>
      <c r="Q16" s="95"/>
      <c r="R16" s="96">
        <f t="shared" si="2"/>
        <v>0</v>
      </c>
      <c r="S16" s="95">
        <f t="shared" si="2"/>
        <v>0</v>
      </c>
      <c r="T16" s="44"/>
      <c r="U16" s="28"/>
      <c r="V16" s="30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x14ac:dyDescent="0.25">
      <c r="A17" s="3">
        <f t="shared" si="0"/>
        <v>14</v>
      </c>
      <c r="B17" s="13" t="s">
        <v>18</v>
      </c>
      <c r="C17" s="104"/>
      <c r="D17" s="105"/>
      <c r="E17" s="94"/>
      <c r="F17" s="94"/>
      <c r="G17" s="106"/>
      <c r="H17" s="96"/>
      <c r="I17" s="96">
        <f t="shared" si="1"/>
        <v>0</v>
      </c>
      <c r="J17" s="107">
        <f t="shared" si="1"/>
        <v>0</v>
      </c>
      <c r="K17" s="44"/>
      <c r="L17" s="94"/>
      <c r="M17" s="94"/>
      <c r="N17" s="94"/>
      <c r="O17" s="94"/>
      <c r="P17" s="94"/>
      <c r="Q17" s="95"/>
      <c r="R17" s="96">
        <f t="shared" si="2"/>
        <v>0</v>
      </c>
      <c r="S17" s="95">
        <f t="shared" si="2"/>
        <v>0</v>
      </c>
      <c r="T17" s="44"/>
      <c r="U17" s="28"/>
      <c r="V17" s="30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x14ac:dyDescent="0.25">
      <c r="A18" s="3">
        <f t="shared" si="0"/>
        <v>15</v>
      </c>
      <c r="B18" s="13" t="s">
        <v>19</v>
      </c>
      <c r="C18" s="104">
        <v>6</v>
      </c>
      <c r="D18" s="105"/>
      <c r="E18" s="94"/>
      <c r="F18" s="94"/>
      <c r="G18" s="106"/>
      <c r="H18" s="96"/>
      <c r="I18" s="96">
        <f t="shared" si="1"/>
        <v>6</v>
      </c>
      <c r="J18" s="107">
        <f t="shared" si="1"/>
        <v>0</v>
      </c>
      <c r="K18" s="44"/>
      <c r="L18" s="94"/>
      <c r="M18" s="94"/>
      <c r="N18" s="94"/>
      <c r="O18" s="94"/>
      <c r="P18" s="94"/>
      <c r="Q18" s="95"/>
      <c r="R18" s="96">
        <f t="shared" si="2"/>
        <v>0</v>
      </c>
      <c r="S18" s="95">
        <f t="shared" si="2"/>
        <v>0</v>
      </c>
      <c r="T18" s="44"/>
      <c r="U18" s="28"/>
      <c r="V18" s="30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ht="18.75" hidden="1" customHeight="1" x14ac:dyDescent="0.25">
      <c r="A19" s="3">
        <f t="shared" si="0"/>
        <v>16</v>
      </c>
      <c r="B19" s="13" t="s">
        <v>23</v>
      </c>
      <c r="C19" s="104"/>
      <c r="D19" s="105"/>
      <c r="E19" s="94"/>
      <c r="F19" s="94"/>
      <c r="G19" s="106"/>
      <c r="H19" s="96"/>
      <c r="I19" s="96">
        <f t="shared" si="1"/>
        <v>0</v>
      </c>
      <c r="J19" s="107">
        <f t="shared" si="1"/>
        <v>0</v>
      </c>
      <c r="K19" s="44"/>
      <c r="L19" s="94"/>
      <c r="M19" s="94"/>
      <c r="N19" s="94"/>
      <c r="O19" s="94"/>
      <c r="P19" s="94"/>
      <c r="Q19" s="95"/>
      <c r="R19" s="96">
        <f t="shared" si="2"/>
        <v>0</v>
      </c>
      <c r="S19" s="95">
        <f t="shared" si="2"/>
        <v>0</v>
      </c>
      <c r="T19" s="44"/>
      <c r="U19" s="28"/>
      <c r="V19" s="30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x14ac:dyDescent="0.25">
      <c r="A20" s="3">
        <v>16</v>
      </c>
      <c r="B20" s="13" t="s">
        <v>67</v>
      </c>
      <c r="C20" s="104">
        <v>4</v>
      </c>
      <c r="D20" s="105"/>
      <c r="E20" s="94"/>
      <c r="F20" s="94"/>
      <c r="G20" s="106"/>
      <c r="H20" s="96"/>
      <c r="I20" s="96">
        <f t="shared" si="1"/>
        <v>4</v>
      </c>
      <c r="J20" s="107">
        <f t="shared" si="1"/>
        <v>0</v>
      </c>
      <c r="K20" s="44"/>
      <c r="L20" s="94"/>
      <c r="M20" s="94"/>
      <c r="N20" s="94"/>
      <c r="O20" s="94"/>
      <c r="P20" s="94"/>
      <c r="Q20" s="95"/>
      <c r="R20" s="96">
        <f t="shared" si="2"/>
        <v>0</v>
      </c>
      <c r="S20" s="95">
        <f t="shared" si="2"/>
        <v>0</v>
      </c>
      <c r="T20" s="44"/>
      <c r="U20" s="28"/>
      <c r="V20" s="30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x14ac:dyDescent="0.25">
      <c r="A21" s="3">
        <f t="shared" si="0"/>
        <v>17</v>
      </c>
      <c r="B21" s="13" t="s">
        <v>20</v>
      </c>
      <c r="C21" s="104">
        <v>7</v>
      </c>
      <c r="D21" s="105"/>
      <c r="E21" s="94"/>
      <c r="F21" s="94"/>
      <c r="G21" s="106"/>
      <c r="H21" s="96"/>
      <c r="I21" s="96">
        <f t="shared" si="1"/>
        <v>7</v>
      </c>
      <c r="J21" s="107">
        <f t="shared" si="1"/>
        <v>0</v>
      </c>
      <c r="K21" s="44"/>
      <c r="L21" s="94"/>
      <c r="M21" s="94"/>
      <c r="N21" s="94"/>
      <c r="O21" s="94"/>
      <c r="P21" s="94"/>
      <c r="Q21" s="95"/>
      <c r="R21" s="96">
        <f t="shared" si="2"/>
        <v>0</v>
      </c>
      <c r="S21" s="95">
        <f t="shared" si="2"/>
        <v>0</v>
      </c>
      <c r="T21" s="44"/>
      <c r="U21" s="28"/>
      <c r="V21" s="30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x14ac:dyDescent="0.25">
      <c r="A22" s="3">
        <f t="shared" si="0"/>
        <v>18</v>
      </c>
      <c r="B22" s="13" t="s">
        <v>21</v>
      </c>
      <c r="C22" s="104">
        <v>6</v>
      </c>
      <c r="D22" s="105"/>
      <c r="E22" s="94"/>
      <c r="F22" s="94"/>
      <c r="G22" s="106"/>
      <c r="H22" s="96"/>
      <c r="I22" s="96">
        <f t="shared" si="1"/>
        <v>6</v>
      </c>
      <c r="J22" s="107">
        <f t="shared" si="1"/>
        <v>0</v>
      </c>
      <c r="K22" s="44"/>
      <c r="L22" s="94"/>
      <c r="M22" s="94"/>
      <c r="N22" s="94"/>
      <c r="O22" s="94"/>
      <c r="P22" s="94"/>
      <c r="Q22" s="95"/>
      <c r="R22" s="96">
        <f t="shared" si="2"/>
        <v>0</v>
      </c>
      <c r="S22" s="95">
        <f t="shared" si="2"/>
        <v>0</v>
      </c>
      <c r="T22" s="44"/>
      <c r="U22" s="28"/>
      <c r="V22" s="30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</row>
    <row r="23" spans="1:58" s="1" customFormat="1" x14ac:dyDescent="0.25">
      <c r="A23" s="3">
        <f t="shared" si="0"/>
        <v>19</v>
      </c>
      <c r="B23" s="13" t="s">
        <v>68</v>
      </c>
      <c r="C23" s="104">
        <v>4</v>
      </c>
      <c r="D23" s="105"/>
      <c r="E23" s="94"/>
      <c r="F23" s="94"/>
      <c r="G23" s="106"/>
      <c r="H23" s="96"/>
      <c r="I23" s="96">
        <f t="shared" si="1"/>
        <v>4</v>
      </c>
      <c r="J23" s="107">
        <f t="shared" si="1"/>
        <v>0</v>
      </c>
      <c r="K23" s="45"/>
      <c r="L23" s="94"/>
      <c r="M23" s="94"/>
      <c r="N23" s="94"/>
      <c r="O23" s="94"/>
      <c r="P23" s="94"/>
      <c r="Q23" s="95"/>
      <c r="R23" s="96">
        <f t="shared" si="2"/>
        <v>0</v>
      </c>
      <c r="S23" s="95">
        <f t="shared" si="2"/>
        <v>0</v>
      </c>
      <c r="T23" s="45"/>
      <c r="U23" s="28"/>
      <c r="V23" s="30"/>
      <c r="W23" s="2"/>
      <c r="AB23" s="2"/>
      <c r="AE23" s="2"/>
      <c r="AF23" s="2"/>
      <c r="AG23" s="2"/>
      <c r="AH23" s="2"/>
      <c r="AI23" s="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1" customFormat="1" x14ac:dyDescent="0.25">
      <c r="A24" s="3">
        <f t="shared" si="0"/>
        <v>20</v>
      </c>
      <c r="B24" s="13" t="s">
        <v>69</v>
      </c>
      <c r="C24" s="104">
        <v>55</v>
      </c>
      <c r="D24" s="105"/>
      <c r="E24" s="94"/>
      <c r="F24" s="94"/>
      <c r="G24" s="106"/>
      <c r="H24" s="96"/>
      <c r="I24" s="96">
        <f t="shared" si="1"/>
        <v>55</v>
      </c>
      <c r="J24" s="107">
        <f t="shared" si="1"/>
        <v>0</v>
      </c>
      <c r="K24" s="45"/>
      <c r="L24" s="94"/>
      <c r="M24" s="94"/>
      <c r="N24" s="94"/>
      <c r="O24" s="94"/>
      <c r="P24" s="94"/>
      <c r="Q24" s="95"/>
      <c r="R24" s="96">
        <f t="shared" si="2"/>
        <v>0</v>
      </c>
      <c r="S24" s="95">
        <f t="shared" si="2"/>
        <v>0</v>
      </c>
      <c r="T24" s="45"/>
      <c r="U24" s="28"/>
      <c r="V24" s="30"/>
      <c r="W24" s="2"/>
      <c r="AB24" s="2"/>
      <c r="AE24" s="2"/>
      <c r="AF24" s="2"/>
      <c r="AG24" s="2"/>
      <c r="AH24" s="2"/>
      <c r="AI24" s="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</row>
    <row r="25" spans="1:58" x14ac:dyDescent="0.25">
      <c r="A25" s="3">
        <f t="shared" si="0"/>
        <v>21</v>
      </c>
      <c r="B25" s="13" t="s">
        <v>70</v>
      </c>
      <c r="C25" s="104">
        <v>8</v>
      </c>
      <c r="D25" s="105"/>
      <c r="E25" s="94"/>
      <c r="F25" s="94"/>
      <c r="G25" s="106"/>
      <c r="H25" s="96"/>
      <c r="I25" s="96">
        <f t="shared" si="1"/>
        <v>8</v>
      </c>
      <c r="J25" s="107">
        <f t="shared" si="1"/>
        <v>0</v>
      </c>
      <c r="K25" s="44"/>
      <c r="L25" s="94"/>
      <c r="M25" s="94"/>
      <c r="N25" s="94"/>
      <c r="O25" s="94"/>
      <c r="P25" s="94"/>
      <c r="Q25" s="95"/>
      <c r="R25" s="96">
        <f t="shared" si="2"/>
        <v>0</v>
      </c>
      <c r="S25" s="95">
        <f t="shared" si="2"/>
        <v>0</v>
      </c>
      <c r="T25" s="44"/>
      <c r="U25" s="28"/>
      <c r="V25" s="30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</row>
    <row r="26" spans="1:58" x14ac:dyDescent="0.25">
      <c r="A26" s="3">
        <f t="shared" si="0"/>
        <v>22</v>
      </c>
      <c r="B26" s="13" t="s">
        <v>22</v>
      </c>
      <c r="C26" s="104">
        <v>63</v>
      </c>
      <c r="D26" s="105">
        <v>23</v>
      </c>
      <c r="E26" s="94"/>
      <c r="F26" s="94"/>
      <c r="G26" s="106">
        <v>1</v>
      </c>
      <c r="H26" s="96"/>
      <c r="I26" s="96">
        <f t="shared" si="1"/>
        <v>62</v>
      </c>
      <c r="J26" s="107">
        <f t="shared" si="1"/>
        <v>23</v>
      </c>
      <c r="K26" s="44"/>
      <c r="L26" s="94"/>
      <c r="M26" s="94"/>
      <c r="N26" s="94">
        <v>1</v>
      </c>
      <c r="O26" s="94"/>
      <c r="P26" s="94"/>
      <c r="Q26" s="95"/>
      <c r="R26" s="96">
        <f t="shared" si="2"/>
        <v>1</v>
      </c>
      <c r="S26" s="95">
        <f t="shared" si="2"/>
        <v>0</v>
      </c>
      <c r="T26" s="44"/>
      <c r="U26" s="28"/>
      <c r="V26" s="30"/>
      <c r="BC26" s="14" t="e">
        <f>#REF!-BC25</f>
        <v>#REF!</v>
      </c>
    </row>
    <row r="27" spans="1:58" s="1" customFormat="1" x14ac:dyDescent="0.25">
      <c r="A27" s="3">
        <f t="shared" si="0"/>
        <v>23</v>
      </c>
      <c r="B27" s="13" t="s">
        <v>24</v>
      </c>
      <c r="C27" s="104">
        <v>20</v>
      </c>
      <c r="D27" s="105"/>
      <c r="E27" s="94"/>
      <c r="F27" s="94"/>
      <c r="G27" s="106"/>
      <c r="H27" s="96"/>
      <c r="I27" s="96">
        <f t="shared" si="1"/>
        <v>20</v>
      </c>
      <c r="J27" s="107">
        <f t="shared" si="1"/>
        <v>0</v>
      </c>
      <c r="K27" s="45"/>
      <c r="L27" s="94"/>
      <c r="M27" s="94"/>
      <c r="N27" s="94"/>
      <c r="O27" s="94"/>
      <c r="P27" s="94"/>
      <c r="Q27" s="95"/>
      <c r="R27" s="96">
        <f t="shared" si="2"/>
        <v>0</v>
      </c>
      <c r="S27" s="95">
        <f t="shared" si="2"/>
        <v>0</v>
      </c>
      <c r="T27" s="45"/>
      <c r="U27" s="28"/>
      <c r="V27" s="30"/>
      <c r="W27" s="2"/>
      <c r="AB27" s="2"/>
      <c r="AE27" s="2"/>
      <c r="AF27" s="2"/>
      <c r="AG27" s="2"/>
      <c r="AH27" s="2"/>
      <c r="AI27" s="2"/>
    </row>
    <row r="28" spans="1:58" s="1" customFormat="1" x14ac:dyDescent="0.25">
      <c r="A28" s="3">
        <f t="shared" si="0"/>
        <v>24</v>
      </c>
      <c r="B28" s="13" t="s">
        <v>25</v>
      </c>
      <c r="C28" s="104">
        <v>70</v>
      </c>
      <c r="D28" s="105"/>
      <c r="E28" s="94"/>
      <c r="F28" s="94"/>
      <c r="G28" s="106">
        <v>4</v>
      </c>
      <c r="H28" s="96"/>
      <c r="I28" s="96">
        <f t="shared" si="1"/>
        <v>66</v>
      </c>
      <c r="J28" s="107">
        <f t="shared" si="1"/>
        <v>0</v>
      </c>
      <c r="K28" s="45"/>
      <c r="L28" s="94"/>
      <c r="M28" s="94"/>
      <c r="N28" s="94"/>
      <c r="O28" s="94"/>
      <c r="P28" s="94">
        <v>4</v>
      </c>
      <c r="Q28" s="95"/>
      <c r="R28" s="96">
        <f t="shared" si="2"/>
        <v>4</v>
      </c>
      <c r="S28" s="95">
        <f t="shared" si="2"/>
        <v>0</v>
      </c>
      <c r="T28" s="45"/>
      <c r="U28" s="28"/>
      <c r="V28" s="30"/>
      <c r="W28" s="2"/>
      <c r="AB28" s="2"/>
      <c r="AE28" s="2"/>
      <c r="AF28" s="2"/>
      <c r="AG28" s="2"/>
      <c r="AH28" s="2"/>
      <c r="AI28" s="2"/>
    </row>
    <row r="29" spans="1:58" x14ac:dyDescent="0.25">
      <c r="A29" s="3">
        <f t="shared" si="0"/>
        <v>25</v>
      </c>
      <c r="B29" s="13" t="s">
        <v>27</v>
      </c>
      <c r="C29" s="104">
        <v>7</v>
      </c>
      <c r="D29" s="105"/>
      <c r="E29" s="94"/>
      <c r="F29" s="94"/>
      <c r="G29" s="106">
        <v>2</v>
      </c>
      <c r="H29" s="96"/>
      <c r="I29" s="96">
        <f t="shared" si="1"/>
        <v>5</v>
      </c>
      <c r="J29" s="107">
        <f t="shared" si="1"/>
        <v>0</v>
      </c>
      <c r="K29" s="44"/>
      <c r="L29" s="94"/>
      <c r="M29" s="94"/>
      <c r="N29" s="94">
        <v>1</v>
      </c>
      <c r="O29" s="94"/>
      <c r="P29" s="94">
        <v>1</v>
      </c>
      <c r="Q29" s="95"/>
      <c r="R29" s="96">
        <f t="shared" si="2"/>
        <v>2</v>
      </c>
      <c r="S29" s="95">
        <f t="shared" si="2"/>
        <v>0</v>
      </c>
      <c r="T29" s="44"/>
      <c r="U29" s="28"/>
      <c r="V29" s="30"/>
    </row>
    <row r="30" spans="1:58" x14ac:dyDescent="0.25">
      <c r="A30" s="3">
        <f t="shared" si="0"/>
        <v>26</v>
      </c>
      <c r="B30" s="13" t="s">
        <v>29</v>
      </c>
      <c r="C30" s="104">
        <v>100</v>
      </c>
      <c r="D30" s="105"/>
      <c r="E30" s="94"/>
      <c r="F30" s="94"/>
      <c r="G30" s="106">
        <v>2</v>
      </c>
      <c r="H30" s="96"/>
      <c r="I30" s="96">
        <f t="shared" si="1"/>
        <v>98</v>
      </c>
      <c r="J30" s="107">
        <f t="shared" si="1"/>
        <v>0</v>
      </c>
      <c r="K30" s="44"/>
      <c r="L30" s="94"/>
      <c r="M30" s="94"/>
      <c r="N30" s="94">
        <v>1</v>
      </c>
      <c r="O30" s="94"/>
      <c r="P30" s="94">
        <v>1</v>
      </c>
      <c r="Q30" s="95"/>
      <c r="R30" s="96">
        <f t="shared" si="2"/>
        <v>2</v>
      </c>
      <c r="S30" s="95">
        <f t="shared" si="2"/>
        <v>0</v>
      </c>
      <c r="T30" s="44"/>
      <c r="U30" s="28"/>
      <c r="V30" s="30"/>
    </row>
    <row r="31" spans="1:58" x14ac:dyDescent="0.25">
      <c r="A31" s="3">
        <f t="shared" si="0"/>
        <v>27</v>
      </c>
      <c r="B31" s="13" t="s">
        <v>26</v>
      </c>
      <c r="C31" s="104"/>
      <c r="D31" s="105"/>
      <c r="E31" s="94"/>
      <c r="F31" s="94"/>
      <c r="G31" s="106"/>
      <c r="H31" s="96"/>
      <c r="I31" s="96">
        <f t="shared" si="1"/>
        <v>0</v>
      </c>
      <c r="J31" s="107">
        <f t="shared" si="1"/>
        <v>0</v>
      </c>
      <c r="K31" s="44"/>
      <c r="L31" s="94"/>
      <c r="M31" s="94"/>
      <c r="N31" s="94"/>
      <c r="O31" s="94"/>
      <c r="P31" s="94"/>
      <c r="Q31" s="95"/>
      <c r="R31" s="96">
        <f t="shared" si="2"/>
        <v>0</v>
      </c>
      <c r="S31" s="95">
        <f t="shared" si="2"/>
        <v>0</v>
      </c>
      <c r="T31" s="44"/>
      <c r="U31" s="28"/>
      <c r="V31" s="30"/>
    </row>
    <row r="32" spans="1:58" x14ac:dyDescent="0.25">
      <c r="A32" s="3">
        <f t="shared" si="0"/>
        <v>28</v>
      </c>
      <c r="B32" s="13" t="s">
        <v>28</v>
      </c>
      <c r="C32" s="104"/>
      <c r="D32" s="105"/>
      <c r="E32" s="94"/>
      <c r="F32" s="94"/>
      <c r="G32" s="106"/>
      <c r="H32" s="96"/>
      <c r="I32" s="96">
        <f t="shared" si="1"/>
        <v>0</v>
      </c>
      <c r="J32" s="107">
        <f t="shared" si="1"/>
        <v>0</v>
      </c>
      <c r="K32" s="44"/>
      <c r="L32" s="94"/>
      <c r="M32" s="94"/>
      <c r="N32" s="94"/>
      <c r="O32" s="94"/>
      <c r="P32" s="94"/>
      <c r="Q32" s="95"/>
      <c r="R32" s="96">
        <f t="shared" si="2"/>
        <v>0</v>
      </c>
      <c r="S32" s="95">
        <f t="shared" si="2"/>
        <v>0</v>
      </c>
      <c r="T32" s="44"/>
      <c r="U32" s="28"/>
      <c r="V32" s="30"/>
    </row>
    <row r="33" spans="1:24" x14ac:dyDescent="0.25">
      <c r="A33" s="3">
        <f t="shared" si="0"/>
        <v>29</v>
      </c>
      <c r="B33" s="13" t="s">
        <v>30</v>
      </c>
      <c r="C33" s="104">
        <v>5</v>
      </c>
      <c r="D33" s="105"/>
      <c r="E33" s="94"/>
      <c r="F33" s="94"/>
      <c r="G33" s="106"/>
      <c r="H33" s="96"/>
      <c r="I33" s="96">
        <f t="shared" si="1"/>
        <v>5</v>
      </c>
      <c r="J33" s="107">
        <f t="shared" si="1"/>
        <v>0</v>
      </c>
      <c r="K33" s="44"/>
      <c r="L33" s="94"/>
      <c r="M33" s="94"/>
      <c r="N33" s="94"/>
      <c r="O33" s="94"/>
      <c r="P33" s="94"/>
      <c r="Q33" s="95"/>
      <c r="R33" s="96">
        <f t="shared" si="2"/>
        <v>0</v>
      </c>
      <c r="S33" s="95">
        <f t="shared" si="2"/>
        <v>0</v>
      </c>
      <c r="T33" s="44"/>
      <c r="U33" s="28"/>
      <c r="V33" s="30"/>
    </row>
    <row r="34" spans="1:24" x14ac:dyDescent="0.25">
      <c r="A34" s="3">
        <f t="shared" si="0"/>
        <v>30</v>
      </c>
      <c r="B34" s="13" t="s">
        <v>31</v>
      </c>
      <c r="C34" s="104">
        <v>204</v>
      </c>
      <c r="D34" s="105">
        <v>23</v>
      </c>
      <c r="E34" s="94"/>
      <c r="F34" s="94"/>
      <c r="G34" s="106">
        <v>1</v>
      </c>
      <c r="H34" s="96"/>
      <c r="I34" s="96">
        <f t="shared" si="1"/>
        <v>203</v>
      </c>
      <c r="J34" s="107">
        <f t="shared" si="1"/>
        <v>23</v>
      </c>
      <c r="K34" s="44"/>
      <c r="L34" s="94"/>
      <c r="M34" s="94"/>
      <c r="N34" s="94"/>
      <c r="O34" s="94"/>
      <c r="P34" s="94">
        <v>1</v>
      </c>
      <c r="Q34" s="95"/>
      <c r="R34" s="96">
        <f t="shared" si="2"/>
        <v>1</v>
      </c>
      <c r="S34" s="95">
        <f t="shared" si="2"/>
        <v>0</v>
      </c>
      <c r="T34" s="44"/>
      <c r="U34" s="28"/>
      <c r="V34" s="30"/>
    </row>
    <row r="35" spans="1:24" ht="18.75" hidden="1" customHeight="1" x14ac:dyDescent="0.25">
      <c r="A35" s="3">
        <f t="shared" si="0"/>
        <v>31</v>
      </c>
      <c r="B35" s="13" t="s">
        <v>39</v>
      </c>
      <c r="C35" s="104"/>
      <c r="D35" s="105"/>
      <c r="E35" s="94"/>
      <c r="F35" s="94"/>
      <c r="G35" s="106"/>
      <c r="H35" s="96"/>
      <c r="I35" s="96">
        <f t="shared" si="1"/>
        <v>0</v>
      </c>
      <c r="J35" s="107">
        <f t="shared" si="1"/>
        <v>0</v>
      </c>
      <c r="K35" s="44"/>
      <c r="L35" s="94"/>
      <c r="M35" s="94"/>
      <c r="N35" s="94"/>
      <c r="O35" s="94"/>
      <c r="P35" s="94"/>
      <c r="Q35" s="95"/>
      <c r="R35" s="96">
        <f t="shared" si="2"/>
        <v>0</v>
      </c>
      <c r="S35" s="95">
        <f t="shared" si="2"/>
        <v>0</v>
      </c>
      <c r="T35" s="44"/>
      <c r="U35" s="28"/>
      <c r="V35" s="30"/>
    </row>
    <row r="36" spans="1:24" ht="18.75" customHeight="1" x14ac:dyDescent="0.25">
      <c r="A36" s="3">
        <v>31</v>
      </c>
      <c r="B36" s="13" t="s">
        <v>32</v>
      </c>
      <c r="C36" s="104">
        <v>1</v>
      </c>
      <c r="D36" s="105"/>
      <c r="E36" s="94"/>
      <c r="F36" s="94"/>
      <c r="G36" s="106"/>
      <c r="H36" s="96"/>
      <c r="I36" s="96">
        <f t="shared" si="1"/>
        <v>1</v>
      </c>
      <c r="J36" s="107">
        <f t="shared" si="1"/>
        <v>0</v>
      </c>
      <c r="K36" s="44"/>
      <c r="L36" s="94"/>
      <c r="M36" s="94"/>
      <c r="N36" s="94"/>
      <c r="O36" s="94"/>
      <c r="P36" s="94"/>
      <c r="Q36" s="95"/>
      <c r="R36" s="96">
        <f t="shared" si="2"/>
        <v>0</v>
      </c>
      <c r="S36" s="95">
        <f t="shared" si="2"/>
        <v>0</v>
      </c>
      <c r="T36" s="44"/>
      <c r="U36" s="28"/>
      <c r="V36" s="30"/>
    </row>
    <row r="37" spans="1:24" ht="19.5" thickBot="1" x14ac:dyDescent="0.3">
      <c r="A37" s="3">
        <f t="shared" si="0"/>
        <v>32</v>
      </c>
      <c r="B37" s="54" t="s">
        <v>33</v>
      </c>
      <c r="C37" s="108">
        <v>6774</v>
      </c>
      <c r="D37" s="109">
        <v>2</v>
      </c>
      <c r="E37" s="110"/>
      <c r="F37" s="110"/>
      <c r="G37" s="111">
        <v>101</v>
      </c>
      <c r="H37" s="112"/>
      <c r="I37" s="96">
        <f t="shared" si="1"/>
        <v>6673</v>
      </c>
      <c r="J37" s="107">
        <f t="shared" si="1"/>
        <v>2</v>
      </c>
      <c r="K37" s="64"/>
      <c r="L37" s="97"/>
      <c r="M37" s="97"/>
      <c r="N37" s="97">
        <v>23</v>
      </c>
      <c r="O37" s="97"/>
      <c r="P37" s="97">
        <v>78</v>
      </c>
      <c r="Q37" s="98"/>
      <c r="R37" s="96">
        <f t="shared" si="2"/>
        <v>101</v>
      </c>
      <c r="S37" s="95">
        <f t="shared" si="2"/>
        <v>0</v>
      </c>
      <c r="T37" s="64"/>
      <c r="U37" s="67"/>
      <c r="V37" s="66"/>
    </row>
    <row r="38" spans="1:24" x14ac:dyDescent="0.25">
      <c r="A38" s="3">
        <f t="shared" si="0"/>
        <v>33</v>
      </c>
      <c r="B38" s="10" t="s">
        <v>34</v>
      </c>
      <c r="C38" s="104">
        <v>35</v>
      </c>
      <c r="D38" s="105"/>
      <c r="E38" s="94"/>
      <c r="F38" s="94"/>
      <c r="G38" s="106"/>
      <c r="H38" s="96"/>
      <c r="I38" s="96">
        <f t="shared" si="1"/>
        <v>35</v>
      </c>
      <c r="J38" s="107">
        <f t="shared" si="1"/>
        <v>0</v>
      </c>
      <c r="K38" s="44"/>
      <c r="L38" s="94"/>
      <c r="M38" s="94"/>
      <c r="N38" s="94"/>
      <c r="O38" s="94"/>
      <c r="P38" s="94"/>
      <c r="Q38" s="95"/>
      <c r="R38" s="96">
        <f t="shared" si="2"/>
        <v>0</v>
      </c>
      <c r="S38" s="95">
        <f t="shared" si="2"/>
        <v>0</v>
      </c>
      <c r="T38" s="44"/>
      <c r="U38" s="28"/>
      <c r="V38" s="30"/>
    </row>
    <row r="39" spans="1:24" ht="19.5" thickBot="1" x14ac:dyDescent="0.3">
      <c r="A39" s="3">
        <f>A38+1</f>
        <v>34</v>
      </c>
      <c r="B39" s="54" t="s">
        <v>35</v>
      </c>
      <c r="C39" s="108">
        <v>1092</v>
      </c>
      <c r="D39" s="109"/>
      <c r="E39" s="110"/>
      <c r="F39" s="110"/>
      <c r="G39" s="111"/>
      <c r="H39" s="112"/>
      <c r="I39" s="96">
        <f t="shared" si="1"/>
        <v>1092</v>
      </c>
      <c r="J39" s="107">
        <f t="shared" si="1"/>
        <v>0</v>
      </c>
      <c r="K39" s="64"/>
      <c r="L39" s="97"/>
      <c r="M39" s="97"/>
      <c r="N39" s="97"/>
      <c r="O39" s="97"/>
      <c r="P39" s="97"/>
      <c r="Q39" s="98"/>
      <c r="R39" s="96">
        <f t="shared" si="2"/>
        <v>0</v>
      </c>
      <c r="S39" s="95">
        <f t="shared" si="2"/>
        <v>0</v>
      </c>
      <c r="T39" s="64"/>
      <c r="U39" s="67"/>
      <c r="V39" s="66"/>
    </row>
    <row r="40" spans="1:24" ht="19.5" thickBot="1" x14ac:dyDescent="0.3">
      <c r="A40" s="3">
        <f t="shared" si="0"/>
        <v>35</v>
      </c>
      <c r="B40" s="59" t="s">
        <v>36</v>
      </c>
      <c r="C40" s="113">
        <v>2275</v>
      </c>
      <c r="D40" s="114"/>
      <c r="E40" s="99"/>
      <c r="F40" s="99"/>
      <c r="G40" s="115">
        <v>21</v>
      </c>
      <c r="H40" s="116"/>
      <c r="I40" s="96">
        <f t="shared" si="1"/>
        <v>2254</v>
      </c>
      <c r="J40" s="107">
        <f t="shared" si="1"/>
        <v>0</v>
      </c>
      <c r="K40" s="69"/>
      <c r="L40" s="99"/>
      <c r="M40" s="99"/>
      <c r="N40" s="99">
        <v>9</v>
      </c>
      <c r="O40" s="99"/>
      <c r="P40" s="99">
        <v>12</v>
      </c>
      <c r="Q40" s="100"/>
      <c r="R40" s="96">
        <f t="shared" si="2"/>
        <v>21</v>
      </c>
      <c r="S40" s="95">
        <f t="shared" si="2"/>
        <v>0</v>
      </c>
      <c r="T40" s="69"/>
      <c r="U40" s="60"/>
      <c r="V40" s="63"/>
    </row>
    <row r="41" spans="1:24" ht="18.75" hidden="1" customHeight="1" x14ac:dyDescent="0.25">
      <c r="A41" s="3">
        <f t="shared" si="0"/>
        <v>36</v>
      </c>
      <c r="B41" s="10" t="s">
        <v>43</v>
      </c>
      <c r="C41" s="104"/>
      <c r="D41" s="105"/>
      <c r="E41" s="94"/>
      <c r="F41" s="94"/>
      <c r="G41" s="106"/>
      <c r="H41" s="96"/>
      <c r="I41" s="96">
        <f t="shared" si="1"/>
        <v>0</v>
      </c>
      <c r="J41" s="107">
        <f t="shared" si="1"/>
        <v>0</v>
      </c>
      <c r="K41" s="44"/>
      <c r="L41" s="94"/>
      <c r="M41" s="94"/>
      <c r="N41" s="94"/>
      <c r="O41" s="94"/>
      <c r="P41" s="94"/>
      <c r="Q41" s="95"/>
      <c r="R41" s="96">
        <f t="shared" si="2"/>
        <v>0</v>
      </c>
      <c r="S41" s="95">
        <f t="shared" si="2"/>
        <v>0</v>
      </c>
      <c r="T41" s="44"/>
      <c r="U41" s="28"/>
      <c r="V41" s="30"/>
    </row>
    <row r="42" spans="1:24" ht="19.5" thickBot="1" x14ac:dyDescent="0.3">
      <c r="A42" s="3">
        <v>36</v>
      </c>
      <c r="B42" s="54" t="s">
        <v>37</v>
      </c>
      <c r="C42" s="108">
        <v>33057</v>
      </c>
      <c r="D42" s="109">
        <v>3</v>
      </c>
      <c r="E42" s="110">
        <v>2574</v>
      </c>
      <c r="F42" s="110"/>
      <c r="G42" s="111">
        <v>1308</v>
      </c>
      <c r="H42" s="112"/>
      <c r="I42" s="96">
        <f>C42-G42+E42</f>
        <v>34323</v>
      </c>
      <c r="J42" s="107">
        <f t="shared" si="1"/>
        <v>3</v>
      </c>
      <c r="K42" s="64"/>
      <c r="L42" s="97">
        <v>647</v>
      </c>
      <c r="M42" s="97"/>
      <c r="N42" s="97">
        <v>317</v>
      </c>
      <c r="O42" s="97"/>
      <c r="P42" s="97">
        <v>344</v>
      </c>
      <c r="Q42" s="98"/>
      <c r="R42" s="96">
        <f t="shared" si="2"/>
        <v>1308</v>
      </c>
      <c r="S42" s="95">
        <f t="shared" si="2"/>
        <v>0</v>
      </c>
      <c r="T42" s="64"/>
      <c r="U42" s="67"/>
      <c r="V42" s="66"/>
      <c r="X42" s="50"/>
    </row>
    <row r="43" spans="1:24" ht="18.75" hidden="1" customHeight="1" x14ac:dyDescent="0.25">
      <c r="A43" s="3">
        <f t="shared" si="0"/>
        <v>37</v>
      </c>
      <c r="B43" s="10" t="s">
        <v>45</v>
      </c>
      <c r="C43" s="104"/>
      <c r="D43" s="105"/>
      <c r="E43" s="94"/>
      <c r="F43" s="94"/>
      <c r="G43" s="106"/>
      <c r="H43" s="96"/>
      <c r="I43" s="96">
        <f t="shared" si="1"/>
        <v>0</v>
      </c>
      <c r="J43" s="107">
        <f t="shared" si="1"/>
        <v>0</v>
      </c>
      <c r="K43" s="44"/>
      <c r="L43" s="94"/>
      <c r="M43" s="94"/>
      <c r="N43" s="94"/>
      <c r="O43" s="94"/>
      <c r="P43" s="94"/>
      <c r="Q43" s="95"/>
      <c r="R43" s="96">
        <f t="shared" si="2"/>
        <v>0</v>
      </c>
      <c r="S43" s="95">
        <f t="shared" si="2"/>
        <v>0</v>
      </c>
      <c r="T43" s="44"/>
      <c r="U43" s="28"/>
      <c r="V43" s="30"/>
    </row>
    <row r="44" spans="1:24" x14ac:dyDescent="0.25">
      <c r="A44" s="3">
        <v>37</v>
      </c>
      <c r="B44" s="13" t="s">
        <v>38</v>
      </c>
      <c r="C44" s="104"/>
      <c r="D44" s="105"/>
      <c r="E44" s="94"/>
      <c r="F44" s="94"/>
      <c r="G44" s="106"/>
      <c r="H44" s="96"/>
      <c r="I44" s="96">
        <f t="shared" si="1"/>
        <v>0</v>
      </c>
      <c r="J44" s="107">
        <f t="shared" si="1"/>
        <v>0</v>
      </c>
      <c r="K44" s="44"/>
      <c r="L44" s="94"/>
      <c r="M44" s="94"/>
      <c r="N44" s="94"/>
      <c r="O44" s="94"/>
      <c r="P44" s="94"/>
      <c r="Q44" s="95"/>
      <c r="R44" s="96">
        <f t="shared" si="2"/>
        <v>0</v>
      </c>
      <c r="S44" s="95">
        <f t="shared" si="2"/>
        <v>0</v>
      </c>
      <c r="T44" s="44"/>
      <c r="U44" s="28"/>
      <c r="V44" s="30"/>
    </row>
    <row r="45" spans="1:24" x14ac:dyDescent="0.25">
      <c r="A45" s="3">
        <f t="shared" si="0"/>
        <v>38</v>
      </c>
      <c r="B45" s="13" t="s">
        <v>71</v>
      </c>
      <c r="C45" s="104">
        <v>2</v>
      </c>
      <c r="D45" s="105"/>
      <c r="E45" s="94"/>
      <c r="F45" s="94"/>
      <c r="G45" s="106"/>
      <c r="H45" s="96"/>
      <c r="I45" s="96">
        <f t="shared" si="1"/>
        <v>2</v>
      </c>
      <c r="J45" s="107">
        <f t="shared" si="1"/>
        <v>0</v>
      </c>
      <c r="K45" s="44"/>
      <c r="L45" s="94"/>
      <c r="M45" s="94"/>
      <c r="N45" s="94"/>
      <c r="O45" s="94"/>
      <c r="P45" s="94"/>
      <c r="Q45" s="95"/>
      <c r="R45" s="96">
        <f t="shared" si="2"/>
        <v>0</v>
      </c>
      <c r="S45" s="95">
        <f t="shared" si="2"/>
        <v>0</v>
      </c>
      <c r="T45" s="44"/>
      <c r="U45" s="28"/>
      <c r="V45" s="30"/>
    </row>
    <row r="46" spans="1:24" x14ac:dyDescent="0.25">
      <c r="A46" s="3">
        <f t="shared" si="0"/>
        <v>39</v>
      </c>
      <c r="B46" s="13" t="s">
        <v>39</v>
      </c>
      <c r="C46" s="104">
        <v>2411</v>
      </c>
      <c r="D46" s="105">
        <v>3</v>
      </c>
      <c r="E46" s="94"/>
      <c r="F46" s="94"/>
      <c r="G46" s="106">
        <v>4</v>
      </c>
      <c r="H46" s="96">
        <v>2</v>
      </c>
      <c r="I46" s="96">
        <f t="shared" si="1"/>
        <v>2407</v>
      </c>
      <c r="J46" s="107">
        <f t="shared" si="1"/>
        <v>1</v>
      </c>
      <c r="K46" s="44"/>
      <c r="L46" s="94"/>
      <c r="M46" s="94"/>
      <c r="N46" s="94"/>
      <c r="O46" s="94">
        <v>2</v>
      </c>
      <c r="P46" s="94">
        <v>4</v>
      </c>
      <c r="Q46" s="95"/>
      <c r="R46" s="96">
        <f t="shared" si="2"/>
        <v>4</v>
      </c>
      <c r="S46" s="95">
        <f t="shared" si="2"/>
        <v>2</v>
      </c>
      <c r="T46" s="44"/>
      <c r="U46" s="28"/>
      <c r="V46" s="30"/>
    </row>
    <row r="47" spans="1:24" x14ac:dyDescent="0.25">
      <c r="A47" s="3">
        <f t="shared" si="0"/>
        <v>40</v>
      </c>
      <c r="B47" s="13" t="s">
        <v>72</v>
      </c>
      <c r="C47" s="104"/>
      <c r="D47" s="105"/>
      <c r="E47" s="94"/>
      <c r="F47" s="94"/>
      <c r="G47" s="106"/>
      <c r="H47" s="96"/>
      <c r="I47" s="96">
        <f t="shared" si="1"/>
        <v>0</v>
      </c>
      <c r="J47" s="107">
        <f t="shared" si="1"/>
        <v>0</v>
      </c>
      <c r="K47" s="44"/>
      <c r="L47" s="94"/>
      <c r="M47" s="94"/>
      <c r="N47" s="94"/>
      <c r="O47" s="94"/>
      <c r="P47" s="94"/>
      <c r="Q47" s="95"/>
      <c r="R47" s="96">
        <f t="shared" si="2"/>
        <v>0</v>
      </c>
      <c r="S47" s="95">
        <f t="shared" si="2"/>
        <v>0</v>
      </c>
      <c r="T47" s="44"/>
      <c r="U47" s="28"/>
      <c r="V47" s="30"/>
    </row>
    <row r="48" spans="1:24" x14ac:dyDescent="0.25">
      <c r="A48" s="3">
        <f t="shared" si="0"/>
        <v>41</v>
      </c>
      <c r="B48" s="13" t="s">
        <v>40</v>
      </c>
      <c r="C48" s="104">
        <v>1</v>
      </c>
      <c r="D48" s="105"/>
      <c r="E48" s="94"/>
      <c r="F48" s="94"/>
      <c r="G48" s="106"/>
      <c r="H48" s="96"/>
      <c r="I48" s="96">
        <f t="shared" si="1"/>
        <v>1</v>
      </c>
      <c r="J48" s="107">
        <f t="shared" si="1"/>
        <v>0</v>
      </c>
      <c r="K48" s="44"/>
      <c r="L48" s="94"/>
      <c r="M48" s="94"/>
      <c r="N48" s="94"/>
      <c r="O48" s="94"/>
      <c r="P48" s="94"/>
      <c r="Q48" s="95"/>
      <c r="R48" s="96">
        <f t="shared" si="2"/>
        <v>0</v>
      </c>
      <c r="S48" s="95">
        <f t="shared" si="2"/>
        <v>0</v>
      </c>
      <c r="T48" s="44"/>
      <c r="U48" s="28"/>
      <c r="V48" s="30"/>
    </row>
    <row r="49" spans="1:22" x14ac:dyDescent="0.25">
      <c r="A49" s="3">
        <f t="shared" si="0"/>
        <v>42</v>
      </c>
      <c r="B49" s="13" t="s">
        <v>73</v>
      </c>
      <c r="C49" s="104"/>
      <c r="D49" s="105"/>
      <c r="E49" s="94"/>
      <c r="F49" s="94"/>
      <c r="G49" s="106"/>
      <c r="H49" s="96"/>
      <c r="I49" s="96">
        <f t="shared" si="1"/>
        <v>0</v>
      </c>
      <c r="J49" s="107">
        <f t="shared" si="1"/>
        <v>0</v>
      </c>
      <c r="K49" s="44"/>
      <c r="L49" s="94"/>
      <c r="M49" s="94"/>
      <c r="N49" s="94"/>
      <c r="O49" s="94"/>
      <c r="P49" s="94"/>
      <c r="Q49" s="95"/>
      <c r="R49" s="96">
        <f t="shared" si="2"/>
        <v>0</v>
      </c>
      <c r="S49" s="95">
        <f t="shared" si="2"/>
        <v>0</v>
      </c>
      <c r="T49" s="44"/>
      <c r="U49" s="28"/>
      <c r="V49" s="30"/>
    </row>
    <row r="50" spans="1:22" x14ac:dyDescent="0.25">
      <c r="A50" s="3">
        <f t="shared" si="0"/>
        <v>43</v>
      </c>
      <c r="B50" s="13" t="s">
        <v>41</v>
      </c>
      <c r="C50" s="104">
        <v>34</v>
      </c>
      <c r="D50" s="105"/>
      <c r="E50" s="94"/>
      <c r="F50" s="94"/>
      <c r="G50" s="106"/>
      <c r="H50" s="96"/>
      <c r="I50" s="96">
        <f t="shared" si="1"/>
        <v>34</v>
      </c>
      <c r="J50" s="107">
        <f t="shared" si="1"/>
        <v>0</v>
      </c>
      <c r="K50" s="44"/>
      <c r="L50" s="94"/>
      <c r="M50" s="94"/>
      <c r="N50" s="94"/>
      <c r="O50" s="94"/>
      <c r="P50" s="94"/>
      <c r="Q50" s="95"/>
      <c r="R50" s="96">
        <f t="shared" si="2"/>
        <v>0</v>
      </c>
      <c r="S50" s="95">
        <f t="shared" si="2"/>
        <v>0</v>
      </c>
      <c r="T50" s="44"/>
      <c r="U50" s="28"/>
      <c r="V50" s="30"/>
    </row>
    <row r="51" spans="1:22" x14ac:dyDescent="0.25">
      <c r="A51" s="3">
        <f t="shared" si="0"/>
        <v>44</v>
      </c>
      <c r="B51" s="13" t="s">
        <v>42</v>
      </c>
      <c r="C51" s="104"/>
      <c r="D51" s="105"/>
      <c r="E51" s="94"/>
      <c r="F51" s="94"/>
      <c r="G51" s="106"/>
      <c r="H51" s="96"/>
      <c r="I51" s="96">
        <f t="shared" si="1"/>
        <v>0</v>
      </c>
      <c r="J51" s="107">
        <f t="shared" si="1"/>
        <v>0</v>
      </c>
      <c r="K51" s="44"/>
      <c r="L51" s="94"/>
      <c r="M51" s="94"/>
      <c r="N51" s="94"/>
      <c r="O51" s="94"/>
      <c r="P51" s="94"/>
      <c r="Q51" s="95"/>
      <c r="R51" s="96">
        <f t="shared" si="2"/>
        <v>0</v>
      </c>
      <c r="S51" s="95">
        <f t="shared" si="2"/>
        <v>0</v>
      </c>
      <c r="T51" s="44"/>
      <c r="U51" s="28"/>
      <c r="V51" s="30"/>
    </row>
    <row r="52" spans="1:22" s="1" customFormat="1" ht="19.5" thickBot="1" x14ac:dyDescent="0.3">
      <c r="B52" s="15" t="s">
        <v>13</v>
      </c>
      <c r="C52" s="46">
        <f>SUM(C8:C51)</f>
        <v>50391</v>
      </c>
      <c r="D52" s="74">
        <f>SUM(D8:D51)</f>
        <v>59</v>
      </c>
      <c r="E52" s="47">
        <f>SUM(E8:E51)</f>
        <v>2574</v>
      </c>
      <c r="F52" s="47"/>
      <c r="G52" s="31">
        <f>SUM(G8:G51)</f>
        <v>1486</v>
      </c>
      <c r="H52" s="76">
        <f>SUM(H8:H51)</f>
        <v>38</v>
      </c>
      <c r="I52" s="76">
        <f>SUM(I8:I51)-2</f>
        <v>51477</v>
      </c>
      <c r="J52" s="48">
        <f>SUM(J8:J51)+48</f>
        <v>69</v>
      </c>
      <c r="K52" s="49"/>
      <c r="L52" s="101">
        <f t="shared" ref="L52:S52" si="3">SUM(L8:L51)</f>
        <v>667</v>
      </c>
      <c r="M52" s="101">
        <f t="shared" si="3"/>
        <v>0</v>
      </c>
      <c r="N52" s="101">
        <f t="shared" si="3"/>
        <v>364</v>
      </c>
      <c r="O52" s="101">
        <f t="shared" si="3"/>
        <v>24</v>
      </c>
      <c r="P52" s="101">
        <f t="shared" si="3"/>
        <v>455</v>
      </c>
      <c r="Q52" s="102">
        <f t="shared" si="3"/>
        <v>14</v>
      </c>
      <c r="R52" s="102">
        <f t="shared" si="3"/>
        <v>1486</v>
      </c>
      <c r="S52" s="103">
        <f t="shared" si="3"/>
        <v>38</v>
      </c>
      <c r="T52" s="49"/>
      <c r="U52" s="46"/>
      <c r="V52" s="48"/>
    </row>
    <row r="53" spans="1:22" ht="19.5" thickBot="1" x14ac:dyDescent="0.3"/>
    <row r="54" spans="1:22" ht="18.75" customHeight="1" x14ac:dyDescent="0.25">
      <c r="G54" s="138" t="s">
        <v>65</v>
      </c>
      <c r="H54" s="77"/>
      <c r="I54" s="77"/>
      <c r="J54" s="24" t="s">
        <v>66</v>
      </c>
      <c r="L54" s="33"/>
      <c r="M54" s="82"/>
      <c r="N54" s="34"/>
      <c r="O54" s="34"/>
      <c r="P54" s="34"/>
      <c r="Q54" s="88"/>
      <c r="R54" s="88"/>
      <c r="S54" s="35"/>
    </row>
    <row r="55" spans="1:22" x14ac:dyDescent="0.25">
      <c r="G55" s="139"/>
      <c r="H55" s="78"/>
      <c r="I55" s="78"/>
      <c r="J55" s="25" t="s">
        <v>51</v>
      </c>
      <c r="L55" s="36"/>
      <c r="M55" s="83"/>
      <c r="N55" s="37"/>
      <c r="O55" s="37"/>
      <c r="P55" s="37"/>
      <c r="Q55" s="89"/>
      <c r="R55" s="89"/>
      <c r="S55" s="38"/>
    </row>
    <row r="56" spans="1:22" x14ac:dyDescent="0.25">
      <c r="G56" s="140"/>
      <c r="H56" s="79"/>
      <c r="I56" s="79"/>
      <c r="J56" s="25" t="s">
        <v>52</v>
      </c>
      <c r="L56" s="39"/>
      <c r="M56" s="84"/>
      <c r="N56" s="40"/>
      <c r="O56" s="40"/>
      <c r="P56" s="40"/>
      <c r="Q56" s="90"/>
      <c r="R56" s="90"/>
      <c r="S56" s="41"/>
    </row>
    <row r="57" spans="1:22" x14ac:dyDescent="0.25">
      <c r="G57" s="141" t="s">
        <v>64</v>
      </c>
      <c r="H57" s="80"/>
      <c r="I57" s="80"/>
      <c r="J57" s="25" t="s">
        <v>66</v>
      </c>
      <c r="L57" s="39"/>
      <c r="M57" s="84"/>
      <c r="N57" s="40"/>
      <c r="O57" s="40"/>
      <c r="P57" s="40"/>
      <c r="Q57" s="90"/>
      <c r="R57" s="90"/>
      <c r="S57" s="41"/>
    </row>
    <row r="58" spans="1:22" x14ac:dyDescent="0.25">
      <c r="G58" s="141"/>
      <c r="H58" s="80"/>
      <c r="I58" s="80"/>
      <c r="J58" s="25" t="s">
        <v>51</v>
      </c>
      <c r="L58" s="36"/>
      <c r="M58" s="83"/>
      <c r="N58" s="37"/>
      <c r="O58" s="37"/>
      <c r="P58" s="37"/>
      <c r="Q58" s="89"/>
      <c r="R58" s="89"/>
      <c r="S58" s="38"/>
    </row>
    <row r="59" spans="1:22" ht="19.5" thickBot="1" x14ac:dyDescent="0.3">
      <c r="G59" s="142"/>
      <c r="H59" s="81"/>
      <c r="I59" s="81"/>
      <c r="J59" s="26" t="s">
        <v>52</v>
      </c>
      <c r="L59" s="42"/>
      <c r="M59" s="85"/>
      <c r="N59" s="43"/>
      <c r="O59" s="43"/>
      <c r="P59" s="43"/>
      <c r="Q59" s="91"/>
      <c r="R59" s="91"/>
      <c r="S59" s="32"/>
    </row>
    <row r="60" spans="1:22" ht="19.5" thickBot="1" x14ac:dyDescent="0.3"/>
    <row r="61" spans="1:22" ht="113.25" thickBot="1" x14ac:dyDescent="0.3">
      <c r="B61" s="17" t="s">
        <v>53</v>
      </c>
      <c r="C61" s="120" t="s">
        <v>3</v>
      </c>
      <c r="D61" s="121"/>
      <c r="E61" s="19" t="s">
        <v>54</v>
      </c>
      <c r="L61" s="20" t="s">
        <v>10</v>
      </c>
      <c r="M61" s="86"/>
      <c r="N61" s="21" t="s">
        <v>11</v>
      </c>
      <c r="O61" s="21"/>
      <c r="P61" s="21" t="s">
        <v>12</v>
      </c>
      <c r="Q61" s="92"/>
      <c r="R61" s="92"/>
      <c r="S61" s="19" t="s">
        <v>55</v>
      </c>
      <c r="V61" s="120" t="s">
        <v>56</v>
      </c>
    </row>
    <row r="62" spans="1:22" x14ac:dyDescent="0.25">
      <c r="B62" s="22" t="s">
        <v>31</v>
      </c>
      <c r="C62" s="11"/>
      <c r="D62" s="11"/>
      <c r="E62" s="23"/>
      <c r="L62" s="11"/>
      <c r="M62" s="11"/>
      <c r="N62" s="11"/>
      <c r="O62" s="11"/>
      <c r="P62" s="11"/>
      <c r="Q62" s="11"/>
      <c r="R62" s="11"/>
      <c r="S62" s="11"/>
      <c r="V62" s="23"/>
    </row>
    <row r="63" spans="1:22" x14ac:dyDescent="0.25">
      <c r="B63" s="16" t="s">
        <v>57</v>
      </c>
      <c r="C63" s="11"/>
      <c r="D63" s="11"/>
      <c r="E63" s="23"/>
      <c r="L63" s="23"/>
      <c r="M63" s="23"/>
      <c r="N63" s="23"/>
      <c r="O63" s="23"/>
      <c r="P63" s="23"/>
      <c r="Q63" s="23"/>
      <c r="R63" s="23"/>
      <c r="S63" s="23"/>
      <c r="V63" s="23"/>
    </row>
    <row r="64" spans="1:22" x14ac:dyDescent="0.25">
      <c r="B64" s="16" t="s">
        <v>58</v>
      </c>
      <c r="C64" s="11"/>
      <c r="D64" s="11"/>
      <c r="E64" s="23"/>
      <c r="L64" s="23"/>
      <c r="M64" s="23"/>
      <c r="N64" s="23"/>
      <c r="O64" s="23"/>
      <c r="P64" s="23"/>
      <c r="Q64" s="23"/>
      <c r="R64" s="23"/>
      <c r="S64" s="23"/>
      <c r="V64" s="23"/>
    </row>
    <row r="65" spans="2:22" ht="11.25" customHeight="1" x14ac:dyDescent="0.25"/>
    <row r="66" spans="2:22" x14ac:dyDescent="0.25">
      <c r="B66" s="16" t="s">
        <v>59</v>
      </c>
      <c r="C66" s="23"/>
      <c r="D66" s="23"/>
      <c r="E66" s="23"/>
      <c r="L66" s="23"/>
      <c r="M66" s="23"/>
      <c r="N66" s="23"/>
      <c r="O66" s="23"/>
      <c r="P66" s="23"/>
      <c r="Q66" s="23"/>
      <c r="R66" s="23"/>
      <c r="S66" s="23"/>
      <c r="V66" s="23"/>
    </row>
    <row r="67" spans="2:22" x14ac:dyDescent="0.25">
      <c r="B67" s="16" t="s">
        <v>57</v>
      </c>
      <c r="C67" s="23"/>
      <c r="D67" s="23"/>
      <c r="E67" s="23"/>
      <c r="L67" s="23"/>
      <c r="M67" s="23"/>
      <c r="N67" s="23"/>
      <c r="O67" s="23"/>
      <c r="P67" s="23"/>
      <c r="Q67" s="23"/>
      <c r="R67" s="23"/>
      <c r="S67" s="23"/>
      <c r="V67" s="23"/>
    </row>
    <row r="68" spans="2:22" x14ac:dyDescent="0.25">
      <c r="B68" s="16" t="s">
        <v>58</v>
      </c>
      <c r="C68" s="23"/>
      <c r="D68" s="23"/>
      <c r="E68" s="23"/>
      <c r="L68" s="23"/>
      <c r="M68" s="23"/>
      <c r="N68" s="23"/>
      <c r="O68" s="23"/>
      <c r="P68" s="23"/>
      <c r="Q68" s="23"/>
      <c r="R68" s="23"/>
      <c r="S68" s="23"/>
      <c r="V68" s="23"/>
    </row>
    <row r="69" spans="2:22" ht="11.25" customHeight="1" x14ac:dyDescent="0.25"/>
    <row r="70" spans="2:22" x14ac:dyDescent="0.25">
      <c r="B70" s="16" t="s">
        <v>60</v>
      </c>
      <c r="C70" s="23"/>
      <c r="D70" s="23"/>
      <c r="E70" s="23"/>
      <c r="L70" s="23"/>
      <c r="M70" s="23"/>
      <c r="N70" s="23"/>
      <c r="O70" s="23"/>
      <c r="P70" s="23"/>
      <c r="Q70" s="23"/>
      <c r="R70" s="23"/>
      <c r="S70" s="23"/>
      <c r="V70" s="23"/>
    </row>
    <row r="71" spans="2:22" x14ac:dyDescent="0.25">
      <c r="B71" s="16" t="s">
        <v>57</v>
      </c>
      <c r="C71" s="23"/>
      <c r="D71" s="23"/>
      <c r="E71" s="23"/>
      <c r="L71" s="23"/>
      <c r="M71" s="23"/>
      <c r="N71" s="23"/>
      <c r="O71" s="23"/>
      <c r="P71" s="23"/>
      <c r="Q71" s="23"/>
      <c r="R71" s="23"/>
      <c r="S71" s="23"/>
      <c r="V71" s="23"/>
    </row>
    <row r="72" spans="2:22" x14ac:dyDescent="0.25">
      <c r="B72" s="16" t="s">
        <v>58</v>
      </c>
      <c r="C72" s="23"/>
      <c r="D72" s="23"/>
      <c r="E72" s="23"/>
      <c r="L72" s="23"/>
      <c r="M72" s="23"/>
      <c r="N72" s="23"/>
      <c r="O72" s="23"/>
      <c r="P72" s="23"/>
      <c r="Q72" s="23"/>
      <c r="R72" s="23"/>
      <c r="S72" s="23"/>
      <c r="V72" s="23"/>
    </row>
    <row r="73" spans="2:22" ht="11.25" customHeight="1" x14ac:dyDescent="0.25"/>
    <row r="74" spans="2:22" x14ac:dyDescent="0.25">
      <c r="B74" s="16" t="s">
        <v>61</v>
      </c>
      <c r="C74" s="23"/>
      <c r="D74" s="23"/>
      <c r="E74" s="23"/>
      <c r="L74" s="23"/>
      <c r="M74" s="23"/>
      <c r="N74" s="23"/>
      <c r="O74" s="23"/>
      <c r="P74" s="23"/>
      <c r="Q74" s="23"/>
      <c r="R74" s="23"/>
      <c r="S74" s="23"/>
      <c r="V74" s="23"/>
    </row>
    <row r="75" spans="2:22" x14ac:dyDescent="0.25">
      <c r="B75" s="16" t="s">
        <v>57</v>
      </c>
      <c r="C75" s="23"/>
      <c r="D75" s="23"/>
      <c r="E75" s="23"/>
      <c r="L75" s="23"/>
      <c r="M75" s="23"/>
      <c r="N75" s="23"/>
      <c r="O75" s="23"/>
      <c r="P75" s="23"/>
      <c r="Q75" s="23"/>
      <c r="R75" s="23"/>
      <c r="S75" s="23"/>
      <c r="V75" s="23"/>
    </row>
    <row r="76" spans="2:22" x14ac:dyDescent="0.25">
      <c r="B76" s="16" t="s">
        <v>58</v>
      </c>
      <c r="C76" s="11"/>
      <c r="D76" s="11"/>
      <c r="E76" s="23"/>
      <c r="L76" s="23"/>
      <c r="M76" s="23"/>
      <c r="N76" s="23"/>
      <c r="O76" s="23"/>
      <c r="P76" s="23"/>
      <c r="Q76" s="23"/>
      <c r="R76" s="23"/>
      <c r="S76" s="23"/>
      <c r="V76" s="23"/>
    </row>
    <row r="77" spans="2:22" ht="11.25" customHeight="1" x14ac:dyDescent="0.25"/>
    <row r="78" spans="2:22" x14ac:dyDescent="0.25">
      <c r="B78" s="16" t="s">
        <v>62</v>
      </c>
      <c r="C78" s="23"/>
      <c r="D78" s="23"/>
      <c r="E78" s="23"/>
      <c r="L78" s="23"/>
      <c r="M78" s="23"/>
      <c r="N78" s="23"/>
      <c r="O78" s="23"/>
      <c r="P78" s="23"/>
      <c r="Q78" s="23"/>
      <c r="R78" s="23"/>
      <c r="S78" s="23"/>
      <c r="V78" s="23"/>
    </row>
    <row r="79" spans="2:22" x14ac:dyDescent="0.25">
      <c r="B79" s="16" t="s">
        <v>57</v>
      </c>
      <c r="C79" s="23"/>
      <c r="D79" s="23"/>
      <c r="E79" s="23"/>
      <c r="L79" s="23"/>
      <c r="M79" s="23"/>
      <c r="N79" s="23"/>
      <c r="O79" s="23"/>
      <c r="P79" s="23"/>
      <c r="Q79" s="23"/>
      <c r="R79" s="23"/>
      <c r="S79" s="23"/>
      <c r="V79" s="23"/>
    </row>
    <row r="80" spans="2:22" x14ac:dyDescent="0.25">
      <c r="B80" s="16" t="s">
        <v>58</v>
      </c>
      <c r="C80" s="23"/>
      <c r="D80" s="23"/>
      <c r="E80" s="23"/>
      <c r="L80" s="23"/>
      <c r="M80" s="23"/>
      <c r="N80" s="23"/>
      <c r="O80" s="23"/>
      <c r="P80" s="23"/>
      <c r="Q80" s="23"/>
      <c r="R80" s="23"/>
      <c r="S80" s="23"/>
      <c r="V80" s="23"/>
    </row>
    <row r="82" spans="2:22" x14ac:dyDescent="0.25">
      <c r="B82" s="16" t="s">
        <v>63</v>
      </c>
      <c r="C82" s="23"/>
      <c r="D82" s="23"/>
      <c r="E82" s="23"/>
      <c r="L82" s="23"/>
      <c r="M82" s="23"/>
      <c r="N82" s="23"/>
      <c r="O82" s="23"/>
      <c r="P82" s="23"/>
      <c r="Q82" s="23"/>
      <c r="R82" s="23"/>
      <c r="S82" s="23"/>
      <c r="V82" s="23"/>
    </row>
  </sheetData>
  <mergeCells count="12">
    <mergeCell ref="G54:G56"/>
    <mergeCell ref="G57:G59"/>
    <mergeCell ref="P1:V1"/>
    <mergeCell ref="B4:B5"/>
    <mergeCell ref="C4:C5"/>
    <mergeCell ref="D4:D5"/>
    <mergeCell ref="E4:F4"/>
    <mergeCell ref="G4:G5"/>
    <mergeCell ref="H4:H5"/>
    <mergeCell ref="I4:I5"/>
    <mergeCell ref="J4:J5"/>
    <mergeCell ref="L4:V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787A7-8DCF-4D48-B684-73C5C8BB6996}">
  <sheetPr>
    <pageSetUpPr fitToPage="1"/>
  </sheetPr>
  <dimension ref="A1:BF82"/>
  <sheetViews>
    <sheetView tabSelected="1" zoomScale="85" zoomScaleNormal="85" zoomScaleSheetLayoutView="85" zoomScalePageLayoutView="80" workbookViewId="0">
      <pane xSplit="2" ySplit="5" topLeftCell="C33" activePane="bottomRight" state="frozen"/>
      <selection activeCell="I59" sqref="I59:L59"/>
      <selection pane="topRight" activeCell="I59" sqref="I59:L59"/>
      <selection pane="bottomLeft" activeCell="I59" sqref="I59:L59"/>
      <selection pane="bottomRight" activeCell="G13" sqref="G13"/>
    </sheetView>
  </sheetViews>
  <sheetFormatPr defaultColWidth="9.140625" defaultRowHeight="18.75" x14ac:dyDescent="0.25"/>
  <cols>
    <col min="1" max="1" width="5.42578125" style="2" bestFit="1" customWidth="1"/>
    <col min="2" max="2" width="12.28515625" style="2" customWidth="1"/>
    <col min="3" max="3" width="12.7109375" style="2" customWidth="1"/>
    <col min="4" max="4" width="8" style="2" bestFit="1" customWidth="1"/>
    <col min="5" max="5" width="12.140625" style="2" bestFit="1" customWidth="1"/>
    <col min="6" max="6" width="9.85546875" style="2" customWidth="1"/>
    <col min="7" max="7" width="11" style="2" customWidth="1"/>
    <col min="8" max="8" width="8" style="2" bestFit="1" customWidth="1"/>
    <col min="9" max="9" width="14.7109375" style="2" customWidth="1"/>
    <col min="10" max="10" width="13.5703125" style="2" bestFit="1" customWidth="1"/>
    <col min="11" max="11" width="1.28515625" style="2" customWidth="1"/>
    <col min="12" max="12" width="11" style="2" bestFit="1" customWidth="1"/>
    <col min="13" max="13" width="7.85546875" style="2" customWidth="1"/>
    <col min="14" max="14" width="11" style="2" bestFit="1" customWidth="1"/>
    <col min="15" max="15" width="6.5703125" style="2" customWidth="1"/>
    <col min="16" max="16" width="11" style="2" bestFit="1" customWidth="1"/>
    <col min="17" max="17" width="6.5703125" style="2" customWidth="1"/>
    <col min="18" max="18" width="9.5703125" style="2" customWidth="1"/>
    <col min="19" max="19" width="8.140625" style="2" customWidth="1"/>
    <col min="20" max="20" width="1.28515625" style="2" customWidth="1"/>
    <col min="21" max="21" width="12.7109375" style="2" bestFit="1" customWidth="1"/>
    <col min="22" max="22" width="11" style="2" bestFit="1" customWidth="1"/>
    <col min="23" max="23" width="2" style="2" customWidth="1"/>
    <col min="24" max="24" width="10.5703125" style="2" bestFit="1" customWidth="1"/>
    <col min="25" max="53" width="7.28515625" style="2" customWidth="1"/>
    <col min="54" max="54" width="1.5703125" style="2" customWidth="1"/>
    <col min="55" max="55" width="9.42578125" style="2" customWidth="1"/>
    <col min="56" max="56" width="1.28515625" style="2" customWidth="1"/>
    <col min="57" max="57" width="12.7109375" style="2" bestFit="1" customWidth="1"/>
    <col min="58" max="58" width="10.28515625" style="2" bestFit="1" customWidth="1"/>
    <col min="59" max="16384" width="9.140625" style="2"/>
  </cols>
  <sheetData>
    <row r="1" spans="1:58" ht="19.5" thickBot="1" x14ac:dyDescent="0.3">
      <c r="B1" s="1" t="s">
        <v>0</v>
      </c>
      <c r="N1" s="2" t="s">
        <v>1</v>
      </c>
      <c r="P1" s="143">
        <v>46024</v>
      </c>
      <c r="Q1" s="144"/>
      <c r="R1" s="144"/>
      <c r="S1" s="144"/>
      <c r="T1" s="144"/>
      <c r="U1" s="144"/>
      <c r="V1" s="145"/>
    </row>
    <row r="2" spans="1:58" ht="15" customHeight="1" x14ac:dyDescent="0.25">
      <c r="B2" s="1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58" ht="19.5" thickBot="1" x14ac:dyDescent="0.3"/>
    <row r="4" spans="1:58" ht="19.5" customHeight="1" thickBot="1" x14ac:dyDescent="0.3">
      <c r="A4" s="53"/>
      <c r="B4" s="137" t="s">
        <v>74</v>
      </c>
      <c r="C4" s="146" t="s">
        <v>3</v>
      </c>
      <c r="D4" s="156" t="s">
        <v>75</v>
      </c>
      <c r="E4" s="147" t="s">
        <v>4</v>
      </c>
      <c r="F4" s="148"/>
      <c r="G4" s="149" t="s">
        <v>5</v>
      </c>
      <c r="H4" s="157" t="s">
        <v>75</v>
      </c>
      <c r="I4" s="151" t="s">
        <v>6</v>
      </c>
      <c r="J4" s="157" t="s">
        <v>75</v>
      </c>
      <c r="L4" s="153" t="s">
        <v>7</v>
      </c>
      <c r="M4" s="154"/>
      <c r="N4" s="154"/>
      <c r="O4" s="154"/>
      <c r="P4" s="154"/>
      <c r="Q4" s="154"/>
      <c r="R4" s="154"/>
      <c r="S4" s="154"/>
      <c r="T4" s="154"/>
      <c r="U4" s="154"/>
      <c r="V4" s="155"/>
    </row>
    <row r="5" spans="1:58" s="3" customFormat="1" ht="38.25" thickBot="1" x14ac:dyDescent="0.3">
      <c r="A5" s="53"/>
      <c r="B5" s="137"/>
      <c r="C5" s="146"/>
      <c r="D5" s="156"/>
      <c r="E5" s="52" t="s">
        <v>8</v>
      </c>
      <c r="F5" s="125" t="s">
        <v>9</v>
      </c>
      <c r="G5" s="150"/>
      <c r="H5" s="158"/>
      <c r="I5" s="152"/>
      <c r="J5" s="158"/>
      <c r="L5" s="4" t="s">
        <v>10</v>
      </c>
      <c r="M5" s="93" t="s">
        <v>75</v>
      </c>
      <c r="N5" s="5" t="s">
        <v>11</v>
      </c>
      <c r="O5" s="93" t="s">
        <v>75</v>
      </c>
      <c r="P5" s="5" t="s">
        <v>12</v>
      </c>
      <c r="Q5" s="93" t="s">
        <v>75</v>
      </c>
      <c r="R5" s="6" t="s">
        <v>13</v>
      </c>
      <c r="S5" s="93" t="s">
        <v>75</v>
      </c>
      <c r="T5" s="7"/>
      <c r="U5" s="8"/>
      <c r="V5" s="6" t="s">
        <v>14</v>
      </c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</row>
    <row r="6" spans="1:58" s="3" customFormat="1" x14ac:dyDescent="0.25">
      <c r="B6" s="10"/>
      <c r="C6" s="28"/>
      <c r="D6" s="73"/>
      <c r="E6" s="27"/>
      <c r="F6" s="27"/>
      <c r="G6" s="29"/>
      <c r="H6" s="75"/>
      <c r="I6" s="75"/>
      <c r="J6" s="30"/>
      <c r="K6" s="44"/>
      <c r="L6" s="27"/>
      <c r="M6" s="27"/>
      <c r="N6" s="27"/>
      <c r="O6" s="27"/>
      <c r="P6" s="27"/>
      <c r="Q6" s="87"/>
      <c r="R6" s="75"/>
      <c r="S6" s="87"/>
      <c r="T6" s="44"/>
      <c r="U6" s="28"/>
      <c r="V6" s="30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</row>
    <row r="7" spans="1:58" s="3" customFormat="1" x14ac:dyDescent="0.25">
      <c r="B7" s="10"/>
      <c r="C7" s="28"/>
      <c r="D7" s="73"/>
      <c r="E7" s="27"/>
      <c r="F7" s="27"/>
      <c r="G7" s="29"/>
      <c r="H7" s="75"/>
      <c r="I7" s="75"/>
      <c r="J7" s="30"/>
      <c r="K7" s="44"/>
      <c r="L7" s="27"/>
      <c r="M7" s="27"/>
      <c r="N7" s="27"/>
      <c r="O7" s="27"/>
      <c r="P7" s="27"/>
      <c r="Q7" s="87"/>
      <c r="R7" s="75"/>
      <c r="S7" s="87"/>
      <c r="T7" s="44"/>
      <c r="U7" s="28"/>
      <c r="V7" s="30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</row>
    <row r="8" spans="1:58" x14ac:dyDescent="0.25">
      <c r="A8" s="3">
        <v>1</v>
      </c>
      <c r="B8" s="10" t="s">
        <v>46</v>
      </c>
      <c r="C8" s="104">
        <v>92</v>
      </c>
      <c r="D8" s="105"/>
      <c r="E8" s="94"/>
      <c r="F8" s="94"/>
      <c r="G8" s="106"/>
      <c r="H8" s="96"/>
      <c r="I8" s="96">
        <f>C8-G8</f>
        <v>92</v>
      </c>
      <c r="J8" s="107">
        <f>D8-H8</f>
        <v>0</v>
      </c>
      <c r="K8" s="44"/>
      <c r="L8" s="94"/>
      <c r="M8" s="94"/>
      <c r="N8" s="94"/>
      <c r="O8" s="94"/>
      <c r="P8" s="94"/>
      <c r="Q8" s="95"/>
      <c r="R8" s="96">
        <f>L8+N8+P8</f>
        <v>0</v>
      </c>
      <c r="S8" s="95">
        <f>M8+O8+Q8</f>
        <v>0</v>
      </c>
      <c r="T8" s="44"/>
      <c r="U8" s="28"/>
      <c r="V8" s="30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</row>
    <row r="9" spans="1:58" ht="19.5" thickBot="1" x14ac:dyDescent="0.3">
      <c r="A9" s="3">
        <f t="shared" ref="A9:A51" si="0">A8+1</f>
        <v>2</v>
      </c>
      <c r="B9" s="54" t="s">
        <v>49</v>
      </c>
      <c r="C9" s="108">
        <v>152</v>
      </c>
      <c r="D9" s="109"/>
      <c r="E9" s="110"/>
      <c r="F9" s="110"/>
      <c r="G9" s="111"/>
      <c r="H9" s="112"/>
      <c r="I9" s="126">
        <f t="shared" ref="I9:J51" si="1">C9-G9</f>
        <v>152</v>
      </c>
      <c r="J9" s="132">
        <f t="shared" si="1"/>
        <v>0</v>
      </c>
      <c r="K9" s="64"/>
      <c r="L9" s="97"/>
      <c r="M9" s="97"/>
      <c r="N9" s="97"/>
      <c r="O9" s="97"/>
      <c r="P9" s="97"/>
      <c r="Q9" s="98"/>
      <c r="R9" s="96">
        <f t="shared" ref="R9:S51" si="2">L9+N9+P9</f>
        <v>0</v>
      </c>
      <c r="S9" s="95">
        <f t="shared" si="2"/>
        <v>0</v>
      </c>
      <c r="T9" s="64"/>
      <c r="U9" s="67"/>
      <c r="V9" s="66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</row>
    <row r="10" spans="1:58" x14ac:dyDescent="0.25">
      <c r="A10" s="3">
        <f t="shared" si="0"/>
        <v>3</v>
      </c>
      <c r="B10" s="10" t="s">
        <v>47</v>
      </c>
      <c r="C10" s="104"/>
      <c r="D10" s="105"/>
      <c r="E10" s="94"/>
      <c r="F10" s="94"/>
      <c r="G10" s="106"/>
      <c r="H10" s="96"/>
      <c r="I10" s="130">
        <f t="shared" si="1"/>
        <v>0</v>
      </c>
      <c r="J10" s="107">
        <f t="shared" si="1"/>
        <v>0</v>
      </c>
      <c r="K10" s="44"/>
      <c r="L10" s="94"/>
      <c r="M10" s="94"/>
      <c r="N10" s="94"/>
      <c r="O10" s="94"/>
      <c r="P10" s="94"/>
      <c r="Q10" s="95"/>
      <c r="R10" s="96">
        <f t="shared" si="2"/>
        <v>0</v>
      </c>
      <c r="S10" s="95">
        <f t="shared" si="2"/>
        <v>0</v>
      </c>
      <c r="T10" s="44"/>
      <c r="U10" s="28"/>
      <c r="V10" s="30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</row>
    <row r="11" spans="1:58" x14ac:dyDescent="0.25">
      <c r="A11" s="3">
        <f t="shared" si="0"/>
        <v>4</v>
      </c>
      <c r="B11" s="13" t="s">
        <v>50</v>
      </c>
      <c r="C11" s="104">
        <v>23</v>
      </c>
      <c r="D11" s="105"/>
      <c r="E11" s="94"/>
      <c r="F11" s="94"/>
      <c r="G11" s="106">
        <v>1</v>
      </c>
      <c r="H11" s="96"/>
      <c r="I11" s="96">
        <f t="shared" si="1"/>
        <v>22</v>
      </c>
      <c r="J11" s="107">
        <f t="shared" si="1"/>
        <v>0</v>
      </c>
      <c r="K11" s="44"/>
      <c r="L11" s="94"/>
      <c r="M11" s="94"/>
      <c r="N11" s="94"/>
      <c r="O11" s="94"/>
      <c r="P11" s="94"/>
      <c r="Q11" s="95"/>
      <c r="R11" s="96">
        <f t="shared" si="2"/>
        <v>0</v>
      </c>
      <c r="S11" s="95">
        <f t="shared" si="2"/>
        <v>0</v>
      </c>
      <c r="T11" s="44"/>
      <c r="U11" s="28"/>
      <c r="V11" s="30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</row>
    <row r="12" spans="1:58" x14ac:dyDescent="0.25">
      <c r="A12" s="3">
        <f t="shared" si="0"/>
        <v>5</v>
      </c>
      <c r="B12" s="13" t="s">
        <v>48</v>
      </c>
      <c r="C12" s="104">
        <v>34</v>
      </c>
      <c r="D12" s="105"/>
      <c r="E12" s="94"/>
      <c r="F12" s="94"/>
      <c r="G12" s="106"/>
      <c r="H12" s="96"/>
      <c r="I12" s="96">
        <f t="shared" si="1"/>
        <v>34</v>
      </c>
      <c r="J12" s="107">
        <f t="shared" si="1"/>
        <v>0</v>
      </c>
      <c r="K12" s="44"/>
      <c r="L12" s="94"/>
      <c r="M12" s="94"/>
      <c r="N12" s="94"/>
      <c r="O12" s="94"/>
      <c r="P12" s="94"/>
      <c r="Q12" s="95"/>
      <c r="R12" s="96">
        <f t="shared" si="2"/>
        <v>0</v>
      </c>
      <c r="S12" s="95">
        <f t="shared" si="2"/>
        <v>0</v>
      </c>
      <c r="T12" s="44"/>
      <c r="U12" s="28"/>
      <c r="V12" s="30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</row>
    <row r="13" spans="1:58" s="1" customFormat="1" ht="19.5" thickBot="1" x14ac:dyDescent="0.3">
      <c r="A13" s="3">
        <v>7</v>
      </c>
      <c r="B13" s="54" t="s">
        <v>44</v>
      </c>
      <c r="C13" s="108">
        <v>4087</v>
      </c>
      <c r="D13" s="109">
        <v>15</v>
      </c>
      <c r="E13" s="110"/>
      <c r="F13" s="110"/>
      <c r="G13" s="111">
        <v>4</v>
      </c>
      <c r="H13" s="112">
        <v>18</v>
      </c>
      <c r="I13" s="129">
        <f>C13-G13</f>
        <v>4083</v>
      </c>
      <c r="J13" s="128">
        <f>D13-H13</f>
        <v>-3</v>
      </c>
      <c r="K13" s="68"/>
      <c r="L13" s="97"/>
      <c r="M13" s="97"/>
      <c r="N13" s="97"/>
      <c r="O13" s="97"/>
      <c r="P13" s="97"/>
      <c r="Q13" s="98"/>
      <c r="R13" s="96">
        <f t="shared" si="2"/>
        <v>0</v>
      </c>
      <c r="S13" s="95">
        <f t="shared" si="2"/>
        <v>0</v>
      </c>
      <c r="T13" s="68"/>
      <c r="U13" s="67"/>
      <c r="V13" s="66"/>
      <c r="W13" s="2"/>
      <c r="AB13" s="2"/>
      <c r="AE13" s="2"/>
      <c r="AF13" s="2"/>
      <c r="AG13" s="2"/>
      <c r="AH13" s="2"/>
      <c r="AI13" s="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</row>
    <row r="14" spans="1:58" x14ac:dyDescent="0.25">
      <c r="A14" s="3">
        <v>11</v>
      </c>
      <c r="B14" s="10" t="s">
        <v>15</v>
      </c>
      <c r="C14" s="104">
        <v>5</v>
      </c>
      <c r="D14" s="105"/>
      <c r="E14" s="94"/>
      <c r="F14" s="94"/>
      <c r="G14" s="106"/>
      <c r="H14" s="96"/>
      <c r="I14" s="130">
        <f t="shared" si="1"/>
        <v>5</v>
      </c>
      <c r="J14" s="131">
        <f t="shared" si="1"/>
        <v>0</v>
      </c>
      <c r="K14" s="44"/>
      <c r="L14" s="94"/>
      <c r="M14" s="94"/>
      <c r="N14" s="94"/>
      <c r="O14" s="94"/>
      <c r="P14" s="94"/>
      <c r="Q14" s="95"/>
      <c r="R14" s="96">
        <f t="shared" si="2"/>
        <v>0</v>
      </c>
      <c r="S14" s="95">
        <f t="shared" si="2"/>
        <v>0</v>
      </c>
      <c r="T14" s="44"/>
      <c r="U14" s="28"/>
      <c r="V14" s="30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</row>
    <row r="15" spans="1:58" x14ac:dyDescent="0.25">
      <c r="A15" s="3">
        <f t="shared" si="0"/>
        <v>12</v>
      </c>
      <c r="B15" s="13" t="s">
        <v>16</v>
      </c>
      <c r="C15" s="104">
        <v>1</v>
      </c>
      <c r="D15" s="105"/>
      <c r="E15" s="94"/>
      <c r="F15" s="94"/>
      <c r="G15" s="106"/>
      <c r="H15" s="96"/>
      <c r="I15" s="96">
        <f t="shared" si="1"/>
        <v>1</v>
      </c>
      <c r="J15" s="107">
        <f t="shared" si="1"/>
        <v>0</v>
      </c>
      <c r="K15" s="44"/>
      <c r="L15" s="94"/>
      <c r="M15" s="94"/>
      <c r="N15" s="94"/>
      <c r="O15" s="94"/>
      <c r="P15" s="94"/>
      <c r="Q15" s="95"/>
      <c r="R15" s="96">
        <f t="shared" si="2"/>
        <v>0</v>
      </c>
      <c r="S15" s="95">
        <f t="shared" si="2"/>
        <v>0</v>
      </c>
      <c r="T15" s="44"/>
      <c r="U15" s="28"/>
      <c r="V15" s="30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</row>
    <row r="16" spans="1:58" x14ac:dyDescent="0.25">
      <c r="A16" s="3">
        <f t="shared" si="0"/>
        <v>13</v>
      </c>
      <c r="B16" s="13" t="s">
        <v>17</v>
      </c>
      <c r="C16" s="104">
        <v>1</v>
      </c>
      <c r="D16" s="105"/>
      <c r="E16" s="94"/>
      <c r="F16" s="94"/>
      <c r="G16" s="106"/>
      <c r="H16" s="96"/>
      <c r="I16" s="96">
        <f t="shared" si="1"/>
        <v>1</v>
      </c>
      <c r="J16" s="107">
        <f t="shared" si="1"/>
        <v>0</v>
      </c>
      <c r="K16" s="44"/>
      <c r="L16" s="94"/>
      <c r="M16" s="94"/>
      <c r="N16" s="94"/>
      <c r="O16" s="94"/>
      <c r="P16" s="94"/>
      <c r="Q16" s="95"/>
      <c r="R16" s="96">
        <f t="shared" si="2"/>
        <v>0</v>
      </c>
      <c r="S16" s="95">
        <f t="shared" si="2"/>
        <v>0</v>
      </c>
      <c r="T16" s="44"/>
      <c r="U16" s="28"/>
      <c r="V16" s="30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</row>
    <row r="17" spans="1:58" x14ac:dyDescent="0.25">
      <c r="A17" s="3">
        <f t="shared" si="0"/>
        <v>14</v>
      </c>
      <c r="B17" s="13" t="s">
        <v>18</v>
      </c>
      <c r="C17" s="104"/>
      <c r="D17" s="105"/>
      <c r="E17" s="94"/>
      <c r="F17" s="94"/>
      <c r="G17" s="106"/>
      <c r="H17" s="96"/>
      <c r="I17" s="96">
        <f t="shared" si="1"/>
        <v>0</v>
      </c>
      <c r="J17" s="107">
        <f t="shared" si="1"/>
        <v>0</v>
      </c>
      <c r="K17" s="44"/>
      <c r="L17" s="94"/>
      <c r="M17" s="94"/>
      <c r="N17" s="94"/>
      <c r="O17" s="94"/>
      <c r="P17" s="94"/>
      <c r="Q17" s="95"/>
      <c r="R17" s="96">
        <f t="shared" si="2"/>
        <v>0</v>
      </c>
      <c r="S17" s="95">
        <f t="shared" si="2"/>
        <v>0</v>
      </c>
      <c r="T17" s="44"/>
      <c r="U17" s="28"/>
      <c r="V17" s="30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</row>
    <row r="18" spans="1:58" x14ac:dyDescent="0.25">
      <c r="A18" s="3">
        <f t="shared" si="0"/>
        <v>15</v>
      </c>
      <c r="B18" s="13" t="s">
        <v>19</v>
      </c>
      <c r="C18" s="104">
        <v>6</v>
      </c>
      <c r="D18" s="105"/>
      <c r="E18" s="94"/>
      <c r="F18" s="94"/>
      <c r="G18" s="106"/>
      <c r="H18" s="96"/>
      <c r="I18" s="96">
        <f t="shared" si="1"/>
        <v>6</v>
      </c>
      <c r="J18" s="107">
        <f t="shared" si="1"/>
        <v>0</v>
      </c>
      <c r="K18" s="44"/>
      <c r="L18" s="94"/>
      <c r="M18" s="94"/>
      <c r="N18" s="94"/>
      <c r="O18" s="94"/>
      <c r="P18" s="94"/>
      <c r="Q18" s="95"/>
      <c r="R18" s="96">
        <f t="shared" si="2"/>
        <v>0</v>
      </c>
      <c r="S18" s="95">
        <f t="shared" si="2"/>
        <v>0</v>
      </c>
      <c r="T18" s="44"/>
      <c r="U18" s="28"/>
      <c r="V18" s="30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</row>
    <row r="19" spans="1:58" ht="18.75" hidden="1" customHeight="1" x14ac:dyDescent="0.25">
      <c r="A19" s="3">
        <f t="shared" si="0"/>
        <v>16</v>
      </c>
      <c r="B19" s="13" t="s">
        <v>23</v>
      </c>
      <c r="C19" s="104"/>
      <c r="D19" s="105"/>
      <c r="E19" s="94"/>
      <c r="F19" s="94"/>
      <c r="G19" s="106"/>
      <c r="H19" s="96"/>
      <c r="I19" s="96">
        <f t="shared" si="1"/>
        <v>0</v>
      </c>
      <c r="J19" s="107">
        <f t="shared" si="1"/>
        <v>0</v>
      </c>
      <c r="K19" s="44"/>
      <c r="L19" s="94"/>
      <c r="M19" s="94"/>
      <c r="N19" s="94"/>
      <c r="O19" s="94"/>
      <c r="P19" s="94"/>
      <c r="Q19" s="95"/>
      <c r="R19" s="96">
        <f t="shared" si="2"/>
        <v>0</v>
      </c>
      <c r="S19" s="95">
        <f t="shared" si="2"/>
        <v>0</v>
      </c>
      <c r="T19" s="44"/>
      <c r="U19" s="28"/>
      <c r="V19" s="30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</row>
    <row r="20" spans="1:58" x14ac:dyDescent="0.25">
      <c r="A20" s="3">
        <v>16</v>
      </c>
      <c r="B20" s="13" t="s">
        <v>67</v>
      </c>
      <c r="C20" s="104">
        <v>4</v>
      </c>
      <c r="D20" s="105"/>
      <c r="E20" s="94"/>
      <c r="F20" s="94"/>
      <c r="G20" s="106"/>
      <c r="H20" s="96"/>
      <c r="I20" s="96">
        <f t="shared" si="1"/>
        <v>4</v>
      </c>
      <c r="J20" s="107">
        <f t="shared" si="1"/>
        <v>0</v>
      </c>
      <c r="K20" s="44"/>
      <c r="L20" s="94"/>
      <c r="M20" s="94"/>
      <c r="N20" s="94"/>
      <c r="O20" s="94"/>
      <c r="P20" s="94"/>
      <c r="Q20" s="95"/>
      <c r="R20" s="96">
        <f t="shared" si="2"/>
        <v>0</v>
      </c>
      <c r="S20" s="95">
        <f t="shared" si="2"/>
        <v>0</v>
      </c>
      <c r="T20" s="44"/>
      <c r="U20" s="28"/>
      <c r="V20" s="30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</row>
    <row r="21" spans="1:58" x14ac:dyDescent="0.25">
      <c r="A21" s="3">
        <f t="shared" si="0"/>
        <v>17</v>
      </c>
      <c r="B21" s="13" t="s">
        <v>20</v>
      </c>
      <c r="C21" s="104">
        <v>7</v>
      </c>
      <c r="D21" s="105"/>
      <c r="E21" s="94"/>
      <c r="F21" s="94"/>
      <c r="G21" s="106"/>
      <c r="H21" s="96"/>
      <c r="I21" s="96">
        <f t="shared" si="1"/>
        <v>7</v>
      </c>
      <c r="J21" s="107">
        <f t="shared" si="1"/>
        <v>0</v>
      </c>
      <c r="K21" s="44"/>
      <c r="L21" s="94"/>
      <c r="M21" s="94"/>
      <c r="N21" s="94"/>
      <c r="O21" s="94"/>
      <c r="P21" s="94"/>
      <c r="Q21" s="95"/>
      <c r="R21" s="96">
        <f t="shared" si="2"/>
        <v>0</v>
      </c>
      <c r="S21" s="95">
        <f t="shared" si="2"/>
        <v>0</v>
      </c>
      <c r="T21" s="44"/>
      <c r="U21" s="28"/>
      <c r="V21" s="30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</row>
    <row r="22" spans="1:58" x14ac:dyDescent="0.25">
      <c r="A22" s="3">
        <f t="shared" si="0"/>
        <v>18</v>
      </c>
      <c r="B22" s="13" t="s">
        <v>21</v>
      </c>
      <c r="C22" s="104">
        <v>6</v>
      </c>
      <c r="D22" s="105"/>
      <c r="E22" s="94"/>
      <c r="F22" s="94"/>
      <c r="G22" s="106"/>
      <c r="H22" s="96"/>
      <c r="I22" s="96">
        <f t="shared" si="1"/>
        <v>6</v>
      </c>
      <c r="J22" s="107">
        <f t="shared" si="1"/>
        <v>0</v>
      </c>
      <c r="K22" s="44"/>
      <c r="L22" s="94"/>
      <c r="M22" s="94"/>
      <c r="N22" s="94"/>
      <c r="O22" s="94"/>
      <c r="P22" s="94"/>
      <c r="Q22" s="95"/>
      <c r="R22" s="96">
        <f t="shared" si="2"/>
        <v>0</v>
      </c>
      <c r="S22" s="95">
        <f t="shared" si="2"/>
        <v>0</v>
      </c>
      <c r="T22" s="44"/>
      <c r="U22" s="28"/>
      <c r="V22" s="30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</row>
    <row r="23" spans="1:58" s="1" customFormat="1" x14ac:dyDescent="0.25">
      <c r="A23" s="3">
        <f t="shared" si="0"/>
        <v>19</v>
      </c>
      <c r="B23" s="13" t="s">
        <v>68</v>
      </c>
      <c r="C23" s="104">
        <v>4</v>
      </c>
      <c r="D23" s="105"/>
      <c r="E23" s="94"/>
      <c r="F23" s="94"/>
      <c r="G23" s="106"/>
      <c r="H23" s="96"/>
      <c r="I23" s="96">
        <f t="shared" si="1"/>
        <v>4</v>
      </c>
      <c r="J23" s="107">
        <f t="shared" si="1"/>
        <v>0</v>
      </c>
      <c r="K23" s="45"/>
      <c r="L23" s="94"/>
      <c r="M23" s="94"/>
      <c r="N23" s="94"/>
      <c r="O23" s="94"/>
      <c r="P23" s="94"/>
      <c r="Q23" s="95"/>
      <c r="R23" s="96">
        <f t="shared" si="2"/>
        <v>0</v>
      </c>
      <c r="S23" s="95">
        <f t="shared" si="2"/>
        <v>0</v>
      </c>
      <c r="T23" s="45"/>
      <c r="U23" s="28"/>
      <c r="V23" s="30"/>
      <c r="W23" s="2"/>
      <c r="AB23" s="2"/>
      <c r="AE23" s="2"/>
      <c r="AF23" s="2"/>
      <c r="AG23" s="2"/>
      <c r="AH23" s="2"/>
      <c r="AI23" s="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</row>
    <row r="24" spans="1:58" s="1" customFormat="1" x14ac:dyDescent="0.25">
      <c r="A24" s="3">
        <f t="shared" si="0"/>
        <v>20</v>
      </c>
      <c r="B24" s="13" t="s">
        <v>69</v>
      </c>
      <c r="C24" s="104">
        <v>55</v>
      </c>
      <c r="D24" s="105"/>
      <c r="E24" s="94"/>
      <c r="F24" s="94"/>
      <c r="G24" s="106"/>
      <c r="H24" s="96"/>
      <c r="I24" s="96">
        <f t="shared" si="1"/>
        <v>55</v>
      </c>
      <c r="J24" s="107">
        <f t="shared" si="1"/>
        <v>0</v>
      </c>
      <c r="K24" s="45"/>
      <c r="L24" s="94"/>
      <c r="M24" s="94"/>
      <c r="N24" s="94"/>
      <c r="O24" s="94"/>
      <c r="P24" s="94"/>
      <c r="Q24" s="95"/>
      <c r="R24" s="96">
        <f t="shared" si="2"/>
        <v>0</v>
      </c>
      <c r="S24" s="95">
        <f t="shared" si="2"/>
        <v>0</v>
      </c>
      <c r="T24" s="45"/>
      <c r="U24" s="28"/>
      <c r="V24" s="30"/>
      <c r="W24" s="2"/>
      <c r="AB24" s="2"/>
      <c r="AE24" s="2"/>
      <c r="AF24" s="2"/>
      <c r="AG24" s="2"/>
      <c r="AH24" s="2"/>
      <c r="AI24" s="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</row>
    <row r="25" spans="1:58" x14ac:dyDescent="0.25">
      <c r="A25" s="3">
        <f t="shared" si="0"/>
        <v>21</v>
      </c>
      <c r="B25" s="13" t="s">
        <v>70</v>
      </c>
      <c r="C25" s="104">
        <v>8</v>
      </c>
      <c r="D25" s="105"/>
      <c r="E25" s="94"/>
      <c r="F25" s="94"/>
      <c r="G25" s="106"/>
      <c r="H25" s="96"/>
      <c r="I25" s="96">
        <f t="shared" si="1"/>
        <v>8</v>
      </c>
      <c r="J25" s="107">
        <f t="shared" si="1"/>
        <v>0</v>
      </c>
      <c r="K25" s="44"/>
      <c r="L25" s="94"/>
      <c r="M25" s="94"/>
      <c r="N25" s="94"/>
      <c r="O25" s="94"/>
      <c r="P25" s="94"/>
      <c r="Q25" s="95"/>
      <c r="R25" s="96">
        <f t="shared" si="2"/>
        <v>0</v>
      </c>
      <c r="S25" s="95">
        <f t="shared" si="2"/>
        <v>0</v>
      </c>
      <c r="T25" s="44"/>
      <c r="U25" s="28"/>
      <c r="V25" s="30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</row>
    <row r="26" spans="1:58" x14ac:dyDescent="0.25">
      <c r="A26" s="3">
        <f t="shared" si="0"/>
        <v>22</v>
      </c>
      <c r="B26" s="13" t="s">
        <v>22</v>
      </c>
      <c r="C26" s="104">
        <v>88</v>
      </c>
      <c r="D26" s="105">
        <v>23</v>
      </c>
      <c r="E26" s="94"/>
      <c r="F26" s="94"/>
      <c r="G26" s="106"/>
      <c r="H26" s="96"/>
      <c r="I26" s="96">
        <f t="shared" si="1"/>
        <v>88</v>
      </c>
      <c r="J26" s="107">
        <f t="shared" si="1"/>
        <v>23</v>
      </c>
      <c r="K26" s="44"/>
      <c r="L26" s="94"/>
      <c r="M26" s="94"/>
      <c r="N26" s="94"/>
      <c r="O26" s="94"/>
      <c r="P26" s="94"/>
      <c r="Q26" s="95"/>
      <c r="R26" s="96">
        <f t="shared" si="2"/>
        <v>0</v>
      </c>
      <c r="S26" s="95">
        <f t="shared" si="2"/>
        <v>0</v>
      </c>
      <c r="T26" s="44"/>
      <c r="U26" s="28"/>
      <c r="V26" s="30"/>
      <c r="BC26" s="14" t="e">
        <f>#REF!-BC25</f>
        <v>#REF!</v>
      </c>
    </row>
    <row r="27" spans="1:58" s="1" customFormat="1" x14ac:dyDescent="0.25">
      <c r="A27" s="3">
        <f t="shared" si="0"/>
        <v>23</v>
      </c>
      <c r="B27" s="13" t="s">
        <v>24</v>
      </c>
      <c r="C27" s="104">
        <v>22</v>
      </c>
      <c r="D27" s="105"/>
      <c r="E27" s="94"/>
      <c r="F27" s="94"/>
      <c r="G27" s="106"/>
      <c r="H27" s="96"/>
      <c r="I27" s="96">
        <f t="shared" si="1"/>
        <v>22</v>
      </c>
      <c r="J27" s="107">
        <f t="shared" si="1"/>
        <v>0</v>
      </c>
      <c r="K27" s="45"/>
      <c r="L27" s="94"/>
      <c r="M27" s="94"/>
      <c r="N27" s="94"/>
      <c r="O27" s="94"/>
      <c r="P27" s="94"/>
      <c r="Q27" s="95"/>
      <c r="R27" s="96">
        <f t="shared" si="2"/>
        <v>0</v>
      </c>
      <c r="S27" s="95">
        <f t="shared" si="2"/>
        <v>0</v>
      </c>
      <c r="T27" s="45"/>
      <c r="U27" s="28"/>
      <c r="V27" s="30"/>
      <c r="W27" s="2"/>
      <c r="AB27" s="2"/>
      <c r="AE27" s="2"/>
      <c r="AF27" s="2"/>
      <c r="AG27" s="2"/>
      <c r="AH27" s="2"/>
      <c r="AI27" s="2"/>
    </row>
    <row r="28" spans="1:58" s="1" customFormat="1" x14ac:dyDescent="0.25">
      <c r="A28" s="3">
        <f t="shared" si="0"/>
        <v>24</v>
      </c>
      <c r="B28" s="13" t="s">
        <v>25</v>
      </c>
      <c r="C28" s="104">
        <v>126</v>
      </c>
      <c r="D28" s="105"/>
      <c r="E28" s="94"/>
      <c r="F28" s="94"/>
      <c r="G28" s="106">
        <v>6</v>
      </c>
      <c r="H28" s="96"/>
      <c r="I28" s="96">
        <f t="shared" si="1"/>
        <v>120</v>
      </c>
      <c r="J28" s="107">
        <f t="shared" si="1"/>
        <v>0</v>
      </c>
      <c r="K28" s="45"/>
      <c r="L28" s="94"/>
      <c r="M28" s="94"/>
      <c r="N28" s="94"/>
      <c r="O28" s="94"/>
      <c r="P28" s="94"/>
      <c r="Q28" s="95"/>
      <c r="R28" s="96">
        <f t="shared" si="2"/>
        <v>0</v>
      </c>
      <c r="S28" s="95">
        <f t="shared" si="2"/>
        <v>0</v>
      </c>
      <c r="T28" s="45"/>
      <c r="U28" s="28"/>
      <c r="V28" s="30"/>
      <c r="W28" s="2"/>
      <c r="AB28" s="2"/>
      <c r="AE28" s="2"/>
      <c r="AF28" s="2"/>
      <c r="AG28" s="2"/>
      <c r="AH28" s="2"/>
      <c r="AI28" s="2"/>
    </row>
    <row r="29" spans="1:58" x14ac:dyDescent="0.25">
      <c r="A29" s="3">
        <f t="shared" si="0"/>
        <v>25</v>
      </c>
      <c r="B29" s="13" t="s">
        <v>27</v>
      </c>
      <c r="C29" s="104">
        <v>10</v>
      </c>
      <c r="D29" s="105"/>
      <c r="E29" s="94"/>
      <c r="F29" s="94"/>
      <c r="G29" s="106"/>
      <c r="H29" s="96"/>
      <c r="I29" s="96">
        <f t="shared" si="1"/>
        <v>10</v>
      </c>
      <c r="J29" s="107">
        <f t="shared" si="1"/>
        <v>0</v>
      </c>
      <c r="K29" s="44"/>
      <c r="L29" s="94"/>
      <c r="M29" s="94"/>
      <c r="N29" s="94"/>
      <c r="O29" s="94"/>
      <c r="P29" s="94"/>
      <c r="Q29" s="95"/>
      <c r="R29" s="96">
        <f t="shared" si="2"/>
        <v>0</v>
      </c>
      <c r="S29" s="95">
        <f t="shared" si="2"/>
        <v>0</v>
      </c>
      <c r="T29" s="44"/>
      <c r="U29" s="28"/>
      <c r="V29" s="30"/>
    </row>
    <row r="30" spans="1:58" x14ac:dyDescent="0.25">
      <c r="A30" s="3">
        <f t="shared" si="0"/>
        <v>26</v>
      </c>
      <c r="B30" s="13" t="s">
        <v>29</v>
      </c>
      <c r="C30" s="104">
        <v>106</v>
      </c>
      <c r="D30" s="105"/>
      <c r="E30" s="94"/>
      <c r="F30" s="94"/>
      <c r="G30" s="106"/>
      <c r="H30" s="96"/>
      <c r="I30" s="96">
        <f t="shared" si="1"/>
        <v>106</v>
      </c>
      <c r="J30" s="107">
        <f t="shared" si="1"/>
        <v>0</v>
      </c>
      <c r="K30" s="44"/>
      <c r="L30" s="94"/>
      <c r="M30" s="94"/>
      <c r="N30" s="94"/>
      <c r="O30" s="94"/>
      <c r="P30" s="94"/>
      <c r="Q30" s="95"/>
      <c r="R30" s="96">
        <f t="shared" si="2"/>
        <v>0</v>
      </c>
      <c r="S30" s="95">
        <f t="shared" si="2"/>
        <v>0</v>
      </c>
      <c r="T30" s="44"/>
      <c r="U30" s="28"/>
      <c r="V30" s="30"/>
    </row>
    <row r="31" spans="1:58" x14ac:dyDescent="0.25">
      <c r="A31" s="3">
        <f t="shared" si="0"/>
        <v>27</v>
      </c>
      <c r="B31" s="13" t="s">
        <v>26</v>
      </c>
      <c r="C31" s="104"/>
      <c r="D31" s="105"/>
      <c r="E31" s="94"/>
      <c r="F31" s="94"/>
      <c r="G31" s="106"/>
      <c r="H31" s="96"/>
      <c r="I31" s="96">
        <f t="shared" si="1"/>
        <v>0</v>
      </c>
      <c r="J31" s="107">
        <f t="shared" si="1"/>
        <v>0</v>
      </c>
      <c r="K31" s="44"/>
      <c r="L31" s="94"/>
      <c r="M31" s="94"/>
      <c r="N31" s="94"/>
      <c r="O31" s="94"/>
      <c r="P31" s="94"/>
      <c r="Q31" s="95"/>
      <c r="R31" s="96">
        <f t="shared" si="2"/>
        <v>0</v>
      </c>
      <c r="S31" s="95">
        <f t="shared" si="2"/>
        <v>0</v>
      </c>
      <c r="T31" s="44"/>
      <c r="U31" s="28"/>
      <c r="V31" s="30"/>
    </row>
    <row r="32" spans="1:58" x14ac:dyDescent="0.25">
      <c r="A32" s="3">
        <f t="shared" si="0"/>
        <v>28</v>
      </c>
      <c r="B32" s="13" t="s">
        <v>28</v>
      </c>
      <c r="C32" s="104"/>
      <c r="D32" s="105"/>
      <c r="E32" s="94"/>
      <c r="F32" s="94"/>
      <c r="G32" s="106"/>
      <c r="H32" s="96"/>
      <c r="I32" s="96">
        <f t="shared" si="1"/>
        <v>0</v>
      </c>
      <c r="J32" s="107">
        <f t="shared" si="1"/>
        <v>0</v>
      </c>
      <c r="K32" s="44"/>
      <c r="L32" s="94"/>
      <c r="M32" s="94"/>
      <c r="N32" s="94"/>
      <c r="O32" s="94"/>
      <c r="P32" s="94"/>
      <c r="Q32" s="95"/>
      <c r="R32" s="96">
        <f t="shared" si="2"/>
        <v>0</v>
      </c>
      <c r="S32" s="95">
        <f t="shared" si="2"/>
        <v>0</v>
      </c>
      <c r="T32" s="44"/>
      <c r="U32" s="28"/>
      <c r="V32" s="30"/>
    </row>
    <row r="33" spans="1:24" x14ac:dyDescent="0.25">
      <c r="A33" s="3">
        <f t="shared" si="0"/>
        <v>29</v>
      </c>
      <c r="B33" s="13" t="s">
        <v>30</v>
      </c>
      <c r="C33" s="104">
        <v>5</v>
      </c>
      <c r="D33" s="105"/>
      <c r="E33" s="94"/>
      <c r="F33" s="94"/>
      <c r="G33" s="106"/>
      <c r="H33" s="96"/>
      <c r="I33" s="96">
        <f t="shared" si="1"/>
        <v>5</v>
      </c>
      <c r="J33" s="107">
        <f t="shared" si="1"/>
        <v>0</v>
      </c>
      <c r="K33" s="44"/>
      <c r="L33" s="94"/>
      <c r="M33" s="94"/>
      <c r="N33" s="94"/>
      <c r="O33" s="94"/>
      <c r="P33" s="94"/>
      <c r="Q33" s="95"/>
      <c r="R33" s="96">
        <f t="shared" si="2"/>
        <v>0</v>
      </c>
      <c r="S33" s="95">
        <f t="shared" si="2"/>
        <v>0</v>
      </c>
      <c r="T33" s="44"/>
      <c r="U33" s="28"/>
      <c r="V33" s="30"/>
    </row>
    <row r="34" spans="1:24" x14ac:dyDescent="0.25">
      <c r="A34" s="3">
        <f t="shared" si="0"/>
        <v>30</v>
      </c>
      <c r="B34" s="13" t="s">
        <v>31</v>
      </c>
      <c r="C34" s="104">
        <v>223</v>
      </c>
      <c r="D34" s="105">
        <v>23</v>
      </c>
      <c r="E34" s="94"/>
      <c r="F34" s="94"/>
      <c r="G34" s="106"/>
      <c r="H34" s="96"/>
      <c r="I34" s="96">
        <f t="shared" si="1"/>
        <v>223</v>
      </c>
      <c r="J34" s="107">
        <f t="shared" si="1"/>
        <v>23</v>
      </c>
      <c r="K34" s="44"/>
      <c r="L34" s="94"/>
      <c r="M34" s="94"/>
      <c r="N34" s="94"/>
      <c r="O34" s="94"/>
      <c r="P34" s="94"/>
      <c r="Q34" s="95"/>
      <c r="R34" s="96">
        <f t="shared" si="2"/>
        <v>0</v>
      </c>
      <c r="S34" s="95">
        <f t="shared" si="2"/>
        <v>0</v>
      </c>
      <c r="T34" s="44"/>
      <c r="U34" s="28"/>
      <c r="V34" s="30"/>
    </row>
    <row r="35" spans="1:24" ht="18.75" hidden="1" customHeight="1" x14ac:dyDescent="0.25">
      <c r="A35" s="3">
        <f t="shared" si="0"/>
        <v>31</v>
      </c>
      <c r="B35" s="13" t="s">
        <v>39</v>
      </c>
      <c r="C35" s="104"/>
      <c r="D35" s="105"/>
      <c r="E35" s="94"/>
      <c r="F35" s="94"/>
      <c r="G35" s="106"/>
      <c r="H35" s="96"/>
      <c r="I35" s="96">
        <f t="shared" si="1"/>
        <v>0</v>
      </c>
      <c r="J35" s="107">
        <f t="shared" si="1"/>
        <v>0</v>
      </c>
      <c r="K35" s="44"/>
      <c r="L35" s="94"/>
      <c r="M35" s="94"/>
      <c r="N35" s="94"/>
      <c r="O35" s="94"/>
      <c r="P35" s="94"/>
      <c r="Q35" s="95"/>
      <c r="R35" s="96">
        <f t="shared" si="2"/>
        <v>0</v>
      </c>
      <c r="S35" s="95">
        <f t="shared" si="2"/>
        <v>0</v>
      </c>
      <c r="T35" s="44"/>
      <c r="U35" s="28"/>
      <c r="V35" s="30"/>
    </row>
    <row r="36" spans="1:24" ht="18.75" customHeight="1" x14ac:dyDescent="0.25">
      <c r="A36" s="3">
        <v>31</v>
      </c>
      <c r="B36" s="13" t="s">
        <v>32</v>
      </c>
      <c r="C36" s="104">
        <v>1</v>
      </c>
      <c r="D36" s="105"/>
      <c r="E36" s="94"/>
      <c r="F36" s="94"/>
      <c r="G36" s="106"/>
      <c r="H36" s="96"/>
      <c r="I36" s="96">
        <f t="shared" si="1"/>
        <v>1</v>
      </c>
      <c r="J36" s="107">
        <f t="shared" si="1"/>
        <v>0</v>
      </c>
      <c r="K36" s="44"/>
      <c r="L36" s="94"/>
      <c r="M36" s="94"/>
      <c r="N36" s="94"/>
      <c r="O36" s="94"/>
      <c r="P36" s="94"/>
      <c r="Q36" s="95"/>
      <c r="R36" s="96">
        <f t="shared" si="2"/>
        <v>0</v>
      </c>
      <c r="S36" s="95">
        <f t="shared" si="2"/>
        <v>0</v>
      </c>
      <c r="T36" s="44"/>
      <c r="U36" s="28"/>
      <c r="V36" s="30"/>
    </row>
    <row r="37" spans="1:24" ht="19.5" thickBot="1" x14ac:dyDescent="0.3">
      <c r="A37" s="3">
        <f t="shared" si="0"/>
        <v>32</v>
      </c>
      <c r="B37" s="54" t="s">
        <v>33</v>
      </c>
      <c r="C37" s="108">
        <v>7356</v>
      </c>
      <c r="D37" s="109">
        <v>2</v>
      </c>
      <c r="E37" s="110"/>
      <c r="F37" s="110"/>
      <c r="G37" s="111">
        <v>75</v>
      </c>
      <c r="H37" s="112"/>
      <c r="I37" s="126">
        <f t="shared" si="1"/>
        <v>7281</v>
      </c>
      <c r="J37" s="133">
        <f t="shared" si="1"/>
        <v>2</v>
      </c>
      <c r="K37" s="64"/>
      <c r="L37" s="97"/>
      <c r="M37" s="97"/>
      <c r="N37" s="97"/>
      <c r="O37" s="97"/>
      <c r="P37" s="97"/>
      <c r="Q37" s="98"/>
      <c r="R37" s="96">
        <f t="shared" si="2"/>
        <v>0</v>
      </c>
      <c r="S37" s="95">
        <f t="shared" si="2"/>
        <v>0</v>
      </c>
      <c r="T37" s="64"/>
      <c r="U37" s="67"/>
      <c r="V37" s="66"/>
    </row>
    <row r="38" spans="1:24" x14ac:dyDescent="0.25">
      <c r="A38" s="3">
        <f t="shared" si="0"/>
        <v>33</v>
      </c>
      <c r="B38" s="10" t="s">
        <v>34</v>
      </c>
      <c r="C38" s="104">
        <v>36</v>
      </c>
      <c r="D38" s="105"/>
      <c r="E38" s="94"/>
      <c r="F38" s="94"/>
      <c r="G38" s="106"/>
      <c r="H38" s="96"/>
      <c r="I38" s="130">
        <f t="shared" si="1"/>
        <v>36</v>
      </c>
      <c r="J38" s="131">
        <f t="shared" si="1"/>
        <v>0</v>
      </c>
      <c r="K38" s="44"/>
      <c r="L38" s="94"/>
      <c r="M38" s="94"/>
      <c r="N38" s="94"/>
      <c r="O38" s="94"/>
      <c r="P38" s="94"/>
      <c r="Q38" s="95"/>
      <c r="R38" s="96">
        <f t="shared" si="2"/>
        <v>0</v>
      </c>
      <c r="S38" s="95">
        <f t="shared" si="2"/>
        <v>0</v>
      </c>
      <c r="T38" s="44"/>
      <c r="U38" s="28"/>
      <c r="V38" s="30"/>
    </row>
    <row r="39" spans="1:24" ht="19.5" thickBot="1" x14ac:dyDescent="0.3">
      <c r="A39" s="3">
        <f>A38+1</f>
        <v>34</v>
      </c>
      <c r="B39" s="54" t="s">
        <v>35</v>
      </c>
      <c r="C39" s="108">
        <v>1164</v>
      </c>
      <c r="D39" s="109"/>
      <c r="E39" s="110"/>
      <c r="F39" s="110"/>
      <c r="G39" s="111"/>
      <c r="H39" s="112"/>
      <c r="I39" s="126">
        <f t="shared" si="1"/>
        <v>1164</v>
      </c>
      <c r="J39" s="133">
        <f t="shared" si="1"/>
        <v>0</v>
      </c>
      <c r="K39" s="64"/>
      <c r="L39" s="97"/>
      <c r="M39" s="97"/>
      <c r="N39" s="97"/>
      <c r="O39" s="97"/>
      <c r="P39" s="97"/>
      <c r="Q39" s="98"/>
      <c r="R39" s="96">
        <f t="shared" si="2"/>
        <v>0</v>
      </c>
      <c r="S39" s="95">
        <f t="shared" si="2"/>
        <v>0</v>
      </c>
      <c r="T39" s="64"/>
      <c r="U39" s="67"/>
      <c r="V39" s="66"/>
    </row>
    <row r="40" spans="1:24" ht="19.5" thickBot="1" x14ac:dyDescent="0.3">
      <c r="A40" s="3">
        <f t="shared" si="0"/>
        <v>35</v>
      </c>
      <c r="B40" s="59" t="s">
        <v>36</v>
      </c>
      <c r="C40" s="113">
        <v>2360</v>
      </c>
      <c r="D40" s="114"/>
      <c r="E40" s="99"/>
      <c r="F40" s="99"/>
      <c r="G40" s="115">
        <v>12</v>
      </c>
      <c r="H40" s="116"/>
      <c r="I40" s="115">
        <f t="shared" si="1"/>
        <v>2348</v>
      </c>
      <c r="J40" s="134">
        <f t="shared" si="1"/>
        <v>0</v>
      </c>
      <c r="K40" s="69"/>
      <c r="L40" s="99"/>
      <c r="M40" s="99"/>
      <c r="N40" s="99"/>
      <c r="O40" s="99"/>
      <c r="P40" s="99"/>
      <c r="Q40" s="100"/>
      <c r="R40" s="96">
        <f t="shared" si="2"/>
        <v>0</v>
      </c>
      <c r="S40" s="95">
        <f t="shared" si="2"/>
        <v>0</v>
      </c>
      <c r="T40" s="69"/>
      <c r="U40" s="60"/>
      <c r="V40" s="63"/>
    </row>
    <row r="41" spans="1:24" ht="18.75" hidden="1" customHeight="1" x14ac:dyDescent="0.25">
      <c r="A41" s="3">
        <f t="shared" si="0"/>
        <v>36</v>
      </c>
      <c r="B41" s="10" t="s">
        <v>43</v>
      </c>
      <c r="C41" s="104"/>
      <c r="D41" s="105"/>
      <c r="E41" s="94"/>
      <c r="F41" s="94"/>
      <c r="G41" s="106"/>
      <c r="H41" s="96"/>
      <c r="I41" s="126">
        <f t="shared" si="1"/>
        <v>0</v>
      </c>
      <c r="J41" s="128">
        <f t="shared" si="1"/>
        <v>0</v>
      </c>
      <c r="K41" s="44"/>
      <c r="L41" s="94"/>
      <c r="M41" s="94"/>
      <c r="N41" s="94"/>
      <c r="O41" s="94"/>
      <c r="P41" s="94"/>
      <c r="Q41" s="95"/>
      <c r="R41" s="96">
        <f t="shared" si="2"/>
        <v>0</v>
      </c>
      <c r="S41" s="95">
        <f t="shared" si="2"/>
        <v>0</v>
      </c>
      <c r="T41" s="44"/>
      <c r="U41" s="28"/>
      <c r="V41" s="30"/>
    </row>
    <row r="42" spans="1:24" ht="19.5" thickBot="1" x14ac:dyDescent="0.3">
      <c r="A42" s="3">
        <v>36</v>
      </c>
      <c r="B42" s="54" t="s">
        <v>37</v>
      </c>
      <c r="C42" s="108">
        <v>39067</v>
      </c>
      <c r="D42" s="109">
        <v>1</v>
      </c>
      <c r="E42" s="110"/>
      <c r="F42" s="110"/>
      <c r="G42" s="111">
        <v>480</v>
      </c>
      <c r="H42" s="112"/>
      <c r="I42" s="135">
        <f>C42-G42+E42</f>
        <v>38587</v>
      </c>
      <c r="J42" s="136">
        <f t="shared" si="1"/>
        <v>1</v>
      </c>
      <c r="K42" s="64"/>
      <c r="L42" s="97"/>
      <c r="M42" s="97"/>
      <c r="N42" s="97"/>
      <c r="O42" s="97"/>
      <c r="P42" s="97"/>
      <c r="Q42" s="98"/>
      <c r="R42" s="96">
        <f t="shared" si="2"/>
        <v>0</v>
      </c>
      <c r="S42" s="95">
        <f t="shared" si="2"/>
        <v>0</v>
      </c>
      <c r="T42" s="64"/>
      <c r="U42" s="67"/>
      <c r="V42" s="66"/>
      <c r="X42" s="50"/>
    </row>
    <row r="43" spans="1:24" ht="18.75" hidden="1" customHeight="1" x14ac:dyDescent="0.25">
      <c r="A43" s="3">
        <f t="shared" si="0"/>
        <v>37</v>
      </c>
      <c r="B43" s="10" t="s">
        <v>45</v>
      </c>
      <c r="C43" s="104"/>
      <c r="D43" s="105"/>
      <c r="E43" s="94"/>
      <c r="F43" s="94"/>
      <c r="G43" s="106"/>
      <c r="H43" s="96"/>
      <c r="I43" s="126">
        <f t="shared" si="1"/>
        <v>0</v>
      </c>
      <c r="J43" s="107">
        <f t="shared" si="1"/>
        <v>0</v>
      </c>
      <c r="K43" s="44"/>
      <c r="L43" s="94"/>
      <c r="M43" s="94"/>
      <c r="N43" s="94"/>
      <c r="O43" s="94"/>
      <c r="P43" s="94"/>
      <c r="Q43" s="95"/>
      <c r="R43" s="96">
        <f t="shared" si="2"/>
        <v>0</v>
      </c>
      <c r="S43" s="95">
        <f t="shared" si="2"/>
        <v>0</v>
      </c>
      <c r="T43" s="44"/>
      <c r="U43" s="28"/>
      <c r="V43" s="30"/>
    </row>
    <row r="44" spans="1:24" x14ac:dyDescent="0.25">
      <c r="A44" s="3">
        <v>37</v>
      </c>
      <c r="B44" s="13" t="s">
        <v>38</v>
      </c>
      <c r="C44" s="104"/>
      <c r="D44" s="105"/>
      <c r="E44" s="94"/>
      <c r="F44" s="94"/>
      <c r="G44" s="106"/>
      <c r="H44" s="96"/>
      <c r="I44" s="127">
        <f t="shared" si="1"/>
        <v>0</v>
      </c>
      <c r="J44" s="107">
        <f t="shared" si="1"/>
        <v>0</v>
      </c>
      <c r="K44" s="44"/>
      <c r="L44" s="94"/>
      <c r="M44" s="94"/>
      <c r="N44" s="94"/>
      <c r="O44" s="94"/>
      <c r="P44" s="94"/>
      <c r="Q44" s="95"/>
      <c r="R44" s="96">
        <f t="shared" si="2"/>
        <v>0</v>
      </c>
      <c r="S44" s="95">
        <f t="shared" si="2"/>
        <v>0</v>
      </c>
      <c r="T44" s="44"/>
      <c r="U44" s="28"/>
      <c r="V44" s="30"/>
    </row>
    <row r="45" spans="1:24" x14ac:dyDescent="0.25">
      <c r="A45" s="3">
        <f t="shared" si="0"/>
        <v>38</v>
      </c>
      <c r="B45" s="13" t="s">
        <v>71</v>
      </c>
      <c r="C45" s="104">
        <v>3</v>
      </c>
      <c r="D45" s="105"/>
      <c r="E45" s="94"/>
      <c r="F45" s="94"/>
      <c r="G45" s="106"/>
      <c r="H45" s="96"/>
      <c r="I45" s="96">
        <f t="shared" si="1"/>
        <v>3</v>
      </c>
      <c r="J45" s="107">
        <f t="shared" si="1"/>
        <v>0</v>
      </c>
      <c r="K45" s="44"/>
      <c r="L45" s="94"/>
      <c r="M45" s="94"/>
      <c r="N45" s="94"/>
      <c r="O45" s="94"/>
      <c r="P45" s="94"/>
      <c r="Q45" s="95"/>
      <c r="R45" s="96">
        <f t="shared" si="2"/>
        <v>0</v>
      </c>
      <c r="S45" s="95">
        <f t="shared" si="2"/>
        <v>0</v>
      </c>
      <c r="T45" s="44"/>
      <c r="U45" s="28"/>
      <c r="V45" s="30"/>
    </row>
    <row r="46" spans="1:24" x14ac:dyDescent="0.25">
      <c r="A46" s="3">
        <f t="shared" si="0"/>
        <v>39</v>
      </c>
      <c r="B46" s="13" t="s">
        <v>39</v>
      </c>
      <c r="C46" s="104">
        <v>2423</v>
      </c>
      <c r="D46" s="105">
        <v>3</v>
      </c>
      <c r="E46" s="94"/>
      <c r="F46" s="94"/>
      <c r="G46" s="106"/>
      <c r="H46" s="96"/>
      <c r="I46" s="96">
        <f t="shared" si="1"/>
        <v>2423</v>
      </c>
      <c r="J46" s="107">
        <f t="shared" si="1"/>
        <v>3</v>
      </c>
      <c r="K46" s="44"/>
      <c r="L46" s="94"/>
      <c r="M46" s="94"/>
      <c r="N46" s="94"/>
      <c r="O46" s="94"/>
      <c r="P46" s="94"/>
      <c r="Q46" s="95"/>
      <c r="R46" s="96">
        <f t="shared" si="2"/>
        <v>0</v>
      </c>
      <c r="S46" s="95">
        <f t="shared" si="2"/>
        <v>0</v>
      </c>
      <c r="T46" s="44"/>
      <c r="U46" s="28"/>
      <c r="V46" s="30"/>
    </row>
    <row r="47" spans="1:24" x14ac:dyDescent="0.25">
      <c r="A47" s="3">
        <f t="shared" si="0"/>
        <v>40</v>
      </c>
      <c r="B47" s="13" t="s">
        <v>72</v>
      </c>
      <c r="C47" s="104"/>
      <c r="D47" s="105"/>
      <c r="E47" s="94"/>
      <c r="F47" s="94"/>
      <c r="G47" s="106"/>
      <c r="H47" s="96"/>
      <c r="I47" s="96">
        <f t="shared" si="1"/>
        <v>0</v>
      </c>
      <c r="J47" s="107">
        <f t="shared" si="1"/>
        <v>0</v>
      </c>
      <c r="K47" s="44"/>
      <c r="L47" s="94"/>
      <c r="M47" s="94"/>
      <c r="N47" s="94"/>
      <c r="O47" s="94"/>
      <c r="P47" s="94"/>
      <c r="Q47" s="95"/>
      <c r="R47" s="96">
        <f t="shared" si="2"/>
        <v>0</v>
      </c>
      <c r="S47" s="95">
        <f t="shared" si="2"/>
        <v>0</v>
      </c>
      <c r="T47" s="44"/>
      <c r="U47" s="28"/>
      <c r="V47" s="30"/>
    </row>
    <row r="48" spans="1:24" x14ac:dyDescent="0.25">
      <c r="A48" s="3">
        <f t="shared" si="0"/>
        <v>41</v>
      </c>
      <c r="B48" s="13" t="s">
        <v>40</v>
      </c>
      <c r="C48" s="104">
        <v>1</v>
      </c>
      <c r="D48" s="105"/>
      <c r="E48" s="94"/>
      <c r="F48" s="94"/>
      <c r="G48" s="106"/>
      <c r="H48" s="96"/>
      <c r="I48" s="96">
        <f t="shared" si="1"/>
        <v>1</v>
      </c>
      <c r="J48" s="107">
        <f t="shared" si="1"/>
        <v>0</v>
      </c>
      <c r="K48" s="44"/>
      <c r="L48" s="94"/>
      <c r="M48" s="94"/>
      <c r="N48" s="94"/>
      <c r="O48" s="94"/>
      <c r="P48" s="94"/>
      <c r="Q48" s="95"/>
      <c r="R48" s="96">
        <f t="shared" si="2"/>
        <v>0</v>
      </c>
      <c r="S48" s="95">
        <f t="shared" si="2"/>
        <v>0</v>
      </c>
      <c r="T48" s="44"/>
      <c r="U48" s="28"/>
      <c r="V48" s="30"/>
    </row>
    <row r="49" spans="1:22" x14ac:dyDescent="0.25">
      <c r="A49" s="3">
        <f t="shared" si="0"/>
        <v>42</v>
      </c>
      <c r="B49" s="13" t="s">
        <v>73</v>
      </c>
      <c r="C49" s="104"/>
      <c r="D49" s="105"/>
      <c r="E49" s="94"/>
      <c r="F49" s="94"/>
      <c r="G49" s="106"/>
      <c r="H49" s="96"/>
      <c r="I49" s="96">
        <f t="shared" si="1"/>
        <v>0</v>
      </c>
      <c r="J49" s="107">
        <f t="shared" si="1"/>
        <v>0</v>
      </c>
      <c r="K49" s="44"/>
      <c r="L49" s="94"/>
      <c r="M49" s="94"/>
      <c r="N49" s="94"/>
      <c r="O49" s="94"/>
      <c r="P49" s="94"/>
      <c r="Q49" s="95"/>
      <c r="R49" s="96">
        <f t="shared" si="2"/>
        <v>0</v>
      </c>
      <c r="S49" s="95">
        <f t="shared" si="2"/>
        <v>0</v>
      </c>
      <c r="T49" s="44"/>
      <c r="U49" s="28"/>
      <c r="V49" s="30"/>
    </row>
    <row r="50" spans="1:22" x14ac:dyDescent="0.25">
      <c r="A50" s="3">
        <f t="shared" si="0"/>
        <v>43</v>
      </c>
      <c r="B50" s="13" t="s">
        <v>41</v>
      </c>
      <c r="C50" s="104">
        <v>42</v>
      </c>
      <c r="D50" s="105"/>
      <c r="E50" s="94"/>
      <c r="F50" s="94"/>
      <c r="G50" s="106">
        <v>8</v>
      </c>
      <c r="H50" s="96"/>
      <c r="I50" s="96">
        <f t="shared" si="1"/>
        <v>34</v>
      </c>
      <c r="J50" s="107">
        <f t="shared" si="1"/>
        <v>0</v>
      </c>
      <c r="K50" s="44"/>
      <c r="L50" s="94"/>
      <c r="M50" s="94"/>
      <c r="N50" s="94"/>
      <c r="O50" s="94"/>
      <c r="P50" s="94"/>
      <c r="Q50" s="95"/>
      <c r="R50" s="96">
        <f t="shared" si="2"/>
        <v>0</v>
      </c>
      <c r="S50" s="95">
        <f t="shared" si="2"/>
        <v>0</v>
      </c>
      <c r="T50" s="44"/>
      <c r="U50" s="28"/>
      <c r="V50" s="30"/>
    </row>
    <row r="51" spans="1:22" x14ac:dyDescent="0.25">
      <c r="A51" s="3">
        <f t="shared" si="0"/>
        <v>44</v>
      </c>
      <c r="B51" s="13" t="s">
        <v>42</v>
      </c>
      <c r="C51" s="104"/>
      <c r="D51" s="105"/>
      <c r="E51" s="94"/>
      <c r="F51" s="94"/>
      <c r="G51" s="106"/>
      <c r="H51" s="96"/>
      <c r="I51" s="96">
        <f t="shared" si="1"/>
        <v>0</v>
      </c>
      <c r="J51" s="107">
        <f t="shared" si="1"/>
        <v>0</v>
      </c>
      <c r="K51" s="44"/>
      <c r="L51" s="94"/>
      <c r="M51" s="94"/>
      <c r="N51" s="94"/>
      <c r="O51" s="94"/>
      <c r="P51" s="94"/>
      <c r="Q51" s="95"/>
      <c r="R51" s="96">
        <f t="shared" si="2"/>
        <v>0</v>
      </c>
      <c r="S51" s="95">
        <f t="shared" si="2"/>
        <v>0</v>
      </c>
      <c r="T51" s="44"/>
      <c r="U51" s="28"/>
      <c r="V51" s="30"/>
    </row>
    <row r="52" spans="1:22" s="1" customFormat="1" ht="19.5" thickBot="1" x14ac:dyDescent="0.3">
      <c r="B52" s="15" t="s">
        <v>13</v>
      </c>
      <c r="C52" s="46">
        <f>SUM(C8:C51)</f>
        <v>57518</v>
      </c>
      <c r="D52" s="74">
        <f>SUM(D8:D51)</f>
        <v>67</v>
      </c>
      <c r="E52" s="47">
        <f>SUM(E8:E51)</f>
        <v>0</v>
      </c>
      <c r="F52" s="47"/>
      <c r="G52" s="31">
        <f>SUM(G8:G51)</f>
        <v>586</v>
      </c>
      <c r="H52" s="76">
        <f>SUM(H8:H51)</f>
        <v>18</v>
      </c>
      <c r="I52" s="76">
        <f>SUM(I8:I51)-2</f>
        <v>56930</v>
      </c>
      <c r="J52" s="48">
        <f>SUM(J8:J51)+48</f>
        <v>97</v>
      </c>
      <c r="K52" s="49"/>
      <c r="L52" s="101">
        <f t="shared" ref="L52:S52" si="3">SUM(L8:L51)</f>
        <v>0</v>
      </c>
      <c r="M52" s="101">
        <f t="shared" si="3"/>
        <v>0</v>
      </c>
      <c r="N52" s="101">
        <f t="shared" si="3"/>
        <v>0</v>
      </c>
      <c r="O52" s="101">
        <f t="shared" si="3"/>
        <v>0</v>
      </c>
      <c r="P52" s="101">
        <f t="shared" si="3"/>
        <v>0</v>
      </c>
      <c r="Q52" s="102">
        <f t="shared" si="3"/>
        <v>0</v>
      </c>
      <c r="R52" s="102">
        <f t="shared" si="3"/>
        <v>0</v>
      </c>
      <c r="S52" s="103">
        <f t="shared" si="3"/>
        <v>0</v>
      </c>
      <c r="T52" s="49"/>
      <c r="U52" s="46"/>
      <c r="V52" s="48"/>
    </row>
    <row r="53" spans="1:22" ht="19.5" thickBot="1" x14ac:dyDescent="0.3"/>
    <row r="54" spans="1:22" ht="18.75" customHeight="1" x14ac:dyDescent="0.25">
      <c r="G54" s="138" t="s">
        <v>65</v>
      </c>
      <c r="H54" s="77"/>
      <c r="I54" s="77"/>
      <c r="J54" s="24" t="s">
        <v>66</v>
      </c>
      <c r="L54" s="33"/>
      <c r="M54" s="82"/>
      <c r="N54" s="34"/>
      <c r="O54" s="34"/>
      <c r="P54" s="34"/>
      <c r="Q54" s="88"/>
      <c r="R54" s="88"/>
      <c r="S54" s="35"/>
    </row>
    <row r="55" spans="1:22" x14ac:dyDescent="0.25">
      <c r="G55" s="139"/>
      <c r="H55" s="78"/>
      <c r="I55" s="78"/>
      <c r="J55" s="25" t="s">
        <v>51</v>
      </c>
      <c r="L55" s="36"/>
      <c r="M55" s="83"/>
      <c r="N55" s="37"/>
      <c r="O55" s="37"/>
      <c r="P55" s="37"/>
      <c r="Q55" s="89"/>
      <c r="R55" s="89"/>
      <c r="S55" s="38"/>
    </row>
    <row r="56" spans="1:22" x14ac:dyDescent="0.25">
      <c r="G56" s="140"/>
      <c r="H56" s="79"/>
      <c r="I56" s="79"/>
      <c r="J56" s="25" t="s">
        <v>52</v>
      </c>
      <c r="L56" s="39"/>
      <c r="M56" s="84"/>
      <c r="N56" s="40"/>
      <c r="O56" s="40"/>
      <c r="P56" s="40"/>
      <c r="Q56" s="90"/>
      <c r="R56" s="90"/>
      <c r="S56" s="41"/>
    </row>
    <row r="57" spans="1:22" x14ac:dyDescent="0.25">
      <c r="G57" s="141" t="s">
        <v>64</v>
      </c>
      <c r="H57" s="80"/>
      <c r="I57" s="80"/>
      <c r="J57" s="25" t="s">
        <v>66</v>
      </c>
      <c r="L57" s="39"/>
      <c r="M57" s="84"/>
      <c r="N57" s="40"/>
      <c r="O57" s="40"/>
      <c r="P57" s="40"/>
      <c r="Q57" s="90"/>
      <c r="R57" s="90"/>
      <c r="S57" s="41"/>
    </row>
    <row r="58" spans="1:22" x14ac:dyDescent="0.25">
      <c r="G58" s="141"/>
      <c r="H58" s="80"/>
      <c r="I58" s="80"/>
      <c r="J58" s="25" t="s">
        <v>51</v>
      </c>
      <c r="L58" s="36"/>
      <c r="M58" s="83"/>
      <c r="N58" s="37"/>
      <c r="O58" s="37"/>
      <c r="P58" s="37"/>
      <c r="Q58" s="89"/>
      <c r="R58" s="89"/>
      <c r="S58" s="38"/>
    </row>
    <row r="59" spans="1:22" ht="19.5" thickBot="1" x14ac:dyDescent="0.3">
      <c r="G59" s="142"/>
      <c r="H59" s="81"/>
      <c r="I59" s="81"/>
      <c r="J59" s="26" t="s">
        <v>52</v>
      </c>
      <c r="L59" s="42"/>
      <c r="M59" s="85"/>
      <c r="N59" s="43"/>
      <c r="O59" s="43"/>
      <c r="P59" s="43"/>
      <c r="Q59" s="91"/>
      <c r="R59" s="91"/>
      <c r="S59" s="32"/>
    </row>
    <row r="60" spans="1:22" ht="19.5" thickBot="1" x14ac:dyDescent="0.3"/>
    <row r="61" spans="1:22" ht="113.25" thickBot="1" x14ac:dyDescent="0.3">
      <c r="B61" s="17" t="s">
        <v>53</v>
      </c>
      <c r="C61" s="123" t="s">
        <v>3</v>
      </c>
      <c r="D61" s="124"/>
      <c r="E61" s="19" t="s">
        <v>54</v>
      </c>
      <c r="L61" s="20" t="s">
        <v>10</v>
      </c>
      <c r="M61" s="86"/>
      <c r="N61" s="21" t="s">
        <v>11</v>
      </c>
      <c r="O61" s="21"/>
      <c r="P61" s="21" t="s">
        <v>12</v>
      </c>
      <c r="Q61" s="92"/>
      <c r="R61" s="92"/>
      <c r="S61" s="19" t="s">
        <v>55</v>
      </c>
      <c r="V61" s="123" t="s">
        <v>56</v>
      </c>
    </row>
    <row r="62" spans="1:22" x14ac:dyDescent="0.25">
      <c r="B62" s="22" t="s">
        <v>31</v>
      </c>
      <c r="C62" s="11"/>
      <c r="D62" s="11"/>
      <c r="E62" s="23"/>
      <c r="L62" s="11"/>
      <c r="M62" s="11"/>
      <c r="N62" s="11"/>
      <c r="O62" s="11"/>
      <c r="P62" s="11"/>
      <c r="Q62" s="11"/>
      <c r="R62" s="11"/>
      <c r="S62" s="11"/>
      <c r="V62" s="23"/>
    </row>
    <row r="63" spans="1:22" x14ac:dyDescent="0.25">
      <c r="B63" s="16" t="s">
        <v>57</v>
      </c>
      <c r="C63" s="11"/>
      <c r="D63" s="11"/>
      <c r="E63" s="23"/>
      <c r="L63" s="23"/>
      <c r="M63" s="23"/>
      <c r="N63" s="23"/>
      <c r="O63" s="23"/>
      <c r="P63" s="23"/>
      <c r="Q63" s="23"/>
      <c r="R63" s="23"/>
      <c r="S63" s="23"/>
      <c r="V63" s="23"/>
    </row>
    <row r="64" spans="1:22" x14ac:dyDescent="0.25">
      <c r="B64" s="16" t="s">
        <v>58</v>
      </c>
      <c r="C64" s="11"/>
      <c r="D64" s="11"/>
      <c r="E64" s="23"/>
      <c r="L64" s="23"/>
      <c r="M64" s="23"/>
      <c r="N64" s="23"/>
      <c r="O64" s="23"/>
      <c r="P64" s="23"/>
      <c r="Q64" s="23"/>
      <c r="R64" s="23"/>
      <c r="S64" s="23"/>
      <c r="V64" s="23"/>
    </row>
    <row r="65" spans="2:22" ht="11.25" customHeight="1" x14ac:dyDescent="0.25"/>
    <row r="66" spans="2:22" x14ac:dyDescent="0.25">
      <c r="B66" s="16" t="s">
        <v>59</v>
      </c>
      <c r="C66" s="23"/>
      <c r="D66" s="23"/>
      <c r="E66" s="23"/>
      <c r="L66" s="23"/>
      <c r="M66" s="23"/>
      <c r="N66" s="23"/>
      <c r="O66" s="23"/>
      <c r="P66" s="23"/>
      <c r="Q66" s="23"/>
      <c r="R66" s="23"/>
      <c r="S66" s="23"/>
      <c r="V66" s="23"/>
    </row>
    <row r="67" spans="2:22" x14ac:dyDescent="0.25">
      <c r="B67" s="16" t="s">
        <v>57</v>
      </c>
      <c r="C67" s="23"/>
      <c r="D67" s="23"/>
      <c r="E67" s="23"/>
      <c r="L67" s="23"/>
      <c r="M67" s="23"/>
      <c r="N67" s="23"/>
      <c r="O67" s="23"/>
      <c r="P67" s="23"/>
      <c r="Q67" s="23"/>
      <c r="R67" s="23"/>
      <c r="S67" s="23"/>
      <c r="V67" s="23"/>
    </row>
    <row r="68" spans="2:22" x14ac:dyDescent="0.25">
      <c r="B68" s="16" t="s">
        <v>58</v>
      </c>
      <c r="C68" s="23"/>
      <c r="D68" s="23"/>
      <c r="E68" s="23"/>
      <c r="L68" s="23"/>
      <c r="M68" s="23"/>
      <c r="N68" s="23"/>
      <c r="O68" s="23"/>
      <c r="P68" s="23"/>
      <c r="Q68" s="23"/>
      <c r="R68" s="23"/>
      <c r="S68" s="23"/>
      <c r="V68" s="23"/>
    </row>
    <row r="69" spans="2:22" ht="11.25" customHeight="1" x14ac:dyDescent="0.25"/>
    <row r="70" spans="2:22" x14ac:dyDescent="0.25">
      <c r="B70" s="16" t="s">
        <v>60</v>
      </c>
      <c r="C70" s="23"/>
      <c r="D70" s="23"/>
      <c r="E70" s="23"/>
      <c r="L70" s="23"/>
      <c r="M70" s="23"/>
      <c r="N70" s="23"/>
      <c r="O70" s="23"/>
      <c r="P70" s="23"/>
      <c r="Q70" s="23"/>
      <c r="R70" s="23"/>
      <c r="S70" s="23"/>
      <c r="V70" s="23"/>
    </row>
    <row r="71" spans="2:22" x14ac:dyDescent="0.25">
      <c r="B71" s="16" t="s">
        <v>57</v>
      </c>
      <c r="C71" s="23"/>
      <c r="D71" s="23"/>
      <c r="E71" s="23"/>
      <c r="L71" s="23"/>
      <c r="M71" s="23"/>
      <c r="N71" s="23"/>
      <c r="O71" s="23"/>
      <c r="P71" s="23"/>
      <c r="Q71" s="23"/>
      <c r="R71" s="23"/>
      <c r="S71" s="23"/>
      <c r="V71" s="23"/>
    </row>
    <row r="72" spans="2:22" x14ac:dyDescent="0.25">
      <c r="B72" s="16" t="s">
        <v>58</v>
      </c>
      <c r="C72" s="23"/>
      <c r="D72" s="23"/>
      <c r="E72" s="23"/>
      <c r="L72" s="23"/>
      <c r="M72" s="23"/>
      <c r="N72" s="23"/>
      <c r="O72" s="23"/>
      <c r="P72" s="23"/>
      <c r="Q72" s="23"/>
      <c r="R72" s="23"/>
      <c r="S72" s="23"/>
      <c r="V72" s="23"/>
    </row>
    <row r="73" spans="2:22" ht="11.25" customHeight="1" x14ac:dyDescent="0.25"/>
    <row r="74" spans="2:22" x14ac:dyDescent="0.25">
      <c r="B74" s="16" t="s">
        <v>61</v>
      </c>
      <c r="C74" s="23"/>
      <c r="D74" s="23"/>
      <c r="E74" s="23"/>
      <c r="L74" s="23"/>
      <c r="M74" s="23"/>
      <c r="N74" s="23"/>
      <c r="O74" s="23"/>
      <c r="P74" s="23"/>
      <c r="Q74" s="23"/>
      <c r="R74" s="23"/>
      <c r="S74" s="23"/>
      <c r="V74" s="23"/>
    </row>
    <row r="75" spans="2:22" x14ac:dyDescent="0.25">
      <c r="B75" s="16" t="s">
        <v>57</v>
      </c>
      <c r="C75" s="23"/>
      <c r="D75" s="23"/>
      <c r="E75" s="23"/>
      <c r="L75" s="23"/>
      <c r="M75" s="23"/>
      <c r="N75" s="23"/>
      <c r="O75" s="23"/>
      <c r="P75" s="23"/>
      <c r="Q75" s="23"/>
      <c r="R75" s="23"/>
      <c r="S75" s="23"/>
      <c r="V75" s="23"/>
    </row>
    <row r="76" spans="2:22" x14ac:dyDescent="0.25">
      <c r="B76" s="16" t="s">
        <v>58</v>
      </c>
      <c r="C76" s="11"/>
      <c r="D76" s="11"/>
      <c r="E76" s="23"/>
      <c r="L76" s="23"/>
      <c r="M76" s="23"/>
      <c r="N76" s="23"/>
      <c r="O76" s="23"/>
      <c r="P76" s="23"/>
      <c r="Q76" s="23"/>
      <c r="R76" s="23"/>
      <c r="S76" s="23"/>
      <c r="V76" s="23"/>
    </row>
    <row r="77" spans="2:22" ht="11.25" customHeight="1" x14ac:dyDescent="0.25"/>
    <row r="78" spans="2:22" x14ac:dyDescent="0.25">
      <c r="B78" s="16" t="s">
        <v>62</v>
      </c>
      <c r="C78" s="23"/>
      <c r="D78" s="23"/>
      <c r="E78" s="23"/>
      <c r="L78" s="23"/>
      <c r="M78" s="23"/>
      <c r="N78" s="23"/>
      <c r="O78" s="23"/>
      <c r="P78" s="23"/>
      <c r="Q78" s="23"/>
      <c r="R78" s="23"/>
      <c r="S78" s="23"/>
      <c r="V78" s="23"/>
    </row>
    <row r="79" spans="2:22" x14ac:dyDescent="0.25">
      <c r="B79" s="16" t="s">
        <v>57</v>
      </c>
      <c r="C79" s="23"/>
      <c r="D79" s="23"/>
      <c r="E79" s="23"/>
      <c r="L79" s="23"/>
      <c r="M79" s="23"/>
      <c r="N79" s="23"/>
      <c r="O79" s="23"/>
      <c r="P79" s="23"/>
      <c r="Q79" s="23"/>
      <c r="R79" s="23"/>
      <c r="S79" s="23"/>
      <c r="V79" s="23"/>
    </row>
    <row r="80" spans="2:22" x14ac:dyDescent="0.25">
      <c r="B80" s="16" t="s">
        <v>58</v>
      </c>
      <c r="C80" s="23"/>
      <c r="D80" s="23"/>
      <c r="E80" s="23"/>
      <c r="L80" s="23"/>
      <c r="M80" s="23"/>
      <c r="N80" s="23"/>
      <c r="O80" s="23"/>
      <c r="P80" s="23"/>
      <c r="Q80" s="23"/>
      <c r="R80" s="23"/>
      <c r="S80" s="23"/>
      <c r="V80" s="23"/>
    </row>
    <row r="82" spans="2:22" x14ac:dyDescent="0.25">
      <c r="B82" s="16" t="s">
        <v>63</v>
      </c>
      <c r="C82" s="23"/>
      <c r="D82" s="23"/>
      <c r="E82" s="23"/>
      <c r="L82" s="23"/>
      <c r="M82" s="23"/>
      <c r="N82" s="23"/>
      <c r="O82" s="23"/>
      <c r="P82" s="23"/>
      <c r="Q82" s="23"/>
      <c r="R82" s="23"/>
      <c r="S82" s="23"/>
      <c r="V82" s="23"/>
    </row>
  </sheetData>
  <mergeCells count="12">
    <mergeCell ref="G54:G56"/>
    <mergeCell ref="G57:G59"/>
    <mergeCell ref="P1:V1"/>
    <mergeCell ref="B4:B5"/>
    <mergeCell ref="C4:C5"/>
    <mergeCell ref="D4:D5"/>
    <mergeCell ref="E4:F4"/>
    <mergeCell ref="G4:G5"/>
    <mergeCell ref="H4:H5"/>
    <mergeCell ref="I4:I5"/>
    <mergeCell ref="J4:J5"/>
    <mergeCell ref="L4:V4"/>
  </mergeCell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SAMPLE</vt:lpstr>
      <vt:lpstr>01,07</vt:lpstr>
      <vt:lpstr>01,08</vt:lpstr>
      <vt:lpstr>01,09</vt:lpstr>
      <vt:lpstr>01,09 (2)</vt:lpstr>
      <vt:lpstr>'01,07'!Print_Area</vt:lpstr>
      <vt:lpstr>'01,08'!Print_Area</vt:lpstr>
      <vt:lpstr>'01,09'!Print_Area</vt:lpstr>
      <vt:lpstr>'01,09 (2)'!Print_Area</vt:lpstr>
      <vt:lpstr>SAMPLE!Print_Area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2026-01-07T08:52:29Z</cp:lastPrinted>
  <dcterms:created xsi:type="dcterms:W3CDTF">2024-09-01T23:32:49Z</dcterms:created>
  <dcterms:modified xsi:type="dcterms:W3CDTF">2026-01-12T07:18:26Z</dcterms:modified>
</cp:coreProperties>
</file>