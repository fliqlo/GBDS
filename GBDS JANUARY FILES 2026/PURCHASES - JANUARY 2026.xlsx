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2A9DD3C2-D476-4300-AED4-FD163EA05346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ANUARY" sheetId="6" r:id="rId2"/>
  </sheets>
  <definedNames>
    <definedName name="_xlnm.Print_Area" localSheetId="1">'PE, JANUARY'!#REF!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4" i="6" l="1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<sst xmlns="http://schemas.openxmlformats.org/spreadsheetml/2006/main" count="256" uniqueCount="80">
  <si>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</si>
  <si>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</si>
  <si>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</si>
  <si>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</si>
  <si>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</si>
  <si>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</si>
  <si>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</si>
  <si>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</si>
  <si>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</si>
  <si>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</si>
  <si>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</si>
  <si>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</si>
  <si>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</si>
  <si>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</si>
  <si>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</si>
  <si>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</si>
  <si>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</si>
  <si>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</si>
  <si>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</si>
  <si>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</si>
  <si>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</si>
  <si>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</si>
  <si>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</si>
  <si>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</si>
  <si>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</si>
  <si>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</si>
  <si>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</si>
  <si>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</si>
  <si>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</si>
  <si>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</si>
  <si>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</si>
  <si>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</si>
  <si>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</si>
  <si>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</si>
  <si>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</si>
  <si>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</si>
  <si>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</si>
  <si>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</si>
  <si>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</si>
  <si>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</si>
  <si>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</si>
  <si>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</si>
  <si>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</si>
  <si>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</si>
  <si>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</si>
  <si>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</si>
  <si>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</si>
  <si>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</si>
  <si>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</si>
  <si>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</si>
  <si>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</si>
  <si>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</si>
  <si>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</si>
  <si>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</si>
  <si>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</si>
  <si>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</si>
  <si>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</si>
  <si>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</si>
  <si>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</si>
  <si>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</si>
  <si>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</si>
  <si>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</si>
  <si>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</si>
  <si>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</si>
  <si>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</si>
  <si>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</si>
  <si>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</si>
  <si>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</si>
  <si>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</si>
  <si>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</si>
  <si>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</si>
  <si>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</si>
  <si>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</si>
  <si>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</si>
  <si>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</si>
  <si>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01/20/2026</t>
  </si>
  <si>
    <t>JANUARY 2026</t>
  </si>
  <si>
    <t>01/24/2026</t>
  </si>
  <si>
    <t>01/27/2026</t>
  </si>
  <si>
    <t>01/29/2026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</si>
</sst>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4" sqref="I14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76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46235</v>
      </c>
      <c r="D7" s="20" t="s">
        <v>68</v>
      </c>
      <c r="E7" s="12"/>
      <c r="F7" s="20" t="s">
        <v>70</v>
      </c>
      <c r="G7" s="20">
        <v>518277942</v>
      </c>
      <c r="H7" s="20" t="s">
        <v>74</v>
      </c>
      <c r="I7" s="21">
        <f>1353132-56255.04</f>
        <v>1296876.96</v>
      </c>
      <c r="K7" s="21">
        <f>M7*12</f>
        <v>138951.10285714286</v>
      </c>
      <c r="L7" s="27">
        <f>I7-K7</f>
        <v>1157925.857142857</v>
      </c>
      <c r="M7" s="33">
        <f>I7/112</f>
        <v>11579.258571428571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46266</v>
      </c>
      <c r="D8" s="20" t="s">
        <v>68</v>
      </c>
      <c r="E8" s="20"/>
      <c r="F8" s="20" t="s">
        <v>70</v>
      </c>
      <c r="G8" s="20">
        <v>518280920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46266</v>
      </c>
      <c r="D9" s="20" t="s">
        <v>68</v>
      </c>
      <c r="E9" s="20"/>
      <c r="F9" s="20" t="s">
        <v>70</v>
      </c>
      <c r="G9" s="20">
        <v>518281307</v>
      </c>
      <c r="H9" s="20" t="s">
        <v>74</v>
      </c>
      <c r="I9" s="21">
        <f>543906-22612.32</f>
        <v>521293.68</v>
      </c>
      <c r="K9" s="21">
        <f t="shared" ref="K9:K26" si="2">M9*12</f>
        <v>55852.894285714283</v>
      </c>
      <c r="L9" s="27">
        <f t="shared" ref="L9:L26" si="3">I9-K9</f>
        <v>465440.78571428568</v>
      </c>
      <c r="M9" s="33">
        <f t="shared" si="0"/>
        <v>4654.4078571428572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75</v>
      </c>
      <c r="D10" s="20" t="s">
        <v>68</v>
      </c>
      <c r="E10" s="20"/>
      <c r="F10" s="20" t="s">
        <v>70</v>
      </c>
      <c r="G10" s="20">
        <v>518308507</v>
      </c>
      <c r="H10" s="20" t="s">
        <v>74</v>
      </c>
      <c r="I10" s="21">
        <f>1397196-56255.04</f>
        <v>1340940.96</v>
      </c>
      <c r="K10" s="21">
        <f t="shared" si="2"/>
        <v>143672.2457142857</v>
      </c>
      <c r="L10" s="27">
        <f t="shared" si="3"/>
        <v>1197268.7142857143</v>
      </c>
      <c r="M10" s="33">
        <f t="shared" si="0"/>
        <v>11972.687142857143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77</v>
      </c>
      <c r="D11" s="20" t="s">
        <v>68</v>
      </c>
      <c r="E11" s="20"/>
      <c r="F11" s="20" t="s">
        <v>70</v>
      </c>
      <c r="G11" s="20">
        <v>518322741</v>
      </c>
      <c r="H11" s="20" t="s">
        <v>74</v>
      </c>
      <c r="I11" s="21">
        <f>1306428-51028.68</f>
        <v>1255399.32</v>
      </c>
      <c r="K11" s="21">
        <f t="shared" si="2"/>
        <v>134507.07</v>
      </c>
      <c r="L11" s="27">
        <f t="shared" si="3"/>
        <v>1120892.25</v>
      </c>
      <c r="M11" s="33">
        <f t="shared" si="0"/>
        <v>11208.922500000001</v>
      </c>
    </row>
    <row r="12" spans="1:15" x14ac:dyDescent="0.25">
      <c r="A12">
        <f t="shared" si="1"/>
        <v>6</v>
      </c>
      <c r="B12" s="23">
        <f t="shared" si="1"/>
        <v>6</v>
      </c>
      <c r="C12" s="19" t="s">
        <v>78</v>
      </c>
      <c r="D12" s="20" t="s">
        <v>68</v>
      </c>
      <c r="E12" s="20"/>
      <c r="F12" s="20" t="s">
        <v>70</v>
      </c>
      <c r="G12" s="20">
        <v>518329104</v>
      </c>
      <c r="H12" s="20" t="s">
        <v>74</v>
      </c>
      <c r="I12" s="21">
        <f>1386494-56304.48</f>
        <v>1330189.52</v>
      </c>
      <c r="K12" s="21">
        <f t="shared" si="2"/>
        <v>142520.3057142857</v>
      </c>
      <c r="L12" s="27">
        <f t="shared" si="3"/>
        <v>1187669.2142857143</v>
      </c>
      <c r="M12" s="33">
        <f t="shared" si="0"/>
        <v>11876.692142857142</v>
      </c>
    </row>
    <row r="13" spans="1:15" x14ac:dyDescent="0.25">
      <c r="A13">
        <f t="shared" si="1"/>
        <v>7</v>
      </c>
      <c r="B13" s="23">
        <f t="shared" si="1"/>
        <v>7</v>
      </c>
      <c r="C13" s="19" t="s">
        <v>78</v>
      </c>
      <c r="D13" s="20" t="s">
        <v>68</v>
      </c>
      <c r="E13" s="20"/>
      <c r="F13" s="20" t="s">
        <v>70</v>
      </c>
      <c r="G13" s="20">
        <v>518329423</v>
      </c>
      <c r="H13" s="20" t="s">
        <v>74</v>
      </c>
      <c r="I13" s="21">
        <f>1399400-56313.36</f>
        <v>1343086.64</v>
      </c>
      <c r="K13" s="21">
        <f t="shared" si="2"/>
        <v>143902.13999999998</v>
      </c>
      <c r="L13" s="27">
        <f>I13-K13</f>
        <v>1199184.5</v>
      </c>
      <c r="M13" s="33">
        <f>I13/112</f>
        <v>11991.844999999999</v>
      </c>
    </row>
    <row r="14" spans="1:15" x14ac:dyDescent="0.25">
      <c r="A14">
        <f t="shared" si="1"/>
        <v>8</v>
      </c>
      <c r="B14" s="23">
        <f t="shared" si="1"/>
        <v>8</v>
      </c>
      <c r="C14" s="19" t="s">
        <v>79</v>
      </c>
      <c r="D14" s="20" t="s">
        <v>68</v>
      </c>
      <c r="E14" s="20"/>
      <c r="F14" s="20" t="s">
        <v>70</v>
      </c>
      <c r="G14" s="20">
        <v>518336621</v>
      </c>
      <c r="H14" s="20" t="s">
        <v>74</v>
      </c>
      <c r="I14" s="38">
        <f>1404232-56464.36</f>
        <v>1347767.64</v>
      </c>
      <c r="K14" s="21">
        <f t="shared" si="2"/>
        <v>144403.67571428569</v>
      </c>
      <c r="L14" s="27">
        <f t="shared" si="3"/>
        <v>1203363.9642857141</v>
      </c>
      <c r="M14" s="33">
        <f t="shared" si="0"/>
        <v>12033.639642857142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9732431.6799999997</v>
      </c>
      <c r="K32" s="14">
        <f>SUM(K7:K31)</f>
        <v>1042760.5371428571</v>
      </c>
      <c r="L32" s="14">
        <f>SUM(L7:L31)</f>
        <v>8689671.1428571437</v>
      </c>
      <c r="M32" s="36">
        <f>SUM(M7:M31)</f>
        <v>86896.711428571434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76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JANUARY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2026-01-29T06:55:34Z</dcterms:modified>
</cp:coreProperties>
</file>