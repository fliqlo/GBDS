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65742FD-0AF1-4CA7-9B08-BC2712E3419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ANUARY" sheetId="6" r:id="rId2"/>
  </sheets>
  <definedNames>
    <definedName name="_xlnm.Print_Area" localSheetId="1">'PE, JANUARY'!#REF!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8" i="6" l="1"/>
  <c r="I17" i="6" l="1"/>
  <c r="G17" i="6"/>
  <c r="I16" i="6"/>
  <c r="I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<sst xmlns="http://schemas.openxmlformats.org/spreadsheetml/2006/main" count="260" uniqueCount="81">
  <si>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</si>
  <si>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</si>
  <si>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</si>
  <si>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</si>
  <si>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</si>
  <si>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</si>
  <si>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</si>
  <si>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</si>
  <si>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</si>
  <si>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</si>
  <si>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</si>
  <si>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</si>
  <si>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</si>
  <si>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</si>
  <si>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</si>
  <si>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</si>
  <si>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</si>
  <si>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</si>
  <si>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</si>
  <si>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</si>
  <si>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</si>
  <si>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</si>
  <si>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</si>
  <si>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</si>
  <si>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</si>
  <si>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</si>
  <si>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</si>
  <si>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</si>
  <si>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</si>
  <si>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</si>
  <si>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</si>
  <si>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</si>
  <si>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</si>
  <si>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</si>
  <si>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</si>
  <si>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</si>
  <si>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</si>
  <si>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</si>
  <si>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</si>
  <si>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</si>
  <si>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</si>
  <si>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</si>
  <si>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</si>
  <si>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</si>
  <si>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</si>
  <si>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</si>
  <si>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</si>
  <si>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</si>
  <si>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</si>
  <si>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</si>
  <si>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</si>
  <si>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</si>
  <si>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</si>
  <si>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</si>
  <si>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</si>
  <si>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</si>
  <si>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</si>
  <si>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</si>
  <si>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</si>
  <si>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</si>
  <si>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</si>
  <si>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</si>
  <si>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</si>
  <si>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</si>
  <si>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</si>
  <si>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</si>
  <si>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</si>
  <si>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</si>
  <si>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</si>
  <si>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</si>
  <si>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</si>
  <si>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</si>
  <si>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</si>
  <si>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</si>
  <si>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</si>
  <si>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01/20/2026</t>
  </si>
  <si>
    <t>JANUARY 2026</t>
  </si>
  <si>
    <t>01/24/2026</t>
  </si>
  <si>
    <t>01/27/2026</t>
  </si>
  <si>
    <t>01/29/2026</t>
  </si>
  <si>
    <t>01/30/2026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</si>
</sst>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9" sqref="C1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76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46235</v>
      </c>
      <c r="D7" s="20" t="s">
        <v>68</v>
      </c>
      <c r="E7" s="12"/>
      <c r="F7" s="20" t="s">
        <v>70</v>
      </c>
      <c r="G7" s="20">
        <v>518277942</v>
      </c>
      <c r="H7" s="20" t="s">
        <v>74</v>
      </c>
      <c r="I7" s="21">
        <f>1353132-56255.04</f>
        <v>1296876.96</v>
      </c>
      <c r="K7" s="21">
        <f>M7*12</f>
        <v>138951.10285714286</v>
      </c>
      <c r="L7" s="27">
        <f>I7-K7</f>
        <v>1157925.857142857</v>
      </c>
      <c r="M7" s="33">
        <f>I7/112</f>
        <v>11579.258571428571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46266</v>
      </c>
      <c r="D8" s="20" t="s">
        <v>68</v>
      </c>
      <c r="E8" s="20"/>
      <c r="F8" s="20" t="s">
        <v>70</v>
      </c>
      <c r="G8" s="20">
        <v>518280920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46266</v>
      </c>
      <c r="D9" s="20" t="s">
        <v>68</v>
      </c>
      <c r="E9" s="20"/>
      <c r="F9" s="20" t="s">
        <v>70</v>
      </c>
      <c r="G9" s="20">
        <v>518281307</v>
      </c>
      <c r="H9" s="20" t="s">
        <v>74</v>
      </c>
      <c r="I9" s="21">
        <f>543906-22612.32</f>
        <v>521293.68</v>
      </c>
      <c r="K9" s="21">
        <f t="shared" ref="K9:K26" si="2">M9*12</f>
        <v>55852.894285714283</v>
      </c>
      <c r="L9" s="27">
        <f t="shared" ref="L9:L26" si="3">I9-K9</f>
        <v>465440.78571428568</v>
      </c>
      <c r="M9" s="33">
        <f t="shared" si="0"/>
        <v>4654.4078571428572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75</v>
      </c>
      <c r="D10" s="20" t="s">
        <v>68</v>
      </c>
      <c r="E10" s="20"/>
      <c r="F10" s="20" t="s">
        <v>70</v>
      </c>
      <c r="G10" s="20">
        <v>518308507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518322741</v>
      </c>
      <c r="H11" s="20" t="s">
        <v>74</v>
      </c>
      <c r="I11" s="21">
        <f>1306428-51028.68</f>
        <v>1255399.32</v>
      </c>
      <c r="K11" s="21">
        <f t="shared" si="2"/>
        <v>134507.07</v>
      </c>
      <c r="L11" s="27">
        <f t="shared" si="3"/>
        <v>1120892.25</v>
      </c>
      <c r="M11" s="33">
        <f t="shared" si="0"/>
        <v>11208.922500000001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518329104</v>
      </c>
      <c r="H12" s="20" t="s">
        <v>74</v>
      </c>
      <c r="I12" s="21">
        <f>1386494-56304.48</f>
        <v>1330189.52</v>
      </c>
      <c r="K12" s="21">
        <f t="shared" si="2"/>
        <v>142520.3057142857</v>
      </c>
      <c r="L12" s="27">
        <f t="shared" si="3"/>
        <v>1187669.2142857143</v>
      </c>
      <c r="M12" s="33">
        <f t="shared" si="0"/>
        <v>11876.692142857142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78</v>
      </c>
      <c r="D13" s="20" t="s">
        <v>68</v>
      </c>
      <c r="E13" s="20"/>
      <c r="F13" s="20" t="s">
        <v>70</v>
      </c>
      <c r="G13" s="20">
        <v>518329423</v>
      </c>
      <c r="H13" s="20" t="s">
        <v>74</v>
      </c>
      <c r="I13" s="21">
        <f>1399400-56313.36</f>
        <v>1343086.64</v>
      </c>
      <c r="K13" s="21">
        <f t="shared" si="2"/>
        <v>143902.13999999998</v>
      </c>
      <c r="L13" s="27">
        <f>I13-K13</f>
        <v>1199184.5</v>
      </c>
      <c r="M13" s="33">
        <f>I13/112</f>
        <v>11991.844999999999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518336621</v>
      </c>
      <c r="H14" s="20" t="s">
        <v>74</v>
      </c>
      <c r="I14" s="38">
        <f>1404232-56464.36</f>
        <v>1347767.64</v>
      </c>
      <c r="K14" s="21">
        <f t="shared" si="2"/>
        <v>144403.67571428569</v>
      </c>
      <c r="L14" s="27">
        <f t="shared" si="3"/>
        <v>1203363.9642857141</v>
      </c>
      <c r="M14" s="33">
        <f t="shared" si="0"/>
        <v>12033.639642857142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518341441</v>
      </c>
      <c r="H15" s="20" t="s">
        <v>74</v>
      </c>
      <c r="I15" s="21">
        <f>1232820-49636.85</f>
        <v>1183183.1499999999</v>
      </c>
      <c r="K15" s="21">
        <f t="shared" si="2"/>
        <v>126769.6232142857</v>
      </c>
      <c r="L15" s="27">
        <f>I15-K15</f>
        <v>1056413.5267857141</v>
      </c>
      <c r="M15" s="33">
        <f>I15/112</f>
        <v>10564.135267857142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v>518341067</v>
      </c>
      <c r="H16" s="20" t="s">
        <v>74</v>
      </c>
      <c r="I16" s="21">
        <f>154728-19963.74</f>
        <v>134764.26</v>
      </c>
      <c r="K16" s="21">
        <f t="shared" si="2"/>
        <v>14439.027857142859</v>
      </c>
      <c r="L16" s="27">
        <f t="shared" si="3"/>
        <v>120325.23214285714</v>
      </c>
      <c r="M16" s="33">
        <f t="shared" si="0"/>
        <v>1203.2523214285716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80</v>
      </c>
      <c r="D17" s="20" t="s">
        <v>68</v>
      </c>
      <c r="E17" s="20"/>
      <c r="F17" s="20" t="s">
        <v>70</v>
      </c>
      <c r="G17" s="20">
        <f>518341060</f>
        <v>518341060</v>
      </c>
      <c r="H17" s="20" t="s">
        <v>74</v>
      </c>
      <c r="I17" s="21">
        <f>794772-176047.41</f>
        <v>618724.59</v>
      </c>
      <c r="K17" s="21">
        <f t="shared" si="2"/>
        <v>66291.920357142852</v>
      </c>
      <c r="L17" s="27">
        <f t="shared" si="3"/>
        <v>552432.66964285716</v>
      </c>
      <c r="M17" s="33">
        <f t="shared" si="0"/>
        <v>5524.3266964285713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80</v>
      </c>
      <c r="D18" s="20" t="s">
        <v>68</v>
      </c>
      <c r="E18" s="20"/>
      <c r="F18" s="20" t="s">
        <v>70</v>
      </c>
      <c r="G18" s="20">
        <v>518341429</v>
      </c>
      <c r="H18" s="20" t="s">
        <v>74</v>
      </c>
      <c r="I18" s="21">
        <f>44822-3731.76</f>
        <v>41090.239999999998</v>
      </c>
      <c r="K18" s="21">
        <f t="shared" si="2"/>
        <v>4402.5257142857135</v>
      </c>
      <c r="L18" s="27">
        <f t="shared" si="3"/>
        <v>36687.714285714283</v>
      </c>
      <c r="M18" s="33">
        <f t="shared" si="0"/>
        <v>366.87714285714281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11710193.92</v>
      </c>
      <c r="K32" s="14">
        <f>SUM(K7:K31)</f>
        <v>1254663.6342857142</v>
      </c>
      <c r="L32" s="14">
        <f>SUM(L7:L31)</f>
        <v>10455530.285714285</v>
      </c>
      <c r="M32" s="36">
        <f>SUM(M7:M31)</f>
        <v>104555.30285714287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76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2026-01-31T04:43:50Z</dcterms:modified>
</cp:coreProperties>
</file>