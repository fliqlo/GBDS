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525E89DE-EE86-48D0-ACFE-4E44C09667F3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JANUARY" sheetId="6" r:id="rId2"/>
  </sheets>
  <definedNames>
    <definedName name="_xlnm.Print_Area" localSheetId="1">'PE, JANUARY'!#REF!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6" l="1"/>
  <c r="I8" i="6"/>
  <c r="I7" i="6" l="1"/>
  <c r="M40" i="6" l="1"/>
  <c r="M65" i="6" s="1"/>
  <c r="M41" i="6"/>
  <c r="K41" i="6" s="1"/>
  <c r="L41" i="6" s="1"/>
  <c r="M42" i="6"/>
  <c r="K42" i="6" s="1"/>
  <c r="L42" i="6" s="1"/>
  <c r="K43" i="6"/>
  <c r="L43" i="6" s="1"/>
  <c r="M43" i="6"/>
  <c r="M44" i="6"/>
  <c r="K44" i="6" s="1"/>
  <c r="L44" i="6" s="1"/>
  <c r="K45" i="6"/>
  <c r="L45" i="6" s="1"/>
  <c r="M45" i="6"/>
  <c r="K46" i="6"/>
  <c r="L46" i="6" s="1"/>
  <c r="M46" i="6"/>
  <c r="K47" i="6"/>
  <c r="L47" i="6" s="1"/>
  <c r="M47" i="6"/>
  <c r="M48" i="6"/>
  <c r="K48" i="6" s="1"/>
  <c r="L48" i="6" s="1"/>
  <c r="M49" i="6"/>
  <c r="K49" i="6" s="1"/>
  <c r="L49" i="6" s="1"/>
  <c r="M50" i="6"/>
  <c r="K50" i="6" s="1"/>
  <c r="L50" i="6" s="1"/>
  <c r="K51" i="6"/>
  <c r="L51" i="6"/>
  <c r="M51" i="6"/>
  <c r="K52" i="6"/>
  <c r="L52" i="6"/>
  <c r="M52" i="6"/>
  <c r="M53" i="6"/>
  <c r="K53" i="6" s="1"/>
  <c r="L53" i="6" s="1"/>
  <c r="K54" i="6"/>
  <c r="L54" i="6" s="1"/>
  <c r="M54" i="6"/>
  <c r="M55" i="6"/>
  <c r="K55" i="6" s="1"/>
  <c r="L55" i="6" s="1"/>
  <c r="M56" i="6"/>
  <c r="K56" i="6" s="1"/>
  <c r="L56" i="6" s="1"/>
  <c r="M57" i="6"/>
  <c r="K57" i="6" s="1"/>
  <c r="L57" i="6" s="1"/>
  <c r="M58" i="6"/>
  <c r="K58" i="6" s="1"/>
  <c r="L58" i="6" s="1"/>
  <c r="K59" i="6"/>
  <c r="L59" i="6"/>
  <c r="M59" i="6"/>
  <c r="I65" i="6"/>
  <c r="K40" i="6" l="1"/>
  <c r="M27" i="6"/>
  <c r="K27" i="6" s="1"/>
  <c r="L27" i="6" s="1"/>
  <c r="K65" i="6" l="1"/>
  <c r="L40" i="6"/>
  <c r="L65" i="6" s="1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M7" i="6" l="1"/>
  <c r="K7" i="6" s="1"/>
  <c r="L7" i="6" l="1"/>
  <c r="M8" i="6"/>
  <c r="K8" i="6" s="1"/>
  <c r="L8" i="6" s="1"/>
  <c r="M9" i="6"/>
  <c r="K9" i="6" s="1"/>
  <c r="L9" i="6" s="1"/>
  <c r="M10" i="6"/>
  <c r="K10" i="6" s="1"/>
  <c r="L10" i="6" s="1"/>
  <c r="M11" i="6"/>
  <c r="K11" i="6" s="1"/>
  <c r="L11" i="6" s="1"/>
  <c r="M12" i="6"/>
  <c r="K12" i="6" s="1"/>
  <c r="L12" i="6" s="1"/>
  <c r="M13" i="6"/>
  <c r="K13" i="6" s="1"/>
  <c r="L13" i="6" s="1"/>
  <c r="M14" i="6"/>
  <c r="K14" i="6" s="1"/>
  <c r="L14" i="6" s="1"/>
  <c r="M15" i="6"/>
  <c r="K15" i="6" s="1"/>
  <c r="L15" i="6" s="1"/>
  <c r="M16" i="6"/>
  <c r="K16" i="6" s="1"/>
  <c r="L16" i="6" s="1"/>
  <c r="M17" i="6"/>
  <c r="K17" i="6" s="1"/>
  <c r="L17" i="6" s="1"/>
  <c r="M18" i="6"/>
  <c r="K18" i="6" s="1"/>
  <c r="L18" i="6" s="1"/>
  <c r="M19" i="6"/>
  <c r="K19" i="6" s="1"/>
  <c r="L19" i="6" s="1"/>
  <c r="M20" i="6"/>
  <c r="K20" i="6" s="1"/>
  <c r="L20" i="6" s="1"/>
  <c r="M21" i="6"/>
  <c r="K21" i="6" s="1"/>
  <c r="L21" i="6" s="1"/>
  <c r="M22" i="6"/>
  <c r="K22" i="6" s="1"/>
  <c r="L22" i="6" s="1"/>
  <c r="M23" i="6"/>
  <c r="K23" i="6" s="1"/>
  <c r="L23" i="6" s="1"/>
  <c r="M24" i="6"/>
  <c r="K24" i="6" s="1"/>
  <c r="L24" i="6" s="1"/>
  <c r="M25" i="6"/>
  <c r="K25" i="6" s="1"/>
  <c r="L25" i="6" s="1"/>
  <c r="M26" i="6"/>
  <c r="K26" i="6" s="1"/>
  <c r="L26" i="6" s="1"/>
  <c r="M32" i="6" l="1"/>
  <c r="L32" i="6" l="1"/>
  <c r="K32" i="6"/>
  <c r="I32" i="6"/>
  <c r="H59" i="4" l="1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</calcChain>
</file>

<file path=xl/sharedStrings.xml><?xml version="1.0" encoding="utf-8"?>
<sst xmlns="http://schemas.openxmlformats.org/spreadsheetml/2006/main" count="251" uniqueCount="76">
  <si>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</si>
  <si>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</si>
  <si>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</si>
  <si>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</si>
  <si>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</si>
  <si>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</si>
  <si>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</si>
  <si>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</si>
  <si>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</si>
  <si>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</si>
  <si>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</si>
  <si>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</si>
  <si>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</si>
  <si>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</si>
  <si>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</si>
  <si>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</si>
  <si>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</si>
  <si>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</si>
  <si>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</si>
  <si>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</si>
  <si>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</si>
  <si>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</si>
  <si>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</si>
  <si>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</si>
  <si>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</si>
  <si>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</si>
  <si>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</si>
  <si>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</si>
  <si>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</si>
  <si>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</si>
  <si>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</si>
  <si>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</si>
  <si>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</si>
  <si>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</si>
  <si>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</si>
  <si>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</si>
  <si>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</si>
  <si>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</si>
  <si>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</si>
  <si>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</si>
  <si>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</si>
  <si>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</si>
  <si>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</si>
  <si>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</si>
  <si>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</si>
  <si>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</si>
  <si>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</si>
  <si>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</si>
  <si>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</si>
  <si>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</si>
  <si>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</si>
  <si>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</si>
  <si>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</si>
  <si>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</si>
  <si>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</si>
  <si>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</si>
  <si>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</si>
  <si>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</si>
  <si>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</si>
  <si>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</si>
  <si>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</si>
  <si>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</si>
  <si>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</si>
  <si>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</si>
  <si>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</si>
  <si>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</si>
  <si>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</si>
  <si>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</si>
  <si>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</si>
  <si>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</si>
  <si>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</si>
  <si>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</si>
  <si>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</si>
  <si>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</si>
  <si>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166-562-025-0000</t>
  </si>
  <si>
    <t>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</si>
</sst>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4" fontId="0" fillId="0" borderId="0" xfId="0" applyNumberFormat="1" applyAlignment="1" applyProtection="1">
      <alignment horizontal="center"/>
    </xf>
    <xf numFmtId="164" fontId="9" fillId="2" borderId="0" xfId="0" applyNumberFormat="1" applyFont="1" applyFill="1" applyProtection="1"/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O65"/>
  <sheetViews>
    <sheetView tabSelected="1" zoomScaleNormal="100" workbookViewId="0">
      <selection activeCell="I10" sqref="I10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40" bestFit="1" customWidth="1"/>
    <col min="8" max="8" width="22" bestFit="1" customWidth="1"/>
    <col min="9" max="9" width="14" customWidth="1"/>
    <col min="10" max="10" width="0" hidden="1" customWidth="1"/>
    <col min="11" max="12" width="14" customWidth="1"/>
    <col min="13" max="13" width="14" style="37" customWidth="1"/>
    <col min="14" max="14" width="13.140625" bestFit="1" customWidth="1"/>
    <col min="15" max="15" width="11.28515625" bestFit="1" customWidth="1"/>
  </cols>
  <sheetData>
    <row r="1" spans="1:15" x14ac:dyDescent="0.25">
      <c r="C1" s="3" t="s">
        <v>67</v>
      </c>
      <c r="D1" s="4"/>
      <c r="E1" s="4"/>
      <c r="F1" s="1"/>
      <c r="G1" s="1"/>
      <c r="H1" s="1"/>
      <c r="I1" s="1"/>
      <c r="K1" s="1"/>
      <c r="L1" s="1"/>
      <c r="M1" s="28"/>
    </row>
    <row r="2" spans="1:15" x14ac:dyDescent="0.25">
      <c r="C2" s="2"/>
      <c r="D2" s="2"/>
      <c r="E2" s="2"/>
      <c r="F2" s="2"/>
      <c r="G2" s="2"/>
      <c r="H2" s="2"/>
      <c r="I2" s="2"/>
      <c r="K2" s="2"/>
      <c r="L2" s="2"/>
      <c r="M2" s="29"/>
    </row>
    <row r="3" spans="1:15" ht="15.75" x14ac:dyDescent="0.25">
      <c r="C3" s="5" t="s">
        <v>1</v>
      </c>
      <c r="D3" s="6"/>
      <c r="E3" s="6"/>
      <c r="F3" s="7" t="s">
        <v>75</v>
      </c>
      <c r="G3" s="1"/>
      <c r="H3" s="1"/>
      <c r="I3" s="1"/>
      <c r="K3" s="1"/>
      <c r="L3" s="1"/>
      <c r="M3" s="28"/>
    </row>
    <row r="4" spans="1:15" x14ac:dyDescent="0.25">
      <c r="C4" s="8"/>
      <c r="D4" s="8"/>
      <c r="E4" s="8"/>
      <c r="F4" s="8"/>
      <c r="G4" s="8"/>
      <c r="H4" s="8"/>
      <c r="I4" s="8"/>
      <c r="K4" s="8"/>
      <c r="L4" s="8"/>
      <c r="M4" s="30"/>
    </row>
    <row r="5" spans="1:15" x14ac:dyDescent="0.25">
      <c r="C5" s="9"/>
      <c r="D5" s="9"/>
      <c r="E5" s="9"/>
      <c r="F5" s="1"/>
      <c r="G5" s="9" t="s">
        <v>2</v>
      </c>
      <c r="H5" s="9"/>
      <c r="I5" s="10" t="s">
        <v>3</v>
      </c>
      <c r="K5" s="10"/>
      <c r="L5" s="10" t="s">
        <v>4</v>
      </c>
      <c r="M5" s="31"/>
    </row>
    <row r="6" spans="1:15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10" t="s">
        <v>11</v>
      </c>
      <c r="K6" s="10" t="s">
        <v>12</v>
      </c>
      <c r="L6" s="10" t="s">
        <v>13</v>
      </c>
      <c r="M6" s="32">
        <v>2307</v>
      </c>
    </row>
    <row r="7" spans="1:15" x14ac:dyDescent="0.25">
      <c r="A7">
        <v>1</v>
      </c>
      <c r="B7" s="23">
        <v>1</v>
      </c>
      <c r="C7" s="19">
        <v>46235</v>
      </c>
      <c r="D7" s="20" t="s">
        <v>68</v>
      </c>
      <c r="E7" s="12"/>
      <c r="F7" s="20" t="s">
        <v>70</v>
      </c>
      <c r="G7" s="20">
        <v>518277942</v>
      </c>
      <c r="H7" s="20" t="s">
        <v>74</v>
      </c>
      <c r="I7" s="21">
        <f>1353132-56255.04</f>
        <v>1296876.96</v>
      </c>
      <c r="K7" s="21">
        <f>M7*12</f>
        <v>138951.10285714286</v>
      </c>
      <c r="L7" s="27">
        <f>I7-K7</f>
        <v>1157925.857142857</v>
      </c>
      <c r="M7" s="33">
        <f>I7/112</f>
        <v>11579.258571428571</v>
      </c>
      <c r="N7" s="26"/>
      <c r="O7" s="26"/>
    </row>
    <row r="8" spans="1:15" x14ac:dyDescent="0.25">
      <c r="A8">
        <f>A7+1</f>
        <v>2</v>
      </c>
      <c r="B8" s="23">
        <f>B7+1</f>
        <v>2</v>
      </c>
      <c r="C8" s="19">
        <v>46266</v>
      </c>
      <c r="D8" s="20" t="s">
        <v>68</v>
      </c>
      <c r="E8" s="20"/>
      <c r="F8" s="20" t="s">
        <v>70</v>
      </c>
      <c r="G8" s="20">
        <v>518280920</v>
      </c>
      <c r="H8" s="20" t="s">
        <v>74</v>
      </c>
      <c r="I8" s="21">
        <f>1353132-56255.04</f>
        <v>1296876.96</v>
      </c>
      <c r="K8" s="21">
        <f>M8*12</f>
        <v>138951.10285714286</v>
      </c>
      <c r="L8" s="27">
        <f>I8-K8</f>
        <v>1157925.857142857</v>
      </c>
      <c r="M8" s="33">
        <f t="shared" ref="M8:M26" si="0">I8/112</f>
        <v>11579.258571428571</v>
      </c>
    </row>
    <row r="9" spans="1:15" x14ac:dyDescent="0.25">
      <c r="A9">
        <f t="shared" ref="A9:B27" si="1">A8+1</f>
        <v>3</v>
      </c>
      <c r="B9" s="23">
        <f t="shared" si="1"/>
        <v>3</v>
      </c>
      <c r="C9" s="19">
        <v>46266</v>
      </c>
      <c r="D9" s="20" t="s">
        <v>68</v>
      </c>
      <c r="E9" s="20"/>
      <c r="F9" s="20" t="s">
        <v>70</v>
      </c>
      <c r="G9" s="20">
        <v>518281307</v>
      </c>
      <c r="H9" s="20" t="s">
        <v>74</v>
      </c>
      <c r="I9" s="21">
        <f>543906-22612.32</f>
        <v>521293.68</v>
      </c>
      <c r="K9" s="21">
        <f t="shared" ref="K9:K26" si="2">M9*12</f>
        <v>55852.894285714283</v>
      </c>
      <c r="L9" s="27">
        <f t="shared" ref="L9:L26" si="3">I9-K9</f>
        <v>465440.78571428568</v>
      </c>
      <c r="M9" s="33">
        <f t="shared" si="0"/>
        <v>4654.4078571428572</v>
      </c>
    </row>
    <row r="10" spans="1:15" x14ac:dyDescent="0.25">
      <c r="A10">
        <f t="shared" si="1"/>
        <v>4</v>
      </c>
      <c r="B10" s="23">
        <f t="shared" si="1"/>
        <v>4</v>
      </c>
      <c r="C10" s="19"/>
      <c r="D10" s="20" t="s">
        <v>68</v>
      </c>
      <c r="E10" s="20"/>
      <c r="F10" s="20" t="s">
        <v>70</v>
      </c>
      <c r="G10" s="20"/>
      <c r="H10" s="20" t="s">
        <v>74</v>
      </c>
      <c r="I10" s="21"/>
      <c r="K10" s="21">
        <f t="shared" si="2"/>
        <v>0</v>
      </c>
      <c r="L10" s="27">
        <f t="shared" si="3"/>
        <v>0</v>
      </c>
      <c r="M10" s="33">
        <f t="shared" si="0"/>
        <v>0</v>
      </c>
    </row>
    <row r="11" spans="1:15" x14ac:dyDescent="0.25">
      <c r="A11">
        <f t="shared" si="1"/>
        <v>5</v>
      </c>
      <c r="B11" s="23">
        <f t="shared" si="1"/>
        <v>5</v>
      </c>
      <c r="C11" s="19"/>
      <c r="D11" s="20" t="s">
        <v>68</v>
      </c>
      <c r="E11" s="20"/>
      <c r="F11" s="20" t="s">
        <v>70</v>
      </c>
      <c r="G11" s="20"/>
      <c r="H11" s="20" t="s">
        <v>74</v>
      </c>
      <c r="I11" s="21"/>
      <c r="K11" s="21">
        <f t="shared" si="2"/>
        <v>0</v>
      </c>
      <c r="L11" s="27">
        <f t="shared" si="3"/>
        <v>0</v>
      </c>
      <c r="M11" s="33">
        <f t="shared" si="0"/>
        <v>0</v>
      </c>
    </row>
    <row r="12" spans="1:15" x14ac:dyDescent="0.25">
      <c r="A12">
        <f t="shared" si="1"/>
        <v>6</v>
      </c>
      <c r="B12" s="23">
        <f t="shared" si="1"/>
        <v>6</v>
      </c>
      <c r="C12" s="19"/>
      <c r="D12" s="20" t="s">
        <v>68</v>
      </c>
      <c r="E12" s="20"/>
      <c r="F12" s="20" t="s">
        <v>70</v>
      </c>
      <c r="G12" s="20"/>
      <c r="H12" s="20" t="s">
        <v>74</v>
      </c>
      <c r="I12" s="21"/>
      <c r="K12" s="21">
        <f t="shared" si="2"/>
        <v>0</v>
      </c>
      <c r="L12" s="27">
        <f t="shared" si="3"/>
        <v>0</v>
      </c>
      <c r="M12" s="33">
        <f t="shared" si="0"/>
        <v>0</v>
      </c>
    </row>
    <row r="13" spans="1:15" x14ac:dyDescent="0.25">
      <c r="A13">
        <f t="shared" si="1"/>
        <v>7</v>
      </c>
      <c r="B13" s="23">
        <f t="shared" si="1"/>
        <v>7</v>
      </c>
      <c r="C13" s="19"/>
      <c r="D13" s="20" t="s">
        <v>68</v>
      </c>
      <c r="E13" s="20"/>
      <c r="F13" s="20" t="s">
        <v>70</v>
      </c>
      <c r="G13" s="20"/>
      <c r="H13" s="20" t="s">
        <v>74</v>
      </c>
      <c r="I13" s="21"/>
      <c r="K13" s="21">
        <f t="shared" si="2"/>
        <v>0</v>
      </c>
      <c r="L13" s="27">
        <f>I13-K13</f>
        <v>0</v>
      </c>
      <c r="M13" s="33">
        <f>I13/112</f>
        <v>0</v>
      </c>
    </row>
    <row r="14" spans="1:15" x14ac:dyDescent="0.25">
      <c r="A14">
        <f t="shared" si="1"/>
        <v>8</v>
      </c>
      <c r="B14" s="23">
        <f t="shared" si="1"/>
        <v>8</v>
      </c>
      <c r="C14" s="19"/>
      <c r="D14" s="20" t="s">
        <v>68</v>
      </c>
      <c r="E14" s="20"/>
      <c r="F14" s="20" t="s">
        <v>70</v>
      </c>
      <c r="G14" s="20"/>
      <c r="H14" s="20" t="s">
        <v>74</v>
      </c>
      <c r="I14" s="38"/>
      <c r="K14" s="21">
        <f t="shared" si="2"/>
        <v>0</v>
      </c>
      <c r="L14" s="27">
        <f t="shared" si="3"/>
        <v>0</v>
      </c>
      <c r="M14" s="33">
        <f t="shared" si="0"/>
        <v>0</v>
      </c>
    </row>
    <row r="15" spans="1:15" x14ac:dyDescent="0.25">
      <c r="A15">
        <f t="shared" si="1"/>
        <v>9</v>
      </c>
      <c r="B15" s="23">
        <f t="shared" si="1"/>
        <v>9</v>
      </c>
      <c r="C15" s="19"/>
      <c r="D15" s="20" t="s">
        <v>68</v>
      </c>
      <c r="E15" s="20"/>
      <c r="F15" s="20" t="s">
        <v>70</v>
      </c>
      <c r="G15" s="20"/>
      <c r="H15" s="20" t="s">
        <v>74</v>
      </c>
      <c r="I15" s="21"/>
      <c r="K15" s="21">
        <f t="shared" si="2"/>
        <v>0</v>
      </c>
      <c r="L15" s="27">
        <f>I15-K15</f>
        <v>0</v>
      </c>
      <c r="M15" s="33">
        <f>I15/112</f>
        <v>0</v>
      </c>
    </row>
    <row r="16" spans="1:15" x14ac:dyDescent="0.25">
      <c r="A16">
        <f t="shared" si="1"/>
        <v>10</v>
      </c>
      <c r="B16" s="23">
        <f t="shared" si="1"/>
        <v>10</v>
      </c>
      <c r="C16" s="19"/>
      <c r="D16" s="20" t="s">
        <v>68</v>
      </c>
      <c r="E16" s="20"/>
      <c r="F16" s="20" t="s">
        <v>70</v>
      </c>
      <c r="G16" s="20"/>
      <c r="H16" s="20" t="s">
        <v>74</v>
      </c>
      <c r="I16" s="21"/>
      <c r="K16" s="21">
        <f t="shared" si="2"/>
        <v>0</v>
      </c>
      <c r="L16" s="27">
        <f t="shared" si="3"/>
        <v>0</v>
      </c>
      <c r="M16" s="33">
        <f t="shared" si="0"/>
        <v>0</v>
      </c>
    </row>
    <row r="17" spans="1:13" x14ac:dyDescent="0.25">
      <c r="A17">
        <f t="shared" si="1"/>
        <v>11</v>
      </c>
      <c r="B17" s="23">
        <f t="shared" si="1"/>
        <v>11</v>
      </c>
      <c r="C17" s="19"/>
      <c r="D17" s="20" t="s">
        <v>68</v>
      </c>
      <c r="E17" s="20"/>
      <c r="F17" s="20" t="s">
        <v>70</v>
      </c>
      <c r="G17" s="20"/>
      <c r="H17" s="20" t="s">
        <v>74</v>
      </c>
      <c r="I17" s="21"/>
      <c r="K17" s="21">
        <f t="shared" si="2"/>
        <v>0</v>
      </c>
      <c r="L17" s="27">
        <f t="shared" si="3"/>
        <v>0</v>
      </c>
      <c r="M17" s="33">
        <f t="shared" si="0"/>
        <v>0</v>
      </c>
    </row>
    <row r="18" spans="1:13" x14ac:dyDescent="0.25">
      <c r="A18">
        <f t="shared" si="1"/>
        <v>12</v>
      </c>
      <c r="B18" s="23">
        <f t="shared" si="1"/>
        <v>12</v>
      </c>
      <c r="C18" s="19"/>
      <c r="D18" s="20" t="s">
        <v>68</v>
      </c>
      <c r="E18" s="20"/>
      <c r="F18" s="20" t="s">
        <v>70</v>
      </c>
      <c r="G18" s="20"/>
      <c r="H18" s="20" t="s">
        <v>74</v>
      </c>
      <c r="I18" s="21"/>
      <c r="K18" s="21">
        <f t="shared" si="2"/>
        <v>0</v>
      </c>
      <c r="L18" s="27">
        <f t="shared" si="3"/>
        <v>0</v>
      </c>
      <c r="M18" s="33">
        <f t="shared" si="0"/>
        <v>0</v>
      </c>
    </row>
    <row r="19" spans="1:13" x14ac:dyDescent="0.25">
      <c r="A19">
        <f t="shared" si="1"/>
        <v>13</v>
      </c>
      <c r="B19" s="23">
        <f t="shared" si="1"/>
        <v>13</v>
      </c>
      <c r="C19" s="19"/>
      <c r="D19" s="20" t="s">
        <v>68</v>
      </c>
      <c r="E19" s="20"/>
      <c r="F19" s="20" t="s">
        <v>70</v>
      </c>
      <c r="G19" s="20"/>
      <c r="H19" s="20" t="s">
        <v>74</v>
      </c>
      <c r="I19" s="21"/>
      <c r="K19" s="21">
        <f t="shared" si="2"/>
        <v>0</v>
      </c>
      <c r="L19" s="27">
        <f t="shared" si="3"/>
        <v>0</v>
      </c>
      <c r="M19" s="33">
        <f t="shared" si="0"/>
        <v>0</v>
      </c>
    </row>
    <row r="20" spans="1:13" x14ac:dyDescent="0.25">
      <c r="A20">
        <f t="shared" si="1"/>
        <v>14</v>
      </c>
      <c r="B20" s="23">
        <f t="shared" si="1"/>
        <v>14</v>
      </c>
      <c r="C20" s="19"/>
      <c r="D20" s="20" t="s">
        <v>68</v>
      </c>
      <c r="E20" s="20"/>
      <c r="F20" s="20" t="s">
        <v>70</v>
      </c>
      <c r="G20" s="20"/>
      <c r="H20" s="20" t="s">
        <v>74</v>
      </c>
      <c r="I20" s="21"/>
      <c r="K20" s="21">
        <f t="shared" si="2"/>
        <v>0</v>
      </c>
      <c r="L20" s="27">
        <f t="shared" si="3"/>
        <v>0</v>
      </c>
      <c r="M20" s="33">
        <f t="shared" si="0"/>
        <v>0</v>
      </c>
    </row>
    <row r="21" spans="1:13" x14ac:dyDescent="0.25">
      <c r="A21">
        <f t="shared" si="1"/>
        <v>15</v>
      </c>
      <c r="B21" s="23">
        <f t="shared" si="1"/>
        <v>15</v>
      </c>
      <c r="C21" s="19"/>
      <c r="D21" s="20" t="s">
        <v>68</v>
      </c>
      <c r="E21" s="20"/>
      <c r="F21" s="20" t="s">
        <v>70</v>
      </c>
      <c r="G21" s="20"/>
      <c r="H21" s="20" t="s">
        <v>74</v>
      </c>
      <c r="I21" s="21"/>
      <c r="K21" s="21">
        <f t="shared" si="2"/>
        <v>0</v>
      </c>
      <c r="L21" s="27">
        <f t="shared" si="3"/>
        <v>0</v>
      </c>
      <c r="M21" s="33">
        <f t="shared" si="0"/>
        <v>0</v>
      </c>
    </row>
    <row r="22" spans="1:13" x14ac:dyDescent="0.25">
      <c r="A22">
        <f t="shared" si="1"/>
        <v>16</v>
      </c>
      <c r="B22" s="23">
        <f t="shared" si="1"/>
        <v>16</v>
      </c>
      <c r="C22" s="19"/>
      <c r="D22" s="20" t="s">
        <v>68</v>
      </c>
      <c r="E22" s="20"/>
      <c r="F22" s="20" t="s">
        <v>70</v>
      </c>
      <c r="G22" s="20"/>
      <c r="H22" s="20" t="s">
        <v>74</v>
      </c>
      <c r="I22" s="21"/>
      <c r="K22" s="21">
        <f t="shared" si="2"/>
        <v>0</v>
      </c>
      <c r="L22" s="27">
        <f t="shared" si="3"/>
        <v>0</v>
      </c>
      <c r="M22" s="33">
        <f t="shared" si="0"/>
        <v>0</v>
      </c>
    </row>
    <row r="23" spans="1:13" x14ac:dyDescent="0.25">
      <c r="A23">
        <f t="shared" si="1"/>
        <v>17</v>
      </c>
      <c r="B23" s="23">
        <f t="shared" si="1"/>
        <v>17</v>
      </c>
      <c r="C23" s="19"/>
      <c r="D23" s="20" t="s">
        <v>68</v>
      </c>
      <c r="E23" s="20"/>
      <c r="F23" s="20" t="s">
        <v>70</v>
      </c>
      <c r="G23" s="20"/>
      <c r="H23" s="20" t="s">
        <v>74</v>
      </c>
      <c r="I23" s="21"/>
      <c r="K23" s="21">
        <f t="shared" si="2"/>
        <v>0</v>
      </c>
      <c r="L23" s="27">
        <f t="shared" si="3"/>
        <v>0</v>
      </c>
      <c r="M23" s="33">
        <f t="shared" si="0"/>
        <v>0</v>
      </c>
    </row>
    <row r="24" spans="1:13" x14ac:dyDescent="0.25">
      <c r="A24">
        <f t="shared" si="1"/>
        <v>18</v>
      </c>
      <c r="B24" s="23">
        <f t="shared" si="1"/>
        <v>18</v>
      </c>
      <c r="C24" s="19"/>
      <c r="D24" s="20" t="s">
        <v>68</v>
      </c>
      <c r="E24" s="20"/>
      <c r="F24" s="20" t="s">
        <v>70</v>
      </c>
      <c r="G24" s="20"/>
      <c r="H24" s="20" t="s">
        <v>74</v>
      </c>
      <c r="I24" s="21"/>
      <c r="K24" s="21">
        <f t="shared" si="2"/>
        <v>0</v>
      </c>
      <c r="L24" s="27">
        <f t="shared" si="3"/>
        <v>0</v>
      </c>
      <c r="M24" s="33">
        <f t="shared" si="0"/>
        <v>0</v>
      </c>
    </row>
    <row r="25" spans="1:13" x14ac:dyDescent="0.25">
      <c r="A25">
        <f t="shared" si="1"/>
        <v>19</v>
      </c>
      <c r="B25" s="23">
        <f t="shared" si="1"/>
        <v>19</v>
      </c>
      <c r="C25" s="19"/>
      <c r="D25" s="20" t="s">
        <v>68</v>
      </c>
      <c r="E25" s="20"/>
      <c r="F25" s="20" t="s">
        <v>70</v>
      </c>
      <c r="G25" s="20"/>
      <c r="H25" s="20" t="s">
        <v>74</v>
      </c>
      <c r="I25" s="21"/>
      <c r="K25" s="21">
        <f t="shared" si="2"/>
        <v>0</v>
      </c>
      <c r="L25" s="27">
        <f t="shared" si="3"/>
        <v>0</v>
      </c>
      <c r="M25" s="33">
        <f t="shared" si="0"/>
        <v>0</v>
      </c>
    </row>
    <row r="26" spans="1:13" x14ac:dyDescent="0.25">
      <c r="A26">
        <f t="shared" si="1"/>
        <v>20</v>
      </c>
      <c r="B26" s="23">
        <f t="shared" si="1"/>
        <v>20</v>
      </c>
      <c r="C26" s="19"/>
      <c r="D26" s="20" t="s">
        <v>68</v>
      </c>
      <c r="E26" s="20"/>
      <c r="F26" s="20" t="s">
        <v>70</v>
      </c>
      <c r="G26" s="20"/>
      <c r="H26" s="20" t="s">
        <v>74</v>
      </c>
      <c r="I26" s="21"/>
      <c r="K26" s="21">
        <f t="shared" si="2"/>
        <v>0</v>
      </c>
      <c r="L26" s="27">
        <f t="shared" si="3"/>
        <v>0</v>
      </c>
      <c r="M26" s="33">
        <f t="shared" si="0"/>
        <v>0</v>
      </c>
    </row>
    <row r="27" spans="1:13" x14ac:dyDescent="0.25">
      <c r="A27">
        <f t="shared" si="1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74</v>
      </c>
      <c r="I27" s="21"/>
      <c r="K27" s="21">
        <f t="shared" ref="K27" si="4">M27*12</f>
        <v>0</v>
      </c>
      <c r="L27" s="27">
        <f t="shared" ref="L27" si="5">I27-K27</f>
        <v>0</v>
      </c>
      <c r="M27" s="33">
        <f t="shared" ref="M27" si="6">I27/112</f>
        <v>0</v>
      </c>
    </row>
    <row r="28" spans="1:13" x14ac:dyDescent="0.25">
      <c r="G28"/>
      <c r="M28" s="34"/>
    </row>
    <row r="29" spans="1:13" x14ac:dyDescent="0.25">
      <c r="G29"/>
      <c r="M29" s="34"/>
    </row>
    <row r="30" spans="1:13" x14ac:dyDescent="0.25">
      <c r="G30"/>
      <c r="M30" s="34"/>
    </row>
    <row r="31" spans="1:13" x14ac:dyDescent="0.25">
      <c r="C31" s="23"/>
      <c r="D31" s="23"/>
      <c r="E31" s="23"/>
      <c r="F31" s="23"/>
      <c r="G31" s="23"/>
      <c r="H31" s="23"/>
      <c r="I31" s="24"/>
      <c r="K31" s="23"/>
      <c r="L31" s="23"/>
      <c r="M31" s="35"/>
    </row>
    <row r="32" spans="1:13" x14ac:dyDescent="0.25">
      <c r="G32"/>
      <c r="I32" s="14">
        <f>SUM(I7:I31)</f>
        <v>3115047.6</v>
      </c>
      <c r="K32" s="14">
        <f>SUM(K7:K31)</f>
        <v>333755.09999999998</v>
      </c>
      <c r="L32" s="14">
        <f>SUM(L7:L31)</f>
        <v>2781292.5</v>
      </c>
      <c r="M32" s="36">
        <f>SUM(M7:M31)</f>
        <v>27812.924999999999</v>
      </c>
    </row>
    <row r="33" spans="1:13" x14ac:dyDescent="0.25">
      <c r="G33"/>
    </row>
    <row r="34" spans="1:13" x14ac:dyDescent="0.25">
      <c r="C34" s="3" t="s">
        <v>67</v>
      </c>
      <c r="D34" s="4"/>
      <c r="E34" s="4"/>
      <c r="F34" s="1"/>
      <c r="G34" s="1"/>
      <c r="H34" s="1"/>
      <c r="I34" s="1"/>
      <c r="K34" s="1"/>
      <c r="L34" s="1"/>
      <c r="M34" s="28"/>
    </row>
    <row r="35" spans="1:13" x14ac:dyDescent="0.25">
      <c r="C35" s="2"/>
      <c r="D35" s="2"/>
      <c r="E35" s="2"/>
      <c r="F35" s="2"/>
      <c r="G35" s="2"/>
      <c r="H35" s="2"/>
      <c r="I35" s="2"/>
      <c r="K35" s="2"/>
      <c r="L35" s="2"/>
      <c r="M35" s="29"/>
    </row>
    <row r="36" spans="1:13" ht="15.75" x14ac:dyDescent="0.25">
      <c r="C36" s="5" t="s">
        <v>14</v>
      </c>
      <c r="D36" s="6"/>
      <c r="E36" s="6"/>
      <c r="F36" s="7" t="s">
        <v>75</v>
      </c>
      <c r="G36" s="1"/>
      <c r="H36" s="1"/>
      <c r="I36" s="1"/>
      <c r="K36" s="1"/>
      <c r="L36" s="1"/>
      <c r="M36" s="28"/>
    </row>
    <row r="37" spans="1:13" x14ac:dyDescent="0.25">
      <c r="C37" s="8"/>
      <c r="D37" s="8"/>
      <c r="E37" s="8"/>
      <c r="F37" s="8"/>
      <c r="G37" s="8"/>
      <c r="H37" s="8"/>
      <c r="I37" s="8"/>
      <c r="K37" s="8"/>
      <c r="L37" s="8"/>
      <c r="M37" s="30"/>
    </row>
    <row r="38" spans="1:13" x14ac:dyDescent="0.25">
      <c r="C38" s="9"/>
      <c r="D38" s="9"/>
      <c r="E38" s="9"/>
      <c r="F38" s="1"/>
      <c r="G38" s="9" t="s">
        <v>2</v>
      </c>
      <c r="H38" s="9"/>
      <c r="I38" s="10" t="s">
        <v>3</v>
      </c>
      <c r="K38" s="10"/>
      <c r="L38" s="10" t="s">
        <v>4</v>
      </c>
      <c r="M38" s="31"/>
    </row>
    <row r="39" spans="1:13" x14ac:dyDescent="0.25">
      <c r="A39" t="s">
        <v>73</v>
      </c>
      <c r="C39" s="9" t="s">
        <v>5</v>
      </c>
      <c r="D39" s="9" t="s">
        <v>6</v>
      </c>
      <c r="E39" s="9" t="s">
        <v>7</v>
      </c>
      <c r="F39" s="9" t="s">
        <v>8</v>
      </c>
      <c r="G39" s="9" t="s">
        <v>9</v>
      </c>
      <c r="H39" s="9" t="s">
        <v>10</v>
      </c>
      <c r="I39" s="10" t="s">
        <v>11</v>
      </c>
      <c r="K39" s="10" t="s">
        <v>12</v>
      </c>
      <c r="L39" s="10" t="s">
        <v>13</v>
      </c>
      <c r="M39" s="32">
        <v>2307</v>
      </c>
    </row>
    <row r="40" spans="1:13" x14ac:dyDescent="0.25">
      <c r="A40">
        <v>2</v>
      </c>
      <c r="C40" s="19"/>
      <c r="D40" s="20"/>
      <c r="E40" s="12"/>
      <c r="F40" s="20"/>
      <c r="G40" s="39"/>
      <c r="H40" s="20"/>
      <c r="I40" s="21"/>
      <c r="K40" s="21">
        <f t="shared" ref="K40:K59" si="7">M40*12</f>
        <v>0</v>
      </c>
      <c r="L40" s="27">
        <f>I40-K40</f>
        <v>0</v>
      </c>
      <c r="M40" s="33">
        <f t="shared" ref="M40:M59" si="8">I40/112</f>
        <v>0</v>
      </c>
    </row>
    <row r="41" spans="1:13" x14ac:dyDescent="0.25">
      <c r="A41">
        <v>3</v>
      </c>
      <c r="C41" s="19"/>
      <c r="D41" s="20"/>
      <c r="E41" s="20"/>
      <c r="F41" s="20"/>
      <c r="G41" s="39"/>
      <c r="H41" s="20"/>
      <c r="I41" s="21"/>
      <c r="K41" s="21">
        <f t="shared" si="7"/>
        <v>0</v>
      </c>
      <c r="L41" s="27">
        <f t="shared" ref="L41:L59" si="9">I41-K41</f>
        <v>0</v>
      </c>
      <c r="M41" s="33">
        <f t="shared" si="8"/>
        <v>0</v>
      </c>
    </row>
    <row r="42" spans="1:13" x14ac:dyDescent="0.25">
      <c r="A42">
        <v>4</v>
      </c>
      <c r="C42" s="19"/>
      <c r="D42" s="20"/>
      <c r="E42" s="20"/>
      <c r="F42" s="20"/>
      <c r="G42" s="39"/>
      <c r="H42" s="20"/>
      <c r="I42" s="21"/>
      <c r="K42" s="21">
        <f t="shared" si="7"/>
        <v>0</v>
      </c>
      <c r="L42" s="27">
        <f t="shared" si="9"/>
        <v>0</v>
      </c>
      <c r="M42" s="33">
        <f t="shared" si="8"/>
        <v>0</v>
      </c>
    </row>
    <row r="43" spans="1:13" x14ac:dyDescent="0.25">
      <c r="A43">
        <v>5</v>
      </c>
      <c r="C43" s="19"/>
      <c r="D43" s="20"/>
      <c r="E43" s="20"/>
      <c r="F43" s="20"/>
      <c r="G43" s="39"/>
      <c r="H43" s="20"/>
      <c r="I43" s="21"/>
      <c r="K43" s="21">
        <f t="shared" si="7"/>
        <v>0</v>
      </c>
      <c r="L43" s="27">
        <f t="shared" si="9"/>
        <v>0</v>
      </c>
      <c r="M43" s="33">
        <f t="shared" si="8"/>
        <v>0</v>
      </c>
    </row>
    <row r="44" spans="1:13" x14ac:dyDescent="0.25">
      <c r="A44">
        <v>6</v>
      </c>
      <c r="C44" s="19"/>
      <c r="D44" s="20"/>
      <c r="E44" s="20"/>
      <c r="F44" s="20"/>
      <c r="G44" s="39"/>
      <c r="H44" s="20"/>
      <c r="I44" s="21"/>
      <c r="K44" s="21">
        <f t="shared" si="7"/>
        <v>0</v>
      </c>
      <c r="L44" s="27">
        <f t="shared" si="9"/>
        <v>0</v>
      </c>
      <c r="M44" s="33">
        <f t="shared" si="8"/>
        <v>0</v>
      </c>
    </row>
    <row r="45" spans="1:13" x14ac:dyDescent="0.25">
      <c r="A45">
        <v>7</v>
      </c>
      <c r="C45" s="19"/>
      <c r="D45" s="20"/>
      <c r="E45" s="20"/>
      <c r="F45" s="20"/>
      <c r="G45" s="39"/>
      <c r="H45" s="20"/>
      <c r="I45" s="21"/>
      <c r="K45" s="21">
        <f t="shared" si="7"/>
        <v>0</v>
      </c>
      <c r="L45" s="27">
        <f t="shared" si="9"/>
        <v>0</v>
      </c>
      <c r="M45" s="33">
        <f t="shared" si="8"/>
        <v>0</v>
      </c>
    </row>
    <row r="46" spans="1:13" x14ac:dyDescent="0.25">
      <c r="A46">
        <v>8</v>
      </c>
      <c r="C46" s="19"/>
      <c r="D46" s="20"/>
      <c r="E46" s="20"/>
      <c r="F46" s="20"/>
      <c r="G46" s="39"/>
      <c r="H46" s="20"/>
      <c r="I46" s="21"/>
      <c r="K46" s="21">
        <f t="shared" si="7"/>
        <v>0</v>
      </c>
      <c r="L46" s="27">
        <f t="shared" si="9"/>
        <v>0</v>
      </c>
      <c r="M46" s="33">
        <f t="shared" si="8"/>
        <v>0</v>
      </c>
    </row>
    <row r="47" spans="1:13" x14ac:dyDescent="0.25">
      <c r="A47">
        <v>9</v>
      </c>
      <c r="C47" s="19"/>
      <c r="D47" s="20"/>
      <c r="E47" s="20"/>
      <c r="F47" s="20"/>
      <c r="G47" s="39"/>
      <c r="H47" s="20"/>
      <c r="I47" s="21"/>
      <c r="K47" s="21">
        <f t="shared" si="7"/>
        <v>0</v>
      </c>
      <c r="L47" s="27">
        <f t="shared" si="9"/>
        <v>0</v>
      </c>
      <c r="M47" s="33">
        <f t="shared" si="8"/>
        <v>0</v>
      </c>
    </row>
    <row r="48" spans="1:13" x14ac:dyDescent="0.25">
      <c r="A48">
        <v>10</v>
      </c>
      <c r="C48" s="19"/>
      <c r="D48" s="20"/>
      <c r="E48" s="20"/>
      <c r="F48" s="20"/>
      <c r="G48" s="39"/>
      <c r="H48" s="20"/>
      <c r="I48" s="21"/>
      <c r="K48" s="21">
        <f t="shared" si="7"/>
        <v>0</v>
      </c>
      <c r="L48" s="27">
        <f t="shared" si="9"/>
        <v>0</v>
      </c>
      <c r="M48" s="33">
        <f t="shared" si="8"/>
        <v>0</v>
      </c>
    </row>
    <row r="49" spans="1:13" x14ac:dyDescent="0.25">
      <c r="A49">
        <v>11</v>
      </c>
      <c r="C49" s="19"/>
      <c r="D49" s="20"/>
      <c r="E49" s="20"/>
      <c r="F49" s="20"/>
      <c r="G49" s="39"/>
      <c r="H49" s="20"/>
      <c r="I49" s="21"/>
      <c r="K49" s="21">
        <f t="shared" si="7"/>
        <v>0</v>
      </c>
      <c r="L49" s="27">
        <f t="shared" si="9"/>
        <v>0</v>
      </c>
      <c r="M49" s="33">
        <f t="shared" si="8"/>
        <v>0</v>
      </c>
    </row>
    <row r="50" spans="1:13" x14ac:dyDescent="0.25">
      <c r="A50">
        <v>12</v>
      </c>
      <c r="C50" s="19"/>
      <c r="D50" s="20"/>
      <c r="E50" s="20"/>
      <c r="F50" s="20"/>
      <c r="G50" s="39"/>
      <c r="H50" s="20"/>
      <c r="I50" s="21"/>
      <c r="K50" s="21">
        <f t="shared" si="7"/>
        <v>0</v>
      </c>
      <c r="L50" s="27">
        <f t="shared" si="9"/>
        <v>0</v>
      </c>
      <c r="M50" s="33">
        <f t="shared" si="8"/>
        <v>0</v>
      </c>
    </row>
    <row r="51" spans="1:13" x14ac:dyDescent="0.25">
      <c r="A51">
        <v>13</v>
      </c>
      <c r="C51" s="19"/>
      <c r="D51" s="20"/>
      <c r="E51" s="20"/>
      <c r="F51" s="20"/>
      <c r="G51" s="39"/>
      <c r="H51" s="20"/>
      <c r="I51" s="21"/>
      <c r="K51" s="21">
        <f t="shared" si="7"/>
        <v>0</v>
      </c>
      <c r="L51" s="27">
        <f t="shared" si="9"/>
        <v>0</v>
      </c>
      <c r="M51" s="33">
        <f t="shared" si="8"/>
        <v>0</v>
      </c>
    </row>
    <row r="52" spans="1:13" x14ac:dyDescent="0.25">
      <c r="A52">
        <v>14</v>
      </c>
      <c r="C52" s="19"/>
      <c r="D52" s="20"/>
      <c r="E52" s="20"/>
      <c r="F52" s="20"/>
      <c r="G52" s="39"/>
      <c r="H52" s="20"/>
      <c r="I52" s="21"/>
      <c r="K52" s="21">
        <f t="shared" si="7"/>
        <v>0</v>
      </c>
      <c r="L52" s="27">
        <f t="shared" si="9"/>
        <v>0</v>
      </c>
      <c r="M52" s="33">
        <f t="shared" si="8"/>
        <v>0</v>
      </c>
    </row>
    <row r="53" spans="1:13" x14ac:dyDescent="0.25">
      <c r="A53">
        <v>15</v>
      </c>
      <c r="C53" s="19"/>
      <c r="D53" s="20"/>
      <c r="E53" s="20"/>
      <c r="F53" s="20"/>
      <c r="G53" s="39"/>
      <c r="H53" s="20"/>
      <c r="I53" s="21"/>
      <c r="K53" s="21">
        <f t="shared" si="7"/>
        <v>0</v>
      </c>
      <c r="L53" s="27">
        <f t="shared" si="9"/>
        <v>0</v>
      </c>
      <c r="M53" s="33">
        <f t="shared" si="8"/>
        <v>0</v>
      </c>
    </row>
    <row r="54" spans="1:13" x14ac:dyDescent="0.25">
      <c r="A54">
        <v>16</v>
      </c>
      <c r="C54" s="19"/>
      <c r="D54" s="20"/>
      <c r="E54" s="20"/>
      <c r="F54" s="20"/>
      <c r="G54" s="39"/>
      <c r="H54" s="20"/>
      <c r="I54" s="21"/>
      <c r="K54" s="21">
        <f t="shared" si="7"/>
        <v>0</v>
      </c>
      <c r="L54" s="27">
        <f t="shared" si="9"/>
        <v>0</v>
      </c>
      <c r="M54" s="33">
        <f t="shared" si="8"/>
        <v>0</v>
      </c>
    </row>
    <row r="55" spans="1:13" x14ac:dyDescent="0.25">
      <c r="A55">
        <v>17</v>
      </c>
      <c r="C55" s="19"/>
      <c r="D55" s="20"/>
      <c r="E55" s="20"/>
      <c r="F55" s="20"/>
      <c r="G55" s="39"/>
      <c r="H55" s="20"/>
      <c r="I55" s="21"/>
      <c r="K55" s="21">
        <f t="shared" si="7"/>
        <v>0</v>
      </c>
      <c r="L55" s="27">
        <f t="shared" si="9"/>
        <v>0</v>
      </c>
      <c r="M55" s="33">
        <f t="shared" si="8"/>
        <v>0</v>
      </c>
    </row>
    <row r="56" spans="1:13" x14ac:dyDescent="0.25">
      <c r="A56">
        <v>18</v>
      </c>
      <c r="C56" s="19"/>
      <c r="D56" s="20"/>
      <c r="E56" s="20"/>
      <c r="F56" s="20"/>
      <c r="G56" s="39"/>
      <c r="H56" s="20"/>
      <c r="I56" s="21"/>
      <c r="K56" s="21">
        <f t="shared" si="7"/>
        <v>0</v>
      </c>
      <c r="L56" s="27">
        <f t="shared" si="9"/>
        <v>0</v>
      </c>
      <c r="M56" s="33">
        <f t="shared" si="8"/>
        <v>0</v>
      </c>
    </row>
    <row r="57" spans="1:13" x14ac:dyDescent="0.25">
      <c r="A57">
        <v>19</v>
      </c>
      <c r="C57" s="19"/>
      <c r="D57" s="20"/>
      <c r="E57" s="20"/>
      <c r="F57" s="20"/>
      <c r="G57" s="39"/>
      <c r="H57" s="20"/>
      <c r="I57" s="21"/>
      <c r="K57" s="21">
        <f t="shared" si="7"/>
        <v>0</v>
      </c>
      <c r="L57" s="27">
        <f t="shared" si="9"/>
        <v>0</v>
      </c>
      <c r="M57" s="33">
        <f t="shared" si="8"/>
        <v>0</v>
      </c>
    </row>
    <row r="58" spans="1:13" x14ac:dyDescent="0.25">
      <c r="A58">
        <v>20</v>
      </c>
      <c r="C58" s="19"/>
      <c r="D58" s="20"/>
      <c r="E58" s="20"/>
      <c r="F58" s="20"/>
      <c r="G58" s="39"/>
      <c r="H58" s="20"/>
      <c r="I58" s="21"/>
      <c r="K58" s="21">
        <f t="shared" si="7"/>
        <v>0</v>
      </c>
      <c r="L58" s="27">
        <f t="shared" si="9"/>
        <v>0</v>
      </c>
      <c r="M58" s="33">
        <f t="shared" si="8"/>
        <v>0</v>
      </c>
    </row>
    <row r="59" spans="1:13" x14ac:dyDescent="0.25">
      <c r="A59">
        <v>21</v>
      </c>
      <c r="C59" s="19"/>
      <c r="D59" s="20"/>
      <c r="E59" s="20"/>
      <c r="F59" s="20"/>
      <c r="G59" s="39"/>
      <c r="H59" s="20"/>
      <c r="I59" s="21"/>
      <c r="K59" s="21">
        <f t="shared" si="7"/>
        <v>0</v>
      </c>
      <c r="L59" s="27">
        <f t="shared" si="9"/>
        <v>0</v>
      </c>
      <c r="M59" s="33">
        <f t="shared" si="8"/>
        <v>0</v>
      </c>
    </row>
    <row r="60" spans="1:13" x14ac:dyDescent="0.25">
      <c r="A60">
        <v>22</v>
      </c>
      <c r="C60" s="19"/>
      <c r="D60" s="20"/>
      <c r="E60" s="20"/>
      <c r="F60" s="20"/>
      <c r="G60" s="39"/>
      <c r="H60" s="20"/>
      <c r="I60" s="21"/>
      <c r="K60" s="21"/>
      <c r="L60" s="21"/>
      <c r="M60" s="33"/>
    </row>
    <row r="61" spans="1:13" x14ac:dyDescent="0.25">
      <c r="M61" s="34"/>
    </row>
    <row r="62" spans="1:13" x14ac:dyDescent="0.25">
      <c r="M62" s="34"/>
    </row>
    <row r="63" spans="1:13" x14ac:dyDescent="0.25">
      <c r="M63" s="34"/>
    </row>
    <row r="64" spans="1:13" x14ac:dyDescent="0.25">
      <c r="C64" s="23"/>
      <c r="D64" s="23"/>
      <c r="E64" s="23"/>
      <c r="F64" s="23"/>
      <c r="G64" s="41"/>
      <c r="H64" s="23"/>
      <c r="I64" s="24"/>
      <c r="K64" s="23"/>
      <c r="L64" s="23"/>
      <c r="M64" s="35"/>
    </row>
    <row r="65" spans="9:13" x14ac:dyDescent="0.25">
      <c r="I65" s="14">
        <f>SUM(I40:I64)</f>
        <v>0</v>
      </c>
      <c r="K65" s="14">
        <f>SUM(K40:K64)</f>
        <v>0</v>
      </c>
      <c r="L65" s="14">
        <f>SUM(L40:L64)</f>
        <v>0</v>
      </c>
      <c r="M65" s="36">
        <f>SUM(M40:M64)</f>
        <v>0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2026-01-10T03:15:47Z</dcterms:modified>
</cp:coreProperties>
</file>