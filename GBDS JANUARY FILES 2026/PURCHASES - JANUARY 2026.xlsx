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01A1DA6-B6D2-4023-B351-0E61EE5CCF7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<sst xmlns="http://schemas.openxmlformats.org/spreadsheetml/2006/main" count="254" uniqueCount="79">
  <si>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</si>
  <si>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</si>
  <si>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</si>
  <si>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</si>
  <si>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</si>
  <si>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</si>
  <si>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</si>
  <si>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</si>
  <si>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</si>
  <si>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</si>
  <si>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</si>
  <si>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</si>
  <si>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</si>
  <si>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</si>
  <si>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</si>
  <si>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</si>
  <si>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</si>
  <si>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</si>
  <si>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</si>
  <si>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</si>
  <si>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</si>
  <si>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</si>
  <si>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</si>
  <si>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</si>
  <si>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</si>
  <si>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</si>
  <si>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</si>
  <si>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</si>
  <si>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</si>
  <si>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</si>
  <si>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</si>
  <si>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</si>
  <si>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</si>
  <si>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</si>
  <si>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</si>
  <si>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</si>
  <si>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</si>
  <si>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</si>
  <si>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</si>
  <si>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</si>
  <si>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</si>
  <si>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</si>
  <si>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</si>
  <si>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</si>
  <si>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</si>
  <si>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</si>
  <si>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</si>
  <si>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</si>
  <si>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</si>
  <si>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</si>
  <si>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</si>
  <si>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</si>
  <si>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</si>
  <si>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</si>
  <si>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</si>
  <si>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</si>
  <si>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</si>
  <si>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</si>
  <si>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</si>
  <si>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</si>
  <si>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</si>
  <si>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</si>
  <si>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</si>
  <si>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</si>
  <si>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</si>
  <si>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</si>
  <si>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</si>
  <si>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</si>
  <si>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</si>
  <si>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</si>
  <si>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</si>
  <si>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</si>
  <si>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</si>
  <si>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</si>
  <si>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</si>
  <si>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01/20/2026</t>
  </si>
  <si>
    <t>JANUARY 2026</t>
  </si>
  <si>
    <t>01/24/2026</t>
  </si>
  <si>
    <t>01/27/2026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</si>
</sst>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3" sqref="C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46235</v>
      </c>
      <c r="D7" s="20" t="s">
        <v>68</v>
      </c>
      <c r="E7" s="12"/>
      <c r="F7" s="20" t="s">
        <v>70</v>
      </c>
      <c r="G7" s="20">
        <v>518277942</v>
      </c>
      <c r="H7" s="20" t="s">
        <v>74</v>
      </c>
      <c r="I7" s="21">
        <f>1353132-56255.04</f>
        <v>1296876.96</v>
      </c>
      <c r="K7" s="21">
        <f>M7*12</f>
        <v>138951.10285714286</v>
      </c>
      <c r="L7" s="27">
        <f>I7-K7</f>
        <v>1157925.857142857</v>
      </c>
      <c r="M7" s="33">
        <f>I7/112</f>
        <v>11579.258571428571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46266</v>
      </c>
      <c r="D8" s="20" t="s">
        <v>68</v>
      </c>
      <c r="E8" s="20"/>
      <c r="F8" s="20" t="s">
        <v>70</v>
      </c>
      <c r="G8" s="20">
        <v>518280920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46266</v>
      </c>
      <c r="D9" s="20" t="s">
        <v>68</v>
      </c>
      <c r="E9" s="20"/>
      <c r="F9" s="20" t="s">
        <v>70</v>
      </c>
      <c r="G9" s="20">
        <v>518281307</v>
      </c>
      <c r="H9" s="20" t="s">
        <v>74</v>
      </c>
      <c r="I9" s="21">
        <f>543906-22612.32</f>
        <v>521293.68</v>
      </c>
      <c r="K9" s="21">
        <f t="shared" ref="K9:K26" si="2">M9*12</f>
        <v>55852.894285714283</v>
      </c>
      <c r="L9" s="27">
        <f t="shared" ref="L9:L26" si="3">I9-K9</f>
        <v>465440.78571428568</v>
      </c>
      <c r="M9" s="33">
        <f t="shared" si="0"/>
        <v>4654.4078571428572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75</v>
      </c>
      <c r="D10" s="20" t="s">
        <v>68</v>
      </c>
      <c r="E10" s="20"/>
      <c r="F10" s="20" t="s">
        <v>70</v>
      </c>
      <c r="G10" s="20">
        <v>518308507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518322741</v>
      </c>
      <c r="H11" s="20" t="s">
        <v>74</v>
      </c>
      <c r="I11" s="21">
        <f>1306428-51028.68</f>
        <v>1255399.32</v>
      </c>
      <c r="K11" s="21">
        <f t="shared" si="2"/>
        <v>134507.07</v>
      </c>
      <c r="L11" s="27">
        <f t="shared" si="3"/>
        <v>1120892.25</v>
      </c>
      <c r="M11" s="33">
        <f t="shared" si="0"/>
        <v>11208.922500000001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518329104</v>
      </c>
      <c r="H12" s="20" t="s">
        <v>74</v>
      </c>
      <c r="I12" s="21">
        <f>1386494-56304.48</f>
        <v>1330189.52</v>
      </c>
      <c r="K12" s="21">
        <f t="shared" si="2"/>
        <v>142520.3057142857</v>
      </c>
      <c r="L12" s="27">
        <f t="shared" si="3"/>
        <v>1187669.2142857143</v>
      </c>
      <c r="M12" s="33">
        <f t="shared" si="0"/>
        <v>11876.692142857142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7041577.4000000004</v>
      </c>
      <c r="K32" s="14">
        <f>SUM(K7:K31)</f>
        <v>754454.72142857139</v>
      </c>
      <c r="L32" s="14">
        <f>SUM(L7:L31)</f>
        <v>6287122.6785714291</v>
      </c>
      <c r="M32" s="36">
        <f>SUM(M7:M31)</f>
        <v>62871.226785714287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2026-01-27T07:26:56Z</dcterms:modified>
</cp:coreProperties>
</file>